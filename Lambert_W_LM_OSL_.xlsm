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\Desktop\Dosimetry\Deconovolution\LM-OSL\"/>
    </mc:Choice>
  </mc:AlternateContent>
  <xr:revisionPtr revIDLastSave="0" documentId="8_{34C07A36-060E-4C55-B11D-10E4CFD88CF7}" xr6:coauthVersionLast="46" xr6:coauthVersionMax="46" xr10:uidLastSave="{00000000-0000-0000-0000-000000000000}"/>
  <bookViews>
    <workbookView xWindow="-108" yWindow="-108" windowWidth="23256" windowHeight="12576" tabRatio="721" xr2:uid="{00000000-000D-0000-FFFF-FFFF00000000}"/>
  </bookViews>
  <sheets>
    <sheet name="LM-OSL" sheetId="31" r:id="rId1"/>
  </sheets>
  <functionGroups builtInGroupCount="19"/>
  <definedNames>
    <definedName name="solver_adj" localSheetId="0" hidden="1">'LM-OSL'!$F$18:$I$20,'LM-OSL'!$K$20,'LM-OSL'!$G$22</definedName>
    <definedName name="solver_cvg" localSheetId="0" hidden="1">0.001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0" localSheetId="0" hidden="1">'LM-OSL'!$H$18:$H$20</definedName>
    <definedName name="solver_lhs1" localSheetId="0" hidden="1">'LM-OSL'!$F$18:$H$20</definedName>
    <definedName name="solver_lhs2" localSheetId="0" hidden="1">'LM-OSL'!$F$20:$H$20</definedName>
    <definedName name="solver_lhs3" localSheetId="0" hidden="1">'LM-OSL'!$F$20:$I$20</definedName>
    <definedName name="solver_lhs4" localSheetId="0" hidden="1">'LM-OSL'!$G$18:$G$20</definedName>
    <definedName name="solver_lhs5" localSheetId="0" hidden="1">'LM-OSL'!$G$19</definedName>
    <definedName name="solver_lhs6" localSheetId="0" hidden="1">'LM-OSL'!$G$20</definedName>
    <definedName name="solver_lhs7" localSheetId="0" hidden="1">'LM-OSL'!$H$18:$H$20</definedName>
    <definedName name="solver_lhs8" localSheetId="0" hidden="1">'LM-OSL'!$H$19</definedName>
    <definedName name="solver_lhs9" localSheetId="0" hidden="1">'LM-OSL'!$H$20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'LM-OSL'!$F$27</definedName>
    <definedName name="solver_pre" localSheetId="0" hidden="1">0.00001</definedName>
    <definedName name="solver_rbv" localSheetId="0" hidden="1">1</definedName>
    <definedName name="solver_rel0" localSheetId="0" hidden="1">3</definedName>
    <definedName name="solver_rel1" localSheetId="0" hidden="1">3</definedName>
    <definedName name="solver_rel2" localSheetId="0" hidden="1">1</definedName>
    <definedName name="solver_rel3" localSheetId="0" hidden="1">1</definedName>
    <definedName name="solver_rel4" localSheetId="0" hidden="1">3</definedName>
    <definedName name="solver_rel5" localSheetId="0" hidden="1">1</definedName>
    <definedName name="solver_rel6" localSheetId="0" hidden="1">1</definedName>
    <definedName name="solver_rel7" localSheetId="0" hidden="1">3</definedName>
    <definedName name="solver_rel8" localSheetId="0" hidden="1">1</definedName>
    <definedName name="solver_rel9" localSheetId="0" hidden="1">1</definedName>
    <definedName name="solver_rhs0" localSheetId="0" hidden="1">0.00001</definedName>
    <definedName name="solver_rhs1" localSheetId="0" hidden="1">0.000001</definedName>
    <definedName name="solver_rhs2" localSheetId="0" hidden="1">0.999</definedName>
    <definedName name="solver_rhs3" localSheetId="0" hidden="1">0.1</definedName>
    <definedName name="solver_rhs4" localSheetId="0" hidden="1">0.00001</definedName>
    <definedName name="solver_rhs5" localSheetId="0" hidden="1">0.8</definedName>
    <definedName name="solver_rhs6" localSheetId="0" hidden="1">0.8</definedName>
    <definedName name="solver_rhs7" localSheetId="0" hidden="1">0.00001</definedName>
    <definedName name="solver_rhs8" localSheetId="0" hidden="1">0.8</definedName>
    <definedName name="solver_rhs9" localSheetId="0" hidden="1">0.8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531" i="31" l="1"/>
  <c r="K531" i="31"/>
  <c r="J531" i="31"/>
  <c r="I531" i="31"/>
  <c r="H531" i="31"/>
  <c r="G531" i="31"/>
  <c r="F531" i="31"/>
  <c r="W530" i="31"/>
  <c r="K530" i="31"/>
  <c r="J530" i="31"/>
  <c r="I530" i="31"/>
  <c r="H530" i="31"/>
  <c r="G530" i="31"/>
  <c r="F530" i="31"/>
  <c r="W529" i="31"/>
  <c r="K529" i="31"/>
  <c r="J529" i="31"/>
  <c r="I529" i="31"/>
  <c r="H529" i="31"/>
  <c r="G529" i="31"/>
  <c r="F529" i="31"/>
  <c r="W528" i="31"/>
  <c r="K528" i="31"/>
  <c r="J528" i="31"/>
  <c r="I528" i="31"/>
  <c r="H528" i="31"/>
  <c r="G528" i="31"/>
  <c r="F528" i="31"/>
  <c r="W527" i="31"/>
  <c r="K527" i="31"/>
  <c r="J527" i="31"/>
  <c r="I527" i="31"/>
  <c r="H527" i="31"/>
  <c r="G527" i="31"/>
  <c r="F527" i="31"/>
  <c r="W526" i="31"/>
  <c r="K526" i="31"/>
  <c r="J526" i="31"/>
  <c r="I526" i="31"/>
  <c r="H526" i="31"/>
  <c r="G526" i="31"/>
  <c r="F526" i="31"/>
  <c r="W525" i="31"/>
  <c r="K525" i="31"/>
  <c r="J525" i="31"/>
  <c r="I525" i="31"/>
  <c r="H525" i="31"/>
  <c r="G525" i="31"/>
  <c r="F525" i="31"/>
  <c r="W524" i="31"/>
  <c r="K524" i="31"/>
  <c r="J524" i="31"/>
  <c r="I524" i="31"/>
  <c r="H524" i="31"/>
  <c r="G524" i="31"/>
  <c r="F524" i="31"/>
  <c r="W523" i="31"/>
  <c r="K523" i="31"/>
  <c r="J523" i="31"/>
  <c r="I523" i="31"/>
  <c r="H523" i="31"/>
  <c r="G523" i="31"/>
  <c r="F523" i="31"/>
  <c r="W522" i="31"/>
  <c r="K522" i="31"/>
  <c r="J522" i="31"/>
  <c r="I522" i="31"/>
  <c r="H522" i="31"/>
  <c r="G522" i="31"/>
  <c r="F522" i="31"/>
  <c r="W521" i="31"/>
  <c r="K521" i="31"/>
  <c r="J521" i="31"/>
  <c r="I521" i="31"/>
  <c r="H521" i="31"/>
  <c r="G521" i="31"/>
  <c r="F521" i="31"/>
  <c r="W520" i="31"/>
  <c r="K520" i="31"/>
  <c r="J520" i="31"/>
  <c r="I520" i="31"/>
  <c r="H520" i="31"/>
  <c r="G520" i="31"/>
  <c r="F520" i="31"/>
  <c r="W519" i="31"/>
  <c r="K519" i="31"/>
  <c r="J519" i="31"/>
  <c r="I519" i="31"/>
  <c r="H519" i="31"/>
  <c r="G519" i="31"/>
  <c r="F519" i="31"/>
  <c r="W518" i="31"/>
  <c r="K518" i="31"/>
  <c r="J518" i="31"/>
  <c r="I518" i="31"/>
  <c r="H518" i="31"/>
  <c r="G518" i="31"/>
  <c r="F518" i="31"/>
  <c r="W517" i="31"/>
  <c r="K517" i="31"/>
  <c r="J517" i="31"/>
  <c r="I517" i="31"/>
  <c r="H517" i="31"/>
  <c r="G517" i="31"/>
  <c r="F517" i="31"/>
  <c r="W516" i="31"/>
  <c r="K516" i="31"/>
  <c r="J516" i="31"/>
  <c r="I516" i="31"/>
  <c r="H516" i="31"/>
  <c r="G516" i="31"/>
  <c r="F516" i="31"/>
  <c r="W515" i="31"/>
  <c r="K515" i="31"/>
  <c r="J515" i="31"/>
  <c r="I515" i="31"/>
  <c r="H515" i="31"/>
  <c r="G515" i="31"/>
  <c r="F515" i="31"/>
  <c r="W514" i="31"/>
  <c r="K514" i="31"/>
  <c r="J514" i="31"/>
  <c r="I514" i="31"/>
  <c r="H514" i="31"/>
  <c r="G514" i="31"/>
  <c r="F514" i="31"/>
  <c r="W513" i="31"/>
  <c r="K513" i="31"/>
  <c r="J513" i="31"/>
  <c r="I513" i="31"/>
  <c r="H513" i="31"/>
  <c r="G513" i="31"/>
  <c r="F513" i="31"/>
  <c r="W512" i="31"/>
  <c r="K512" i="31"/>
  <c r="J512" i="31"/>
  <c r="I512" i="31"/>
  <c r="H512" i="31"/>
  <c r="G512" i="31"/>
  <c r="F512" i="31"/>
  <c r="W511" i="31"/>
  <c r="K511" i="31"/>
  <c r="J511" i="31"/>
  <c r="I511" i="31"/>
  <c r="H511" i="31"/>
  <c r="G511" i="31"/>
  <c r="F511" i="31"/>
  <c r="W510" i="31"/>
  <c r="K510" i="31"/>
  <c r="J510" i="31"/>
  <c r="I510" i="31"/>
  <c r="H510" i="31"/>
  <c r="G510" i="31"/>
  <c r="F510" i="31"/>
  <c r="W509" i="31"/>
  <c r="K509" i="31"/>
  <c r="J509" i="31"/>
  <c r="I509" i="31"/>
  <c r="H509" i="31"/>
  <c r="G509" i="31"/>
  <c r="F509" i="31"/>
  <c r="W508" i="31"/>
  <c r="K508" i="31"/>
  <c r="J508" i="31"/>
  <c r="I508" i="31"/>
  <c r="H508" i="31"/>
  <c r="G508" i="31"/>
  <c r="F508" i="31"/>
  <c r="W507" i="31"/>
  <c r="K507" i="31"/>
  <c r="J507" i="31"/>
  <c r="I507" i="31"/>
  <c r="H507" i="31"/>
  <c r="G507" i="31"/>
  <c r="F507" i="31"/>
  <c r="W506" i="31"/>
  <c r="K506" i="31"/>
  <c r="J506" i="31"/>
  <c r="I506" i="31"/>
  <c r="H506" i="31"/>
  <c r="G506" i="31"/>
  <c r="F506" i="31"/>
  <c r="W505" i="31"/>
  <c r="K505" i="31"/>
  <c r="J505" i="31"/>
  <c r="I505" i="31"/>
  <c r="H505" i="31"/>
  <c r="G505" i="31"/>
  <c r="F505" i="31"/>
  <c r="W504" i="31"/>
  <c r="K504" i="31"/>
  <c r="J504" i="31"/>
  <c r="I504" i="31"/>
  <c r="H504" i="31"/>
  <c r="G504" i="31"/>
  <c r="F504" i="31"/>
  <c r="W503" i="31"/>
  <c r="K503" i="31"/>
  <c r="J503" i="31"/>
  <c r="I503" i="31"/>
  <c r="H503" i="31"/>
  <c r="G503" i="31"/>
  <c r="F503" i="31"/>
  <c r="W502" i="31"/>
  <c r="K502" i="31"/>
  <c r="J502" i="31"/>
  <c r="I502" i="31"/>
  <c r="H502" i="31"/>
  <c r="G502" i="31"/>
  <c r="F502" i="31"/>
  <c r="W501" i="31"/>
  <c r="K501" i="31"/>
  <c r="J501" i="31"/>
  <c r="I501" i="31"/>
  <c r="H501" i="31"/>
  <c r="G501" i="31"/>
  <c r="F501" i="31"/>
  <c r="W500" i="31"/>
  <c r="K500" i="31"/>
  <c r="J500" i="31"/>
  <c r="I500" i="31"/>
  <c r="H500" i="31"/>
  <c r="G500" i="31"/>
  <c r="F500" i="31"/>
  <c r="W499" i="31"/>
  <c r="K499" i="31"/>
  <c r="J499" i="31"/>
  <c r="I499" i="31"/>
  <c r="H499" i="31"/>
  <c r="G499" i="31"/>
  <c r="F499" i="31"/>
  <c r="W498" i="31"/>
  <c r="K498" i="31"/>
  <c r="J498" i="31"/>
  <c r="I498" i="31"/>
  <c r="H498" i="31"/>
  <c r="G498" i="31"/>
  <c r="F498" i="31"/>
  <c r="W497" i="31"/>
  <c r="K497" i="31"/>
  <c r="J497" i="31"/>
  <c r="I497" i="31"/>
  <c r="H497" i="31"/>
  <c r="G497" i="31"/>
  <c r="F497" i="31"/>
  <c r="W496" i="31"/>
  <c r="K496" i="31"/>
  <c r="J496" i="31"/>
  <c r="I496" i="31"/>
  <c r="H496" i="31"/>
  <c r="G496" i="31"/>
  <c r="F496" i="31"/>
  <c r="W495" i="31"/>
  <c r="K495" i="31"/>
  <c r="J495" i="31"/>
  <c r="I495" i="31"/>
  <c r="H495" i="31"/>
  <c r="G495" i="31"/>
  <c r="F495" i="31"/>
  <c r="W494" i="31"/>
  <c r="K494" i="31"/>
  <c r="J494" i="31"/>
  <c r="I494" i="31"/>
  <c r="H494" i="31"/>
  <c r="G494" i="31"/>
  <c r="F494" i="31"/>
  <c r="W493" i="31"/>
  <c r="K493" i="31"/>
  <c r="J493" i="31"/>
  <c r="I493" i="31"/>
  <c r="H493" i="31"/>
  <c r="G493" i="31"/>
  <c r="F493" i="31"/>
  <c r="W492" i="31"/>
  <c r="K492" i="31"/>
  <c r="J492" i="31"/>
  <c r="I492" i="31"/>
  <c r="H492" i="31"/>
  <c r="G492" i="31"/>
  <c r="F492" i="31"/>
  <c r="W491" i="31"/>
  <c r="K491" i="31"/>
  <c r="J491" i="31"/>
  <c r="I491" i="31"/>
  <c r="H491" i="31"/>
  <c r="G491" i="31"/>
  <c r="F491" i="31"/>
  <c r="W490" i="31"/>
  <c r="K490" i="31"/>
  <c r="J490" i="31"/>
  <c r="I490" i="31"/>
  <c r="H490" i="31"/>
  <c r="G490" i="31"/>
  <c r="F490" i="31"/>
  <c r="W489" i="31"/>
  <c r="K489" i="31"/>
  <c r="J489" i="31"/>
  <c r="I489" i="31"/>
  <c r="H489" i="31"/>
  <c r="G489" i="31"/>
  <c r="F489" i="31"/>
  <c r="W488" i="31"/>
  <c r="K488" i="31"/>
  <c r="J488" i="31"/>
  <c r="I488" i="31"/>
  <c r="H488" i="31"/>
  <c r="G488" i="31"/>
  <c r="F488" i="31"/>
  <c r="W487" i="31"/>
  <c r="K487" i="31"/>
  <c r="J487" i="31"/>
  <c r="I487" i="31"/>
  <c r="H487" i="31"/>
  <c r="G487" i="31"/>
  <c r="F487" i="31"/>
  <c r="W486" i="31"/>
  <c r="K486" i="31"/>
  <c r="J486" i="31"/>
  <c r="I486" i="31"/>
  <c r="H486" i="31"/>
  <c r="G486" i="31"/>
  <c r="F486" i="31"/>
  <c r="W485" i="31"/>
  <c r="K485" i="31"/>
  <c r="J485" i="31"/>
  <c r="I485" i="31"/>
  <c r="H485" i="31"/>
  <c r="G485" i="31"/>
  <c r="F485" i="31"/>
  <c r="W484" i="31"/>
  <c r="K484" i="31"/>
  <c r="J484" i="31"/>
  <c r="I484" i="31"/>
  <c r="H484" i="31"/>
  <c r="G484" i="31"/>
  <c r="F484" i="31"/>
  <c r="W483" i="31"/>
  <c r="K483" i="31"/>
  <c r="J483" i="31"/>
  <c r="I483" i="31"/>
  <c r="H483" i="31"/>
  <c r="G483" i="31"/>
  <c r="F483" i="31"/>
  <c r="W482" i="31"/>
  <c r="K482" i="31"/>
  <c r="J482" i="31"/>
  <c r="I482" i="31"/>
  <c r="H482" i="31"/>
  <c r="G482" i="31"/>
  <c r="F482" i="31"/>
  <c r="W481" i="31"/>
  <c r="K481" i="31"/>
  <c r="J481" i="31"/>
  <c r="I481" i="31"/>
  <c r="H481" i="31"/>
  <c r="G481" i="31"/>
  <c r="F481" i="31"/>
  <c r="W480" i="31"/>
  <c r="K480" i="31"/>
  <c r="J480" i="31"/>
  <c r="I480" i="31"/>
  <c r="H480" i="31"/>
  <c r="G480" i="31"/>
  <c r="F480" i="31"/>
  <c r="W479" i="31"/>
  <c r="K479" i="31"/>
  <c r="J479" i="31"/>
  <c r="I479" i="31"/>
  <c r="H479" i="31"/>
  <c r="G479" i="31"/>
  <c r="F479" i="31"/>
  <c r="W478" i="31"/>
  <c r="K478" i="31"/>
  <c r="J478" i="31"/>
  <c r="I478" i="31"/>
  <c r="H478" i="31"/>
  <c r="G478" i="31"/>
  <c r="F478" i="31"/>
  <c r="W477" i="31"/>
  <c r="K477" i="31"/>
  <c r="J477" i="31"/>
  <c r="I477" i="31"/>
  <c r="H477" i="31"/>
  <c r="G477" i="31"/>
  <c r="F477" i="31"/>
  <c r="W476" i="31"/>
  <c r="K476" i="31"/>
  <c r="J476" i="31"/>
  <c r="I476" i="31"/>
  <c r="H476" i="31"/>
  <c r="G476" i="31"/>
  <c r="F476" i="31"/>
  <c r="W475" i="31"/>
  <c r="K475" i="31"/>
  <c r="J475" i="31"/>
  <c r="I475" i="31"/>
  <c r="H475" i="31"/>
  <c r="G475" i="31"/>
  <c r="F475" i="31"/>
  <c r="W474" i="31"/>
  <c r="K474" i="31"/>
  <c r="J474" i="31"/>
  <c r="I474" i="31"/>
  <c r="H474" i="31"/>
  <c r="G474" i="31"/>
  <c r="F474" i="31"/>
  <c r="W473" i="31"/>
  <c r="K473" i="31"/>
  <c r="J473" i="31"/>
  <c r="I473" i="31"/>
  <c r="H473" i="31"/>
  <c r="G473" i="31"/>
  <c r="F473" i="31"/>
  <c r="W472" i="31"/>
  <c r="K472" i="31"/>
  <c r="J472" i="31"/>
  <c r="I472" i="31"/>
  <c r="H472" i="31"/>
  <c r="G472" i="31"/>
  <c r="F472" i="31"/>
  <c r="W471" i="31"/>
  <c r="K471" i="31"/>
  <c r="J471" i="31"/>
  <c r="I471" i="31"/>
  <c r="H471" i="31"/>
  <c r="G471" i="31"/>
  <c r="F471" i="31"/>
  <c r="W470" i="31"/>
  <c r="K470" i="31"/>
  <c r="J470" i="31"/>
  <c r="I470" i="31"/>
  <c r="H470" i="31"/>
  <c r="G470" i="31"/>
  <c r="F470" i="31"/>
  <c r="W469" i="31"/>
  <c r="K469" i="31"/>
  <c r="J469" i="31"/>
  <c r="I469" i="31"/>
  <c r="H469" i="31"/>
  <c r="G469" i="31"/>
  <c r="F469" i="31"/>
  <c r="W468" i="31"/>
  <c r="K468" i="31"/>
  <c r="J468" i="31"/>
  <c r="I468" i="31"/>
  <c r="H468" i="31"/>
  <c r="G468" i="31"/>
  <c r="F468" i="31"/>
  <c r="W467" i="31"/>
  <c r="K467" i="31"/>
  <c r="J467" i="31"/>
  <c r="I467" i="31"/>
  <c r="H467" i="31"/>
  <c r="G467" i="31"/>
  <c r="F467" i="31"/>
  <c r="W466" i="31"/>
  <c r="K466" i="31"/>
  <c r="J466" i="31"/>
  <c r="I466" i="31"/>
  <c r="H466" i="31"/>
  <c r="G466" i="31"/>
  <c r="F466" i="31"/>
  <c r="W465" i="31"/>
  <c r="K465" i="31"/>
  <c r="J465" i="31"/>
  <c r="I465" i="31"/>
  <c r="H465" i="31"/>
  <c r="G465" i="31"/>
  <c r="F465" i="31"/>
  <c r="W464" i="31"/>
  <c r="K464" i="31"/>
  <c r="J464" i="31"/>
  <c r="I464" i="31"/>
  <c r="H464" i="31"/>
  <c r="G464" i="31"/>
  <c r="F464" i="31"/>
  <c r="W463" i="31"/>
  <c r="K463" i="31"/>
  <c r="J463" i="31"/>
  <c r="I463" i="31"/>
  <c r="H463" i="31"/>
  <c r="G463" i="31"/>
  <c r="F463" i="31"/>
  <c r="W462" i="31"/>
  <c r="K462" i="31"/>
  <c r="J462" i="31"/>
  <c r="I462" i="31"/>
  <c r="H462" i="31"/>
  <c r="G462" i="31"/>
  <c r="F462" i="31"/>
  <c r="W461" i="31"/>
  <c r="K461" i="31"/>
  <c r="J461" i="31"/>
  <c r="I461" i="31"/>
  <c r="H461" i="31"/>
  <c r="G461" i="31"/>
  <c r="F461" i="31"/>
  <c r="W460" i="31"/>
  <c r="K460" i="31"/>
  <c r="J460" i="31"/>
  <c r="I460" i="31"/>
  <c r="H460" i="31"/>
  <c r="G460" i="31"/>
  <c r="F460" i="31"/>
  <c r="W459" i="31"/>
  <c r="K459" i="31"/>
  <c r="J459" i="31"/>
  <c r="I459" i="31"/>
  <c r="H459" i="31"/>
  <c r="G459" i="31"/>
  <c r="F459" i="31"/>
  <c r="W458" i="31"/>
  <c r="K458" i="31"/>
  <c r="J458" i="31"/>
  <c r="I458" i="31"/>
  <c r="H458" i="31"/>
  <c r="G458" i="31"/>
  <c r="F458" i="31"/>
  <c r="W457" i="31"/>
  <c r="K457" i="31"/>
  <c r="J457" i="31"/>
  <c r="I457" i="31"/>
  <c r="H457" i="31"/>
  <c r="G457" i="31"/>
  <c r="F457" i="31"/>
  <c r="W456" i="31"/>
  <c r="K456" i="31"/>
  <c r="J456" i="31"/>
  <c r="I456" i="31"/>
  <c r="H456" i="31"/>
  <c r="G456" i="31"/>
  <c r="F456" i="31"/>
  <c r="W455" i="31"/>
  <c r="K455" i="31"/>
  <c r="J455" i="31"/>
  <c r="I455" i="31"/>
  <c r="H455" i="31"/>
  <c r="G455" i="31"/>
  <c r="F455" i="31"/>
  <c r="W454" i="31"/>
  <c r="K454" i="31"/>
  <c r="J454" i="31"/>
  <c r="I454" i="31"/>
  <c r="H454" i="31"/>
  <c r="G454" i="31"/>
  <c r="F454" i="31"/>
  <c r="W453" i="31"/>
  <c r="K453" i="31"/>
  <c r="J453" i="31"/>
  <c r="I453" i="31"/>
  <c r="H453" i="31"/>
  <c r="G453" i="31"/>
  <c r="F453" i="31"/>
  <c r="W452" i="31"/>
  <c r="K452" i="31"/>
  <c r="J452" i="31"/>
  <c r="I452" i="31"/>
  <c r="H452" i="31"/>
  <c r="G452" i="31"/>
  <c r="F452" i="31"/>
  <c r="W451" i="31"/>
  <c r="K451" i="31"/>
  <c r="J451" i="31"/>
  <c r="I451" i="31"/>
  <c r="H451" i="31"/>
  <c r="G451" i="31"/>
  <c r="F451" i="31"/>
  <c r="W450" i="31"/>
  <c r="K450" i="31"/>
  <c r="J450" i="31"/>
  <c r="I450" i="31"/>
  <c r="H450" i="31"/>
  <c r="G450" i="31"/>
  <c r="F450" i="31"/>
  <c r="W449" i="31"/>
  <c r="K449" i="31"/>
  <c r="J449" i="31"/>
  <c r="I449" i="31"/>
  <c r="H449" i="31"/>
  <c r="G449" i="31"/>
  <c r="F449" i="31"/>
  <c r="W448" i="31"/>
  <c r="K448" i="31"/>
  <c r="J448" i="31"/>
  <c r="I448" i="31"/>
  <c r="H448" i="31"/>
  <c r="G448" i="31"/>
  <c r="F448" i="31"/>
  <c r="W447" i="31"/>
  <c r="K447" i="31"/>
  <c r="J447" i="31"/>
  <c r="I447" i="31"/>
  <c r="H447" i="31"/>
  <c r="G447" i="31"/>
  <c r="F447" i="31"/>
  <c r="W446" i="31"/>
  <c r="K446" i="31"/>
  <c r="J446" i="31"/>
  <c r="I446" i="31"/>
  <c r="H446" i="31"/>
  <c r="G446" i="31"/>
  <c r="F446" i="31"/>
  <c r="W445" i="31"/>
  <c r="K445" i="31"/>
  <c r="J445" i="31"/>
  <c r="I445" i="31"/>
  <c r="H445" i="31"/>
  <c r="G445" i="31"/>
  <c r="F445" i="31"/>
  <c r="W444" i="31"/>
  <c r="K444" i="31"/>
  <c r="J444" i="31"/>
  <c r="I444" i="31"/>
  <c r="H444" i="31"/>
  <c r="G444" i="31"/>
  <c r="F444" i="31"/>
  <c r="W443" i="31"/>
  <c r="K443" i="31"/>
  <c r="J443" i="31"/>
  <c r="I443" i="31"/>
  <c r="H443" i="31"/>
  <c r="G443" i="31"/>
  <c r="F443" i="31"/>
  <c r="W442" i="31"/>
  <c r="K442" i="31"/>
  <c r="J442" i="31"/>
  <c r="I442" i="31"/>
  <c r="H442" i="31"/>
  <c r="G442" i="31"/>
  <c r="F442" i="31"/>
  <c r="W441" i="31"/>
  <c r="K441" i="31"/>
  <c r="J441" i="31"/>
  <c r="I441" i="31"/>
  <c r="H441" i="31"/>
  <c r="G441" i="31"/>
  <c r="F441" i="31"/>
  <c r="W440" i="31"/>
  <c r="K440" i="31"/>
  <c r="J440" i="31"/>
  <c r="I440" i="31"/>
  <c r="H440" i="31"/>
  <c r="G440" i="31"/>
  <c r="F440" i="31"/>
  <c r="W439" i="31"/>
  <c r="K439" i="31"/>
  <c r="J439" i="31"/>
  <c r="I439" i="31"/>
  <c r="H439" i="31"/>
  <c r="G439" i="31"/>
  <c r="F439" i="31"/>
  <c r="W438" i="31"/>
  <c r="K438" i="31"/>
  <c r="J438" i="31"/>
  <c r="I438" i="31"/>
  <c r="H438" i="31"/>
  <c r="G438" i="31"/>
  <c r="F438" i="31"/>
  <c r="W437" i="31"/>
  <c r="K437" i="31"/>
  <c r="J437" i="31"/>
  <c r="I437" i="31"/>
  <c r="H437" i="31"/>
  <c r="G437" i="31"/>
  <c r="F437" i="31"/>
  <c r="W436" i="31"/>
  <c r="K436" i="31"/>
  <c r="J436" i="31"/>
  <c r="I436" i="31"/>
  <c r="H436" i="31"/>
  <c r="G436" i="31"/>
  <c r="F436" i="31"/>
  <c r="W435" i="31"/>
  <c r="K435" i="31"/>
  <c r="J435" i="31"/>
  <c r="I435" i="31"/>
  <c r="H435" i="31"/>
  <c r="G435" i="31"/>
  <c r="F435" i="31"/>
  <c r="W434" i="31"/>
  <c r="K434" i="31"/>
  <c r="J434" i="31"/>
  <c r="I434" i="31"/>
  <c r="H434" i="31"/>
  <c r="G434" i="31"/>
  <c r="F434" i="31"/>
  <c r="W433" i="31"/>
  <c r="K433" i="31"/>
  <c r="J433" i="31"/>
  <c r="I433" i="31"/>
  <c r="H433" i="31"/>
  <c r="G433" i="31"/>
  <c r="F433" i="31"/>
  <c r="W432" i="31"/>
  <c r="K432" i="31"/>
  <c r="J432" i="31"/>
  <c r="I432" i="31"/>
  <c r="H432" i="31"/>
  <c r="G432" i="31"/>
  <c r="F432" i="31"/>
  <c r="W431" i="31"/>
  <c r="K431" i="31"/>
  <c r="J431" i="31"/>
  <c r="I431" i="31"/>
  <c r="H431" i="31"/>
  <c r="G431" i="31"/>
  <c r="F431" i="31"/>
  <c r="W430" i="31"/>
  <c r="K430" i="31"/>
  <c r="J430" i="31"/>
  <c r="I430" i="31"/>
  <c r="H430" i="31"/>
  <c r="G430" i="31"/>
  <c r="F430" i="31"/>
  <c r="W429" i="31"/>
  <c r="K429" i="31"/>
  <c r="J429" i="31"/>
  <c r="I429" i="31"/>
  <c r="H429" i="31"/>
  <c r="G429" i="31"/>
  <c r="F429" i="31"/>
  <c r="W428" i="31"/>
  <c r="K428" i="31"/>
  <c r="J428" i="31"/>
  <c r="I428" i="31"/>
  <c r="H428" i="31"/>
  <c r="G428" i="31"/>
  <c r="F428" i="31"/>
  <c r="W427" i="31"/>
  <c r="K427" i="31"/>
  <c r="J427" i="31"/>
  <c r="I427" i="31"/>
  <c r="H427" i="31"/>
  <c r="G427" i="31"/>
  <c r="F427" i="31"/>
  <c r="W426" i="31"/>
  <c r="K426" i="31"/>
  <c r="J426" i="31"/>
  <c r="I426" i="31"/>
  <c r="H426" i="31"/>
  <c r="G426" i="31"/>
  <c r="F426" i="31"/>
  <c r="W425" i="31"/>
  <c r="K425" i="31"/>
  <c r="J425" i="31"/>
  <c r="I425" i="31"/>
  <c r="H425" i="31"/>
  <c r="G425" i="31"/>
  <c r="F425" i="31"/>
  <c r="W424" i="31"/>
  <c r="K424" i="31"/>
  <c r="J424" i="31"/>
  <c r="I424" i="31"/>
  <c r="H424" i="31"/>
  <c r="G424" i="31"/>
  <c r="F424" i="31"/>
  <c r="W423" i="31"/>
  <c r="K423" i="31"/>
  <c r="J423" i="31"/>
  <c r="I423" i="31"/>
  <c r="H423" i="31"/>
  <c r="G423" i="31"/>
  <c r="F423" i="31"/>
  <c r="W422" i="31"/>
  <c r="K422" i="31"/>
  <c r="J422" i="31"/>
  <c r="I422" i="31"/>
  <c r="H422" i="31"/>
  <c r="G422" i="31"/>
  <c r="F422" i="31"/>
  <c r="W421" i="31"/>
  <c r="K421" i="31"/>
  <c r="J421" i="31"/>
  <c r="I421" i="31"/>
  <c r="H421" i="31"/>
  <c r="G421" i="31"/>
  <c r="F421" i="31"/>
  <c r="W420" i="31"/>
  <c r="K420" i="31"/>
  <c r="J420" i="31"/>
  <c r="I420" i="31"/>
  <c r="H420" i="31"/>
  <c r="G420" i="31"/>
  <c r="F420" i="31"/>
  <c r="W419" i="31"/>
  <c r="K419" i="31"/>
  <c r="J419" i="31"/>
  <c r="I419" i="31"/>
  <c r="H419" i="31"/>
  <c r="G419" i="31"/>
  <c r="F419" i="31"/>
  <c r="W418" i="31"/>
  <c r="K418" i="31"/>
  <c r="J418" i="31"/>
  <c r="I418" i="31"/>
  <c r="H418" i="31"/>
  <c r="G418" i="31"/>
  <c r="F418" i="31"/>
  <c r="W417" i="31"/>
  <c r="K417" i="31"/>
  <c r="J417" i="31"/>
  <c r="I417" i="31"/>
  <c r="H417" i="31"/>
  <c r="G417" i="31"/>
  <c r="F417" i="31"/>
  <c r="W416" i="31"/>
  <c r="K416" i="31"/>
  <c r="J416" i="31"/>
  <c r="I416" i="31"/>
  <c r="H416" i="31"/>
  <c r="G416" i="31"/>
  <c r="F416" i="31"/>
  <c r="W415" i="31"/>
  <c r="K415" i="31"/>
  <c r="J415" i="31"/>
  <c r="I415" i="31"/>
  <c r="H415" i="31"/>
  <c r="G415" i="31"/>
  <c r="F415" i="31"/>
  <c r="W414" i="31"/>
  <c r="K414" i="31"/>
  <c r="J414" i="31"/>
  <c r="I414" i="31"/>
  <c r="H414" i="31"/>
  <c r="G414" i="31"/>
  <c r="F414" i="31"/>
  <c r="W413" i="31"/>
  <c r="K413" i="31"/>
  <c r="J413" i="31"/>
  <c r="I413" i="31"/>
  <c r="H413" i="31"/>
  <c r="G413" i="31"/>
  <c r="F413" i="31"/>
  <c r="W412" i="31"/>
  <c r="K412" i="31"/>
  <c r="J412" i="31"/>
  <c r="I412" i="31"/>
  <c r="H412" i="31"/>
  <c r="G412" i="31"/>
  <c r="F412" i="31"/>
  <c r="W411" i="31"/>
  <c r="K411" i="31"/>
  <c r="J411" i="31"/>
  <c r="I411" i="31"/>
  <c r="H411" i="31"/>
  <c r="G411" i="31"/>
  <c r="F411" i="31"/>
  <c r="W410" i="31"/>
  <c r="K410" i="31"/>
  <c r="J410" i="31"/>
  <c r="I410" i="31"/>
  <c r="H410" i="31"/>
  <c r="G410" i="31"/>
  <c r="F410" i="31"/>
  <c r="W409" i="31"/>
  <c r="K409" i="31"/>
  <c r="J409" i="31"/>
  <c r="I409" i="31"/>
  <c r="H409" i="31"/>
  <c r="G409" i="31"/>
  <c r="F409" i="31"/>
  <c r="W408" i="31"/>
  <c r="K408" i="31"/>
  <c r="J408" i="31"/>
  <c r="I408" i="31"/>
  <c r="H408" i="31"/>
  <c r="G408" i="31"/>
  <c r="F408" i="31"/>
  <c r="W407" i="31"/>
  <c r="K407" i="31"/>
  <c r="J407" i="31"/>
  <c r="I407" i="31"/>
  <c r="H407" i="31"/>
  <c r="G407" i="31"/>
  <c r="F407" i="31"/>
  <c r="W406" i="31"/>
  <c r="K406" i="31"/>
  <c r="J406" i="31"/>
  <c r="I406" i="31"/>
  <c r="H406" i="31"/>
  <c r="G406" i="31"/>
  <c r="F406" i="31"/>
  <c r="W405" i="31"/>
  <c r="K405" i="31"/>
  <c r="J405" i="31"/>
  <c r="I405" i="31"/>
  <c r="H405" i="31"/>
  <c r="G405" i="31"/>
  <c r="F405" i="31"/>
  <c r="W404" i="31"/>
  <c r="K404" i="31"/>
  <c r="J404" i="31"/>
  <c r="I404" i="31"/>
  <c r="H404" i="31"/>
  <c r="G404" i="31"/>
  <c r="F404" i="31"/>
  <c r="W403" i="31"/>
  <c r="K403" i="31"/>
  <c r="J403" i="31"/>
  <c r="I403" i="31"/>
  <c r="H403" i="31"/>
  <c r="G403" i="31"/>
  <c r="F403" i="31"/>
  <c r="W402" i="31"/>
  <c r="K402" i="31"/>
  <c r="J402" i="31"/>
  <c r="I402" i="31"/>
  <c r="H402" i="31"/>
  <c r="G402" i="31"/>
  <c r="F402" i="31"/>
  <c r="W401" i="31"/>
  <c r="K401" i="31"/>
  <c r="J401" i="31"/>
  <c r="I401" i="31"/>
  <c r="H401" i="31"/>
  <c r="G401" i="31"/>
  <c r="F401" i="31"/>
  <c r="W400" i="31"/>
  <c r="K400" i="31"/>
  <c r="J400" i="31"/>
  <c r="I400" i="31"/>
  <c r="H400" i="31"/>
  <c r="G400" i="31"/>
  <c r="F400" i="31"/>
  <c r="W399" i="31"/>
  <c r="K399" i="31"/>
  <c r="J399" i="31"/>
  <c r="I399" i="31"/>
  <c r="H399" i="31"/>
  <c r="G399" i="31"/>
  <c r="F399" i="31"/>
  <c r="W398" i="31"/>
  <c r="K398" i="31"/>
  <c r="J398" i="31"/>
  <c r="I398" i="31"/>
  <c r="H398" i="31"/>
  <c r="G398" i="31"/>
  <c r="F398" i="31"/>
  <c r="W397" i="31"/>
  <c r="K397" i="31"/>
  <c r="J397" i="31"/>
  <c r="I397" i="31"/>
  <c r="H397" i="31"/>
  <c r="G397" i="31"/>
  <c r="F397" i="31"/>
  <c r="W396" i="31"/>
  <c r="K396" i="31"/>
  <c r="J396" i="31"/>
  <c r="I396" i="31"/>
  <c r="H396" i="31"/>
  <c r="G396" i="31"/>
  <c r="F396" i="31"/>
  <c r="W395" i="31"/>
  <c r="K395" i="31"/>
  <c r="J395" i="31"/>
  <c r="I395" i="31"/>
  <c r="H395" i="31"/>
  <c r="G395" i="31"/>
  <c r="F395" i="31"/>
  <c r="W394" i="31"/>
  <c r="K394" i="31"/>
  <c r="J394" i="31"/>
  <c r="I394" i="31"/>
  <c r="H394" i="31"/>
  <c r="G394" i="31"/>
  <c r="F394" i="31"/>
  <c r="W393" i="31"/>
  <c r="K393" i="31"/>
  <c r="J393" i="31"/>
  <c r="I393" i="31"/>
  <c r="H393" i="31"/>
  <c r="G393" i="31"/>
  <c r="F393" i="31"/>
  <c r="W392" i="31"/>
  <c r="K392" i="31"/>
  <c r="J392" i="31"/>
  <c r="I392" i="31"/>
  <c r="H392" i="31"/>
  <c r="G392" i="31"/>
  <c r="F392" i="31"/>
  <c r="W391" i="31"/>
  <c r="K391" i="31"/>
  <c r="J391" i="31"/>
  <c r="I391" i="31"/>
  <c r="H391" i="31"/>
  <c r="G391" i="31"/>
  <c r="F391" i="31"/>
  <c r="W390" i="31"/>
  <c r="K390" i="31"/>
  <c r="J390" i="31"/>
  <c r="I390" i="31"/>
  <c r="H390" i="31"/>
  <c r="G390" i="31"/>
  <c r="F390" i="31"/>
  <c r="W389" i="31"/>
  <c r="K389" i="31"/>
  <c r="J389" i="31"/>
  <c r="I389" i="31"/>
  <c r="H389" i="31"/>
  <c r="G389" i="31"/>
  <c r="F389" i="31"/>
  <c r="W388" i="31"/>
  <c r="K388" i="31"/>
  <c r="J388" i="31"/>
  <c r="I388" i="31"/>
  <c r="H388" i="31"/>
  <c r="G388" i="31"/>
  <c r="F388" i="31"/>
  <c r="W387" i="31"/>
  <c r="K387" i="31"/>
  <c r="J387" i="31"/>
  <c r="I387" i="31"/>
  <c r="H387" i="31"/>
  <c r="G387" i="31"/>
  <c r="F387" i="31"/>
  <c r="W386" i="31"/>
  <c r="K386" i="31"/>
  <c r="J386" i="31"/>
  <c r="I386" i="31"/>
  <c r="H386" i="31"/>
  <c r="G386" i="31"/>
  <c r="F386" i="31"/>
  <c r="W385" i="31"/>
  <c r="K385" i="31"/>
  <c r="J385" i="31"/>
  <c r="I385" i="31"/>
  <c r="H385" i="31"/>
  <c r="G385" i="31"/>
  <c r="F385" i="31"/>
  <c r="W384" i="31"/>
  <c r="K384" i="31"/>
  <c r="J384" i="31"/>
  <c r="I384" i="31"/>
  <c r="H384" i="31"/>
  <c r="G384" i="31"/>
  <c r="F384" i="31"/>
  <c r="W383" i="31"/>
  <c r="K383" i="31"/>
  <c r="J383" i="31"/>
  <c r="I383" i="31"/>
  <c r="H383" i="31"/>
  <c r="G383" i="31"/>
  <c r="F383" i="31"/>
  <c r="W382" i="31"/>
  <c r="K382" i="31"/>
  <c r="J382" i="31"/>
  <c r="I382" i="31"/>
  <c r="H382" i="31"/>
  <c r="G382" i="31"/>
  <c r="F382" i="31"/>
  <c r="W381" i="31"/>
  <c r="K381" i="31"/>
  <c r="J381" i="31"/>
  <c r="I381" i="31"/>
  <c r="H381" i="31"/>
  <c r="G381" i="31"/>
  <c r="F381" i="31"/>
  <c r="W380" i="31"/>
  <c r="K380" i="31"/>
  <c r="J380" i="31"/>
  <c r="I380" i="31"/>
  <c r="H380" i="31"/>
  <c r="G380" i="31"/>
  <c r="F380" i="31"/>
  <c r="W379" i="31"/>
  <c r="K379" i="31"/>
  <c r="J379" i="31"/>
  <c r="I379" i="31"/>
  <c r="H379" i="31"/>
  <c r="G379" i="31"/>
  <c r="F379" i="31"/>
  <c r="W378" i="31"/>
  <c r="K378" i="31"/>
  <c r="J378" i="31"/>
  <c r="I378" i="31"/>
  <c r="H378" i="31"/>
  <c r="G378" i="31"/>
  <c r="F378" i="31"/>
  <c r="W377" i="31"/>
  <c r="K377" i="31"/>
  <c r="J377" i="31"/>
  <c r="I377" i="31"/>
  <c r="H377" i="31"/>
  <c r="G377" i="31"/>
  <c r="F377" i="31"/>
  <c r="W376" i="31"/>
  <c r="K376" i="31"/>
  <c r="J376" i="31"/>
  <c r="I376" i="31"/>
  <c r="H376" i="31"/>
  <c r="G376" i="31"/>
  <c r="F376" i="31"/>
  <c r="W375" i="31"/>
  <c r="K375" i="31"/>
  <c r="J375" i="31"/>
  <c r="I375" i="31"/>
  <c r="H375" i="31"/>
  <c r="G375" i="31"/>
  <c r="F375" i="31"/>
  <c r="W374" i="31"/>
  <c r="K374" i="31"/>
  <c r="J374" i="31"/>
  <c r="I374" i="31"/>
  <c r="H374" i="31"/>
  <c r="G374" i="31"/>
  <c r="F374" i="31"/>
  <c r="W373" i="31"/>
  <c r="K373" i="31"/>
  <c r="J373" i="31"/>
  <c r="I373" i="31"/>
  <c r="H373" i="31"/>
  <c r="G373" i="31"/>
  <c r="F373" i="31"/>
  <c r="W372" i="31"/>
  <c r="K372" i="31"/>
  <c r="J372" i="31"/>
  <c r="I372" i="31"/>
  <c r="H372" i="31"/>
  <c r="G372" i="31"/>
  <c r="F372" i="31"/>
  <c r="W371" i="31"/>
  <c r="K371" i="31"/>
  <c r="J371" i="31"/>
  <c r="I371" i="31"/>
  <c r="H371" i="31"/>
  <c r="G371" i="31"/>
  <c r="F371" i="31"/>
  <c r="W370" i="31"/>
  <c r="K370" i="31"/>
  <c r="J370" i="31"/>
  <c r="I370" i="31"/>
  <c r="H370" i="31"/>
  <c r="G370" i="31"/>
  <c r="F370" i="31"/>
  <c r="W369" i="31"/>
  <c r="K369" i="31"/>
  <c r="J369" i="31"/>
  <c r="I369" i="31"/>
  <c r="H369" i="31"/>
  <c r="G369" i="31"/>
  <c r="F369" i="31"/>
  <c r="W368" i="31"/>
  <c r="K368" i="31"/>
  <c r="J368" i="31"/>
  <c r="I368" i="31"/>
  <c r="H368" i="31"/>
  <c r="G368" i="31"/>
  <c r="F368" i="31"/>
  <c r="W367" i="31"/>
  <c r="K367" i="31"/>
  <c r="J367" i="31"/>
  <c r="I367" i="31"/>
  <c r="H367" i="31"/>
  <c r="G367" i="31"/>
  <c r="F367" i="31"/>
  <c r="W366" i="31"/>
  <c r="K366" i="31"/>
  <c r="J366" i="31"/>
  <c r="I366" i="31"/>
  <c r="H366" i="31"/>
  <c r="G366" i="31"/>
  <c r="F366" i="31"/>
  <c r="W365" i="31"/>
  <c r="K365" i="31"/>
  <c r="J365" i="31"/>
  <c r="I365" i="31"/>
  <c r="H365" i="31"/>
  <c r="G365" i="31"/>
  <c r="F365" i="31"/>
  <c r="W364" i="31"/>
  <c r="K364" i="31"/>
  <c r="J364" i="31"/>
  <c r="I364" i="31"/>
  <c r="H364" i="31"/>
  <c r="G364" i="31"/>
  <c r="F364" i="31"/>
  <c r="W363" i="31"/>
  <c r="K363" i="31"/>
  <c r="J363" i="31"/>
  <c r="I363" i="31"/>
  <c r="H363" i="31"/>
  <c r="G363" i="31"/>
  <c r="F363" i="31"/>
  <c r="W362" i="31"/>
  <c r="K362" i="31"/>
  <c r="J362" i="31"/>
  <c r="I362" i="31"/>
  <c r="H362" i="31"/>
  <c r="G362" i="31"/>
  <c r="F362" i="31"/>
  <c r="W361" i="31"/>
  <c r="K361" i="31"/>
  <c r="J361" i="31"/>
  <c r="I361" i="31"/>
  <c r="H361" i="31"/>
  <c r="G361" i="31"/>
  <c r="F361" i="31"/>
  <c r="W360" i="31"/>
  <c r="K360" i="31"/>
  <c r="J360" i="31"/>
  <c r="I360" i="31"/>
  <c r="H360" i="31"/>
  <c r="G360" i="31"/>
  <c r="F360" i="31"/>
  <c r="W359" i="31"/>
  <c r="K359" i="31"/>
  <c r="J359" i="31"/>
  <c r="I359" i="31"/>
  <c r="H359" i="31"/>
  <c r="G359" i="31"/>
  <c r="F359" i="31"/>
  <c r="W358" i="31"/>
  <c r="K358" i="31"/>
  <c r="J358" i="31"/>
  <c r="I358" i="31"/>
  <c r="H358" i="31"/>
  <c r="G358" i="31"/>
  <c r="F358" i="31"/>
  <c r="W357" i="31"/>
  <c r="K357" i="31"/>
  <c r="J357" i="31"/>
  <c r="I357" i="31"/>
  <c r="H357" i="31"/>
  <c r="G357" i="31"/>
  <c r="F357" i="31"/>
  <c r="W356" i="31"/>
  <c r="K356" i="31"/>
  <c r="J356" i="31"/>
  <c r="I356" i="31"/>
  <c r="H356" i="31"/>
  <c r="G356" i="31"/>
  <c r="F356" i="31"/>
  <c r="W355" i="31"/>
  <c r="K355" i="31"/>
  <c r="J355" i="31"/>
  <c r="I355" i="31"/>
  <c r="H355" i="31"/>
  <c r="G355" i="31"/>
  <c r="F355" i="31"/>
  <c r="W354" i="31"/>
  <c r="K354" i="31"/>
  <c r="J354" i="31"/>
  <c r="I354" i="31"/>
  <c r="H354" i="31"/>
  <c r="G354" i="31"/>
  <c r="F354" i="31"/>
  <c r="W353" i="31"/>
  <c r="K353" i="31"/>
  <c r="J353" i="31"/>
  <c r="I353" i="31"/>
  <c r="H353" i="31"/>
  <c r="G353" i="31"/>
  <c r="F353" i="31"/>
  <c r="W352" i="31"/>
  <c r="K352" i="31"/>
  <c r="J352" i="31"/>
  <c r="I352" i="31"/>
  <c r="H352" i="31"/>
  <c r="G352" i="31"/>
  <c r="F352" i="31"/>
  <c r="W351" i="31"/>
  <c r="K351" i="31"/>
  <c r="J351" i="31"/>
  <c r="I351" i="31"/>
  <c r="H351" i="31"/>
  <c r="G351" i="31"/>
  <c r="F351" i="31"/>
  <c r="W350" i="31"/>
  <c r="K350" i="31"/>
  <c r="J350" i="31"/>
  <c r="I350" i="31"/>
  <c r="H350" i="31"/>
  <c r="G350" i="31"/>
  <c r="F350" i="31"/>
  <c r="W349" i="31"/>
  <c r="K349" i="31"/>
  <c r="J349" i="31"/>
  <c r="I349" i="31"/>
  <c r="H349" i="31"/>
  <c r="G349" i="31"/>
  <c r="F349" i="31"/>
  <c r="W348" i="31"/>
  <c r="K348" i="31"/>
  <c r="J348" i="31"/>
  <c r="I348" i="31"/>
  <c r="H348" i="31"/>
  <c r="G348" i="31"/>
  <c r="F348" i="31"/>
  <c r="W347" i="31"/>
  <c r="K347" i="31"/>
  <c r="J347" i="31"/>
  <c r="I347" i="31"/>
  <c r="H347" i="31"/>
  <c r="G347" i="31"/>
  <c r="F347" i="31"/>
  <c r="W346" i="31"/>
  <c r="K346" i="31"/>
  <c r="J346" i="31"/>
  <c r="I346" i="31"/>
  <c r="H346" i="31"/>
  <c r="G346" i="31"/>
  <c r="F346" i="31"/>
  <c r="W345" i="31"/>
  <c r="K345" i="31"/>
  <c r="J345" i="31"/>
  <c r="I345" i="31"/>
  <c r="H345" i="31"/>
  <c r="G345" i="31"/>
  <c r="F345" i="31"/>
  <c r="W344" i="31"/>
  <c r="K344" i="31"/>
  <c r="J344" i="31"/>
  <c r="I344" i="31"/>
  <c r="H344" i="31"/>
  <c r="G344" i="31"/>
  <c r="F344" i="31"/>
  <c r="W343" i="31"/>
  <c r="K343" i="31"/>
  <c r="J343" i="31"/>
  <c r="I343" i="31"/>
  <c r="H343" i="31"/>
  <c r="G343" i="31"/>
  <c r="F343" i="31"/>
  <c r="W342" i="31"/>
  <c r="K342" i="31"/>
  <c r="J342" i="31"/>
  <c r="I342" i="31"/>
  <c r="H342" i="31"/>
  <c r="G342" i="31"/>
  <c r="F342" i="31"/>
  <c r="W341" i="31"/>
  <c r="K341" i="31"/>
  <c r="J341" i="31"/>
  <c r="I341" i="31"/>
  <c r="H341" i="31"/>
  <c r="G341" i="31"/>
  <c r="F341" i="31"/>
  <c r="W340" i="31"/>
  <c r="K340" i="31"/>
  <c r="J340" i="31"/>
  <c r="I340" i="31"/>
  <c r="H340" i="31"/>
  <c r="G340" i="31"/>
  <c r="F340" i="31"/>
  <c r="W339" i="31"/>
  <c r="K339" i="31"/>
  <c r="J339" i="31"/>
  <c r="I339" i="31"/>
  <c r="H339" i="31"/>
  <c r="G339" i="31"/>
  <c r="F339" i="31"/>
  <c r="W338" i="31"/>
  <c r="K338" i="31"/>
  <c r="J338" i="31"/>
  <c r="I338" i="31"/>
  <c r="H338" i="31"/>
  <c r="G338" i="31"/>
  <c r="F338" i="31"/>
  <c r="W337" i="31"/>
  <c r="K337" i="31"/>
  <c r="J337" i="31"/>
  <c r="I337" i="31"/>
  <c r="H337" i="31"/>
  <c r="G337" i="31"/>
  <c r="F337" i="31"/>
  <c r="W336" i="31"/>
  <c r="K336" i="31"/>
  <c r="J336" i="31"/>
  <c r="I336" i="31"/>
  <c r="H336" i="31"/>
  <c r="G336" i="31"/>
  <c r="F336" i="31"/>
  <c r="W335" i="31"/>
  <c r="K335" i="31"/>
  <c r="J335" i="31"/>
  <c r="I335" i="31"/>
  <c r="H335" i="31"/>
  <c r="G335" i="31"/>
  <c r="F335" i="31"/>
  <c r="W334" i="31"/>
  <c r="K334" i="31"/>
  <c r="J334" i="31"/>
  <c r="I334" i="31"/>
  <c r="H334" i="31"/>
  <c r="G334" i="31"/>
  <c r="F334" i="31"/>
  <c r="W333" i="31"/>
  <c r="K333" i="31"/>
  <c r="J333" i="31"/>
  <c r="I333" i="31"/>
  <c r="H333" i="31"/>
  <c r="G333" i="31"/>
  <c r="F333" i="31"/>
  <c r="W332" i="31"/>
  <c r="K332" i="31"/>
  <c r="J332" i="31"/>
  <c r="I332" i="31"/>
  <c r="H332" i="31"/>
  <c r="G332" i="31"/>
  <c r="F332" i="31"/>
  <c r="W331" i="31"/>
  <c r="K331" i="31"/>
  <c r="J331" i="31"/>
  <c r="I331" i="31"/>
  <c r="H331" i="31"/>
  <c r="G331" i="31"/>
  <c r="F331" i="31"/>
  <c r="W330" i="31"/>
  <c r="K330" i="31"/>
  <c r="J330" i="31"/>
  <c r="I330" i="31"/>
  <c r="H330" i="31"/>
  <c r="G330" i="31"/>
  <c r="F330" i="31"/>
  <c r="W329" i="31"/>
  <c r="K329" i="31"/>
  <c r="J329" i="31"/>
  <c r="I329" i="31"/>
  <c r="H329" i="31"/>
  <c r="G329" i="31"/>
  <c r="F329" i="31"/>
  <c r="W328" i="31"/>
  <c r="K328" i="31"/>
  <c r="J328" i="31"/>
  <c r="I328" i="31"/>
  <c r="H328" i="31"/>
  <c r="G328" i="31"/>
  <c r="F328" i="31"/>
  <c r="W327" i="31"/>
  <c r="K327" i="31"/>
  <c r="J327" i="31"/>
  <c r="I327" i="31"/>
  <c r="H327" i="31"/>
  <c r="G327" i="31"/>
  <c r="F327" i="31"/>
  <c r="W326" i="31"/>
  <c r="K326" i="31"/>
  <c r="J326" i="31"/>
  <c r="I326" i="31"/>
  <c r="H326" i="31"/>
  <c r="G326" i="31"/>
  <c r="F326" i="31"/>
  <c r="W325" i="31"/>
  <c r="K325" i="31"/>
  <c r="J325" i="31"/>
  <c r="I325" i="31"/>
  <c r="H325" i="31"/>
  <c r="G325" i="31"/>
  <c r="F325" i="31"/>
  <c r="W324" i="31"/>
  <c r="K324" i="31"/>
  <c r="J324" i="31"/>
  <c r="I324" i="31"/>
  <c r="H324" i="31"/>
  <c r="G324" i="31"/>
  <c r="F324" i="31"/>
  <c r="W323" i="31"/>
  <c r="K323" i="31"/>
  <c r="J323" i="31"/>
  <c r="I323" i="31"/>
  <c r="H323" i="31"/>
  <c r="G323" i="31"/>
  <c r="F323" i="31"/>
  <c r="W322" i="31"/>
  <c r="K322" i="31"/>
  <c r="J322" i="31"/>
  <c r="I322" i="31"/>
  <c r="H322" i="31"/>
  <c r="G322" i="31"/>
  <c r="F322" i="31"/>
  <c r="W321" i="31"/>
  <c r="K321" i="31"/>
  <c r="J321" i="31"/>
  <c r="I321" i="31"/>
  <c r="H321" i="31"/>
  <c r="G321" i="31"/>
  <c r="F321" i="31"/>
  <c r="W320" i="31"/>
  <c r="K320" i="31"/>
  <c r="J320" i="31"/>
  <c r="I320" i="31"/>
  <c r="H320" i="31"/>
  <c r="G320" i="31"/>
  <c r="F320" i="31"/>
  <c r="W319" i="31"/>
  <c r="K319" i="31"/>
  <c r="J319" i="31"/>
  <c r="I319" i="31"/>
  <c r="H319" i="31"/>
  <c r="G319" i="31"/>
  <c r="F319" i="31"/>
  <c r="W318" i="31"/>
  <c r="K318" i="31"/>
  <c r="J318" i="31"/>
  <c r="I318" i="31"/>
  <c r="H318" i="31"/>
  <c r="G318" i="31"/>
  <c r="F318" i="31"/>
  <c r="W317" i="31"/>
  <c r="K317" i="31"/>
  <c r="J317" i="31"/>
  <c r="I317" i="31"/>
  <c r="H317" i="31"/>
  <c r="G317" i="31"/>
  <c r="F317" i="31"/>
  <c r="W316" i="31"/>
  <c r="K316" i="31"/>
  <c r="J316" i="31"/>
  <c r="I316" i="31"/>
  <c r="H316" i="31"/>
  <c r="G316" i="31"/>
  <c r="F316" i="31"/>
  <c r="W315" i="31"/>
  <c r="K315" i="31"/>
  <c r="J315" i="31"/>
  <c r="I315" i="31"/>
  <c r="H315" i="31"/>
  <c r="G315" i="31"/>
  <c r="F315" i="31"/>
  <c r="W314" i="31"/>
  <c r="K314" i="31"/>
  <c r="J314" i="31"/>
  <c r="I314" i="31"/>
  <c r="H314" i="31"/>
  <c r="G314" i="31"/>
  <c r="F314" i="31"/>
  <c r="W313" i="31"/>
  <c r="K313" i="31"/>
  <c r="J313" i="31"/>
  <c r="I313" i="31"/>
  <c r="H313" i="31"/>
  <c r="G313" i="31"/>
  <c r="F313" i="31"/>
  <c r="W312" i="31"/>
  <c r="K312" i="31"/>
  <c r="J312" i="31"/>
  <c r="I312" i="31"/>
  <c r="H312" i="31"/>
  <c r="G312" i="31"/>
  <c r="F312" i="31"/>
  <c r="W311" i="31"/>
  <c r="K311" i="31"/>
  <c r="J311" i="31"/>
  <c r="I311" i="31"/>
  <c r="H311" i="31"/>
  <c r="G311" i="31"/>
  <c r="F311" i="31"/>
  <c r="W310" i="31"/>
  <c r="K310" i="31"/>
  <c r="J310" i="31"/>
  <c r="I310" i="31"/>
  <c r="H310" i="31"/>
  <c r="G310" i="31"/>
  <c r="F310" i="31"/>
  <c r="W309" i="31"/>
  <c r="K309" i="31"/>
  <c r="J309" i="31"/>
  <c r="I309" i="31"/>
  <c r="H309" i="31"/>
  <c r="G309" i="31"/>
  <c r="F309" i="31"/>
  <c r="W308" i="31"/>
  <c r="K308" i="31"/>
  <c r="J308" i="31"/>
  <c r="I308" i="31"/>
  <c r="H308" i="31"/>
  <c r="G308" i="31"/>
  <c r="F308" i="31"/>
  <c r="W307" i="31"/>
  <c r="K307" i="31"/>
  <c r="J307" i="31"/>
  <c r="I307" i="31"/>
  <c r="H307" i="31"/>
  <c r="G307" i="31"/>
  <c r="F307" i="31"/>
  <c r="W306" i="31"/>
  <c r="K306" i="31"/>
  <c r="J306" i="31"/>
  <c r="I306" i="31"/>
  <c r="H306" i="31"/>
  <c r="G306" i="31"/>
  <c r="F306" i="31"/>
  <c r="W305" i="31"/>
  <c r="K305" i="31"/>
  <c r="J305" i="31"/>
  <c r="I305" i="31"/>
  <c r="H305" i="31"/>
  <c r="G305" i="31"/>
  <c r="F305" i="31"/>
  <c r="W304" i="31"/>
  <c r="K304" i="31"/>
  <c r="J304" i="31"/>
  <c r="I304" i="31"/>
  <c r="H304" i="31"/>
  <c r="G304" i="31"/>
  <c r="F304" i="31"/>
  <c r="W303" i="31"/>
  <c r="K303" i="31"/>
  <c r="J303" i="31"/>
  <c r="I303" i="31"/>
  <c r="H303" i="31"/>
  <c r="G303" i="31"/>
  <c r="F303" i="31"/>
  <c r="W302" i="31"/>
  <c r="K302" i="31"/>
  <c r="J302" i="31"/>
  <c r="I302" i="31"/>
  <c r="H302" i="31"/>
  <c r="G302" i="31"/>
  <c r="F302" i="31"/>
  <c r="W301" i="31"/>
  <c r="K301" i="31"/>
  <c r="J301" i="31"/>
  <c r="I301" i="31"/>
  <c r="H301" i="31"/>
  <c r="G301" i="31"/>
  <c r="F301" i="31"/>
  <c r="W300" i="31"/>
  <c r="K300" i="31"/>
  <c r="J300" i="31"/>
  <c r="I300" i="31"/>
  <c r="H300" i="31"/>
  <c r="G300" i="31"/>
  <c r="F300" i="31"/>
  <c r="W299" i="31"/>
  <c r="K299" i="31"/>
  <c r="J299" i="31"/>
  <c r="I299" i="31"/>
  <c r="H299" i="31"/>
  <c r="G299" i="31"/>
  <c r="F299" i="31"/>
  <c r="W298" i="31"/>
  <c r="K298" i="31"/>
  <c r="J298" i="31"/>
  <c r="I298" i="31"/>
  <c r="H298" i="31"/>
  <c r="G298" i="31"/>
  <c r="F298" i="31"/>
  <c r="W297" i="31"/>
  <c r="K297" i="31"/>
  <c r="J297" i="31"/>
  <c r="I297" i="31"/>
  <c r="H297" i="31"/>
  <c r="G297" i="31"/>
  <c r="F297" i="31"/>
  <c r="W296" i="31"/>
  <c r="K296" i="31"/>
  <c r="J296" i="31"/>
  <c r="I296" i="31"/>
  <c r="H296" i="31"/>
  <c r="G296" i="31"/>
  <c r="F296" i="31"/>
  <c r="W295" i="31"/>
  <c r="K295" i="31"/>
  <c r="J295" i="31"/>
  <c r="I295" i="31"/>
  <c r="H295" i="31"/>
  <c r="G295" i="31"/>
  <c r="F295" i="31"/>
  <c r="W294" i="31"/>
  <c r="K294" i="31"/>
  <c r="J294" i="31"/>
  <c r="I294" i="31"/>
  <c r="H294" i="31"/>
  <c r="G294" i="31"/>
  <c r="F294" i="31"/>
  <c r="W293" i="31"/>
  <c r="K293" i="31"/>
  <c r="J293" i="31"/>
  <c r="I293" i="31"/>
  <c r="H293" i="31"/>
  <c r="G293" i="31"/>
  <c r="F293" i="31"/>
  <c r="W292" i="31"/>
  <c r="K292" i="31"/>
  <c r="J292" i="31"/>
  <c r="I292" i="31"/>
  <c r="H292" i="31"/>
  <c r="G292" i="31"/>
  <c r="F292" i="31"/>
  <c r="W291" i="31"/>
  <c r="K291" i="31"/>
  <c r="J291" i="31"/>
  <c r="I291" i="31"/>
  <c r="H291" i="31"/>
  <c r="G291" i="31"/>
  <c r="F291" i="31"/>
  <c r="W290" i="31"/>
  <c r="K290" i="31"/>
  <c r="J290" i="31"/>
  <c r="I290" i="31"/>
  <c r="H290" i="31"/>
  <c r="G290" i="31"/>
  <c r="F290" i="31"/>
  <c r="W289" i="31"/>
  <c r="K289" i="31"/>
  <c r="J289" i="31"/>
  <c r="I289" i="31"/>
  <c r="H289" i="31"/>
  <c r="G289" i="31"/>
  <c r="F289" i="31"/>
  <c r="W288" i="31"/>
  <c r="K288" i="31"/>
  <c r="J288" i="31"/>
  <c r="I288" i="31"/>
  <c r="H288" i="31"/>
  <c r="G288" i="31"/>
  <c r="F288" i="31"/>
  <c r="W287" i="31"/>
  <c r="K287" i="31"/>
  <c r="J287" i="31"/>
  <c r="I287" i="31"/>
  <c r="H287" i="31"/>
  <c r="G287" i="31"/>
  <c r="F287" i="31"/>
  <c r="W286" i="31"/>
  <c r="K286" i="31"/>
  <c r="J286" i="31"/>
  <c r="I286" i="31"/>
  <c r="H286" i="31"/>
  <c r="G286" i="31"/>
  <c r="F286" i="31"/>
  <c r="W285" i="31"/>
  <c r="K285" i="31"/>
  <c r="J285" i="31"/>
  <c r="I285" i="31"/>
  <c r="H285" i="31"/>
  <c r="G285" i="31"/>
  <c r="F285" i="31"/>
  <c r="W284" i="31"/>
  <c r="K284" i="31"/>
  <c r="J284" i="31"/>
  <c r="I284" i="31"/>
  <c r="H284" i="31"/>
  <c r="G284" i="31"/>
  <c r="F284" i="31"/>
  <c r="W283" i="31"/>
  <c r="K283" i="31"/>
  <c r="J283" i="31"/>
  <c r="I283" i="31"/>
  <c r="H283" i="31"/>
  <c r="G283" i="31"/>
  <c r="F283" i="31"/>
  <c r="W282" i="31"/>
  <c r="K282" i="31"/>
  <c r="J282" i="31"/>
  <c r="I282" i="31"/>
  <c r="H282" i="31"/>
  <c r="G282" i="31"/>
  <c r="F282" i="31"/>
  <c r="W281" i="31"/>
  <c r="K281" i="31"/>
  <c r="J281" i="31"/>
  <c r="I281" i="31"/>
  <c r="H281" i="31"/>
  <c r="G281" i="31"/>
  <c r="F281" i="31"/>
  <c r="W280" i="31"/>
  <c r="K280" i="31"/>
  <c r="J280" i="31"/>
  <c r="I280" i="31"/>
  <c r="H280" i="31"/>
  <c r="G280" i="31"/>
  <c r="F280" i="31"/>
  <c r="W279" i="31"/>
  <c r="K279" i="31"/>
  <c r="J279" i="31"/>
  <c r="I279" i="31"/>
  <c r="H279" i="31"/>
  <c r="G279" i="31"/>
  <c r="F279" i="31"/>
  <c r="W278" i="31"/>
  <c r="K278" i="31"/>
  <c r="J278" i="31"/>
  <c r="I278" i="31"/>
  <c r="H278" i="31"/>
  <c r="G278" i="31"/>
  <c r="F278" i="31"/>
  <c r="W277" i="31"/>
  <c r="K277" i="31"/>
  <c r="J277" i="31"/>
  <c r="I277" i="31"/>
  <c r="H277" i="31"/>
  <c r="G277" i="31"/>
  <c r="F277" i="31"/>
  <c r="W276" i="31"/>
  <c r="K276" i="31"/>
  <c r="J276" i="31"/>
  <c r="I276" i="31"/>
  <c r="H276" i="31"/>
  <c r="G276" i="31"/>
  <c r="F276" i="31"/>
  <c r="W275" i="31"/>
  <c r="K275" i="31"/>
  <c r="J275" i="31"/>
  <c r="I275" i="31"/>
  <c r="H275" i="31"/>
  <c r="G275" i="31"/>
  <c r="F275" i="31"/>
  <c r="W274" i="31"/>
  <c r="K274" i="31"/>
  <c r="J274" i="31"/>
  <c r="I274" i="31"/>
  <c r="H274" i="31"/>
  <c r="G274" i="31"/>
  <c r="F274" i="31"/>
  <c r="W273" i="31"/>
  <c r="K273" i="31"/>
  <c r="J273" i="31"/>
  <c r="I273" i="31"/>
  <c r="H273" i="31"/>
  <c r="G273" i="31"/>
  <c r="F273" i="31"/>
  <c r="W272" i="31"/>
  <c r="K272" i="31"/>
  <c r="J272" i="31"/>
  <c r="I272" i="31"/>
  <c r="H272" i="31"/>
  <c r="G272" i="31"/>
  <c r="F272" i="31"/>
  <c r="W271" i="31"/>
  <c r="K271" i="31"/>
  <c r="J271" i="31"/>
  <c r="I271" i="31"/>
  <c r="H271" i="31"/>
  <c r="G271" i="31"/>
  <c r="F271" i="31"/>
  <c r="W270" i="31"/>
  <c r="K270" i="31"/>
  <c r="J270" i="31"/>
  <c r="I270" i="31"/>
  <c r="H270" i="31"/>
  <c r="G270" i="31"/>
  <c r="F270" i="31"/>
  <c r="W269" i="31"/>
  <c r="K269" i="31"/>
  <c r="J269" i="31"/>
  <c r="I269" i="31"/>
  <c r="H269" i="31"/>
  <c r="G269" i="31"/>
  <c r="F269" i="31"/>
  <c r="W268" i="31"/>
  <c r="K268" i="31"/>
  <c r="J268" i="31"/>
  <c r="I268" i="31"/>
  <c r="H268" i="31"/>
  <c r="G268" i="31"/>
  <c r="F268" i="31"/>
  <c r="W267" i="31"/>
  <c r="K267" i="31"/>
  <c r="J267" i="31"/>
  <c r="I267" i="31"/>
  <c r="H267" i="31"/>
  <c r="G267" i="31"/>
  <c r="F267" i="31"/>
  <c r="W266" i="31"/>
  <c r="K266" i="31"/>
  <c r="J266" i="31"/>
  <c r="I266" i="31"/>
  <c r="H266" i="31"/>
  <c r="G266" i="31"/>
  <c r="F266" i="31"/>
  <c r="W265" i="31"/>
  <c r="K265" i="31"/>
  <c r="J265" i="31"/>
  <c r="I265" i="31"/>
  <c r="H265" i="31"/>
  <c r="G265" i="31"/>
  <c r="F265" i="31"/>
  <c r="W264" i="31"/>
  <c r="K264" i="31"/>
  <c r="J264" i="31"/>
  <c r="I264" i="31"/>
  <c r="H264" i="31"/>
  <c r="G264" i="31"/>
  <c r="F264" i="31"/>
  <c r="W263" i="31"/>
  <c r="K263" i="31"/>
  <c r="J263" i="31"/>
  <c r="I263" i="31"/>
  <c r="H263" i="31"/>
  <c r="G263" i="31"/>
  <c r="F263" i="31"/>
  <c r="W262" i="31"/>
  <c r="K262" i="31"/>
  <c r="J262" i="31"/>
  <c r="I262" i="31"/>
  <c r="H262" i="31"/>
  <c r="G262" i="31"/>
  <c r="F262" i="31"/>
  <c r="W261" i="31"/>
  <c r="K261" i="31"/>
  <c r="J261" i="31"/>
  <c r="I261" i="31"/>
  <c r="H261" i="31"/>
  <c r="G261" i="31"/>
  <c r="F261" i="31"/>
  <c r="W260" i="31"/>
  <c r="K260" i="31"/>
  <c r="J260" i="31"/>
  <c r="I260" i="31"/>
  <c r="H260" i="31"/>
  <c r="G260" i="31"/>
  <c r="F260" i="31"/>
  <c r="W259" i="31"/>
  <c r="K259" i="31"/>
  <c r="J259" i="31"/>
  <c r="I259" i="31"/>
  <c r="H259" i="31"/>
  <c r="G259" i="31"/>
  <c r="F259" i="31"/>
  <c r="W258" i="31"/>
  <c r="K258" i="31"/>
  <c r="J258" i="31"/>
  <c r="I258" i="31"/>
  <c r="H258" i="31"/>
  <c r="G258" i="31"/>
  <c r="F258" i="31"/>
  <c r="W257" i="31"/>
  <c r="K257" i="31"/>
  <c r="J257" i="31"/>
  <c r="I257" i="31"/>
  <c r="H257" i="31"/>
  <c r="G257" i="31"/>
  <c r="F257" i="31"/>
  <c r="W256" i="31"/>
  <c r="K256" i="31"/>
  <c r="J256" i="31"/>
  <c r="I256" i="31"/>
  <c r="H256" i="31"/>
  <c r="G256" i="31"/>
  <c r="F256" i="31"/>
  <c r="W255" i="31"/>
  <c r="K255" i="31"/>
  <c r="J255" i="31"/>
  <c r="I255" i="31"/>
  <c r="H255" i="31"/>
  <c r="G255" i="31"/>
  <c r="F255" i="31"/>
  <c r="W254" i="31"/>
  <c r="K254" i="31"/>
  <c r="J254" i="31"/>
  <c r="I254" i="31"/>
  <c r="H254" i="31"/>
  <c r="G254" i="31"/>
  <c r="F254" i="31"/>
  <c r="W253" i="31"/>
  <c r="K253" i="31"/>
  <c r="J253" i="31"/>
  <c r="I253" i="31"/>
  <c r="H253" i="31"/>
  <c r="G253" i="31"/>
  <c r="F253" i="31"/>
  <c r="W252" i="31"/>
  <c r="K252" i="31"/>
  <c r="J252" i="31"/>
  <c r="I252" i="31"/>
  <c r="H252" i="31"/>
  <c r="G252" i="31"/>
  <c r="F252" i="31"/>
  <c r="W251" i="31"/>
  <c r="K251" i="31"/>
  <c r="J251" i="31"/>
  <c r="I251" i="31"/>
  <c r="H251" i="31"/>
  <c r="G251" i="31"/>
  <c r="F251" i="31"/>
  <c r="W250" i="31"/>
  <c r="K250" i="31"/>
  <c r="J250" i="31"/>
  <c r="I250" i="31"/>
  <c r="H250" i="31"/>
  <c r="G250" i="31"/>
  <c r="F250" i="31"/>
  <c r="W249" i="31"/>
  <c r="K249" i="31"/>
  <c r="J249" i="31"/>
  <c r="I249" i="31"/>
  <c r="H249" i="31"/>
  <c r="G249" i="31"/>
  <c r="F249" i="31"/>
  <c r="W248" i="31"/>
  <c r="K248" i="31"/>
  <c r="J248" i="31"/>
  <c r="I248" i="31"/>
  <c r="H248" i="31"/>
  <c r="G248" i="31"/>
  <c r="F248" i="31"/>
  <c r="W247" i="31"/>
  <c r="K247" i="31"/>
  <c r="J247" i="31"/>
  <c r="I247" i="31"/>
  <c r="H247" i="31"/>
  <c r="G247" i="31"/>
  <c r="F247" i="31"/>
  <c r="W246" i="31"/>
  <c r="K246" i="31"/>
  <c r="J246" i="31"/>
  <c r="I246" i="31"/>
  <c r="H246" i="31"/>
  <c r="G246" i="31"/>
  <c r="F246" i="31"/>
  <c r="W245" i="31"/>
  <c r="K245" i="31"/>
  <c r="J245" i="31"/>
  <c r="I245" i="31"/>
  <c r="H245" i="31"/>
  <c r="G245" i="31"/>
  <c r="F245" i="31"/>
  <c r="W244" i="31"/>
  <c r="K244" i="31"/>
  <c r="J244" i="31"/>
  <c r="I244" i="31"/>
  <c r="H244" i="31"/>
  <c r="G244" i="31"/>
  <c r="F244" i="31"/>
  <c r="W243" i="31"/>
  <c r="K243" i="31"/>
  <c r="J243" i="31"/>
  <c r="I243" i="31"/>
  <c r="H243" i="31"/>
  <c r="G243" i="31"/>
  <c r="F243" i="31"/>
  <c r="W242" i="31"/>
  <c r="K242" i="31"/>
  <c r="J242" i="31"/>
  <c r="I242" i="31"/>
  <c r="H242" i="31"/>
  <c r="G242" i="31"/>
  <c r="F242" i="31"/>
  <c r="W241" i="31"/>
  <c r="K241" i="31"/>
  <c r="J241" i="31"/>
  <c r="I241" i="31"/>
  <c r="H241" i="31"/>
  <c r="G241" i="31"/>
  <c r="F241" i="31"/>
  <c r="W240" i="31"/>
  <c r="K240" i="31"/>
  <c r="J240" i="31"/>
  <c r="I240" i="31"/>
  <c r="H240" i="31"/>
  <c r="G240" i="31"/>
  <c r="F240" i="31"/>
  <c r="W239" i="31"/>
  <c r="K239" i="31"/>
  <c r="J239" i="31"/>
  <c r="I239" i="31"/>
  <c r="H239" i="31"/>
  <c r="G239" i="31"/>
  <c r="F239" i="31"/>
  <c r="W238" i="31"/>
  <c r="K238" i="31"/>
  <c r="J238" i="31"/>
  <c r="I238" i="31"/>
  <c r="H238" i="31"/>
  <c r="G238" i="31"/>
  <c r="F238" i="31"/>
  <c r="W237" i="31"/>
  <c r="K237" i="31"/>
  <c r="J237" i="31"/>
  <c r="I237" i="31"/>
  <c r="H237" i="31"/>
  <c r="G237" i="31"/>
  <c r="F237" i="31"/>
  <c r="W236" i="31"/>
  <c r="K236" i="31"/>
  <c r="J236" i="31"/>
  <c r="I236" i="31"/>
  <c r="H236" i="31"/>
  <c r="G236" i="31"/>
  <c r="F236" i="31"/>
  <c r="W235" i="31"/>
  <c r="K235" i="31"/>
  <c r="J235" i="31"/>
  <c r="I235" i="31"/>
  <c r="H235" i="31"/>
  <c r="G235" i="31"/>
  <c r="F235" i="31"/>
  <c r="W234" i="31"/>
  <c r="K234" i="31"/>
  <c r="J234" i="31"/>
  <c r="I234" i="31"/>
  <c r="H234" i="31"/>
  <c r="G234" i="31"/>
  <c r="F234" i="31"/>
  <c r="W233" i="31"/>
  <c r="K233" i="31"/>
  <c r="J233" i="31"/>
  <c r="I233" i="31"/>
  <c r="H233" i="31"/>
  <c r="G233" i="31"/>
  <c r="F233" i="31"/>
  <c r="W232" i="31"/>
  <c r="K232" i="31"/>
  <c r="J232" i="31"/>
  <c r="I232" i="31"/>
  <c r="H232" i="31"/>
  <c r="G232" i="31"/>
  <c r="F232" i="31"/>
  <c r="W231" i="31"/>
  <c r="K231" i="31"/>
  <c r="J231" i="31"/>
  <c r="I231" i="31"/>
  <c r="H231" i="31"/>
  <c r="G231" i="31"/>
  <c r="F231" i="31"/>
  <c r="W230" i="31"/>
  <c r="K230" i="31"/>
  <c r="J230" i="31"/>
  <c r="I230" i="31"/>
  <c r="H230" i="31"/>
  <c r="G230" i="31"/>
  <c r="F230" i="31"/>
  <c r="W229" i="31"/>
  <c r="K229" i="31"/>
  <c r="J229" i="31"/>
  <c r="I229" i="31"/>
  <c r="H229" i="31"/>
  <c r="G229" i="31"/>
  <c r="F229" i="31"/>
  <c r="W228" i="31"/>
  <c r="K228" i="31"/>
  <c r="J228" i="31"/>
  <c r="I228" i="31"/>
  <c r="H228" i="31"/>
  <c r="G228" i="31"/>
  <c r="F228" i="31"/>
  <c r="W227" i="31"/>
  <c r="K227" i="31"/>
  <c r="J227" i="31"/>
  <c r="I227" i="31"/>
  <c r="H227" i="31"/>
  <c r="G227" i="31"/>
  <c r="F227" i="31"/>
  <c r="W226" i="31"/>
  <c r="K226" i="31"/>
  <c r="J226" i="31"/>
  <c r="I226" i="31"/>
  <c r="H226" i="31"/>
  <c r="G226" i="31"/>
  <c r="F226" i="31"/>
  <c r="W225" i="31"/>
  <c r="K225" i="31"/>
  <c r="J225" i="31"/>
  <c r="I225" i="31"/>
  <c r="H225" i="31"/>
  <c r="G225" i="31"/>
  <c r="F225" i="31"/>
  <c r="W224" i="31"/>
  <c r="K224" i="31"/>
  <c r="J224" i="31"/>
  <c r="I224" i="31"/>
  <c r="H224" i="31"/>
  <c r="G224" i="31"/>
  <c r="F224" i="31"/>
  <c r="W223" i="31"/>
  <c r="K223" i="31"/>
  <c r="J223" i="31"/>
  <c r="I223" i="31"/>
  <c r="H223" i="31"/>
  <c r="G223" i="31"/>
  <c r="F223" i="31"/>
  <c r="W222" i="31"/>
  <c r="K222" i="31"/>
  <c r="J222" i="31"/>
  <c r="I222" i="31"/>
  <c r="H222" i="31"/>
  <c r="G222" i="31"/>
  <c r="F222" i="31"/>
  <c r="W221" i="31"/>
  <c r="K221" i="31"/>
  <c r="J221" i="31"/>
  <c r="I221" i="31"/>
  <c r="H221" i="31"/>
  <c r="G221" i="31"/>
  <c r="F221" i="31"/>
  <c r="W220" i="31"/>
  <c r="K220" i="31"/>
  <c r="J220" i="31"/>
  <c r="I220" i="31"/>
  <c r="H220" i="31"/>
  <c r="G220" i="31"/>
  <c r="F220" i="31"/>
  <c r="W219" i="31"/>
  <c r="K219" i="31"/>
  <c r="J219" i="31"/>
  <c r="I219" i="31"/>
  <c r="H219" i="31"/>
  <c r="G219" i="31"/>
  <c r="F219" i="31"/>
  <c r="W218" i="31"/>
  <c r="K218" i="31"/>
  <c r="J218" i="31"/>
  <c r="I218" i="31"/>
  <c r="H218" i="31"/>
  <c r="G218" i="31"/>
  <c r="F218" i="31"/>
  <c r="W217" i="31"/>
  <c r="K217" i="31"/>
  <c r="J217" i="31"/>
  <c r="I217" i="31"/>
  <c r="H217" i="31"/>
  <c r="G217" i="31"/>
  <c r="F217" i="31"/>
  <c r="W216" i="31"/>
  <c r="K216" i="31"/>
  <c r="J216" i="31"/>
  <c r="I216" i="31"/>
  <c r="H216" i="31"/>
  <c r="G216" i="31"/>
  <c r="F216" i="31"/>
  <c r="W215" i="31"/>
  <c r="K215" i="31"/>
  <c r="J215" i="31"/>
  <c r="I215" i="31"/>
  <c r="H215" i="31"/>
  <c r="G215" i="31"/>
  <c r="F215" i="31"/>
  <c r="W214" i="31"/>
  <c r="K214" i="31"/>
  <c r="J214" i="31"/>
  <c r="I214" i="31"/>
  <c r="H214" i="31"/>
  <c r="G214" i="31"/>
  <c r="F214" i="31"/>
  <c r="W213" i="31"/>
  <c r="K213" i="31"/>
  <c r="J213" i="31"/>
  <c r="I213" i="31"/>
  <c r="H213" i="31"/>
  <c r="G213" i="31"/>
  <c r="F213" i="31"/>
  <c r="W212" i="31"/>
  <c r="K212" i="31"/>
  <c r="J212" i="31"/>
  <c r="I212" i="31"/>
  <c r="H212" i="31"/>
  <c r="G212" i="31"/>
  <c r="F212" i="31"/>
  <c r="W211" i="31"/>
  <c r="K211" i="31"/>
  <c r="J211" i="31"/>
  <c r="I211" i="31"/>
  <c r="H211" i="31"/>
  <c r="G211" i="31"/>
  <c r="F211" i="31"/>
  <c r="W210" i="31"/>
  <c r="K210" i="31"/>
  <c r="J210" i="31"/>
  <c r="I210" i="31"/>
  <c r="H210" i="31"/>
  <c r="G210" i="31"/>
  <c r="F210" i="31"/>
  <c r="W209" i="31"/>
  <c r="K209" i="31"/>
  <c r="J209" i="31"/>
  <c r="I209" i="31"/>
  <c r="H209" i="31"/>
  <c r="G209" i="31"/>
  <c r="F209" i="31"/>
  <c r="W208" i="31"/>
  <c r="K208" i="31"/>
  <c r="J208" i="31"/>
  <c r="I208" i="31"/>
  <c r="H208" i="31"/>
  <c r="G208" i="31"/>
  <c r="F208" i="31"/>
  <c r="W207" i="31"/>
  <c r="K207" i="31"/>
  <c r="J207" i="31"/>
  <c r="I207" i="31"/>
  <c r="H207" i="31"/>
  <c r="G207" i="31"/>
  <c r="F207" i="31"/>
  <c r="W206" i="31"/>
  <c r="K206" i="31"/>
  <c r="J206" i="31"/>
  <c r="I206" i="31"/>
  <c r="H206" i="31"/>
  <c r="G206" i="31"/>
  <c r="F206" i="31"/>
  <c r="W205" i="31"/>
  <c r="K205" i="31"/>
  <c r="J205" i="31"/>
  <c r="I205" i="31"/>
  <c r="H205" i="31"/>
  <c r="G205" i="31"/>
  <c r="F205" i="31"/>
  <c r="W204" i="31"/>
  <c r="K204" i="31"/>
  <c r="J204" i="31"/>
  <c r="I204" i="31"/>
  <c r="H204" i="31"/>
  <c r="G204" i="31"/>
  <c r="F204" i="31"/>
  <c r="W203" i="31"/>
  <c r="K203" i="31"/>
  <c r="J203" i="31"/>
  <c r="I203" i="31"/>
  <c r="H203" i="31"/>
  <c r="G203" i="31"/>
  <c r="F203" i="31"/>
  <c r="W202" i="31"/>
  <c r="K202" i="31"/>
  <c r="J202" i="31"/>
  <c r="I202" i="31"/>
  <c r="H202" i="31"/>
  <c r="G202" i="31"/>
  <c r="F202" i="31"/>
  <c r="W201" i="31"/>
  <c r="K201" i="31"/>
  <c r="J201" i="31"/>
  <c r="I201" i="31"/>
  <c r="H201" i="31"/>
  <c r="G201" i="31"/>
  <c r="F201" i="31"/>
  <c r="W200" i="31"/>
  <c r="K200" i="31"/>
  <c r="J200" i="31"/>
  <c r="I200" i="31"/>
  <c r="H200" i="31"/>
  <c r="G200" i="31"/>
  <c r="F200" i="31"/>
  <c r="W199" i="31"/>
  <c r="K199" i="31"/>
  <c r="J199" i="31"/>
  <c r="I199" i="31"/>
  <c r="H199" i="31"/>
  <c r="G199" i="31"/>
  <c r="F199" i="31"/>
  <c r="W198" i="31"/>
  <c r="K198" i="31"/>
  <c r="J198" i="31"/>
  <c r="I198" i="31"/>
  <c r="H198" i="31"/>
  <c r="G198" i="31"/>
  <c r="F198" i="31"/>
  <c r="W197" i="31"/>
  <c r="K197" i="31"/>
  <c r="J197" i="31"/>
  <c r="I197" i="31"/>
  <c r="H197" i="31"/>
  <c r="G197" i="31"/>
  <c r="F197" i="31"/>
  <c r="W196" i="31"/>
  <c r="K196" i="31"/>
  <c r="J196" i="31"/>
  <c r="I196" i="31"/>
  <c r="H196" i="31"/>
  <c r="G196" i="31"/>
  <c r="F196" i="31"/>
  <c r="W195" i="31"/>
  <c r="K195" i="31"/>
  <c r="J195" i="31"/>
  <c r="I195" i="31"/>
  <c r="H195" i="31"/>
  <c r="G195" i="31"/>
  <c r="F195" i="31"/>
  <c r="W194" i="31"/>
  <c r="K194" i="31"/>
  <c r="J194" i="31"/>
  <c r="I194" i="31"/>
  <c r="H194" i="31"/>
  <c r="G194" i="31"/>
  <c r="F194" i="31"/>
  <c r="W193" i="31"/>
  <c r="K193" i="31"/>
  <c r="J193" i="31"/>
  <c r="I193" i="31"/>
  <c r="H193" i="31"/>
  <c r="G193" i="31"/>
  <c r="F193" i="31"/>
  <c r="W192" i="31"/>
  <c r="K192" i="31"/>
  <c r="J192" i="31"/>
  <c r="I192" i="31"/>
  <c r="H192" i="31"/>
  <c r="G192" i="31"/>
  <c r="F192" i="31"/>
  <c r="W191" i="31"/>
  <c r="K191" i="31"/>
  <c r="J191" i="31"/>
  <c r="I191" i="31"/>
  <c r="H191" i="31"/>
  <c r="G191" i="31"/>
  <c r="F191" i="31"/>
  <c r="W190" i="31"/>
  <c r="K190" i="31"/>
  <c r="J190" i="31"/>
  <c r="I190" i="31"/>
  <c r="H190" i="31"/>
  <c r="G190" i="31"/>
  <c r="F190" i="31"/>
  <c r="W189" i="31"/>
  <c r="K189" i="31"/>
  <c r="J189" i="31"/>
  <c r="I189" i="31"/>
  <c r="H189" i="31"/>
  <c r="G189" i="31"/>
  <c r="F189" i="31"/>
  <c r="W188" i="31"/>
  <c r="K188" i="31"/>
  <c r="J188" i="31"/>
  <c r="I188" i="31"/>
  <c r="H188" i="31"/>
  <c r="G188" i="31"/>
  <c r="F188" i="31"/>
  <c r="W187" i="31"/>
  <c r="K187" i="31"/>
  <c r="J187" i="31"/>
  <c r="I187" i="31"/>
  <c r="H187" i="31"/>
  <c r="G187" i="31"/>
  <c r="F187" i="31"/>
  <c r="W186" i="31"/>
  <c r="K186" i="31"/>
  <c r="J186" i="31"/>
  <c r="I186" i="31"/>
  <c r="H186" i="31"/>
  <c r="G186" i="31"/>
  <c r="F186" i="31"/>
  <c r="W185" i="31"/>
  <c r="K185" i="31"/>
  <c r="J185" i="31"/>
  <c r="I185" i="31"/>
  <c r="H185" i="31"/>
  <c r="G185" i="31"/>
  <c r="F185" i="31"/>
  <c r="W184" i="31"/>
  <c r="K184" i="31"/>
  <c r="J184" i="31"/>
  <c r="I184" i="31"/>
  <c r="H184" i="31"/>
  <c r="G184" i="31"/>
  <c r="F184" i="31"/>
  <c r="W183" i="31"/>
  <c r="K183" i="31"/>
  <c r="J183" i="31"/>
  <c r="I183" i="31"/>
  <c r="H183" i="31"/>
  <c r="G183" i="31"/>
  <c r="F183" i="31"/>
  <c r="W182" i="31"/>
  <c r="K182" i="31"/>
  <c r="J182" i="31"/>
  <c r="I182" i="31"/>
  <c r="H182" i="31"/>
  <c r="G182" i="31"/>
  <c r="F182" i="31"/>
  <c r="W181" i="31"/>
  <c r="K181" i="31"/>
  <c r="J181" i="31"/>
  <c r="I181" i="31"/>
  <c r="H181" i="31"/>
  <c r="G181" i="31"/>
  <c r="F181" i="31"/>
  <c r="W180" i="31"/>
  <c r="K180" i="31"/>
  <c r="J180" i="31"/>
  <c r="I180" i="31"/>
  <c r="H180" i="31"/>
  <c r="G180" i="31"/>
  <c r="F180" i="31"/>
  <c r="W179" i="31"/>
  <c r="K179" i="31"/>
  <c r="J179" i="31"/>
  <c r="I179" i="31"/>
  <c r="H179" i="31"/>
  <c r="G179" i="31"/>
  <c r="F179" i="31"/>
  <c r="W178" i="31"/>
  <c r="K178" i="31"/>
  <c r="J178" i="31"/>
  <c r="I178" i="31"/>
  <c r="H178" i="31"/>
  <c r="G178" i="31"/>
  <c r="F178" i="31"/>
  <c r="W177" i="31"/>
  <c r="K177" i="31"/>
  <c r="J177" i="31"/>
  <c r="I177" i="31"/>
  <c r="H177" i="31"/>
  <c r="G177" i="31"/>
  <c r="F177" i="31"/>
  <c r="W176" i="31"/>
  <c r="K176" i="31"/>
  <c r="J176" i="31"/>
  <c r="I176" i="31"/>
  <c r="H176" i="31"/>
  <c r="G176" i="31"/>
  <c r="F176" i="31"/>
  <c r="W175" i="31"/>
  <c r="K175" i="31"/>
  <c r="J175" i="31"/>
  <c r="I175" i="31"/>
  <c r="H175" i="31"/>
  <c r="G175" i="31"/>
  <c r="F175" i="31"/>
  <c r="W174" i="31"/>
  <c r="K174" i="31"/>
  <c r="J174" i="31"/>
  <c r="I174" i="31"/>
  <c r="H174" i="31"/>
  <c r="G174" i="31"/>
  <c r="F174" i="31"/>
  <c r="W173" i="31"/>
  <c r="K173" i="31"/>
  <c r="J173" i="31"/>
  <c r="I173" i="31"/>
  <c r="H173" i="31"/>
  <c r="G173" i="31"/>
  <c r="F173" i="31"/>
  <c r="W172" i="31"/>
  <c r="K172" i="31"/>
  <c r="J172" i="31"/>
  <c r="I172" i="31"/>
  <c r="H172" i="31"/>
  <c r="G172" i="31"/>
  <c r="F172" i="31"/>
  <c r="W171" i="31"/>
  <c r="K171" i="31"/>
  <c r="J171" i="31"/>
  <c r="I171" i="31"/>
  <c r="H171" i="31"/>
  <c r="G171" i="31"/>
  <c r="F171" i="31"/>
  <c r="W170" i="31"/>
  <c r="K170" i="31"/>
  <c r="J170" i="31"/>
  <c r="I170" i="31"/>
  <c r="H170" i="31"/>
  <c r="G170" i="31"/>
  <c r="F170" i="31"/>
  <c r="W169" i="31"/>
  <c r="K169" i="31"/>
  <c r="J169" i="31"/>
  <c r="I169" i="31"/>
  <c r="H169" i="31"/>
  <c r="G169" i="31"/>
  <c r="F169" i="31"/>
  <c r="W168" i="31"/>
  <c r="K168" i="31"/>
  <c r="J168" i="31"/>
  <c r="I168" i="31"/>
  <c r="H168" i="31"/>
  <c r="G168" i="31"/>
  <c r="F168" i="31"/>
  <c r="W167" i="31"/>
  <c r="K167" i="31"/>
  <c r="J167" i="31"/>
  <c r="I167" i="31"/>
  <c r="H167" i="31"/>
  <c r="G167" i="31"/>
  <c r="F167" i="31"/>
  <c r="W166" i="31"/>
  <c r="K166" i="31"/>
  <c r="J166" i="31"/>
  <c r="I166" i="31"/>
  <c r="H166" i="31"/>
  <c r="G166" i="31"/>
  <c r="F166" i="31"/>
  <c r="W165" i="31"/>
  <c r="K165" i="31"/>
  <c r="J165" i="31"/>
  <c r="I165" i="31"/>
  <c r="H165" i="31"/>
  <c r="G165" i="31"/>
  <c r="F165" i="31"/>
  <c r="W164" i="31"/>
  <c r="K164" i="31"/>
  <c r="J164" i="31"/>
  <c r="I164" i="31"/>
  <c r="H164" i="31"/>
  <c r="G164" i="31"/>
  <c r="F164" i="31"/>
  <c r="W163" i="31"/>
  <c r="K163" i="31"/>
  <c r="J163" i="31"/>
  <c r="I163" i="31"/>
  <c r="H163" i="31"/>
  <c r="G163" i="31"/>
  <c r="F163" i="31"/>
  <c r="W162" i="31"/>
  <c r="K162" i="31"/>
  <c r="J162" i="31"/>
  <c r="I162" i="31"/>
  <c r="H162" i="31"/>
  <c r="G162" i="31"/>
  <c r="F162" i="31"/>
  <c r="W161" i="31"/>
  <c r="K161" i="31"/>
  <c r="J161" i="31"/>
  <c r="I161" i="31"/>
  <c r="H161" i="31"/>
  <c r="G161" i="31"/>
  <c r="F161" i="31"/>
  <c r="W160" i="31"/>
  <c r="K160" i="31"/>
  <c r="J160" i="31"/>
  <c r="I160" i="31"/>
  <c r="H160" i="31"/>
  <c r="G160" i="31"/>
  <c r="F160" i="31"/>
  <c r="W159" i="31"/>
  <c r="K159" i="31"/>
  <c r="J159" i="31"/>
  <c r="I159" i="31"/>
  <c r="H159" i="31"/>
  <c r="G159" i="31"/>
  <c r="F159" i="31"/>
  <c r="W158" i="31"/>
  <c r="K158" i="31"/>
  <c r="J158" i="31"/>
  <c r="I158" i="31"/>
  <c r="H158" i="31"/>
  <c r="G158" i="31"/>
  <c r="F158" i="31"/>
  <c r="W157" i="31"/>
  <c r="K157" i="31"/>
  <c r="J157" i="31"/>
  <c r="I157" i="31"/>
  <c r="H157" i="31"/>
  <c r="G157" i="31"/>
  <c r="F157" i="31"/>
  <c r="W156" i="31"/>
  <c r="K156" i="31"/>
  <c r="J156" i="31"/>
  <c r="I156" i="31"/>
  <c r="H156" i="31"/>
  <c r="G156" i="31"/>
  <c r="F156" i="31"/>
  <c r="W155" i="31"/>
  <c r="K155" i="31"/>
  <c r="J155" i="31"/>
  <c r="I155" i="31"/>
  <c r="H155" i="31"/>
  <c r="G155" i="31"/>
  <c r="F155" i="31"/>
  <c r="W154" i="31"/>
  <c r="K154" i="31"/>
  <c r="J154" i="31"/>
  <c r="I154" i="31"/>
  <c r="H154" i="31"/>
  <c r="G154" i="31"/>
  <c r="F154" i="31"/>
  <c r="W153" i="31"/>
  <c r="K153" i="31"/>
  <c r="J153" i="31"/>
  <c r="I153" i="31"/>
  <c r="H153" i="31"/>
  <c r="G153" i="31"/>
  <c r="F153" i="31"/>
  <c r="W152" i="31"/>
  <c r="K152" i="31"/>
  <c r="J152" i="31"/>
  <c r="I152" i="31"/>
  <c r="H152" i="31"/>
  <c r="G152" i="31"/>
  <c r="F152" i="31"/>
  <c r="W151" i="31"/>
  <c r="K151" i="31"/>
  <c r="J151" i="31"/>
  <c r="I151" i="31"/>
  <c r="H151" i="31"/>
  <c r="G151" i="31"/>
  <c r="F151" i="31"/>
  <c r="W150" i="31"/>
  <c r="K150" i="31"/>
  <c r="J150" i="31"/>
  <c r="I150" i="31"/>
  <c r="H150" i="31"/>
  <c r="G150" i="31"/>
  <c r="F150" i="31"/>
  <c r="W149" i="31"/>
  <c r="K149" i="31"/>
  <c r="J149" i="31"/>
  <c r="I149" i="31"/>
  <c r="H149" i="31"/>
  <c r="G149" i="31"/>
  <c r="F149" i="31"/>
  <c r="W148" i="31"/>
  <c r="K148" i="31"/>
  <c r="J148" i="31"/>
  <c r="I148" i="31"/>
  <c r="H148" i="31"/>
  <c r="G148" i="31"/>
  <c r="F148" i="31"/>
  <c r="W147" i="31"/>
  <c r="K147" i="31"/>
  <c r="J147" i="31"/>
  <c r="I147" i="31"/>
  <c r="H147" i="31"/>
  <c r="G147" i="31"/>
  <c r="F147" i="31"/>
  <c r="W146" i="31"/>
  <c r="K146" i="31"/>
  <c r="J146" i="31"/>
  <c r="I146" i="31"/>
  <c r="H146" i="31"/>
  <c r="G146" i="31"/>
  <c r="F146" i="31"/>
  <c r="W145" i="31"/>
  <c r="K145" i="31"/>
  <c r="J145" i="31"/>
  <c r="I145" i="31"/>
  <c r="H145" i="31"/>
  <c r="G145" i="31"/>
  <c r="F145" i="31"/>
  <c r="W144" i="31"/>
  <c r="K144" i="31"/>
  <c r="J144" i="31"/>
  <c r="I144" i="31"/>
  <c r="H144" i="31"/>
  <c r="G144" i="31"/>
  <c r="F144" i="31"/>
  <c r="W143" i="31"/>
  <c r="K143" i="31"/>
  <c r="J143" i="31"/>
  <c r="I143" i="31"/>
  <c r="H143" i="31"/>
  <c r="G143" i="31"/>
  <c r="F143" i="31"/>
  <c r="W142" i="31"/>
  <c r="K142" i="31"/>
  <c r="J142" i="31"/>
  <c r="I142" i="31"/>
  <c r="H142" i="31"/>
  <c r="G142" i="31"/>
  <c r="F142" i="31"/>
  <c r="W141" i="31"/>
  <c r="K141" i="31"/>
  <c r="J141" i="31"/>
  <c r="I141" i="31"/>
  <c r="H141" i="31"/>
  <c r="G141" i="31"/>
  <c r="F141" i="31"/>
  <c r="W140" i="31"/>
  <c r="K140" i="31"/>
  <c r="J140" i="31"/>
  <c r="I140" i="31"/>
  <c r="H140" i="31"/>
  <c r="G140" i="31"/>
  <c r="F140" i="31"/>
  <c r="W139" i="31"/>
  <c r="K139" i="31"/>
  <c r="J139" i="31"/>
  <c r="I139" i="31"/>
  <c r="H139" i="31"/>
  <c r="G139" i="31"/>
  <c r="F139" i="31"/>
  <c r="W138" i="31"/>
  <c r="K138" i="31"/>
  <c r="J138" i="31"/>
  <c r="I138" i="31"/>
  <c r="H138" i="31"/>
  <c r="G138" i="31"/>
  <c r="F138" i="31"/>
  <c r="W137" i="31"/>
  <c r="K137" i="31"/>
  <c r="J137" i="31"/>
  <c r="I137" i="31"/>
  <c r="H137" i="31"/>
  <c r="G137" i="31"/>
  <c r="F137" i="31"/>
  <c r="W136" i="31"/>
  <c r="K136" i="31"/>
  <c r="J136" i="31"/>
  <c r="I136" i="31"/>
  <c r="H136" i="31"/>
  <c r="G136" i="31"/>
  <c r="F136" i="31"/>
  <c r="W135" i="31"/>
  <c r="K135" i="31"/>
  <c r="J135" i="31"/>
  <c r="I135" i="31"/>
  <c r="H135" i="31"/>
  <c r="G135" i="31"/>
  <c r="F135" i="31"/>
  <c r="W134" i="31"/>
  <c r="K134" i="31"/>
  <c r="J134" i="31"/>
  <c r="I134" i="31"/>
  <c r="H134" i="31"/>
  <c r="G134" i="31"/>
  <c r="F134" i="31"/>
  <c r="W133" i="31"/>
  <c r="K133" i="31"/>
  <c r="J133" i="31"/>
  <c r="I133" i="31"/>
  <c r="H133" i="31"/>
  <c r="G133" i="31"/>
  <c r="F133" i="31"/>
  <c r="W132" i="31"/>
  <c r="K132" i="31"/>
  <c r="J132" i="31"/>
  <c r="I132" i="31"/>
  <c r="H132" i="31"/>
  <c r="G132" i="31"/>
  <c r="F132" i="31"/>
  <c r="W131" i="31"/>
  <c r="K131" i="31"/>
  <c r="J131" i="31"/>
  <c r="I131" i="31"/>
  <c r="H131" i="31"/>
  <c r="G131" i="31"/>
  <c r="F131" i="31"/>
  <c r="W130" i="31"/>
  <c r="K130" i="31"/>
  <c r="J130" i="31"/>
  <c r="I130" i="31"/>
  <c r="H130" i="31"/>
  <c r="G130" i="31"/>
  <c r="F130" i="31"/>
  <c r="W129" i="31"/>
  <c r="K129" i="31"/>
  <c r="J129" i="31"/>
  <c r="I129" i="31"/>
  <c r="H129" i="31"/>
  <c r="G129" i="31"/>
  <c r="F129" i="31"/>
  <c r="W128" i="31"/>
  <c r="K128" i="31"/>
  <c r="J128" i="31"/>
  <c r="I128" i="31"/>
  <c r="H128" i="31"/>
  <c r="G128" i="31"/>
  <c r="F128" i="31"/>
  <c r="W127" i="31"/>
  <c r="K127" i="31"/>
  <c r="J127" i="31"/>
  <c r="I127" i="31"/>
  <c r="H127" i="31"/>
  <c r="G127" i="31"/>
  <c r="F127" i="31"/>
  <c r="W126" i="31"/>
  <c r="K126" i="31"/>
  <c r="J126" i="31"/>
  <c r="I126" i="31"/>
  <c r="H126" i="31"/>
  <c r="G126" i="31"/>
  <c r="F126" i="31"/>
  <c r="W125" i="31"/>
  <c r="K125" i="31"/>
  <c r="J125" i="31"/>
  <c r="I125" i="31"/>
  <c r="H125" i="31"/>
  <c r="G125" i="31"/>
  <c r="F125" i="31"/>
  <c r="W124" i="31"/>
  <c r="K124" i="31"/>
  <c r="J124" i="31"/>
  <c r="I124" i="31"/>
  <c r="H124" i="31"/>
  <c r="G124" i="31"/>
  <c r="F124" i="31"/>
  <c r="W123" i="31"/>
  <c r="K123" i="31"/>
  <c r="J123" i="31"/>
  <c r="I123" i="31"/>
  <c r="H123" i="31"/>
  <c r="G123" i="31"/>
  <c r="F123" i="31"/>
  <c r="W122" i="31"/>
  <c r="K122" i="31"/>
  <c r="J122" i="31"/>
  <c r="I122" i="31"/>
  <c r="H122" i="31"/>
  <c r="G122" i="31"/>
  <c r="F122" i="31"/>
  <c r="W121" i="31"/>
  <c r="K121" i="31"/>
  <c r="J121" i="31"/>
  <c r="I121" i="31"/>
  <c r="H121" i="31"/>
  <c r="G121" i="31"/>
  <c r="F121" i="31"/>
  <c r="W120" i="31"/>
  <c r="K120" i="31"/>
  <c r="J120" i="31"/>
  <c r="I120" i="31"/>
  <c r="H120" i="31"/>
  <c r="G120" i="31"/>
  <c r="F120" i="31"/>
  <c r="W119" i="31"/>
  <c r="K119" i="31"/>
  <c r="J119" i="31"/>
  <c r="I119" i="31"/>
  <c r="H119" i="31"/>
  <c r="G119" i="31"/>
  <c r="F119" i="31"/>
  <c r="W118" i="31"/>
  <c r="K118" i="31"/>
  <c r="J118" i="31"/>
  <c r="I118" i="31"/>
  <c r="H118" i="31"/>
  <c r="G118" i="31"/>
  <c r="F118" i="31"/>
  <c r="W117" i="31"/>
  <c r="K117" i="31"/>
  <c r="J117" i="31"/>
  <c r="I117" i="31"/>
  <c r="H117" i="31"/>
  <c r="G117" i="31"/>
  <c r="F117" i="31"/>
  <c r="W116" i="31"/>
  <c r="K116" i="31"/>
  <c r="J116" i="31"/>
  <c r="I116" i="31"/>
  <c r="H116" i="31"/>
  <c r="G116" i="31"/>
  <c r="F116" i="31"/>
  <c r="W115" i="31"/>
  <c r="K115" i="31"/>
  <c r="J115" i="31"/>
  <c r="I115" i="31"/>
  <c r="H115" i="31"/>
  <c r="G115" i="31"/>
  <c r="F115" i="31"/>
  <c r="W114" i="31"/>
  <c r="K114" i="31"/>
  <c r="J114" i="31"/>
  <c r="I114" i="31"/>
  <c r="H114" i="31"/>
  <c r="G114" i="31"/>
  <c r="F114" i="31"/>
  <c r="W113" i="31"/>
  <c r="K113" i="31"/>
  <c r="J113" i="31"/>
  <c r="I113" i="31"/>
  <c r="H113" i="31"/>
  <c r="G113" i="31"/>
  <c r="F113" i="31"/>
  <c r="W112" i="31"/>
  <c r="K112" i="31"/>
  <c r="J112" i="31"/>
  <c r="I112" i="31"/>
  <c r="H112" i="31"/>
  <c r="G112" i="31"/>
  <c r="F112" i="31"/>
  <c r="W111" i="31"/>
  <c r="K111" i="31"/>
  <c r="J111" i="31"/>
  <c r="I111" i="31"/>
  <c r="H111" i="31"/>
  <c r="G111" i="31"/>
  <c r="F111" i="31"/>
  <c r="W110" i="31"/>
  <c r="K110" i="31"/>
  <c r="J110" i="31"/>
  <c r="I110" i="31"/>
  <c r="H110" i="31"/>
  <c r="G110" i="31"/>
  <c r="F110" i="31"/>
  <c r="W109" i="31"/>
  <c r="K109" i="31"/>
  <c r="J109" i="31"/>
  <c r="I109" i="31"/>
  <c r="H109" i="31"/>
  <c r="G109" i="31"/>
  <c r="F109" i="31"/>
  <c r="W108" i="31"/>
  <c r="K108" i="31"/>
  <c r="J108" i="31"/>
  <c r="I108" i="31"/>
  <c r="H108" i="31"/>
  <c r="G108" i="31"/>
  <c r="F108" i="31"/>
  <c r="W107" i="31"/>
  <c r="K107" i="31"/>
  <c r="J107" i="31"/>
  <c r="I107" i="31"/>
  <c r="H107" i="31"/>
  <c r="G107" i="31"/>
  <c r="F107" i="31"/>
  <c r="W106" i="31"/>
  <c r="K106" i="31"/>
  <c r="J106" i="31"/>
  <c r="I106" i="31"/>
  <c r="H106" i="31"/>
  <c r="G106" i="31"/>
  <c r="F106" i="31"/>
  <c r="W105" i="31"/>
  <c r="K105" i="31"/>
  <c r="J105" i="31"/>
  <c r="I105" i="31"/>
  <c r="H105" i="31"/>
  <c r="G105" i="31"/>
  <c r="F105" i="31"/>
  <c r="W104" i="31"/>
  <c r="K104" i="31"/>
  <c r="J104" i="31"/>
  <c r="I104" i="31"/>
  <c r="H104" i="31"/>
  <c r="G104" i="31"/>
  <c r="F104" i="31"/>
  <c r="W103" i="31"/>
  <c r="K103" i="31"/>
  <c r="J103" i="31"/>
  <c r="I103" i="31"/>
  <c r="H103" i="31"/>
  <c r="G103" i="31"/>
  <c r="F103" i="31"/>
  <c r="W102" i="31"/>
  <c r="K102" i="31"/>
  <c r="J102" i="31"/>
  <c r="I102" i="31"/>
  <c r="H102" i="31"/>
  <c r="G102" i="31"/>
  <c r="F102" i="31"/>
  <c r="W101" i="31"/>
  <c r="K101" i="31"/>
  <c r="J101" i="31"/>
  <c r="I101" i="31"/>
  <c r="H101" i="31"/>
  <c r="G101" i="31"/>
  <c r="F101" i="31"/>
  <c r="W100" i="31"/>
  <c r="K100" i="31"/>
  <c r="J100" i="31"/>
  <c r="I100" i="31"/>
  <c r="H100" i="31"/>
  <c r="G100" i="31"/>
  <c r="F100" i="31"/>
  <c r="W99" i="31"/>
  <c r="K99" i="31"/>
  <c r="J99" i="31"/>
  <c r="I99" i="31"/>
  <c r="H99" i="31"/>
  <c r="G99" i="31"/>
  <c r="F99" i="31"/>
  <c r="W98" i="31"/>
  <c r="K98" i="31"/>
  <c r="J98" i="31"/>
  <c r="I98" i="31"/>
  <c r="H98" i="31"/>
  <c r="G98" i="31"/>
  <c r="F98" i="31"/>
  <c r="W97" i="31"/>
  <c r="K97" i="31"/>
  <c r="J97" i="31"/>
  <c r="I97" i="31"/>
  <c r="H97" i="31"/>
  <c r="G97" i="31"/>
  <c r="F97" i="31"/>
  <c r="W96" i="31"/>
  <c r="K96" i="31"/>
  <c r="J96" i="31"/>
  <c r="I96" i="31"/>
  <c r="H96" i="31"/>
  <c r="G96" i="31"/>
  <c r="F96" i="31"/>
  <c r="W95" i="31"/>
  <c r="K95" i="31"/>
  <c r="J95" i="31"/>
  <c r="I95" i="31"/>
  <c r="H95" i="31"/>
  <c r="G95" i="31"/>
  <c r="F95" i="31"/>
  <c r="W94" i="31"/>
  <c r="K94" i="31"/>
  <c r="J94" i="31"/>
  <c r="I94" i="31"/>
  <c r="H94" i="31"/>
  <c r="G94" i="31"/>
  <c r="F94" i="31"/>
  <c r="W93" i="31"/>
  <c r="K93" i="31"/>
  <c r="J93" i="31"/>
  <c r="I93" i="31"/>
  <c r="H93" i="31"/>
  <c r="G93" i="31"/>
  <c r="F93" i="31"/>
  <c r="W92" i="31"/>
  <c r="K92" i="31"/>
  <c r="J92" i="31"/>
  <c r="I92" i="31"/>
  <c r="H92" i="31"/>
  <c r="G92" i="31"/>
  <c r="F92" i="31"/>
  <c r="W91" i="31"/>
  <c r="K91" i="31"/>
  <c r="J91" i="31"/>
  <c r="I91" i="31"/>
  <c r="H91" i="31"/>
  <c r="G91" i="31"/>
  <c r="F91" i="31"/>
  <c r="W90" i="31"/>
  <c r="K90" i="31"/>
  <c r="J90" i="31"/>
  <c r="I90" i="31"/>
  <c r="H90" i="31"/>
  <c r="G90" i="31"/>
  <c r="F90" i="31"/>
  <c r="W89" i="31"/>
  <c r="K89" i="31"/>
  <c r="J89" i="31"/>
  <c r="I89" i="31"/>
  <c r="H89" i="31"/>
  <c r="G89" i="31"/>
  <c r="F89" i="31"/>
  <c r="W88" i="31"/>
  <c r="K88" i="31"/>
  <c r="J88" i="31"/>
  <c r="I88" i="31"/>
  <c r="H88" i="31"/>
  <c r="G88" i="31"/>
  <c r="F88" i="31"/>
  <c r="W87" i="31"/>
  <c r="K87" i="31"/>
  <c r="J87" i="31"/>
  <c r="I87" i="31"/>
  <c r="H87" i="31"/>
  <c r="G87" i="31"/>
  <c r="F87" i="31"/>
  <c r="W86" i="31"/>
  <c r="K86" i="31"/>
  <c r="J86" i="31"/>
  <c r="I86" i="31"/>
  <c r="H86" i="31"/>
  <c r="G86" i="31"/>
  <c r="F86" i="31"/>
  <c r="W85" i="31"/>
  <c r="K85" i="31"/>
  <c r="J85" i="31"/>
  <c r="I85" i="31"/>
  <c r="H85" i="31"/>
  <c r="G85" i="31"/>
  <c r="F85" i="31"/>
  <c r="W84" i="31"/>
  <c r="K84" i="31"/>
  <c r="J84" i="31"/>
  <c r="I84" i="31"/>
  <c r="H84" i="31"/>
  <c r="G84" i="31"/>
  <c r="F84" i="31"/>
  <c r="W83" i="31"/>
  <c r="K83" i="31"/>
  <c r="J83" i="31"/>
  <c r="I83" i="31"/>
  <c r="H83" i="31"/>
  <c r="G83" i="31"/>
  <c r="F83" i="31"/>
  <c r="W82" i="31"/>
  <c r="K82" i="31"/>
  <c r="J82" i="31"/>
  <c r="I82" i="31"/>
  <c r="H82" i="31"/>
  <c r="G82" i="31"/>
  <c r="F82" i="31"/>
  <c r="W81" i="31"/>
  <c r="K81" i="31"/>
  <c r="J81" i="31"/>
  <c r="I81" i="31"/>
  <c r="H81" i="31"/>
  <c r="G81" i="31"/>
  <c r="F81" i="31"/>
  <c r="W80" i="31"/>
  <c r="K80" i="31"/>
  <c r="J80" i="31"/>
  <c r="I80" i="31"/>
  <c r="H80" i="31"/>
  <c r="G80" i="31"/>
  <c r="F80" i="31"/>
  <c r="W79" i="31"/>
  <c r="K79" i="31"/>
  <c r="J79" i="31"/>
  <c r="I79" i="31"/>
  <c r="H79" i="31"/>
  <c r="G79" i="31"/>
  <c r="F79" i="31"/>
  <c r="W78" i="31"/>
  <c r="K78" i="31"/>
  <c r="J78" i="31"/>
  <c r="I78" i="31"/>
  <c r="H78" i="31"/>
  <c r="G78" i="31"/>
  <c r="F78" i="31"/>
  <c r="W77" i="31"/>
  <c r="K77" i="31"/>
  <c r="J77" i="31"/>
  <c r="I77" i="31"/>
  <c r="H77" i="31"/>
  <c r="G77" i="31"/>
  <c r="F77" i="31"/>
  <c r="W76" i="31"/>
  <c r="K76" i="31"/>
  <c r="J76" i="31"/>
  <c r="I76" i="31"/>
  <c r="H76" i="31"/>
  <c r="G76" i="31"/>
  <c r="F76" i="31"/>
  <c r="W75" i="31"/>
  <c r="K75" i="31"/>
  <c r="J75" i="31"/>
  <c r="I75" i="31"/>
  <c r="H75" i="31"/>
  <c r="G75" i="31"/>
  <c r="F75" i="31"/>
  <c r="W74" i="31"/>
  <c r="K74" i="31"/>
  <c r="J74" i="31"/>
  <c r="I74" i="31"/>
  <c r="H74" i="31"/>
  <c r="G74" i="31"/>
  <c r="F74" i="31"/>
  <c r="W73" i="31"/>
  <c r="K73" i="31"/>
  <c r="J73" i="31"/>
  <c r="I73" i="31"/>
  <c r="H73" i="31"/>
  <c r="G73" i="31"/>
  <c r="F73" i="31"/>
  <c r="W72" i="31"/>
  <c r="K72" i="31"/>
  <c r="J72" i="31"/>
  <c r="I72" i="31"/>
  <c r="H72" i="31"/>
  <c r="G72" i="31"/>
  <c r="F72" i="31"/>
  <c r="W71" i="31"/>
  <c r="K71" i="31"/>
  <c r="J71" i="31"/>
  <c r="I71" i="31"/>
  <c r="H71" i="31"/>
  <c r="G71" i="31"/>
  <c r="F71" i="31"/>
  <c r="W70" i="31"/>
  <c r="K70" i="31"/>
  <c r="J70" i="31"/>
  <c r="I70" i="31"/>
  <c r="H70" i="31"/>
  <c r="G70" i="31"/>
  <c r="F70" i="31"/>
  <c r="W69" i="31"/>
  <c r="K69" i="31"/>
  <c r="J69" i="31"/>
  <c r="I69" i="31"/>
  <c r="H69" i="31"/>
  <c r="G69" i="31"/>
  <c r="F69" i="31"/>
  <c r="W68" i="31"/>
  <c r="K68" i="31"/>
  <c r="J68" i="31"/>
  <c r="I68" i="31"/>
  <c r="H68" i="31"/>
  <c r="G68" i="31"/>
  <c r="F68" i="31"/>
  <c r="W67" i="31"/>
  <c r="K67" i="31"/>
  <c r="J67" i="31"/>
  <c r="I67" i="31"/>
  <c r="H67" i="31"/>
  <c r="G67" i="31"/>
  <c r="F67" i="31"/>
  <c r="W66" i="31"/>
  <c r="K66" i="31"/>
  <c r="J66" i="31"/>
  <c r="I66" i="31"/>
  <c r="H66" i="31"/>
  <c r="G66" i="31"/>
  <c r="F66" i="31"/>
  <c r="W65" i="31"/>
  <c r="K65" i="31"/>
  <c r="J65" i="31"/>
  <c r="I65" i="31"/>
  <c r="H65" i="31"/>
  <c r="G65" i="31"/>
  <c r="F65" i="31"/>
  <c r="W64" i="31"/>
  <c r="K64" i="31"/>
  <c r="J64" i="31"/>
  <c r="I64" i="31"/>
  <c r="H64" i="31"/>
  <c r="G64" i="31"/>
  <c r="F64" i="31"/>
  <c r="W63" i="31"/>
  <c r="K63" i="31"/>
  <c r="J63" i="31"/>
  <c r="I63" i="31"/>
  <c r="H63" i="31"/>
  <c r="G63" i="31"/>
  <c r="F63" i="31"/>
  <c r="W62" i="31"/>
  <c r="K62" i="31"/>
  <c r="J62" i="31"/>
  <c r="I62" i="31"/>
  <c r="H62" i="31"/>
  <c r="G62" i="31"/>
  <c r="F62" i="31"/>
  <c r="W61" i="31"/>
  <c r="K61" i="31"/>
  <c r="J61" i="31"/>
  <c r="I61" i="31"/>
  <c r="H61" i="31"/>
  <c r="G61" i="31"/>
  <c r="F61" i="31"/>
  <c r="W60" i="31"/>
  <c r="K60" i="31"/>
  <c r="J60" i="31"/>
  <c r="I60" i="31"/>
  <c r="H60" i="31"/>
  <c r="G60" i="31"/>
  <c r="F60" i="31"/>
  <c r="W59" i="31"/>
  <c r="K59" i="31"/>
  <c r="J59" i="31"/>
  <c r="I59" i="31"/>
  <c r="H59" i="31"/>
  <c r="G59" i="31"/>
  <c r="F59" i="31"/>
  <c r="W58" i="31"/>
  <c r="K58" i="31"/>
  <c r="J58" i="31"/>
  <c r="I58" i="31"/>
  <c r="H58" i="31"/>
  <c r="G58" i="31"/>
  <c r="F58" i="31"/>
  <c r="W57" i="31"/>
  <c r="K57" i="31"/>
  <c r="J57" i="31"/>
  <c r="I57" i="31"/>
  <c r="H57" i="31"/>
  <c r="G57" i="31"/>
  <c r="F57" i="31"/>
  <c r="W56" i="31"/>
  <c r="K56" i="31"/>
  <c r="J56" i="31"/>
  <c r="I56" i="31"/>
  <c r="H56" i="31"/>
  <c r="G56" i="31"/>
  <c r="F56" i="31"/>
  <c r="W55" i="31"/>
  <c r="K55" i="31"/>
  <c r="J55" i="31"/>
  <c r="I55" i="31"/>
  <c r="H55" i="31"/>
  <c r="G55" i="31"/>
  <c r="F55" i="31"/>
  <c r="W54" i="31"/>
  <c r="K54" i="31"/>
  <c r="J54" i="31"/>
  <c r="I54" i="31"/>
  <c r="H54" i="31"/>
  <c r="G54" i="31"/>
  <c r="F54" i="31"/>
  <c r="W53" i="31"/>
  <c r="K53" i="31"/>
  <c r="J53" i="31"/>
  <c r="I53" i="31"/>
  <c r="H53" i="31"/>
  <c r="G53" i="31"/>
  <c r="F53" i="31"/>
  <c r="W52" i="31"/>
  <c r="K52" i="31"/>
  <c r="J52" i="31"/>
  <c r="I52" i="31"/>
  <c r="H52" i="31"/>
  <c r="G52" i="31"/>
  <c r="F52" i="31"/>
  <c r="W51" i="31"/>
  <c r="K51" i="31"/>
  <c r="J51" i="31"/>
  <c r="I51" i="31"/>
  <c r="H51" i="31"/>
  <c r="G51" i="31"/>
  <c r="F51" i="31"/>
  <c r="W50" i="31"/>
  <c r="K50" i="31"/>
  <c r="J50" i="31"/>
  <c r="I50" i="31"/>
  <c r="H50" i="31"/>
  <c r="G50" i="31"/>
  <c r="F50" i="31"/>
  <c r="W49" i="31"/>
  <c r="K49" i="31"/>
  <c r="J49" i="31"/>
  <c r="I49" i="31"/>
  <c r="H49" i="31"/>
  <c r="G49" i="31"/>
  <c r="F49" i="31"/>
  <c r="W48" i="31"/>
  <c r="K48" i="31"/>
  <c r="J48" i="31"/>
  <c r="I48" i="31"/>
  <c r="H48" i="31"/>
  <c r="G48" i="31"/>
  <c r="F48" i="31"/>
  <c r="W47" i="31"/>
  <c r="K47" i="31"/>
  <c r="J47" i="31"/>
  <c r="I47" i="31"/>
  <c r="H47" i="31"/>
  <c r="G47" i="31"/>
  <c r="F47" i="31"/>
  <c r="W46" i="31"/>
  <c r="K46" i="31"/>
  <c r="J46" i="31"/>
  <c r="I46" i="31"/>
  <c r="H46" i="31"/>
  <c r="G46" i="31"/>
  <c r="F46" i="31"/>
  <c r="W45" i="31"/>
  <c r="K45" i="31"/>
  <c r="J45" i="31"/>
  <c r="I45" i="31"/>
  <c r="H45" i="31"/>
  <c r="G45" i="31"/>
  <c r="F45" i="31"/>
  <c r="W44" i="31"/>
  <c r="K44" i="31"/>
  <c r="J44" i="31"/>
  <c r="I44" i="31"/>
  <c r="H44" i="31"/>
  <c r="G44" i="31"/>
  <c r="F44" i="31"/>
  <c r="W43" i="31"/>
  <c r="K43" i="31"/>
  <c r="J43" i="31"/>
  <c r="I43" i="31"/>
  <c r="H43" i="31"/>
  <c r="G43" i="31"/>
  <c r="F43" i="31"/>
  <c r="W42" i="31"/>
  <c r="K42" i="31"/>
  <c r="J42" i="31"/>
  <c r="I42" i="31"/>
  <c r="H42" i="31"/>
  <c r="G42" i="31"/>
  <c r="F42" i="31"/>
  <c r="W41" i="31"/>
  <c r="K41" i="31"/>
  <c r="J41" i="31"/>
  <c r="I41" i="31"/>
  <c r="H41" i="31"/>
  <c r="G41" i="31"/>
  <c r="F41" i="31"/>
  <c r="W40" i="31"/>
  <c r="K40" i="31"/>
  <c r="J40" i="31"/>
  <c r="I40" i="31"/>
  <c r="H40" i="31"/>
  <c r="G40" i="31"/>
  <c r="F40" i="31"/>
  <c r="W39" i="31"/>
  <c r="K39" i="31"/>
  <c r="J39" i="31"/>
  <c r="I39" i="31"/>
  <c r="H39" i="31"/>
  <c r="G39" i="31"/>
  <c r="F39" i="31"/>
  <c r="W38" i="31"/>
  <c r="K38" i="31"/>
  <c r="J38" i="31"/>
  <c r="I38" i="31"/>
  <c r="H38" i="31"/>
  <c r="G38" i="31"/>
  <c r="F38" i="31"/>
  <c r="W37" i="31"/>
  <c r="K37" i="31"/>
  <c r="J37" i="31"/>
  <c r="I37" i="31"/>
  <c r="H37" i="31"/>
  <c r="G37" i="31"/>
  <c r="F37" i="31"/>
  <c r="W36" i="31"/>
  <c r="K36" i="31"/>
  <c r="J36" i="31"/>
  <c r="I36" i="31"/>
  <c r="H36" i="31"/>
  <c r="G36" i="31"/>
  <c r="F36" i="31"/>
  <c r="W35" i="31"/>
  <c r="K35" i="31"/>
  <c r="J35" i="31"/>
  <c r="I35" i="31"/>
  <c r="H35" i="31"/>
  <c r="G35" i="31"/>
  <c r="F35" i="31"/>
  <c r="W34" i="31"/>
  <c r="K34" i="31"/>
  <c r="J34" i="31"/>
  <c r="I34" i="31"/>
  <c r="H34" i="31"/>
  <c r="G34" i="31"/>
  <c r="F34" i="31"/>
  <c r="W33" i="31"/>
  <c r="K33" i="31"/>
  <c r="J33" i="31"/>
  <c r="I33" i="31"/>
  <c r="H33" i="31"/>
  <c r="G33" i="31"/>
  <c r="F33" i="31"/>
  <c r="W32" i="31"/>
  <c r="K32" i="31"/>
  <c r="J32" i="31"/>
  <c r="I32" i="31"/>
  <c r="H32" i="31"/>
  <c r="G32" i="31"/>
  <c r="F32" i="31"/>
  <c r="P26" i="31"/>
  <c r="O26" i="31"/>
  <c r="N26" i="31"/>
  <c r="M26" i="31"/>
  <c r="L26" i="31"/>
  <c r="P306" i="31" a="1"/>
  <c r="P131" i="31" a="1"/>
  <c r="P309" i="31" a="1"/>
  <c r="P359" i="31" a="1"/>
  <c r="P87" i="31" a="1"/>
  <c r="P204" i="31" a="1"/>
  <c r="P401" i="31" a="1"/>
  <c r="P324" i="31" a="1"/>
  <c r="P115" i="31" a="1"/>
  <c r="P249" i="31" a="1"/>
  <c r="P449" i="31" a="1"/>
  <c r="P32" i="31" a="1"/>
  <c r="P367" i="31" a="1"/>
  <c r="P41" i="31" a="1"/>
  <c r="P45" i="31" a="1"/>
  <c r="O153" i="31" a="1"/>
  <c r="N308" i="31" a="1"/>
  <c r="N529" i="31" a="1"/>
  <c r="M387" i="31" a="1"/>
  <c r="M301" i="31" a="1"/>
  <c r="N418" i="31" a="1"/>
  <c r="L286" i="31" a="1"/>
  <c r="L260" i="31" a="1"/>
  <c r="N104" i="31" a="1"/>
  <c r="M440" i="31" a="1"/>
  <c r="L156" i="31" a="1"/>
  <c r="L236" i="31" a="1"/>
  <c r="M207" i="31" a="1"/>
  <c r="L187" i="31" a="1"/>
  <c r="M300" i="31" a="1"/>
  <c r="L491" i="31" a="1"/>
  <c r="M165" i="31" a="1"/>
  <c r="L326" i="31" a="1"/>
  <c r="O276" i="31" a="1"/>
  <c r="L116" i="31" a="1"/>
  <c r="O374" i="31" a="1"/>
  <c r="M460" i="31" a="1"/>
  <c r="L119" i="31" a="1"/>
  <c r="M290" i="31" a="1"/>
  <c r="N182" i="31" a="1"/>
  <c r="N235" i="31" a="1"/>
  <c r="N518" i="31" a="1"/>
  <c r="M495" i="31" a="1"/>
  <c r="N258" i="31" a="1"/>
  <c r="L133" i="31" a="1"/>
  <c r="M62" i="31" a="1"/>
  <c r="O525" i="31" a="1"/>
  <c r="N254" i="31" a="1"/>
  <c r="M56" i="31" a="1"/>
  <c r="L33" i="31" a="1"/>
  <c r="M97" i="31" a="1"/>
  <c r="M71" i="31" a="1"/>
  <c r="L400" i="31" a="1"/>
  <c r="O409" i="31" a="1"/>
  <c r="O236" i="31" a="1"/>
  <c r="M252" i="31" a="1"/>
  <c r="M509" i="31" a="1"/>
  <c r="L416" i="31" a="1"/>
  <c r="O468" i="31" a="1"/>
  <c r="N322" i="31" a="1"/>
  <c r="M531" i="31" a="1"/>
  <c r="L261" i="31" a="1"/>
  <c r="L123" i="31" a="1"/>
  <c r="L255" i="31" a="1"/>
  <c r="N362" i="31" a="1"/>
  <c r="M343" i="31" a="1"/>
  <c r="O278" i="31" a="1"/>
  <c r="O477" i="31" a="1"/>
  <c r="N241" i="31" a="1"/>
  <c r="O480" i="31" a="1"/>
  <c r="L477" i="31" a="1"/>
  <c r="N170" i="31" a="1"/>
  <c r="O222" i="31" a="1"/>
  <c r="M156" i="31" a="1"/>
  <c r="M277" i="31" a="1"/>
  <c r="M270" i="31" a="1"/>
  <c r="N342" i="31" a="1"/>
  <c r="M104" i="31" a="1"/>
  <c r="P35" i="31" a="1"/>
  <c r="P350" i="31" a="1"/>
  <c r="P387" i="31" a="1"/>
  <c r="P288" i="31" a="1"/>
  <c r="P175" i="31" a="1"/>
  <c r="P146" i="31" a="1"/>
  <c r="P470" i="31" a="1"/>
  <c r="P380" i="31" a="1"/>
  <c r="P158" i="31" a="1"/>
  <c r="P468" i="31" a="1"/>
  <c r="P397" i="31" a="1"/>
  <c r="P466" i="31" a="1"/>
  <c r="P159" i="31" a="1"/>
  <c r="P394" i="31" a="1"/>
  <c r="P489" i="31" a="1"/>
  <c r="P393" i="31" a="1"/>
  <c r="N446" i="31" a="1"/>
  <c r="N156" i="31" a="1"/>
  <c r="O86" i="31" a="1"/>
  <c r="L196" i="31" a="1"/>
  <c r="O299" i="31" a="1"/>
  <c r="L521" i="31" a="1"/>
  <c r="N527" i="31" a="1"/>
  <c r="N49" i="31" a="1"/>
  <c r="N333" i="31" a="1"/>
  <c r="L507" i="31" a="1"/>
  <c r="L224" i="31" a="1"/>
  <c r="O85" i="31" a="1"/>
  <c r="L395" i="31" a="1"/>
  <c r="N144" i="31" a="1"/>
  <c r="N243" i="31" a="1"/>
  <c r="O393" i="31" a="1"/>
  <c r="L177" i="31" a="1"/>
  <c r="O122" i="31" a="1"/>
  <c r="N410" i="31" a="1"/>
  <c r="M137" i="31" a="1"/>
  <c r="M315" i="31" a="1"/>
  <c r="M441" i="31" a="1"/>
  <c r="N171" i="31" a="1"/>
  <c r="L295" i="31" a="1"/>
  <c r="O329" i="31" a="1"/>
  <c r="N338" i="31" a="1"/>
  <c r="N66" i="31" a="1"/>
  <c r="M345" i="31" a="1"/>
  <c r="O92" i="31" a="1"/>
  <c r="L53" i="31" a="1"/>
  <c r="N50" i="31" a="1"/>
  <c r="L64" i="31" a="1"/>
  <c r="M86" i="31" a="1"/>
  <c r="N51" i="31" a="1"/>
  <c r="O483" i="31" a="1"/>
  <c r="M180" i="31" a="1"/>
  <c r="L519" i="31" a="1"/>
  <c r="L265" i="31" a="1"/>
  <c r="O172" i="31" a="1"/>
  <c r="M473" i="31" a="1"/>
  <c r="M443" i="31" a="1"/>
  <c r="O436" i="31" a="1"/>
  <c r="O381" i="31" a="1"/>
  <c r="O524" i="31" a="1"/>
  <c r="O238" i="31" a="1"/>
  <c r="M134" i="31" a="1"/>
  <c r="M434" i="31" a="1"/>
  <c r="N456" i="31" a="1"/>
  <c r="N366" i="31" a="1"/>
  <c r="N319" i="31" a="1"/>
  <c r="O156" i="31" a="1"/>
  <c r="N48" i="31" a="1"/>
  <c r="O328" i="31" a="1"/>
  <c r="M423" i="31" a="1"/>
  <c r="O128" i="31" a="1"/>
  <c r="L358" i="31" a="1"/>
  <c r="N414" i="31" a="1"/>
  <c r="L209" i="31" a="1"/>
  <c r="M92" i="31" a="1"/>
  <c r="N320" i="31" a="1"/>
  <c r="L436" i="31" a="1"/>
  <c r="M296" i="31" a="1"/>
  <c r="P116" i="31" a="1"/>
  <c r="P253" i="31" a="1"/>
  <c r="P505" i="31" a="1"/>
  <c r="P462" i="31" a="1"/>
  <c r="P37" i="31" a="1"/>
  <c r="P102" i="31" a="1"/>
  <c r="P483" i="31" a="1"/>
  <c r="P265" i="31" a="1"/>
  <c r="P181" i="31" a="1"/>
  <c r="P488" i="31" a="1"/>
  <c r="P184" i="31" a="1"/>
  <c r="P63" i="31" a="1"/>
  <c r="P201" i="31" a="1"/>
  <c r="P212" i="31" a="1"/>
  <c r="P211" i="31" a="1"/>
  <c r="P281" i="31" a="1"/>
  <c r="M141" i="31" a="1"/>
  <c r="M403" i="31" a="1"/>
  <c r="L389" i="31" a="1"/>
  <c r="M382" i="31" a="1"/>
  <c r="M101" i="31" a="1"/>
  <c r="O361" i="31" a="1"/>
  <c r="L330" i="31" a="1"/>
  <c r="N126" i="31" a="1"/>
  <c r="N225" i="31" a="1"/>
  <c r="M458" i="31" a="1"/>
  <c r="L197" i="31" a="1"/>
  <c r="M111" i="31" a="1"/>
  <c r="O116" i="31" a="1"/>
  <c r="L497" i="31" a="1"/>
  <c r="O242" i="31" a="1"/>
  <c r="L74" i="31" a="1"/>
  <c r="O223" i="31" a="1"/>
  <c r="L84" i="31" a="1"/>
  <c r="M461" i="31" a="1"/>
  <c r="L179" i="31" a="1"/>
  <c r="L347" i="31" a="1"/>
  <c r="L388" i="31" a="1"/>
  <c r="O126" i="31" a="1"/>
  <c r="O465" i="31" a="1"/>
  <c r="M280" i="31" a="1"/>
  <c r="O333" i="31" a="1"/>
  <c r="L323" i="31" a="1"/>
  <c r="N180" i="31" a="1"/>
  <c r="L40" i="31" a="1"/>
  <c r="N367" i="31" a="1"/>
  <c r="M187" i="31" a="1"/>
  <c r="N79" i="31" a="1"/>
  <c r="M352" i="31" a="1"/>
  <c r="O432" i="31" a="1"/>
  <c r="O83" i="31" a="1"/>
  <c r="L248" i="31" a="1"/>
  <c r="O275" i="31" a="1"/>
  <c r="M265" i="31" a="1"/>
  <c r="O219" i="31" a="1"/>
  <c r="M503" i="31" a="1"/>
  <c r="L244" i="31" a="1"/>
  <c r="M457" i="31" a="1"/>
  <c r="L296" i="31" a="1"/>
  <c r="O486" i="31" a="1"/>
  <c r="N467" i="31" a="1"/>
  <c r="M404" i="31" a="1"/>
  <c r="L526" i="31" a="1"/>
  <c r="O265" i="31" a="1"/>
  <c r="M518" i="31" a="1"/>
  <c r="O250" i="31" a="1"/>
  <c r="L354" i="31" a="1"/>
  <c r="L319" i="31" a="1"/>
  <c r="L157" i="31" a="1"/>
  <c r="L172" i="31" a="1"/>
  <c r="L299" i="31" a="1"/>
  <c r="N74" i="31" a="1"/>
  <c r="O493" i="31" a="1"/>
  <c r="L484" i="31" a="1"/>
  <c r="L107" i="31" a="1"/>
  <c r="L71" i="31" a="1"/>
  <c r="N185" i="31" a="1"/>
  <c r="O304" i="31" a="1"/>
  <c r="L313" i="31" a="1"/>
  <c r="P246" i="31" a="1"/>
  <c r="P293" i="31" a="1"/>
  <c r="P310" i="31" a="1"/>
  <c r="P40" i="31" a="1"/>
  <c r="P300" i="31" a="1"/>
  <c r="P326" i="31" a="1"/>
  <c r="P420" i="31" a="1"/>
  <c r="P108" i="31" a="1"/>
  <c r="P487" i="31" a="1"/>
  <c r="P322" i="31" a="1"/>
  <c r="P110" i="31" a="1"/>
  <c r="P74" i="31" a="1"/>
  <c r="P345" i="31" a="1"/>
  <c r="P227" i="31" a="1"/>
  <c r="P215" i="31" a="1"/>
  <c r="M276" i="31" a="1"/>
  <c r="N520" i="31" a="1"/>
  <c r="L264" i="31" a="1"/>
  <c r="N139" i="31" a="1"/>
  <c r="O102" i="31" a="1"/>
  <c r="M342" i="31" a="1"/>
  <c r="N490" i="31" a="1"/>
  <c r="L504" i="31" a="1"/>
  <c r="M90" i="31" a="1"/>
  <c r="M463" i="31" a="1"/>
  <c r="N491" i="31" a="1"/>
  <c r="O506" i="31" a="1"/>
  <c r="N158" i="31" a="1"/>
  <c r="N188" i="31" a="1"/>
  <c r="N60" i="31" a="1"/>
  <c r="M185" i="31" a="1"/>
  <c r="N281" i="31" a="1"/>
  <c r="M238" i="31" a="1"/>
  <c r="O65" i="31" a="1"/>
  <c r="M298" i="31" a="1"/>
  <c r="N447" i="31" a="1"/>
  <c r="O135" i="31" a="1"/>
  <c r="N334" i="31" a="1"/>
  <c r="L139" i="31" a="1"/>
  <c r="N297" i="31" a="1"/>
  <c r="N448" i="31" a="1"/>
  <c r="L76" i="31" a="1"/>
  <c r="L246" i="31" a="1"/>
  <c r="O104" i="31" a="1"/>
  <c r="N437" i="31" a="1"/>
  <c r="M194" i="31" a="1"/>
  <c r="L420" i="31" a="1"/>
  <c r="M267" i="31" a="1"/>
  <c r="M511" i="31" a="1"/>
  <c r="L344" i="31" a="1"/>
  <c r="N455" i="31" a="1"/>
  <c r="L256" i="31" a="1"/>
  <c r="O318" i="31" a="1"/>
  <c r="N272" i="31" a="1"/>
  <c r="L298" i="31" a="1"/>
  <c r="O255" i="31" a="1"/>
  <c r="O355" i="31" a="1"/>
  <c r="L282" i="31" a="1"/>
  <c r="O462" i="31" a="1"/>
  <c r="L270" i="31" a="1"/>
  <c r="O271" i="31" a="1"/>
  <c r="M162" i="31" a="1"/>
  <c r="N482" i="31" a="1"/>
  <c r="L481" i="31" a="1"/>
  <c r="L320" i="31" a="1"/>
  <c r="L403" i="31" a="1"/>
  <c r="L217" i="31" a="1"/>
  <c r="L398" i="31" a="1"/>
  <c r="O54" i="31" a="1"/>
  <c r="M408" i="31" a="1"/>
  <c r="L160" i="31" a="1"/>
  <c r="L488" i="31" a="1"/>
  <c r="O426" i="31" a="1"/>
  <c r="O119" i="31" a="1"/>
  <c r="O502" i="31" a="1"/>
  <c r="M58" i="31" a="1"/>
  <c r="M476" i="31" a="1"/>
  <c r="M309" i="31" a="1"/>
  <c r="O141" i="31" a="1"/>
  <c r="M195" i="31" a="1"/>
  <c r="N270" i="31" a="1"/>
  <c r="M67" i="31" a="1"/>
  <c r="O291" i="31" a="1"/>
  <c r="L120" i="31" a="1"/>
  <c r="L167" i="31" a="1"/>
  <c r="L43" i="31" a="1"/>
  <c r="L475" i="31" a="1"/>
  <c r="L87" i="31" a="1"/>
  <c r="O308" i="31" a="1"/>
  <c r="N470" i="31" a="1"/>
  <c r="M153" i="31" a="1"/>
  <c r="O123" i="31" a="1"/>
  <c r="N500" i="31" a="1"/>
  <c r="M472" i="31" a="1"/>
  <c r="L210" i="31" a="1"/>
  <c r="N405" i="31" a="1"/>
  <c r="M346" i="31" a="1"/>
  <c r="M40" i="31" a="1"/>
  <c r="P150" i="31" a="1"/>
  <c r="P173" i="31" a="1"/>
  <c r="P511" i="31" a="1"/>
  <c r="P390" i="31" a="1"/>
  <c r="P220" i="31" a="1"/>
  <c r="P250" i="31" a="1"/>
  <c r="P256" i="31" a="1"/>
  <c r="P28" i="31" a="1"/>
  <c r="P141" i="31" a="1"/>
  <c r="P124" i="31" a="1"/>
  <c r="P58" i="31" a="1"/>
  <c r="P61" i="31" a="1"/>
  <c r="P465" i="31" a="1"/>
  <c r="P213" i="31" a="1"/>
  <c r="P332" i="31" a="1"/>
  <c r="N42" i="31" a="1"/>
  <c r="O285" i="31" a="1"/>
  <c r="M331" i="31" a="1"/>
  <c r="L220" i="31" a="1"/>
  <c r="O286" i="31" a="1"/>
  <c r="N120" i="31" a="1"/>
  <c r="L174" i="31" a="1"/>
  <c r="O437" i="31" a="1"/>
  <c r="M251" i="31" a="1"/>
  <c r="O215" i="31" a="1"/>
  <c r="L413" i="31" a="1"/>
  <c r="L423" i="31" a="1"/>
  <c r="M234" i="31" a="1"/>
  <c r="N505" i="31" a="1"/>
  <c r="O63" i="31" a="1"/>
  <c r="L271" i="31" a="1"/>
  <c r="N221" i="31" a="1"/>
  <c r="L294" i="31" a="1"/>
  <c r="M213" i="31" a="1"/>
  <c r="L517" i="31" a="1"/>
  <c r="M191" i="31" a="1"/>
  <c r="L262" i="31" a="1"/>
  <c r="O32" i="31" a="1"/>
  <c r="L104" i="31" a="1"/>
  <c r="N162" i="31" a="1"/>
  <c r="M286" i="31" a="1"/>
  <c r="M361" i="31" a="1"/>
  <c r="O185" i="31" a="1"/>
  <c r="M375" i="31" a="1"/>
  <c r="O377" i="31" a="1"/>
  <c r="M130" i="31" a="1"/>
  <c r="O105" i="31" a="1"/>
  <c r="N163" i="31" a="1"/>
  <c r="O300" i="31" a="1"/>
  <c r="M471" i="31" a="1"/>
  <c r="N167" i="31" a="1"/>
  <c r="M380" i="31" a="1"/>
  <c r="M37" i="31" a="1"/>
  <c r="O311" i="31" a="1"/>
  <c r="L161" i="31" a="1"/>
  <c r="L52" i="31" a="1"/>
  <c r="O89" i="31" a="1"/>
  <c r="O451" i="31" a="1"/>
  <c r="L292" i="31" a="1"/>
  <c r="O434" i="31" a="1"/>
  <c r="M178" i="31" a="1"/>
  <c r="M200" i="31" a="1"/>
  <c r="N231" i="31" a="1"/>
  <c r="N33" i="31" a="1"/>
  <c r="L96" i="31" a="1"/>
  <c r="O186" i="31" a="1"/>
  <c r="N517" i="31" a="1"/>
  <c r="M149" i="31" a="1"/>
  <c r="M489" i="31" a="1"/>
  <c r="N304" i="31" a="1"/>
  <c r="L37" i="31" a="1"/>
  <c r="N411" i="31" a="1"/>
  <c r="N416" i="31" a="1"/>
  <c r="O418" i="31" a="1"/>
  <c r="N530" i="31" a="1"/>
  <c r="M146" i="31" a="1"/>
  <c r="M444" i="31" a="1"/>
  <c r="M448" i="31" a="1"/>
  <c r="P232" i="31" a="1"/>
  <c r="P197" i="31" a="1"/>
  <c r="P133" i="31" a="1"/>
  <c r="P435" i="31" a="1"/>
  <c r="P353" i="31" a="1"/>
  <c r="P94" i="31" a="1"/>
  <c r="P255" i="31" a="1"/>
  <c r="P513" i="31" a="1"/>
  <c r="P360" i="31" a="1"/>
  <c r="P314" i="31" a="1"/>
  <c r="P244" i="31" a="1"/>
  <c r="P364" i="31" a="1"/>
  <c r="P167" i="31" a="1"/>
  <c r="P385" i="31" a="1"/>
  <c r="P499" i="31" a="1"/>
  <c r="P495" i="31" a="1"/>
  <c r="N205" i="31" a="1"/>
  <c r="O204" i="31" a="1"/>
  <c r="L243" i="31" a="1"/>
  <c r="O101" i="31" a="1"/>
  <c r="O489" i="31" a="1"/>
  <c r="M399" i="31" a="1"/>
  <c r="L500" i="31" a="1"/>
  <c r="M76" i="31" a="1"/>
  <c r="L194" i="31" a="1"/>
  <c r="M516" i="31" a="1"/>
  <c r="O282" i="31" a="1"/>
  <c r="M159" i="31" a="1"/>
  <c r="M420" i="31" a="1"/>
  <c r="N123" i="31" a="1"/>
  <c r="O294" i="31" a="1"/>
  <c r="N145" i="31" a="1"/>
  <c r="M314" i="31" a="1"/>
  <c r="M113" i="31" a="1"/>
  <c r="N351" i="31" a="1"/>
  <c r="N294" i="31" a="1"/>
  <c r="M212" i="31" a="1"/>
  <c r="L202" i="31" a="1"/>
  <c r="O59" i="31" a="1"/>
  <c r="O41" i="31" a="1"/>
  <c r="O87" i="31" a="1"/>
  <c r="M389" i="31" a="1"/>
  <c r="L473" i="31" a="1"/>
  <c r="O183" i="31" a="1"/>
  <c r="M287" i="31" a="1"/>
  <c r="L86" i="31" a="1"/>
  <c r="O94" i="31" a="1"/>
  <c r="N97" i="31" a="1"/>
  <c r="O339" i="31" a="1"/>
  <c r="M376" i="31" a="1"/>
  <c r="N130" i="31" a="1"/>
  <c r="M428" i="31" a="1"/>
  <c r="N332" i="31" a="1"/>
  <c r="O346" i="31" a="1"/>
  <c r="M201" i="31" a="1"/>
  <c r="N198" i="31" a="1"/>
  <c r="L374" i="31" a="1"/>
  <c r="M466" i="31" a="1"/>
  <c r="N298" i="31" a="1"/>
  <c r="N102" i="31" a="1"/>
  <c r="O388" i="31" a="1"/>
  <c r="L173" i="31" a="1"/>
  <c r="M418" i="31" a="1"/>
  <c r="M294" i="31" a="1"/>
  <c r="N141" i="31" a="1"/>
  <c r="M527" i="31" a="1"/>
  <c r="O490" i="31" a="1"/>
  <c r="M451" i="31" a="1"/>
  <c r="M231" i="31" a="1"/>
  <c r="O51" i="31" a="1"/>
  <c r="L327" i="31" a="1"/>
  <c r="M217" i="31" a="1"/>
  <c r="N204" i="31" a="1"/>
  <c r="O45" i="31" a="1"/>
  <c r="O230" i="31" a="1"/>
  <c r="O72" i="31" a="1"/>
  <c r="O522" i="31" a="1"/>
  <c r="M169" i="31" a="1"/>
  <c r="P65" i="31" a="1"/>
  <c r="P171" i="31" a="1"/>
  <c r="P497" i="31" a="1"/>
  <c r="P107" i="31" a="1"/>
  <c r="P101" i="31" a="1"/>
  <c r="P241" i="31" a="1"/>
  <c r="P187" i="31" a="1"/>
  <c r="P375" i="31" a="1"/>
  <c r="P135" i="31" a="1"/>
  <c r="P456" i="31" a="1"/>
  <c r="P455" i="31" a="1"/>
  <c r="P528" i="31" a="1"/>
  <c r="P247" i="31" a="1"/>
  <c r="P448" i="31" a="1"/>
  <c r="P494" i="31" a="1"/>
  <c r="P378" i="31" a="1"/>
  <c r="N35" i="31" a="1"/>
  <c r="O70" i="31" a="1"/>
  <c r="M248" i="31" a="1"/>
  <c r="L169" i="31" a="1"/>
  <c r="O42" i="31" a="1"/>
  <c r="O498" i="31" a="1"/>
  <c r="L212" i="31" a="1"/>
  <c r="M61" i="31" a="1"/>
  <c r="O64" i="31" a="1"/>
  <c r="O497" i="31" a="1"/>
  <c r="O364" i="31" a="1"/>
  <c r="O139" i="31" a="1"/>
  <c r="O246" i="31" a="1"/>
  <c r="L152" i="31" a="1"/>
  <c r="N98" i="31" a="1"/>
  <c r="L251" i="31" a="1"/>
  <c r="M453" i="31" a="1"/>
  <c r="M36" i="31" a="1"/>
  <c r="O134" i="31" a="1"/>
  <c r="L303" i="31" a="1"/>
  <c r="L490" i="31" a="1"/>
  <c r="O348" i="31" a="1"/>
  <c r="M88" i="31" a="1"/>
  <c r="L364" i="31" a="1"/>
  <c r="O109" i="31" a="1"/>
  <c r="M72" i="31" a="1"/>
  <c r="O289" i="31" a="1"/>
  <c r="N435" i="31" a="1"/>
  <c r="O430" i="31" a="1"/>
  <c r="M311" i="31" a="1"/>
  <c r="N318" i="31" a="1"/>
  <c r="N377" i="31" a="1"/>
  <c r="N71" i="31" a="1"/>
  <c r="O267" i="31" a="1"/>
  <c r="L69" i="31" a="1"/>
  <c r="L383" i="31" a="1"/>
  <c r="N224" i="31" a="1"/>
  <c r="O287" i="31" a="1"/>
  <c r="O193" i="31" a="1"/>
  <c r="N45" i="31" a="1"/>
  <c r="N215" i="31" a="1"/>
  <c r="M307" i="31" a="1"/>
  <c r="O130" i="31" a="1"/>
  <c r="O303" i="31" a="1"/>
  <c r="M140" i="31" a="1"/>
  <c r="L297" i="31" a="1"/>
  <c r="O336" i="31" a="1"/>
  <c r="M154" i="31" a="1"/>
  <c r="L437" i="31" a="1"/>
  <c r="M38" i="31" a="1"/>
  <c r="N300" i="31" a="1"/>
  <c r="L309" i="31" a="1"/>
  <c r="O473" i="31" a="1"/>
  <c r="O385" i="31" a="1"/>
  <c r="N96" i="31" a="1"/>
  <c r="O166" i="31" a="1"/>
  <c r="N132" i="31" a="1"/>
  <c r="L474" i="31" a="1"/>
  <c r="M316" i="31" a="1"/>
  <c r="L58" i="31" a="1"/>
  <c r="L431" i="31" a="1"/>
  <c r="L75" i="31" a="1"/>
  <c r="P68" i="31" a="1"/>
  <c r="P157" i="31" a="1"/>
  <c r="P409" i="31" a="1"/>
  <c r="P475" i="31" a="1"/>
  <c r="P104" i="31" a="1"/>
  <c r="P234" i="31" a="1"/>
  <c r="P478" i="31" a="1"/>
  <c r="P430" i="31" a="1"/>
  <c r="P38" i="31" a="1"/>
  <c r="P477" i="31" a="1"/>
  <c r="P121" i="31" a="1"/>
  <c r="P196" i="31" a="1"/>
  <c r="P284" i="31" a="1"/>
  <c r="P298" i="31" a="1"/>
  <c r="P296" i="31" a="1"/>
  <c r="P191" i="31" a="1"/>
  <c r="N110" i="31" a="1"/>
  <c r="M69" i="31" a="1"/>
  <c r="N374" i="31" a="1"/>
  <c r="N426" i="31" a="1"/>
  <c r="M269" i="31" a="1"/>
  <c r="O106" i="31" a="1"/>
  <c r="O387" i="31" a="1"/>
  <c r="M197" i="31" a="1"/>
  <c r="N466" i="31" a="1"/>
  <c r="M109" i="31" a="1"/>
  <c r="N337" i="31" a="1"/>
  <c r="N504" i="31" a="1"/>
  <c r="O100" i="31" a="1"/>
  <c r="O260" i="31" a="1"/>
  <c r="O469" i="31" a="1"/>
  <c r="L392" i="31" a="1"/>
  <c r="M209" i="31" a="1"/>
  <c r="M388" i="31" a="1"/>
  <c r="O428" i="31" a="1"/>
  <c r="L356" i="31" a="1"/>
  <c r="O505" i="31" a="1"/>
  <c r="L513" i="31" a="1"/>
  <c r="O171" i="31" a="1"/>
  <c r="L175" i="31" a="1"/>
  <c r="M124" i="31" a="1"/>
  <c r="N330" i="31" a="1"/>
  <c r="M431" i="31" a="1"/>
  <c r="O82" i="31" a="1"/>
  <c r="N425" i="31" a="1"/>
  <c r="N450" i="31" a="1"/>
  <c r="M288" i="31" a="1"/>
  <c r="L456" i="31" a="1"/>
  <c r="O235" i="31" a="1"/>
  <c r="O439" i="31" a="1"/>
  <c r="M526" i="31" a="1"/>
  <c r="L276" i="31" a="1"/>
  <c r="L90" i="31" a="1"/>
  <c r="N326" i="31" a="1"/>
  <c r="M226" i="31" a="1"/>
  <c r="L435" i="31" a="1"/>
  <c r="L263" i="31" a="1"/>
  <c r="N434" i="31" a="1"/>
  <c r="O295" i="31" a="1"/>
  <c r="O370" i="31" a="1"/>
  <c r="L379" i="31" a="1"/>
  <c r="O419" i="31" a="1"/>
  <c r="O410" i="31" a="1"/>
  <c r="O433" i="31" a="1"/>
  <c r="N89" i="31" a="1"/>
  <c r="N213" i="31" a="1"/>
  <c r="L278" i="31" a="1"/>
  <c r="N475" i="31" a="1"/>
  <c r="L515" i="31" a="1"/>
  <c r="M302" i="31" a="1"/>
  <c r="N65" i="31" a="1"/>
  <c r="M244" i="31" a="1"/>
  <c r="M176" i="31" a="1"/>
  <c r="L128" i="31" a="1"/>
  <c r="O372" i="31" a="1"/>
  <c r="O142" i="31" a="1"/>
  <c r="M501" i="31" a="1"/>
  <c r="M219" i="31" a="1"/>
  <c r="M351" i="31" a="1"/>
  <c r="N260" i="31" a="1"/>
  <c r="N245" i="31" a="1"/>
  <c r="M427" i="31" a="1"/>
  <c r="O144" i="31" a="1"/>
  <c r="L141" i="31" a="1"/>
  <c r="N395" i="31" a="1"/>
  <c r="O110" i="31" a="1"/>
  <c r="O514" i="31" a="1"/>
  <c r="L390" i="31" a="1"/>
  <c r="L312" i="31" a="1"/>
  <c r="L453" i="31" a="1"/>
  <c r="M372" i="31" a="1"/>
  <c r="O321" i="31" a="1"/>
  <c r="L101" i="31" a="1"/>
  <c r="L366" i="31" a="1"/>
  <c r="L258" i="31" a="1"/>
  <c r="P268" i="31" a="1"/>
  <c r="P230" i="31" a="1"/>
  <c r="P379" i="31" a="1"/>
  <c r="P56" i="31" a="1"/>
  <c r="P348" i="31" a="1"/>
  <c r="P382" i="31" a="1"/>
  <c r="P452" i="31" a="1"/>
  <c r="P140" i="31" a="1"/>
  <c r="P437" i="31" a="1"/>
  <c r="P163" i="31" a="1"/>
  <c r="P233" i="31" a="1"/>
  <c r="P126" i="31" a="1"/>
  <c r="P419" i="31" a="1"/>
  <c r="P111" i="31" a="1"/>
  <c r="P129" i="31" a="1"/>
  <c r="M281" i="31" a="1"/>
  <c r="N508" i="31" a="1"/>
  <c r="L458" i="31" a="1"/>
  <c r="M528" i="31" a="1"/>
  <c r="N223" i="31" a="1"/>
  <c r="O421" i="31" a="1"/>
  <c r="L82" i="31" a="1"/>
  <c r="M519" i="31" a="1"/>
  <c r="M148" i="31" a="1"/>
  <c r="M133" i="31" a="1"/>
  <c r="L289" i="31" a="1"/>
  <c r="L259" i="31" a="1"/>
  <c r="N95" i="31" a="1"/>
  <c r="L314" i="31" a="1"/>
  <c r="M203" i="31" a="1"/>
  <c r="M462" i="31" a="1"/>
  <c r="N207" i="31" a="1"/>
  <c r="O400" i="31" a="1"/>
  <c r="M349" i="31" a="1"/>
  <c r="O365" i="31" a="1"/>
  <c r="L414" i="31" a="1"/>
  <c r="O394" i="31" a="1"/>
  <c r="O313" i="31" a="1"/>
  <c r="L351" i="31" a="1"/>
  <c r="N249" i="31" a="1"/>
  <c r="O408" i="31" a="1"/>
  <c r="L439" i="31" a="1"/>
  <c r="N138" i="31" a="1"/>
  <c r="L48" i="31" a="1"/>
  <c r="N487" i="31" a="1"/>
  <c r="O44" i="31" a="1"/>
  <c r="O90" i="31" a="1"/>
  <c r="O357" i="31" a="1"/>
  <c r="N36" i="31" a="1"/>
  <c r="M196" i="31" a="1"/>
  <c r="O500" i="31" a="1"/>
  <c r="L460" i="31" a="1"/>
  <c r="N99" i="31" a="1"/>
  <c r="O38" i="31" a="1"/>
  <c r="O232" i="31" a="1"/>
  <c r="N237" i="31" a="1"/>
  <c r="N422" i="31" a="1"/>
  <c r="O241" i="31" a="1"/>
  <c r="L192" i="31" a="1"/>
  <c r="O273" i="31" a="1"/>
  <c r="L461" i="31" a="1"/>
  <c r="N152" i="31" a="1"/>
  <c r="M523" i="31" a="1"/>
  <c r="N277" i="31" a="1"/>
  <c r="O84" i="31" a="1"/>
  <c r="O414" i="31" a="1"/>
  <c r="N108" i="31" a="1"/>
  <c r="M338" i="31" a="1"/>
  <c r="O360" i="31" a="1"/>
  <c r="O133" i="31" a="1"/>
  <c r="M306" i="31" a="1"/>
  <c r="O521" i="31" a="1"/>
  <c r="N483" i="31" a="1"/>
  <c r="O199" i="31" a="1"/>
  <c r="N28" i="31" a="1"/>
  <c r="O470" i="31" a="1"/>
  <c r="N230" i="31" a="1"/>
  <c r="L95" i="31" a="1"/>
  <c r="P343" i="31" a="1"/>
  <c r="P166" i="31" a="1"/>
  <c r="P362" i="31" a="1"/>
  <c r="P125" i="31" a="1"/>
  <c r="P127" i="31" a="1"/>
  <c r="P154" i="31" a="1"/>
  <c r="P438" i="31" a="1"/>
  <c r="P365" i="31" a="1"/>
  <c r="P179" i="31" a="1"/>
  <c r="P248" i="31" a="1"/>
  <c r="P64" i="31" a="1"/>
  <c r="P80" i="31" a="1"/>
  <c r="P432" i="31" a="1"/>
  <c r="P73" i="31" a="1"/>
  <c r="P109" i="31" a="1"/>
  <c r="M204" i="31" a="1"/>
  <c r="N438" i="31" a="1"/>
  <c r="N423" i="31" a="1"/>
  <c r="N415" i="31" a="1"/>
  <c r="O78" i="31" a="1"/>
  <c r="N331" i="31" a="1"/>
  <c r="L370" i="31" a="1"/>
  <c r="L530" i="31" a="1"/>
  <c r="M66" i="31" a="1"/>
  <c r="N452" i="31" a="1"/>
  <c r="O178" i="31" a="1"/>
  <c r="N401" i="31" a="1"/>
  <c r="N341" i="31" a="1"/>
  <c r="L301" i="31" a="1"/>
  <c r="N382" i="31" a="1"/>
  <c r="L448" i="31" a="1"/>
  <c r="O253" i="31" a="1"/>
  <c r="N183" i="31" a="1"/>
  <c r="M425" i="31" a="1"/>
  <c r="M152" i="31" a="1"/>
  <c r="O170" i="31" a="1"/>
  <c r="O396" i="31" a="1"/>
  <c r="M63" i="31" a="1"/>
  <c r="O369" i="31" a="1"/>
  <c r="M117" i="31" a="1"/>
  <c r="M273" i="31" a="1"/>
  <c r="O445" i="31" a="1"/>
  <c r="L213" i="31" a="1"/>
  <c r="N41" i="31" a="1"/>
  <c r="O263" i="31" a="1"/>
  <c r="M189" i="31" a="1"/>
  <c r="M405" i="31" a="1"/>
  <c r="O125" i="31" a="1"/>
  <c r="M241" i="31" a="1"/>
  <c r="N84" i="31" a="1"/>
  <c r="M417" i="31" a="1"/>
  <c r="O258" i="31" a="1"/>
  <c r="L479" i="31" a="1"/>
  <c r="M51" i="31" a="1"/>
  <c r="O182" i="31" a="1"/>
  <c r="N236" i="31" a="1"/>
  <c r="L247" i="31" a="1"/>
  <c r="M455" i="31" a="1"/>
  <c r="L362" i="31" a="1"/>
  <c r="O507" i="31" a="1"/>
  <c r="O69" i="31" a="1"/>
  <c r="N347" i="31" a="1"/>
  <c r="L283" i="31" a="1"/>
  <c r="L373" i="31" a="1"/>
  <c r="L221" i="31" a="1"/>
  <c r="L158" i="31" a="1"/>
  <c r="M279" i="31" a="1"/>
  <c r="O180" i="31" a="1"/>
  <c r="N499" i="31" a="1"/>
  <c r="O117" i="31" a="1"/>
  <c r="N80" i="31" a="1"/>
  <c r="M391" i="31" a="1"/>
  <c r="O413" i="31" a="1"/>
  <c r="O459" i="31" a="1"/>
  <c r="M98" i="31" a="1"/>
  <c r="M107" i="31" a="1"/>
  <c r="O53" i="31" a="1"/>
  <c r="N267" i="31" a="1"/>
  <c r="P46" i="31" a="1"/>
  <c r="P286" i="31" a="1"/>
  <c r="P67" i="31" a="1"/>
  <c r="P471" i="31" a="1"/>
  <c r="P82" i="31" a="1"/>
  <c r="P334" i="31" a="1"/>
  <c r="P361" i="31" a="1"/>
  <c r="P219" i="31" a="1"/>
  <c r="P176" i="31" a="1"/>
  <c r="P493" i="31" a="1"/>
  <c r="P417" i="31" a="1"/>
  <c r="P206" i="31" a="1"/>
  <c r="P280" i="31" a="1"/>
  <c r="P457" i="31" a="1"/>
  <c r="P406" i="31" a="1"/>
  <c r="P402" i="31" a="1"/>
  <c r="O221" i="31" a="1"/>
  <c r="O405" i="31" a="1"/>
  <c r="L165" i="31" a="1"/>
  <c r="M514" i="31" a="1"/>
  <c r="N313" i="31" a="1"/>
  <c r="O214" i="31" a="1"/>
  <c r="L183" i="31" a="1"/>
  <c r="O323" i="31" a="1"/>
  <c r="M249" i="31" a="1"/>
  <c r="N360" i="31" a="1"/>
  <c r="M52" i="31" a="1"/>
  <c r="O248" i="31" a="1"/>
  <c r="L418" i="31" a="1"/>
  <c r="N234" i="31" a="1"/>
  <c r="M150" i="31" a="1"/>
  <c r="L142" i="31" a="1"/>
  <c r="L331" i="31" a="1"/>
  <c r="M179" i="31" a="1"/>
  <c r="O168" i="31" a="1"/>
  <c r="L44" i="31" a="1"/>
  <c r="O113" i="31" a="1"/>
  <c r="N473" i="31" a="1"/>
  <c r="N279" i="31" a="1"/>
  <c r="L406" i="31" a="1"/>
  <c r="M305" i="31" a="1"/>
  <c r="N344" i="31" a="1"/>
  <c r="L525" i="31" a="1"/>
  <c r="M377" i="31" a="1"/>
  <c r="O270" i="31" a="1"/>
  <c r="L237" i="31" a="1"/>
  <c r="M499" i="31" a="1"/>
  <c r="L343" i="31" a="1"/>
  <c r="N255" i="31" a="1"/>
  <c r="M47" i="31" a="1"/>
  <c r="N436" i="31" a="1"/>
  <c r="M401" i="31" a="1"/>
  <c r="O378" i="31" a="1"/>
  <c r="N264" i="31" a="1"/>
  <c r="M363" i="31" a="1"/>
  <c r="L193" i="31" a="1"/>
  <c r="M487" i="31" a="1"/>
  <c r="M426" i="31" a="1"/>
  <c r="M126" i="31" a="1"/>
  <c r="M229" i="31" a="1"/>
  <c r="N81" i="31" a="1"/>
  <c r="O515" i="31" a="1"/>
  <c r="N226" i="31" a="1"/>
  <c r="M385" i="31" a="1"/>
  <c r="N486" i="31" a="1"/>
  <c r="N299" i="31" a="1"/>
  <c r="N105" i="31" a="1"/>
  <c r="O330" i="31" a="1"/>
  <c r="N117" i="31" a="1"/>
  <c r="O324" i="31" a="1"/>
  <c r="L268" i="31" a="1"/>
  <c r="L50" i="31" a="1"/>
  <c r="O391" i="31" a="1"/>
  <c r="N122" i="31" a="1"/>
  <c r="O382" i="31" a="1"/>
  <c r="L336" i="31" a="1"/>
  <c r="M110" i="31" a="1"/>
  <c r="O192" i="31" a="1"/>
  <c r="P132" i="31" a="1"/>
  <c r="P317" i="31" a="1"/>
  <c r="P410" i="31" a="1"/>
  <c r="P490" i="31" a="1"/>
  <c r="P53" i="31" a="1"/>
  <c r="P145" i="31" a="1"/>
  <c r="P524" i="31" a="1"/>
  <c r="P418" i="31" a="1"/>
  <c r="P245" i="31" a="1"/>
  <c r="P372" i="31" a="1"/>
  <c r="P147" i="31" a="1"/>
  <c r="P95" i="31" a="1"/>
  <c r="P263" i="31" a="1"/>
  <c r="P370" i="31" a="1"/>
  <c r="P261" i="31" a="1"/>
  <c r="P464" i="31" a="1"/>
  <c r="M230" i="31" a="1"/>
  <c r="N522" i="31" a="1"/>
  <c r="L148" i="31" a="1"/>
  <c r="L487" i="31" a="1"/>
  <c r="M183" i="31" a="1"/>
  <c r="O464" i="31" a="1"/>
  <c r="N295" i="31" a="1"/>
  <c r="M96" i="31" a="1"/>
  <c r="M337" i="31" a="1"/>
  <c r="M386" i="31" a="1"/>
  <c r="N496" i="31" a="1"/>
  <c r="M233" i="31" a="1"/>
  <c r="M355" i="31" a="1"/>
  <c r="L252" i="31" a="1"/>
  <c r="N355" i="31" a="1"/>
  <c r="L502" i="31" a="1"/>
  <c r="M192" i="31" a="1"/>
  <c r="L382" i="31" a="1"/>
  <c r="N303" i="31" a="1"/>
  <c r="M116" i="31" a="1"/>
  <c r="M498" i="31" a="1"/>
  <c r="M436" i="31" a="1"/>
  <c r="O189" i="31" a="1"/>
  <c r="L465" i="31" a="1"/>
  <c r="N309" i="31" a="1"/>
  <c r="O453" i="31" a="1"/>
  <c r="L189" i="31" a="1"/>
  <c r="O261" i="31" a="1"/>
  <c r="L355" i="31" a="1"/>
  <c r="L341" i="31" a="1"/>
  <c r="O305" i="31" a="1"/>
  <c r="M390" i="31" a="1"/>
  <c r="M254" i="31" a="1"/>
  <c r="M513" i="31" a="1"/>
  <c r="M364" i="31" a="1"/>
  <c r="L163" i="31" a="1"/>
  <c r="M34" i="31" a="1"/>
  <c r="M494" i="31" a="1"/>
  <c r="N284" i="31" a="1"/>
  <c r="L89" i="31" a="1"/>
  <c r="O279" i="31" a="1"/>
  <c r="M77" i="31" a="1"/>
  <c r="L78" i="31" a="1"/>
  <c r="L440" i="31" a="1"/>
  <c r="L522" i="31" a="1"/>
  <c r="L127" i="31" a="1"/>
  <c r="L333" i="31" a="1"/>
  <c r="L274" i="31" a="1"/>
  <c r="N443" i="31" a="1"/>
  <c r="M46" i="31" a="1"/>
  <c r="M160" i="31" a="1"/>
  <c r="N488" i="31" a="1"/>
  <c r="N160" i="31" a="1"/>
  <c r="O526" i="31" a="1"/>
  <c r="M208" i="31" a="1"/>
  <c r="L61" i="31" a="1"/>
  <c r="N115" i="31" a="1"/>
  <c r="M161" i="31" a="1"/>
  <c r="L516" i="31" a="1"/>
  <c r="N168" i="31" a="1"/>
  <c r="N349" i="31" a="1"/>
  <c r="L317" i="31" a="1"/>
  <c r="O420" i="31" a="1"/>
  <c r="O249" i="31" a="1"/>
  <c r="N489" i="31" a="1"/>
  <c r="N190" i="31" a="1"/>
  <c r="N340" i="31" a="1"/>
  <c r="L396" i="31" a="1"/>
  <c r="L170" i="31" a="1"/>
  <c r="M394" i="31" a="1"/>
  <c r="O154" i="31" a="1"/>
  <c r="O519" i="31" a="1"/>
  <c r="L38" i="31" a="1"/>
  <c r="N244" i="31" a="1"/>
  <c r="N91" i="31" a="1"/>
  <c r="O43" i="31" a="1"/>
  <c r="O352" i="31" a="1"/>
  <c r="M120" i="31" a="1"/>
  <c r="N186" i="31" a="1"/>
  <c r="P84" i="31" a="1"/>
  <c r="P189" i="31" a="1"/>
  <c r="P441" i="31" a="1"/>
  <c r="P507" i="31" a="1"/>
  <c r="P120" i="31" a="1"/>
  <c r="P269" i="31" a="1"/>
  <c r="P510" i="31" a="1"/>
  <c r="P480" i="31" a="1"/>
  <c r="P70" i="31" a="1"/>
  <c r="P319" i="31" a="1"/>
  <c r="P254" i="31" a="1"/>
  <c r="P302" i="31" a="1"/>
  <c r="P55" i="31" a="1"/>
  <c r="P383" i="31" a="1"/>
  <c r="P122" i="31" a="1"/>
  <c r="P153" i="31" a="1"/>
  <c r="M80" i="31" a="1"/>
  <c r="N288" i="31" a="1"/>
  <c r="N513" i="31" a="1"/>
  <c r="L151" i="31" a="1"/>
  <c r="O50" i="31" a="1"/>
  <c r="N285" i="31" a="1"/>
  <c r="N398" i="31" a="1"/>
  <c r="L421" i="31" a="1"/>
  <c r="O80" i="31" a="1"/>
  <c r="O359" i="31" a="1"/>
  <c r="N403" i="31" a="1"/>
  <c r="M28" i="31" a="1"/>
  <c r="O345" i="31" a="1"/>
  <c r="L425" i="31" a="1"/>
  <c r="L130" i="31" a="1"/>
  <c r="O161" i="31" a="1"/>
  <c r="M484" i="31" a="1"/>
  <c r="L380" i="31" a="1"/>
  <c r="O61" i="31" a="1"/>
  <c r="N357" i="31" a="1"/>
  <c r="N103" i="31" a="1"/>
  <c r="O331" i="31" a="1"/>
  <c r="N280" i="31" a="1"/>
  <c r="L281" i="31" a="1"/>
  <c r="N178" i="31" a="1"/>
  <c r="N307" i="31" a="1"/>
  <c r="O510" i="31" a="1"/>
  <c r="N358" i="31" a="1"/>
  <c r="L450" i="31" a="1"/>
  <c r="L235" i="31" a="1"/>
  <c r="N324" i="31" a="1"/>
  <c r="O398" i="31" a="1"/>
  <c r="N179" i="31" a="1"/>
  <c r="N311" i="31" a="1"/>
  <c r="L321" i="31" a="1"/>
  <c r="L307" i="31" a="1"/>
  <c r="O231" i="31" a="1"/>
  <c r="N118" i="31" a="1"/>
  <c r="M35" i="31" a="1"/>
  <c r="L523" i="31" a="1"/>
  <c r="N481" i="31" a="1"/>
  <c r="O151" i="31" a="1"/>
  <c r="O392" i="31" a="1"/>
  <c r="L467" i="31" a="1"/>
  <c r="O517" i="31" a="1"/>
  <c r="M39" i="31" a="1"/>
  <c r="N78" i="31" a="1"/>
  <c r="L443" i="31" a="1"/>
  <c r="M486" i="31" a="1"/>
  <c r="M55" i="31" a="1"/>
  <c r="N165" i="31" a="1"/>
  <c r="L524" i="31" a="1"/>
  <c r="N485" i="31" a="1"/>
  <c r="L304" i="31" a="1"/>
  <c r="L451" i="31" a="1"/>
  <c r="O262" i="31" a="1"/>
  <c r="L63" i="31" a="1"/>
  <c r="O397" i="31" a="1"/>
  <c r="L381" i="31" a="1"/>
  <c r="M323" i="31" a="1"/>
  <c r="L166" i="31" a="1"/>
  <c r="O91" i="31" a="1"/>
  <c r="M397" i="31" a="1"/>
  <c r="P182" i="31" a="1"/>
  <c r="P205" i="31" a="1"/>
  <c r="P225" i="31" a="1"/>
  <c r="P278" i="31" a="1"/>
  <c r="P252" i="31" a="1"/>
  <c r="P51" i="31" a="1"/>
  <c r="P320" i="31" a="1"/>
  <c r="P60" i="31" a="1"/>
  <c r="P335" i="31" a="1"/>
  <c r="P54" i="31" a="1"/>
  <c r="P162" i="31" a="1"/>
  <c r="P93" i="31" a="1"/>
  <c r="P472" i="31" a="1"/>
  <c r="P305" i="31" a="1"/>
  <c r="P169" i="31" a="1"/>
  <c r="M170" i="31" a="1"/>
  <c r="M396" i="31" a="1"/>
  <c r="M438" i="31" a="1"/>
  <c r="L468" i="31" a="1"/>
  <c r="O245" i="31" a="1"/>
  <c r="N310" i="31" a="1"/>
  <c r="L168" i="31" a="1"/>
  <c r="M407" i="31" a="1"/>
  <c r="N454" i="31" a="1"/>
  <c r="O338" i="31" a="1"/>
  <c r="N153" i="31" a="1"/>
  <c r="O461" i="31" a="1"/>
  <c r="N72" i="31" a="1"/>
  <c r="M353" i="31" a="1"/>
  <c r="N350" i="31" a="1"/>
  <c r="L337" i="31" a="1"/>
  <c r="O35" i="31" a="1"/>
  <c r="M450" i="31" a="1"/>
  <c r="M292" i="31" a="1"/>
  <c r="L527" i="31" a="1"/>
  <c r="M439" i="31" a="1"/>
  <c r="O463" i="31" a="1"/>
  <c r="M136" i="31" a="1"/>
  <c r="L480" i="31" a="1"/>
  <c r="O136" i="31" a="1"/>
  <c r="N449" i="31" a="1"/>
  <c r="N371" i="31" a="1"/>
  <c r="L338" i="31" a="1"/>
  <c r="L385" i="31" a="1"/>
  <c r="N100" i="31" a="1"/>
  <c r="N219" i="31" a="1"/>
  <c r="M398" i="31" a="1"/>
  <c r="M313" i="31" a="1"/>
  <c r="M488" i="31" a="1"/>
  <c r="L36" i="31" a="1"/>
  <c r="M93" i="31" a="1"/>
  <c r="O226" i="31" a="1"/>
  <c r="O213" i="31" a="1"/>
  <c r="N87" i="31" a="1"/>
  <c r="N433" i="31" a="1"/>
  <c r="N512" i="31" a="1"/>
  <c r="M221" i="31" a="1"/>
  <c r="O448" i="31" a="1"/>
  <c r="O503" i="31" a="1"/>
  <c r="L486" i="31" a="1"/>
  <c r="O508" i="31" a="1"/>
  <c r="M232" i="31" a="1"/>
  <c r="O310" i="31" a="1"/>
  <c r="M378" i="31" a="1"/>
  <c r="N465" i="31" a="1"/>
  <c r="L110" i="31" a="1"/>
  <c r="L391" i="31" a="1"/>
  <c r="O504" i="31" a="1"/>
  <c r="M182" i="31" a="1"/>
  <c r="O75" i="31" a="1"/>
  <c r="M285" i="31" a="1"/>
  <c r="O425" i="31" a="1"/>
  <c r="O205" i="31" a="1"/>
  <c r="L137" i="31" a="1"/>
  <c r="O129" i="31" a="1"/>
  <c r="O288" i="31" a="1"/>
  <c r="O145" i="31" a="1"/>
  <c r="M474" i="31" a="1"/>
  <c r="P134" i="31" a="1"/>
  <c r="P103" i="31" a="1"/>
  <c r="P442" i="31" a="1"/>
  <c r="P340" i="31" a="1"/>
  <c r="P207" i="31" a="1"/>
  <c r="P178" i="31" a="1"/>
  <c r="P517" i="31" a="1"/>
  <c r="P412" i="31" a="1"/>
  <c r="P222" i="31" a="1"/>
  <c r="P347" i="31" a="1"/>
  <c r="P525" i="31" a="1"/>
  <c r="P503" i="31" a="1"/>
  <c r="P223" i="31" a="1"/>
  <c r="P458" i="31" a="1"/>
  <c r="P243" i="31" a="1"/>
  <c r="P260" i="31" a="1"/>
  <c r="M59" i="31" a="1"/>
  <c r="N296" i="31" a="1"/>
  <c r="N462" i="31" a="1"/>
  <c r="M419" i="31" a="1"/>
  <c r="O415" i="31" a="1"/>
  <c r="L92" i="31" a="1"/>
  <c r="L512" i="31" a="1"/>
  <c r="N58" i="31" a="1"/>
  <c r="O438" i="31" a="1"/>
  <c r="L269" i="31" a="1"/>
  <c r="N408" i="31" a="1"/>
  <c r="M132" i="31" a="1"/>
  <c r="M242" i="31" a="1"/>
  <c r="O177" i="31" a="1"/>
  <c r="O320" i="31" a="1"/>
  <c r="M42" i="31" a="1"/>
  <c r="N393" i="31" a="1"/>
  <c r="M220" i="31" a="1"/>
  <c r="N369" i="31" a="1"/>
  <c r="M210" i="31" a="1"/>
  <c r="O97" i="31" a="1"/>
  <c r="M339" i="31" a="1"/>
  <c r="L41" i="31" a="1"/>
  <c r="L275" i="31" a="1"/>
  <c r="O93" i="31" a="1"/>
  <c r="O344" i="31" a="1"/>
  <c r="N441" i="31" a="1"/>
  <c r="M164" i="31" a="1"/>
  <c r="O233" i="31" a="1"/>
  <c r="L284" i="31" a="1"/>
  <c r="M485" i="31" a="1"/>
  <c r="L495" i="31" a="1"/>
  <c r="O39" i="31" a="1"/>
  <c r="O164" i="31" a="1"/>
  <c r="M157" i="31" a="1"/>
  <c r="M393" i="31" a="1"/>
  <c r="L426" i="31" a="1"/>
  <c r="N404" i="31" a="1"/>
  <c r="M365" i="31" a="1"/>
  <c r="N492" i="31" a="1"/>
  <c r="L199" i="31" a="1"/>
  <c r="N151" i="31" a="1"/>
  <c r="M87" i="31" a="1"/>
  <c r="N269" i="31" a="1"/>
  <c r="M135" i="31" a="1"/>
  <c r="M89" i="31" a="1"/>
  <c r="O40" i="31" a="1"/>
  <c r="N106" i="31" a="1"/>
  <c r="N94" i="31" a="1"/>
  <c r="N516" i="31" a="1"/>
  <c r="O290" i="31" a="1"/>
  <c r="O157" i="31" a="1"/>
  <c r="M53" i="31" a="1"/>
  <c r="O307" i="31" a="1"/>
  <c r="N381" i="31" a="1"/>
  <c r="L112" i="31" a="1"/>
  <c r="M68" i="31" a="1"/>
  <c r="N233" i="31" a="1"/>
  <c r="L518" i="31" a="1"/>
  <c r="L470" i="31" a="1"/>
  <c r="L227" i="31" a="1"/>
  <c r="N528" i="31" a="1"/>
  <c r="P81" i="31" a="1"/>
  <c r="P203" i="31" a="1"/>
  <c r="P485" i="31" a="1"/>
  <c r="P287" i="31" a="1"/>
  <c r="P34" i="31" a="1"/>
  <c r="P270" i="31" a="1"/>
  <c r="P459" i="31" a="1"/>
  <c r="P407" i="31" a="1"/>
  <c r="P195" i="31" a="1"/>
  <c r="P161" i="31" a="1"/>
  <c r="P492" i="31" a="1"/>
  <c r="P512" i="31" a="1"/>
  <c r="P75" i="31" a="1"/>
  <c r="P504" i="31" a="1"/>
  <c r="P267" i="31" a="1"/>
  <c r="P481" i="31" a="1"/>
  <c r="N62" i="31" a="1"/>
  <c r="O148" i="31" a="1"/>
  <c r="O478" i="31" a="1"/>
  <c r="N379" i="31" a="1"/>
  <c r="O131" i="31" a="1"/>
  <c r="L81" i="31" a="1"/>
  <c r="L186" i="31" a="1"/>
  <c r="N121" i="31" a="1"/>
  <c r="N119" i="31" a="1"/>
  <c r="L231" i="31" a="1"/>
  <c r="L506" i="31" a="1"/>
  <c r="O108" i="31" a="1"/>
  <c r="M505" i="31" a="1"/>
  <c r="O118" i="31" a="1"/>
  <c r="M268" i="31" a="1"/>
  <c r="L498" i="31" a="1"/>
  <c r="M483" i="31" a="1"/>
  <c r="M106" i="31" a="1"/>
  <c r="N247" i="31" a="1"/>
  <c r="L369" i="31" a="1"/>
  <c r="L300" i="31" a="1"/>
  <c r="O194" i="31" a="1"/>
  <c r="M155" i="31" a="1"/>
  <c r="M73" i="31" a="1"/>
  <c r="N76" i="31" a="1"/>
  <c r="M333" i="31" a="1"/>
  <c r="O264" i="31" a="1"/>
  <c r="N293" i="31" a="1"/>
  <c r="L242" i="31" a="1"/>
  <c r="L182" i="31" a="1"/>
  <c r="O277" i="31" a="1"/>
  <c r="L361" i="31" a="1"/>
  <c r="O169" i="31" a="1"/>
  <c r="N442" i="31" a="1"/>
  <c r="N199" i="31" a="1"/>
  <c r="O243" i="31" a="1"/>
  <c r="N257" i="31" a="1"/>
  <c r="O431" i="31" a="1"/>
  <c r="M223" i="31" a="1"/>
  <c r="O146" i="31" a="1"/>
  <c r="M48" i="31" a="1"/>
  <c r="O162" i="31" a="1"/>
  <c r="M379" i="31" a="1"/>
  <c r="N206" i="31" a="1"/>
  <c r="N211" i="31" a="1"/>
  <c r="M158" i="31" a="1"/>
  <c r="M357" i="31" a="1"/>
  <c r="L445" i="31" a="1"/>
  <c r="M202" i="31" a="1"/>
  <c r="O95" i="31" a="1"/>
  <c r="P33" i="31" a="1"/>
  <c r="P91" i="31" a="1"/>
  <c r="P469" i="31" a="1"/>
  <c r="P527" i="31" a="1"/>
  <c r="P69" i="31" a="1"/>
  <c r="P177" i="31" a="1"/>
  <c r="P520" i="31" a="1"/>
  <c r="P217" i="31" a="1"/>
  <c r="P369" i="31" a="1"/>
  <c r="P283" i="31" a="1"/>
  <c r="P192" i="31" a="1"/>
  <c r="P277" i="31" a="1"/>
  <c r="P327" i="31" a="1"/>
  <c r="P434" i="31" a="1"/>
  <c r="P391" i="31" a="1"/>
  <c r="P501" i="31" a="1"/>
  <c r="O293" i="31" a="1"/>
  <c r="N510" i="31" a="1"/>
  <c r="L452" i="31" a="1"/>
  <c r="O530" i="31" a="1"/>
  <c r="N321" i="31" a="1"/>
  <c r="L129" i="31" a="1"/>
  <c r="N253" i="31" a="1"/>
  <c r="O196" i="31" a="1"/>
  <c r="M264" i="31" a="1"/>
  <c r="M121" i="31" a="1"/>
  <c r="L308" i="31" a="1"/>
  <c r="O175" i="31" a="1"/>
  <c r="M44" i="31" a="1"/>
  <c r="N493" i="31" a="1"/>
  <c r="N525" i="31" a="1"/>
  <c r="O471" i="31" a="1"/>
  <c r="M122" i="31" a="1"/>
  <c r="O337" i="31" a="1"/>
  <c r="O472" i="31" a="1"/>
  <c r="M367" i="31" a="1"/>
  <c r="L219" i="31" a="1"/>
  <c r="L469" i="31" a="1"/>
  <c r="N353" i="31" a="1"/>
  <c r="N445" i="31" a="1"/>
  <c r="M275" i="31" a="1"/>
  <c r="O424" i="31" a="1"/>
  <c r="L346" i="31" a="1"/>
  <c r="N217" i="31" a="1"/>
  <c r="L285" i="31" a="1"/>
  <c r="N93" i="31" a="1"/>
  <c r="N59" i="31" a="1"/>
  <c r="L180" i="31" a="1"/>
  <c r="N275" i="31" a="1"/>
  <c r="N40" i="31" a="1"/>
  <c r="N140" i="31" a="1"/>
  <c r="N503" i="31" a="1"/>
  <c r="O340" i="31" a="1"/>
  <c r="N248" i="31" a="1"/>
  <c r="N53" i="31" a="1"/>
  <c r="L277" i="31" a="1"/>
  <c r="O518" i="31" a="1"/>
  <c r="N265" i="31" a="1"/>
  <c r="M433" i="31" a="1"/>
  <c r="N495" i="31" a="1"/>
  <c r="L234" i="31" a="1"/>
  <c r="L42" i="31" a="1"/>
  <c r="O341" i="31" a="1"/>
  <c r="L446" i="31" a="1"/>
  <c r="L357" i="31" a="1"/>
  <c r="N173" i="31" a="1"/>
  <c r="L138" i="31" a="1"/>
  <c r="M289" i="31" a="1"/>
  <c r="L204" i="31" a="1"/>
  <c r="O240" i="31" a="1"/>
  <c r="N256" i="31" a="1"/>
  <c r="L505" i="31" a="1"/>
  <c r="N161" i="31" a="1"/>
  <c r="O520" i="31" a="1"/>
  <c r="O312" i="31" a="1"/>
  <c r="L68" i="31" a="1"/>
  <c r="M422" i="31" a="1"/>
  <c r="O268" i="31" a="1"/>
  <c r="P36" i="31" a="1"/>
  <c r="P295" i="31" a="1"/>
  <c r="P294" i="31" a="1"/>
  <c r="P411" i="31" a="1"/>
  <c r="P72" i="31" a="1"/>
  <c r="P170" i="31" a="1"/>
  <c r="P414" i="31" a="1"/>
  <c r="P484" i="31" a="1"/>
  <c r="P57" i="31" a="1"/>
  <c r="P433" i="31" a="1"/>
  <c r="P279" i="31" a="1"/>
  <c r="P151" i="31" a="1"/>
  <c r="P194" i="31" a="1"/>
  <c r="P502" i="31" a="1"/>
  <c r="P285" i="31" a="1"/>
  <c r="P259" i="31" a="1"/>
  <c r="O411" i="31" a="1"/>
  <c r="L66" i="31" a="1"/>
  <c r="L384" i="31" a="1"/>
  <c r="L427" i="31" a="1"/>
  <c r="O225" i="31" a="1"/>
  <c r="O227" i="31" a="1"/>
  <c r="L291" i="31" a="1"/>
  <c r="L345" i="31" a="1"/>
  <c r="N314" i="31" a="1"/>
  <c r="M317" i="31" a="1"/>
  <c r="L386" i="31" a="1"/>
  <c r="N361" i="31" a="1"/>
  <c r="M335" i="31" a="1"/>
  <c r="L444" i="31" a="1"/>
  <c r="N458" i="31" a="1"/>
  <c r="L214" i="31" a="1"/>
  <c r="O482" i="31" a="1"/>
  <c r="M478" i="31" a="1"/>
  <c r="O368" i="31" a="1"/>
  <c r="L143" i="31" a="1"/>
  <c r="L457" i="31" a="1"/>
  <c r="M506" i="31" a="1"/>
  <c r="O33" i="31" a="1"/>
  <c r="M50" i="31" a="1"/>
  <c r="M465" i="31" a="1"/>
  <c r="L226" i="31" a="1"/>
  <c r="N83" i="31" a="1"/>
  <c r="M293" i="31" a="1"/>
  <c r="L93" i="31" a="1"/>
  <c r="O349" i="31" a="1"/>
  <c r="O68" i="31" a="1"/>
  <c r="O452" i="31" a="1"/>
  <c r="M45" i="31" a="1"/>
  <c r="N242" i="31" a="1"/>
  <c r="M392" i="31" a="1"/>
  <c r="O34" i="31" a="1"/>
  <c r="L208" i="31" a="1"/>
  <c r="O216" i="31" a="1"/>
  <c r="N111" i="31" a="1"/>
  <c r="O440" i="31" a="1"/>
  <c r="N407" i="31" a="1"/>
  <c r="N101" i="31" a="1"/>
  <c r="O332" i="31" a="1"/>
  <c r="M430" i="31" a="1"/>
  <c r="L211" i="31" a="1"/>
  <c r="N90" i="31" a="1"/>
  <c r="M163" i="31" a="1"/>
  <c r="N507" i="31" a="1"/>
  <c r="N137" i="31" a="1"/>
  <c r="M43" i="31" a="1"/>
  <c r="N424" i="31" a="1"/>
  <c r="L145" i="31" a="1"/>
  <c r="L447" i="31" a="1"/>
  <c r="L222" i="31" a="1"/>
  <c r="M85" i="31" a="1"/>
  <c r="O319" i="31" a="1"/>
  <c r="O457" i="31" a="1"/>
  <c r="O269" i="31" a="1"/>
  <c r="M480" i="31" a="1"/>
  <c r="O399" i="31" a="1"/>
  <c r="M33" i="31" a="1"/>
  <c r="N524" i="31" a="1"/>
  <c r="N142" i="31" a="1"/>
  <c r="P273" i="31" a="1"/>
  <c r="P229" i="31" a="1"/>
  <c r="P523" i="31" a="1"/>
  <c r="P467" i="31" a="1"/>
  <c r="P316" i="31" a="1"/>
  <c r="P139" i="31" a="1"/>
  <c r="P329" i="31" a="1"/>
  <c r="P395" i="31" a="1"/>
  <c r="P152" i="31" a="1"/>
  <c r="P389" i="31" a="1"/>
  <c r="P421" i="31" a="1"/>
  <c r="P422" i="31" a="1"/>
  <c r="P231" i="31" a="1"/>
  <c r="P48" i="31" a="1"/>
  <c r="P333" i="31" a="1"/>
  <c r="M94" i="31" a="1"/>
  <c r="O197" i="31" a="1"/>
  <c r="M416" i="31" a="1"/>
  <c r="L463" i="31" a="1"/>
  <c r="N146" i="31" a="1"/>
  <c r="N112" i="31" a="1"/>
  <c r="O512" i="31" a="1"/>
  <c r="M175" i="31" a="1"/>
  <c r="N203" i="31" a="1"/>
  <c r="N210" i="31" a="1"/>
  <c r="L79" i="31" a="1"/>
  <c r="M173" i="31" a="1"/>
  <c r="N329" i="31" a="1"/>
  <c r="L115" i="31" a="1"/>
  <c r="M166" i="31" a="1"/>
  <c r="M442" i="31" a="1"/>
  <c r="N218" i="31" a="1"/>
  <c r="L290" i="31" a="1"/>
  <c r="N212" i="31" a="1"/>
  <c r="O456" i="31" a="1"/>
  <c r="N124" i="31" a="1"/>
  <c r="O334" i="31" a="1"/>
  <c r="N378" i="31" a="1"/>
  <c r="N232" i="31" a="1"/>
  <c r="M105" i="31" a="1"/>
  <c r="M297" i="31" a="1"/>
  <c r="N469" i="31" a="1"/>
  <c r="M57" i="31" a="1"/>
  <c r="M310" i="31" a="1"/>
  <c r="M128" i="31" a="1"/>
  <c r="M284" i="31" a="1"/>
  <c r="O301" i="31" a="1"/>
  <c r="O160" i="31" a="1"/>
  <c r="N239" i="31" a="1"/>
  <c r="N526" i="31" a="1"/>
  <c r="O335" i="31" a="1"/>
  <c r="L162" i="31" a="1"/>
  <c r="O49" i="31" a="1"/>
  <c r="N388" i="31" a="1"/>
  <c r="M371" i="31" a="1"/>
  <c r="N214" i="31" a="1"/>
  <c r="L83" i="31" a="1"/>
  <c r="N291" i="31" a="1"/>
  <c r="N400" i="31" a="1"/>
  <c r="M432" i="31" a="1"/>
  <c r="N175" i="31" a="1"/>
  <c r="L483" i="31" a="1"/>
  <c r="N266" i="31" a="1"/>
  <c r="M515" i="31" a="1"/>
  <c r="L267" i="31" a="1"/>
  <c r="O317" i="31" a="1"/>
  <c r="O159" i="31" a="1"/>
  <c r="M151" i="31" a="1"/>
  <c r="M103" i="31" a="1"/>
  <c r="M312" i="31" a="1"/>
  <c r="N479" i="31" a="1"/>
  <c r="O206" i="31" a="1"/>
  <c r="N412" i="31" a="1"/>
  <c r="N150" i="31" a="1"/>
  <c r="O455" i="31" a="1"/>
  <c r="M167" i="31" a="1"/>
  <c r="L415" i="31" a="1"/>
  <c r="O416" i="31" a="1"/>
  <c r="P62" i="31" a="1"/>
  <c r="P307" i="31" a="1"/>
  <c r="P297" i="31" a="1"/>
  <c r="P292" i="31" a="1"/>
  <c r="P98" i="31" a="1"/>
  <c r="P355" i="31" a="1"/>
  <c r="P396" i="31" a="1"/>
  <c r="P303" i="31" a="1"/>
  <c r="P240" i="31" a="1"/>
  <c r="P439" i="31" a="1"/>
  <c r="P336" i="31" a="1"/>
  <c r="P415" i="31" a="1"/>
  <c r="P323" i="31" a="1"/>
  <c r="P117" i="31" a="1"/>
  <c r="P271" i="31" a="1"/>
  <c r="P530" i="31" a="1"/>
  <c r="N276" i="31" a="1"/>
  <c r="O528" i="31" a="1"/>
  <c r="L410" i="31" a="1"/>
  <c r="L510" i="31" a="1"/>
  <c r="O296" i="31" a="1"/>
  <c r="O356" i="31" a="1"/>
  <c r="M415" i="31" a="1"/>
  <c r="O350" i="31" a="1"/>
  <c r="M481" i="31" a="1"/>
  <c r="N476" i="31" a="1"/>
  <c r="L99" i="31" a="1"/>
  <c r="M303" i="31" a="1"/>
  <c r="M318" i="31" a="1"/>
  <c r="O211" i="31" a="1"/>
  <c r="M258" i="31" a="1"/>
  <c r="L184" i="31" a="1"/>
  <c r="M456" i="31" a="1"/>
  <c r="M308" i="31" a="1"/>
  <c r="O383" i="31" a="1"/>
  <c r="L472" i="31" a="1"/>
  <c r="O202" i="31" a="1"/>
  <c r="N451" i="31" a="1"/>
  <c r="N348" i="31" a="1"/>
  <c r="L279" i="31" a="1"/>
  <c r="M332" i="31" a="1"/>
  <c r="N464" i="31" a="1"/>
  <c r="L350" i="31" a="1"/>
  <c r="M482" i="31" a="1"/>
  <c r="N222" i="31" a="1"/>
  <c r="L433" i="31" a="1"/>
  <c r="L34" i="31" a="1"/>
  <c r="L349" i="31" a="1"/>
  <c r="N368" i="31" a="1"/>
  <c r="O149" i="31" a="1"/>
  <c r="M91" i="31" a="1"/>
  <c r="N149" i="31" a="1"/>
  <c r="M274" i="31" a="1"/>
  <c r="L108" i="31" a="1"/>
  <c r="N383" i="31" a="1"/>
  <c r="O402" i="31" a="1"/>
  <c r="N262" i="31" a="1"/>
  <c r="L102" i="31" a="1"/>
  <c r="O363" i="31" a="1"/>
  <c r="M260" i="31" a="1"/>
  <c r="N346" i="31" a="1"/>
  <c r="L466" i="31" a="1"/>
  <c r="O66" i="31" a="1"/>
  <c r="N394" i="31" a="1"/>
  <c r="O247" i="31" a="1"/>
  <c r="M512" i="31" a="1"/>
  <c r="O342" i="31" a="1"/>
  <c r="N133" i="31" a="1"/>
  <c r="N75" i="31" a="1"/>
  <c r="N147" i="31" a="1"/>
  <c r="L408" i="31" a="1"/>
  <c r="M211" i="31" a="1"/>
  <c r="M84" i="31" a="1"/>
  <c r="N471" i="31" a="1"/>
  <c r="L407" i="31" a="1"/>
  <c r="N431" i="31" a="1"/>
  <c r="L340" i="31" a="1"/>
  <c r="N271" i="31" a="1"/>
  <c r="L372" i="31" a="1"/>
  <c r="M143" i="31" a="1"/>
  <c r="M459" i="31" a="1"/>
  <c r="M172" i="31" a="1"/>
  <c r="O384" i="31" a="1"/>
  <c r="O362" i="31" a="1"/>
  <c r="M348" i="31" a="1"/>
  <c r="M253" i="31" a="1"/>
  <c r="L310" i="31" a="1"/>
  <c r="M193" i="31" a="1"/>
  <c r="N202" i="31" a="1"/>
  <c r="O188" i="31" a="1"/>
  <c r="L489" i="31" a="1"/>
  <c r="M125" i="31" a="1"/>
  <c r="M271" i="31" a="1"/>
  <c r="O252" i="31" a="1"/>
  <c r="P97" i="31" a="1"/>
  <c r="P235" i="31" a="1"/>
  <c r="P518" i="31" a="1"/>
  <c r="P363" i="31" a="1"/>
  <c r="P50" i="31" a="1"/>
  <c r="P291" i="31" a="1"/>
  <c r="P148" i="31" a="1"/>
  <c r="P521" i="31" a="1"/>
  <c r="P258" i="31" a="1"/>
  <c r="P330" i="31" a="1"/>
  <c r="P351" i="31" a="1"/>
  <c r="P282" i="31" a="1"/>
  <c r="P164" i="31" a="1"/>
  <c r="P482" i="31" a="1"/>
  <c r="P474" i="31" a="1"/>
  <c r="P346" i="31" a="1"/>
  <c r="N125" i="31" a="1"/>
  <c r="M291" i="31" a="1"/>
  <c r="M492" i="31" a="1"/>
  <c r="O488" i="31" a="1"/>
  <c r="O239" i="31" a="1"/>
  <c r="L509" i="31" a="1"/>
  <c r="L322" i="31" a="1"/>
  <c r="O176" i="31" a="1"/>
  <c r="N200" i="31" a="1"/>
  <c r="L201" i="31" a="1"/>
  <c r="L412" i="31" a="1"/>
  <c r="N82" i="31" a="1"/>
  <c r="L254" i="31" a="1"/>
  <c r="O173" i="31" a="1"/>
  <c r="M464" i="31" a="1"/>
  <c r="O217" i="31" a="1"/>
  <c r="M225" i="31" a="1"/>
  <c r="O111" i="31" a="1"/>
  <c r="N384" i="31" a="1"/>
  <c r="N174" i="31" a="1"/>
  <c r="O358" i="31" a="1"/>
  <c r="L113" i="31" a="1"/>
  <c r="O297" i="31" a="1"/>
  <c r="L47" i="31" a="1"/>
  <c r="O208" i="31" a="1"/>
  <c r="N323" i="31" a="1"/>
  <c r="M504" i="31" a="1"/>
  <c r="N511" i="31" a="1"/>
  <c r="M60" i="31" a="1"/>
  <c r="L404" i="31" a="1"/>
  <c r="N166" i="31" a="1"/>
  <c r="L528" i="31" a="1"/>
  <c r="N209" i="31" a="1"/>
  <c r="O325" i="31" a="1"/>
  <c r="O458" i="31" a="1"/>
  <c r="M65" i="31" a="1"/>
  <c r="M131" i="31" a="1"/>
  <c r="L94" i="31" a="1"/>
  <c r="N67" i="31" a="1"/>
  <c r="M508" i="31" a="1"/>
  <c r="M255" i="31" a="1"/>
  <c r="L98" i="31" a="1"/>
  <c r="N107" i="31" a="1"/>
  <c r="M181" i="31" a="1"/>
  <c r="O155" i="31" a="1"/>
  <c r="L159" i="31" a="1"/>
  <c r="L464" i="31" a="1"/>
  <c r="N164" i="31" a="1"/>
  <c r="N375" i="31" a="1"/>
  <c r="O280" i="31" a="1"/>
  <c r="M78" i="31" a="1"/>
  <c r="L501" i="31" a="1"/>
  <c r="L60" i="31" a="1"/>
  <c r="O422" i="31" a="1"/>
  <c r="L287" i="31" a="1"/>
  <c r="N461" i="31" a="1"/>
  <c r="N131" i="31" a="1"/>
  <c r="O251" i="31" a="1"/>
  <c r="M424" i="31" a="1"/>
  <c r="L49" i="31" a="1"/>
  <c r="L257" i="31" a="1"/>
  <c r="M496" i="31" a="1"/>
  <c r="P100" i="31" a="1"/>
  <c r="P221" i="31" a="1"/>
  <c r="P473" i="31" a="1"/>
  <c r="P425" i="31" a="1"/>
  <c r="P136" i="31" a="1"/>
  <c r="P43" i="31" a="1"/>
  <c r="P428" i="31" a="1"/>
  <c r="P522" i="31" a="1"/>
  <c r="P118" i="31" a="1"/>
  <c r="P405" i="31" a="1"/>
  <c r="P339" i="31" a="1"/>
  <c r="P130" i="31" a="1"/>
  <c r="P143" i="31" a="1"/>
  <c r="P479" i="31" a="1"/>
  <c r="P47" i="31" a="1"/>
  <c r="P199" i="31" a="1"/>
  <c r="M186" i="31" a="1"/>
  <c r="N397" i="31" a="1"/>
  <c r="L35" i="31" a="1"/>
  <c r="M507" i="31" a="1"/>
  <c r="N38" i="31" a="1"/>
  <c r="O366" i="31" a="1"/>
  <c r="L229" i="31" a="1"/>
  <c r="N52" i="31" a="1"/>
  <c r="N134" i="31" a="1"/>
  <c r="M347" i="31" a="1"/>
  <c r="L376" i="31" a="1"/>
  <c r="O143" i="31" a="1"/>
  <c r="N343" i="31" a="1"/>
  <c r="L302" i="31" a="1"/>
  <c r="M222" i="31" a="1"/>
  <c r="N373" i="31" a="1"/>
  <c r="M502" i="31" a="1"/>
  <c r="N459" i="31" a="1"/>
  <c r="N208" i="31" a="1"/>
  <c r="O492" i="31" a="1"/>
  <c r="M414" i="31" a="1"/>
  <c r="L154" i="31" a="1"/>
  <c r="M413" i="31" a="1"/>
  <c r="O244" i="31" a="1"/>
  <c r="N184" i="31" a="1"/>
  <c r="O450" i="31" a="1"/>
  <c r="L203" i="31" a="1"/>
  <c r="O28" i="31" a="1"/>
  <c r="L459" i="31" a="1"/>
  <c r="L424" i="31" a="1"/>
  <c r="M114" i="31" a="1"/>
  <c r="L118" i="31" a="1"/>
  <c r="M325" i="31" a="1"/>
  <c r="M490" i="31" a="1"/>
  <c r="L371" i="31" a="1"/>
  <c r="L442" i="31" a="1"/>
  <c r="N364" i="31" a="1"/>
  <c r="M239" i="31" a="1"/>
  <c r="O60" i="31" a="1"/>
  <c r="M341" i="31" a="1"/>
  <c r="M522" i="31" a="1"/>
  <c r="N282" i="31" a="1"/>
  <c r="M479" i="31" a="1"/>
  <c r="L67" i="31" a="1"/>
  <c r="N315" i="31" a="1"/>
  <c r="L155" i="31" a="1"/>
  <c r="O481" i="31" a="1"/>
  <c r="L399" i="31" a="1"/>
  <c r="N354" i="31" a="1"/>
  <c r="O103" i="31" a="1"/>
  <c r="M406" i="31" a="1"/>
  <c r="N440" i="31" a="1"/>
  <c r="L378" i="31" a="1"/>
  <c r="N376" i="31" a="1"/>
  <c r="L342" i="31" a="1"/>
  <c r="N69" i="31" a="1"/>
  <c r="L325" i="31" a="1"/>
  <c r="L449" i="31" a="1"/>
  <c r="O274" i="31" a="1"/>
  <c r="N187" i="31" a="1"/>
  <c r="O179" i="31" a="1"/>
  <c r="O220" i="31" a="1"/>
  <c r="O529" i="31" a="1"/>
  <c r="P71" i="31" a="1"/>
  <c r="P198" i="31" a="1"/>
  <c r="P392" i="31" a="1"/>
  <c r="P276" i="31" a="1"/>
  <c r="P156" i="31" a="1"/>
  <c r="P186" i="31" a="1"/>
  <c r="P526" i="31" a="1"/>
  <c r="P399" i="31" a="1"/>
  <c r="P160" i="31" a="1"/>
  <c r="P376" i="31" a="1"/>
  <c r="P128" i="31" a="1"/>
  <c r="P112" i="31" a="1"/>
  <c r="P496" i="31" a="1"/>
  <c r="P105" i="31" a="1"/>
  <c r="P90" i="31" a="1"/>
  <c r="N32" i="31" a="1"/>
  <c r="M142" i="31" a="1"/>
  <c r="L126" i="31" a="1"/>
  <c r="L51" i="31" a="1"/>
  <c r="M205" i="31" a="1"/>
  <c r="M402" i="31" a="1"/>
  <c r="M299" i="31" a="1"/>
  <c r="L153" i="31" a="1"/>
  <c r="N229" i="31" a="1"/>
  <c r="O531" i="31" a="1"/>
  <c r="M358" i="31" a="1"/>
  <c r="N409" i="31" a="1"/>
  <c r="N88" i="31" a="1"/>
  <c r="N356" i="31" a="1"/>
  <c r="O48" i="31" a="1"/>
  <c r="N413" i="31" a="1"/>
  <c r="N70" i="31" a="1"/>
  <c r="L131" i="31" a="1"/>
  <c r="M115" i="31" a="1"/>
  <c r="N420" i="31" a="1"/>
  <c r="L73" i="31" a="1"/>
  <c r="O351" i="31" a="1"/>
  <c r="N127" i="31" a="1"/>
  <c r="O71" i="31" a="1"/>
  <c r="M54" i="31" a="1"/>
  <c r="M145" i="31" a="1"/>
  <c r="L55" i="31" a="1"/>
  <c r="M468" i="31" a="1"/>
  <c r="N363" i="31" a="1"/>
  <c r="N472" i="31" a="1"/>
  <c r="M190" i="31" a="1"/>
  <c r="N506" i="31" a="1"/>
  <c r="N92" i="31" a="1"/>
  <c r="M257" i="31" a="1"/>
  <c r="M256" i="31" a="1"/>
  <c r="N463" i="31" a="1"/>
  <c r="O403" i="31" a="1"/>
  <c r="L422" i="31" a="1"/>
  <c r="M123" i="31" a="1"/>
  <c r="M384" i="31" a="1"/>
  <c r="L368" i="31" a="1"/>
  <c r="L318" i="31" a="1"/>
  <c r="L402" i="31" a="1"/>
  <c r="N336" i="31" a="1"/>
  <c r="O390" i="31" a="1"/>
  <c r="O474" i="31" a="1"/>
  <c r="M118" i="31" a="1"/>
  <c r="O444" i="31" a="1"/>
  <c r="N68" i="31" a="1"/>
  <c r="L181" i="31" a="1"/>
  <c r="O266" i="31" a="1"/>
  <c r="N498" i="31" a="1"/>
  <c r="M359" i="31" a="1"/>
  <c r="O314" i="31" a="1"/>
  <c r="L28" i="31" a="1"/>
  <c r="N335" i="31" a="1"/>
  <c r="N317" i="31" a="1"/>
  <c r="L105" i="31" a="1"/>
  <c r="N417" i="31" a="1"/>
  <c r="O302" i="31" a="1"/>
  <c r="O207" i="31" a="1"/>
  <c r="O114" i="31" a="1"/>
  <c r="L59" i="31" a="1"/>
  <c r="P168" i="31" a="1"/>
  <c r="P138" i="31" a="1"/>
  <c r="P447" i="31" a="1"/>
  <c r="P371" i="31" a="1"/>
  <c r="P239" i="31" a="1"/>
  <c r="P210" i="31" a="1"/>
  <c r="P315" i="31" a="1"/>
  <c r="P444" i="31" a="1"/>
  <c r="P275" i="31" a="1"/>
  <c r="P416" i="31" a="1"/>
  <c r="P304" i="31" a="1"/>
  <c r="P272" i="31" a="1"/>
  <c r="P123" i="31" a="1"/>
  <c r="P325" i="31" a="1"/>
  <c r="P408" i="31" a="1"/>
  <c r="P426" i="31" a="1"/>
  <c r="O137" i="31" a="1"/>
  <c r="O62" i="31" a="1"/>
  <c r="O513" i="31" a="1"/>
  <c r="L57" i="31" a="1"/>
  <c r="M326" i="31" a="1"/>
  <c r="L176" i="31" a="1"/>
  <c r="L91" i="31" a="1"/>
  <c r="O79" i="31" a="1"/>
  <c r="M447" i="31" a="1"/>
  <c r="L428" i="31" a="1"/>
  <c r="L353" i="31" a="1"/>
  <c r="O132" i="31" a="1"/>
  <c r="L45" i="31" a="1"/>
  <c r="M320" i="31" a="1"/>
  <c r="N380" i="31" a="1"/>
  <c r="M168" i="31" a="1"/>
  <c r="L207" i="31" a="1"/>
  <c r="O224" i="31" a="1"/>
  <c r="M521" i="31" a="1"/>
  <c r="M95" i="31" a="1"/>
  <c r="O315" i="31" a="1"/>
  <c r="L499" i="31" a="1"/>
  <c r="O257" i="31" a="1"/>
  <c r="O58" i="31" a="1"/>
  <c r="O158" i="31" a="1"/>
  <c r="O412" i="31" a="1"/>
  <c r="M360" i="31" a="1"/>
  <c r="O37" i="31" a="1"/>
  <c r="N250" i="31" a="1"/>
  <c r="N531" i="31" a="1"/>
  <c r="L394" i="31" a="1"/>
  <c r="O306" i="31" a="1"/>
  <c r="N191" i="31" a="1"/>
  <c r="N252" i="31" a="1"/>
  <c r="N129" i="31" a="1"/>
  <c r="M139" i="31" a="1"/>
  <c r="M383" i="31" a="1"/>
  <c r="P78" i="31" a="1"/>
  <c r="P328" i="31" a="1"/>
  <c r="P352" i="31" a="1"/>
  <c r="P174" i="31" a="1"/>
  <c r="P142" i="31" a="1"/>
  <c r="P114" i="31" a="1"/>
  <c r="P460" i="31" a="1"/>
  <c r="P349" i="31" a="1"/>
  <c r="P59" i="31" a="1"/>
  <c r="P454" i="31" a="1"/>
  <c r="P531" i="31" a="1"/>
  <c r="P299" i="31" a="1"/>
  <c r="P366" i="31" a="1"/>
  <c r="P331" i="31" a="1"/>
  <c r="P461" i="31" a="1"/>
  <c r="P342" i="31" a="1"/>
  <c r="N316" i="31" a="1"/>
  <c r="N73" i="31" a="1"/>
  <c r="L520" i="31" a="1"/>
  <c r="M452" i="31" a="1"/>
  <c r="M99" i="31" a="1"/>
  <c r="N519" i="31" a="1"/>
  <c r="L324" i="31" a="1"/>
  <c r="M235" i="31" a="1"/>
  <c r="N201" i="31" a="1"/>
  <c r="L171" i="31" a="1"/>
  <c r="O124" i="31" a="1"/>
  <c r="O475" i="31" a="1"/>
  <c r="L54" i="31" a="1"/>
  <c r="N390" i="31" a="1"/>
  <c r="O203" i="31" a="1"/>
  <c r="M243" i="31" a="1"/>
  <c r="L253" i="31" a="1"/>
  <c r="N240" i="31" a="1"/>
  <c r="M218" i="31" a="1"/>
  <c r="O494" i="31" a="1"/>
  <c r="N157" i="31" a="1"/>
  <c r="N428" i="31" a="1"/>
  <c r="M470" i="31" a="1"/>
  <c r="L46" i="31" a="1"/>
  <c r="M250" i="31" a="1"/>
  <c r="N85" i="31" a="1"/>
  <c r="L188" i="31" a="1"/>
  <c r="O195" i="31" a="1"/>
  <c r="M334" i="31" a="1"/>
  <c r="L216" i="31" a="1"/>
  <c r="M188" i="31" a="1"/>
  <c r="L387" i="31" a="1"/>
  <c r="M374" i="31" a="1"/>
  <c r="N278" i="31" a="1"/>
  <c r="L124" i="31" a="1"/>
  <c r="M283" i="31" a="1"/>
  <c r="O36" i="31" a="1"/>
  <c r="M354" i="31" a="1"/>
  <c r="M70" i="31" a="1"/>
  <c r="O476" i="31" a="1"/>
  <c r="N238" i="31" a="1"/>
  <c r="N312" i="31" a="1"/>
  <c r="M79" i="31" a="1"/>
  <c r="M247" i="31" a="1"/>
  <c r="O55" i="31" a="1"/>
  <c r="M174" i="31" a="1"/>
  <c r="M370" i="31" a="1"/>
  <c r="N399" i="31" a="1"/>
  <c r="N478" i="31" a="1"/>
  <c r="N113" i="31" a="1"/>
  <c r="O81" i="31" a="1"/>
  <c r="O283" i="31" a="1"/>
  <c r="O191" i="31" a="1"/>
  <c r="O417" i="31" a="1"/>
  <c r="O443" i="31" a="1"/>
  <c r="L401" i="31" a="1"/>
  <c r="O228" i="31" a="1"/>
  <c r="L365" i="31" a="1"/>
  <c r="O99" i="31" a="1"/>
  <c r="M266" i="31" a="1"/>
  <c r="N439" i="31" a="1"/>
  <c r="N444" i="31" a="1"/>
  <c r="P49" i="31" a="1"/>
  <c r="P137" i="31" a="1"/>
  <c r="P515" i="31" a="1"/>
  <c r="P381" i="31" a="1"/>
  <c r="P85" i="31" a="1"/>
  <c r="P209" i="31" a="1"/>
  <c r="P508" i="31" a="1"/>
  <c r="P313" i="31" a="1"/>
  <c r="P39" i="31" a="1"/>
  <c r="P374" i="31" a="1"/>
  <c r="P266" i="31" a="1"/>
  <c r="P400" i="31" a="1"/>
  <c r="P183" i="31" a="1"/>
  <c r="P498" i="31" a="1"/>
  <c r="P519" i="31" a="1"/>
  <c r="P386" i="31" a="1"/>
  <c r="O423" i="31" a="1"/>
  <c r="L70" i="31" a="1"/>
  <c r="L306" i="31" a="1"/>
  <c r="L232" i="31" a="1"/>
  <c r="N339" i="31" a="1"/>
  <c r="O272" i="31" a="1"/>
  <c r="L241" i="31" a="1"/>
  <c r="M171" i="31" a="1"/>
  <c r="O237" i="31" a="1"/>
  <c r="M412" i="31" a="1"/>
  <c r="M520" i="31" a="1"/>
  <c r="N37" i="31" a="1"/>
  <c r="N273" i="31" a="1"/>
  <c r="L360" i="31" a="1"/>
  <c r="M475" i="31" a="1"/>
  <c r="N480" i="31" a="1"/>
  <c r="O112" i="31" a="1"/>
  <c r="L432" i="31" a="1"/>
  <c r="L134" i="31" a="1"/>
  <c r="M322" i="31" a="1"/>
  <c r="L121" i="31" a="1"/>
  <c r="L288" i="31" a="1"/>
  <c r="M32" i="31" a="1"/>
  <c r="L238" i="31" a="1"/>
  <c r="M477" i="31" a="1"/>
  <c r="L230" i="31" a="1"/>
  <c r="L492" i="31" a="1"/>
  <c r="O379" i="31" a="1"/>
  <c r="L117" i="31" a="1"/>
  <c r="O523" i="31" a="1"/>
  <c r="N169" i="31" a="1"/>
  <c r="L225" i="31" a="1"/>
  <c r="M102" i="31" a="1"/>
  <c r="O147" i="31" a="1"/>
  <c r="N286" i="31" a="1"/>
  <c r="L164" i="31" a="1"/>
  <c r="M295" i="31" a="1"/>
  <c r="N389" i="31" a="1"/>
  <c r="O140" i="31" a="1"/>
  <c r="L293" i="31" a="1"/>
  <c r="N290" i="31" a="1"/>
  <c r="M449" i="31" a="1"/>
  <c r="M272" i="31" a="1"/>
  <c r="L266" i="31" a="1"/>
  <c r="M369" i="31" a="1"/>
  <c r="O77" i="31" a="1"/>
  <c r="L233" i="31" a="1"/>
  <c r="M410" i="31" a="1"/>
  <c r="L454" i="31" a="1"/>
  <c r="N289" i="31" a="1"/>
  <c r="L409" i="31" a="1"/>
  <c r="N325" i="31" a="1"/>
  <c r="O316" i="31" a="1"/>
  <c r="L200" i="31" a="1"/>
  <c r="O373" i="31" a="1"/>
  <c r="M278" i="31" a="1"/>
  <c r="O107" i="31" a="1"/>
  <c r="L239" i="31" a="1"/>
  <c r="L140" i="31" a="1"/>
  <c r="L352" i="31" a="1"/>
  <c r="N396" i="31" a="1"/>
  <c r="M491" i="31" a="1"/>
  <c r="L122" i="31" a="1"/>
  <c r="P214" i="31" a="1"/>
  <c r="P237" i="31" a="1"/>
  <c r="P238" i="31" a="1"/>
  <c r="P44" i="31" a="1"/>
  <c r="P274" i="31" a="1"/>
  <c r="P251" i="31" a="1"/>
  <c r="P388" i="31" a="1"/>
  <c r="P76" i="31" a="1"/>
  <c r="P423" i="31" a="1"/>
  <c r="P149" i="31" a="1"/>
  <c r="P321" i="31" a="1"/>
  <c r="P42" i="31" a="1"/>
  <c r="P514" i="31" a="1"/>
  <c r="P99" i="31" a="1"/>
  <c r="P290" i="31" a="1"/>
  <c r="M215" i="31" a="1"/>
  <c r="O401" i="31" a="1"/>
  <c r="L150" i="31" a="1"/>
  <c r="O446" i="31" a="1"/>
  <c r="N370" i="31" a="1"/>
  <c r="M421" i="31" a="1"/>
  <c r="N386" i="31" a="1"/>
  <c r="L462" i="31" a="1"/>
  <c r="N128" i="31" a="1"/>
  <c r="O442" i="31" a="1"/>
  <c r="O466" i="31" a="1"/>
  <c r="L493" i="31" a="1"/>
  <c r="N143" i="31" a="1"/>
  <c r="L56" i="31" a="1"/>
  <c r="M240" i="31" a="1"/>
  <c r="L531" i="31" a="1"/>
  <c r="O184" i="31" a="1"/>
  <c r="L363" i="31" a="1"/>
  <c r="O371" i="31" a="1"/>
  <c r="L240" i="31" a="1"/>
  <c r="L103" i="31" a="1"/>
  <c r="N46" i="31" a="1"/>
  <c r="O212" i="31" a="1"/>
  <c r="N365" i="31" a="1"/>
  <c r="O256" i="31" a="1"/>
  <c r="N328" i="31" a="1"/>
  <c r="L135" i="31" a="1"/>
  <c r="L77" i="31" a="1"/>
  <c r="O460" i="31" a="1"/>
  <c r="M82" i="31" a="1"/>
  <c r="O254" i="31" a="1"/>
  <c r="L335" i="31" a="1"/>
  <c r="M340" i="31" a="1"/>
  <c r="N427" i="31" a="1"/>
  <c r="L478" i="31" a="1"/>
  <c r="O441" i="31" a="1"/>
  <c r="O447" i="31" a="1"/>
  <c r="O190" i="31" a="1"/>
  <c r="M224" i="31" a="1"/>
  <c r="L125" i="31" a="1"/>
  <c r="O67" i="31" a="1"/>
  <c r="N77" i="31" a="1"/>
  <c r="L405" i="31" a="1"/>
  <c r="L503" i="31" a="1"/>
  <c r="N305" i="31" a="1"/>
  <c r="N515" i="31" a="1"/>
  <c r="O234" i="31" a="1"/>
  <c r="M81" i="31" a="1"/>
  <c r="N460" i="31" a="1"/>
  <c r="M467" i="31" a="1"/>
  <c r="L273" i="31" a="1"/>
  <c r="M510" i="31" a="1"/>
  <c r="O509" i="31" a="1"/>
  <c r="N419" i="31" a="1"/>
  <c r="O406" i="31" a="1"/>
  <c r="O485" i="31" a="1"/>
  <c r="N287" i="31" a="1"/>
  <c r="O121" i="31" a="1"/>
  <c r="N421" i="31" a="1"/>
  <c r="N429" i="31" a="1"/>
  <c r="O229" i="31" a="1"/>
  <c r="N251" i="31" a="1"/>
  <c r="O367" i="31" a="1"/>
  <c r="P337" i="31" a="1"/>
  <c r="P79" i="31" a="1"/>
  <c r="P236" i="31" a="1"/>
  <c r="P463" i="31" a="1"/>
  <c r="P354" i="31" a="1"/>
  <c r="P172" i="31" a="1"/>
  <c r="P368" i="31" a="1"/>
  <c r="P180" i="31" a="1"/>
  <c r="P216" i="31" a="1"/>
  <c r="P453" i="31" a="1"/>
  <c r="P445" i="31" a="1"/>
  <c r="P341" i="31" a="1"/>
  <c r="P193" i="31" a="1"/>
  <c r="P92" i="31" a="1"/>
  <c r="P96" i="31" a="1"/>
  <c r="N63" i="31" a="1"/>
  <c r="N259" i="31" a="1"/>
  <c r="O281" i="31" a="1"/>
  <c r="O326" i="31" a="1"/>
  <c r="M228" i="31" a="1"/>
  <c r="N306" i="31" a="1"/>
  <c r="L334" i="31" a="1"/>
  <c r="O404" i="31" a="1"/>
  <c r="O209" i="31" a="1"/>
  <c r="M336" i="31" a="1"/>
  <c r="L329" i="31" a="1"/>
  <c r="L223" i="31" a="1"/>
  <c r="N55" i="31" a="1"/>
  <c r="M381" i="31" a="1"/>
  <c r="M227" i="31" a="1"/>
  <c r="L250" i="31" a="1"/>
  <c r="O120" i="31" a="1"/>
  <c r="N327" i="31" a="1"/>
  <c r="M263" i="31" a="1"/>
  <c r="L228" i="31" a="1"/>
  <c r="O395" i="31" a="1"/>
  <c r="M112" i="31" a="1"/>
  <c r="L375" i="31" a="1"/>
  <c r="N246" i="31" a="1"/>
  <c r="O74" i="31" a="1"/>
  <c r="M324" i="31" a="1"/>
  <c r="O376" i="31" a="1"/>
  <c r="M429" i="31" a="1"/>
  <c r="M524" i="31" a="1"/>
  <c r="N352" i="31" a="1"/>
  <c r="L72" i="31" a="1"/>
  <c r="M411" i="31" a="1"/>
  <c r="O127" i="31" a="1"/>
  <c r="M350" i="31" a="1"/>
  <c r="N497" i="31" a="1"/>
  <c r="O187" i="31" a="1"/>
  <c r="O200" i="31" a="1"/>
  <c r="L146" i="31" a="1"/>
  <c r="L62" i="31" a="1"/>
  <c r="O467" i="31" a="1"/>
  <c r="P200" i="31" a="1"/>
  <c r="P165" i="31" a="1"/>
  <c r="P529" i="31" a="1"/>
  <c r="P403" i="31" a="1"/>
  <c r="P289" i="31" a="1"/>
  <c r="P242" i="31" a="1"/>
  <c r="P83" i="31" a="1"/>
  <c r="P476" i="31" a="1"/>
  <c r="P318" i="31" a="1"/>
  <c r="P491" i="31" a="1"/>
  <c r="P384" i="31" a="1"/>
  <c r="P486" i="31" a="1"/>
  <c r="P185" i="31" a="1"/>
  <c r="P262" i="31" a="1"/>
  <c r="P357" i="31" a="1"/>
  <c r="P500" i="31" a="1"/>
  <c r="N109" i="31" a="1"/>
  <c r="N192" i="31" a="1"/>
  <c r="O429" i="31" a="1"/>
  <c r="L485" i="31" a="1"/>
  <c r="N391" i="31" a="1"/>
  <c r="M214" i="31" a="1"/>
  <c r="L144" i="31" a="1"/>
  <c r="N57" i="31" a="1"/>
  <c r="M517" i="31" a="1"/>
  <c r="M409" i="31" a="1"/>
  <c r="L249" i="31" a="1"/>
  <c r="N43" i="31" a="1"/>
  <c r="L205" i="31" a="1"/>
  <c r="N402" i="31" a="1"/>
  <c r="L65" i="31" a="1"/>
  <c r="O96" i="31" a="1"/>
  <c r="L482" i="31" a="1"/>
  <c r="O163" i="31" a="1"/>
  <c r="L190" i="31" a="1"/>
  <c r="O380" i="31" a="1"/>
  <c r="M362" i="31" a="1"/>
  <c r="L348" i="31" a="1"/>
  <c r="M395" i="31" a="1"/>
  <c r="L109" i="31" a="1"/>
  <c r="M198" i="31" a="1"/>
  <c r="N197" i="31" a="1"/>
  <c r="L149" i="31" a="1"/>
  <c r="M261" i="31" a="1"/>
  <c r="M177" i="31" a="1"/>
  <c r="M446" i="31" a="1"/>
  <c r="N189" i="31" a="1"/>
  <c r="O52" i="31" a="1"/>
  <c r="O198" i="31" a="1"/>
  <c r="N474" i="31" a="1"/>
  <c r="N54" i="31" a="1"/>
  <c r="O427" i="31" a="1"/>
  <c r="O375" i="31" a="1"/>
  <c r="L367" i="31" a="1"/>
  <c r="O88" i="31" a="1"/>
  <c r="M74" i="31" a="1"/>
  <c r="L332" i="31" a="1"/>
  <c r="O389" i="31" a="1"/>
  <c r="N181" i="31" a="1"/>
  <c r="O501" i="31" a="1"/>
  <c r="O167" i="31" a="1"/>
  <c r="M75" i="31" a="1"/>
  <c r="M282" i="31" a="1"/>
  <c r="M493" i="31" a="1"/>
  <c r="M199" i="31" a="1"/>
  <c r="M330" i="31" a="1"/>
  <c r="N154" i="31" a="1"/>
  <c r="N385" i="31" a="1"/>
  <c r="M119" i="31" a="1"/>
  <c r="M469" i="31" a="1"/>
  <c r="N61" i="31" a="1"/>
  <c r="O210" i="31" a="1"/>
  <c r="N406" i="31" a="1"/>
  <c r="N193" i="31" a="1"/>
  <c r="N502" i="31" a="1"/>
  <c r="L195" i="31" a="1"/>
  <c r="L496" i="31" a="1"/>
  <c r="L100" i="31" a="1"/>
  <c r="P113" i="31" a="1"/>
  <c r="P264" i="31" a="1"/>
  <c r="P413" i="31" a="1"/>
  <c r="P398" i="31" a="1"/>
  <c r="P66" i="31" a="1"/>
  <c r="P312" i="31" a="1"/>
  <c r="P308" i="31" a="1"/>
  <c r="P404" i="31" a="1"/>
  <c r="P311" i="31" a="1"/>
  <c r="P429" i="31" a="1"/>
  <c r="P373" i="31" a="1"/>
  <c r="P506" i="31" a="1"/>
  <c r="P228" i="31" a="1"/>
  <c r="P356" i="31" a="1"/>
  <c r="P155" i="31" a="1"/>
  <c r="P440" i="31" a="1"/>
  <c r="M216" i="31" a="1"/>
  <c r="M400" i="31" a="1"/>
  <c r="L114" i="31" a="1"/>
  <c r="L215" i="31" a="1"/>
  <c r="O150" i="31" a="1"/>
  <c r="L280" i="31" a="1"/>
  <c r="M49" i="31" a="1"/>
  <c r="N177" i="31" a="1"/>
  <c r="M329" i="31" a="1"/>
  <c r="N47" i="31" a="1"/>
  <c r="N227" i="31" a="1"/>
  <c r="N176" i="31" a="1"/>
  <c r="M529" i="31" a="1"/>
  <c r="N34" i="31" a="1"/>
  <c r="M530" i="31" a="1"/>
  <c r="N430" i="31" a="1"/>
  <c r="M373" i="31" a="1"/>
  <c r="M129" i="31" a="1"/>
  <c r="M497" i="31" a="1"/>
  <c r="O165" i="31" a="1"/>
  <c r="O174" i="31" a="1"/>
  <c r="L339" i="31" a="1"/>
  <c r="M127" i="31" a="1"/>
  <c r="L32" i="31" a="1"/>
  <c r="O152" i="31" a="1"/>
  <c r="N453" i="31" a="1"/>
  <c r="L111" i="31" a="1"/>
  <c r="N39" i="31" a="1"/>
  <c r="O98" i="31" a="1"/>
  <c r="O484" i="31" a="1"/>
  <c r="O479" i="31" a="1"/>
  <c r="M435" i="31" a="1"/>
  <c r="O347" i="31" a="1"/>
  <c r="N494" i="31" a="1"/>
  <c r="L511" i="31" a="1"/>
  <c r="N172" i="31" a="1"/>
  <c r="O449" i="31" a="1"/>
  <c r="L106" i="31" a="1"/>
  <c r="O354" i="31" a="1"/>
  <c r="L147" i="31" a="1"/>
  <c r="N345" i="31" a="1"/>
  <c r="O309" i="31" a="1"/>
  <c r="M246" i="31" a="1"/>
  <c r="O435" i="31" a="1"/>
  <c r="O259" i="31" a="1"/>
  <c r="O56" i="31" a="1"/>
  <c r="N387" i="31" a="1"/>
  <c r="M237" i="31" a="1"/>
  <c r="O47" i="31" a="1"/>
  <c r="M108" i="31" a="1"/>
  <c r="M262" i="31" a="1"/>
  <c r="L377" i="31" a="1"/>
  <c r="O46" i="31" a="1"/>
  <c r="N501" i="31" a="1"/>
  <c r="N484" i="31" a="1"/>
  <c r="N301" i="31" a="1"/>
  <c r="O181" i="31" a="1"/>
  <c r="L218" i="31" a="1"/>
  <c r="L429" i="31" a="1"/>
  <c r="M356" i="31" a="1"/>
  <c r="L39" i="31" a="1"/>
  <c r="L430" i="31" a="1"/>
  <c r="P52" i="31" a="1"/>
  <c r="P338" i="31" a="1"/>
  <c r="P377" i="31" a="1"/>
  <c r="P443" i="31" a="1"/>
  <c r="P88" i="31" a="1"/>
  <c r="P202" i="31" a="1"/>
  <c r="P446" i="31" a="1"/>
  <c r="P516" i="31" a="1"/>
  <c r="P89" i="31" a="1"/>
  <c r="P431" i="31" a="1"/>
  <c r="P208" i="31" a="1"/>
  <c r="P301" i="31" a="1"/>
  <c r="P257" i="31" a="1"/>
  <c r="P427" i="31" a="1"/>
  <c r="P190" i="31" a="1"/>
  <c r="P344" i="31" a="1"/>
  <c r="N44" i="31" a="1"/>
  <c r="M144" i="31" a="1"/>
  <c r="M304" i="31" a="1"/>
  <c r="L419" i="31" a="1"/>
  <c r="O298" i="31" a="1"/>
  <c r="M344" i="31" a="1"/>
  <c r="L411" i="31" a="1"/>
  <c r="L191" i="31" a="1"/>
  <c r="N274" i="31" a="1"/>
  <c r="O57" i="31" a="1"/>
  <c r="M138" i="31" a="1"/>
  <c r="L185" i="31" a="1"/>
  <c r="N283" i="31" a="1"/>
  <c r="L305" i="31" a="1"/>
  <c r="O292" i="31" a="1"/>
  <c r="L494" i="31" a="1"/>
  <c r="M500" i="31" a="1"/>
  <c r="L471" i="31" a="1"/>
  <c r="N509" i="31" a="1"/>
  <c r="L311" i="31" a="1"/>
  <c r="M454" i="31" a="1"/>
  <c r="O454" i="31" a="1"/>
  <c r="O73" i="31" a="1"/>
  <c r="N359" i="31" a="1"/>
  <c r="N64" i="31" a="1"/>
  <c r="M64" i="31" a="1"/>
  <c r="O407" i="31" a="1"/>
  <c r="M445" i="31" a="1"/>
  <c r="O487" i="31" a="1"/>
  <c r="L245" i="31" a="1"/>
  <c r="N148" i="31" a="1"/>
  <c r="L529" i="31" a="1"/>
  <c r="N116" i="31" a="1"/>
  <c r="N261" i="31" a="1"/>
  <c r="O511" i="31" a="1"/>
  <c r="L455" i="31" a="1"/>
  <c r="L359" i="31" a="1"/>
  <c r="N56" i="31" a="1"/>
  <c r="O138" i="31" a="1"/>
  <c r="L136" i="31" a="1"/>
  <c r="M328" i="31" a="1"/>
  <c r="M236" i="31" a="1"/>
  <c r="L132" i="31" a="1"/>
  <c r="L272" i="31" a="1"/>
  <c r="N432" i="31" a="1"/>
  <c r="L393" i="31" a="1"/>
  <c r="O353" i="31" a="1"/>
  <c r="L97" i="31" a="1"/>
  <c r="M259" i="31" a="1"/>
  <c r="O201" i="31" a="1"/>
  <c r="L434" i="31" a="1"/>
  <c r="L80" i="31" a="1"/>
  <c r="N457" i="31" a="1"/>
  <c r="L315" i="31" a="1"/>
  <c r="N477" i="31" a="1"/>
  <c r="M319" i="31" a="1"/>
  <c r="N514" i="31" a="1"/>
  <c r="L206" i="31" a="1"/>
  <c r="O495" i="31" a="1"/>
  <c r="O115" i="31" a="1"/>
  <c r="O386" i="31" a="1"/>
  <c r="N196" i="31" a="1"/>
  <c r="M366" i="31" a="1"/>
  <c r="P119" i="31" a="1"/>
  <c r="P106" i="31" a="1"/>
  <c r="P424" i="31" a="1"/>
  <c r="P358" i="31" a="1"/>
  <c r="P188" i="31" a="1"/>
  <c r="P218" i="31" a="1"/>
  <c r="P436" i="31" a="1"/>
  <c r="P450" i="31" a="1"/>
  <c r="P224" i="31" a="1"/>
  <c r="P509" i="31" a="1"/>
  <c r="P77" i="31" a="1"/>
  <c r="P144" i="31" a="1"/>
  <c r="P451" i="31" a="1"/>
  <c r="P86" i="31" a="1"/>
  <c r="P226" i="31" a="1"/>
  <c r="N86" i="31" a="1"/>
  <c r="N228" i="31" a="1"/>
  <c r="M321" i="31" a="1"/>
  <c r="L417" i="31" a="1"/>
  <c r="M206" i="31" a="1"/>
  <c r="O491" i="31" a="1"/>
  <c r="N521" i="31" a="1"/>
  <c r="L178" i="31" a="1"/>
  <c r="N302" i="31" a="1"/>
  <c r="L198" i="31" a="1"/>
  <c r="O516" i="31" a="1"/>
  <c r="L476" i="31" a="1"/>
  <c r="N159" i="31" a="1"/>
  <c r="M41" i="31" a="1"/>
  <c r="O76" i="31" a="1"/>
  <c r="O499" i="31" a="1"/>
  <c r="N195" i="31" a="1"/>
  <c r="N135" i="31" a="1"/>
  <c r="N155" i="31" a="1"/>
  <c r="L85" i="31" a="1"/>
  <c r="O284" i="31" a="1"/>
  <c r="M368" i="31" a="1"/>
  <c r="N216" i="31" a="1"/>
  <c r="N523" i="31" a="1"/>
  <c r="M100" i="31" a="1"/>
  <c r="O327" i="31" a="1"/>
  <c r="M245" i="31" a="1"/>
  <c r="N468" i="31" a="1"/>
  <c r="O343" i="31" a="1"/>
  <c r="M147" i="31" a="1"/>
  <c r="M83" i="31" a="1"/>
  <c r="L316" i="31" a="1"/>
  <c r="N220" i="31" a="1"/>
  <c r="M437" i="31" a="1"/>
  <c r="O527" i="31" a="1"/>
  <c r="N372" i="31" a="1"/>
  <c r="N114" i="31" a="1"/>
  <c r="M327" i="31" a="1"/>
  <c r="O218" i="31" a="1"/>
  <c r="O496" i="31" a="1"/>
  <c r="L88" i="31" a="1"/>
  <c r="M525" i="31" a="1"/>
  <c r="L438" i="31" a="1"/>
  <c r="L397" i="31" a="1"/>
  <c r="L441" i="31" a="1"/>
  <c r="N263" i="31" a="1"/>
  <c r="M184" i="31" a="1"/>
  <c r="L508" i="31" a="1"/>
  <c r="N194" i="31" a="1"/>
  <c r="L514" i="31" a="1"/>
  <c r="L328" i="31" a="1"/>
  <c r="N136" i="31" a="1"/>
  <c r="N268" i="31" a="1"/>
  <c r="N392" i="31" a="1"/>
  <c r="N292" i="31" a="1"/>
  <c r="O322" i="31" a="1"/>
  <c r="P28" i="31" l="1"/>
  <c r="N28" i="31"/>
  <c r="P18" i="31" s="1"/>
  <c r="P19" i="31" s="1"/>
  <c r="O28" i="31"/>
  <c r="M28" i="31"/>
  <c r="L28" i="31"/>
  <c r="P509" i="31"/>
  <c r="P450" i="31"/>
  <c r="V450" i="31" s="1"/>
  <c r="P278" i="31"/>
  <c r="V278" i="31" s="1"/>
  <c r="P495" i="31"/>
  <c r="P449" i="31"/>
  <c r="P399" i="31"/>
  <c r="V399" i="31" s="1"/>
  <c r="P390" i="31"/>
  <c r="V390" i="31" s="1"/>
  <c r="P385" i="31"/>
  <c r="P376" i="31"/>
  <c r="P365" i="31"/>
  <c r="V365" i="31" s="1"/>
  <c r="P358" i="31"/>
  <c r="V358" i="31" s="1"/>
  <c r="P341" i="31"/>
  <c r="P333" i="31"/>
  <c r="P324" i="31"/>
  <c r="V324" i="31" s="1"/>
  <c r="P276" i="31"/>
  <c r="V276" i="31" s="1"/>
  <c r="P262" i="31"/>
  <c r="V262" i="31" s="1"/>
  <c r="P248" i="31"/>
  <c r="P180" i="31"/>
  <c r="V180" i="31" s="1"/>
  <c r="P125" i="31"/>
  <c r="V125" i="31" s="1"/>
  <c r="P500" i="31"/>
  <c r="P445" i="31"/>
  <c r="P395" i="31"/>
  <c r="V395" i="31" s="1"/>
  <c r="P359" i="31"/>
  <c r="V359" i="31" s="1"/>
  <c r="P325" i="31"/>
  <c r="V325" i="31" s="1"/>
  <c r="P249" i="31"/>
  <c r="P513" i="31"/>
  <c r="P463" i="31"/>
  <c r="V463" i="31" s="1"/>
  <c r="P422" i="31"/>
  <c r="P499" i="31"/>
  <c r="P476" i="31"/>
  <c r="V476" i="31" s="1"/>
  <c r="P467" i="31"/>
  <c r="V467" i="31" s="1"/>
  <c r="P458" i="31"/>
  <c r="V458" i="31" s="1"/>
  <c r="P453" i="31"/>
  <c r="P444" i="31"/>
  <c r="V444" i="31" s="1"/>
  <c r="P435" i="31"/>
  <c r="V435" i="31" s="1"/>
  <c r="P426" i="31"/>
  <c r="P421" i="31"/>
  <c r="P412" i="31"/>
  <c r="V412" i="31" s="1"/>
  <c r="P403" i="31"/>
  <c r="V403" i="31" s="1"/>
  <c r="P394" i="31"/>
  <c r="P389" i="31"/>
  <c r="P380" i="31"/>
  <c r="P371" i="31"/>
  <c r="V371" i="31" s="1"/>
  <c r="P364" i="31"/>
  <c r="P357" i="31"/>
  <c r="P349" i="31"/>
  <c r="V349" i="31" s="1"/>
  <c r="P340" i="31"/>
  <c r="V340" i="31" s="1"/>
  <c r="P331" i="31"/>
  <c r="V331" i="31" s="1"/>
  <c r="P314" i="31"/>
  <c r="P303" i="31"/>
  <c r="V303" i="31" s="1"/>
  <c r="P288" i="31"/>
  <c r="V288" i="31" s="1"/>
  <c r="P260" i="31"/>
  <c r="P244" i="31"/>
  <c r="P219" i="31"/>
  <c r="P174" i="31"/>
  <c r="V174" i="31" s="1"/>
  <c r="P117" i="31"/>
  <c r="V117" i="31" s="1"/>
  <c r="P491" i="31"/>
  <c r="P404" i="31"/>
  <c r="V404" i="31" s="1"/>
  <c r="P292" i="31"/>
  <c r="V292" i="31" s="1"/>
  <c r="P486" i="31"/>
  <c r="P408" i="31"/>
  <c r="P521" i="31"/>
  <c r="V521" i="31" s="1"/>
  <c r="P471" i="31"/>
  <c r="V471" i="31" s="1"/>
  <c r="P457" i="31"/>
  <c r="V457" i="31" s="1"/>
  <c r="P416" i="31"/>
  <c r="P407" i="31"/>
  <c r="V407" i="31" s="1"/>
  <c r="P398" i="31"/>
  <c r="V398" i="31" s="1"/>
  <c r="P393" i="31"/>
  <c r="P384" i="31"/>
  <c r="P375" i="31"/>
  <c r="V375" i="31" s="1"/>
  <c r="P363" i="31"/>
  <c r="V363" i="31" s="1"/>
  <c r="P356" i="31"/>
  <c r="V356" i="31" s="1"/>
  <c r="P347" i="31"/>
  <c r="P313" i="31"/>
  <c r="V313" i="31" s="1"/>
  <c r="P287" i="31"/>
  <c r="V287" i="31" s="1"/>
  <c r="P272" i="31"/>
  <c r="P243" i="31"/>
  <c r="P217" i="31"/>
  <c r="V217" i="31" s="1"/>
  <c r="P107" i="31"/>
  <c r="V107" i="31" s="1"/>
  <c r="P482" i="31"/>
  <c r="V482" i="31" s="1"/>
  <c r="P468" i="31"/>
  <c r="P418" i="31"/>
  <c r="V418" i="31" s="1"/>
  <c r="P381" i="31"/>
  <c r="V381" i="31" s="1"/>
  <c r="P342" i="31"/>
  <c r="P304" i="31"/>
  <c r="P265" i="31"/>
  <c r="P527" i="31"/>
  <c r="V527" i="31" s="1"/>
  <c r="P504" i="31"/>
  <c r="V504" i="31" s="1"/>
  <c r="P454" i="31"/>
  <c r="P522" i="31"/>
  <c r="V522" i="31" s="1"/>
  <c r="P490" i="31"/>
  <c r="V490" i="31" s="1"/>
  <c r="P503" i="31"/>
  <c r="P489" i="31"/>
  <c r="P480" i="31"/>
  <c r="V480" i="31" s="1"/>
  <c r="P462" i="31"/>
  <c r="V462" i="31" s="1"/>
  <c r="P448" i="31"/>
  <c r="V448" i="31" s="1"/>
  <c r="P439" i="31"/>
  <c r="P430" i="31"/>
  <c r="V430" i="31" s="1"/>
  <c r="P425" i="31"/>
  <c r="V425" i="31" s="1"/>
  <c r="P530" i="31"/>
  <c r="P525" i="31"/>
  <c r="P516" i="31"/>
  <c r="P507" i="31"/>
  <c r="V507" i="31" s="1"/>
  <c r="P498" i="31"/>
  <c r="V498" i="31" s="1"/>
  <c r="P493" i="31"/>
  <c r="P484" i="31"/>
  <c r="V484" i="31" s="1"/>
  <c r="P475" i="31"/>
  <c r="V475" i="31" s="1"/>
  <c r="P466" i="31"/>
  <c r="P461" i="31"/>
  <c r="P452" i="31"/>
  <c r="V452" i="31" s="1"/>
  <c r="P443" i="31"/>
  <c r="V443" i="31" s="1"/>
  <c r="P434" i="31"/>
  <c r="V434" i="31" s="1"/>
  <c r="P429" i="31"/>
  <c r="P420" i="31"/>
  <c r="P411" i="31"/>
  <c r="V411" i="31" s="1"/>
  <c r="P402" i="31"/>
  <c r="P397" i="31"/>
  <c r="P388" i="31"/>
  <c r="V388" i="31" s="1"/>
  <c r="P379" i="31"/>
  <c r="V379" i="31" s="1"/>
  <c r="P370" i="31"/>
  <c r="V370" i="31" s="1"/>
  <c r="P330" i="31"/>
  <c r="P320" i="31"/>
  <c r="V320" i="31" s="1"/>
  <c r="P310" i="31"/>
  <c r="V310" i="31" s="1"/>
  <c r="P299" i="31"/>
  <c r="P271" i="31"/>
  <c r="P256" i="31"/>
  <c r="P238" i="31"/>
  <c r="V238" i="31" s="1"/>
  <c r="P212" i="31"/>
  <c r="P161" i="31"/>
  <c r="P436" i="31"/>
  <c r="V436" i="31" s="1"/>
  <c r="P225" i="31"/>
  <c r="V225" i="31" s="1"/>
  <c r="P440" i="31"/>
  <c r="P531" i="31"/>
  <c r="P526" i="31"/>
  <c r="V526" i="31" s="1"/>
  <c r="P511" i="31"/>
  <c r="V511" i="31" s="1"/>
  <c r="P479" i="31"/>
  <c r="V479" i="31" s="1"/>
  <c r="P456" i="31"/>
  <c r="P438" i="31"/>
  <c r="P424" i="31"/>
  <c r="V424" i="31" s="1"/>
  <c r="P415" i="31"/>
  <c r="P406" i="31"/>
  <c r="P401" i="31"/>
  <c r="V401" i="31" s="1"/>
  <c r="P392" i="31"/>
  <c r="V392" i="31" s="1"/>
  <c r="P383" i="31"/>
  <c r="V383" i="31" s="1"/>
  <c r="P374" i="31"/>
  <c r="P368" i="31"/>
  <c r="V368" i="31" s="1"/>
  <c r="P362" i="31"/>
  <c r="V362" i="31" s="1"/>
  <c r="P346" i="31"/>
  <c r="P336" i="31"/>
  <c r="P329" i="31"/>
  <c r="V329" i="31" s="1"/>
  <c r="P309" i="31"/>
  <c r="V309" i="31" s="1"/>
  <c r="P298" i="31"/>
  <c r="V298" i="31" s="1"/>
  <c r="P283" i="31"/>
  <c r="P255" i="31"/>
  <c r="V255" i="31" s="1"/>
  <c r="P236" i="31"/>
  <c r="V236" i="31" s="1"/>
  <c r="P206" i="31"/>
  <c r="P155" i="31"/>
  <c r="P83" i="31"/>
  <c r="V83" i="31" s="1"/>
  <c r="P523" i="31"/>
  <c r="V523" i="31" s="1"/>
  <c r="P427" i="31"/>
  <c r="V427" i="31" s="1"/>
  <c r="P372" i="31"/>
  <c r="P315" i="31"/>
  <c r="V315" i="31" s="1"/>
  <c r="P133" i="31"/>
  <c r="V133" i="31" s="1"/>
  <c r="P481" i="31"/>
  <c r="P417" i="31"/>
  <c r="P517" i="31"/>
  <c r="V517" i="31" s="1"/>
  <c r="P529" i="31"/>
  <c r="V529" i="31" s="1"/>
  <c r="P502" i="31"/>
  <c r="V502" i="31" s="1"/>
  <c r="P488" i="31"/>
  <c r="P470" i="31"/>
  <c r="V470" i="31" s="1"/>
  <c r="P447" i="31"/>
  <c r="V447" i="31" s="1"/>
  <c r="P506" i="31"/>
  <c r="P474" i="31"/>
  <c r="P460" i="31"/>
  <c r="V460" i="31" s="1"/>
  <c r="P442" i="31"/>
  <c r="V442" i="31" s="1"/>
  <c r="P419" i="31"/>
  <c r="P405" i="31"/>
  <c r="P396" i="31"/>
  <c r="P387" i="31"/>
  <c r="V387" i="31" s="1"/>
  <c r="P378" i="31"/>
  <c r="P373" i="31"/>
  <c r="P361" i="31"/>
  <c r="V361" i="31" s="1"/>
  <c r="P352" i="31"/>
  <c r="V352" i="31" s="1"/>
  <c r="P345" i="31"/>
  <c r="V345" i="31" s="1"/>
  <c r="P319" i="31"/>
  <c r="P308" i="31"/>
  <c r="V308" i="31" s="1"/>
  <c r="P297" i="31"/>
  <c r="V297" i="31" s="1"/>
  <c r="P282" i="31"/>
  <c r="P267" i="31"/>
  <c r="P148" i="31"/>
  <c r="V148" i="31" s="1"/>
  <c r="P67" i="31"/>
  <c r="V67" i="31" s="1"/>
  <c r="P514" i="31"/>
  <c r="V514" i="31" s="1"/>
  <c r="P477" i="31"/>
  <c r="P459" i="31"/>
  <c r="V459" i="31" s="1"/>
  <c r="P413" i="31"/>
  <c r="V413" i="31" s="1"/>
  <c r="P386" i="31"/>
  <c r="P351" i="31"/>
  <c r="P187" i="31"/>
  <c r="V187" i="31" s="1"/>
  <c r="P518" i="31"/>
  <c r="V518" i="31" s="1"/>
  <c r="P472" i="31"/>
  <c r="V472" i="31" s="1"/>
  <c r="P431" i="31"/>
  <c r="P508" i="31"/>
  <c r="V508" i="31" s="1"/>
  <c r="P485" i="31"/>
  <c r="V485" i="31" s="1"/>
  <c r="P512" i="31"/>
  <c r="P494" i="31"/>
  <c r="P520" i="31"/>
  <c r="V520" i="31" s="1"/>
  <c r="P497" i="31"/>
  <c r="V497" i="31" s="1"/>
  <c r="P465" i="31"/>
  <c r="V465" i="31" s="1"/>
  <c r="P433" i="31"/>
  <c r="P524" i="31"/>
  <c r="P515" i="31"/>
  <c r="V515" i="31" s="1"/>
  <c r="P501" i="31"/>
  <c r="P492" i="31"/>
  <c r="P483" i="31"/>
  <c r="V483" i="31" s="1"/>
  <c r="P469" i="31"/>
  <c r="V469" i="31" s="1"/>
  <c r="P451" i="31"/>
  <c r="V451" i="31" s="1"/>
  <c r="P437" i="31"/>
  <c r="P428" i="31"/>
  <c r="V428" i="31" s="1"/>
  <c r="P410" i="31"/>
  <c r="V410" i="31" s="1"/>
  <c r="P528" i="31"/>
  <c r="P519" i="31"/>
  <c r="P510" i="31"/>
  <c r="V510" i="31" s="1"/>
  <c r="P505" i="31"/>
  <c r="V505" i="31" s="1"/>
  <c r="P496" i="31"/>
  <c r="V496" i="31" s="1"/>
  <c r="P487" i="31"/>
  <c r="P478" i="31"/>
  <c r="V478" i="31" s="1"/>
  <c r="P473" i="31"/>
  <c r="V473" i="31" s="1"/>
  <c r="P464" i="31"/>
  <c r="P455" i="31"/>
  <c r="P446" i="31"/>
  <c r="P441" i="31"/>
  <c r="V441" i="31" s="1"/>
  <c r="P432" i="31"/>
  <c r="V432" i="31" s="1"/>
  <c r="P423" i="31"/>
  <c r="P414" i="31"/>
  <c r="V414" i="31" s="1"/>
  <c r="P409" i="31"/>
  <c r="V409" i="31" s="1"/>
  <c r="P400" i="31"/>
  <c r="P391" i="31"/>
  <c r="P382" i="31"/>
  <c r="P377" i="31"/>
  <c r="V377" i="31" s="1"/>
  <c r="P367" i="31"/>
  <c r="V367" i="31" s="1"/>
  <c r="P335" i="31"/>
  <c r="P326" i="31"/>
  <c r="P294" i="31"/>
  <c r="V294" i="31" s="1"/>
  <c r="P281" i="31"/>
  <c r="P266" i="31"/>
  <c r="P251" i="31"/>
  <c r="V251" i="31" s="1"/>
  <c r="P230" i="31"/>
  <c r="V230" i="31" s="1"/>
  <c r="P193" i="31"/>
  <c r="V193" i="31" s="1"/>
  <c r="P141" i="31"/>
  <c r="P51" i="31"/>
  <c r="V51" i="31" s="1"/>
  <c r="P293" i="31"/>
  <c r="V293" i="31" s="1"/>
  <c r="P277" i="31"/>
  <c r="P261" i="31"/>
  <c r="P250" i="31"/>
  <c r="V250" i="31" s="1"/>
  <c r="P237" i="31"/>
  <c r="V237" i="31" s="1"/>
  <c r="P231" i="31"/>
  <c r="V231" i="31" s="1"/>
  <c r="P224" i="31"/>
  <c r="P218" i="31"/>
  <c r="V218" i="31" s="1"/>
  <c r="P205" i="31"/>
  <c r="V205" i="31" s="1"/>
  <c r="P199" i="31"/>
  <c r="P192" i="31"/>
  <c r="P186" i="31"/>
  <c r="V186" i="31" s="1"/>
  <c r="P173" i="31"/>
  <c r="V173" i="31" s="1"/>
  <c r="P167" i="31"/>
  <c r="V167" i="31" s="1"/>
  <c r="P160" i="31"/>
  <c r="P154" i="31"/>
  <c r="V154" i="31" s="1"/>
  <c r="P106" i="31"/>
  <c r="V106" i="31" s="1"/>
  <c r="P95" i="31"/>
  <c r="P211" i="31"/>
  <c r="P204" i="31"/>
  <c r="V204" i="31" s="1"/>
  <c r="P198" i="31"/>
  <c r="V198" i="31" s="1"/>
  <c r="P185" i="31"/>
  <c r="V185" i="31" s="1"/>
  <c r="P179" i="31"/>
  <c r="P172" i="31"/>
  <c r="P166" i="31"/>
  <c r="V166" i="31" s="1"/>
  <c r="P153" i="31"/>
  <c r="P147" i="31"/>
  <c r="P139" i="31"/>
  <c r="V139" i="31" s="1"/>
  <c r="P131" i="31"/>
  <c r="V131" i="31" s="1"/>
  <c r="P123" i="31"/>
  <c r="P115" i="31"/>
  <c r="P94" i="31"/>
  <c r="P79" i="31"/>
  <c r="V79" i="31" s="1"/>
  <c r="P63" i="31"/>
  <c r="P47" i="31"/>
  <c r="P242" i="31"/>
  <c r="V242" i="31" s="1"/>
  <c r="P229" i="31"/>
  <c r="V229" i="31" s="1"/>
  <c r="P223" i="31"/>
  <c r="P216" i="31"/>
  <c r="P210" i="31"/>
  <c r="V210" i="31" s="1"/>
  <c r="P197" i="31"/>
  <c r="V197" i="31" s="1"/>
  <c r="P191" i="31"/>
  <c r="P184" i="31"/>
  <c r="P178" i="31"/>
  <c r="P165" i="31"/>
  <c r="V165" i="31" s="1"/>
  <c r="P159" i="31"/>
  <c r="V159" i="31" s="1"/>
  <c r="P152" i="31"/>
  <c r="P146" i="31"/>
  <c r="P138" i="31"/>
  <c r="V138" i="31" s="1"/>
  <c r="P130" i="31"/>
  <c r="P122" i="31"/>
  <c r="P114" i="31"/>
  <c r="V114" i="31" s="1"/>
  <c r="P103" i="31"/>
  <c r="V103" i="31" s="1"/>
  <c r="P366" i="31"/>
  <c r="V366" i="31" s="1"/>
  <c r="P360" i="31"/>
  <c r="P355" i="31"/>
  <c r="V355" i="31" s="1"/>
  <c r="P350" i="31"/>
  <c r="V350" i="31" s="1"/>
  <c r="P344" i="31"/>
  <c r="P339" i="31"/>
  <c r="P334" i="31"/>
  <c r="V334" i="31" s="1"/>
  <c r="P328" i="31"/>
  <c r="V328" i="31" s="1"/>
  <c r="P323" i="31"/>
  <c r="V323" i="31" s="1"/>
  <c r="P318" i="31"/>
  <c r="P312" i="31"/>
  <c r="V312" i="31" s="1"/>
  <c r="P307" i="31"/>
  <c r="V307" i="31" s="1"/>
  <c r="P302" i="31"/>
  <c r="P296" i="31"/>
  <c r="P291" i="31"/>
  <c r="V291" i="31" s="1"/>
  <c r="P286" i="31"/>
  <c r="V286" i="31" s="1"/>
  <c r="P280" i="31"/>
  <c r="P275" i="31"/>
  <c r="P270" i="31"/>
  <c r="V270" i="31" s="1"/>
  <c r="P264" i="31"/>
  <c r="V264" i="31" s="1"/>
  <c r="P259" i="31"/>
  <c r="P254" i="31"/>
  <c r="P241" i="31"/>
  <c r="V241" i="31" s="1"/>
  <c r="P235" i="31"/>
  <c r="V235" i="31" s="1"/>
  <c r="P228" i="31"/>
  <c r="V228" i="31" s="1"/>
  <c r="P222" i="31"/>
  <c r="P209" i="31"/>
  <c r="V209" i="31" s="1"/>
  <c r="P203" i="31"/>
  <c r="V203" i="31" s="1"/>
  <c r="P196" i="31"/>
  <c r="P190" i="31"/>
  <c r="P177" i="31"/>
  <c r="V177" i="31" s="1"/>
  <c r="P171" i="31"/>
  <c r="V171" i="31" s="1"/>
  <c r="P164" i="31"/>
  <c r="V164" i="31" s="1"/>
  <c r="P158" i="31"/>
  <c r="P145" i="31"/>
  <c r="V145" i="31" s="1"/>
  <c r="P137" i="31"/>
  <c r="V137" i="31" s="1"/>
  <c r="P129" i="31"/>
  <c r="P121" i="31"/>
  <c r="P102" i="31"/>
  <c r="V102" i="31" s="1"/>
  <c r="P91" i="31"/>
  <c r="V91" i="31" s="1"/>
  <c r="P75" i="31"/>
  <c r="P59" i="31"/>
  <c r="P43" i="31"/>
  <c r="V43" i="31" s="1"/>
  <c r="P317" i="31"/>
  <c r="V317" i="31" s="1"/>
  <c r="P301" i="31"/>
  <c r="P285" i="31"/>
  <c r="P269" i="31"/>
  <c r="P253" i="31"/>
  <c r="V253" i="31" s="1"/>
  <c r="P247" i="31"/>
  <c r="P240" i="31"/>
  <c r="P234" i="31"/>
  <c r="V234" i="31" s="1"/>
  <c r="P221" i="31"/>
  <c r="V221" i="31" s="1"/>
  <c r="P215" i="31"/>
  <c r="P208" i="31"/>
  <c r="P202" i="31"/>
  <c r="V202" i="31" s="1"/>
  <c r="P189" i="31"/>
  <c r="V189" i="31" s="1"/>
  <c r="P183" i="31"/>
  <c r="V183" i="31" s="1"/>
  <c r="P176" i="31"/>
  <c r="P170" i="31"/>
  <c r="V170" i="31" s="1"/>
  <c r="P157" i="31"/>
  <c r="V157" i="31" s="1"/>
  <c r="P151" i="31"/>
  <c r="P111" i="31"/>
  <c r="P348" i="31"/>
  <c r="P338" i="31"/>
  <c r="V338" i="31" s="1"/>
  <c r="P327" i="31"/>
  <c r="V327" i="31" s="1"/>
  <c r="P311" i="31"/>
  <c r="P300" i="31"/>
  <c r="V300" i="31" s="1"/>
  <c r="P295" i="31"/>
  <c r="V295" i="31" s="1"/>
  <c r="P290" i="31"/>
  <c r="P279" i="31"/>
  <c r="P274" i="31"/>
  <c r="V274" i="31" s="1"/>
  <c r="P268" i="31"/>
  <c r="V268" i="31" s="1"/>
  <c r="P263" i="31"/>
  <c r="V263" i="31" s="1"/>
  <c r="P258" i="31"/>
  <c r="P252" i="31"/>
  <c r="V252" i="31" s="1"/>
  <c r="P246" i="31"/>
  <c r="V246" i="31" s="1"/>
  <c r="P233" i="31"/>
  <c r="P227" i="31"/>
  <c r="P220" i="31"/>
  <c r="V220" i="31" s="1"/>
  <c r="P214" i="31"/>
  <c r="V214" i="31" s="1"/>
  <c r="P201" i="31"/>
  <c r="P195" i="31"/>
  <c r="P188" i="31"/>
  <c r="V188" i="31" s="1"/>
  <c r="P182" i="31"/>
  <c r="V182" i="31" s="1"/>
  <c r="P169" i="31"/>
  <c r="P163" i="31"/>
  <c r="P156" i="31"/>
  <c r="P150" i="31"/>
  <c r="V150" i="31" s="1"/>
  <c r="P143" i="31"/>
  <c r="V143" i="31" s="1"/>
  <c r="P135" i="31"/>
  <c r="P127" i="31"/>
  <c r="V127" i="31" s="1"/>
  <c r="P119" i="31"/>
  <c r="V119" i="31" s="1"/>
  <c r="P110" i="31"/>
  <c r="P99" i="31"/>
  <c r="P87" i="31"/>
  <c r="V87" i="31" s="1"/>
  <c r="P71" i="31"/>
  <c r="V71" i="31" s="1"/>
  <c r="P55" i="31"/>
  <c r="V55" i="31" s="1"/>
  <c r="P39" i="31"/>
  <c r="P354" i="31"/>
  <c r="V354" i="31" s="1"/>
  <c r="P343" i="31"/>
  <c r="V343" i="31" s="1"/>
  <c r="P332" i="31"/>
  <c r="P322" i="31"/>
  <c r="P316" i="31"/>
  <c r="V316" i="31" s="1"/>
  <c r="P306" i="31"/>
  <c r="V306" i="31" s="1"/>
  <c r="P284" i="31"/>
  <c r="V284" i="31" s="1"/>
  <c r="P369" i="31"/>
  <c r="P353" i="31"/>
  <c r="V353" i="31" s="1"/>
  <c r="P337" i="31"/>
  <c r="V337" i="31" s="1"/>
  <c r="P321" i="31"/>
  <c r="P305" i="31"/>
  <c r="P289" i="31"/>
  <c r="V289" i="31" s="1"/>
  <c r="P273" i="31"/>
  <c r="V273" i="31" s="1"/>
  <c r="P257" i="31"/>
  <c r="V257" i="31" s="1"/>
  <c r="P245" i="31"/>
  <c r="P239" i="31"/>
  <c r="V239" i="31" s="1"/>
  <c r="P232" i="31"/>
  <c r="V232" i="31" s="1"/>
  <c r="P226" i="31"/>
  <c r="P213" i="31"/>
  <c r="P207" i="31"/>
  <c r="V207" i="31" s="1"/>
  <c r="P200" i="31"/>
  <c r="V200" i="31" s="1"/>
  <c r="P194" i="31"/>
  <c r="V194" i="31" s="1"/>
  <c r="P181" i="31"/>
  <c r="P175" i="31"/>
  <c r="P168" i="31"/>
  <c r="V168" i="31" s="1"/>
  <c r="P162" i="31"/>
  <c r="P149" i="31"/>
  <c r="P142" i="31"/>
  <c r="V142" i="31" s="1"/>
  <c r="P134" i="31"/>
  <c r="V134" i="31" s="1"/>
  <c r="P126" i="31"/>
  <c r="V126" i="31" s="1"/>
  <c r="P118" i="31"/>
  <c r="P98" i="31"/>
  <c r="V98" i="31" s="1"/>
  <c r="P35" i="31"/>
  <c r="V35" i="31" s="1"/>
  <c r="P90" i="31"/>
  <c r="P86" i="31"/>
  <c r="P82" i="31"/>
  <c r="V82" i="31" s="1"/>
  <c r="P78" i="31"/>
  <c r="V78" i="31" s="1"/>
  <c r="P74" i="31"/>
  <c r="P70" i="31"/>
  <c r="P66" i="31"/>
  <c r="V66" i="31" s="1"/>
  <c r="P62" i="31"/>
  <c r="V62" i="31" s="1"/>
  <c r="P58" i="31"/>
  <c r="P54" i="31"/>
  <c r="P50" i="31"/>
  <c r="V50" i="31" s="1"/>
  <c r="P46" i="31"/>
  <c r="V46" i="31" s="1"/>
  <c r="P42" i="31"/>
  <c r="P38" i="31"/>
  <c r="P34" i="31"/>
  <c r="V34" i="31" s="1"/>
  <c r="P113" i="31"/>
  <c r="V113" i="31" s="1"/>
  <c r="P109" i="31"/>
  <c r="P105" i="31"/>
  <c r="P101" i="31"/>
  <c r="V101" i="31" s="1"/>
  <c r="P97" i="31"/>
  <c r="V97" i="31" s="1"/>
  <c r="P93" i="31"/>
  <c r="V93" i="31" s="1"/>
  <c r="P89" i="31"/>
  <c r="P85" i="31"/>
  <c r="V85" i="31" s="1"/>
  <c r="P81" i="31"/>
  <c r="V81" i="31" s="1"/>
  <c r="P77" i="31"/>
  <c r="P73" i="31"/>
  <c r="P69" i="31"/>
  <c r="P65" i="31"/>
  <c r="V65" i="31" s="1"/>
  <c r="P61" i="31"/>
  <c r="V61" i="31" s="1"/>
  <c r="P57" i="31"/>
  <c r="P53" i="31"/>
  <c r="P49" i="31"/>
  <c r="V49" i="31" s="1"/>
  <c r="P45" i="31"/>
  <c r="P41" i="31"/>
  <c r="P37" i="31"/>
  <c r="V37" i="31" s="1"/>
  <c r="P33" i="31"/>
  <c r="V33" i="31" s="1"/>
  <c r="P144" i="31"/>
  <c r="V144" i="31" s="1"/>
  <c r="P140" i="31"/>
  <c r="P136" i="31"/>
  <c r="P132" i="31"/>
  <c r="V132" i="31" s="1"/>
  <c r="P128" i="31"/>
  <c r="P124" i="31"/>
  <c r="P120" i="31"/>
  <c r="V120" i="31" s="1"/>
  <c r="P116" i="31"/>
  <c r="V116" i="31" s="1"/>
  <c r="P112" i="31"/>
  <c r="V112" i="31" s="1"/>
  <c r="P108" i="31"/>
  <c r="P104" i="31"/>
  <c r="V104" i="31" s="1"/>
  <c r="P100" i="31"/>
  <c r="V100" i="31" s="1"/>
  <c r="P96" i="31"/>
  <c r="P92" i="31"/>
  <c r="P88" i="31"/>
  <c r="V88" i="31" s="1"/>
  <c r="P84" i="31"/>
  <c r="V84" i="31" s="1"/>
  <c r="P80" i="31"/>
  <c r="P76" i="31"/>
  <c r="P72" i="31"/>
  <c r="V72" i="31" s="1"/>
  <c r="P68" i="31"/>
  <c r="V68" i="31" s="1"/>
  <c r="P64" i="31"/>
  <c r="P60" i="31"/>
  <c r="P56" i="31"/>
  <c r="P52" i="31"/>
  <c r="V52" i="31" s="1"/>
  <c r="P48" i="31"/>
  <c r="V48" i="31" s="1"/>
  <c r="P44" i="31"/>
  <c r="P40" i="31"/>
  <c r="V40" i="31" s="1"/>
  <c r="P36" i="31"/>
  <c r="V36" i="31" s="1"/>
  <c r="P32" i="31"/>
  <c r="M526" i="31"/>
  <c r="N515" i="31"/>
  <c r="M507" i="31"/>
  <c r="N496" i="31"/>
  <c r="O487" i="31"/>
  <c r="M475" i="31"/>
  <c r="N435" i="31"/>
  <c r="M375" i="31"/>
  <c r="M528" i="31"/>
  <c r="O523" i="31"/>
  <c r="O521" i="31"/>
  <c r="N519" i="31"/>
  <c r="N517" i="31"/>
  <c r="M513" i="31"/>
  <c r="M511" i="31"/>
  <c r="O508" i="31"/>
  <c r="O506" i="31"/>
  <c r="N502" i="31"/>
  <c r="N500" i="31"/>
  <c r="M498" i="31"/>
  <c r="M496" i="31"/>
  <c r="O491" i="31"/>
  <c r="O489" i="31"/>
  <c r="N487" i="31"/>
  <c r="N481" i="31"/>
  <c r="T481" i="31" s="1"/>
  <c r="M474" i="31"/>
  <c r="M471" i="31"/>
  <c r="M467" i="31"/>
  <c r="O461" i="31"/>
  <c r="N456" i="31"/>
  <c r="M451" i="31"/>
  <c r="O445" i="31"/>
  <c r="N440" i="31"/>
  <c r="T440" i="31" s="1"/>
  <c r="M435" i="31"/>
  <c r="O429" i="31"/>
  <c r="N424" i="31"/>
  <c r="M418" i="31"/>
  <c r="N407" i="31"/>
  <c r="O396" i="31"/>
  <c r="M386" i="31"/>
  <c r="M373" i="31"/>
  <c r="N315" i="31"/>
  <c r="O517" i="31"/>
  <c r="M478" i="31"/>
  <c r="N451" i="31"/>
  <c r="O424" i="31"/>
  <c r="O408" i="31"/>
  <c r="O525" i="31"/>
  <c r="M515" i="31"/>
  <c r="O512" i="31"/>
  <c r="O510" i="31"/>
  <c r="N506" i="31"/>
  <c r="N504" i="31"/>
  <c r="M502" i="31"/>
  <c r="M500" i="31"/>
  <c r="O495" i="31"/>
  <c r="O493" i="31"/>
  <c r="N491" i="31"/>
  <c r="N489" i="31"/>
  <c r="N484" i="31"/>
  <c r="O480" i="31"/>
  <c r="O477" i="31"/>
  <c r="M470" i="31"/>
  <c r="M466" i="31"/>
  <c r="O460" i="31"/>
  <c r="N455" i="31"/>
  <c r="M450" i="31"/>
  <c r="O444" i="31"/>
  <c r="N439" i="31"/>
  <c r="M434" i="31"/>
  <c r="O428" i="31"/>
  <c r="N423" i="31"/>
  <c r="O416" i="31"/>
  <c r="M406" i="31"/>
  <c r="N395" i="31"/>
  <c r="O384" i="31"/>
  <c r="N371" i="31"/>
  <c r="O353" i="31"/>
  <c r="O304" i="31"/>
  <c r="O504" i="31"/>
  <c r="O484" i="31"/>
  <c r="M446" i="31"/>
  <c r="M322" i="31"/>
  <c r="N527" i="31"/>
  <c r="O516" i="31"/>
  <c r="N510" i="31"/>
  <c r="N508" i="31"/>
  <c r="M506" i="31"/>
  <c r="M504" i="31"/>
  <c r="O499" i="31"/>
  <c r="O497" i="31"/>
  <c r="N495" i="31"/>
  <c r="N493" i="31"/>
  <c r="M489" i="31"/>
  <c r="M487" i="31"/>
  <c r="N483" i="31"/>
  <c r="O476" i="31"/>
  <c r="O473" i="31"/>
  <c r="O465" i="31"/>
  <c r="N460" i="31"/>
  <c r="M455" i="31"/>
  <c r="O449" i="31"/>
  <c r="N444" i="31"/>
  <c r="M439" i="31"/>
  <c r="O433" i="31"/>
  <c r="N428" i="31"/>
  <c r="M423" i="31"/>
  <c r="N415" i="31"/>
  <c r="O404" i="31"/>
  <c r="M394" i="31"/>
  <c r="N383" i="31"/>
  <c r="O369" i="31"/>
  <c r="O348" i="31"/>
  <c r="M294" i="31"/>
  <c r="N513" i="31"/>
  <c r="O456" i="31"/>
  <c r="M419" i="31"/>
  <c r="O531" i="31"/>
  <c r="M517" i="31"/>
  <c r="M521" i="31"/>
  <c r="M525" i="31"/>
  <c r="N514" i="31"/>
  <c r="N512" i="31"/>
  <c r="M508" i="31"/>
  <c r="O503" i="31"/>
  <c r="O501" i="31"/>
  <c r="N499" i="31"/>
  <c r="N497" i="31"/>
  <c r="M493" i="31"/>
  <c r="M491" i="31"/>
  <c r="O488" i="31"/>
  <c r="O486" i="31"/>
  <c r="N480" i="31"/>
  <c r="O472" i="31"/>
  <c r="O469" i="31"/>
  <c r="O464" i="31"/>
  <c r="N459" i="31"/>
  <c r="T459" i="31" s="1"/>
  <c r="M454" i="31"/>
  <c r="O448" i="31"/>
  <c r="N443" i="31"/>
  <c r="M438" i="31"/>
  <c r="O432" i="31"/>
  <c r="N427" i="31"/>
  <c r="M422" i="31"/>
  <c r="M414" i="31"/>
  <c r="N403" i="31"/>
  <c r="O392" i="31"/>
  <c r="M382" i="31"/>
  <c r="O367" i="31"/>
  <c r="N343" i="31"/>
  <c r="N283" i="31"/>
  <c r="N528" i="31"/>
  <c r="M492" i="31"/>
  <c r="O440" i="31"/>
  <c r="N523" i="31"/>
  <c r="O529" i="31"/>
  <c r="O518" i="31"/>
  <c r="M531" i="31"/>
  <c r="O524" i="31"/>
  <c r="N518" i="31"/>
  <c r="M514" i="31"/>
  <c r="O505" i="31"/>
  <c r="N501" i="31"/>
  <c r="M497" i="31"/>
  <c r="O492" i="31"/>
  <c r="O490" i="31"/>
  <c r="M486" i="31"/>
  <c r="M483" i="31"/>
  <c r="N479" i="31"/>
  <c r="T479" i="31" s="1"/>
  <c r="N476" i="31"/>
  <c r="O468" i="31"/>
  <c r="N464" i="31"/>
  <c r="M459" i="31"/>
  <c r="O453" i="31"/>
  <c r="N448" i="31"/>
  <c r="M443" i="31"/>
  <c r="O437" i="31"/>
  <c r="N432" i="31"/>
  <c r="M427" i="31"/>
  <c r="O421" i="31"/>
  <c r="O412" i="31"/>
  <c r="M402" i="31"/>
  <c r="N391" i="31"/>
  <c r="N380" i="31"/>
  <c r="O365" i="31"/>
  <c r="M338" i="31"/>
  <c r="O266" i="31"/>
  <c r="O519" i="31"/>
  <c r="M509" i="31"/>
  <c r="O502" i="31"/>
  <c r="M494" i="31"/>
  <c r="O481" i="31"/>
  <c r="N467" i="31"/>
  <c r="T467" i="31" s="1"/>
  <c r="M430" i="31"/>
  <c r="N387" i="31"/>
  <c r="M530" i="31"/>
  <c r="N521" i="31"/>
  <c r="N525" i="31"/>
  <c r="O514" i="31"/>
  <c r="N529" i="31"/>
  <c r="O520" i="31"/>
  <c r="M510" i="31"/>
  <c r="M529" i="31"/>
  <c r="M527" i="31"/>
  <c r="O522" i="31"/>
  <c r="N516" i="31"/>
  <c r="M512" i="31"/>
  <c r="O507" i="31"/>
  <c r="N503" i="31"/>
  <c r="T503" i="31" s="1"/>
  <c r="M495" i="31"/>
  <c r="O530" i="31"/>
  <c r="O528" i="31"/>
  <c r="O526" i="31"/>
  <c r="N522" i="31"/>
  <c r="N520" i="31"/>
  <c r="M518" i="31"/>
  <c r="M516" i="31"/>
  <c r="O511" i="31"/>
  <c r="O509" i="31"/>
  <c r="N507" i="31"/>
  <c r="N505" i="31"/>
  <c r="M501" i="31"/>
  <c r="M499" i="31"/>
  <c r="O496" i="31"/>
  <c r="O494" i="31"/>
  <c r="N490" i="31"/>
  <c r="N488" i="31"/>
  <c r="M482" i="31"/>
  <c r="N475" i="31"/>
  <c r="N472" i="31"/>
  <c r="N463" i="31"/>
  <c r="M458" i="31"/>
  <c r="O452" i="31"/>
  <c r="N447" i="31"/>
  <c r="M442" i="31"/>
  <c r="O436" i="31"/>
  <c r="N431" i="31"/>
  <c r="M426" i="31"/>
  <c r="O420" i="31"/>
  <c r="N411" i="31"/>
  <c r="O400" i="31"/>
  <c r="M390" i="31"/>
  <c r="N378" i="31"/>
  <c r="N363" i="31"/>
  <c r="O332" i="31"/>
  <c r="O249" i="31"/>
  <c r="M524" i="31"/>
  <c r="N498" i="31"/>
  <c r="M462" i="31"/>
  <c r="M398" i="31"/>
  <c r="O527" i="31"/>
  <c r="N531" i="31"/>
  <c r="M519" i="31"/>
  <c r="M523" i="31"/>
  <c r="N530" i="31"/>
  <c r="N526" i="31"/>
  <c r="N524" i="31"/>
  <c r="T524" i="31" s="1"/>
  <c r="M522" i="31"/>
  <c r="M520" i="31"/>
  <c r="O515" i="31"/>
  <c r="O513" i="31"/>
  <c r="N511" i="31"/>
  <c r="N509" i="31"/>
  <c r="M505" i="31"/>
  <c r="M503" i="31"/>
  <c r="O500" i="31"/>
  <c r="O498" i="31"/>
  <c r="N494" i="31"/>
  <c r="N492" i="31"/>
  <c r="M490" i="31"/>
  <c r="M488" i="31"/>
  <c r="O485" i="31"/>
  <c r="M479" i="31"/>
  <c r="N471" i="31"/>
  <c r="N468" i="31"/>
  <c r="M463" i="31"/>
  <c r="O457" i="31"/>
  <c r="N452" i="31"/>
  <c r="M447" i="31"/>
  <c r="O441" i="31"/>
  <c r="N436" i="31"/>
  <c r="T436" i="31" s="1"/>
  <c r="M431" i="31"/>
  <c r="O425" i="31"/>
  <c r="N419" i="31"/>
  <c r="M410" i="31"/>
  <c r="N399" i="31"/>
  <c r="O388" i="31"/>
  <c r="O376" i="31"/>
  <c r="N361" i="31"/>
  <c r="T361" i="31" s="1"/>
  <c r="N327" i="31"/>
  <c r="N227" i="31"/>
  <c r="O378" i="31"/>
  <c r="N373" i="31"/>
  <c r="M368" i="31"/>
  <c r="O363" i="31"/>
  <c r="O361" i="31"/>
  <c r="N359" i="31"/>
  <c r="T359" i="31" s="1"/>
  <c r="O356" i="31"/>
  <c r="O349" i="31"/>
  <c r="N344" i="31"/>
  <c r="M339" i="31"/>
  <c r="O333" i="31"/>
  <c r="N328" i="31"/>
  <c r="M323" i="31"/>
  <c r="O316" i="31"/>
  <c r="M306" i="31"/>
  <c r="N295" i="31"/>
  <c r="O284" i="31"/>
  <c r="O251" i="31"/>
  <c r="M380" i="31"/>
  <c r="O374" i="31"/>
  <c r="N369" i="31"/>
  <c r="N367" i="31"/>
  <c r="T367" i="31" s="1"/>
  <c r="N365" i="31"/>
  <c r="M361" i="31"/>
  <c r="M359" i="31"/>
  <c r="N356" i="31"/>
  <c r="O352" i="31"/>
  <c r="N348" i="31"/>
  <c r="M343" i="31"/>
  <c r="O337" i="31"/>
  <c r="N332" i="31"/>
  <c r="M327" i="31"/>
  <c r="O321" i="31"/>
  <c r="M314" i="31"/>
  <c r="N303" i="31"/>
  <c r="O292" i="31"/>
  <c r="O281" i="31"/>
  <c r="O264" i="31"/>
  <c r="N420" i="31"/>
  <c r="O417" i="31"/>
  <c r="N416" i="31"/>
  <c r="M415" i="31"/>
  <c r="O413" i="31"/>
  <c r="N412" i="31"/>
  <c r="M411" i="31"/>
  <c r="O409" i="31"/>
  <c r="N408" i="31"/>
  <c r="M407" i="31"/>
  <c r="O405" i="31"/>
  <c r="N404" i="31"/>
  <c r="M403" i="31"/>
  <c r="O401" i="31"/>
  <c r="N400" i="31"/>
  <c r="M399" i="31"/>
  <c r="O397" i="31"/>
  <c r="N396" i="31"/>
  <c r="M395" i="31"/>
  <c r="O393" i="31"/>
  <c r="N392" i="31"/>
  <c r="M391" i="31"/>
  <c r="O389" i="31"/>
  <c r="N388" i="31"/>
  <c r="T388" i="31" s="1"/>
  <c r="M387" i="31"/>
  <c r="O385" i="31"/>
  <c r="N384" i="31"/>
  <c r="M383" i="31"/>
  <c r="O381" i="31"/>
  <c r="O379" i="31"/>
  <c r="M378" i="31"/>
  <c r="N376" i="31"/>
  <c r="T376" i="31" s="1"/>
  <c r="N374" i="31"/>
  <c r="O372" i="31"/>
  <c r="M371" i="31"/>
  <c r="M369" i="31"/>
  <c r="M365" i="31"/>
  <c r="M363" i="31"/>
  <c r="O360" i="31"/>
  <c r="O358" i="31"/>
  <c r="M356" i="31"/>
  <c r="N347" i="31"/>
  <c r="M342" i="31"/>
  <c r="O336" i="31"/>
  <c r="N331" i="31"/>
  <c r="M326" i="31"/>
  <c r="O320" i="31"/>
  <c r="O312" i="31"/>
  <c r="M302" i="31"/>
  <c r="N291" i="31"/>
  <c r="N262" i="31"/>
  <c r="N245" i="31"/>
  <c r="N206" i="31"/>
  <c r="N381" i="31"/>
  <c r="M376" i="31"/>
  <c r="O370" i="31"/>
  <c r="M367" i="31"/>
  <c r="O364" i="31"/>
  <c r="O362" i="31"/>
  <c r="M358" i="31"/>
  <c r="N355" i="31"/>
  <c r="N352" i="31"/>
  <c r="M347" i="31"/>
  <c r="O341" i="31"/>
  <c r="N336" i="31"/>
  <c r="M331" i="31"/>
  <c r="O325" i="31"/>
  <c r="N320" i="31"/>
  <c r="N311" i="31"/>
  <c r="O300" i="31"/>
  <c r="M290" i="31"/>
  <c r="N277" i="31"/>
  <c r="T277" i="31" s="1"/>
  <c r="N260" i="31"/>
  <c r="M243" i="31"/>
  <c r="M192" i="31"/>
  <c r="N485" i="31"/>
  <c r="M484" i="31"/>
  <c r="O482" i="31"/>
  <c r="M480" i="31"/>
  <c r="O478" i="31"/>
  <c r="N477" i="31"/>
  <c r="M476" i="31"/>
  <c r="O474" i="31"/>
  <c r="N473" i="31"/>
  <c r="M472" i="31"/>
  <c r="O470" i="31"/>
  <c r="N469" i="31"/>
  <c r="M468" i="31"/>
  <c r="O466" i="31"/>
  <c r="N465" i="31"/>
  <c r="M464" i="31"/>
  <c r="O462" i="31"/>
  <c r="N461" i="31"/>
  <c r="M460" i="31"/>
  <c r="O458" i="31"/>
  <c r="N457" i="31"/>
  <c r="T457" i="31" s="1"/>
  <c r="M456" i="31"/>
  <c r="O454" i="31"/>
  <c r="N453" i="31"/>
  <c r="M452" i="31"/>
  <c r="O450" i="31"/>
  <c r="N449" i="31"/>
  <c r="M448" i="31"/>
  <c r="O446" i="31"/>
  <c r="N445" i="31"/>
  <c r="M444" i="31"/>
  <c r="O442" i="31"/>
  <c r="N441" i="31"/>
  <c r="M440" i="31"/>
  <c r="O438" i="31"/>
  <c r="N437" i="31"/>
  <c r="M436" i="31"/>
  <c r="O434" i="31"/>
  <c r="N433" i="31"/>
  <c r="M432" i="31"/>
  <c r="O430" i="31"/>
  <c r="N429" i="31"/>
  <c r="M428" i="31"/>
  <c r="O426" i="31"/>
  <c r="N425" i="31"/>
  <c r="T425" i="31" s="1"/>
  <c r="M424" i="31"/>
  <c r="O422" i="31"/>
  <c r="N421" i="31"/>
  <c r="M420" i="31"/>
  <c r="O418" i="31"/>
  <c r="N417" i="31"/>
  <c r="M416" i="31"/>
  <c r="O414" i="31"/>
  <c r="N413" i="31"/>
  <c r="M412" i="31"/>
  <c r="O410" i="31"/>
  <c r="N409" i="31"/>
  <c r="M408" i="31"/>
  <c r="O406" i="31"/>
  <c r="N405" i="31"/>
  <c r="M404" i="31"/>
  <c r="O402" i="31"/>
  <c r="N401" i="31"/>
  <c r="M400" i="31"/>
  <c r="O398" i="31"/>
  <c r="N397" i="31"/>
  <c r="M396" i="31"/>
  <c r="O394" i="31"/>
  <c r="N393" i="31"/>
  <c r="T393" i="31" s="1"/>
  <c r="M392" i="31"/>
  <c r="O390" i="31"/>
  <c r="N389" i="31"/>
  <c r="M388" i="31"/>
  <c r="O386" i="31"/>
  <c r="N385" i="31"/>
  <c r="M384" i="31"/>
  <c r="O382" i="31"/>
  <c r="M381" i="31"/>
  <c r="N379" i="31"/>
  <c r="O377" i="31"/>
  <c r="O375" i="31"/>
  <c r="M374" i="31"/>
  <c r="N372" i="31"/>
  <c r="N370" i="31"/>
  <c r="O368" i="31"/>
  <c r="O366" i="31"/>
  <c r="N362" i="31"/>
  <c r="N360" i="31"/>
  <c r="N351" i="31"/>
  <c r="M346" i="31"/>
  <c r="O340" i="31"/>
  <c r="N335" i="31"/>
  <c r="M330" i="31"/>
  <c r="O324" i="31"/>
  <c r="N319" i="31"/>
  <c r="M310" i="31"/>
  <c r="N299" i="31"/>
  <c r="O288" i="31"/>
  <c r="N275" i="31"/>
  <c r="N240" i="31"/>
  <c r="M178" i="31"/>
  <c r="N377" i="31"/>
  <c r="M372" i="31"/>
  <c r="N366" i="31"/>
  <c r="N364" i="31"/>
  <c r="M362" i="31"/>
  <c r="M360" i="31"/>
  <c r="O357" i="31"/>
  <c r="M355" i="31"/>
  <c r="M351" i="31"/>
  <c r="O345" i="31"/>
  <c r="N340" i="31"/>
  <c r="M335" i="31"/>
  <c r="O329" i="31"/>
  <c r="N324" i="31"/>
  <c r="M319" i="31"/>
  <c r="O308" i="31"/>
  <c r="M298" i="31"/>
  <c r="N287" i="31"/>
  <c r="M273" i="31"/>
  <c r="M256" i="31"/>
  <c r="O237" i="31"/>
  <c r="O163" i="31"/>
  <c r="N486" i="31"/>
  <c r="M485" i="31"/>
  <c r="O483" i="31"/>
  <c r="N482" i="31"/>
  <c r="M481" i="31"/>
  <c r="O479" i="31"/>
  <c r="N478" i="31"/>
  <c r="M477" i="31"/>
  <c r="O475" i="31"/>
  <c r="N474" i="31"/>
  <c r="T474" i="31" s="1"/>
  <c r="M473" i="31"/>
  <c r="O471" i="31"/>
  <c r="N470" i="31"/>
  <c r="M469" i="31"/>
  <c r="O467" i="31"/>
  <c r="N466" i="31"/>
  <c r="M465" i="31"/>
  <c r="O463" i="31"/>
  <c r="N462" i="31"/>
  <c r="M461" i="31"/>
  <c r="O459" i="31"/>
  <c r="N458" i="31"/>
  <c r="M457" i="31"/>
  <c r="O455" i="31"/>
  <c r="N454" i="31"/>
  <c r="M453" i="31"/>
  <c r="O451" i="31"/>
  <c r="N450" i="31"/>
  <c r="M449" i="31"/>
  <c r="O447" i="31"/>
  <c r="N446" i="31"/>
  <c r="M445" i="31"/>
  <c r="O443" i="31"/>
  <c r="N442" i="31"/>
  <c r="T442" i="31" s="1"/>
  <c r="M441" i="31"/>
  <c r="O439" i="31"/>
  <c r="N438" i="31"/>
  <c r="M437" i="31"/>
  <c r="O435" i="31"/>
  <c r="N434" i="31"/>
  <c r="M433" i="31"/>
  <c r="O431" i="31"/>
  <c r="N430" i="31"/>
  <c r="M429" i="31"/>
  <c r="O427" i="31"/>
  <c r="N426" i="31"/>
  <c r="M425" i="31"/>
  <c r="O423" i="31"/>
  <c r="N422" i="31"/>
  <c r="M421" i="31"/>
  <c r="O419" i="31"/>
  <c r="N418" i="31"/>
  <c r="M417" i="31"/>
  <c r="O415" i="31"/>
  <c r="N414" i="31"/>
  <c r="M413" i="31"/>
  <c r="O411" i="31"/>
  <c r="N410" i="31"/>
  <c r="T410" i="31" s="1"/>
  <c r="M409" i="31"/>
  <c r="O407" i="31"/>
  <c r="N406" i="31"/>
  <c r="M405" i="31"/>
  <c r="O403" i="31"/>
  <c r="N402" i="31"/>
  <c r="M401" i="31"/>
  <c r="O399" i="31"/>
  <c r="N398" i="31"/>
  <c r="M397" i="31"/>
  <c r="O395" i="31"/>
  <c r="N394" i="31"/>
  <c r="M393" i="31"/>
  <c r="O391" i="31"/>
  <c r="N390" i="31"/>
  <c r="M389" i="31"/>
  <c r="O387" i="31"/>
  <c r="N386" i="31"/>
  <c r="M385" i="31"/>
  <c r="O383" i="31"/>
  <c r="N382" i="31"/>
  <c r="O380" i="31"/>
  <c r="M379" i="31"/>
  <c r="M377" i="31"/>
  <c r="N375" i="31"/>
  <c r="O373" i="31"/>
  <c r="O371" i="31"/>
  <c r="M370" i="31"/>
  <c r="N368" i="31"/>
  <c r="M366" i="31"/>
  <c r="M364" i="31"/>
  <c r="O359" i="31"/>
  <c r="N357" i="31"/>
  <c r="M354" i="31"/>
  <c r="M350" i="31"/>
  <c r="O344" i="31"/>
  <c r="N339" i="31"/>
  <c r="M334" i="31"/>
  <c r="O328" i="31"/>
  <c r="N323" i="31"/>
  <c r="T323" i="31" s="1"/>
  <c r="M318" i="31"/>
  <c r="N307" i="31"/>
  <c r="O296" i="31"/>
  <c r="M286" i="31"/>
  <c r="M271" i="31"/>
  <c r="M254" i="31"/>
  <c r="M235" i="31"/>
  <c r="M149" i="31"/>
  <c r="M282" i="31"/>
  <c r="O279" i="31"/>
  <c r="O277" i="31"/>
  <c r="N273" i="31"/>
  <c r="N271" i="31"/>
  <c r="M269" i="31"/>
  <c r="M267" i="31"/>
  <c r="O262" i="31"/>
  <c r="O260" i="31"/>
  <c r="N258" i="31"/>
  <c r="N256" i="31"/>
  <c r="M252" i="31"/>
  <c r="M250" i="31"/>
  <c r="O247" i="31"/>
  <c r="O245" i="31"/>
  <c r="N243" i="31"/>
  <c r="T243" i="31" s="1"/>
  <c r="O240" i="31"/>
  <c r="M238" i="31"/>
  <c r="N235" i="31"/>
  <c r="N232" i="31"/>
  <c r="N221" i="31"/>
  <c r="M208" i="31"/>
  <c r="M194" i="31"/>
  <c r="O179" i="31"/>
  <c r="N165" i="31"/>
  <c r="M151" i="31"/>
  <c r="N281" i="31"/>
  <c r="N279" i="31"/>
  <c r="M277" i="31"/>
  <c r="M275" i="31"/>
  <c r="O270" i="31"/>
  <c r="O268" i="31"/>
  <c r="N266" i="31"/>
  <c r="N264" i="31"/>
  <c r="M260" i="31"/>
  <c r="M258" i="31"/>
  <c r="O255" i="31"/>
  <c r="O253" i="31"/>
  <c r="N249" i="31"/>
  <c r="N247" i="31"/>
  <c r="T247" i="31" s="1"/>
  <c r="M245" i="31"/>
  <c r="O242" i="31"/>
  <c r="M240" i="31"/>
  <c r="N237" i="31"/>
  <c r="O234" i="31"/>
  <c r="N231" i="31"/>
  <c r="N218" i="31"/>
  <c r="O204" i="31"/>
  <c r="N190" i="31"/>
  <c r="M176" i="31"/>
  <c r="M162" i="31"/>
  <c r="O317" i="31"/>
  <c r="N316" i="31"/>
  <c r="M315" i="31"/>
  <c r="O313" i="31"/>
  <c r="N312" i="31"/>
  <c r="T312" i="31" s="1"/>
  <c r="M311" i="31"/>
  <c r="O309" i="31"/>
  <c r="N308" i="31"/>
  <c r="M307" i="31"/>
  <c r="O305" i="31"/>
  <c r="N304" i="31"/>
  <c r="M303" i="31"/>
  <c r="O301" i="31"/>
  <c r="N300" i="31"/>
  <c r="M299" i="31"/>
  <c r="O297" i="31"/>
  <c r="N296" i="31"/>
  <c r="M295" i="31"/>
  <c r="O293" i="31"/>
  <c r="N292" i="31"/>
  <c r="M291" i="31"/>
  <c r="O289" i="31"/>
  <c r="N288" i="31"/>
  <c r="M287" i="31"/>
  <c r="O285" i="31"/>
  <c r="N284" i="31"/>
  <c r="M283" i="31"/>
  <c r="M281" i="31"/>
  <c r="M279" i="31"/>
  <c r="O274" i="31"/>
  <c r="O272" i="31"/>
  <c r="N270" i="31"/>
  <c r="N268" i="31"/>
  <c r="M264" i="31"/>
  <c r="M262" i="31"/>
  <c r="O259" i="31"/>
  <c r="O257" i="31"/>
  <c r="N253" i="31"/>
  <c r="N251" i="31"/>
  <c r="M249" i="31"/>
  <c r="M247" i="31"/>
  <c r="M231" i="31"/>
  <c r="M226" i="31"/>
  <c r="O202" i="31"/>
  <c r="O188" i="31"/>
  <c r="N174" i="31"/>
  <c r="M160" i="31"/>
  <c r="M139" i="31"/>
  <c r="O278" i="31"/>
  <c r="O276" i="31"/>
  <c r="N274" i="31"/>
  <c r="N272" i="31"/>
  <c r="M268" i="31"/>
  <c r="M266" i="31"/>
  <c r="O263" i="31"/>
  <c r="O261" i="31"/>
  <c r="N257" i="31"/>
  <c r="N255" i="31"/>
  <c r="M253" i="31"/>
  <c r="M251" i="31"/>
  <c r="O246" i="31"/>
  <c r="O244" i="31"/>
  <c r="M242" i="31"/>
  <c r="N239" i="31"/>
  <c r="O236" i="31"/>
  <c r="M234" i="31"/>
  <c r="O224" i="31"/>
  <c r="N215" i="31"/>
  <c r="M201" i="31"/>
  <c r="O186" i="31"/>
  <c r="O172" i="31"/>
  <c r="N158" i="31"/>
  <c r="O354" i="31"/>
  <c r="N353" i="31"/>
  <c r="M352" i="31"/>
  <c r="O350" i="31"/>
  <c r="N349" i="31"/>
  <c r="T349" i="31" s="1"/>
  <c r="M348" i="31"/>
  <c r="O346" i="31"/>
  <c r="N345" i="31"/>
  <c r="M344" i="31"/>
  <c r="O342" i="31"/>
  <c r="N341" i="31"/>
  <c r="M340" i="31"/>
  <c r="O338" i="31"/>
  <c r="N337" i="31"/>
  <c r="M336" i="31"/>
  <c r="O334" i="31"/>
  <c r="N333" i="31"/>
  <c r="M332" i="31"/>
  <c r="O330" i="31"/>
  <c r="N329" i="31"/>
  <c r="M328" i="31"/>
  <c r="O326" i="31"/>
  <c r="N325" i="31"/>
  <c r="M324" i="31"/>
  <c r="O322" i="31"/>
  <c r="N321" i="31"/>
  <c r="M320" i="31"/>
  <c r="O318" i="31"/>
  <c r="N317" i="31"/>
  <c r="T317" i="31" s="1"/>
  <c r="M316" i="31"/>
  <c r="O314" i="31"/>
  <c r="N313" i="31"/>
  <c r="M312" i="31"/>
  <c r="O310" i="31"/>
  <c r="N309" i="31"/>
  <c r="M308" i="31"/>
  <c r="O306" i="31"/>
  <c r="N305" i="31"/>
  <c r="M304" i="31"/>
  <c r="O302" i="31"/>
  <c r="N301" i="31"/>
  <c r="M300" i="31"/>
  <c r="O298" i="31"/>
  <c r="N297" i="31"/>
  <c r="M296" i="31"/>
  <c r="O294" i="31"/>
  <c r="N293" i="31"/>
  <c r="M292" i="31"/>
  <c r="O290" i="31"/>
  <c r="N289" i="31"/>
  <c r="M288" i="31"/>
  <c r="O286" i="31"/>
  <c r="N285" i="31"/>
  <c r="T285" i="31" s="1"/>
  <c r="M284" i="31"/>
  <c r="O282" i="31"/>
  <c r="O280" i="31"/>
  <c r="N278" i="31"/>
  <c r="N276" i="31"/>
  <c r="M272" i="31"/>
  <c r="M270" i="31"/>
  <c r="O267" i="31"/>
  <c r="O265" i="31"/>
  <c r="N261" i="31"/>
  <c r="N259" i="31"/>
  <c r="M257" i="31"/>
  <c r="M255" i="31"/>
  <c r="O250" i="31"/>
  <c r="O248" i="31"/>
  <c r="N246" i="31"/>
  <c r="T246" i="31" s="1"/>
  <c r="N244" i="31"/>
  <c r="O241" i="31"/>
  <c r="M239" i="31"/>
  <c r="N236" i="31"/>
  <c r="O233" i="31"/>
  <c r="M230" i="31"/>
  <c r="N213" i="31"/>
  <c r="N199" i="31"/>
  <c r="T199" i="31" s="1"/>
  <c r="M185" i="31"/>
  <c r="O170" i="31"/>
  <c r="O156" i="31"/>
  <c r="N114" i="31"/>
  <c r="N282" i="31"/>
  <c r="N280" i="31"/>
  <c r="M276" i="31"/>
  <c r="M274" i="31"/>
  <c r="O271" i="31"/>
  <c r="O269" i="31"/>
  <c r="N265" i="31"/>
  <c r="N263" i="31"/>
  <c r="M261" i="31"/>
  <c r="M259" i="31"/>
  <c r="O254" i="31"/>
  <c r="O252" i="31"/>
  <c r="N250" i="31"/>
  <c r="N248" i="31"/>
  <c r="M244" i="31"/>
  <c r="N241" i="31"/>
  <c r="O238" i="31"/>
  <c r="M236" i="31"/>
  <c r="O211" i="31"/>
  <c r="N197" i="31"/>
  <c r="T197" i="31" s="1"/>
  <c r="N183" i="31"/>
  <c r="M169" i="31"/>
  <c r="O154" i="31"/>
  <c r="M93" i="31"/>
  <c r="N358" i="31"/>
  <c r="M357" i="31"/>
  <c r="O355" i="31"/>
  <c r="N354" i="31"/>
  <c r="T354" i="31" s="1"/>
  <c r="M353" i="31"/>
  <c r="O351" i="31"/>
  <c r="N350" i="31"/>
  <c r="M349" i="31"/>
  <c r="O347" i="31"/>
  <c r="N346" i="31"/>
  <c r="M345" i="31"/>
  <c r="O343" i="31"/>
  <c r="N342" i="31"/>
  <c r="M341" i="31"/>
  <c r="O339" i="31"/>
  <c r="N338" i="31"/>
  <c r="M337" i="31"/>
  <c r="O335" i="31"/>
  <c r="N334" i="31"/>
  <c r="M333" i="31"/>
  <c r="O331" i="31"/>
  <c r="N330" i="31"/>
  <c r="M329" i="31"/>
  <c r="O327" i="31"/>
  <c r="N326" i="31"/>
  <c r="M325" i="31"/>
  <c r="O323" i="31"/>
  <c r="N322" i="31"/>
  <c r="T322" i="31" s="1"/>
  <c r="M321" i="31"/>
  <c r="O319" i="31"/>
  <c r="N318" i="31"/>
  <c r="M317" i="31"/>
  <c r="O315" i="31"/>
  <c r="N314" i="31"/>
  <c r="M313" i="31"/>
  <c r="O311" i="31"/>
  <c r="N310" i="31"/>
  <c r="M309" i="31"/>
  <c r="O307" i="31"/>
  <c r="N306" i="31"/>
  <c r="M305" i="31"/>
  <c r="O303" i="31"/>
  <c r="N302" i="31"/>
  <c r="M301" i="31"/>
  <c r="O299" i="31"/>
  <c r="N298" i="31"/>
  <c r="M297" i="31"/>
  <c r="O295" i="31"/>
  <c r="N294" i="31"/>
  <c r="M293" i="31"/>
  <c r="O291" i="31"/>
  <c r="N290" i="31"/>
  <c r="T290" i="31" s="1"/>
  <c r="M289" i="31"/>
  <c r="O287" i="31"/>
  <c r="N286" i="31"/>
  <c r="M285" i="31"/>
  <c r="O283" i="31"/>
  <c r="M280" i="31"/>
  <c r="M278" i="31"/>
  <c r="O275" i="31"/>
  <c r="O273" i="31"/>
  <c r="N269" i="31"/>
  <c r="N267" i="31"/>
  <c r="M265" i="31"/>
  <c r="M263" i="31"/>
  <c r="O258" i="31"/>
  <c r="O256" i="31"/>
  <c r="N254" i="31"/>
  <c r="T254" i="31" s="1"/>
  <c r="N252" i="31"/>
  <c r="M248" i="31"/>
  <c r="M246" i="31"/>
  <c r="O232" i="31"/>
  <c r="O228" i="31"/>
  <c r="M223" i="31"/>
  <c r="M210" i="31"/>
  <c r="O195" i="31"/>
  <c r="N181" i="31"/>
  <c r="N167" i="31"/>
  <c r="M153" i="31"/>
  <c r="O71" i="31"/>
  <c r="O221" i="31"/>
  <c r="M220" i="31"/>
  <c r="M217" i="31"/>
  <c r="O213" i="31"/>
  <c r="N208" i="31"/>
  <c r="M203" i="31"/>
  <c r="O197" i="31"/>
  <c r="N192" i="31"/>
  <c r="M187" i="31"/>
  <c r="O181" i="31"/>
  <c r="N176" i="31"/>
  <c r="M171" i="31"/>
  <c r="O165" i="31"/>
  <c r="N160" i="31"/>
  <c r="M155" i="31"/>
  <c r="N151" i="31"/>
  <c r="O146" i="31"/>
  <c r="M141" i="31"/>
  <c r="N132" i="31"/>
  <c r="M117" i="31"/>
  <c r="O95" i="31"/>
  <c r="N74" i="31"/>
  <c r="N224" i="31"/>
  <c r="O222" i="31"/>
  <c r="O219" i="31"/>
  <c r="O216" i="31"/>
  <c r="M215" i="31"/>
  <c r="O209" i="31"/>
  <c r="N204" i="31"/>
  <c r="M199" i="31"/>
  <c r="O193" i="31"/>
  <c r="N188" i="31"/>
  <c r="M183" i="31"/>
  <c r="O177" i="31"/>
  <c r="N172" i="31"/>
  <c r="M167" i="31"/>
  <c r="O161" i="31"/>
  <c r="N156" i="31"/>
  <c r="O150" i="31"/>
  <c r="O148" i="31"/>
  <c r="M146" i="31"/>
  <c r="O138" i="31"/>
  <c r="N130" i="31"/>
  <c r="O111" i="31"/>
  <c r="N90" i="31"/>
  <c r="M69" i="31"/>
  <c r="O229" i="31"/>
  <c r="N228" i="31"/>
  <c r="M227" i="31"/>
  <c r="O225" i="31"/>
  <c r="M224" i="31"/>
  <c r="M221" i="31"/>
  <c r="M218" i="31"/>
  <c r="O214" i="31"/>
  <c r="M213" i="31"/>
  <c r="N211" i="31"/>
  <c r="N209" i="31"/>
  <c r="O207" i="31"/>
  <c r="M206" i="31"/>
  <c r="M204" i="31"/>
  <c r="N202" i="31"/>
  <c r="O200" i="31"/>
  <c r="O198" i="31"/>
  <c r="M197" i="31"/>
  <c r="N195" i="31"/>
  <c r="N193" i="31"/>
  <c r="O191" i="31"/>
  <c r="M190" i="31"/>
  <c r="M188" i="31"/>
  <c r="N186" i="31"/>
  <c r="O184" i="31"/>
  <c r="O182" i="31"/>
  <c r="M181" i="31"/>
  <c r="N179" i="31"/>
  <c r="N177" i="31"/>
  <c r="O175" i="31"/>
  <c r="M174" i="31"/>
  <c r="M172" i="31"/>
  <c r="N170" i="31"/>
  <c r="O168" i="31"/>
  <c r="O166" i="31"/>
  <c r="M165" i="31"/>
  <c r="N163" i="31"/>
  <c r="N161" i="31"/>
  <c r="T161" i="31" s="1"/>
  <c r="O159" i="31"/>
  <c r="M158" i="31"/>
  <c r="M156" i="31"/>
  <c r="N154" i="31"/>
  <c r="O152" i="31"/>
  <c r="N148" i="31"/>
  <c r="N145" i="31"/>
  <c r="M137" i="31"/>
  <c r="M128" i="31"/>
  <c r="M109" i="31"/>
  <c r="O87" i="31"/>
  <c r="N66" i="31"/>
  <c r="N225" i="31"/>
  <c r="N222" i="31"/>
  <c r="N219" i="31"/>
  <c r="N216" i="31"/>
  <c r="T216" i="31" s="1"/>
  <c r="M211" i="31"/>
  <c r="O205" i="31"/>
  <c r="N200" i="31"/>
  <c r="M195" i="31"/>
  <c r="O189" i="31"/>
  <c r="N184" i="31"/>
  <c r="M179" i="31"/>
  <c r="O173" i="31"/>
  <c r="N168" i="31"/>
  <c r="M163" i="31"/>
  <c r="O157" i="31"/>
  <c r="N152" i="31"/>
  <c r="N150" i="31"/>
  <c r="M148" i="31"/>
  <c r="O136" i="31"/>
  <c r="O127" i="31"/>
  <c r="N106" i="31"/>
  <c r="M85" i="31"/>
  <c r="O63" i="31"/>
  <c r="N233" i="31"/>
  <c r="M232" i="31"/>
  <c r="O230" i="31"/>
  <c r="N229" i="31"/>
  <c r="M228" i="31"/>
  <c r="O226" i="31"/>
  <c r="O223" i="31"/>
  <c r="O220" i="31"/>
  <c r="O217" i="31"/>
  <c r="M216" i="31"/>
  <c r="N214" i="31"/>
  <c r="O212" i="31"/>
  <c r="O210" i="31"/>
  <c r="M209" i="31"/>
  <c r="N207" i="31"/>
  <c r="N205" i="31"/>
  <c r="O203" i="31"/>
  <c r="M202" i="31"/>
  <c r="M200" i="31"/>
  <c r="N198" i="31"/>
  <c r="O196" i="31"/>
  <c r="O194" i="31"/>
  <c r="M193" i="31"/>
  <c r="N191" i="31"/>
  <c r="N189" i="31"/>
  <c r="O187" i="31"/>
  <c r="M186" i="31"/>
  <c r="M184" i="31"/>
  <c r="N182" i="31"/>
  <c r="T182" i="31" s="1"/>
  <c r="O180" i="31"/>
  <c r="O178" i="31"/>
  <c r="M177" i="31"/>
  <c r="N175" i="31"/>
  <c r="N173" i="31"/>
  <c r="O171" i="31"/>
  <c r="M170" i="31"/>
  <c r="M168" i="31"/>
  <c r="N166" i="31"/>
  <c r="O164" i="31"/>
  <c r="O162" i="31"/>
  <c r="M161" i="31"/>
  <c r="N159" i="31"/>
  <c r="N157" i="31"/>
  <c r="O155" i="31"/>
  <c r="M154" i="31"/>
  <c r="M152" i="31"/>
  <c r="M150" i="31"/>
  <c r="N143" i="31"/>
  <c r="O134" i="31"/>
  <c r="M125" i="31"/>
  <c r="O103" i="31"/>
  <c r="N82" i="31"/>
  <c r="M60" i="31"/>
  <c r="M225" i="31"/>
  <c r="M222" i="31"/>
  <c r="M219" i="31"/>
  <c r="N217" i="31"/>
  <c r="N212" i="31"/>
  <c r="M207" i="31"/>
  <c r="O201" i="31"/>
  <c r="N196" i="31"/>
  <c r="T196" i="31" s="1"/>
  <c r="M191" i="31"/>
  <c r="O185" i="31"/>
  <c r="N180" i="31"/>
  <c r="M175" i="31"/>
  <c r="O169" i="31"/>
  <c r="N164" i="31"/>
  <c r="M159" i="31"/>
  <c r="O153" i="31"/>
  <c r="O149" i="31"/>
  <c r="O147" i="31"/>
  <c r="M143" i="31"/>
  <c r="N122" i="31"/>
  <c r="M101" i="31"/>
  <c r="O79" i="31"/>
  <c r="O51" i="31"/>
  <c r="O243" i="31"/>
  <c r="N242" i="31"/>
  <c r="M241" i="31"/>
  <c r="O239" i="31"/>
  <c r="N238" i="31"/>
  <c r="M237" i="31"/>
  <c r="O235" i="31"/>
  <c r="N234" i="31"/>
  <c r="M233" i="31"/>
  <c r="O231" i="31"/>
  <c r="N230" i="31"/>
  <c r="M229" i="31"/>
  <c r="O227" i="31"/>
  <c r="N226" i="31"/>
  <c r="N223" i="31"/>
  <c r="N220" i="31"/>
  <c r="O218" i="31"/>
  <c r="O215" i="31"/>
  <c r="M214" i="31"/>
  <c r="M212" i="31"/>
  <c r="N210" i="31"/>
  <c r="O208" i="31"/>
  <c r="O206" i="31"/>
  <c r="M205" i="31"/>
  <c r="N203" i="31"/>
  <c r="T203" i="31" s="1"/>
  <c r="N201" i="31"/>
  <c r="O199" i="31"/>
  <c r="M198" i="31"/>
  <c r="M196" i="31"/>
  <c r="N194" i="31"/>
  <c r="O192" i="31"/>
  <c r="O190" i="31"/>
  <c r="M189" i="31"/>
  <c r="N187" i="31"/>
  <c r="N185" i="31"/>
  <c r="O183" i="31"/>
  <c r="M182" i="31"/>
  <c r="M180" i="31"/>
  <c r="N178" i="31"/>
  <c r="O176" i="31"/>
  <c r="O174" i="31"/>
  <c r="M173" i="31"/>
  <c r="N171" i="31"/>
  <c r="N169" i="31"/>
  <c r="O167" i="31"/>
  <c r="M166" i="31"/>
  <c r="M164" i="31"/>
  <c r="N162" i="31"/>
  <c r="O160" i="31"/>
  <c r="O158" i="31"/>
  <c r="M157" i="31"/>
  <c r="N155" i="31"/>
  <c r="N153" i="31"/>
  <c r="O151" i="31"/>
  <c r="N149" i="31"/>
  <c r="N147" i="31"/>
  <c r="O132" i="31"/>
  <c r="O119" i="31"/>
  <c r="N98" i="31"/>
  <c r="M77" i="31"/>
  <c r="M41" i="31"/>
  <c r="N125" i="31"/>
  <c r="O122" i="31"/>
  <c r="M120" i="31"/>
  <c r="N117" i="31"/>
  <c r="T117" i="31" s="1"/>
  <c r="O114" i="31"/>
  <c r="M112" i="31"/>
  <c r="N109" i="31"/>
  <c r="O106" i="31"/>
  <c r="M104" i="31"/>
  <c r="N101" i="31"/>
  <c r="O98" i="31"/>
  <c r="M96" i="31"/>
  <c r="N93" i="31"/>
  <c r="O90" i="31"/>
  <c r="M88" i="31"/>
  <c r="N85" i="31"/>
  <c r="O82" i="31"/>
  <c r="M80" i="31"/>
  <c r="N77" i="31"/>
  <c r="O74" i="31"/>
  <c r="M72" i="31"/>
  <c r="N69" i="31"/>
  <c r="O66" i="31"/>
  <c r="M64" i="31"/>
  <c r="O60" i="31"/>
  <c r="M53" i="31"/>
  <c r="N42" i="31"/>
  <c r="N146" i="31"/>
  <c r="T146" i="31" s="1"/>
  <c r="M145" i="31"/>
  <c r="O142" i="31"/>
  <c r="O140" i="31"/>
  <c r="N136" i="31"/>
  <c r="N134" i="31"/>
  <c r="M132" i="31"/>
  <c r="M130" i="31"/>
  <c r="N127" i="31"/>
  <c r="T127" i="31" s="1"/>
  <c r="O124" i="31"/>
  <c r="M122" i="31"/>
  <c r="N119" i="31"/>
  <c r="O116" i="31"/>
  <c r="M114" i="31"/>
  <c r="N111" i="31"/>
  <c r="O108" i="31"/>
  <c r="M106" i="31"/>
  <c r="N103" i="31"/>
  <c r="O100" i="31"/>
  <c r="M98" i="31"/>
  <c r="N95" i="31"/>
  <c r="O92" i="31"/>
  <c r="M90" i="31"/>
  <c r="N87" i="31"/>
  <c r="O84" i="31"/>
  <c r="M82" i="31"/>
  <c r="N79" i="31"/>
  <c r="O76" i="31"/>
  <c r="M74" i="31"/>
  <c r="N71" i="31"/>
  <c r="O68" i="31"/>
  <c r="M66" i="31"/>
  <c r="N63" i="31"/>
  <c r="T63" i="31" s="1"/>
  <c r="O59" i="31"/>
  <c r="N50" i="31"/>
  <c r="O39" i="31"/>
  <c r="O144" i="31"/>
  <c r="N140" i="31"/>
  <c r="N138" i="31"/>
  <c r="M136" i="31"/>
  <c r="M134" i="31"/>
  <c r="O129" i="31"/>
  <c r="M127" i="31"/>
  <c r="N124" i="31"/>
  <c r="O121" i="31"/>
  <c r="M119" i="31"/>
  <c r="N116" i="31"/>
  <c r="O113" i="31"/>
  <c r="M111" i="31"/>
  <c r="N108" i="31"/>
  <c r="O105" i="31"/>
  <c r="M103" i="31"/>
  <c r="N100" i="31"/>
  <c r="O97" i="31"/>
  <c r="M95" i="31"/>
  <c r="N92" i="31"/>
  <c r="O89" i="31"/>
  <c r="M87" i="31"/>
  <c r="N84" i="31"/>
  <c r="O81" i="31"/>
  <c r="M79" i="31"/>
  <c r="N76" i="31"/>
  <c r="O73" i="31"/>
  <c r="M71" i="31"/>
  <c r="N68" i="31"/>
  <c r="T68" i="31" s="1"/>
  <c r="O65" i="31"/>
  <c r="O62" i="31"/>
  <c r="O58" i="31"/>
  <c r="M49" i="31"/>
  <c r="N38" i="31"/>
  <c r="N144" i="31"/>
  <c r="N142" i="31"/>
  <c r="M140" i="31"/>
  <c r="M138" i="31"/>
  <c r="O133" i="31"/>
  <c r="O131" i="31"/>
  <c r="N129" i="31"/>
  <c r="O126" i="31"/>
  <c r="M124" i="31"/>
  <c r="N121" i="31"/>
  <c r="O118" i="31"/>
  <c r="M116" i="31"/>
  <c r="N113" i="31"/>
  <c r="O110" i="31"/>
  <c r="M108" i="31"/>
  <c r="N105" i="31"/>
  <c r="O102" i="31"/>
  <c r="M100" i="31"/>
  <c r="N97" i="31"/>
  <c r="T97" i="31" s="1"/>
  <c r="O94" i="31"/>
  <c r="M92" i="31"/>
  <c r="N89" i="31"/>
  <c r="O86" i="31"/>
  <c r="M84" i="31"/>
  <c r="N81" i="31"/>
  <c r="O78" i="31"/>
  <c r="M76" i="31"/>
  <c r="N73" i="31"/>
  <c r="O70" i="31"/>
  <c r="M68" i="31"/>
  <c r="N65" i="31"/>
  <c r="T65" i="31" s="1"/>
  <c r="N62" i="31"/>
  <c r="N58" i="31"/>
  <c r="O47" i="31"/>
  <c r="M37" i="31"/>
  <c r="M144" i="31"/>
  <c r="M142" i="31"/>
  <c r="O137" i="31"/>
  <c r="O135" i="31"/>
  <c r="N133" i="31"/>
  <c r="N131" i="31"/>
  <c r="M129" i="31"/>
  <c r="N126" i="31"/>
  <c r="T126" i="31" s="1"/>
  <c r="O123" i="31"/>
  <c r="M121" i="31"/>
  <c r="N118" i="31"/>
  <c r="O115" i="31"/>
  <c r="M113" i="31"/>
  <c r="N110" i="31"/>
  <c r="O107" i="31"/>
  <c r="M105" i="31"/>
  <c r="N102" i="31"/>
  <c r="O99" i="31"/>
  <c r="M97" i="31"/>
  <c r="N94" i="31"/>
  <c r="T94" i="31" s="1"/>
  <c r="O91" i="31"/>
  <c r="M89" i="31"/>
  <c r="N86" i="31"/>
  <c r="O83" i="31"/>
  <c r="M81" i="31"/>
  <c r="N78" i="31"/>
  <c r="O75" i="31"/>
  <c r="M73" i="31"/>
  <c r="N70" i="31"/>
  <c r="O67" i="31"/>
  <c r="M65" i="31"/>
  <c r="M62" i="31"/>
  <c r="M57" i="31"/>
  <c r="N46" i="31"/>
  <c r="O35" i="31"/>
  <c r="M147" i="31"/>
  <c r="O145" i="31"/>
  <c r="O141" i="31"/>
  <c r="O139" i="31"/>
  <c r="N137" i="31"/>
  <c r="T137" i="31" s="1"/>
  <c r="N135" i="31"/>
  <c r="M131" i="31"/>
  <c r="O128" i="31"/>
  <c r="M126" i="31"/>
  <c r="N123" i="31"/>
  <c r="O120" i="31"/>
  <c r="M118" i="31"/>
  <c r="N115" i="31"/>
  <c r="T115" i="31" s="1"/>
  <c r="O112" i="31"/>
  <c r="M110" i="31"/>
  <c r="N107" i="31"/>
  <c r="O104" i="31"/>
  <c r="M102" i="31"/>
  <c r="N99" i="31"/>
  <c r="O96" i="31"/>
  <c r="M94" i="31"/>
  <c r="N91" i="31"/>
  <c r="O88" i="31"/>
  <c r="M86" i="31"/>
  <c r="N83" i="31"/>
  <c r="T83" i="31" s="1"/>
  <c r="O80" i="31"/>
  <c r="M78" i="31"/>
  <c r="N75" i="31"/>
  <c r="O72" i="31"/>
  <c r="M70" i="31"/>
  <c r="N67" i="31"/>
  <c r="O64" i="31"/>
  <c r="N61" i="31"/>
  <c r="T61" i="31" s="1"/>
  <c r="O55" i="31"/>
  <c r="M45" i="31"/>
  <c r="N34" i="31"/>
  <c r="O143" i="31"/>
  <c r="N141" i="31"/>
  <c r="N139" i="31"/>
  <c r="M135" i="31"/>
  <c r="M133" i="31"/>
  <c r="O130" i="31"/>
  <c r="N128" i="31"/>
  <c r="O125" i="31"/>
  <c r="M123" i="31"/>
  <c r="N120" i="31"/>
  <c r="O117" i="31"/>
  <c r="M115" i="31"/>
  <c r="N112" i="31"/>
  <c r="T112" i="31" s="1"/>
  <c r="O109" i="31"/>
  <c r="M107" i="31"/>
  <c r="N104" i="31"/>
  <c r="O101" i="31"/>
  <c r="M99" i="31"/>
  <c r="N96" i="31"/>
  <c r="O93" i="31"/>
  <c r="M91" i="31"/>
  <c r="N88" i="31"/>
  <c r="O85" i="31"/>
  <c r="M83" i="31"/>
  <c r="N80" i="31"/>
  <c r="T80" i="31" s="1"/>
  <c r="O77" i="31"/>
  <c r="M75" i="31"/>
  <c r="N72" i="31"/>
  <c r="O69" i="31"/>
  <c r="M67" i="31"/>
  <c r="N64" i="31"/>
  <c r="M61" i="31"/>
  <c r="N54" i="31"/>
  <c r="T54" i="31" s="1"/>
  <c r="O43" i="31"/>
  <c r="M33" i="31"/>
  <c r="N59" i="31"/>
  <c r="M58" i="31"/>
  <c r="O56" i="31"/>
  <c r="N55" i="31"/>
  <c r="M54" i="31"/>
  <c r="O52" i="31"/>
  <c r="N51" i="31"/>
  <c r="M50" i="31"/>
  <c r="O48" i="31"/>
  <c r="N47" i="31"/>
  <c r="T47" i="31" s="1"/>
  <c r="M46" i="31"/>
  <c r="O44" i="31"/>
  <c r="N43" i="31"/>
  <c r="M42" i="31"/>
  <c r="O40" i="31"/>
  <c r="N39" i="31"/>
  <c r="M38" i="31"/>
  <c r="O36" i="31"/>
  <c r="N35" i="31"/>
  <c r="M34" i="31"/>
  <c r="O32" i="31"/>
  <c r="M63" i="31"/>
  <c r="O61" i="31"/>
  <c r="N60" i="31"/>
  <c r="M59" i="31"/>
  <c r="O57" i="31"/>
  <c r="N56" i="31"/>
  <c r="M55" i="31"/>
  <c r="O53" i="31"/>
  <c r="N52" i="31"/>
  <c r="T52" i="31" s="1"/>
  <c r="M51" i="31"/>
  <c r="O49" i="31"/>
  <c r="N48" i="31"/>
  <c r="M47" i="31"/>
  <c r="O45" i="31"/>
  <c r="N44" i="31"/>
  <c r="M43" i="31"/>
  <c r="O41" i="31"/>
  <c r="N40" i="31"/>
  <c r="M39" i="31"/>
  <c r="O37" i="31"/>
  <c r="N36" i="31"/>
  <c r="T36" i="31" s="1"/>
  <c r="M35" i="31"/>
  <c r="O33" i="31"/>
  <c r="N32" i="31"/>
  <c r="N57" i="31"/>
  <c r="T57" i="31" s="1"/>
  <c r="M56" i="31"/>
  <c r="O54" i="31"/>
  <c r="N53" i="31"/>
  <c r="M52" i="31"/>
  <c r="O50" i="31"/>
  <c r="N49" i="31"/>
  <c r="M48" i="31"/>
  <c r="O46" i="31"/>
  <c r="N45" i="31"/>
  <c r="M44" i="31"/>
  <c r="O42" i="31"/>
  <c r="N41" i="31"/>
  <c r="T41" i="31" s="1"/>
  <c r="M40" i="31"/>
  <c r="O38" i="31"/>
  <c r="N37" i="31"/>
  <c r="M36" i="31"/>
  <c r="O34" i="31"/>
  <c r="N33" i="31"/>
  <c r="M32" i="31"/>
  <c r="L358" i="31"/>
  <c r="L268" i="31"/>
  <c r="L528" i="31"/>
  <c r="L524" i="31"/>
  <c r="L520" i="31"/>
  <c r="L516" i="31"/>
  <c r="L512" i="31"/>
  <c r="L508" i="31"/>
  <c r="R508" i="31" s="1"/>
  <c r="L504" i="31"/>
  <c r="L500" i="31"/>
  <c r="L496" i="31"/>
  <c r="L492" i="31"/>
  <c r="L488" i="31"/>
  <c r="L484" i="31"/>
  <c r="L480" i="31"/>
  <c r="L476" i="31"/>
  <c r="R476" i="31" s="1"/>
  <c r="L472" i="31"/>
  <c r="L468" i="31"/>
  <c r="L464" i="31"/>
  <c r="L460" i="31"/>
  <c r="L456" i="31"/>
  <c r="L452" i="31"/>
  <c r="L448" i="31"/>
  <c r="L444" i="31"/>
  <c r="L440" i="31"/>
  <c r="L436" i="31"/>
  <c r="L432" i="31"/>
  <c r="L428" i="31"/>
  <c r="L424" i="31"/>
  <c r="L420" i="31"/>
  <c r="L416" i="31"/>
  <c r="L412" i="31"/>
  <c r="L408" i="31"/>
  <c r="L404" i="31"/>
  <c r="L400" i="31"/>
  <c r="L396" i="31"/>
  <c r="L392" i="31"/>
  <c r="L388" i="31"/>
  <c r="L384" i="31"/>
  <c r="L380" i="31"/>
  <c r="R380" i="31" s="1"/>
  <c r="L376" i="31"/>
  <c r="L365" i="31"/>
  <c r="L359" i="31"/>
  <c r="L352" i="31"/>
  <c r="L346" i="31"/>
  <c r="L333" i="31"/>
  <c r="L327" i="31"/>
  <c r="L320" i="31"/>
  <c r="R320" i="31" s="1"/>
  <c r="L314" i="31"/>
  <c r="L301" i="31"/>
  <c r="L295" i="31"/>
  <c r="L288" i="31"/>
  <c r="L282" i="31"/>
  <c r="L269" i="31"/>
  <c r="L263" i="31"/>
  <c r="L252" i="31"/>
  <c r="R252" i="31" s="1"/>
  <c r="L241" i="31"/>
  <c r="L225" i="31"/>
  <c r="L209" i="31"/>
  <c r="L193" i="31"/>
  <c r="L177" i="31"/>
  <c r="L160" i="31"/>
  <c r="L128" i="31"/>
  <c r="L96" i="31"/>
  <c r="L64" i="31"/>
  <c r="L339" i="31"/>
  <c r="L300" i="31"/>
  <c r="L240" i="31"/>
  <c r="L156" i="31"/>
  <c r="L527" i="31"/>
  <c r="L511" i="31"/>
  <c r="L495" i="31"/>
  <c r="L479" i="31"/>
  <c r="L471" i="31"/>
  <c r="L459" i="31"/>
  <c r="L451" i="31"/>
  <c r="L443" i="31"/>
  <c r="L435" i="31"/>
  <c r="L431" i="31"/>
  <c r="L423" i="31"/>
  <c r="L419" i="31"/>
  <c r="L411" i="31"/>
  <c r="L407" i="31"/>
  <c r="L403" i="31"/>
  <c r="L399" i="31"/>
  <c r="L395" i="31"/>
  <c r="L391" i="31"/>
  <c r="L387" i="31"/>
  <c r="L383" i="31"/>
  <c r="L379" i="31"/>
  <c r="L375" i="31"/>
  <c r="L370" i="31"/>
  <c r="L357" i="31"/>
  <c r="L351" i="31"/>
  <c r="L344" i="31"/>
  <c r="L338" i="31"/>
  <c r="R338" i="31" s="1"/>
  <c r="L325" i="31"/>
  <c r="L319" i="31"/>
  <c r="L312" i="31"/>
  <c r="L306" i="31"/>
  <c r="L293" i="31"/>
  <c r="L287" i="31"/>
  <c r="L280" i="31"/>
  <c r="L274" i="31"/>
  <c r="R274" i="31" s="1"/>
  <c r="L260" i="31"/>
  <c r="L249" i="31"/>
  <c r="L237" i="31"/>
  <c r="L221" i="31"/>
  <c r="L205" i="31"/>
  <c r="L189" i="31"/>
  <c r="L173" i="31"/>
  <c r="L152" i="31"/>
  <c r="R152" i="31" s="1"/>
  <c r="L120" i="31"/>
  <c r="L88" i="31"/>
  <c r="L56" i="31"/>
  <c r="L332" i="31"/>
  <c r="L281" i="31"/>
  <c r="L92" i="31"/>
  <c r="L519" i="31"/>
  <c r="L499" i="31"/>
  <c r="R499" i="31" s="1"/>
  <c r="L487" i="31"/>
  <c r="L475" i="31"/>
  <c r="L467" i="31"/>
  <c r="L463" i="31"/>
  <c r="L455" i="31"/>
  <c r="L447" i="31"/>
  <c r="L439" i="31"/>
  <c r="L427" i="31"/>
  <c r="R427" i="31" s="1"/>
  <c r="L415" i="31"/>
  <c r="L369" i="31"/>
  <c r="L363" i="31"/>
  <c r="L356" i="31"/>
  <c r="L350" i="31"/>
  <c r="L337" i="31"/>
  <c r="L331" i="31"/>
  <c r="L324" i="31"/>
  <c r="R324" i="31" s="1"/>
  <c r="L318" i="31"/>
  <c r="L305" i="31"/>
  <c r="L299" i="31"/>
  <c r="L292" i="31"/>
  <c r="L286" i="31"/>
  <c r="L273" i="31"/>
  <c r="L267" i="31"/>
  <c r="L248" i="31"/>
  <c r="L236" i="31"/>
  <c r="L220" i="31"/>
  <c r="L204" i="31"/>
  <c r="L188" i="31"/>
  <c r="L172" i="31"/>
  <c r="L148" i="31"/>
  <c r="L116" i="31"/>
  <c r="L84" i="31"/>
  <c r="R84" i="31" s="1"/>
  <c r="L52" i="31"/>
  <c r="L364" i="31"/>
  <c r="L60" i="31"/>
  <c r="L523" i="31"/>
  <c r="L503" i="31"/>
  <c r="L483" i="31"/>
  <c r="L526" i="31"/>
  <c r="L518" i="31"/>
  <c r="R518" i="31" s="1"/>
  <c r="L506" i="31"/>
  <c r="L498" i="31"/>
  <c r="L490" i="31"/>
  <c r="L482" i="31"/>
  <c r="L474" i="31"/>
  <c r="L466" i="31"/>
  <c r="L458" i="31"/>
  <c r="L450" i="31"/>
  <c r="R450" i="31" s="1"/>
  <c r="L442" i="31"/>
  <c r="L430" i="31"/>
  <c r="L422" i="31"/>
  <c r="L414" i="31"/>
  <c r="L410" i="31"/>
  <c r="L402" i="31"/>
  <c r="L398" i="31"/>
  <c r="L394" i="31"/>
  <c r="R394" i="31" s="1"/>
  <c r="L390" i="31"/>
  <c r="L386" i="31"/>
  <c r="L382" i="31"/>
  <c r="L378" i="31"/>
  <c r="L374" i="31"/>
  <c r="L368" i="31"/>
  <c r="L362" i="31"/>
  <c r="L349" i="31"/>
  <c r="R349" i="31" s="1"/>
  <c r="L343" i="31"/>
  <c r="L336" i="31"/>
  <c r="L330" i="31"/>
  <c r="L317" i="31"/>
  <c r="L311" i="31"/>
  <c r="L304" i="31"/>
  <c r="L298" i="31"/>
  <c r="L285" i="31"/>
  <c r="L279" i="31"/>
  <c r="L272" i="31"/>
  <c r="L266" i="31"/>
  <c r="L257" i="31"/>
  <c r="L233" i="31"/>
  <c r="L217" i="31"/>
  <c r="L201" i="31"/>
  <c r="L185" i="31"/>
  <c r="R185" i="31" s="1"/>
  <c r="L169" i="31"/>
  <c r="L144" i="31"/>
  <c r="L112" i="31"/>
  <c r="L80" i="31"/>
  <c r="L48" i="31"/>
  <c r="L371" i="31"/>
  <c r="L313" i="31"/>
  <c r="L294" i="31"/>
  <c r="L261" i="31"/>
  <c r="L208" i="31"/>
  <c r="L124" i="31"/>
  <c r="L531" i="31"/>
  <c r="L515" i="31"/>
  <c r="L507" i="31"/>
  <c r="L491" i="31"/>
  <c r="L530" i="31"/>
  <c r="R530" i="31" s="1"/>
  <c r="L522" i="31"/>
  <c r="L514" i="31"/>
  <c r="L510" i="31"/>
  <c r="L502" i="31"/>
  <c r="L494" i="31"/>
  <c r="L486" i="31"/>
  <c r="L478" i="31"/>
  <c r="L470" i="31"/>
  <c r="R470" i="31" s="1"/>
  <c r="L462" i="31"/>
  <c r="L454" i="31"/>
  <c r="L446" i="31"/>
  <c r="L438" i="31"/>
  <c r="L434" i="31"/>
  <c r="L426" i="31"/>
  <c r="L418" i="31"/>
  <c r="L406" i="31"/>
  <c r="R406" i="31" s="1"/>
  <c r="L361" i="31"/>
  <c r="L355" i="31"/>
  <c r="L348" i="31"/>
  <c r="L342" i="31"/>
  <c r="L329" i="31"/>
  <c r="L323" i="31"/>
  <c r="L316" i="31"/>
  <c r="L310" i="31"/>
  <c r="R310" i="31" s="1"/>
  <c r="L297" i="31"/>
  <c r="L291" i="31"/>
  <c r="L284" i="31"/>
  <c r="L278" i="31"/>
  <c r="L265" i="31"/>
  <c r="L256" i="31"/>
  <c r="L245" i="31"/>
  <c r="L232" i="31"/>
  <c r="R232" i="31" s="1"/>
  <c r="L216" i="31"/>
  <c r="L200" i="31"/>
  <c r="L184" i="31"/>
  <c r="L168" i="31"/>
  <c r="L140" i="31"/>
  <c r="L108" i="31"/>
  <c r="L76" i="31"/>
  <c r="L44" i="31"/>
  <c r="R44" i="31" s="1"/>
  <c r="L345" i="31"/>
  <c r="L307" i="31"/>
  <c r="L224" i="31"/>
  <c r="L176" i="31"/>
  <c r="L525" i="31"/>
  <c r="L517" i="31"/>
  <c r="L509" i="31"/>
  <c r="L501" i="31"/>
  <c r="L493" i="31"/>
  <c r="L485" i="31"/>
  <c r="L477" i="31"/>
  <c r="L465" i="31"/>
  <c r="L457" i="31"/>
  <c r="L449" i="31"/>
  <c r="L441" i="31"/>
  <c r="L433" i="31"/>
  <c r="L425" i="31"/>
  <c r="L417" i="31"/>
  <c r="L409" i="31"/>
  <c r="L401" i="31"/>
  <c r="L393" i="31"/>
  <c r="L389" i="31"/>
  <c r="L381" i="31"/>
  <c r="L377" i="31"/>
  <c r="L373" i="31"/>
  <c r="L367" i="31"/>
  <c r="L360" i="31"/>
  <c r="L354" i="31"/>
  <c r="L341" i="31"/>
  <c r="L335" i="31"/>
  <c r="L328" i="31"/>
  <c r="L322" i="31"/>
  <c r="R322" i="31" s="1"/>
  <c r="L309" i="31"/>
  <c r="L303" i="31"/>
  <c r="L296" i="31"/>
  <c r="L290" i="31"/>
  <c r="L277" i="31"/>
  <c r="L271" i="31"/>
  <c r="L264" i="31"/>
  <c r="L244" i="31"/>
  <c r="L229" i="31"/>
  <c r="L213" i="31"/>
  <c r="L197" i="31"/>
  <c r="L181" i="31"/>
  <c r="L165" i="31"/>
  <c r="L136" i="31"/>
  <c r="L104" i="31"/>
  <c r="L72" i="31"/>
  <c r="R72" i="31" s="1"/>
  <c r="L40" i="31"/>
  <c r="L326" i="31"/>
  <c r="L275" i="31"/>
  <c r="L192" i="31"/>
  <c r="L529" i="31"/>
  <c r="L521" i="31"/>
  <c r="L513" i="31"/>
  <c r="L505" i="31"/>
  <c r="R505" i="31" s="1"/>
  <c r="L497" i="31"/>
  <c r="L489" i="31"/>
  <c r="L481" i="31"/>
  <c r="L473" i="31"/>
  <c r="L469" i="31"/>
  <c r="L461" i="31"/>
  <c r="L453" i="31"/>
  <c r="L445" i="31"/>
  <c r="L437" i="31"/>
  <c r="L429" i="31"/>
  <c r="L421" i="31"/>
  <c r="L413" i="31"/>
  <c r="L405" i="31"/>
  <c r="L397" i="31"/>
  <c r="L385" i="31"/>
  <c r="L372" i="31"/>
  <c r="R372" i="31" s="1"/>
  <c r="L366" i="31"/>
  <c r="L353" i="31"/>
  <c r="L347" i="31"/>
  <c r="L340" i="31"/>
  <c r="L334" i="31"/>
  <c r="L321" i="31"/>
  <c r="L315" i="31"/>
  <c r="L308" i="31"/>
  <c r="L302" i="31"/>
  <c r="L289" i="31"/>
  <c r="L283" i="31"/>
  <c r="L276" i="31"/>
  <c r="L270" i="31"/>
  <c r="L253" i="31"/>
  <c r="L228" i="31"/>
  <c r="L212" i="31"/>
  <c r="L196" i="31"/>
  <c r="L180" i="31"/>
  <c r="L164" i="31"/>
  <c r="L132" i="31"/>
  <c r="L100" i="31"/>
  <c r="L68" i="31"/>
  <c r="L36" i="31"/>
  <c r="L259" i="31"/>
  <c r="R259" i="31" s="1"/>
  <c r="L255" i="31"/>
  <c r="L251" i="31"/>
  <c r="L247" i="31"/>
  <c r="L243" i="31"/>
  <c r="L239" i="31"/>
  <c r="L235" i="31"/>
  <c r="L231" i="31"/>
  <c r="L227" i="31"/>
  <c r="R227" i="31" s="1"/>
  <c r="L223" i="31"/>
  <c r="L219" i="31"/>
  <c r="L215" i="31"/>
  <c r="L211" i="31"/>
  <c r="L207" i="31"/>
  <c r="L203" i="31"/>
  <c r="L199" i="31"/>
  <c r="L195" i="31"/>
  <c r="L191" i="31"/>
  <c r="L187" i="31"/>
  <c r="L183" i="31"/>
  <c r="L179" i="31"/>
  <c r="L175" i="31"/>
  <c r="L171" i="31"/>
  <c r="L167" i="31"/>
  <c r="L163" i="31"/>
  <c r="L159" i="31"/>
  <c r="L155" i="31"/>
  <c r="L151" i="31"/>
  <c r="L147" i="31"/>
  <c r="L143" i="31"/>
  <c r="L139" i="31"/>
  <c r="L135" i="31"/>
  <c r="L131" i="31"/>
  <c r="R131" i="31" s="1"/>
  <c r="L127" i="31"/>
  <c r="L123" i="31"/>
  <c r="L119" i="31"/>
  <c r="L115" i="31"/>
  <c r="L111" i="31"/>
  <c r="L107" i="31"/>
  <c r="L103" i="31"/>
  <c r="L99" i="31"/>
  <c r="R99" i="31" s="1"/>
  <c r="L95" i="31"/>
  <c r="L91" i="31"/>
  <c r="L87" i="31"/>
  <c r="L83" i="31"/>
  <c r="L79" i="31"/>
  <c r="L75" i="31"/>
  <c r="L71" i="31"/>
  <c r="L67" i="31"/>
  <c r="L63" i="31"/>
  <c r="L59" i="31"/>
  <c r="L55" i="31"/>
  <c r="L51" i="31"/>
  <c r="L47" i="31"/>
  <c r="L43" i="31"/>
  <c r="L39" i="31"/>
  <c r="L35" i="31"/>
  <c r="R35" i="31" s="1"/>
  <c r="L262" i="31"/>
  <c r="L258" i="31"/>
  <c r="L254" i="31"/>
  <c r="L250" i="31"/>
  <c r="L246" i="31"/>
  <c r="L242" i="31"/>
  <c r="L238" i="31"/>
  <c r="L234" i="31"/>
  <c r="L230" i="31"/>
  <c r="L226" i="31"/>
  <c r="L222" i="31"/>
  <c r="L218" i="31"/>
  <c r="L214" i="31"/>
  <c r="L210" i="31"/>
  <c r="L206" i="31"/>
  <c r="L202" i="31"/>
  <c r="R202" i="31" s="1"/>
  <c r="L198" i="31"/>
  <c r="L194" i="31"/>
  <c r="L190" i="31"/>
  <c r="L186" i="31"/>
  <c r="L182" i="31"/>
  <c r="L178" i="31"/>
  <c r="L174" i="31"/>
  <c r="L170" i="31"/>
  <c r="R170" i="31" s="1"/>
  <c r="L166" i="31"/>
  <c r="L162" i="31"/>
  <c r="L158" i="31"/>
  <c r="L154" i="31"/>
  <c r="L150" i="31"/>
  <c r="L146" i="31"/>
  <c r="L142" i="31"/>
  <c r="L138" i="31"/>
  <c r="L134" i="31"/>
  <c r="L130" i="31"/>
  <c r="L126" i="31"/>
  <c r="L122" i="31"/>
  <c r="L118" i="31"/>
  <c r="L114" i="31"/>
  <c r="L110" i="31"/>
  <c r="L106" i="31"/>
  <c r="R106" i="31" s="1"/>
  <c r="L102" i="31"/>
  <c r="L98" i="31"/>
  <c r="L94" i="31"/>
  <c r="L90" i="31"/>
  <c r="L86" i="31"/>
  <c r="L82" i="31"/>
  <c r="L78" i="31"/>
  <c r="L74" i="31"/>
  <c r="R74" i="31" s="1"/>
  <c r="L70" i="31"/>
  <c r="L66" i="31"/>
  <c r="L62" i="31"/>
  <c r="L58" i="31"/>
  <c r="L54" i="31"/>
  <c r="L50" i="31"/>
  <c r="L46" i="31"/>
  <c r="L42" i="31"/>
  <c r="L38" i="31"/>
  <c r="L34" i="31"/>
  <c r="L161" i="31"/>
  <c r="L157" i="31"/>
  <c r="L153" i="31"/>
  <c r="L149" i="31"/>
  <c r="L145" i="31"/>
  <c r="L141" i="31"/>
  <c r="R141" i="31" s="1"/>
  <c r="L137" i="31"/>
  <c r="L133" i="31"/>
  <c r="L129" i="31"/>
  <c r="L125" i="31"/>
  <c r="L121" i="31"/>
  <c r="L117" i="31"/>
  <c r="L113" i="31"/>
  <c r="L109" i="31"/>
  <c r="R109" i="31" s="1"/>
  <c r="L105" i="31"/>
  <c r="L101" i="31"/>
  <c r="L97" i="31"/>
  <c r="L93" i="31"/>
  <c r="L89" i="31"/>
  <c r="L85" i="31"/>
  <c r="L81" i="31"/>
  <c r="L77" i="31"/>
  <c r="R77" i="31" s="1"/>
  <c r="L73" i="31"/>
  <c r="L69" i="31"/>
  <c r="L65" i="31"/>
  <c r="L61" i="31"/>
  <c r="L57" i="31"/>
  <c r="L53" i="31"/>
  <c r="L49" i="31"/>
  <c r="L45" i="31"/>
  <c r="R45" i="31" s="1"/>
  <c r="L41" i="31"/>
  <c r="L37" i="31"/>
  <c r="L33" i="31"/>
  <c r="L32" i="31"/>
  <c r="K24" i="31"/>
  <c r="W24" i="31"/>
  <c r="R18" i="31"/>
  <c r="R19" i="31" s="1"/>
  <c r="V501" i="31"/>
  <c r="V386" i="31"/>
  <c r="V258" i="31"/>
  <c r="V281" i="31"/>
  <c r="V179" i="31"/>
  <c r="V360" i="31"/>
  <c r="V141" i="31"/>
  <c r="V422" i="31"/>
  <c r="V445" i="31"/>
  <c r="V419" i="31"/>
  <c r="V260" i="31"/>
  <c r="V446" i="31"/>
  <c r="V318" i="31"/>
  <c r="V341" i="31"/>
  <c r="V213" i="31"/>
  <c r="V219" i="31"/>
  <c r="V111" i="31"/>
  <c r="V64" i="31"/>
  <c r="V215" i="31"/>
  <c r="V73" i="31"/>
  <c r="V332" i="31"/>
  <c r="V509" i="31"/>
  <c r="V266" i="31"/>
  <c r="V184" i="31"/>
  <c r="V86" i="31"/>
  <c r="V149" i="31"/>
  <c r="V433" i="31"/>
  <c r="V75" i="31"/>
  <c r="V408" i="31"/>
  <c r="V41" i="31"/>
  <c r="V528" i="31"/>
  <c r="V439" i="31"/>
  <c r="V53" i="31"/>
  <c r="V181" i="31"/>
  <c r="V393" i="31"/>
  <c r="V265" i="31"/>
  <c r="V519" i="31"/>
  <c r="V163" i="31"/>
  <c r="V492" i="31"/>
  <c r="V406" i="31"/>
  <c r="V429" i="31"/>
  <c r="V301" i="31"/>
  <c r="V192" i="31"/>
  <c r="V275" i="31"/>
  <c r="V400" i="31"/>
  <c r="V152" i="31"/>
  <c r="V161" i="31"/>
  <c r="V39" i="31"/>
  <c r="V516" i="31"/>
  <c r="V302" i="31"/>
  <c r="V208" i="31"/>
  <c r="V95" i="31"/>
  <c r="V299" i="31"/>
  <c r="V122" i="31"/>
  <c r="V176" i="31"/>
  <c r="V57" i="31"/>
  <c r="V123" i="31"/>
  <c r="V369" i="31"/>
  <c r="V280" i="31"/>
  <c r="V464" i="31"/>
  <c r="V124" i="31"/>
  <c r="V191" i="31"/>
  <c r="V426" i="31"/>
  <c r="V385" i="31"/>
  <c r="V249" i="31"/>
  <c r="V487" i="31"/>
  <c r="V147" i="31"/>
  <c r="V351" i="31"/>
  <c r="V296" i="31"/>
  <c r="V109" i="31"/>
  <c r="V420" i="31"/>
  <c r="V285" i="31"/>
  <c r="V259" i="31"/>
  <c r="V136" i="31"/>
  <c r="V531" i="31"/>
  <c r="V223" i="31"/>
  <c r="V500" i="31"/>
  <c r="V437" i="31"/>
  <c r="V283" i="31"/>
  <c r="V416" i="31"/>
  <c r="V160" i="31"/>
  <c r="V169" i="31"/>
  <c r="V44" i="31"/>
  <c r="V244" i="31"/>
  <c r="V417" i="31"/>
  <c r="V59" i="31"/>
  <c r="V376" i="31"/>
  <c r="V305" i="31"/>
  <c r="V156" i="31"/>
  <c r="V311" i="31"/>
  <c r="V60" i="31"/>
  <c r="V449" i="31"/>
  <c r="V503" i="31"/>
  <c r="V453" i="31"/>
  <c r="V233" i="31"/>
  <c r="V454" i="31"/>
  <c r="V335" i="31"/>
  <c r="V158" i="31"/>
  <c r="V489" i="31"/>
  <c r="V374" i="31"/>
  <c r="V397" i="31"/>
  <c r="V269" i="31"/>
  <c r="V243" i="31"/>
  <c r="V336" i="31"/>
  <c r="V226" i="31"/>
  <c r="V129" i="31"/>
  <c r="V45" i="31"/>
  <c r="V513" i="31"/>
  <c r="V421" i="31"/>
  <c r="V63" i="31"/>
  <c r="V267" i="31"/>
  <c r="V90" i="31"/>
  <c r="V384" i="31"/>
  <c r="V153" i="31"/>
  <c r="V466" i="31"/>
  <c r="V248" i="31"/>
  <c r="V372" i="31"/>
  <c r="V92" i="31"/>
  <c r="V378" i="31"/>
  <c r="V247" i="31"/>
  <c r="V155" i="31"/>
  <c r="V512" i="31"/>
  <c r="V530" i="31"/>
  <c r="V322" i="31"/>
  <c r="V222" i="31"/>
  <c r="V115" i="31"/>
  <c r="V319" i="31"/>
  <c r="V77" i="31"/>
  <c r="V495" i="31"/>
  <c r="V151" i="31"/>
  <c r="V178" i="31"/>
  <c r="V304" i="31"/>
  <c r="V468" i="31"/>
  <c r="V382" i="31"/>
  <c r="V254" i="31"/>
  <c r="V405" i="31"/>
  <c r="V277" i="31"/>
  <c r="V175" i="31"/>
  <c r="V74" i="31"/>
  <c r="V128" i="31"/>
  <c r="V499" i="31"/>
  <c r="V391" i="31"/>
  <c r="V140" i="31"/>
  <c r="V279" i="31"/>
  <c r="V314" i="31"/>
  <c r="V216" i="31"/>
  <c r="V321" i="31"/>
  <c r="V201" i="31"/>
  <c r="V211" i="31"/>
  <c r="V99" i="31"/>
  <c r="V431" i="31"/>
  <c r="V456" i="31"/>
  <c r="V342" i="31"/>
  <c r="V135" i="31"/>
  <c r="V339" i="31"/>
  <c r="V162" i="31"/>
  <c r="V272" i="31"/>
  <c r="V396" i="31"/>
  <c r="V481" i="31"/>
  <c r="V389" i="31"/>
  <c r="V261" i="31"/>
  <c r="V58" i="31"/>
  <c r="V121" i="31"/>
  <c r="V455" i="31"/>
  <c r="V76" i="31"/>
  <c r="V346" i="31"/>
  <c r="V493" i="31"/>
  <c r="V70" i="31"/>
  <c r="V54" i="31"/>
  <c r="V423" i="31"/>
  <c r="V290" i="31"/>
  <c r="V415" i="31"/>
  <c r="V110" i="31"/>
  <c r="V348" i="31"/>
  <c r="V47" i="31"/>
  <c r="V326" i="31"/>
  <c r="V224" i="31"/>
  <c r="V146" i="31"/>
  <c r="V240" i="31"/>
  <c r="V364" i="31"/>
  <c r="V373" i="31"/>
  <c r="V245" i="31"/>
  <c r="V506" i="31"/>
  <c r="V347" i="31"/>
  <c r="V42" i="31"/>
  <c r="V96" i="31"/>
  <c r="V105" i="31"/>
  <c r="V394" i="31"/>
  <c r="V525" i="31"/>
  <c r="V282" i="31"/>
  <c r="V195" i="31"/>
  <c r="V486" i="31"/>
  <c r="V69" i="31"/>
  <c r="V440" i="31"/>
  <c r="V206" i="31"/>
  <c r="V108" i="31"/>
  <c r="V172" i="31"/>
  <c r="V488" i="31"/>
  <c r="V402" i="31"/>
  <c r="V190" i="31"/>
  <c r="V271" i="31"/>
  <c r="V94" i="31"/>
  <c r="V212" i="31"/>
  <c r="V196" i="31"/>
  <c r="V524" i="31"/>
  <c r="V438" i="31"/>
  <c r="V333" i="31"/>
  <c r="V130" i="31"/>
  <c r="V56" i="31"/>
  <c r="V199" i="31"/>
  <c r="V357" i="31"/>
  <c r="V474" i="31"/>
  <c r="V256" i="31"/>
  <c r="V80" i="31"/>
  <c r="V491" i="31"/>
  <c r="V89" i="31"/>
  <c r="V380" i="31"/>
  <c r="V330" i="31"/>
  <c r="V227" i="31"/>
  <c r="V461" i="31"/>
  <c r="V38" i="31"/>
  <c r="V344" i="31"/>
  <c r="V494" i="31"/>
  <c r="V32" i="31"/>
  <c r="V118" i="31"/>
  <c r="V477" i="31"/>
  <c r="T248" i="31" l="1"/>
  <c r="T413" i="31"/>
  <c r="T471" i="31"/>
  <c r="T515" i="31"/>
  <c r="U499" i="31"/>
  <c r="U45" i="31"/>
  <c r="U43" i="31"/>
  <c r="U130" i="31"/>
  <c r="U123" i="31"/>
  <c r="U94" i="31"/>
  <c r="U97" i="31"/>
  <c r="U92" i="31"/>
  <c r="U82" i="31"/>
  <c r="U151" i="31"/>
  <c r="U215" i="31"/>
  <c r="U149" i="31"/>
  <c r="U194" i="31"/>
  <c r="U189" i="31"/>
  <c r="U159" i="31"/>
  <c r="U95" i="31"/>
  <c r="U165" i="31"/>
  <c r="U283" i="31"/>
  <c r="U347" i="31"/>
  <c r="U271" i="31"/>
  <c r="U326" i="31"/>
  <c r="U244" i="31"/>
  <c r="U255" i="31"/>
  <c r="U240" i="31"/>
  <c r="U435" i="31"/>
  <c r="U237" i="31"/>
  <c r="U288" i="31"/>
  <c r="U402" i="31"/>
  <c r="U434" i="31"/>
  <c r="U381" i="31"/>
  <c r="U352" i="31"/>
  <c r="U453" i="31"/>
  <c r="U440" i="31"/>
  <c r="U501" i="31"/>
  <c r="Q18" i="31"/>
  <c r="Q19" i="31" s="1"/>
  <c r="Q21" i="31" s="1"/>
  <c r="U38" i="31"/>
  <c r="U54" i="31"/>
  <c r="U33" i="31"/>
  <c r="U49" i="31"/>
  <c r="U44" i="31"/>
  <c r="U85" i="31"/>
  <c r="U117" i="31"/>
  <c r="U88" i="31"/>
  <c r="U120" i="31"/>
  <c r="U141" i="31"/>
  <c r="U67" i="31"/>
  <c r="U99" i="31"/>
  <c r="U70" i="31"/>
  <c r="U102" i="31"/>
  <c r="U133" i="31"/>
  <c r="U62" i="31"/>
  <c r="U73" i="31"/>
  <c r="U105" i="31"/>
  <c r="U68" i="31"/>
  <c r="U100" i="31"/>
  <c r="U142" i="31"/>
  <c r="U90" i="31"/>
  <c r="U122" i="31"/>
  <c r="U192" i="31"/>
  <c r="U199" i="31"/>
  <c r="U206" i="31"/>
  <c r="U235" i="31"/>
  <c r="U79" i="31"/>
  <c r="U147" i="31"/>
  <c r="U185" i="31"/>
  <c r="U103" i="31"/>
  <c r="U164" i="31"/>
  <c r="U171" i="31"/>
  <c r="U178" i="31"/>
  <c r="U223" i="31"/>
  <c r="U230" i="31"/>
  <c r="U205" i="31"/>
  <c r="U34" i="31"/>
  <c r="U40" i="31"/>
  <c r="U77" i="31"/>
  <c r="U112" i="31"/>
  <c r="U91" i="31"/>
  <c r="U126" i="31"/>
  <c r="U65" i="31"/>
  <c r="U124" i="31"/>
  <c r="U114" i="31"/>
  <c r="U158" i="31"/>
  <c r="U231" i="31"/>
  <c r="U187" i="31"/>
  <c r="U166" i="31"/>
  <c r="U161" i="31"/>
  <c r="U146" i="31"/>
  <c r="U228" i="31"/>
  <c r="U299" i="31"/>
  <c r="U238" i="31"/>
  <c r="U233" i="31"/>
  <c r="U310" i="31"/>
  <c r="U342" i="31"/>
  <c r="U274" i="31"/>
  <c r="U234" i="31"/>
  <c r="U260" i="31"/>
  <c r="U403" i="31"/>
  <c r="U467" i="31"/>
  <c r="U324" i="31"/>
  <c r="U386" i="31"/>
  <c r="U450" i="31"/>
  <c r="U397" i="31"/>
  <c r="U249" i="31"/>
  <c r="U490" i="31"/>
  <c r="U472" i="31"/>
  <c r="U531" i="31"/>
  <c r="U477" i="31"/>
  <c r="U523" i="31"/>
  <c r="U356" i="31"/>
  <c r="U497" i="31"/>
  <c r="U50" i="31"/>
  <c r="U61" i="31"/>
  <c r="U56" i="31"/>
  <c r="U109" i="31"/>
  <c r="U55" i="31"/>
  <c r="U80" i="31"/>
  <c r="U145" i="31"/>
  <c r="U129" i="31"/>
  <c r="U59" i="31"/>
  <c r="U60" i="31"/>
  <c r="U119" i="31"/>
  <c r="U208" i="31"/>
  <c r="U169" i="31"/>
  <c r="U180" i="31"/>
  <c r="U226" i="31"/>
  <c r="U152" i="31"/>
  <c r="U219" i="31"/>
  <c r="U221" i="31"/>
  <c r="U273" i="31"/>
  <c r="U315" i="31"/>
  <c r="U331" i="31"/>
  <c r="U265" i="31"/>
  <c r="U294" i="31"/>
  <c r="U186" i="31"/>
  <c r="U276" i="31"/>
  <c r="U289" i="31"/>
  <c r="U305" i="31"/>
  <c r="U387" i="31"/>
  <c r="U419" i="31"/>
  <c r="U451" i="31"/>
  <c r="U483" i="31"/>
  <c r="U329" i="31"/>
  <c r="U366" i="31"/>
  <c r="U418" i="31"/>
  <c r="U466" i="31"/>
  <c r="U413" i="31"/>
  <c r="U333" i="31"/>
  <c r="U502" i="31"/>
  <c r="U505" i="31"/>
  <c r="U432" i="31"/>
  <c r="U449" i="31"/>
  <c r="U353" i="31"/>
  <c r="U424" i="31"/>
  <c r="U491" i="31"/>
  <c r="U200" i="31"/>
  <c r="U207" i="31"/>
  <c r="U214" i="31"/>
  <c r="U225" i="31"/>
  <c r="U138" i="31"/>
  <c r="U177" i="31"/>
  <c r="U216" i="31"/>
  <c r="U181" i="31"/>
  <c r="U258" i="31"/>
  <c r="U287" i="31"/>
  <c r="U303" i="31"/>
  <c r="U319" i="31"/>
  <c r="U335" i="31"/>
  <c r="U351" i="31"/>
  <c r="U269" i="31"/>
  <c r="U170" i="31"/>
  <c r="U241" i="31"/>
  <c r="U250" i="31"/>
  <c r="U282" i="31"/>
  <c r="U298" i="31"/>
  <c r="U314" i="31"/>
  <c r="U330" i="31"/>
  <c r="U346" i="31"/>
  <c r="U172" i="31"/>
  <c r="U224" i="31"/>
  <c r="U263" i="31"/>
  <c r="U272" i="31"/>
  <c r="U293" i="31"/>
  <c r="U309" i="31"/>
  <c r="U242" i="31"/>
  <c r="U253" i="31"/>
  <c r="U247" i="31"/>
  <c r="U279" i="31"/>
  <c r="U373" i="31"/>
  <c r="U380" i="31"/>
  <c r="U391" i="31"/>
  <c r="U407" i="31"/>
  <c r="U423" i="31"/>
  <c r="U439" i="31"/>
  <c r="U455" i="31"/>
  <c r="U471" i="31"/>
  <c r="U163" i="31"/>
  <c r="U340" i="31"/>
  <c r="U390" i="31"/>
  <c r="U406" i="31"/>
  <c r="U422" i="31"/>
  <c r="U438" i="31"/>
  <c r="U454" i="31"/>
  <c r="U470" i="31"/>
  <c r="U482" i="31"/>
  <c r="U300" i="31"/>
  <c r="U364" i="31"/>
  <c r="U379" i="31"/>
  <c r="U385" i="31"/>
  <c r="U401" i="31"/>
  <c r="U417" i="31"/>
  <c r="U292" i="31"/>
  <c r="U374" i="31"/>
  <c r="U349" i="31"/>
  <c r="U363" i="31"/>
  <c r="U388" i="31"/>
  <c r="U425" i="31"/>
  <c r="U498" i="31"/>
  <c r="U527" i="31"/>
  <c r="U420" i="31"/>
  <c r="U509" i="31"/>
  <c r="U530" i="31"/>
  <c r="U514" i="31"/>
  <c r="U266" i="31"/>
  <c r="U468" i="31"/>
  <c r="U524" i="31"/>
  <c r="U392" i="31"/>
  <c r="U448" i="31"/>
  <c r="U469" i="31"/>
  <c r="U488" i="31"/>
  <c r="U465" i="31"/>
  <c r="U304" i="31"/>
  <c r="U428" i="31"/>
  <c r="U510" i="31"/>
  <c r="U408" i="31"/>
  <c r="U517" i="31"/>
  <c r="U396" i="31"/>
  <c r="U429" i="31"/>
  <c r="U489" i="31"/>
  <c r="U521" i="31"/>
  <c r="T477" i="31"/>
  <c r="T44" i="31"/>
  <c r="T39" i="31"/>
  <c r="T128" i="31"/>
  <c r="T139" i="31"/>
  <c r="T67" i="31"/>
  <c r="T99" i="31"/>
  <c r="T46" i="31"/>
  <c r="T78" i="31"/>
  <c r="T110" i="31"/>
  <c r="T131" i="31"/>
  <c r="T58" i="31"/>
  <c r="T81" i="31"/>
  <c r="T113" i="31"/>
  <c r="T144" i="31"/>
  <c r="T84" i="31"/>
  <c r="T116" i="31"/>
  <c r="T138" i="31"/>
  <c r="T111" i="31"/>
  <c r="T101" i="31"/>
  <c r="T149" i="31"/>
  <c r="T178" i="31"/>
  <c r="T223" i="31"/>
  <c r="T164" i="31"/>
  <c r="T157" i="31"/>
  <c r="T214" i="31"/>
  <c r="T184" i="31"/>
  <c r="T222" i="31"/>
  <c r="T148" i="31"/>
  <c r="T179" i="31"/>
  <c r="T193" i="31"/>
  <c r="T156" i="31"/>
  <c r="T298" i="31"/>
  <c r="T264" i="31"/>
  <c r="T307" i="31"/>
  <c r="T418" i="31"/>
  <c r="T319" i="31"/>
  <c r="T362" i="31"/>
  <c r="T379" i="31"/>
  <c r="T433" i="31"/>
  <c r="T396" i="31"/>
  <c r="T468" i="31"/>
  <c r="T488" i="31"/>
  <c r="T501" i="31"/>
  <c r="T513" i="31"/>
  <c r="T489" i="31"/>
  <c r="T33" i="31"/>
  <c r="T49" i="31"/>
  <c r="T60" i="31"/>
  <c r="T55" i="31"/>
  <c r="T64" i="31"/>
  <c r="T96" i="31"/>
  <c r="T476" i="31"/>
  <c r="T432" i="31"/>
  <c r="T45" i="31"/>
  <c r="T40" i="31"/>
  <c r="T56" i="31"/>
  <c r="T35" i="31"/>
  <c r="T51" i="31"/>
  <c r="T88" i="31"/>
  <c r="T120" i="31"/>
  <c r="T141" i="31"/>
  <c r="T91" i="31"/>
  <c r="T123" i="31"/>
  <c r="T135" i="31"/>
  <c r="T70" i="31"/>
  <c r="T102" i="31"/>
  <c r="T133" i="31"/>
  <c r="T62" i="31"/>
  <c r="T73" i="31"/>
  <c r="T105" i="31"/>
  <c r="T38" i="31"/>
  <c r="T76" i="31"/>
  <c r="T108" i="31"/>
  <c r="T140" i="31"/>
  <c r="T71" i="31"/>
  <c r="T103" i="31"/>
  <c r="T134" i="31"/>
  <c r="T93" i="31"/>
  <c r="T125" i="31"/>
  <c r="T187" i="31"/>
  <c r="T194" i="31"/>
  <c r="T201" i="31"/>
  <c r="T226" i="31"/>
  <c r="T242" i="31"/>
  <c r="T212" i="31"/>
  <c r="T159" i="31"/>
  <c r="T166" i="31"/>
  <c r="T173" i="31"/>
  <c r="T106" i="31"/>
  <c r="T150" i="31"/>
  <c r="T168" i="31"/>
  <c r="T225" i="31"/>
  <c r="T195" i="31"/>
  <c r="T202" i="31"/>
  <c r="T209" i="31"/>
  <c r="T90" i="31"/>
  <c r="T204" i="31"/>
  <c r="T208" i="31"/>
  <c r="T181" i="31"/>
  <c r="T252" i="31"/>
  <c r="T294" i="31"/>
  <c r="T310" i="31"/>
  <c r="T326" i="31"/>
  <c r="T342" i="31"/>
  <c r="T358" i="31"/>
  <c r="T183" i="31"/>
  <c r="T250" i="31"/>
  <c r="T282" i="31"/>
  <c r="T244" i="31"/>
  <c r="T276" i="31"/>
  <c r="T289" i="31"/>
  <c r="T305" i="31"/>
  <c r="T321" i="31"/>
  <c r="T337" i="31"/>
  <c r="T353" i="31"/>
  <c r="T255" i="31"/>
  <c r="T174" i="31"/>
  <c r="T253" i="31"/>
  <c r="T284" i="31"/>
  <c r="T300" i="31"/>
  <c r="T316" i="31"/>
  <c r="T190" i="31"/>
  <c r="T266" i="31"/>
  <c r="T165" i="31"/>
  <c r="T221" i="31"/>
  <c r="T271" i="31"/>
  <c r="T339" i="31"/>
  <c r="T357" i="31"/>
  <c r="T368" i="31"/>
  <c r="T375" i="31"/>
  <c r="T382" i="31"/>
  <c r="T398" i="31"/>
  <c r="T414" i="31"/>
  <c r="T430" i="31"/>
  <c r="T446" i="31"/>
  <c r="T462" i="31"/>
  <c r="T478" i="31"/>
  <c r="T377" i="31"/>
  <c r="T397" i="31"/>
  <c r="T429" i="31"/>
  <c r="T445" i="31"/>
  <c r="T461" i="31"/>
  <c r="T260" i="31"/>
  <c r="T311" i="31"/>
  <c r="T336" i="31"/>
  <c r="T355" i="31"/>
  <c r="T206" i="31"/>
  <c r="T331" i="31"/>
  <c r="T374" i="31"/>
  <c r="T392" i="31"/>
  <c r="T408" i="31"/>
  <c r="T420" i="31"/>
  <c r="T303" i="31"/>
  <c r="T332" i="31"/>
  <c r="T365" i="31"/>
  <c r="T327" i="31"/>
  <c r="T447" i="31"/>
  <c r="T490" i="31"/>
  <c r="T403" i="31"/>
  <c r="T514" i="31"/>
  <c r="T428" i="31"/>
  <c r="T491" i="31"/>
  <c r="T315" i="31"/>
  <c r="T502" i="31"/>
  <c r="T455" i="31"/>
  <c r="T37" i="31"/>
  <c r="T53" i="31"/>
  <c r="T32" i="31"/>
  <c r="T48" i="31"/>
  <c r="T43" i="31"/>
  <c r="T59" i="31"/>
  <c r="T72" i="31"/>
  <c r="T104" i="31"/>
  <c r="T34" i="31"/>
  <c r="T75" i="31"/>
  <c r="T107" i="31"/>
  <c r="T86" i="31"/>
  <c r="T118" i="31"/>
  <c r="T89" i="31"/>
  <c r="T121" i="31"/>
  <c r="T142" i="31"/>
  <c r="T92" i="31"/>
  <c r="T124" i="31"/>
  <c r="T87" i="31"/>
  <c r="T119" i="31"/>
  <c r="T42" i="31"/>
  <c r="T77" i="31"/>
  <c r="T109" i="31"/>
  <c r="T147" i="31"/>
  <c r="T155" i="31"/>
  <c r="T162" i="31"/>
  <c r="T169" i="31"/>
  <c r="T220" i="31"/>
  <c r="T234" i="31"/>
  <c r="U473" i="31"/>
  <c r="U372" i="31"/>
  <c r="U511" i="31"/>
  <c r="U345" i="31"/>
  <c r="U46" i="31"/>
  <c r="U41" i="31"/>
  <c r="U57" i="31"/>
  <c r="U36" i="31"/>
  <c r="U52" i="31"/>
  <c r="U69" i="31"/>
  <c r="U101" i="31"/>
  <c r="U143" i="31"/>
  <c r="U72" i="31"/>
  <c r="U104" i="31"/>
  <c r="U83" i="31"/>
  <c r="U115" i="31"/>
  <c r="U135" i="31"/>
  <c r="U86" i="31"/>
  <c r="U118" i="31"/>
  <c r="U89" i="31"/>
  <c r="U121" i="31"/>
  <c r="U144" i="31"/>
  <c r="U84" i="31"/>
  <c r="U116" i="31"/>
  <c r="U74" i="31"/>
  <c r="U106" i="31"/>
  <c r="U132" i="31"/>
  <c r="U160" i="31"/>
  <c r="U167" i="31"/>
  <c r="U174" i="31"/>
  <c r="U218" i="31"/>
  <c r="U227" i="31"/>
  <c r="U243" i="31"/>
  <c r="U153" i="31"/>
  <c r="U134" i="31"/>
  <c r="U196" i="31"/>
  <c r="U203" i="31"/>
  <c r="U210" i="31"/>
  <c r="U217" i="31"/>
  <c r="U127" i="31"/>
  <c r="U173" i="31"/>
  <c r="U168" i="31"/>
  <c r="U175" i="31"/>
  <c r="U182" i="31"/>
  <c r="U111" i="31"/>
  <c r="U148" i="31"/>
  <c r="U209" i="31"/>
  <c r="U222" i="31"/>
  <c r="U213" i="31"/>
  <c r="U71" i="31"/>
  <c r="U195" i="31"/>
  <c r="U232" i="31"/>
  <c r="U275" i="31"/>
  <c r="U295" i="31"/>
  <c r="U311" i="31"/>
  <c r="U327" i="31"/>
  <c r="U343" i="31"/>
  <c r="U252" i="31"/>
  <c r="U267" i="31"/>
  <c r="U290" i="31"/>
  <c r="U306" i="31"/>
  <c r="U322" i="31"/>
  <c r="U338" i="31"/>
  <c r="U354" i="31"/>
  <c r="U236" i="31"/>
  <c r="U246" i="31"/>
  <c r="U278" i="31"/>
  <c r="U188" i="31"/>
  <c r="U257" i="31"/>
  <c r="U285" i="31"/>
  <c r="U301" i="31"/>
  <c r="U317" i="31"/>
  <c r="U204" i="31"/>
  <c r="U268" i="31"/>
  <c r="U179" i="31"/>
  <c r="U262" i="31"/>
  <c r="U344" i="31"/>
  <c r="U359" i="31"/>
  <c r="U383" i="31"/>
  <c r="U399" i="31"/>
  <c r="U415" i="31"/>
  <c r="U431" i="31"/>
  <c r="U447" i="31"/>
  <c r="U463" i="31"/>
  <c r="U479" i="31"/>
  <c r="U308" i="31"/>
  <c r="U368" i="31"/>
  <c r="U375" i="31"/>
  <c r="U382" i="31"/>
  <c r="U398" i="31"/>
  <c r="U414" i="31"/>
  <c r="U430" i="31"/>
  <c r="U446" i="31"/>
  <c r="U462" i="31"/>
  <c r="U478" i="31"/>
  <c r="U341" i="31"/>
  <c r="U370" i="31"/>
  <c r="U312" i="31"/>
  <c r="U336" i="31"/>
  <c r="U358" i="31"/>
  <c r="U393" i="31"/>
  <c r="U409" i="31"/>
  <c r="U264" i="31"/>
  <c r="U337" i="31"/>
  <c r="U251" i="31"/>
  <c r="U316" i="31"/>
  <c r="U457" i="31"/>
  <c r="U513" i="31"/>
  <c r="U332" i="31"/>
  <c r="U400" i="31"/>
  <c r="U452" i="31"/>
  <c r="U494" i="31"/>
  <c r="U526" i="31"/>
  <c r="U522" i="31"/>
  <c r="U520" i="31"/>
  <c r="U365" i="31"/>
  <c r="U412" i="31"/>
  <c r="U437" i="31"/>
  <c r="U492" i="31"/>
  <c r="U518" i="31"/>
  <c r="U367" i="31"/>
  <c r="U503" i="31"/>
  <c r="U348" i="31"/>
  <c r="U404" i="31"/>
  <c r="U433" i="31"/>
  <c r="U476" i="31"/>
  <c r="U516" i="31"/>
  <c r="U484" i="31"/>
  <c r="U416" i="31"/>
  <c r="U460" i="31"/>
  <c r="U480" i="31"/>
  <c r="U493" i="31"/>
  <c r="U461" i="31"/>
  <c r="U506" i="31"/>
  <c r="U487" i="31"/>
  <c r="S327" i="31"/>
  <c r="U500" i="31"/>
  <c r="U512" i="31"/>
  <c r="U42" i="31"/>
  <c r="U37" i="31"/>
  <c r="U53" i="31"/>
  <c r="U32" i="31"/>
  <c r="U48" i="31"/>
  <c r="U93" i="31"/>
  <c r="U125" i="31"/>
  <c r="U64" i="31"/>
  <c r="U96" i="31"/>
  <c r="U128" i="31"/>
  <c r="U139" i="31"/>
  <c r="U35" i="31"/>
  <c r="U75" i="31"/>
  <c r="U107" i="31"/>
  <c r="U137" i="31"/>
  <c r="U47" i="31"/>
  <c r="U78" i="31"/>
  <c r="U110" i="31"/>
  <c r="U131" i="31"/>
  <c r="U58" i="31"/>
  <c r="U81" i="31"/>
  <c r="U113" i="31"/>
  <c r="U39" i="31"/>
  <c r="U76" i="31"/>
  <c r="U108" i="31"/>
  <c r="U140" i="31"/>
  <c r="U66" i="31"/>
  <c r="U98" i="31"/>
  <c r="U176" i="31"/>
  <c r="U183" i="31"/>
  <c r="U190" i="31"/>
  <c r="U239" i="31"/>
  <c r="U51" i="31"/>
  <c r="U201" i="31"/>
  <c r="U155" i="31"/>
  <c r="U162" i="31"/>
  <c r="U212" i="31"/>
  <c r="U220" i="31"/>
  <c r="U63" i="31"/>
  <c r="U136" i="31"/>
  <c r="U157" i="31"/>
  <c r="U87" i="31"/>
  <c r="U184" i="31"/>
  <c r="U191" i="31"/>
  <c r="U198" i="31"/>
  <c r="U229" i="31"/>
  <c r="U150" i="31"/>
  <c r="U193" i="31"/>
  <c r="U197" i="31"/>
  <c r="U256" i="31"/>
  <c r="U291" i="31"/>
  <c r="U307" i="31"/>
  <c r="U323" i="31"/>
  <c r="U339" i="31"/>
  <c r="U355" i="31"/>
  <c r="U154" i="31"/>
  <c r="U211" i="31"/>
  <c r="U254" i="31"/>
  <c r="U156" i="31"/>
  <c r="U248" i="31"/>
  <c r="U280" i="31"/>
  <c r="U286" i="31"/>
  <c r="U302" i="31"/>
  <c r="U318" i="31"/>
  <c r="U334" i="31"/>
  <c r="U350" i="31"/>
  <c r="U261" i="31"/>
  <c r="U202" i="31"/>
  <c r="U259" i="31"/>
  <c r="U297" i="31"/>
  <c r="U313" i="31"/>
  <c r="U270" i="31"/>
  <c r="U245" i="31"/>
  <c r="U277" i="31"/>
  <c r="U296" i="31"/>
  <c r="U328" i="31"/>
  <c r="U371" i="31"/>
  <c r="U395" i="31"/>
  <c r="U411" i="31"/>
  <c r="U427" i="31"/>
  <c r="U443" i="31"/>
  <c r="U459" i="31"/>
  <c r="U475" i="31"/>
  <c r="U357" i="31"/>
  <c r="U377" i="31"/>
  <c r="U394" i="31"/>
  <c r="U410" i="31"/>
  <c r="U426" i="31"/>
  <c r="U442" i="31"/>
  <c r="U458" i="31"/>
  <c r="U474" i="31"/>
  <c r="U325" i="31"/>
  <c r="U362" i="31"/>
  <c r="U320" i="31"/>
  <c r="U360" i="31"/>
  <c r="U389" i="31"/>
  <c r="U405" i="31"/>
  <c r="U281" i="31"/>
  <c r="U321" i="31"/>
  <c r="U284" i="31"/>
  <c r="U361" i="31"/>
  <c r="U378" i="31"/>
  <c r="U376" i="31"/>
  <c r="U441" i="31"/>
  <c r="U485" i="31"/>
  <c r="U515" i="31"/>
  <c r="U436" i="31"/>
  <c r="U496" i="31"/>
  <c r="U528" i="31"/>
  <c r="U507" i="31"/>
  <c r="U481" i="31"/>
  <c r="U519" i="31"/>
  <c r="U421" i="31"/>
  <c r="U529" i="31"/>
  <c r="U464" i="31"/>
  <c r="U486" i="31"/>
  <c r="U456" i="31"/>
  <c r="U369" i="31"/>
  <c r="U504" i="31"/>
  <c r="U384" i="31"/>
  <c r="U444" i="31"/>
  <c r="U495" i="31"/>
  <c r="U525" i="31"/>
  <c r="U445" i="31"/>
  <c r="U508" i="31"/>
  <c r="S522" i="31"/>
  <c r="S75" i="31"/>
  <c r="S107" i="31"/>
  <c r="S89" i="31"/>
  <c r="S92" i="31"/>
  <c r="S95" i="31"/>
  <c r="S127" i="31"/>
  <c r="S132" i="31"/>
  <c r="S80" i="31"/>
  <c r="S148" i="31"/>
  <c r="S223" i="31"/>
  <c r="S309" i="31"/>
  <c r="S325" i="31"/>
  <c r="S341" i="31"/>
  <c r="S272" i="31"/>
  <c r="S288" i="31"/>
  <c r="S176" i="31"/>
  <c r="S238" i="31"/>
  <c r="S254" i="31"/>
  <c r="S413" i="31"/>
  <c r="S477" i="31"/>
  <c r="S428" i="31"/>
  <c r="S447" i="31"/>
  <c r="S488" i="31"/>
  <c r="S524" i="31"/>
  <c r="S499" i="31"/>
  <c r="S487" i="31"/>
  <c r="S322" i="31"/>
  <c r="S511" i="31"/>
  <c r="S520" i="31"/>
  <c r="S409" i="31"/>
  <c r="S381" i="31"/>
  <c r="S397" i="31"/>
  <c r="S471" i="31"/>
  <c r="S390" i="31"/>
  <c r="S40" i="31"/>
  <c r="S56" i="31"/>
  <c r="S35" i="31"/>
  <c r="S51" i="31"/>
  <c r="S46" i="31"/>
  <c r="S67" i="31"/>
  <c r="S99" i="31"/>
  <c r="S70" i="31"/>
  <c r="S102" i="31"/>
  <c r="S57" i="31"/>
  <c r="S81" i="31"/>
  <c r="S113" i="31"/>
  <c r="S144" i="31"/>
  <c r="S84" i="31"/>
  <c r="S116" i="31"/>
  <c r="S138" i="31"/>
  <c r="S87" i="31"/>
  <c r="S119" i="31"/>
  <c r="S82" i="31"/>
  <c r="S114" i="31"/>
  <c r="S145" i="31"/>
  <c r="S72" i="31"/>
  <c r="S104" i="31"/>
  <c r="S166" i="31"/>
  <c r="S173" i="31"/>
  <c r="S44" i="31"/>
  <c r="S55" i="31"/>
  <c r="S90" i="31"/>
  <c r="S122" i="31"/>
  <c r="S53" i="31"/>
  <c r="S207" i="31"/>
  <c r="S150" i="31"/>
  <c r="S109" i="31"/>
  <c r="S69" i="31"/>
  <c r="S203" i="31"/>
  <c r="S248" i="31"/>
  <c r="S236" i="31"/>
  <c r="S259" i="31"/>
  <c r="S304" i="31"/>
  <c r="S320" i="31"/>
  <c r="S336" i="31"/>
  <c r="S352" i="31"/>
  <c r="S253" i="31"/>
  <c r="S226" i="31"/>
  <c r="S262" i="31"/>
  <c r="S283" i="31"/>
  <c r="S299" i="31"/>
  <c r="S315" i="31"/>
  <c r="S275" i="31"/>
  <c r="S208" i="31"/>
  <c r="S269" i="31"/>
  <c r="S444" i="31"/>
  <c r="S331" i="31"/>
  <c r="S363" i="31"/>
  <c r="S442" i="31"/>
  <c r="S470" i="31"/>
  <c r="S500" i="31"/>
  <c r="S451" i="31"/>
  <c r="S461" i="31"/>
  <c r="S423" i="31"/>
  <c r="S454" i="31"/>
  <c r="S407" i="31"/>
  <c r="S510" i="31"/>
  <c r="O18" i="31"/>
  <c r="O19" i="31" s="1"/>
  <c r="S36" i="31"/>
  <c r="S52" i="31"/>
  <c r="S47" i="31"/>
  <c r="S63" i="31"/>
  <c r="S42" i="31"/>
  <c r="S58" i="31"/>
  <c r="S91" i="31"/>
  <c r="S123" i="31"/>
  <c r="S133" i="31"/>
  <c r="S94" i="31"/>
  <c r="S126" i="31"/>
  <c r="S147" i="31"/>
  <c r="S62" i="31"/>
  <c r="S73" i="31"/>
  <c r="S105" i="31"/>
  <c r="S37" i="31"/>
  <c r="S76" i="31"/>
  <c r="S108" i="31"/>
  <c r="S140" i="31"/>
  <c r="S49" i="31"/>
  <c r="S79" i="31"/>
  <c r="S111" i="31"/>
  <c r="S134" i="31"/>
  <c r="S450" i="31"/>
  <c r="S491" i="31"/>
  <c r="S507" i="31"/>
  <c r="S429" i="31"/>
  <c r="S39" i="31"/>
  <c r="S34" i="31"/>
  <c r="S50" i="31"/>
  <c r="S33" i="31"/>
  <c r="S45" i="31"/>
  <c r="S78" i="31"/>
  <c r="S110" i="31"/>
  <c r="S131" i="31"/>
  <c r="S121" i="31"/>
  <c r="S142" i="31"/>
  <c r="S124" i="31"/>
  <c r="S112" i="31"/>
  <c r="S157" i="31"/>
  <c r="S164" i="31"/>
  <c r="S214" i="31"/>
  <c r="S241" i="31"/>
  <c r="S222" i="31"/>
  <c r="S186" i="31"/>
  <c r="S193" i="31"/>
  <c r="S200" i="31"/>
  <c r="S85" i="31"/>
  <c r="S163" i="31"/>
  <c r="S158" i="31"/>
  <c r="S165" i="31"/>
  <c r="S172" i="31"/>
  <c r="S199" i="31"/>
  <c r="S141" i="31"/>
  <c r="S220" i="31"/>
  <c r="S280" i="31"/>
  <c r="S293" i="31"/>
  <c r="S357" i="31"/>
  <c r="S169" i="31"/>
  <c r="S230" i="31"/>
  <c r="S242" i="31"/>
  <c r="S160" i="31"/>
  <c r="S151" i="31"/>
  <c r="S334" i="31"/>
  <c r="S366" i="31"/>
  <c r="S445" i="31"/>
  <c r="S360" i="31"/>
  <c r="S372" i="31"/>
  <c r="S396" i="31"/>
  <c r="S412" i="31"/>
  <c r="S460" i="31"/>
  <c r="S476" i="31"/>
  <c r="Y476" i="31" s="1"/>
  <c r="AA476" i="31" s="1"/>
  <c r="S243" i="31"/>
  <c r="S326" i="31"/>
  <c r="S391" i="31"/>
  <c r="S361" i="31"/>
  <c r="S512" i="31"/>
  <c r="S529" i="31"/>
  <c r="S494" i="31"/>
  <c r="S486" i="31"/>
  <c r="S517" i="31"/>
  <c r="S354" i="31"/>
  <c r="S427" i="31"/>
  <c r="S446" i="31"/>
  <c r="S367" i="31"/>
  <c r="P20" i="31"/>
  <c r="P21" i="31"/>
  <c r="S180" i="31"/>
  <c r="S237" i="31"/>
  <c r="S101" i="31"/>
  <c r="S191" i="31"/>
  <c r="S225" i="31"/>
  <c r="S125" i="31"/>
  <c r="S152" i="31"/>
  <c r="S202" i="31"/>
  <c r="S209" i="31"/>
  <c r="S216" i="31"/>
  <c r="S232" i="31"/>
  <c r="S211" i="31"/>
  <c r="S128" i="31"/>
  <c r="S174" i="31"/>
  <c r="S181" i="31"/>
  <c r="S188" i="31"/>
  <c r="S218" i="31"/>
  <c r="S227" i="31"/>
  <c r="S146" i="31"/>
  <c r="S183" i="31"/>
  <c r="S187" i="31"/>
  <c r="S263" i="31"/>
  <c r="S289" i="31"/>
  <c r="S305" i="31"/>
  <c r="S321" i="31"/>
  <c r="S337" i="31"/>
  <c r="S353" i="31"/>
  <c r="S261" i="31"/>
  <c r="S185" i="31"/>
  <c r="S255" i="31"/>
  <c r="S284" i="31"/>
  <c r="S300" i="31"/>
  <c r="S316" i="31"/>
  <c r="S332" i="31"/>
  <c r="S348" i="31"/>
  <c r="S234" i="31"/>
  <c r="S266" i="31"/>
  <c r="S231" i="31"/>
  <c r="S264" i="31"/>
  <c r="S295" i="31"/>
  <c r="S311" i="31"/>
  <c r="S245" i="31"/>
  <c r="S277" i="31"/>
  <c r="S250" i="31"/>
  <c r="S282" i="31"/>
  <c r="S271" i="31"/>
  <c r="S318" i="31"/>
  <c r="S393" i="31"/>
  <c r="S425" i="31"/>
  <c r="S441" i="31"/>
  <c r="S457" i="31"/>
  <c r="S473" i="31"/>
  <c r="S298" i="31"/>
  <c r="S351" i="31"/>
  <c r="S362" i="31"/>
  <c r="S346" i="31"/>
  <c r="S374" i="31"/>
  <c r="S392" i="31"/>
  <c r="S408" i="31"/>
  <c r="S424" i="31"/>
  <c r="S440" i="31"/>
  <c r="S456" i="31"/>
  <c r="S472" i="31"/>
  <c r="S484" i="31"/>
  <c r="S302" i="31"/>
  <c r="S356" i="31"/>
  <c r="S365" i="31"/>
  <c r="S387" i="31"/>
  <c r="S403" i="31"/>
  <c r="S380" i="31"/>
  <c r="S306" i="31"/>
  <c r="S368" i="31"/>
  <c r="S431" i="31"/>
  <c r="S490" i="31"/>
  <c r="S523" i="31"/>
  <c r="S426" i="31"/>
  <c r="S501" i="31"/>
  <c r="S402" i="31"/>
  <c r="S531" i="31"/>
  <c r="S394" i="31"/>
  <c r="S489" i="31"/>
  <c r="S434" i="31"/>
  <c r="S502" i="31"/>
  <c r="S513" i="31"/>
  <c r="S475" i="31"/>
  <c r="S74" i="31"/>
  <c r="S106" i="31"/>
  <c r="S64" i="31"/>
  <c r="S96" i="31"/>
  <c r="S41" i="31"/>
  <c r="S182" i="31"/>
  <c r="S189" i="31"/>
  <c r="S196" i="31"/>
  <c r="S233" i="31"/>
  <c r="S175" i="31"/>
  <c r="S60" i="31"/>
  <c r="S154" i="31"/>
  <c r="S161" i="31"/>
  <c r="S168" i="31"/>
  <c r="S228" i="31"/>
  <c r="S195" i="31"/>
  <c r="S137" i="31"/>
  <c r="S190" i="31"/>
  <c r="S197" i="31"/>
  <c r="S204" i="31"/>
  <c r="S221" i="31"/>
  <c r="S167" i="31"/>
  <c r="S117" i="31"/>
  <c r="S171" i="31"/>
  <c r="S265" i="31"/>
  <c r="S285" i="31"/>
  <c r="S301" i="31"/>
  <c r="S317" i="31"/>
  <c r="S333" i="31"/>
  <c r="S349" i="31"/>
  <c r="S93" i="31"/>
  <c r="S274" i="31"/>
  <c r="S257" i="31"/>
  <c r="S296" i="31"/>
  <c r="S312" i="31"/>
  <c r="S328" i="31"/>
  <c r="S344" i="31"/>
  <c r="S201" i="31"/>
  <c r="S268" i="31"/>
  <c r="S247" i="31"/>
  <c r="S279" i="31"/>
  <c r="S291" i="31"/>
  <c r="S307" i="31"/>
  <c r="S258" i="31"/>
  <c r="S252" i="31"/>
  <c r="S149" i="31"/>
  <c r="S286" i="31"/>
  <c r="S370" i="31"/>
  <c r="S377" i="31"/>
  <c r="S389" i="31"/>
  <c r="S405" i="31"/>
  <c r="S421" i="31"/>
  <c r="S437" i="31"/>
  <c r="S453" i="31"/>
  <c r="S469" i="31"/>
  <c r="S485" i="31"/>
  <c r="S256" i="31"/>
  <c r="S335" i="31"/>
  <c r="S355" i="31"/>
  <c r="S178" i="31"/>
  <c r="S330" i="31"/>
  <c r="S388" i="31"/>
  <c r="S404" i="31"/>
  <c r="S420" i="31"/>
  <c r="S436" i="31"/>
  <c r="S452" i="31"/>
  <c r="S468" i="31"/>
  <c r="S358" i="31"/>
  <c r="S369" i="31"/>
  <c r="S383" i="31"/>
  <c r="S399" i="31"/>
  <c r="S415" i="31"/>
  <c r="S314" i="31"/>
  <c r="S339" i="31"/>
  <c r="S410" i="31"/>
  <c r="S479" i="31"/>
  <c r="S503" i="31"/>
  <c r="S519" i="31"/>
  <c r="S462" i="31"/>
  <c r="S509" i="31"/>
  <c r="S459" i="31"/>
  <c r="S438" i="31"/>
  <c r="S419" i="31"/>
  <c r="S455" i="31"/>
  <c r="S418" i="31"/>
  <c r="S496" i="31"/>
  <c r="S32" i="31"/>
  <c r="S48" i="31"/>
  <c r="S43" i="31"/>
  <c r="S59" i="31"/>
  <c r="S38" i="31"/>
  <c r="S54" i="31"/>
  <c r="S61" i="31"/>
  <c r="S83" i="31"/>
  <c r="S115" i="31"/>
  <c r="S135" i="31"/>
  <c r="S86" i="31"/>
  <c r="S118" i="31"/>
  <c r="S65" i="31"/>
  <c r="S97" i="31"/>
  <c r="S129" i="31"/>
  <c r="S68" i="31"/>
  <c r="S100" i="31"/>
  <c r="S71" i="31"/>
  <c r="S103" i="31"/>
  <c r="S136" i="31"/>
  <c r="S66" i="31"/>
  <c r="S98" i="31"/>
  <c r="S130" i="31"/>
  <c r="S88" i="31"/>
  <c r="S120" i="31"/>
  <c r="S77" i="31"/>
  <c r="S198" i="31"/>
  <c r="S205" i="31"/>
  <c r="S212" i="31"/>
  <c r="S229" i="31"/>
  <c r="S143" i="31"/>
  <c r="S159" i="31"/>
  <c r="S219" i="31"/>
  <c r="S170" i="31"/>
  <c r="S177" i="31"/>
  <c r="S184" i="31"/>
  <c r="S179" i="31"/>
  <c r="S156" i="31"/>
  <c r="S206" i="31"/>
  <c r="S213" i="31"/>
  <c r="S224" i="31"/>
  <c r="S215" i="31"/>
  <c r="S155" i="31"/>
  <c r="S217" i="31"/>
  <c r="S153" i="31"/>
  <c r="S210" i="31"/>
  <c r="S246" i="31"/>
  <c r="S278" i="31"/>
  <c r="S297" i="31"/>
  <c r="S313" i="31"/>
  <c r="S329" i="31"/>
  <c r="S345" i="31"/>
  <c r="S244" i="31"/>
  <c r="S276" i="31"/>
  <c r="S239" i="31"/>
  <c r="S270" i="31"/>
  <c r="S292" i="31"/>
  <c r="S308" i="31"/>
  <c r="S324" i="31"/>
  <c r="S340" i="31"/>
  <c r="S251" i="31"/>
  <c r="S139" i="31"/>
  <c r="S249" i="31"/>
  <c r="S281" i="31"/>
  <c r="S287" i="31"/>
  <c r="S303" i="31"/>
  <c r="S162" i="31"/>
  <c r="S240" i="31"/>
  <c r="S260" i="31"/>
  <c r="S194" i="31"/>
  <c r="S267" i="31"/>
  <c r="S235" i="31"/>
  <c r="S350" i="31"/>
  <c r="S364" i="31"/>
  <c r="S379" i="31"/>
  <c r="S385" i="31"/>
  <c r="S401" i="31"/>
  <c r="S417" i="31"/>
  <c r="S433" i="31"/>
  <c r="S449" i="31"/>
  <c r="S465" i="31"/>
  <c r="S481" i="31"/>
  <c r="S273" i="31"/>
  <c r="S319" i="31"/>
  <c r="S310" i="31"/>
  <c r="S384" i="31"/>
  <c r="S400" i="31"/>
  <c r="S416" i="31"/>
  <c r="S432" i="31"/>
  <c r="S448" i="31"/>
  <c r="S464" i="31"/>
  <c r="S480" i="31"/>
  <c r="S192" i="31"/>
  <c r="S290" i="31"/>
  <c r="S347" i="31"/>
  <c r="S376" i="31"/>
  <c r="S342" i="31"/>
  <c r="S371" i="31"/>
  <c r="S378" i="31"/>
  <c r="S395" i="31"/>
  <c r="S411" i="31"/>
  <c r="S343" i="31"/>
  <c r="S359" i="31"/>
  <c r="S323" i="31"/>
  <c r="S463" i="31"/>
  <c r="S505" i="31"/>
  <c r="S482" i="31"/>
  <c r="S527" i="31"/>
  <c r="S530" i="31"/>
  <c r="S497" i="31"/>
  <c r="S382" i="31"/>
  <c r="S508" i="31"/>
  <c r="S478" i="31"/>
  <c r="S467" i="31"/>
  <c r="S498" i="31"/>
  <c r="R21" i="31"/>
  <c r="R20" i="31"/>
  <c r="S398" i="31"/>
  <c r="S495" i="31"/>
  <c r="S430" i="31"/>
  <c r="S338" i="31"/>
  <c r="S294" i="31"/>
  <c r="S406" i="31"/>
  <c r="S435" i="31"/>
  <c r="S474" i="31"/>
  <c r="S516" i="31"/>
  <c r="S514" i="31"/>
  <c r="S492" i="31"/>
  <c r="S414" i="31"/>
  <c r="S493" i="31"/>
  <c r="S525" i="31"/>
  <c r="S515" i="31"/>
  <c r="S458" i="31"/>
  <c r="S518" i="31"/>
  <c r="S443" i="31"/>
  <c r="S483" i="31"/>
  <c r="S422" i="31"/>
  <c r="S521" i="31"/>
  <c r="R33" i="31"/>
  <c r="R65" i="31"/>
  <c r="R97" i="31"/>
  <c r="R129" i="31"/>
  <c r="R161" i="31"/>
  <c r="R62" i="31"/>
  <c r="R94" i="31"/>
  <c r="R126" i="31"/>
  <c r="R158" i="31"/>
  <c r="R190" i="31"/>
  <c r="R222" i="31"/>
  <c r="R254" i="31"/>
  <c r="R55" i="31"/>
  <c r="R87" i="31"/>
  <c r="R119" i="31"/>
  <c r="R151" i="31"/>
  <c r="R183" i="31"/>
  <c r="R215" i="31"/>
  <c r="R247" i="31"/>
  <c r="R164" i="31"/>
  <c r="R283" i="31"/>
  <c r="R347" i="31"/>
  <c r="R421" i="31"/>
  <c r="S504" i="31"/>
  <c r="S373" i="31"/>
  <c r="S528" i="31"/>
  <c r="S526" i="31"/>
  <c r="S439" i="31"/>
  <c r="S506" i="31"/>
  <c r="S466" i="31"/>
  <c r="S386" i="31"/>
  <c r="S375" i="31"/>
  <c r="T314" i="31"/>
  <c r="T346" i="31"/>
  <c r="T280" i="31"/>
  <c r="T309" i="31"/>
  <c r="T341" i="31"/>
  <c r="T274" i="31"/>
  <c r="T304" i="31"/>
  <c r="T231" i="31"/>
  <c r="T402" i="31"/>
  <c r="T434" i="31"/>
  <c r="T466" i="31"/>
  <c r="T324" i="31"/>
  <c r="T275" i="31"/>
  <c r="T372" i="31"/>
  <c r="T385" i="31"/>
  <c r="T417" i="31"/>
  <c r="T449" i="31"/>
  <c r="T352" i="31"/>
  <c r="T381" i="31"/>
  <c r="T412" i="31"/>
  <c r="T348" i="31"/>
  <c r="T328" i="31"/>
  <c r="T509" i="31"/>
  <c r="T530" i="31"/>
  <c r="T463" i="31"/>
  <c r="T520" i="31"/>
  <c r="T391" i="31"/>
  <c r="T448" i="31"/>
  <c r="T283" i="31"/>
  <c r="T427" i="31"/>
  <c r="T499" i="31"/>
  <c r="T383" i="31"/>
  <c r="T444" i="31"/>
  <c r="T508" i="31"/>
  <c r="T435" i="31"/>
  <c r="T399" i="31"/>
  <c r="T452" i="31"/>
  <c r="T511" i="31"/>
  <c r="T472" i="31"/>
  <c r="T522" i="31"/>
  <c r="T516" i="31"/>
  <c r="T525" i="31"/>
  <c r="T343" i="31"/>
  <c r="T510" i="31"/>
  <c r="T407" i="31"/>
  <c r="T456" i="31"/>
  <c r="T129" i="31"/>
  <c r="T100" i="31"/>
  <c r="T95" i="31"/>
  <c r="T136" i="31"/>
  <c r="T85" i="31"/>
  <c r="T153" i="31"/>
  <c r="T210" i="31"/>
  <c r="T238" i="31"/>
  <c r="T122" i="31"/>
  <c r="T217" i="31"/>
  <c r="T175" i="31"/>
  <c r="T189" i="31"/>
  <c r="T233" i="31"/>
  <c r="T152" i="31"/>
  <c r="T66" i="31"/>
  <c r="T154" i="31"/>
  <c r="T211" i="31"/>
  <c r="T228" i="31"/>
  <c r="T188" i="31"/>
  <c r="T151" i="31"/>
  <c r="T192" i="31"/>
  <c r="T306" i="31"/>
  <c r="T338" i="31"/>
  <c r="T241" i="31"/>
  <c r="T263" i="31"/>
  <c r="T114" i="31"/>
  <c r="T236" i="31"/>
  <c r="T278" i="31"/>
  <c r="T301" i="31"/>
  <c r="T333" i="31"/>
  <c r="T257" i="31"/>
  <c r="T268" i="31"/>
  <c r="T296" i="31"/>
  <c r="T237" i="31"/>
  <c r="T279" i="31"/>
  <c r="T232" i="31"/>
  <c r="T273" i="31"/>
  <c r="T394" i="31"/>
  <c r="T426" i="31"/>
  <c r="T458" i="31"/>
  <c r="T364" i="31"/>
  <c r="T299" i="31"/>
  <c r="T351" i="31"/>
  <c r="T409" i="31"/>
  <c r="T441" i="31"/>
  <c r="T473" i="31"/>
  <c r="T485" i="31"/>
  <c r="T320" i="31"/>
  <c r="T245" i="31"/>
  <c r="T404" i="31"/>
  <c r="T356" i="31"/>
  <c r="T373" i="31"/>
  <c r="T492" i="31"/>
  <c r="T431" i="31"/>
  <c r="T475" i="31"/>
  <c r="T505" i="31"/>
  <c r="T521" i="31"/>
  <c r="T480" i="31"/>
  <c r="T493" i="31"/>
  <c r="T371" i="31"/>
  <c r="T439" i="31"/>
  <c r="T504" i="31"/>
  <c r="T451" i="31"/>
  <c r="T517" i="31"/>
  <c r="T180" i="31"/>
  <c r="T143" i="31"/>
  <c r="T191" i="31"/>
  <c r="T205" i="31"/>
  <c r="T200" i="31"/>
  <c r="T170" i="31"/>
  <c r="T224" i="31"/>
  <c r="T267" i="31"/>
  <c r="T286" i="31"/>
  <c r="T318" i="31"/>
  <c r="T350" i="31"/>
  <c r="T265" i="31"/>
  <c r="T259" i="31"/>
  <c r="T313" i="31"/>
  <c r="T345" i="31"/>
  <c r="T158" i="31"/>
  <c r="T239" i="31"/>
  <c r="T270" i="31"/>
  <c r="T308" i="31"/>
  <c r="T281" i="31"/>
  <c r="T235" i="31"/>
  <c r="T256" i="31"/>
  <c r="T406" i="31"/>
  <c r="T438" i="31"/>
  <c r="T470" i="31"/>
  <c r="T340" i="31"/>
  <c r="T366" i="31"/>
  <c r="T360" i="31"/>
  <c r="T389" i="31"/>
  <c r="T421" i="31"/>
  <c r="T453" i="31"/>
  <c r="T262" i="31"/>
  <c r="T384" i="31"/>
  <c r="T416" i="31"/>
  <c r="T344" i="31"/>
  <c r="T419" i="31"/>
  <c r="T494" i="31"/>
  <c r="T531" i="31"/>
  <c r="T363" i="31"/>
  <c r="T507" i="31"/>
  <c r="T464" i="31"/>
  <c r="T443" i="31"/>
  <c r="T415" i="31"/>
  <c r="T460" i="31"/>
  <c r="T495" i="31"/>
  <c r="T527" i="31"/>
  <c r="T484" i="31"/>
  <c r="T506" i="31"/>
  <c r="T424" i="31"/>
  <c r="T519" i="31"/>
  <c r="T496" i="31"/>
  <c r="T50" i="31"/>
  <c r="T79" i="31"/>
  <c r="T69" i="31"/>
  <c r="T98" i="31"/>
  <c r="T171" i="31"/>
  <c r="T185" i="31"/>
  <c r="T230" i="31"/>
  <c r="T207" i="31"/>
  <c r="T186" i="31"/>
  <c r="T74" i="31"/>
  <c r="T160" i="31"/>
  <c r="T167" i="31"/>
  <c r="T269" i="31"/>
  <c r="T330" i="31"/>
  <c r="T261" i="31"/>
  <c r="T293" i="31"/>
  <c r="T325" i="31"/>
  <c r="T251" i="31"/>
  <c r="T288" i="31"/>
  <c r="T258" i="31"/>
  <c r="T386" i="31"/>
  <c r="T450" i="31"/>
  <c r="T482" i="31"/>
  <c r="T287" i="31"/>
  <c r="T401" i="31"/>
  <c r="T465" i="31"/>
  <c r="T291" i="31"/>
  <c r="T347" i="31"/>
  <c r="T295" i="31"/>
  <c r="T227" i="31"/>
  <c r="T378" i="31"/>
  <c r="T387" i="31"/>
  <c r="T523" i="31"/>
  <c r="T512" i="31"/>
  <c r="T395" i="31"/>
  <c r="T500" i="31"/>
  <c r="T82" i="31"/>
  <c r="T198" i="31"/>
  <c r="T229" i="31"/>
  <c r="T219" i="31"/>
  <c r="T145" i="31"/>
  <c r="T163" i="31"/>
  <c r="T177" i="31"/>
  <c r="T130" i="31"/>
  <c r="T172" i="31"/>
  <c r="T132" i="31"/>
  <c r="T176" i="31"/>
  <c r="T302" i="31"/>
  <c r="T334" i="31"/>
  <c r="T213" i="31"/>
  <c r="T297" i="31"/>
  <c r="T329" i="31"/>
  <c r="T215" i="31"/>
  <c r="T272" i="31"/>
  <c r="T292" i="31"/>
  <c r="T218" i="31"/>
  <c r="T249" i="31"/>
  <c r="T390" i="31"/>
  <c r="T422" i="31"/>
  <c r="T454" i="31"/>
  <c r="T486" i="31"/>
  <c r="T240" i="31"/>
  <c r="T335" i="31"/>
  <c r="T370" i="31"/>
  <c r="T405" i="31"/>
  <c r="T437" i="31"/>
  <c r="T469" i="31"/>
  <c r="T400" i="31"/>
  <c r="T369" i="31"/>
  <c r="T526" i="31"/>
  <c r="T498" i="31"/>
  <c r="T411" i="31"/>
  <c r="T529" i="31"/>
  <c r="T380" i="31"/>
  <c r="T518" i="31"/>
  <c r="T528" i="31"/>
  <c r="T497" i="31"/>
  <c r="T483" i="31"/>
  <c r="T423" i="31"/>
  <c r="T487" i="31"/>
  <c r="R481" i="31"/>
  <c r="R197" i="31"/>
  <c r="R360" i="31"/>
  <c r="R477" i="31"/>
  <c r="R184" i="31"/>
  <c r="R348" i="31"/>
  <c r="R510" i="31"/>
  <c r="R112" i="31"/>
  <c r="R330" i="31"/>
  <c r="R422" i="31"/>
  <c r="R60" i="31"/>
  <c r="R299" i="31"/>
  <c r="R467" i="31"/>
  <c r="R237" i="31"/>
  <c r="R375" i="31"/>
  <c r="R459" i="31"/>
  <c r="R209" i="31"/>
  <c r="R400" i="31"/>
  <c r="R464" i="31"/>
  <c r="R528" i="31"/>
  <c r="R275" i="31"/>
  <c r="R296" i="31"/>
  <c r="R409" i="31"/>
  <c r="R224" i="31"/>
  <c r="R284" i="31"/>
  <c r="R446" i="31"/>
  <c r="R124" i="31"/>
  <c r="R266" i="31"/>
  <c r="R382" i="31"/>
  <c r="R490" i="31"/>
  <c r="R204" i="31"/>
  <c r="R363" i="31"/>
  <c r="R56" i="31"/>
  <c r="R312" i="31"/>
  <c r="R407" i="31"/>
  <c r="R300" i="31"/>
  <c r="R295" i="31"/>
  <c r="R359" i="31"/>
  <c r="R432" i="31"/>
  <c r="R496" i="31"/>
  <c r="R516" i="31"/>
  <c r="R298" i="31"/>
  <c r="R39" i="31"/>
  <c r="R178" i="31"/>
  <c r="N18" i="31"/>
  <c r="N19" i="31" s="1"/>
  <c r="R344" i="31"/>
  <c r="R199" i="31"/>
  <c r="R104" i="31"/>
  <c r="R245" i="31"/>
  <c r="R439" i="31"/>
  <c r="R384" i="31"/>
  <c r="R231" i="31"/>
  <c r="R449" i="31"/>
  <c r="R371" i="31"/>
  <c r="R527" i="31"/>
  <c r="R201" i="31"/>
  <c r="R46" i="31"/>
  <c r="R228" i="31"/>
  <c r="R328" i="31"/>
  <c r="R313" i="31"/>
  <c r="R327" i="31"/>
  <c r="R173" i="31"/>
  <c r="R71" i="31"/>
  <c r="R431" i="31"/>
  <c r="R453" i="31"/>
  <c r="R480" i="31"/>
  <c r="R264" i="31"/>
  <c r="R271" i="31"/>
  <c r="R385" i="31"/>
  <c r="R526" i="31"/>
  <c r="R512" i="31"/>
  <c r="R142" i="31"/>
  <c r="R113" i="31"/>
  <c r="R337" i="31"/>
  <c r="R316" i="31"/>
  <c r="R128" i="31"/>
  <c r="R78" i="31"/>
  <c r="R507" i="31"/>
  <c r="R49" i="31"/>
  <c r="R511" i="31"/>
  <c r="R452" i="31"/>
  <c r="R206" i="31"/>
  <c r="R484" i="31"/>
  <c r="R92" i="31"/>
  <c r="R103" i="31"/>
  <c r="R416" i="31"/>
  <c r="R323" i="31"/>
  <c r="R36" i="31"/>
  <c r="R315" i="31"/>
  <c r="R433" i="31"/>
  <c r="R391" i="31"/>
  <c r="R160" i="31"/>
  <c r="R135" i="31"/>
  <c r="R491" i="31"/>
  <c r="R238" i="31"/>
  <c r="R418" i="31"/>
  <c r="R362" i="31"/>
  <c r="R458" i="31"/>
  <c r="R116" i="31"/>
  <c r="R85" i="31"/>
  <c r="R171" i="31"/>
  <c r="R68" i="31"/>
  <c r="R57" i="31"/>
  <c r="R89" i="31"/>
  <c r="R153" i="31"/>
  <c r="R54" i="31"/>
  <c r="R86" i="31"/>
  <c r="R118" i="31"/>
  <c r="R150" i="31"/>
  <c r="R182" i="31"/>
  <c r="R214" i="31"/>
  <c r="R246" i="31"/>
  <c r="R47" i="31"/>
  <c r="R79" i="31"/>
  <c r="R111" i="31"/>
  <c r="R143" i="31"/>
  <c r="R175" i="31"/>
  <c r="R207" i="31"/>
  <c r="R239" i="31"/>
  <c r="R100" i="31"/>
  <c r="R270" i="31"/>
  <c r="R334" i="31"/>
  <c r="R405" i="31"/>
  <c r="R469" i="31"/>
  <c r="R529" i="31"/>
  <c r="R165" i="31"/>
  <c r="R277" i="31"/>
  <c r="R341" i="31"/>
  <c r="R393" i="31"/>
  <c r="R457" i="31"/>
  <c r="R525" i="31"/>
  <c r="R140" i="31"/>
  <c r="R265" i="31"/>
  <c r="R329" i="31"/>
  <c r="R434" i="31"/>
  <c r="R494" i="31"/>
  <c r="R515" i="31"/>
  <c r="R48" i="31"/>
  <c r="R233" i="31"/>
  <c r="R311" i="31"/>
  <c r="R374" i="31"/>
  <c r="R410" i="31"/>
  <c r="R474" i="31"/>
  <c r="R503" i="31"/>
  <c r="R172" i="31"/>
  <c r="R286" i="31"/>
  <c r="R350" i="31"/>
  <c r="R455" i="31"/>
  <c r="R281" i="31"/>
  <c r="R205" i="31"/>
  <c r="R293" i="31"/>
  <c r="R357" i="31"/>
  <c r="R399" i="31"/>
  <c r="R443" i="31"/>
  <c r="R156" i="31"/>
  <c r="R177" i="31"/>
  <c r="R282" i="31"/>
  <c r="R346" i="31"/>
  <c r="R392" i="31"/>
  <c r="R424" i="31"/>
  <c r="R456" i="31"/>
  <c r="R488" i="31"/>
  <c r="R520" i="31"/>
  <c r="R121" i="31"/>
  <c r="R426" i="31"/>
  <c r="R280" i="31"/>
  <c r="R478" i="31"/>
  <c r="R513" i="31"/>
  <c r="R110" i="31"/>
  <c r="R509" i="31"/>
  <c r="R381" i="31"/>
  <c r="R321" i="31"/>
  <c r="R244" i="31"/>
  <c r="R76" i="31"/>
  <c r="R212" i="31"/>
  <c r="R163" i="31"/>
  <c r="R423" i="31"/>
  <c r="R67" i="31"/>
  <c r="R445" i="31"/>
  <c r="R263" i="31"/>
  <c r="R304" i="31"/>
  <c r="R81" i="31"/>
  <c r="R495" i="31"/>
  <c r="R448" i="31"/>
  <c r="R412" i="31"/>
  <c r="R234" i="31"/>
  <c r="R398" i="31"/>
  <c r="R42" i="31"/>
  <c r="R267" i="31"/>
  <c r="R248" i="31"/>
  <c r="R174" i="31"/>
  <c r="R331" i="31"/>
  <c r="R483" i="31"/>
  <c r="R519" i="31"/>
  <c r="R444" i="31"/>
  <c r="R195" i="31"/>
  <c r="R38" i="31"/>
  <c r="R96" i="31"/>
  <c r="R388" i="31"/>
  <c r="R501" i="31"/>
  <c r="R377" i="31"/>
  <c r="R420" i="31"/>
  <c r="R138" i="31"/>
  <c r="R441" i="31"/>
  <c r="R308" i="31"/>
  <c r="R387" i="31"/>
  <c r="R294" i="31"/>
  <c r="R145" i="31"/>
  <c r="R167" i="31"/>
  <c r="R285" i="31"/>
  <c r="R37" i="31"/>
  <c r="R69" i="31"/>
  <c r="R101" i="31"/>
  <c r="R133" i="31"/>
  <c r="R34" i="31"/>
  <c r="R66" i="31"/>
  <c r="R98" i="31"/>
  <c r="R130" i="31"/>
  <c r="R162" i="31"/>
  <c r="R194" i="31"/>
  <c r="R226" i="31"/>
  <c r="R258" i="31"/>
  <c r="R59" i="31"/>
  <c r="R91" i="31"/>
  <c r="R123" i="31"/>
  <c r="R155" i="31"/>
  <c r="R187" i="31"/>
  <c r="R219" i="31"/>
  <c r="R251" i="31"/>
  <c r="R180" i="31"/>
  <c r="R289" i="31"/>
  <c r="R353" i="31"/>
  <c r="R429" i="31"/>
  <c r="R489" i="31"/>
  <c r="R326" i="31"/>
  <c r="R213" i="31"/>
  <c r="R303" i="31"/>
  <c r="R367" i="31"/>
  <c r="R417" i="31"/>
  <c r="R485" i="31"/>
  <c r="R307" i="31"/>
  <c r="R200" i="31"/>
  <c r="R291" i="31"/>
  <c r="R355" i="31"/>
  <c r="R454" i="31"/>
  <c r="R514" i="31"/>
  <c r="R208" i="31"/>
  <c r="R144" i="31"/>
  <c r="R272" i="31"/>
  <c r="R336" i="31"/>
  <c r="R386" i="31"/>
  <c r="R430" i="31"/>
  <c r="R498" i="31"/>
  <c r="R364" i="31"/>
  <c r="R220" i="31"/>
  <c r="R305" i="31"/>
  <c r="R369" i="31"/>
  <c r="R475" i="31"/>
  <c r="R88" i="31"/>
  <c r="R249" i="31"/>
  <c r="R319" i="31"/>
  <c r="R379" i="31"/>
  <c r="R411" i="31"/>
  <c r="R471" i="31"/>
  <c r="R339" i="31"/>
  <c r="R225" i="31"/>
  <c r="R301" i="31"/>
  <c r="R365" i="31"/>
  <c r="R404" i="31"/>
  <c r="R436" i="31"/>
  <c r="R468" i="31"/>
  <c r="R500" i="31"/>
  <c r="R268" i="31"/>
  <c r="R41" i="31"/>
  <c r="R73" i="31"/>
  <c r="R105" i="31"/>
  <c r="R137" i="31"/>
  <c r="R70" i="31"/>
  <c r="R102" i="31"/>
  <c r="R134" i="31"/>
  <c r="R166" i="31"/>
  <c r="R198" i="31"/>
  <c r="R230" i="31"/>
  <c r="R262" i="31"/>
  <c r="R63" i="31"/>
  <c r="R95" i="31"/>
  <c r="R127" i="31"/>
  <c r="R159" i="31"/>
  <c r="R191" i="31"/>
  <c r="R223" i="31"/>
  <c r="R255" i="31"/>
  <c r="R196" i="31"/>
  <c r="R302" i="31"/>
  <c r="R366" i="31"/>
  <c r="R437" i="31"/>
  <c r="R497" i="31"/>
  <c r="R40" i="31"/>
  <c r="R229" i="31"/>
  <c r="R309" i="31"/>
  <c r="R373" i="31"/>
  <c r="R425" i="31"/>
  <c r="R493" i="31"/>
  <c r="R345" i="31"/>
  <c r="R216" i="31"/>
  <c r="Y216" i="31" s="1"/>
  <c r="AA216" i="31" s="1"/>
  <c r="R297" i="31"/>
  <c r="R361" i="31"/>
  <c r="R462" i="31"/>
  <c r="R522" i="31"/>
  <c r="R261" i="31"/>
  <c r="R169" i="31"/>
  <c r="R279" i="31"/>
  <c r="R343" i="31"/>
  <c r="R390" i="31"/>
  <c r="R442" i="31"/>
  <c r="R506" i="31"/>
  <c r="R52" i="31"/>
  <c r="R236" i="31"/>
  <c r="R318" i="31"/>
  <c r="R415" i="31"/>
  <c r="R487" i="31"/>
  <c r="R120" i="31"/>
  <c r="R260" i="31"/>
  <c r="R325" i="31"/>
  <c r="R383" i="31"/>
  <c r="R419" i="31"/>
  <c r="R479" i="31"/>
  <c r="R64" i="31"/>
  <c r="R241" i="31"/>
  <c r="R314" i="31"/>
  <c r="R376" i="31"/>
  <c r="R408" i="31"/>
  <c r="R440" i="31"/>
  <c r="R472" i="31"/>
  <c r="R504" i="31"/>
  <c r="R358" i="31"/>
  <c r="R53" i="31"/>
  <c r="R117" i="31"/>
  <c r="R149" i="31"/>
  <c r="R50" i="31"/>
  <c r="R82" i="31"/>
  <c r="R114" i="31"/>
  <c r="R146" i="31"/>
  <c r="R210" i="31"/>
  <c r="R242" i="31"/>
  <c r="R43" i="31"/>
  <c r="R75" i="31"/>
  <c r="R107" i="31"/>
  <c r="R139" i="31"/>
  <c r="R203" i="31"/>
  <c r="R235" i="31"/>
  <c r="R253" i="31"/>
  <c r="R397" i="31"/>
  <c r="R461" i="31"/>
  <c r="R521" i="31"/>
  <c r="R136" i="31"/>
  <c r="R335" i="31"/>
  <c r="R389" i="31"/>
  <c r="R517" i="31"/>
  <c r="R108" i="31"/>
  <c r="R256" i="31"/>
  <c r="R486" i="31"/>
  <c r="R217" i="31"/>
  <c r="R368" i="31"/>
  <c r="R402" i="31"/>
  <c r="R466" i="31"/>
  <c r="R148" i="31"/>
  <c r="R273" i="31"/>
  <c r="R447" i="31"/>
  <c r="R189" i="31"/>
  <c r="R287" i="31"/>
  <c r="R351" i="31"/>
  <c r="R395" i="31"/>
  <c r="R435" i="31"/>
  <c r="R269" i="31"/>
  <c r="R333" i="31"/>
  <c r="R61" i="31"/>
  <c r="R93" i="31"/>
  <c r="R125" i="31"/>
  <c r="R157" i="31"/>
  <c r="R58" i="31"/>
  <c r="R90" i="31"/>
  <c r="R122" i="31"/>
  <c r="R154" i="31"/>
  <c r="R186" i="31"/>
  <c r="R218" i="31"/>
  <c r="R250" i="31"/>
  <c r="R51" i="31"/>
  <c r="R83" i="31"/>
  <c r="R115" i="31"/>
  <c r="R147" i="31"/>
  <c r="R179" i="31"/>
  <c r="R211" i="31"/>
  <c r="R243" i="31"/>
  <c r="R132" i="31"/>
  <c r="R276" i="31"/>
  <c r="R340" i="31"/>
  <c r="R413" i="31"/>
  <c r="R473" i="31"/>
  <c r="R192" i="31"/>
  <c r="R181" i="31"/>
  <c r="R290" i="31"/>
  <c r="R354" i="31"/>
  <c r="R401" i="31"/>
  <c r="R465" i="31"/>
  <c r="R176" i="31"/>
  <c r="R168" i="31"/>
  <c r="R278" i="31"/>
  <c r="R342" i="31"/>
  <c r="R438" i="31"/>
  <c r="R502" i="31"/>
  <c r="R531" i="31"/>
  <c r="R80" i="31"/>
  <c r="R257" i="31"/>
  <c r="R317" i="31"/>
  <c r="R378" i="31"/>
  <c r="R414" i="31"/>
  <c r="R482" i="31"/>
  <c r="R523" i="31"/>
  <c r="R188" i="31"/>
  <c r="R292" i="31"/>
  <c r="R356" i="31"/>
  <c r="R463" i="31"/>
  <c r="R332" i="31"/>
  <c r="R221" i="31"/>
  <c r="R306" i="31"/>
  <c r="R370" i="31"/>
  <c r="R403" i="31"/>
  <c r="R451" i="31"/>
  <c r="R240" i="31"/>
  <c r="R193" i="31"/>
  <c r="R288" i="31"/>
  <c r="R352" i="31"/>
  <c r="R396" i="31"/>
  <c r="R428" i="31"/>
  <c r="R460" i="31"/>
  <c r="R492" i="31"/>
  <c r="R524" i="31"/>
  <c r="R32" i="31"/>
  <c r="J24" i="31"/>
  <c r="Y208" i="31" l="1"/>
  <c r="AB208" i="31" s="1"/>
  <c r="Y417" i="31"/>
  <c r="AA417" i="31" s="1"/>
  <c r="Y375" i="31"/>
  <c r="AA375" i="31" s="1"/>
  <c r="Y518" i="31"/>
  <c r="AB518" i="31" s="1"/>
  <c r="Y170" i="31"/>
  <c r="AA170" i="31" s="1"/>
  <c r="Y161" i="31"/>
  <c r="AB161" i="31" s="1"/>
  <c r="Y45" i="31"/>
  <c r="AA45" i="31" s="1"/>
  <c r="Y197" i="31"/>
  <c r="AA197" i="31" s="1"/>
  <c r="Y122" i="31"/>
  <c r="AA122" i="31" s="1"/>
  <c r="Y336" i="31"/>
  <c r="AB336" i="31" s="1"/>
  <c r="Y133" i="31"/>
  <c r="AA133" i="31" s="1"/>
  <c r="Y358" i="31"/>
  <c r="AA358" i="31" s="1"/>
  <c r="Y294" i="31"/>
  <c r="AB294" i="31" s="1"/>
  <c r="Y349" i="31"/>
  <c r="AB349" i="31" s="1"/>
  <c r="Y141" i="31"/>
  <c r="AB141" i="31" s="1"/>
  <c r="Y165" i="31"/>
  <c r="AB165" i="31" s="1"/>
  <c r="Y55" i="31"/>
  <c r="AA55" i="31" s="1"/>
  <c r="Y319" i="31"/>
  <c r="AB319" i="31" s="1"/>
  <c r="Y106" i="31"/>
  <c r="AB106" i="31" s="1"/>
  <c r="Y403" i="31"/>
  <c r="AB403" i="31" s="1"/>
  <c r="Y284" i="31"/>
  <c r="AB284" i="31" s="1"/>
  <c r="Y77" i="31"/>
  <c r="AA77" i="31" s="1"/>
  <c r="Y90" i="31"/>
  <c r="AB90" i="31" s="1"/>
  <c r="Y166" i="31"/>
  <c r="AA166" i="31" s="1"/>
  <c r="Y123" i="31"/>
  <c r="AB123" i="31" s="1"/>
  <c r="Y226" i="31"/>
  <c r="AB226" i="31" s="1"/>
  <c r="Y315" i="31"/>
  <c r="AB315" i="31" s="1"/>
  <c r="Y471" i="31"/>
  <c r="AB471" i="31" s="1"/>
  <c r="Y63" i="31"/>
  <c r="AB63" i="31" s="1"/>
  <c r="Q20" i="31"/>
  <c r="Y156" i="31"/>
  <c r="AB156" i="31" s="1"/>
  <c r="Y204" i="31"/>
  <c r="AB204" i="31" s="1"/>
  <c r="Y276" i="31"/>
  <c r="AA276" i="31" s="1"/>
  <c r="Y111" i="31"/>
  <c r="AB111" i="31" s="1"/>
  <c r="Y39" i="31"/>
  <c r="AB39" i="31" s="1"/>
  <c r="Y169" i="31"/>
  <c r="AB169" i="31" s="1"/>
  <c r="Y200" i="31"/>
  <c r="AA200" i="31" s="1"/>
  <c r="Y410" i="31"/>
  <c r="AA410" i="31" s="1"/>
  <c r="Y79" i="31"/>
  <c r="AA79" i="31" s="1"/>
  <c r="Y173" i="31"/>
  <c r="AB173" i="31" s="1"/>
  <c r="Y32" i="31"/>
  <c r="AA32" i="31" s="1"/>
  <c r="Y250" i="31"/>
  <c r="AB250" i="31" s="1"/>
  <c r="Y260" i="31"/>
  <c r="AB260" i="31" s="1"/>
  <c r="Y76" i="31"/>
  <c r="AA76" i="31" s="1"/>
  <c r="Y312" i="31"/>
  <c r="AB312" i="31" s="1"/>
  <c r="Y418" i="31"/>
  <c r="AB418" i="31" s="1"/>
  <c r="Y142" i="31"/>
  <c r="AB142" i="31" s="1"/>
  <c r="Y252" i="31"/>
  <c r="AB252" i="31" s="1"/>
  <c r="Y35" i="31"/>
  <c r="AA35" i="31" s="1"/>
  <c r="Y221" i="31"/>
  <c r="AB221" i="31" s="1"/>
  <c r="Y61" i="31"/>
  <c r="AB61" i="31" s="1"/>
  <c r="Y73" i="31"/>
  <c r="AB73" i="31" s="1"/>
  <c r="Y187" i="31"/>
  <c r="AA187" i="31" s="1"/>
  <c r="Y398" i="31"/>
  <c r="AB398" i="31" s="1"/>
  <c r="Y316" i="31"/>
  <c r="AB316" i="31" s="1"/>
  <c r="Y71" i="31"/>
  <c r="AA71" i="31" s="1"/>
  <c r="Y44" i="31"/>
  <c r="AA44" i="31" s="1"/>
  <c r="Y105" i="31"/>
  <c r="AA105" i="31" s="1"/>
  <c r="Y91" i="31"/>
  <c r="AA91" i="31" s="1"/>
  <c r="Y271" i="31"/>
  <c r="AA271" i="31" s="1"/>
  <c r="Y99" i="31"/>
  <c r="AA99" i="31" s="1"/>
  <c r="Y491" i="31"/>
  <c r="AB491" i="31" s="1"/>
  <c r="Y310" i="31"/>
  <c r="AB310" i="31" s="1"/>
  <c r="Y131" i="31"/>
  <c r="AB131" i="31" s="1"/>
  <c r="Y234" i="31"/>
  <c r="AB234" i="31" s="1"/>
  <c r="Y488" i="31"/>
  <c r="AB488" i="31" s="1"/>
  <c r="Y150" i="31"/>
  <c r="AB150" i="31" s="1"/>
  <c r="Y184" i="31"/>
  <c r="AA184" i="31" s="1"/>
  <c r="Y190" i="31"/>
  <c r="AA190" i="31" s="1"/>
  <c r="Y396" i="31"/>
  <c r="AA396" i="31" s="1"/>
  <c r="Y243" i="31"/>
  <c r="AB243" i="31" s="1"/>
  <c r="Y461" i="31"/>
  <c r="AB461" i="31" s="1"/>
  <c r="Y203" i="31"/>
  <c r="AB203" i="31" s="1"/>
  <c r="Y43" i="31"/>
  <c r="AB43" i="31" s="1"/>
  <c r="Y137" i="31"/>
  <c r="AB137" i="31" s="1"/>
  <c r="Y429" i="31"/>
  <c r="AB429" i="31" s="1"/>
  <c r="Y47" i="31"/>
  <c r="AB47" i="31" s="1"/>
  <c r="Y103" i="31"/>
  <c r="AA103" i="31" s="1"/>
  <c r="Y382" i="31"/>
  <c r="AA382" i="31" s="1"/>
  <c r="Y253" i="31"/>
  <c r="AB253" i="31" s="1"/>
  <c r="Y255" i="31"/>
  <c r="AB255" i="31" s="1"/>
  <c r="Y162" i="31"/>
  <c r="AA162" i="31" s="1"/>
  <c r="Y34" i="31"/>
  <c r="AB34" i="31" s="1"/>
  <c r="Y174" i="31"/>
  <c r="AB174" i="31" s="1"/>
  <c r="Y392" i="31"/>
  <c r="AB392" i="31" s="1"/>
  <c r="Y86" i="31"/>
  <c r="AA86" i="31" s="1"/>
  <c r="Y116" i="31"/>
  <c r="AB116" i="31" s="1"/>
  <c r="Y199" i="31"/>
  <c r="AA199" i="31" s="1"/>
  <c r="Y164" i="31"/>
  <c r="AB164" i="31" s="1"/>
  <c r="Y126" i="31"/>
  <c r="AA126" i="31" s="1"/>
  <c r="Y332" i="31"/>
  <c r="AB332" i="31" s="1"/>
  <c r="Y378" i="31"/>
  <c r="AB378" i="31" s="1"/>
  <c r="Y428" i="31"/>
  <c r="AB428" i="31" s="1"/>
  <c r="Y125" i="31"/>
  <c r="AA125" i="31" s="1"/>
  <c r="Y148" i="31"/>
  <c r="AA148" i="31" s="1"/>
  <c r="Y75" i="31"/>
  <c r="AB75" i="31" s="1"/>
  <c r="Y442" i="31"/>
  <c r="AB442" i="31" s="1"/>
  <c r="Y41" i="31"/>
  <c r="AB41" i="31" s="1"/>
  <c r="Y436" i="31"/>
  <c r="AB436" i="31" s="1"/>
  <c r="Y379" i="31"/>
  <c r="AB379" i="31" s="1"/>
  <c r="Y514" i="31"/>
  <c r="AA514" i="31" s="1"/>
  <c r="Y367" i="31"/>
  <c r="AA367" i="31" s="1"/>
  <c r="Y155" i="31"/>
  <c r="AA155" i="31" s="1"/>
  <c r="Y81" i="31"/>
  <c r="AB81" i="31" s="1"/>
  <c r="Y433" i="31"/>
  <c r="AA433" i="31" s="1"/>
  <c r="Y206" i="31"/>
  <c r="AA206" i="31" s="1"/>
  <c r="Y359" i="31"/>
  <c r="AA359" i="31" s="1"/>
  <c r="Y490" i="31"/>
  <c r="AB490" i="31" s="1"/>
  <c r="Y380" i="31"/>
  <c r="AA380" i="31" s="1"/>
  <c r="Y74" i="31"/>
  <c r="AA74" i="31" s="1"/>
  <c r="Y499" i="31"/>
  <c r="AA499" i="31" s="1"/>
  <c r="Y242" i="31"/>
  <c r="AA242" i="31" s="1"/>
  <c r="Y503" i="31"/>
  <c r="AA503" i="31" s="1"/>
  <c r="Y246" i="31"/>
  <c r="AB246" i="31" s="1"/>
  <c r="Y104" i="31"/>
  <c r="AB104" i="31" s="1"/>
  <c r="Y72" i="31"/>
  <c r="AA72" i="31" s="1"/>
  <c r="Y202" i="31"/>
  <c r="AB202" i="31" s="1"/>
  <c r="Y109" i="31"/>
  <c r="AA109" i="31" s="1"/>
  <c r="Y322" i="31"/>
  <c r="AB322" i="31" s="1"/>
  <c r="Y87" i="31"/>
  <c r="AB87" i="31" s="1"/>
  <c r="Y414" i="31"/>
  <c r="AA414" i="31" s="1"/>
  <c r="Y305" i="31"/>
  <c r="AA305" i="31" s="1"/>
  <c r="Y144" i="31"/>
  <c r="AA144" i="31" s="1"/>
  <c r="Y355" i="31"/>
  <c r="AB355" i="31" s="1"/>
  <c r="Y331" i="31"/>
  <c r="AB331" i="31" s="1"/>
  <c r="Y179" i="31"/>
  <c r="AA179" i="31" s="1"/>
  <c r="Y157" i="31"/>
  <c r="AB157" i="31" s="1"/>
  <c r="Y368" i="31"/>
  <c r="AB368" i="31" s="1"/>
  <c r="Y108" i="31"/>
  <c r="AA108" i="31" s="1"/>
  <c r="Y64" i="31"/>
  <c r="AB64" i="31" s="1"/>
  <c r="Y462" i="31"/>
  <c r="AB462" i="31" s="1"/>
  <c r="Y309" i="31"/>
  <c r="AB309" i="31" s="1"/>
  <c r="Y102" i="31"/>
  <c r="AB102" i="31" s="1"/>
  <c r="Y468" i="31"/>
  <c r="AA468" i="31" s="1"/>
  <c r="Y220" i="31"/>
  <c r="AB220" i="31" s="1"/>
  <c r="Y212" i="31"/>
  <c r="AA212" i="31" s="1"/>
  <c r="Y478" i="31"/>
  <c r="AB478" i="31" s="1"/>
  <c r="Y57" i="31"/>
  <c r="AA57" i="31" s="1"/>
  <c r="Y432" i="31"/>
  <c r="AA432" i="31" s="1"/>
  <c r="Y60" i="31"/>
  <c r="AA60" i="31" s="1"/>
  <c r="Y394" i="31"/>
  <c r="AA394" i="31" s="1"/>
  <c r="Y530" i="31"/>
  <c r="AA530" i="31" s="1"/>
  <c r="Y324" i="31"/>
  <c r="AA324" i="31" s="1"/>
  <c r="Y84" i="31"/>
  <c r="AA84" i="31" s="1"/>
  <c r="I24" i="31"/>
  <c r="Y189" i="31"/>
  <c r="AB189" i="31" s="1"/>
  <c r="Y117" i="31"/>
  <c r="AA117" i="31" s="1"/>
  <c r="Y40" i="31"/>
  <c r="AB40" i="31" s="1"/>
  <c r="Y307" i="31"/>
  <c r="AB307" i="31" s="1"/>
  <c r="Y101" i="31"/>
  <c r="AB101" i="31" s="1"/>
  <c r="Y377" i="31"/>
  <c r="AA377" i="31" s="1"/>
  <c r="Y38" i="31"/>
  <c r="AB38" i="31" s="1"/>
  <c r="Y267" i="31"/>
  <c r="AA267" i="31" s="1"/>
  <c r="Y244" i="31"/>
  <c r="AB244" i="31" s="1"/>
  <c r="Y393" i="31"/>
  <c r="AB393" i="31" s="1"/>
  <c r="Y362" i="31"/>
  <c r="AB362" i="31" s="1"/>
  <c r="Y78" i="31"/>
  <c r="AB78" i="31" s="1"/>
  <c r="Y46" i="31"/>
  <c r="AB46" i="31" s="1"/>
  <c r="Y508" i="31"/>
  <c r="AB508" i="31" s="1"/>
  <c r="Y427" i="31"/>
  <c r="AB427" i="31" s="1"/>
  <c r="Y62" i="31"/>
  <c r="AA62" i="31" s="1"/>
  <c r="Y65" i="31"/>
  <c r="AB65" i="31" s="1"/>
  <c r="Y413" i="31"/>
  <c r="AB413" i="31" s="1"/>
  <c r="Y120" i="31"/>
  <c r="AB120" i="31" s="1"/>
  <c r="Y342" i="31"/>
  <c r="AB342" i="31" s="1"/>
  <c r="Y134" i="31"/>
  <c r="AA134" i="31" s="1"/>
  <c r="Y42" i="31"/>
  <c r="AA42" i="31" s="1"/>
  <c r="Y300" i="31"/>
  <c r="AA300" i="31" s="1"/>
  <c r="Y112" i="31"/>
  <c r="AB112" i="31" s="1"/>
  <c r="Y33" i="31"/>
  <c r="AB33" i="31" s="1"/>
  <c r="Y479" i="31"/>
  <c r="AB479" i="31" s="1"/>
  <c r="Y225" i="31"/>
  <c r="AB225" i="31" s="1"/>
  <c r="Y290" i="31"/>
  <c r="AA290" i="31" s="1"/>
  <c r="Y115" i="31"/>
  <c r="AA115" i="31" s="1"/>
  <c r="Y93" i="31"/>
  <c r="AA93" i="31" s="1"/>
  <c r="Y425" i="31"/>
  <c r="AB425" i="31" s="1"/>
  <c r="Y339" i="31"/>
  <c r="AB339" i="31" s="1"/>
  <c r="Y303" i="31"/>
  <c r="AB303" i="31" s="1"/>
  <c r="Y110" i="31"/>
  <c r="AA110" i="31" s="1"/>
  <c r="Y515" i="31"/>
  <c r="AA515" i="31" s="1"/>
  <c r="Y135" i="31"/>
  <c r="AB135" i="31" s="1"/>
  <c r="Y451" i="31"/>
  <c r="AA451" i="31" s="1"/>
  <c r="Y80" i="31"/>
  <c r="AB80" i="31" s="1"/>
  <c r="Y58" i="31"/>
  <c r="AB58" i="31" s="1"/>
  <c r="Y397" i="31"/>
  <c r="AA397" i="31" s="1"/>
  <c r="Y139" i="31"/>
  <c r="AA139" i="31" s="1"/>
  <c r="Y53" i="31"/>
  <c r="AA53" i="31" s="1"/>
  <c r="Y440" i="31"/>
  <c r="AB440" i="31" s="1"/>
  <c r="Y52" i="31"/>
  <c r="AB52" i="31" s="1"/>
  <c r="Y196" i="31"/>
  <c r="AA196" i="31" s="1"/>
  <c r="Y194" i="31"/>
  <c r="AA194" i="31" s="1"/>
  <c r="Y501" i="31"/>
  <c r="AA501" i="31" s="1"/>
  <c r="Y195" i="31"/>
  <c r="AA195" i="31" s="1"/>
  <c r="Y321" i="31"/>
  <c r="AA321" i="31" s="1"/>
  <c r="Y513" i="31"/>
  <c r="AB513" i="31" s="1"/>
  <c r="Y121" i="31"/>
  <c r="AA121" i="31" s="1"/>
  <c r="Y455" i="31"/>
  <c r="AB455" i="31" s="1"/>
  <c r="Y311" i="31"/>
  <c r="AA311" i="31" s="1"/>
  <c r="Y140" i="31"/>
  <c r="AA140" i="31" s="1"/>
  <c r="Y89" i="31"/>
  <c r="AB89" i="31" s="1"/>
  <c r="Y36" i="31"/>
  <c r="AB36" i="31" s="1"/>
  <c r="Y92" i="31"/>
  <c r="AB92" i="31" s="1"/>
  <c r="Y128" i="31"/>
  <c r="AA128" i="31" s="1"/>
  <c r="Y178" i="31"/>
  <c r="AB178" i="31" s="1"/>
  <c r="Y266" i="31"/>
  <c r="AB266" i="31" s="1"/>
  <c r="Y459" i="31"/>
  <c r="AA459" i="31" s="1"/>
  <c r="Y477" i="31"/>
  <c r="AB477" i="31" s="1"/>
  <c r="Y338" i="31"/>
  <c r="AA338" i="31" s="1"/>
  <c r="Y283" i="31"/>
  <c r="AB283" i="31" s="1"/>
  <c r="Y183" i="31"/>
  <c r="AA183" i="31" s="1"/>
  <c r="Y473" i="31"/>
  <c r="AA473" i="31" s="1"/>
  <c r="Y361" i="31"/>
  <c r="AB361" i="31" s="1"/>
  <c r="Y489" i="31"/>
  <c r="AA489" i="31" s="1"/>
  <c r="Y180" i="31"/>
  <c r="AA180" i="31" s="1"/>
  <c r="Y420" i="31"/>
  <c r="AB420" i="31" s="1"/>
  <c r="Y96" i="31"/>
  <c r="AA96" i="31" s="1"/>
  <c r="Y67" i="31"/>
  <c r="AB67" i="31" s="1"/>
  <c r="Y48" i="31"/>
  <c r="AA48" i="31" s="1"/>
  <c r="Y54" i="31"/>
  <c r="AB54" i="31" s="1"/>
  <c r="Y337" i="31"/>
  <c r="AB337" i="31" s="1"/>
  <c r="Y298" i="31"/>
  <c r="AA298" i="31" s="1"/>
  <c r="Y446" i="31"/>
  <c r="AA446" i="31" s="1"/>
  <c r="Y227" i="31"/>
  <c r="AB227" i="31" s="1"/>
  <c r="Y185" i="31"/>
  <c r="AB185" i="31" s="1"/>
  <c r="Y259" i="31"/>
  <c r="AA259" i="31" s="1"/>
  <c r="Y119" i="31"/>
  <c r="AA119" i="31" s="1"/>
  <c r="Y222" i="31"/>
  <c r="AA222" i="31" s="1"/>
  <c r="Y94" i="31"/>
  <c r="AA94" i="31" s="1"/>
  <c r="Y317" i="31"/>
  <c r="AB317" i="31" s="1"/>
  <c r="Y364" i="31"/>
  <c r="AA364" i="31" s="1"/>
  <c r="Y524" i="31"/>
  <c r="AA524" i="31" s="1"/>
  <c r="Y282" i="31"/>
  <c r="AA282" i="31" s="1"/>
  <c r="Y374" i="31"/>
  <c r="AB374" i="31" s="1"/>
  <c r="Y171" i="31"/>
  <c r="AB171" i="31" s="1"/>
  <c r="Y113" i="31"/>
  <c r="AA113" i="31" s="1"/>
  <c r="Y327" i="31"/>
  <c r="AA327" i="31" s="1"/>
  <c r="Y56" i="31"/>
  <c r="AA56" i="31" s="1"/>
  <c r="Y209" i="31"/>
  <c r="AA209" i="31" s="1"/>
  <c r="Y467" i="31"/>
  <c r="AB467" i="31" s="1"/>
  <c r="Y481" i="31"/>
  <c r="AA481" i="31" s="1"/>
  <c r="Y505" i="31"/>
  <c r="AB505" i="31" s="1"/>
  <c r="Y320" i="31"/>
  <c r="AA320" i="31" s="1"/>
  <c r="Y232" i="31"/>
  <c r="AA232" i="31" s="1"/>
  <c r="Y372" i="31"/>
  <c r="AB372" i="31" s="1"/>
  <c r="Y274" i="31"/>
  <c r="AA274" i="31" s="1"/>
  <c r="Y254" i="31"/>
  <c r="AB254" i="31" s="1"/>
  <c r="Y83" i="31"/>
  <c r="AB83" i="31" s="1"/>
  <c r="Y159" i="31"/>
  <c r="AB159" i="31" s="1"/>
  <c r="Y531" i="31"/>
  <c r="AA531" i="31" s="1"/>
  <c r="Y51" i="31"/>
  <c r="AA51" i="31" s="1"/>
  <c r="Y107" i="31"/>
  <c r="AA107" i="31" s="1"/>
  <c r="Y291" i="31"/>
  <c r="AA291" i="31" s="1"/>
  <c r="Y289" i="31"/>
  <c r="AB289" i="31" s="1"/>
  <c r="Y59" i="31"/>
  <c r="AB59" i="31" s="1"/>
  <c r="Y37" i="31"/>
  <c r="AB37" i="31" s="1"/>
  <c r="Y138" i="31"/>
  <c r="AA138" i="31" s="1"/>
  <c r="Y388" i="31"/>
  <c r="AA388" i="31" s="1"/>
  <c r="Y445" i="31"/>
  <c r="AB445" i="31" s="1"/>
  <c r="Y277" i="31"/>
  <c r="AB277" i="31" s="1"/>
  <c r="Y214" i="31"/>
  <c r="AB214" i="31" s="1"/>
  <c r="Y323" i="31"/>
  <c r="AB323" i="31" s="1"/>
  <c r="Y264" i="31"/>
  <c r="AB264" i="31" s="1"/>
  <c r="Y193" i="31"/>
  <c r="AB193" i="31" s="1"/>
  <c r="Y502" i="31"/>
  <c r="AA502" i="31" s="1"/>
  <c r="Y168" i="31"/>
  <c r="AB168" i="31" s="1"/>
  <c r="Y354" i="31"/>
  <c r="AA354" i="31" s="1"/>
  <c r="Y147" i="31"/>
  <c r="AA147" i="31" s="1"/>
  <c r="Y146" i="31"/>
  <c r="AB146" i="31" s="1"/>
  <c r="Y149" i="31"/>
  <c r="AA149" i="31" s="1"/>
  <c r="Y376" i="31"/>
  <c r="AA376" i="31" s="1"/>
  <c r="Y223" i="31"/>
  <c r="AA223" i="31" s="1"/>
  <c r="Y70" i="31"/>
  <c r="AA70" i="31" s="1"/>
  <c r="Y285" i="31"/>
  <c r="AB285" i="31" s="1"/>
  <c r="Y248" i="31"/>
  <c r="AA248" i="31" s="1"/>
  <c r="Y457" i="31"/>
  <c r="AA457" i="31" s="1"/>
  <c r="Y182" i="31"/>
  <c r="AA182" i="31" s="1"/>
  <c r="Y68" i="31"/>
  <c r="AA68" i="31" s="1"/>
  <c r="Y450" i="31"/>
  <c r="AB450" i="31" s="1"/>
  <c r="Y470" i="31"/>
  <c r="AB470" i="31" s="1"/>
  <c r="Y247" i="31"/>
  <c r="AB247" i="31" s="1"/>
  <c r="Y97" i="31"/>
  <c r="AB97" i="31" s="1"/>
  <c r="N20" i="31"/>
  <c r="N21" i="31"/>
  <c r="Y447" i="31"/>
  <c r="AB447" i="31" s="1"/>
  <c r="Y487" i="31"/>
  <c r="AB487" i="31" s="1"/>
  <c r="Y430" i="31"/>
  <c r="AA430" i="31" s="1"/>
  <c r="Y357" i="31"/>
  <c r="AA357" i="31" s="1"/>
  <c r="Y118" i="31"/>
  <c r="AA118" i="31" s="1"/>
  <c r="Y201" i="31"/>
  <c r="AA201" i="31" s="1"/>
  <c r="Y496" i="31"/>
  <c r="AB496" i="31" s="1"/>
  <c r="O20" i="31"/>
  <c r="O21" i="31"/>
  <c r="Y181" i="31"/>
  <c r="AB181" i="31" s="1"/>
  <c r="Y365" i="31"/>
  <c r="AB365" i="31" s="1"/>
  <c r="Y353" i="31"/>
  <c r="AB353" i="31" s="1"/>
  <c r="Y408" i="31"/>
  <c r="AA408" i="31" s="1"/>
  <c r="Y127" i="31"/>
  <c r="AB127" i="31" s="1"/>
  <c r="Y88" i="31"/>
  <c r="AB88" i="31" s="1"/>
  <c r="Y326" i="31"/>
  <c r="AB326" i="31" s="1"/>
  <c r="Y49" i="31"/>
  <c r="AB49" i="31" s="1"/>
  <c r="Y124" i="31"/>
  <c r="AB124" i="31" s="1"/>
  <c r="Y152" i="31"/>
  <c r="AB152" i="31" s="1"/>
  <c r="Y406" i="31"/>
  <c r="AA406" i="31" s="1"/>
  <c r="Y151" i="31"/>
  <c r="AB151" i="31" s="1"/>
  <c r="Y463" i="31"/>
  <c r="AA463" i="31" s="1"/>
  <c r="Y366" i="31"/>
  <c r="AB366" i="31" s="1"/>
  <c r="Y356" i="31"/>
  <c r="AB356" i="31" s="1"/>
  <c r="Y236" i="31"/>
  <c r="AA236" i="31" s="1"/>
  <c r="Y308" i="31"/>
  <c r="AA308" i="31" s="1"/>
  <c r="Y175" i="31"/>
  <c r="AA175" i="31" s="1"/>
  <c r="Y449" i="31"/>
  <c r="AB449" i="31" s="1"/>
  <c r="Y474" i="31"/>
  <c r="AA474" i="31" s="1"/>
  <c r="Y158" i="31"/>
  <c r="AB158" i="31" s="1"/>
  <c r="Y343" i="31"/>
  <c r="AB343" i="31" s="1"/>
  <c r="Y235" i="31"/>
  <c r="AA235" i="31" s="1"/>
  <c r="Y504" i="31"/>
  <c r="AA504" i="31" s="1"/>
  <c r="Y493" i="31"/>
  <c r="AA493" i="31" s="1"/>
  <c r="Y280" i="31"/>
  <c r="AB280" i="31" s="1"/>
  <c r="Y346" i="31"/>
  <c r="AB346" i="31" s="1"/>
  <c r="Y215" i="31"/>
  <c r="AA215" i="31" s="1"/>
  <c r="Y492" i="31"/>
  <c r="AA492" i="31" s="1"/>
  <c r="Y465" i="31"/>
  <c r="AA465" i="31" s="1"/>
  <c r="Y441" i="31"/>
  <c r="AA441" i="31" s="1"/>
  <c r="Y129" i="31"/>
  <c r="AB129" i="31" s="1"/>
  <c r="Y526" i="31"/>
  <c r="AB526" i="31" s="1"/>
  <c r="Y347" i="31"/>
  <c r="AB347" i="31" s="1"/>
  <c r="Y421" i="31"/>
  <c r="AB421" i="31" s="1"/>
  <c r="Y435" i="31"/>
  <c r="AA435" i="31" s="1"/>
  <c r="Y466" i="31"/>
  <c r="AA466" i="31" s="1"/>
  <c r="Y389" i="31"/>
  <c r="AB389" i="31" s="1"/>
  <c r="Y251" i="31"/>
  <c r="AA251" i="31" s="1"/>
  <c r="Y213" i="31"/>
  <c r="AA213" i="31" s="1"/>
  <c r="Y85" i="31"/>
  <c r="AA85" i="31" s="1"/>
  <c r="Y301" i="31"/>
  <c r="AB301" i="31" s="1"/>
  <c r="Y381" i="31"/>
  <c r="AA381" i="31" s="1"/>
  <c r="Y233" i="31"/>
  <c r="AB233" i="31" s="1"/>
  <c r="Y391" i="31"/>
  <c r="AB391" i="31" s="1"/>
  <c r="Y390" i="31"/>
  <c r="AB390" i="31" s="1"/>
  <c r="Y163" i="31"/>
  <c r="AA163" i="31" s="1"/>
  <c r="Y494" i="31"/>
  <c r="AA494" i="31" s="1"/>
  <c r="Y192" i="31"/>
  <c r="AB192" i="31" s="1"/>
  <c r="Y273" i="31"/>
  <c r="AB273" i="31" s="1"/>
  <c r="Y437" i="31"/>
  <c r="AA437" i="31" s="1"/>
  <c r="Y495" i="31"/>
  <c r="AA495" i="31" s="1"/>
  <c r="Y512" i="31"/>
  <c r="AB512" i="31" s="1"/>
  <c r="Y460" i="31"/>
  <c r="AA460" i="31" s="1"/>
  <c r="Y136" i="31"/>
  <c r="AA136" i="31" s="1"/>
  <c r="Y520" i="31"/>
  <c r="AA520" i="31" s="1"/>
  <c r="Y525" i="31"/>
  <c r="AB525" i="31" s="1"/>
  <c r="Y405" i="31"/>
  <c r="AB405" i="31" s="1"/>
  <c r="Y360" i="31"/>
  <c r="AB360" i="31" s="1"/>
  <c r="Y419" i="31"/>
  <c r="AB419" i="31" s="1"/>
  <c r="Y401" i="31"/>
  <c r="AB401" i="31" s="1"/>
  <c r="Y523" i="31"/>
  <c r="AA523" i="31" s="1"/>
  <c r="Y352" i="31"/>
  <c r="AB352" i="31" s="1"/>
  <c r="Y186" i="31"/>
  <c r="AB186" i="31" s="1"/>
  <c r="Y278" i="31"/>
  <c r="AB278" i="31" s="1"/>
  <c r="Y434" i="31"/>
  <c r="AB434" i="31" s="1"/>
  <c r="Y409" i="31"/>
  <c r="AB409" i="31" s="1"/>
  <c r="Y516" i="31"/>
  <c r="AB516" i="31" s="1"/>
  <c r="Y95" i="31"/>
  <c r="AA95" i="31" s="1"/>
  <c r="Y387" i="31"/>
  <c r="AB387" i="31" s="1"/>
  <c r="Y207" i="31"/>
  <c r="AA207" i="31" s="1"/>
  <c r="Y344" i="31"/>
  <c r="AB344" i="31" s="1"/>
  <c r="Y302" i="31"/>
  <c r="AB302" i="31" s="1"/>
  <c r="Y402" i="31"/>
  <c r="AA402" i="31" s="1"/>
  <c r="Y219" i="31"/>
  <c r="AB219" i="31" s="1"/>
  <c r="Y444" i="31"/>
  <c r="AA444" i="31" s="1"/>
  <c r="Y350" i="31"/>
  <c r="AB350" i="31" s="1"/>
  <c r="Y373" i="31"/>
  <c r="AB373" i="31" s="1"/>
  <c r="Y188" i="31"/>
  <c r="AA188" i="31" s="1"/>
  <c r="Y351" i="31"/>
  <c r="AA351" i="31" s="1"/>
  <c r="Y370" i="31"/>
  <c r="AB370" i="31" s="1"/>
  <c r="Y287" i="31"/>
  <c r="AA287" i="31" s="1"/>
  <c r="Y218" i="31"/>
  <c r="AB218" i="31" s="1"/>
  <c r="Y314" i="31"/>
  <c r="AB314" i="31" s="1"/>
  <c r="Y191" i="31"/>
  <c r="AA191" i="31" s="1"/>
  <c r="Y415" i="31"/>
  <c r="AB415" i="31" s="1"/>
  <c r="Y279" i="31"/>
  <c r="AB279" i="31" s="1"/>
  <c r="Y411" i="31"/>
  <c r="AA411" i="31" s="1"/>
  <c r="Y293" i="31"/>
  <c r="AB293" i="31" s="1"/>
  <c r="Y160" i="31"/>
  <c r="AB160" i="31" s="1"/>
  <c r="Y528" i="31"/>
  <c r="AB528" i="31" s="1"/>
  <c r="Y422" i="31"/>
  <c r="AB422" i="31" s="1"/>
  <c r="Y269" i="31"/>
  <c r="AA269" i="31" s="1"/>
  <c r="Y517" i="31"/>
  <c r="AA517" i="31" s="1"/>
  <c r="G24" i="31"/>
  <c r="Y407" i="31"/>
  <c r="AB407" i="31" s="1"/>
  <c r="Y257" i="31"/>
  <c r="AA257" i="31" s="1"/>
  <c r="Y275" i="31"/>
  <c r="AA275" i="31" s="1"/>
  <c r="Y439" i="31"/>
  <c r="AA439" i="31" s="1"/>
  <c r="Y306" i="31"/>
  <c r="AB306" i="31" s="1"/>
  <c r="Y412" i="31"/>
  <c r="AB412" i="31" s="1"/>
  <c r="Y399" i="31"/>
  <c r="AB399" i="31" s="1"/>
  <c r="Y153" i="31"/>
  <c r="AA153" i="31" s="1"/>
  <c r="Y448" i="31"/>
  <c r="AA448" i="31" s="1"/>
  <c r="Y431" i="31"/>
  <c r="AA431" i="31" s="1"/>
  <c r="Y333" i="31"/>
  <c r="AB333" i="31" s="1"/>
  <c r="Y210" i="31"/>
  <c r="AB210" i="31" s="1"/>
  <c r="Y345" i="31"/>
  <c r="AA345" i="31" s="1"/>
  <c r="Y510" i="31"/>
  <c r="AA510" i="31" s="1"/>
  <c r="Y205" i="31"/>
  <c r="AB205" i="31" s="1"/>
  <c r="Y371" i="31"/>
  <c r="AA371" i="31" s="1"/>
  <c r="Y281" i="31"/>
  <c r="AA281" i="31" s="1"/>
  <c r="Y265" i="31"/>
  <c r="AA265" i="31" s="1"/>
  <c r="Y249" i="31"/>
  <c r="AB249" i="31" s="1"/>
  <c r="Y50" i="31"/>
  <c r="AA50" i="31" s="1"/>
  <c r="Y325" i="31"/>
  <c r="AB325" i="31" s="1"/>
  <c r="Y145" i="31"/>
  <c r="AA145" i="31" s="1"/>
  <c r="Y258" i="31"/>
  <c r="AB258" i="31" s="1"/>
  <c r="Y330" i="31"/>
  <c r="AB330" i="31" s="1"/>
  <c r="Y529" i="31"/>
  <c r="AA529" i="31" s="1"/>
  <c r="Y334" i="31"/>
  <c r="AB334" i="31" s="1"/>
  <c r="Y400" i="31"/>
  <c r="AB400" i="31" s="1"/>
  <c r="Y454" i="31"/>
  <c r="AB454" i="31" s="1"/>
  <c r="Y426" i="31"/>
  <c r="AA426" i="31" s="1"/>
  <c r="Y475" i="31"/>
  <c r="AB475" i="31" s="1"/>
  <c r="Y98" i="31"/>
  <c r="AB98" i="31" s="1"/>
  <c r="Y167" i="31"/>
  <c r="AB167" i="31" s="1"/>
  <c r="Y452" i="31"/>
  <c r="AA452" i="31" s="1"/>
  <c r="Y500" i="31"/>
  <c r="AA500" i="31" s="1"/>
  <c r="Y485" i="31"/>
  <c r="AA485" i="31" s="1"/>
  <c r="Y66" i="31"/>
  <c r="AA66" i="31" s="1"/>
  <c r="Y341" i="31"/>
  <c r="AA341" i="31" s="1"/>
  <c r="Y143" i="31"/>
  <c r="AB143" i="31" s="1"/>
  <c r="Y299" i="31"/>
  <c r="AA299" i="31" s="1"/>
  <c r="Y464" i="31"/>
  <c r="AB464" i="31" s="1"/>
  <c r="Y318" i="31"/>
  <c r="AB318" i="31" s="1"/>
  <c r="Y507" i="31"/>
  <c r="AB507" i="31" s="1"/>
  <c r="Y237" i="31"/>
  <c r="AB237" i="31" s="1"/>
  <c r="Y292" i="31"/>
  <c r="AB292" i="31" s="1"/>
  <c r="Y340" i="31"/>
  <c r="AA340" i="31" s="1"/>
  <c r="Y335" i="31"/>
  <c r="AA335" i="31" s="1"/>
  <c r="Y383" i="31"/>
  <c r="AB383" i="31" s="1"/>
  <c r="Y522" i="31"/>
  <c r="AA522" i="31" s="1"/>
  <c r="Y231" i="31"/>
  <c r="AB231" i="31" s="1"/>
  <c r="Y176" i="31"/>
  <c r="AB176" i="31" s="1"/>
  <c r="Y217" i="31"/>
  <c r="AA217" i="31" s="1"/>
  <c r="Y114" i="31"/>
  <c r="AA114" i="31" s="1"/>
  <c r="Y482" i="31"/>
  <c r="AA482" i="31" s="1"/>
  <c r="Y384" i="31"/>
  <c r="AA384" i="31" s="1"/>
  <c r="Y295" i="31"/>
  <c r="AA295" i="31" s="1"/>
  <c r="Y469" i="31"/>
  <c r="AA469" i="31" s="1"/>
  <c r="Y177" i="31"/>
  <c r="AA177" i="31" s="1"/>
  <c r="H24" i="31"/>
  <c r="Y288" i="31"/>
  <c r="AA288" i="31" s="1"/>
  <c r="Y154" i="31"/>
  <c r="AB154" i="31" s="1"/>
  <c r="Y238" i="31"/>
  <c r="AA238" i="31" s="1"/>
  <c r="Y527" i="31"/>
  <c r="AA527" i="31" s="1"/>
  <c r="Y395" i="31"/>
  <c r="AB395" i="31" s="1"/>
  <c r="Y82" i="31"/>
  <c r="AB82" i="31" s="1"/>
  <c r="Y262" i="31"/>
  <c r="AB262" i="31" s="1"/>
  <c r="Y69" i="31"/>
  <c r="AB69" i="31" s="1"/>
  <c r="Y313" i="31"/>
  <c r="AB313" i="31" s="1"/>
  <c r="Y386" i="31"/>
  <c r="AB386" i="31" s="1"/>
  <c r="Y506" i="31"/>
  <c r="AA506" i="31" s="1"/>
  <c r="Y458" i="31"/>
  <c r="AA458" i="31" s="1"/>
  <c r="Y328" i="31"/>
  <c r="AB328" i="31" s="1"/>
  <c r="Y438" i="31"/>
  <c r="AA438" i="31" s="1"/>
  <c r="Y486" i="31"/>
  <c r="AA486" i="31" s="1"/>
  <c r="Y297" i="31"/>
  <c r="AA297" i="31" s="1"/>
  <c r="Y268" i="31"/>
  <c r="AB268" i="31" s="1"/>
  <c r="Y369" i="31"/>
  <c r="AA369" i="31" s="1"/>
  <c r="Y456" i="31"/>
  <c r="AA456" i="31" s="1"/>
  <c r="Y172" i="31"/>
  <c r="AB172" i="31" s="1"/>
  <c r="Y256" i="31"/>
  <c r="AB256" i="31" s="1"/>
  <c r="Y241" i="31"/>
  <c r="AB241" i="31" s="1"/>
  <c r="Y497" i="31"/>
  <c r="AB497" i="31" s="1"/>
  <c r="Y511" i="31"/>
  <c r="AB511" i="31" s="1"/>
  <c r="Y296" i="31"/>
  <c r="AA296" i="31" s="1"/>
  <c r="Y239" i="31"/>
  <c r="AB239" i="31" s="1"/>
  <c r="Y472" i="31"/>
  <c r="AB472" i="31" s="1"/>
  <c r="Y304" i="31"/>
  <c r="AB304" i="31" s="1"/>
  <c r="Y385" i="31"/>
  <c r="AB385" i="31" s="1"/>
  <c r="Y263" i="31"/>
  <c r="AA263" i="31" s="1"/>
  <c r="Y240" i="31"/>
  <c r="AA240" i="31" s="1"/>
  <c r="Y132" i="31"/>
  <c r="AA132" i="31" s="1"/>
  <c r="Y521" i="31"/>
  <c r="AB521" i="31" s="1"/>
  <c r="Y198" i="31"/>
  <c r="AA198" i="31" s="1"/>
  <c r="Y509" i="31"/>
  <c r="AB509" i="31" s="1"/>
  <c r="Y286" i="31"/>
  <c r="AA286" i="31" s="1"/>
  <c r="Y272" i="31"/>
  <c r="AA272" i="31" s="1"/>
  <c r="Y483" i="31"/>
  <c r="AB483" i="31" s="1"/>
  <c r="Y245" i="31"/>
  <c r="AB245" i="31" s="1"/>
  <c r="Y211" i="31"/>
  <c r="AA211" i="31" s="1"/>
  <c r="Y424" i="31"/>
  <c r="AA424" i="31" s="1"/>
  <c r="Y329" i="31"/>
  <c r="AB329" i="31" s="1"/>
  <c r="Y416" i="31"/>
  <c r="AA416" i="31" s="1"/>
  <c r="Y348" i="31"/>
  <c r="AB348" i="31" s="1"/>
  <c r="Y261" i="31"/>
  <c r="AB261" i="31" s="1"/>
  <c r="Y404" i="31"/>
  <c r="AB404" i="31" s="1"/>
  <c r="Y498" i="31"/>
  <c r="AA498" i="31" s="1"/>
  <c r="Y230" i="31"/>
  <c r="AB230" i="31" s="1"/>
  <c r="Y484" i="31"/>
  <c r="AB484" i="31" s="1"/>
  <c r="Y229" i="31"/>
  <c r="AB229" i="31" s="1"/>
  <c r="Y130" i="31"/>
  <c r="AA130" i="31" s="1"/>
  <c r="Y519" i="31"/>
  <c r="AB519" i="31" s="1"/>
  <c r="Y443" i="31"/>
  <c r="AB443" i="31" s="1"/>
  <c r="Y480" i="31"/>
  <c r="AA480" i="31" s="1"/>
  <c r="Y228" i="31"/>
  <c r="AB228" i="31" s="1"/>
  <c r="Y423" i="31"/>
  <c r="AA423" i="31" s="1"/>
  <c r="Y270" i="31"/>
  <c r="AA270" i="31" s="1"/>
  <c r="Y453" i="31"/>
  <c r="AA453" i="31" s="1"/>
  <c r="Y100" i="31"/>
  <c r="AB100" i="31" s="1"/>
  <c r="Y363" i="31"/>
  <c r="AB363" i="31" s="1"/>
  <c r="Y224" i="31"/>
  <c r="AB224" i="31" s="1"/>
  <c r="F24" i="31"/>
  <c r="AA518" i="31"/>
  <c r="AB476" i="31"/>
  <c r="AA208" i="31"/>
  <c r="AB216" i="31"/>
  <c r="AB170" i="31" l="1"/>
  <c r="AB417" i="31"/>
  <c r="AB375" i="31"/>
  <c r="AB45" i="31"/>
  <c r="AA161" i="31"/>
  <c r="AB55" i="31"/>
  <c r="AB76" i="31"/>
  <c r="AB166" i="31"/>
  <c r="AB122" i="31"/>
  <c r="AA392" i="31"/>
  <c r="AB433" i="31"/>
  <c r="AB259" i="31"/>
  <c r="AA442" i="31"/>
  <c r="AA505" i="31"/>
  <c r="AB197" i="31"/>
  <c r="AA349" i="31"/>
  <c r="AA336" i="31"/>
  <c r="AA106" i="31"/>
  <c r="AB133" i="31"/>
  <c r="AB358" i="31"/>
  <c r="AA403" i="31"/>
  <c r="AA165" i="31"/>
  <c r="AA156" i="31"/>
  <c r="AA39" i="31"/>
  <c r="AA90" i="31"/>
  <c r="AA315" i="31"/>
  <c r="AA52" i="31"/>
  <c r="AB489" i="31"/>
  <c r="AB200" i="31"/>
  <c r="AA255" i="31"/>
  <c r="AA141" i="31"/>
  <c r="AA294" i="31"/>
  <c r="AA266" i="31"/>
  <c r="AB187" i="31"/>
  <c r="AB414" i="31"/>
  <c r="AA319" i="31"/>
  <c r="AA488" i="31"/>
  <c r="AB503" i="31"/>
  <c r="AB108" i="31"/>
  <c r="AA123" i="31"/>
  <c r="AB35" i="31"/>
  <c r="AA283" i="31"/>
  <c r="AA112" i="31"/>
  <c r="AA331" i="31"/>
  <c r="AA47" i="31"/>
  <c r="AB274" i="31"/>
  <c r="AB44" i="31"/>
  <c r="AA478" i="31"/>
  <c r="AA164" i="31"/>
  <c r="AA342" i="31"/>
  <c r="AA67" i="31"/>
  <c r="AA455" i="31"/>
  <c r="AA289" i="31"/>
  <c r="AB32" i="31"/>
  <c r="AA284" i="31"/>
  <c r="AB267" i="31"/>
  <c r="AA203" i="31"/>
  <c r="AA202" i="31"/>
  <c r="AA78" i="31"/>
  <c r="AB380" i="31"/>
  <c r="AB394" i="31"/>
  <c r="AA428" i="31"/>
  <c r="AB290" i="31"/>
  <c r="AA63" i="31"/>
  <c r="AB68" i="31"/>
  <c r="AB514" i="31"/>
  <c r="AB56" i="31"/>
  <c r="AB276" i="31"/>
  <c r="AB397" i="31"/>
  <c r="AA307" i="31"/>
  <c r="AB298" i="31"/>
  <c r="AA317" i="31"/>
  <c r="AA234" i="31"/>
  <c r="AA36" i="31"/>
  <c r="AB62" i="31"/>
  <c r="AA339" i="31"/>
  <c r="AA374" i="31"/>
  <c r="AA312" i="31"/>
  <c r="AA102" i="31"/>
  <c r="AB99" i="31"/>
  <c r="AB195" i="31"/>
  <c r="AB190" i="31"/>
  <c r="AA135" i="31"/>
  <c r="AA226" i="31"/>
  <c r="AB77" i="31"/>
  <c r="AA471" i="31"/>
  <c r="AA173" i="31"/>
  <c r="AA204" i="31"/>
  <c r="AA169" i="31"/>
  <c r="AA131" i="31"/>
  <c r="AB103" i="31"/>
  <c r="AB530" i="31"/>
  <c r="AA43" i="31"/>
  <c r="AA310" i="31"/>
  <c r="AB396" i="31"/>
  <c r="AA111" i="31"/>
  <c r="AA101" i="31"/>
  <c r="AA41" i="31"/>
  <c r="AA171" i="31"/>
  <c r="AA64" i="31"/>
  <c r="AB105" i="31"/>
  <c r="AB74" i="31"/>
  <c r="AA418" i="31"/>
  <c r="AB125" i="31"/>
  <c r="AB86" i="31"/>
  <c r="AA246" i="31"/>
  <c r="AB162" i="31"/>
  <c r="AA491" i="31"/>
  <c r="AB134" i="31"/>
  <c r="AB354" i="31"/>
  <c r="AA221" i="31"/>
  <c r="AB126" i="31"/>
  <c r="AB206" i="31"/>
  <c r="AB367" i="31"/>
  <c r="AA398" i="31"/>
  <c r="AA250" i="31"/>
  <c r="AB410" i="31"/>
  <c r="AB359" i="31"/>
  <c r="AB79" i="31"/>
  <c r="AB499" i="31"/>
  <c r="AB71" i="31"/>
  <c r="AB242" i="31"/>
  <c r="AA73" i="31"/>
  <c r="AA252" i="31"/>
  <c r="AA61" i="31"/>
  <c r="AA243" i="31"/>
  <c r="AB148" i="31"/>
  <c r="AA322" i="31"/>
  <c r="AA104" i="31"/>
  <c r="AB144" i="31"/>
  <c r="AA142" i="31"/>
  <c r="AA260" i="31"/>
  <c r="AA34" i="31"/>
  <c r="AA116" i="31"/>
  <c r="AA332" i="31"/>
  <c r="AB42" i="31"/>
  <c r="AA150" i="31"/>
  <c r="AB382" i="31"/>
  <c r="AA83" i="31"/>
  <c r="AB91" i="31"/>
  <c r="AB473" i="31"/>
  <c r="AA436" i="31"/>
  <c r="AA513" i="31"/>
  <c r="AB155" i="31"/>
  <c r="AA316" i="31"/>
  <c r="AA137" i="31"/>
  <c r="AA247" i="31"/>
  <c r="AA178" i="31"/>
  <c r="AB184" i="31"/>
  <c r="AB271" i="31"/>
  <c r="AB182" i="31"/>
  <c r="AB408" i="31"/>
  <c r="AA372" i="31"/>
  <c r="AA185" i="31"/>
  <c r="AA120" i="31"/>
  <c r="AB501" i="31"/>
  <c r="AA58" i="31"/>
  <c r="AA461" i="31"/>
  <c r="AB327" i="31"/>
  <c r="AA40" i="31"/>
  <c r="AA38" i="31"/>
  <c r="AB212" i="31"/>
  <c r="AA174" i="31"/>
  <c r="AA368" i="31"/>
  <c r="AA490" i="31"/>
  <c r="AA87" i="31"/>
  <c r="AA362" i="31"/>
  <c r="AB96" i="31"/>
  <c r="AA214" i="31"/>
  <c r="AA427" i="31"/>
  <c r="AA337" i="31"/>
  <c r="AA151" i="31"/>
  <c r="AA146" i="31"/>
  <c r="AB282" i="31"/>
  <c r="AA225" i="31"/>
  <c r="AB199" i="31"/>
  <c r="AA429" i="31"/>
  <c r="AA447" i="31"/>
  <c r="AA89" i="31"/>
  <c r="AA75" i="31"/>
  <c r="AA253" i="31"/>
  <c r="AA425" i="31"/>
  <c r="AA81" i="31"/>
  <c r="AB118" i="31"/>
  <c r="AB481" i="31"/>
  <c r="AB60" i="31"/>
  <c r="AB70" i="31"/>
  <c r="AA361" i="31"/>
  <c r="AB121" i="31"/>
  <c r="AB72" i="31"/>
  <c r="AA378" i="31"/>
  <c r="AA159" i="31"/>
  <c r="AA49" i="31"/>
  <c r="AB94" i="31"/>
  <c r="AB515" i="31"/>
  <c r="AB502" i="31"/>
  <c r="AA309" i="31"/>
  <c r="AB338" i="31"/>
  <c r="AB138" i="31"/>
  <c r="AA355" i="31"/>
  <c r="AA440" i="31"/>
  <c r="AB300" i="31"/>
  <c r="AA379" i="31"/>
  <c r="AB291" i="31"/>
  <c r="AB84" i="31"/>
  <c r="AA353" i="31"/>
  <c r="AB110" i="31"/>
  <c r="AA157" i="31"/>
  <c r="AA462" i="31"/>
  <c r="AB324" i="31"/>
  <c r="AB524" i="31"/>
  <c r="AA470" i="31"/>
  <c r="AB357" i="31"/>
  <c r="AA479" i="31"/>
  <c r="AA54" i="31"/>
  <c r="AB117" i="31"/>
  <c r="AA420" i="31"/>
  <c r="AA227" i="31"/>
  <c r="AB109" i="31"/>
  <c r="AA189" i="31"/>
  <c r="AA244" i="31"/>
  <c r="AA88" i="31"/>
  <c r="AA92" i="31"/>
  <c r="AB119" i="31"/>
  <c r="AB57" i="31"/>
  <c r="AA33" i="31"/>
  <c r="AB305" i="31"/>
  <c r="AB468" i="31"/>
  <c r="AA264" i="31"/>
  <c r="AB179" i="31"/>
  <c r="AA65" i="31"/>
  <c r="AB180" i="31"/>
  <c r="AA46" i="31"/>
  <c r="AA326" i="31"/>
  <c r="AA277" i="31"/>
  <c r="AB113" i="31"/>
  <c r="AB432" i="31"/>
  <c r="AA467" i="31"/>
  <c r="AA477" i="31"/>
  <c r="AA508" i="31"/>
  <c r="AB194" i="31"/>
  <c r="AB223" i="31"/>
  <c r="AA193" i="31"/>
  <c r="AA80" i="31"/>
  <c r="AB107" i="31"/>
  <c r="AA413" i="31"/>
  <c r="AA97" i="31"/>
  <c r="AB232" i="31"/>
  <c r="AB128" i="31"/>
  <c r="AA220" i="31"/>
  <c r="AB406" i="31"/>
  <c r="AB140" i="31"/>
  <c r="AB93" i="31"/>
  <c r="AB53" i="31"/>
  <c r="AB377" i="31"/>
  <c r="AB147" i="31"/>
  <c r="AB222" i="31"/>
  <c r="AA37" i="31"/>
  <c r="AB457" i="31"/>
  <c r="AA393" i="31"/>
  <c r="AA152" i="31"/>
  <c r="AA496" i="31"/>
  <c r="AA450" i="31"/>
  <c r="AB320" i="31"/>
  <c r="AB311" i="31"/>
  <c r="AB321" i="31"/>
  <c r="AB459" i="31"/>
  <c r="AB364" i="31"/>
  <c r="AB430" i="31"/>
  <c r="AB139" i="31"/>
  <c r="AB196" i="31"/>
  <c r="AB183" i="31"/>
  <c r="AB446" i="31"/>
  <c r="AB209" i="31"/>
  <c r="AB115" i="31"/>
  <c r="AA365" i="31"/>
  <c r="AB451" i="31"/>
  <c r="AA59" i="31"/>
  <c r="AB248" i="31"/>
  <c r="AA254" i="31"/>
  <c r="AB51" i="31"/>
  <c r="AA303" i="31"/>
  <c r="AA445" i="31"/>
  <c r="AB48" i="31"/>
  <c r="AB376" i="31"/>
  <c r="AA158" i="31"/>
  <c r="AA487" i="31"/>
  <c r="AB201" i="31"/>
  <c r="AA124" i="31"/>
  <c r="AB149" i="31"/>
  <c r="AA181" i="31"/>
  <c r="AB531" i="31"/>
  <c r="AA127" i="31"/>
  <c r="AA168" i="31"/>
  <c r="AB388" i="31"/>
  <c r="AA285" i="31"/>
  <c r="AA323" i="31"/>
  <c r="AA343" i="31"/>
  <c r="AB465" i="31"/>
  <c r="AA366" i="31"/>
  <c r="AB463" i="31"/>
  <c r="AB235" i="31"/>
  <c r="AB441" i="31"/>
  <c r="AA356" i="31"/>
  <c r="AB493" i="31"/>
  <c r="AB175" i="31"/>
  <c r="AA129" i="31"/>
  <c r="AB236" i="31"/>
  <c r="AB474" i="31"/>
  <c r="AA449" i="31"/>
  <c r="AB308" i="31"/>
  <c r="AB504" i="31"/>
  <c r="AA346" i="31"/>
  <c r="AA280" i="31"/>
  <c r="AA347" i="31"/>
  <c r="AA421" i="31"/>
  <c r="AB215" i="31"/>
  <c r="AB495" i="31"/>
  <c r="AB492" i="31"/>
  <c r="AA233" i="31"/>
  <c r="AB435" i="31"/>
  <c r="AA526" i="31"/>
  <c r="AA390" i="31"/>
  <c r="AA373" i="31"/>
  <c r="AA415" i="31"/>
  <c r="AA352" i="31"/>
  <c r="AB251" i="31"/>
  <c r="AB466" i="31"/>
  <c r="AA512" i="31"/>
  <c r="AA391" i="31"/>
  <c r="AA434" i="31"/>
  <c r="AA273" i="31"/>
  <c r="AA387" i="31"/>
  <c r="AB85" i="31"/>
  <c r="AB523" i="31"/>
  <c r="AA192" i="31"/>
  <c r="AB460" i="31"/>
  <c r="AA258" i="31"/>
  <c r="AA389" i="31"/>
  <c r="AA278" i="31"/>
  <c r="AA409" i="31"/>
  <c r="AA301" i="31"/>
  <c r="AB213" i="31"/>
  <c r="AA360" i="31"/>
  <c r="AB381" i="31"/>
  <c r="AB437" i="31"/>
  <c r="AA186" i="31"/>
  <c r="AB163" i="31"/>
  <c r="AB520" i="31"/>
  <c r="AB207" i="31"/>
  <c r="AB494" i="31"/>
  <c r="AB188" i="31"/>
  <c r="AB136" i="31"/>
  <c r="AA279" i="31"/>
  <c r="AA405" i="31"/>
  <c r="AB402" i="31"/>
  <c r="AA419" i="31"/>
  <c r="AA422" i="31"/>
  <c r="AA516" i="31"/>
  <c r="AA314" i="31"/>
  <c r="AB95" i="31"/>
  <c r="AA401" i="31"/>
  <c r="AA350" i="31"/>
  <c r="AB191" i="31"/>
  <c r="AB510" i="31"/>
  <c r="AA525" i="31"/>
  <c r="AB269" i="31"/>
  <c r="AB411" i="31"/>
  <c r="AB351" i="31"/>
  <c r="AA344" i="31"/>
  <c r="AA370" i="31"/>
  <c r="AA293" i="31"/>
  <c r="AA160" i="31"/>
  <c r="AB287" i="31"/>
  <c r="AB439" i="31"/>
  <c r="AA218" i="31"/>
  <c r="AA454" i="31"/>
  <c r="AA219" i="31"/>
  <c r="AA528" i="31"/>
  <c r="AA302" i="31"/>
  <c r="AB444" i="31"/>
  <c r="AB371" i="31"/>
  <c r="AA205" i="31"/>
  <c r="AA399" i="31"/>
  <c r="AB517" i="31"/>
  <c r="AA261" i="31"/>
  <c r="AA407" i="31"/>
  <c r="AB257" i="31"/>
  <c r="AB431" i="31"/>
  <c r="AB275" i="31"/>
  <c r="AB341" i="31"/>
  <c r="AB482" i="31"/>
  <c r="AB238" i="31"/>
  <c r="AB416" i="31"/>
  <c r="AA306" i="31"/>
  <c r="AB345" i="31"/>
  <c r="AB340" i="31"/>
  <c r="AB50" i="31"/>
  <c r="AB114" i="31"/>
  <c r="AB66" i="31"/>
  <c r="AA210" i="31"/>
  <c r="AA400" i="31"/>
  <c r="AB265" i="31"/>
  <c r="AA333" i="31"/>
  <c r="AA249" i="31"/>
  <c r="AA334" i="31"/>
  <c r="AA472" i="31"/>
  <c r="AB426" i="31"/>
  <c r="AA325" i="31"/>
  <c r="AB448" i="31"/>
  <c r="AB456" i="31"/>
  <c r="AB529" i="31"/>
  <c r="AA330" i="31"/>
  <c r="AA412" i="31"/>
  <c r="AB506" i="31"/>
  <c r="AB153" i="31"/>
  <c r="AB281" i="31"/>
  <c r="AA464" i="31"/>
  <c r="AA509" i="31"/>
  <c r="AB527" i="31"/>
  <c r="AB145" i="31"/>
  <c r="AA304" i="31"/>
  <c r="AA143" i="31"/>
  <c r="AA363" i="31"/>
  <c r="AB335" i="31"/>
  <c r="AA348" i="31"/>
  <c r="AB286" i="31"/>
  <c r="AB458" i="31"/>
  <c r="AB384" i="31"/>
  <c r="AA519" i="31"/>
  <c r="AA475" i="31"/>
  <c r="AA172" i="31"/>
  <c r="AA167" i="31"/>
  <c r="AA98" i="31"/>
  <c r="AB299" i="31"/>
  <c r="AB486" i="31"/>
  <c r="AB177" i="31"/>
  <c r="AB452" i="31"/>
  <c r="AA231" i="31"/>
  <c r="AA318" i="31"/>
  <c r="AA228" i="31"/>
  <c r="AB485" i="31"/>
  <c r="AA521" i="31"/>
  <c r="AA237" i="31"/>
  <c r="AA313" i="31"/>
  <c r="AB424" i="31"/>
  <c r="AB288" i="31"/>
  <c r="AB296" i="31"/>
  <c r="AA268" i="31"/>
  <c r="AB217" i="31"/>
  <c r="AB297" i="31"/>
  <c r="AA69" i="31"/>
  <c r="AB500" i="31"/>
  <c r="AA507" i="31"/>
  <c r="K25" i="31"/>
  <c r="AA511" i="31"/>
  <c r="AB211" i="31"/>
  <c r="AA176" i="31"/>
  <c r="AA292" i="31"/>
  <c r="AA229" i="31"/>
  <c r="AA328" i="31"/>
  <c r="AB272" i="31"/>
  <c r="AA383" i="31"/>
  <c r="AA443" i="31"/>
  <c r="AB263" i="31"/>
  <c r="AA385" i="31"/>
  <c r="AB295" i="31"/>
  <c r="AB438" i="31"/>
  <c r="AB522" i="31"/>
  <c r="AA256" i="31"/>
  <c r="AA395" i="31"/>
  <c r="AB469" i="31"/>
  <c r="AA82" i="31"/>
  <c r="AA224" i="31"/>
  <c r="AB369" i="31"/>
  <c r="AA239" i="31"/>
  <c r="AA100" i="31"/>
  <c r="AA329" i="31"/>
  <c r="AA154" i="31"/>
  <c r="AB453" i="31"/>
  <c r="AB198" i="31"/>
  <c r="AB130" i="31"/>
  <c r="AA386" i="31"/>
  <c r="AB240" i="31"/>
  <c r="AA245" i="31"/>
  <c r="AA497" i="31"/>
  <c r="AA262" i="31"/>
  <c r="AA241" i="31"/>
  <c r="AA404" i="31"/>
  <c r="AA483" i="31"/>
  <c r="AB498" i="31"/>
  <c r="AB132" i="31"/>
  <c r="AA230" i="31"/>
  <c r="AC32" i="31"/>
  <c r="AD98" i="31" s="1"/>
  <c r="AB480" i="31"/>
  <c r="AA484" i="31"/>
  <c r="AB270" i="31"/>
  <c r="AB423" i="31"/>
  <c r="J25" i="31"/>
  <c r="H25" i="31"/>
  <c r="G25" i="31"/>
  <c r="I25" i="31"/>
  <c r="F25" i="31"/>
  <c r="AD182" i="31" l="1"/>
  <c r="AD196" i="31"/>
  <c r="AD280" i="31"/>
  <c r="AD36" i="31"/>
  <c r="AD246" i="31"/>
  <c r="AD513" i="31"/>
  <c r="AD233" i="31"/>
  <c r="AD472" i="31"/>
  <c r="AD249" i="31"/>
  <c r="AD386" i="31"/>
  <c r="AD261" i="31"/>
  <c r="AD201" i="31"/>
  <c r="AD344" i="31"/>
  <c r="AD486" i="31"/>
  <c r="AD214" i="31"/>
  <c r="AD108" i="31"/>
  <c r="AD64" i="31"/>
  <c r="AD44" i="31"/>
  <c r="AD89" i="31"/>
  <c r="AD528" i="31"/>
  <c r="AD216" i="31"/>
  <c r="AD393" i="31"/>
  <c r="AD227" i="31"/>
  <c r="AD333" i="31"/>
  <c r="AD162" i="31"/>
  <c r="AD462" i="31"/>
  <c r="AD255" i="31"/>
  <c r="AD368" i="31"/>
  <c r="AD119" i="31"/>
  <c r="AD179" i="31"/>
  <c r="AD40" i="31"/>
  <c r="AD355" i="31"/>
  <c r="AD314" i="31"/>
  <c r="AD59" i="31"/>
  <c r="AD198" i="31"/>
  <c r="AD247" i="31"/>
  <c r="AD334" i="31"/>
  <c r="AD207" i="31"/>
  <c r="AD353" i="31"/>
  <c r="AD112" i="31"/>
  <c r="AD91" i="31"/>
  <c r="AD300" i="31"/>
  <c r="AD126" i="31"/>
  <c r="AD226" i="31"/>
  <c r="AD329" i="31"/>
  <c r="AD168" i="31"/>
  <c r="AD444" i="31"/>
  <c r="AD460" i="31"/>
  <c r="AD359" i="31"/>
  <c r="AD191" i="31"/>
  <c r="AD117" i="31"/>
  <c r="AD416" i="31"/>
  <c r="AD327" i="31"/>
  <c r="AD490" i="31"/>
  <c r="AD152" i="31"/>
  <c r="AD61" i="31"/>
  <c r="AD474" i="31"/>
  <c r="AD440" i="31"/>
  <c r="AD463" i="31"/>
  <c r="AD199" i="31"/>
  <c r="AD501" i="31"/>
  <c r="AD385" i="31"/>
  <c r="AD128" i="31"/>
  <c r="AD390" i="31"/>
  <c r="AD228" i="31"/>
  <c r="AD32" i="31"/>
  <c r="AD102" i="31"/>
  <c r="AD387" i="31"/>
  <c r="AD448" i="31"/>
  <c r="AD206" i="31"/>
  <c r="AD254" i="31"/>
  <c r="AD396" i="31"/>
  <c r="AD159" i="31"/>
  <c r="AD492" i="31"/>
  <c r="AD257" i="31"/>
  <c r="AD130" i="31"/>
  <c r="AD301" i="31"/>
  <c r="AD92" i="31"/>
  <c r="AD499" i="31"/>
  <c r="AD391" i="31"/>
  <c r="AD379" i="31"/>
  <c r="AD155" i="31"/>
  <c r="AD297" i="31"/>
  <c r="AD133" i="31"/>
  <c r="AD341" i="31"/>
  <c r="AD502" i="31"/>
  <c r="AD149" i="31"/>
  <c r="AD426" i="31"/>
  <c r="AD269" i="31"/>
  <c r="AD408" i="31"/>
  <c r="AD350" i="31"/>
  <c r="AD85" i="31"/>
  <c r="AD354" i="31"/>
  <c r="AD69" i="31"/>
  <c r="AD481" i="31"/>
  <c r="AD147" i="31"/>
  <c r="AD104" i="31"/>
  <c r="AD458" i="31"/>
  <c r="AD456" i="31"/>
  <c r="AD195" i="31"/>
  <c r="AD485" i="31"/>
  <c r="AD208" i="31"/>
  <c r="AD237" i="31"/>
  <c r="AD264" i="31"/>
  <c r="AD265" i="31"/>
  <c r="AD132" i="31"/>
  <c r="AD122" i="31"/>
  <c r="AD307" i="31"/>
  <c r="AD503" i="31"/>
  <c r="AD231" i="31"/>
  <c r="AD58" i="31"/>
  <c r="AD506" i="31"/>
  <c r="AD114" i="31"/>
  <c r="AD243" i="31"/>
  <c r="AD479" i="31"/>
  <c r="AD449" i="31"/>
  <c r="AD464" i="31"/>
  <c r="AD160" i="31"/>
  <c r="AD332" i="31"/>
  <c r="AD72" i="31"/>
  <c r="AD274" i="31"/>
  <c r="AD210" i="31"/>
  <c r="AD465" i="31"/>
  <c r="AD515" i="31"/>
  <c r="AD225" i="31"/>
  <c r="AD45" i="31"/>
  <c r="AD338" i="31"/>
  <c r="AD412" i="31"/>
  <c r="AD136" i="31"/>
  <c r="AD47" i="31"/>
  <c r="AD174" i="31"/>
  <c r="AD215" i="31"/>
  <c r="AD94" i="31"/>
  <c r="AD53" i="31"/>
  <c r="AD324" i="31"/>
  <c r="AD319" i="31"/>
  <c r="AD362" i="31"/>
  <c r="AD79" i="31"/>
  <c r="AD107" i="31"/>
  <c r="AD129" i="31"/>
  <c r="AD124" i="31"/>
  <c r="AD171" i="31"/>
  <c r="AD482" i="31"/>
  <c r="AD459" i="31"/>
  <c r="AD150" i="31"/>
  <c r="AD414" i="31"/>
  <c r="AD343" i="31"/>
  <c r="AD232" i="31"/>
  <c r="AD352" i="31"/>
  <c r="AD116" i="31"/>
  <c r="AD395" i="31"/>
  <c r="AD441" i="31"/>
  <c r="AD204" i="31"/>
  <c r="AD399" i="31"/>
  <c r="AD240" i="31"/>
  <c r="AD305" i="31"/>
  <c r="AD468" i="31"/>
  <c r="AD43" i="31"/>
  <c r="AD445" i="31"/>
  <c r="AD509" i="31"/>
  <c r="AD342" i="31"/>
  <c r="AD484" i="31"/>
  <c r="AD148" i="31"/>
  <c r="AD400" i="31"/>
  <c r="AD39" i="31"/>
  <c r="AD518" i="31"/>
  <c r="AD521" i="31"/>
  <c r="AD475" i="31"/>
  <c r="AD238" i="31"/>
  <c r="AD296" i="31"/>
  <c r="AD299" i="31"/>
  <c r="AD224" i="31"/>
  <c r="AD272" i="31"/>
  <c r="AD156" i="31"/>
  <c r="AD403" i="31"/>
  <c r="AD389" i="31"/>
  <c r="AD175" i="31"/>
  <c r="AD283" i="31"/>
  <c r="AD186" i="31"/>
  <c r="AD73" i="31"/>
  <c r="AD290" i="31"/>
  <c r="AD276" i="31"/>
  <c r="AD500" i="31"/>
  <c r="AD78" i="31"/>
  <c r="AD326" i="31"/>
  <c r="AD74" i="31"/>
  <c r="AD425" i="31"/>
  <c r="AD303" i="31"/>
  <c r="AD331" i="31"/>
  <c r="AD311" i="31"/>
  <c r="AD422" i="31"/>
  <c r="AD531" i="31"/>
  <c r="AD270" i="31"/>
  <c r="AD137" i="31"/>
  <c r="AD304" i="31"/>
  <c r="AD63" i="31"/>
  <c r="AD427" i="31"/>
  <c r="AD284" i="31"/>
  <c r="AD120" i="31"/>
  <c r="AD172" i="31"/>
  <c r="AD370" i="31"/>
  <c r="AD434" i="31"/>
  <c r="AD287" i="31"/>
  <c r="AD110" i="31"/>
  <c r="AD526" i="31"/>
  <c r="AD282" i="31"/>
  <c r="AD251" i="31"/>
  <c r="AD222" i="31"/>
  <c r="AD289" i="31"/>
  <c r="AD145" i="31"/>
  <c r="AD253" i="31"/>
  <c r="AD190" i="31"/>
  <c r="AD140" i="31"/>
  <c r="AD415" i="31"/>
  <c r="AD428" i="31"/>
  <c r="AD436" i="31"/>
  <c r="AD273" i="31"/>
  <c r="AD178" i="31"/>
  <c r="AD418" i="31"/>
  <c r="AD480" i="31"/>
  <c r="AD424" i="31"/>
  <c r="AD392" i="31"/>
  <c r="AD348" i="31"/>
  <c r="AD495" i="31"/>
  <c r="AD447" i="31"/>
  <c r="AD525" i="31"/>
  <c r="AD453" i="31"/>
  <c r="AD37" i="31"/>
  <c r="AD121" i="31"/>
  <c r="AD452" i="31"/>
  <c r="AD209" i="31"/>
  <c r="AD398" i="31"/>
  <c r="AD277" i="31"/>
  <c r="AD336" i="31"/>
  <c r="AD135" i="31"/>
  <c r="AD48" i="31"/>
  <c r="AD205" i="31"/>
  <c r="AD402" i="31"/>
  <c r="AD88" i="31"/>
  <c r="AD371" i="31"/>
  <c r="AD298" i="31"/>
  <c r="AD437" i="31"/>
  <c r="AD365" i="31"/>
  <c r="AD380" i="31"/>
  <c r="AD189" i="31"/>
  <c r="AD248" i="31"/>
  <c r="AD161" i="31"/>
  <c r="AD443" i="31"/>
  <c r="AD60" i="31"/>
  <c r="AD429" i="31"/>
  <c r="AD318" i="31"/>
  <c r="AD435" i="31"/>
  <c r="AD236" i="31"/>
  <c r="AD364" i="31"/>
  <c r="AD90" i="31"/>
  <c r="AD113" i="31"/>
  <c r="AD510" i="31"/>
  <c r="AD86" i="31"/>
  <c r="AD46" i="31"/>
  <c r="AD125" i="31"/>
  <c r="AD131" i="31"/>
  <c r="AD356" i="31"/>
  <c r="AD491" i="31"/>
  <c r="AD146" i="31"/>
  <c r="AD80" i="31"/>
  <c r="AD192" i="31"/>
  <c r="AD62" i="31"/>
  <c r="AD363" i="31"/>
  <c r="AD494" i="31"/>
  <c r="AD520" i="31"/>
  <c r="AD256" i="31"/>
  <c r="AD165" i="31"/>
  <c r="AD508" i="31"/>
  <c r="AD127" i="31"/>
  <c r="AD75" i="31"/>
  <c r="AD95" i="31"/>
  <c r="AD294" i="31"/>
  <c r="AD163" i="31"/>
  <c r="AD93" i="31"/>
  <c r="AD310" i="31"/>
  <c r="AD488" i="31"/>
  <c r="F26" i="31"/>
  <c r="AD193" i="31"/>
  <c r="AD291" i="31"/>
  <c r="AD381" i="31"/>
  <c r="AD384" i="31"/>
  <c r="AD382" i="31"/>
  <c r="AD306" i="31"/>
  <c r="AD439" i="31"/>
  <c r="AD118" i="31"/>
  <c r="AD292" i="31"/>
  <c r="AD109" i="31"/>
  <c r="AD366" i="31"/>
  <c r="AD101" i="31"/>
  <c r="AD138" i="31"/>
  <c r="AD267" i="31"/>
  <c r="AD266" i="31"/>
  <c r="AD309" i="31"/>
  <c r="AD258" i="31"/>
  <c r="AD321" i="31"/>
  <c r="AD170" i="31"/>
  <c r="AD302" i="31"/>
  <c r="AD52" i="31"/>
  <c r="AD177" i="31"/>
  <c r="AD375" i="31"/>
  <c r="AD259" i="31"/>
  <c r="AD372" i="31"/>
  <c r="AD388" i="31"/>
  <c r="AD123" i="31"/>
  <c r="AD446" i="31"/>
  <c r="AD242" i="31"/>
  <c r="AD315" i="31"/>
  <c r="AD406" i="31"/>
  <c r="AD404" i="31"/>
  <c r="AD71" i="31"/>
  <c r="AD239" i="31"/>
  <c r="AD483" i="31"/>
  <c r="AD419" i="31"/>
  <c r="AD512" i="31"/>
  <c r="AD511" i="31"/>
  <c r="AD278" i="31"/>
  <c r="AD77" i="31"/>
  <c r="AD476" i="31"/>
  <c r="AD141" i="31"/>
  <c r="AD410" i="31"/>
  <c r="AD313" i="31"/>
  <c r="AD478" i="31"/>
  <c r="AD524" i="31"/>
  <c r="AD219" i="31"/>
  <c r="AD100" i="31"/>
  <c r="AD337" i="31"/>
  <c r="AD527" i="31"/>
  <c r="AD505" i="31"/>
  <c r="AD401" i="31"/>
  <c r="AD275" i="31"/>
  <c r="AD38" i="31"/>
  <c r="AD487" i="31"/>
  <c r="AD405" i="31"/>
  <c r="AD308" i="31"/>
  <c r="AD325" i="31"/>
  <c r="AD346" i="31"/>
  <c r="AD413" i="31"/>
  <c r="AD42" i="31"/>
  <c r="AD244" i="31"/>
  <c r="AD504" i="31"/>
  <c r="AD180" i="31"/>
  <c r="AD451" i="31"/>
  <c r="AD407" i="31"/>
  <c r="AD217" i="31"/>
  <c r="AD376" i="31"/>
  <c r="AD519" i="31"/>
  <c r="AD65" i="31"/>
  <c r="AD33" i="31"/>
  <c r="AD34" i="31"/>
  <c r="AD423" i="31"/>
  <c r="AD67" i="31"/>
  <c r="AD99" i="31"/>
  <c r="AD66" i="31"/>
  <c r="AD432" i="31"/>
  <c r="AD220" i="31"/>
  <c r="AD212" i="31"/>
  <c r="AD271" i="31"/>
  <c r="AD411" i="31"/>
  <c r="AD397" i="31"/>
  <c r="AD139" i="31"/>
  <c r="AD49" i="31"/>
  <c r="AD51" i="31"/>
  <c r="AD176" i="31"/>
  <c r="AD360" i="31"/>
  <c r="AD347" i="31"/>
  <c r="AD477" i="31"/>
  <c r="AD181" i="31"/>
  <c r="AD158" i="31"/>
  <c r="AD316" i="31"/>
  <c r="AD339" i="31"/>
  <c r="AD378" i="31"/>
  <c r="AD461" i="31"/>
  <c r="AD234" i="31"/>
  <c r="AD497" i="31"/>
  <c r="AD433" i="31"/>
  <c r="AD322" i="31"/>
  <c r="AD430" i="31"/>
  <c r="AD250" i="31"/>
  <c r="AD230" i="31"/>
  <c r="AD241" i="31"/>
  <c r="AD279" i="31"/>
  <c r="AD70" i="31"/>
  <c r="AD223" i="31"/>
  <c r="AD466" i="31"/>
  <c r="AD317" i="31"/>
  <c r="AD473" i="31"/>
  <c r="AD373" i="31"/>
  <c r="AD142" i="31"/>
  <c r="AD167" i="31"/>
  <c r="AD157" i="31"/>
  <c r="AD211" i="31"/>
  <c r="AD409" i="31"/>
  <c r="AD450" i="31"/>
  <c r="AD417" i="31"/>
  <c r="AD218" i="31"/>
  <c r="AD245" i="31"/>
  <c r="AD377" i="31"/>
  <c r="AD345" i="31"/>
  <c r="AD529" i="31"/>
  <c r="AD262" i="31"/>
  <c r="AD84" i="31"/>
  <c r="AD151" i="31"/>
  <c r="AD202" i="31"/>
  <c r="AD358" i="31"/>
  <c r="AD194" i="31"/>
  <c r="AD357" i="31"/>
  <c r="AD288" i="31"/>
  <c r="AD87" i="31"/>
  <c r="AD187" i="31"/>
  <c r="AD489" i="31"/>
  <c r="AD295" i="31"/>
  <c r="AD144" i="31"/>
  <c r="AD173" i="31"/>
  <c r="AD323" i="31"/>
  <c r="AD166" i="31"/>
  <c r="AD431" i="31"/>
  <c r="AD493" i="31"/>
  <c r="AD394" i="31"/>
  <c r="AD330" i="31"/>
  <c r="AD229" i="31"/>
  <c r="AD169" i="31"/>
  <c r="AD55" i="31"/>
  <c r="AD455" i="31"/>
  <c r="AD268" i="31"/>
  <c r="AD469" i="31"/>
  <c r="AD184" i="31"/>
  <c r="AD285" i="31"/>
  <c r="AD328" i="31"/>
  <c r="AD367" i="31"/>
  <c r="AD454" i="31"/>
  <c r="AD442" i="31"/>
  <c r="AD115" i="31"/>
  <c r="AD516" i="31"/>
  <c r="AD517" i="31"/>
  <c r="AD183" i="31"/>
  <c r="AD35" i="31"/>
  <c r="AD203" i="31"/>
  <c r="AD281" i="31"/>
  <c r="AD106" i="31"/>
  <c r="AD134" i="31"/>
  <c r="AD471" i="31"/>
  <c r="AD200" i="31"/>
  <c r="AD96" i="31"/>
  <c r="AD50" i="31"/>
  <c r="AD293" i="31"/>
  <c r="AD467" i="31"/>
  <c r="AD97" i="31"/>
  <c r="AD470" i="31"/>
  <c r="AD374" i="31"/>
  <c r="AD498" i="31"/>
  <c r="AD221" i="31"/>
  <c r="AD351" i="31"/>
  <c r="AD369" i="31"/>
  <c r="AD105" i="31"/>
  <c r="AD260" i="31"/>
  <c r="AD496" i="31"/>
  <c r="AD111" i="31"/>
  <c r="AD340" i="31"/>
  <c r="AD154" i="31"/>
  <c r="AD185" i="31"/>
  <c r="AD197" i="31"/>
  <c r="AD349" i="31"/>
  <c r="AD286" i="31"/>
  <c r="AD54" i="31"/>
  <c r="AD143" i="31"/>
  <c r="AD41" i="31"/>
  <c r="AD361" i="31"/>
  <c r="AD263" i="31"/>
  <c r="AD82" i="31"/>
  <c r="AD522" i="31"/>
  <c r="AD76" i="31"/>
  <c r="AD188" i="31"/>
  <c r="AD153" i="31"/>
  <c r="AD312" i="31"/>
  <c r="AD523" i="31"/>
  <c r="AD56" i="31"/>
  <c r="AD252" i="31"/>
  <c r="AD320" i="31"/>
  <c r="AD57" i="31"/>
  <c r="AD103" i="31"/>
  <c r="AD457" i="31"/>
  <c r="AD420" i="31"/>
  <c r="AD83" i="31"/>
  <c r="AD507" i="31"/>
  <c r="AD383" i="31"/>
  <c r="AD438" i="31"/>
  <c r="AD335" i="31"/>
  <c r="AD164" i="31"/>
  <c r="AD530" i="31"/>
  <c r="AD68" i="31"/>
  <c r="AD421" i="31"/>
  <c r="AD81" i="31"/>
  <c r="AD213" i="31"/>
  <c r="AD514" i="31"/>
  <c r="AD235" i="31"/>
  <c r="W25" i="31"/>
  <c r="F27" i="3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<sst xmlns="http://schemas.openxmlformats.org/spreadsheetml/2006/main" count="67" uniqueCount="60">
  <si>
    <t>EXPERIMENTAL</t>
  </si>
  <si>
    <t>time (t)</t>
  </si>
  <si>
    <t>I(t)</t>
  </si>
  <si>
    <t>SUMS</t>
  </si>
  <si>
    <t>THEORETICAL</t>
  </si>
  <si>
    <t>Itot</t>
  </si>
  <si>
    <t>(EXPER. - THEOR.)^2</t>
  </si>
  <si>
    <t>FOM(%)</t>
  </si>
  <si>
    <t>z1</t>
  </si>
  <si>
    <t>z2</t>
  </si>
  <si>
    <t>z3</t>
  </si>
  <si>
    <t>R</t>
  </si>
  <si>
    <t>#1</t>
  </si>
  <si>
    <t>#2</t>
  </si>
  <si>
    <t>#3</t>
  </si>
  <si>
    <t>#4</t>
  </si>
  <si>
    <t>#5</t>
  </si>
  <si>
    <t>parameters</t>
  </si>
  <si>
    <t>COMPONENTS</t>
  </si>
  <si>
    <t>z4</t>
  </si>
  <si>
    <t>z5</t>
  </si>
  <si>
    <t>W(e^z1)</t>
  </si>
  <si>
    <t>W(e^z2)</t>
  </si>
  <si>
    <t>W(e^z3)</t>
  </si>
  <si>
    <t>W(e^z4)</t>
  </si>
  <si>
    <t>W(e^z5)</t>
  </si>
  <si>
    <t>I1</t>
  </si>
  <si>
    <t>I2</t>
  </si>
  <si>
    <t>I3</t>
  </si>
  <si>
    <t>I4</t>
  </si>
  <si>
    <t>I5</t>
  </si>
  <si>
    <t>DATA</t>
  </si>
  <si>
    <t>LM-OSL fitting with Lambert Wo function</t>
  </si>
  <si>
    <t>P</t>
  </si>
  <si>
    <t>backround</t>
  </si>
  <si>
    <t>© adamiani</t>
  </si>
  <si>
    <t>Afit</t>
  </si>
  <si>
    <t>FOM</t>
  </si>
  <si>
    <t>Least squares</t>
  </si>
  <si>
    <t>background</t>
  </si>
  <si>
    <t>Im</t>
  </si>
  <si>
    <t>tm</t>
  </si>
  <si>
    <t>z1m</t>
  </si>
  <si>
    <t>z2m</t>
  </si>
  <si>
    <t>z3m</t>
  </si>
  <si>
    <t>z4m</t>
  </si>
  <si>
    <t>z5m</t>
  </si>
  <si>
    <t>W(z1m)</t>
  </si>
  <si>
    <t>W(z2m)</t>
  </si>
  <si>
    <t>W(z3m)</t>
  </si>
  <si>
    <t>W(z4m)</t>
  </si>
  <si>
    <t>W(z5m)</t>
  </si>
  <si>
    <t>(EXPER.-THER.)</t>
  </si>
  <si>
    <t>Iph</t>
  </si>
  <si>
    <t>λ</t>
  </si>
  <si>
    <t>Phos</t>
  </si>
  <si>
    <t>Contribution (%)</t>
  </si>
  <si>
    <t>FLM-OSL</t>
  </si>
  <si>
    <t>τ</t>
  </si>
  <si>
    <t>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</si>
</sst>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8"/>
      <color theme="3"/>
      <name val="Cambria"/>
      <family val="2"/>
      <charset val="161"/>
      <scheme val="major"/>
    </font>
    <font>
      <b/>
      <sz val="15"/>
      <color theme="3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rgb="FF006100"/>
      <name val="Calibri"/>
      <family val="2"/>
      <charset val="161"/>
      <scheme val="minor"/>
    </font>
    <font>
      <sz val="11"/>
      <color rgb="FF9C0006"/>
      <name val="Calibri"/>
      <family val="2"/>
      <charset val="161"/>
      <scheme val="minor"/>
    </font>
    <font>
      <sz val="11"/>
      <color rgb="FF9C6500"/>
      <name val="Calibri"/>
      <family val="2"/>
      <charset val="161"/>
      <scheme val="minor"/>
    </font>
    <font>
      <sz val="11"/>
      <color rgb="FF3F3F76"/>
      <name val="Calibri"/>
      <family val="2"/>
      <charset val="161"/>
      <scheme val="minor"/>
    </font>
    <font>
      <b/>
      <sz val="11"/>
      <color rgb="FF3F3F3F"/>
      <name val="Calibri"/>
      <family val="2"/>
      <charset val="161"/>
      <scheme val="minor"/>
    </font>
    <font>
      <b/>
      <sz val="11"/>
      <color rgb="FFFA7D00"/>
      <name val="Calibri"/>
      <family val="2"/>
      <charset val="161"/>
      <scheme val="minor"/>
    </font>
    <font>
      <sz val="11"/>
      <color rgb="FFFA7D00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i/>
      <sz val="11"/>
      <color rgb="FF7F7F7F"/>
      <name val="Calibri"/>
      <family val="2"/>
      <charset val="161"/>
      <scheme val="minor"/>
    </font>
    <font>
      <sz val="11"/>
      <color theme="0"/>
      <name val="Calibri"/>
      <family val="2"/>
      <charset val="161"/>
      <scheme val="minor"/>
    </font>
    <font>
      <sz val="11"/>
      <name val="Calibri"/>
      <family val="2"/>
      <charset val="161"/>
      <scheme val="minor"/>
    </font>
    <font>
      <sz val="11"/>
      <color rgb="FFC00000"/>
      <name val="Calibri"/>
      <family val="2"/>
      <charset val="161"/>
      <scheme val="minor"/>
    </font>
    <font>
      <b/>
      <sz val="14"/>
      <color rgb="FFC00000"/>
      <name val="Calibri"/>
      <family val="2"/>
      <charset val="161"/>
      <scheme val="minor"/>
    </font>
    <font>
      <b/>
      <sz val="11"/>
      <color rgb="FFC00000"/>
      <name val="Calibri"/>
      <family val="2"/>
      <charset val="161"/>
      <scheme val="minor"/>
    </font>
    <font>
      <b/>
      <i/>
      <sz val="11"/>
      <color theme="1"/>
      <name val="Calibri"/>
      <family val="2"/>
      <charset val="161"/>
      <scheme val="minor"/>
    </font>
    <font>
      <b/>
      <i/>
      <sz val="10"/>
      <color theme="1"/>
      <name val="Calibri"/>
      <family val="2"/>
      <charset val="161"/>
      <scheme val="minor"/>
    </font>
    <font>
      <sz val="12"/>
      <color theme="1"/>
      <name val="Calibri"/>
      <family val="2"/>
      <charset val="161"/>
      <scheme val="minor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9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2" fillId="0" borderId="0" applyNumberFormat="0" applyFill="0" applyBorder="0" applyAlignment="0" applyProtection="0"/>
    <xf numFmtId="0" fontId="3" fillId="9" borderId="8" applyNumberFormat="0" applyFont="0" applyAlignment="0" applyProtection="0"/>
    <xf numFmtId="0" fontId="16" fillId="0" borderId="0" applyNumberFormat="0" applyFill="0" applyBorder="0" applyAlignment="0" applyProtection="0"/>
    <xf numFmtId="0" fontId="1" fillId="0" borderId="9" applyNumberFormat="0" applyFill="0" applyAlignment="0" applyProtection="0"/>
    <xf numFmtId="0" fontId="17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7" fillId="21" borderId="0" applyNumberFormat="0" applyBorder="0" applyAlignment="0" applyProtection="0"/>
    <xf numFmtId="0" fontId="17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17" fillId="33" borderId="0" applyNumberFormat="0" applyBorder="0" applyAlignment="0" applyProtection="0"/>
  </cellStyleXfs>
  <cellXfs count="35">
    <xf numFmtId="0" fontId="0" fillId="0" borderId="0" xfId="0"/>
    <xf numFmtId="0" fontId="20" fillId="2" borderId="0" xfId="0" applyFont="1" applyFill="1" applyAlignment="1" applyProtection="1"/>
    <xf numFmtId="0" fontId="0" fillId="2" borderId="0" xfId="0" applyFill="1" applyProtection="1"/>
    <xf numFmtId="0" fontId="0" fillId="0" borderId="0" xfId="0" applyProtection="1"/>
    <xf numFmtId="0" fontId="0" fillId="36" borderId="0" xfId="0" applyFill="1" applyProtection="1"/>
    <xf numFmtId="0" fontId="1" fillId="0" borderId="0" xfId="0" applyFont="1" applyProtection="1"/>
    <xf numFmtId="0" fontId="24" fillId="2" borderId="0" xfId="0" applyFont="1" applyFill="1" applyProtection="1"/>
    <xf numFmtId="0" fontId="1" fillId="0" borderId="0" xfId="0" applyFont="1" applyFill="1" applyAlignment="1" applyProtection="1">
      <alignment horizontal="center"/>
    </xf>
    <xf numFmtId="0" fontId="1" fillId="0" borderId="0" xfId="0" applyFont="1" applyFill="1" applyAlignment="1" applyProtection="1"/>
    <xf numFmtId="0" fontId="23" fillId="36" borderId="0" xfId="0" applyFont="1" applyFill="1" applyAlignment="1" applyProtection="1">
      <alignment horizontal="right"/>
    </xf>
    <xf numFmtId="0" fontId="22" fillId="36" borderId="0" xfId="0" applyFont="1" applyFill="1" applyAlignment="1" applyProtection="1">
      <alignment horizontal="center"/>
    </xf>
    <xf numFmtId="0" fontId="22" fillId="0" borderId="0" xfId="0" applyFont="1" applyFill="1" applyAlignment="1" applyProtection="1">
      <alignment horizontal="center"/>
    </xf>
    <xf numFmtId="0" fontId="1" fillId="0" borderId="0" xfId="0" applyFont="1" applyAlignment="1" applyProtection="1">
      <alignment horizontal="right"/>
    </xf>
    <xf numFmtId="0" fontId="21" fillId="0" borderId="0" xfId="0" applyFont="1" applyAlignment="1" applyProtection="1">
      <alignment horizontal="right"/>
    </xf>
    <xf numFmtId="0" fontId="0" fillId="0" borderId="0" xfId="0" applyFill="1" applyProtection="1"/>
    <xf numFmtId="0" fontId="18" fillId="0" borderId="0" xfId="0" applyFont="1" applyAlignment="1" applyProtection="1">
      <alignment horizontal="right"/>
    </xf>
    <xf numFmtId="49" fontId="1" fillId="0" borderId="0" xfId="0" applyNumberFormat="1" applyFont="1" applyAlignment="1" applyProtection="1">
      <alignment horizontal="center"/>
    </xf>
    <xf numFmtId="0" fontId="0" fillId="0" borderId="0" xfId="0" applyAlignment="1" applyProtection="1">
      <alignment horizontal="right"/>
    </xf>
    <xf numFmtId="0" fontId="19" fillId="0" borderId="0" xfId="0" applyFont="1" applyAlignment="1" applyProtection="1">
      <alignment horizontal="center"/>
    </xf>
    <xf numFmtId="0" fontId="0" fillId="35" borderId="0" xfId="0" applyFill="1" applyProtection="1"/>
    <xf numFmtId="0" fontId="1" fillId="0" borderId="0" xfId="0" applyFont="1" applyAlignment="1" applyProtection="1">
      <alignment horizontal="center"/>
    </xf>
    <xf numFmtId="0" fontId="0" fillId="34" borderId="0" xfId="0" applyFill="1" applyProtection="1"/>
    <xf numFmtId="0" fontId="0" fillId="34" borderId="0" xfId="0" applyFill="1"/>
    <xf numFmtId="0" fontId="26" fillId="37" borderId="0" xfId="0" applyFont="1" applyFill="1" applyAlignment="1" applyProtection="1">
      <alignment horizontal="right"/>
    </xf>
    <xf numFmtId="0" fontId="26" fillId="37" borderId="0" xfId="0" applyFont="1" applyFill="1" applyProtection="1"/>
    <xf numFmtId="0" fontId="25" fillId="38" borderId="0" xfId="0" applyFont="1" applyFill="1" applyAlignment="1" applyProtection="1">
      <alignment horizontal="right"/>
    </xf>
    <xf numFmtId="0" fontId="25" fillId="38" borderId="0" xfId="0" applyFont="1" applyFill="1" applyProtection="1"/>
    <xf numFmtId="0" fontId="2" fillId="38" borderId="0" xfId="0" applyFont="1" applyFill="1" applyProtection="1"/>
    <xf numFmtId="0" fontId="0" fillId="0" borderId="0" xfId="0" applyAlignment="1" applyProtection="1">
      <alignment horizontal="center"/>
    </xf>
    <xf numFmtId="0" fontId="27" fillId="0" borderId="0" xfId="0" applyFont="1" applyAlignment="1">
      <alignment horizontal="center"/>
    </xf>
    <xf numFmtId="0" fontId="22" fillId="39" borderId="0" xfId="0" applyFont="1" applyFill="1" applyAlignment="1" applyProtection="1">
      <alignment horizontal="center"/>
    </xf>
    <xf numFmtId="0" fontId="27" fillId="39" borderId="0" xfId="0" applyFont="1" applyFill="1" applyAlignment="1" applyProtection="1">
      <alignment horizontal="center"/>
    </xf>
    <xf numFmtId="0" fontId="23" fillId="0" borderId="0" xfId="0" applyFont="1" applyAlignment="1" applyProtection="1">
      <alignment horizontal="center"/>
    </xf>
    <xf numFmtId="0" fontId="1" fillId="2" borderId="0" xfId="0" applyFont="1" applyFill="1" applyAlignment="1" applyProtection="1">
      <alignment horizontal="center"/>
    </xf>
    <xf numFmtId="0" fontId="1" fillId="36" borderId="0" xfId="0" applyFont="1" applyFill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FFFF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49795769030798"/>
          <c:y val="2.3130877028702954E-2"/>
          <c:w val="0.64397450434123171"/>
          <c:h val="0.84658189373941439"/>
        </c:manualLayout>
      </c:layout>
      <c:scatterChart>
        <c:scatterStyle val="lineMarker"/>
        <c:varyColors val="0"/>
        <c:ser>
          <c:idx val="0"/>
          <c:order val="0"/>
          <c:tx>
            <c:v>Experimental</c:v>
          </c:tx>
          <c:spPr>
            <a:ln w="28575">
              <a:noFill/>
            </a:ln>
          </c:spPr>
          <c:marker>
            <c:symbol val="circle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'LM-OSL'!$C$32:$C$1031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</c:numCache>
            </c:numRef>
          </c:xVal>
          <c:yVal>
            <c:numRef>
              <c:f>'LM-OSL'!$D$32:$D$1031</c:f>
              <c:numCache>
                <c:formatCode>General</c:formatCode>
                <c:ptCount val="1000"/>
                <c:pt idx="0">
                  <c:v>9133</c:v>
                </c:pt>
                <c:pt idx="1">
                  <c:v>20200</c:v>
                </c:pt>
                <c:pt idx="2">
                  <c:v>30377</c:v>
                </c:pt>
                <c:pt idx="3">
                  <c:v>38104</c:v>
                </c:pt>
                <c:pt idx="4">
                  <c:v>43662</c:v>
                </c:pt>
                <c:pt idx="5">
                  <c:v>47562</c:v>
                </c:pt>
                <c:pt idx="6">
                  <c:v>50290</c:v>
                </c:pt>
                <c:pt idx="7">
                  <c:v>51794</c:v>
                </c:pt>
                <c:pt idx="8">
                  <c:v>51927</c:v>
                </c:pt>
                <c:pt idx="9">
                  <c:v>50938</c:v>
                </c:pt>
                <c:pt idx="10">
                  <c:v>49954</c:v>
                </c:pt>
                <c:pt idx="11">
                  <c:v>48081</c:v>
                </c:pt>
                <c:pt idx="12">
                  <c:v>45731</c:v>
                </c:pt>
                <c:pt idx="13">
                  <c:v>43408</c:v>
                </c:pt>
                <c:pt idx="14">
                  <c:v>40659</c:v>
                </c:pt>
                <c:pt idx="15">
                  <c:v>37558</c:v>
                </c:pt>
                <c:pt idx="16">
                  <c:v>35295</c:v>
                </c:pt>
                <c:pt idx="17">
                  <c:v>32789</c:v>
                </c:pt>
                <c:pt idx="18">
                  <c:v>29994</c:v>
                </c:pt>
                <c:pt idx="19">
                  <c:v>27954</c:v>
                </c:pt>
                <c:pt idx="20">
                  <c:v>25950</c:v>
                </c:pt>
                <c:pt idx="21">
                  <c:v>23882</c:v>
                </c:pt>
                <c:pt idx="22">
                  <c:v>21911</c:v>
                </c:pt>
                <c:pt idx="23">
                  <c:v>20310</c:v>
                </c:pt>
                <c:pt idx="24">
                  <c:v>18574</c:v>
                </c:pt>
                <c:pt idx="25">
                  <c:v>17483</c:v>
                </c:pt>
                <c:pt idx="26">
                  <c:v>16209</c:v>
                </c:pt>
                <c:pt idx="27">
                  <c:v>15088</c:v>
                </c:pt>
                <c:pt idx="28">
                  <c:v>13862</c:v>
                </c:pt>
                <c:pt idx="29">
                  <c:v>13025</c:v>
                </c:pt>
                <c:pt idx="30">
                  <c:v>12248</c:v>
                </c:pt>
                <c:pt idx="31">
                  <c:v>11524</c:v>
                </c:pt>
                <c:pt idx="32">
                  <c:v>10872</c:v>
                </c:pt>
                <c:pt idx="33">
                  <c:v>10314</c:v>
                </c:pt>
                <c:pt idx="34">
                  <c:v>9750</c:v>
                </c:pt>
                <c:pt idx="35">
                  <c:v>9423</c:v>
                </c:pt>
                <c:pt idx="36">
                  <c:v>8749</c:v>
                </c:pt>
                <c:pt idx="37">
                  <c:v>8524</c:v>
                </c:pt>
                <c:pt idx="38">
                  <c:v>8209</c:v>
                </c:pt>
                <c:pt idx="39">
                  <c:v>7799</c:v>
                </c:pt>
                <c:pt idx="40">
                  <c:v>7530</c:v>
                </c:pt>
                <c:pt idx="41">
                  <c:v>7408</c:v>
                </c:pt>
                <c:pt idx="42">
                  <c:v>7296</c:v>
                </c:pt>
                <c:pt idx="43">
                  <c:v>7043</c:v>
                </c:pt>
                <c:pt idx="44">
                  <c:v>6825</c:v>
                </c:pt>
                <c:pt idx="45">
                  <c:v>6825</c:v>
                </c:pt>
                <c:pt idx="46">
                  <c:v>6416</c:v>
                </c:pt>
                <c:pt idx="47">
                  <c:v>6510</c:v>
                </c:pt>
                <c:pt idx="48">
                  <c:v>6357</c:v>
                </c:pt>
                <c:pt idx="49">
                  <c:v>6420</c:v>
                </c:pt>
                <c:pt idx="50">
                  <c:v>6122</c:v>
                </c:pt>
                <c:pt idx="51">
                  <c:v>6251</c:v>
                </c:pt>
                <c:pt idx="52">
                  <c:v>6155</c:v>
                </c:pt>
                <c:pt idx="53">
                  <c:v>6027</c:v>
                </c:pt>
                <c:pt idx="54">
                  <c:v>6035</c:v>
                </c:pt>
                <c:pt idx="55">
                  <c:v>5835</c:v>
                </c:pt>
                <c:pt idx="56">
                  <c:v>6006</c:v>
                </c:pt>
                <c:pt idx="57">
                  <c:v>5960</c:v>
                </c:pt>
                <c:pt idx="58">
                  <c:v>5964</c:v>
                </c:pt>
                <c:pt idx="59">
                  <c:v>5993</c:v>
                </c:pt>
                <c:pt idx="60">
                  <c:v>5867</c:v>
                </c:pt>
                <c:pt idx="61">
                  <c:v>5827</c:v>
                </c:pt>
                <c:pt idx="62">
                  <c:v>5856</c:v>
                </c:pt>
                <c:pt idx="63">
                  <c:v>5938</c:v>
                </c:pt>
                <c:pt idx="64">
                  <c:v>5928</c:v>
                </c:pt>
                <c:pt idx="65">
                  <c:v>5871</c:v>
                </c:pt>
                <c:pt idx="66">
                  <c:v>5910</c:v>
                </c:pt>
                <c:pt idx="67">
                  <c:v>5883</c:v>
                </c:pt>
                <c:pt idx="68">
                  <c:v>6064</c:v>
                </c:pt>
                <c:pt idx="69">
                  <c:v>5871</c:v>
                </c:pt>
                <c:pt idx="70">
                  <c:v>5981</c:v>
                </c:pt>
                <c:pt idx="71">
                  <c:v>5961</c:v>
                </c:pt>
                <c:pt idx="72">
                  <c:v>5778</c:v>
                </c:pt>
                <c:pt idx="73">
                  <c:v>5983</c:v>
                </c:pt>
                <c:pt idx="74">
                  <c:v>6075</c:v>
                </c:pt>
                <c:pt idx="75">
                  <c:v>6129</c:v>
                </c:pt>
                <c:pt idx="76">
                  <c:v>5811</c:v>
                </c:pt>
                <c:pt idx="77">
                  <c:v>6044</c:v>
                </c:pt>
                <c:pt idx="78">
                  <c:v>6086</c:v>
                </c:pt>
                <c:pt idx="79">
                  <c:v>6044</c:v>
                </c:pt>
                <c:pt idx="80">
                  <c:v>6059</c:v>
                </c:pt>
                <c:pt idx="81">
                  <c:v>5973</c:v>
                </c:pt>
                <c:pt idx="82">
                  <c:v>5878</c:v>
                </c:pt>
                <c:pt idx="83">
                  <c:v>5954</c:v>
                </c:pt>
                <c:pt idx="84">
                  <c:v>5966</c:v>
                </c:pt>
                <c:pt idx="85">
                  <c:v>6012</c:v>
                </c:pt>
                <c:pt idx="86">
                  <c:v>6081</c:v>
                </c:pt>
                <c:pt idx="87">
                  <c:v>6086</c:v>
                </c:pt>
                <c:pt idx="88">
                  <c:v>6102</c:v>
                </c:pt>
                <c:pt idx="89">
                  <c:v>5997</c:v>
                </c:pt>
                <c:pt idx="90">
                  <c:v>5986</c:v>
                </c:pt>
                <c:pt idx="91">
                  <c:v>6055</c:v>
                </c:pt>
                <c:pt idx="92">
                  <c:v>6106</c:v>
                </c:pt>
                <c:pt idx="93">
                  <c:v>6288</c:v>
                </c:pt>
                <c:pt idx="94">
                  <c:v>6244</c:v>
                </c:pt>
                <c:pt idx="95">
                  <c:v>6108</c:v>
                </c:pt>
                <c:pt idx="96">
                  <c:v>6158</c:v>
                </c:pt>
                <c:pt idx="97">
                  <c:v>6176</c:v>
                </c:pt>
                <c:pt idx="98">
                  <c:v>6143</c:v>
                </c:pt>
                <c:pt idx="99">
                  <c:v>6209</c:v>
                </c:pt>
                <c:pt idx="100">
                  <c:v>6318</c:v>
                </c:pt>
                <c:pt idx="101">
                  <c:v>6026</c:v>
                </c:pt>
                <c:pt idx="102">
                  <c:v>6245</c:v>
                </c:pt>
                <c:pt idx="103">
                  <c:v>6326</c:v>
                </c:pt>
                <c:pt idx="104">
                  <c:v>6109</c:v>
                </c:pt>
                <c:pt idx="105">
                  <c:v>6198</c:v>
                </c:pt>
                <c:pt idx="106">
                  <c:v>6285</c:v>
                </c:pt>
                <c:pt idx="107">
                  <c:v>6207</c:v>
                </c:pt>
                <c:pt idx="108">
                  <c:v>6191</c:v>
                </c:pt>
                <c:pt idx="109">
                  <c:v>6188</c:v>
                </c:pt>
                <c:pt idx="110">
                  <c:v>6341</c:v>
                </c:pt>
                <c:pt idx="111">
                  <c:v>6273</c:v>
                </c:pt>
                <c:pt idx="112">
                  <c:v>6192</c:v>
                </c:pt>
                <c:pt idx="113">
                  <c:v>6270</c:v>
                </c:pt>
                <c:pt idx="114">
                  <c:v>6142</c:v>
                </c:pt>
                <c:pt idx="115">
                  <c:v>6141</c:v>
                </c:pt>
                <c:pt idx="116">
                  <c:v>6275</c:v>
                </c:pt>
                <c:pt idx="117">
                  <c:v>6310</c:v>
                </c:pt>
                <c:pt idx="118">
                  <c:v>6203</c:v>
                </c:pt>
                <c:pt idx="119">
                  <c:v>6197</c:v>
                </c:pt>
                <c:pt idx="120">
                  <c:v>6241</c:v>
                </c:pt>
                <c:pt idx="121">
                  <c:v>6423</c:v>
                </c:pt>
                <c:pt idx="122">
                  <c:v>6251</c:v>
                </c:pt>
                <c:pt idx="123">
                  <c:v>6340</c:v>
                </c:pt>
                <c:pt idx="124">
                  <c:v>6289</c:v>
                </c:pt>
                <c:pt idx="125">
                  <c:v>6190</c:v>
                </c:pt>
                <c:pt idx="126">
                  <c:v>6155</c:v>
                </c:pt>
                <c:pt idx="127">
                  <c:v>6335</c:v>
                </c:pt>
                <c:pt idx="128">
                  <c:v>6142</c:v>
                </c:pt>
                <c:pt idx="129">
                  <c:v>6193</c:v>
                </c:pt>
                <c:pt idx="130">
                  <c:v>6187</c:v>
                </c:pt>
                <c:pt idx="131">
                  <c:v>6152</c:v>
                </c:pt>
                <c:pt idx="132">
                  <c:v>6430</c:v>
                </c:pt>
                <c:pt idx="133">
                  <c:v>6122</c:v>
                </c:pt>
                <c:pt idx="134">
                  <c:v>6153</c:v>
                </c:pt>
                <c:pt idx="135">
                  <c:v>6246</c:v>
                </c:pt>
                <c:pt idx="136">
                  <c:v>6233</c:v>
                </c:pt>
                <c:pt idx="137">
                  <c:v>6282</c:v>
                </c:pt>
                <c:pt idx="138">
                  <c:v>6079</c:v>
                </c:pt>
                <c:pt idx="139">
                  <c:v>6269</c:v>
                </c:pt>
                <c:pt idx="140">
                  <c:v>6199</c:v>
                </c:pt>
                <c:pt idx="141">
                  <c:v>6210</c:v>
                </c:pt>
                <c:pt idx="142">
                  <c:v>6141</c:v>
                </c:pt>
                <c:pt idx="143">
                  <c:v>6053</c:v>
                </c:pt>
                <c:pt idx="144">
                  <c:v>6127</c:v>
                </c:pt>
                <c:pt idx="145">
                  <c:v>6185</c:v>
                </c:pt>
                <c:pt idx="146">
                  <c:v>6144</c:v>
                </c:pt>
                <c:pt idx="147">
                  <c:v>6179</c:v>
                </c:pt>
                <c:pt idx="148">
                  <c:v>6105</c:v>
                </c:pt>
                <c:pt idx="149">
                  <c:v>6082</c:v>
                </c:pt>
                <c:pt idx="150">
                  <c:v>6043</c:v>
                </c:pt>
                <c:pt idx="151">
                  <c:v>5971</c:v>
                </c:pt>
                <c:pt idx="152">
                  <c:v>6092</c:v>
                </c:pt>
                <c:pt idx="153">
                  <c:v>6057</c:v>
                </c:pt>
                <c:pt idx="154">
                  <c:v>6017</c:v>
                </c:pt>
                <c:pt idx="155">
                  <c:v>6088</c:v>
                </c:pt>
                <c:pt idx="156">
                  <c:v>5831</c:v>
                </c:pt>
                <c:pt idx="157">
                  <c:v>5996</c:v>
                </c:pt>
                <c:pt idx="158">
                  <c:v>5914</c:v>
                </c:pt>
                <c:pt idx="159">
                  <c:v>6052</c:v>
                </c:pt>
                <c:pt idx="160">
                  <c:v>5957</c:v>
                </c:pt>
                <c:pt idx="161">
                  <c:v>5905</c:v>
                </c:pt>
                <c:pt idx="162">
                  <c:v>6066</c:v>
                </c:pt>
                <c:pt idx="163">
                  <c:v>5800</c:v>
                </c:pt>
                <c:pt idx="164">
                  <c:v>5905</c:v>
                </c:pt>
                <c:pt idx="165">
                  <c:v>5883</c:v>
                </c:pt>
                <c:pt idx="166">
                  <c:v>5864</c:v>
                </c:pt>
                <c:pt idx="167">
                  <c:v>5828</c:v>
                </c:pt>
                <c:pt idx="168">
                  <c:v>5884</c:v>
                </c:pt>
                <c:pt idx="169">
                  <c:v>5866</c:v>
                </c:pt>
                <c:pt idx="170">
                  <c:v>5891</c:v>
                </c:pt>
                <c:pt idx="171">
                  <c:v>5973</c:v>
                </c:pt>
                <c:pt idx="172">
                  <c:v>5952</c:v>
                </c:pt>
                <c:pt idx="173">
                  <c:v>5735</c:v>
                </c:pt>
                <c:pt idx="174">
                  <c:v>5756</c:v>
                </c:pt>
                <c:pt idx="175">
                  <c:v>5835</c:v>
                </c:pt>
                <c:pt idx="176">
                  <c:v>5650</c:v>
                </c:pt>
                <c:pt idx="177">
                  <c:v>5732</c:v>
                </c:pt>
                <c:pt idx="178">
                  <c:v>5660</c:v>
                </c:pt>
                <c:pt idx="179">
                  <c:v>5661</c:v>
                </c:pt>
                <c:pt idx="180">
                  <c:v>5760</c:v>
                </c:pt>
                <c:pt idx="181">
                  <c:v>5849</c:v>
                </c:pt>
                <c:pt idx="182">
                  <c:v>5749</c:v>
                </c:pt>
                <c:pt idx="183">
                  <c:v>5545</c:v>
                </c:pt>
                <c:pt idx="184">
                  <c:v>5550</c:v>
                </c:pt>
                <c:pt idx="185">
                  <c:v>5622</c:v>
                </c:pt>
                <c:pt idx="186">
                  <c:v>5672</c:v>
                </c:pt>
                <c:pt idx="187">
                  <c:v>5682</c:v>
                </c:pt>
                <c:pt idx="188">
                  <c:v>5451</c:v>
                </c:pt>
                <c:pt idx="189">
                  <c:v>5582</c:v>
                </c:pt>
                <c:pt idx="190">
                  <c:v>5456</c:v>
                </c:pt>
                <c:pt idx="191">
                  <c:v>5553</c:v>
                </c:pt>
                <c:pt idx="192">
                  <c:v>5583</c:v>
                </c:pt>
                <c:pt idx="193">
                  <c:v>5340</c:v>
                </c:pt>
                <c:pt idx="194">
                  <c:v>5519</c:v>
                </c:pt>
                <c:pt idx="195">
                  <c:v>5514</c:v>
                </c:pt>
                <c:pt idx="196">
                  <c:v>5417</c:v>
                </c:pt>
                <c:pt idx="197">
                  <c:v>5556</c:v>
                </c:pt>
                <c:pt idx="198">
                  <c:v>5350</c:v>
                </c:pt>
                <c:pt idx="199">
                  <c:v>5403</c:v>
                </c:pt>
                <c:pt idx="200">
                  <c:v>5377</c:v>
                </c:pt>
                <c:pt idx="201">
                  <c:v>5345</c:v>
                </c:pt>
                <c:pt idx="202">
                  <c:v>5395</c:v>
                </c:pt>
                <c:pt idx="203">
                  <c:v>5278</c:v>
                </c:pt>
                <c:pt idx="204">
                  <c:v>5401</c:v>
                </c:pt>
                <c:pt idx="205">
                  <c:v>5319</c:v>
                </c:pt>
                <c:pt idx="206">
                  <c:v>5361</c:v>
                </c:pt>
                <c:pt idx="207">
                  <c:v>5327</c:v>
                </c:pt>
                <c:pt idx="208">
                  <c:v>5294</c:v>
                </c:pt>
                <c:pt idx="209">
                  <c:v>5197</c:v>
                </c:pt>
                <c:pt idx="210">
                  <c:v>5342</c:v>
                </c:pt>
                <c:pt idx="211">
                  <c:v>5233</c:v>
                </c:pt>
                <c:pt idx="212">
                  <c:v>5202</c:v>
                </c:pt>
                <c:pt idx="213">
                  <c:v>5165</c:v>
                </c:pt>
                <c:pt idx="214">
                  <c:v>5111</c:v>
                </c:pt>
                <c:pt idx="215">
                  <c:v>5083</c:v>
                </c:pt>
                <c:pt idx="216">
                  <c:v>5139</c:v>
                </c:pt>
                <c:pt idx="217">
                  <c:v>5059</c:v>
                </c:pt>
                <c:pt idx="218">
                  <c:v>5062</c:v>
                </c:pt>
                <c:pt idx="219">
                  <c:v>5122</c:v>
                </c:pt>
                <c:pt idx="220">
                  <c:v>5166</c:v>
                </c:pt>
                <c:pt idx="221">
                  <c:v>5086</c:v>
                </c:pt>
                <c:pt idx="222">
                  <c:v>5128</c:v>
                </c:pt>
                <c:pt idx="223">
                  <c:v>4846</c:v>
                </c:pt>
                <c:pt idx="224">
                  <c:v>4988</c:v>
                </c:pt>
                <c:pt idx="225">
                  <c:v>5036</c:v>
                </c:pt>
                <c:pt idx="226">
                  <c:v>4874</c:v>
                </c:pt>
                <c:pt idx="227">
                  <c:v>5057</c:v>
                </c:pt>
                <c:pt idx="228">
                  <c:v>4878</c:v>
                </c:pt>
                <c:pt idx="229">
                  <c:v>4821</c:v>
                </c:pt>
                <c:pt idx="230">
                  <c:v>4925</c:v>
                </c:pt>
                <c:pt idx="231">
                  <c:v>4942</c:v>
                </c:pt>
                <c:pt idx="232">
                  <c:v>4788</c:v>
                </c:pt>
                <c:pt idx="233">
                  <c:v>4682</c:v>
                </c:pt>
                <c:pt idx="234">
                  <c:v>4884</c:v>
                </c:pt>
                <c:pt idx="235">
                  <c:v>4826</c:v>
                </c:pt>
                <c:pt idx="236">
                  <c:v>4846</c:v>
                </c:pt>
                <c:pt idx="237">
                  <c:v>4810</c:v>
                </c:pt>
                <c:pt idx="238">
                  <c:v>4751</c:v>
                </c:pt>
                <c:pt idx="239">
                  <c:v>4619</c:v>
                </c:pt>
                <c:pt idx="240">
                  <c:v>4782</c:v>
                </c:pt>
                <c:pt idx="241">
                  <c:v>4685</c:v>
                </c:pt>
                <c:pt idx="242">
                  <c:v>4584</c:v>
                </c:pt>
                <c:pt idx="243">
                  <c:v>4570</c:v>
                </c:pt>
                <c:pt idx="244">
                  <c:v>4514</c:v>
                </c:pt>
                <c:pt idx="245">
                  <c:v>4620</c:v>
                </c:pt>
                <c:pt idx="246">
                  <c:v>4505</c:v>
                </c:pt>
                <c:pt idx="247">
                  <c:v>4543</c:v>
                </c:pt>
                <c:pt idx="248">
                  <c:v>4629</c:v>
                </c:pt>
                <c:pt idx="249">
                  <c:v>4542</c:v>
                </c:pt>
                <c:pt idx="250">
                  <c:v>4613</c:v>
                </c:pt>
                <c:pt idx="251">
                  <c:v>4378</c:v>
                </c:pt>
                <c:pt idx="252">
                  <c:v>4631</c:v>
                </c:pt>
                <c:pt idx="253">
                  <c:v>4420</c:v>
                </c:pt>
                <c:pt idx="254">
                  <c:v>4546</c:v>
                </c:pt>
                <c:pt idx="255">
                  <c:v>4428</c:v>
                </c:pt>
                <c:pt idx="256">
                  <c:v>4449</c:v>
                </c:pt>
                <c:pt idx="257">
                  <c:v>4485</c:v>
                </c:pt>
                <c:pt idx="258">
                  <c:v>4444</c:v>
                </c:pt>
                <c:pt idx="259">
                  <c:v>4419</c:v>
                </c:pt>
                <c:pt idx="260">
                  <c:v>4380</c:v>
                </c:pt>
                <c:pt idx="261">
                  <c:v>4319</c:v>
                </c:pt>
                <c:pt idx="262">
                  <c:v>4225</c:v>
                </c:pt>
                <c:pt idx="263">
                  <c:v>4261</c:v>
                </c:pt>
                <c:pt idx="264">
                  <c:v>4214</c:v>
                </c:pt>
                <c:pt idx="265">
                  <c:v>4324</c:v>
                </c:pt>
                <c:pt idx="266">
                  <c:v>4312</c:v>
                </c:pt>
                <c:pt idx="267">
                  <c:v>4303</c:v>
                </c:pt>
                <c:pt idx="268">
                  <c:v>4323</c:v>
                </c:pt>
                <c:pt idx="269">
                  <c:v>4216</c:v>
                </c:pt>
                <c:pt idx="270">
                  <c:v>4070</c:v>
                </c:pt>
                <c:pt idx="271">
                  <c:v>4165</c:v>
                </c:pt>
                <c:pt idx="272">
                  <c:v>4078</c:v>
                </c:pt>
                <c:pt idx="273">
                  <c:v>4037</c:v>
                </c:pt>
                <c:pt idx="274">
                  <c:v>4113</c:v>
                </c:pt>
                <c:pt idx="275">
                  <c:v>4146</c:v>
                </c:pt>
                <c:pt idx="276">
                  <c:v>4085</c:v>
                </c:pt>
                <c:pt idx="277">
                  <c:v>4072</c:v>
                </c:pt>
                <c:pt idx="278">
                  <c:v>4107</c:v>
                </c:pt>
                <c:pt idx="279">
                  <c:v>4113</c:v>
                </c:pt>
                <c:pt idx="280">
                  <c:v>4023</c:v>
                </c:pt>
                <c:pt idx="281">
                  <c:v>4039</c:v>
                </c:pt>
                <c:pt idx="282">
                  <c:v>4070</c:v>
                </c:pt>
                <c:pt idx="283">
                  <c:v>4011</c:v>
                </c:pt>
                <c:pt idx="284">
                  <c:v>4029</c:v>
                </c:pt>
                <c:pt idx="285">
                  <c:v>3998</c:v>
                </c:pt>
                <c:pt idx="286">
                  <c:v>3947</c:v>
                </c:pt>
                <c:pt idx="287">
                  <c:v>3980</c:v>
                </c:pt>
                <c:pt idx="288">
                  <c:v>3990</c:v>
                </c:pt>
                <c:pt idx="289">
                  <c:v>3996</c:v>
                </c:pt>
                <c:pt idx="290">
                  <c:v>3937</c:v>
                </c:pt>
                <c:pt idx="291">
                  <c:v>3936</c:v>
                </c:pt>
                <c:pt idx="292">
                  <c:v>3969</c:v>
                </c:pt>
                <c:pt idx="293">
                  <c:v>3918</c:v>
                </c:pt>
                <c:pt idx="294">
                  <c:v>3845</c:v>
                </c:pt>
                <c:pt idx="295">
                  <c:v>3892</c:v>
                </c:pt>
                <c:pt idx="296">
                  <c:v>3802</c:v>
                </c:pt>
                <c:pt idx="297">
                  <c:v>3732</c:v>
                </c:pt>
                <c:pt idx="298">
                  <c:v>3792</c:v>
                </c:pt>
                <c:pt idx="299">
                  <c:v>3747</c:v>
                </c:pt>
                <c:pt idx="300">
                  <c:v>3820</c:v>
                </c:pt>
                <c:pt idx="301">
                  <c:v>3804</c:v>
                </c:pt>
                <c:pt idx="302">
                  <c:v>3646</c:v>
                </c:pt>
                <c:pt idx="303">
                  <c:v>3711</c:v>
                </c:pt>
                <c:pt idx="304">
                  <c:v>3768</c:v>
                </c:pt>
                <c:pt idx="305">
                  <c:v>3657</c:v>
                </c:pt>
                <c:pt idx="306">
                  <c:v>3656</c:v>
                </c:pt>
                <c:pt idx="307">
                  <c:v>3702</c:v>
                </c:pt>
                <c:pt idx="308">
                  <c:v>3717</c:v>
                </c:pt>
                <c:pt idx="309">
                  <c:v>3731</c:v>
                </c:pt>
                <c:pt idx="310">
                  <c:v>3595</c:v>
                </c:pt>
                <c:pt idx="311">
                  <c:v>3512</c:v>
                </c:pt>
                <c:pt idx="312">
                  <c:v>3637</c:v>
                </c:pt>
                <c:pt idx="313">
                  <c:v>3682</c:v>
                </c:pt>
                <c:pt idx="314">
                  <c:v>3623</c:v>
                </c:pt>
                <c:pt idx="315">
                  <c:v>3553</c:v>
                </c:pt>
                <c:pt idx="316">
                  <c:v>3631</c:v>
                </c:pt>
                <c:pt idx="317">
                  <c:v>3576</c:v>
                </c:pt>
                <c:pt idx="318">
                  <c:v>3533</c:v>
                </c:pt>
                <c:pt idx="319">
                  <c:v>3608</c:v>
                </c:pt>
                <c:pt idx="320">
                  <c:v>3526</c:v>
                </c:pt>
                <c:pt idx="321">
                  <c:v>3513</c:v>
                </c:pt>
                <c:pt idx="322">
                  <c:v>3467</c:v>
                </c:pt>
                <c:pt idx="323">
                  <c:v>3487</c:v>
                </c:pt>
                <c:pt idx="324">
                  <c:v>3431</c:v>
                </c:pt>
                <c:pt idx="325">
                  <c:v>3440</c:v>
                </c:pt>
                <c:pt idx="326">
                  <c:v>3398</c:v>
                </c:pt>
                <c:pt idx="327">
                  <c:v>3405</c:v>
                </c:pt>
                <c:pt idx="328">
                  <c:v>3328</c:v>
                </c:pt>
                <c:pt idx="329">
                  <c:v>3446</c:v>
                </c:pt>
                <c:pt idx="330">
                  <c:v>3348</c:v>
                </c:pt>
                <c:pt idx="331">
                  <c:v>3375</c:v>
                </c:pt>
                <c:pt idx="332">
                  <c:v>3395</c:v>
                </c:pt>
                <c:pt idx="333">
                  <c:v>3302</c:v>
                </c:pt>
                <c:pt idx="334">
                  <c:v>3362</c:v>
                </c:pt>
                <c:pt idx="335">
                  <c:v>3348</c:v>
                </c:pt>
                <c:pt idx="336">
                  <c:v>3386</c:v>
                </c:pt>
                <c:pt idx="337">
                  <c:v>3361</c:v>
                </c:pt>
                <c:pt idx="338">
                  <c:v>3248</c:v>
                </c:pt>
                <c:pt idx="339">
                  <c:v>3326</c:v>
                </c:pt>
                <c:pt idx="340">
                  <c:v>3232</c:v>
                </c:pt>
                <c:pt idx="341">
                  <c:v>3287</c:v>
                </c:pt>
                <c:pt idx="342">
                  <c:v>3182</c:v>
                </c:pt>
                <c:pt idx="343">
                  <c:v>3247</c:v>
                </c:pt>
                <c:pt idx="344">
                  <c:v>3133</c:v>
                </c:pt>
                <c:pt idx="345">
                  <c:v>3151</c:v>
                </c:pt>
                <c:pt idx="346">
                  <c:v>3249</c:v>
                </c:pt>
                <c:pt idx="347">
                  <c:v>3103</c:v>
                </c:pt>
                <c:pt idx="348">
                  <c:v>3219</c:v>
                </c:pt>
                <c:pt idx="349">
                  <c:v>3209</c:v>
                </c:pt>
                <c:pt idx="350">
                  <c:v>3216</c:v>
                </c:pt>
                <c:pt idx="351">
                  <c:v>3139</c:v>
                </c:pt>
                <c:pt idx="352">
                  <c:v>3140</c:v>
                </c:pt>
                <c:pt idx="353">
                  <c:v>3149</c:v>
                </c:pt>
                <c:pt idx="354">
                  <c:v>3201</c:v>
                </c:pt>
                <c:pt idx="355">
                  <c:v>3096</c:v>
                </c:pt>
                <c:pt idx="356">
                  <c:v>3160</c:v>
                </c:pt>
                <c:pt idx="357">
                  <c:v>3038</c:v>
                </c:pt>
                <c:pt idx="358">
                  <c:v>3109</c:v>
                </c:pt>
                <c:pt idx="359">
                  <c:v>3106</c:v>
                </c:pt>
                <c:pt idx="360">
                  <c:v>2997</c:v>
                </c:pt>
                <c:pt idx="361">
                  <c:v>2982</c:v>
                </c:pt>
                <c:pt idx="362">
                  <c:v>3024</c:v>
                </c:pt>
                <c:pt idx="363">
                  <c:v>3028</c:v>
                </c:pt>
                <c:pt idx="364">
                  <c:v>3030</c:v>
                </c:pt>
                <c:pt idx="365">
                  <c:v>2883</c:v>
                </c:pt>
                <c:pt idx="366">
                  <c:v>2927</c:v>
                </c:pt>
                <c:pt idx="367">
                  <c:v>2956</c:v>
                </c:pt>
                <c:pt idx="368">
                  <c:v>2999</c:v>
                </c:pt>
                <c:pt idx="369">
                  <c:v>2943</c:v>
                </c:pt>
                <c:pt idx="370">
                  <c:v>2923</c:v>
                </c:pt>
                <c:pt idx="371">
                  <c:v>2896</c:v>
                </c:pt>
                <c:pt idx="372">
                  <c:v>2904</c:v>
                </c:pt>
                <c:pt idx="373">
                  <c:v>2958</c:v>
                </c:pt>
                <c:pt idx="374">
                  <c:v>2864</c:v>
                </c:pt>
                <c:pt idx="375">
                  <c:v>2889</c:v>
                </c:pt>
                <c:pt idx="376">
                  <c:v>2962</c:v>
                </c:pt>
                <c:pt idx="377">
                  <c:v>2973</c:v>
                </c:pt>
                <c:pt idx="378">
                  <c:v>2889</c:v>
                </c:pt>
                <c:pt idx="379">
                  <c:v>2849</c:v>
                </c:pt>
                <c:pt idx="380">
                  <c:v>2818</c:v>
                </c:pt>
                <c:pt idx="381">
                  <c:v>2783</c:v>
                </c:pt>
                <c:pt idx="382">
                  <c:v>2808</c:v>
                </c:pt>
                <c:pt idx="383">
                  <c:v>2823</c:v>
                </c:pt>
                <c:pt idx="384">
                  <c:v>2909</c:v>
                </c:pt>
                <c:pt idx="385">
                  <c:v>2862</c:v>
                </c:pt>
                <c:pt idx="386">
                  <c:v>2860</c:v>
                </c:pt>
                <c:pt idx="387">
                  <c:v>2836</c:v>
                </c:pt>
                <c:pt idx="388">
                  <c:v>2825</c:v>
                </c:pt>
                <c:pt idx="389">
                  <c:v>2892</c:v>
                </c:pt>
                <c:pt idx="390">
                  <c:v>2828</c:v>
                </c:pt>
                <c:pt idx="391">
                  <c:v>2749</c:v>
                </c:pt>
                <c:pt idx="392">
                  <c:v>2835</c:v>
                </c:pt>
                <c:pt idx="393">
                  <c:v>2788</c:v>
                </c:pt>
                <c:pt idx="394">
                  <c:v>2591</c:v>
                </c:pt>
                <c:pt idx="395">
                  <c:v>2828</c:v>
                </c:pt>
                <c:pt idx="396">
                  <c:v>2722</c:v>
                </c:pt>
                <c:pt idx="397">
                  <c:v>2771</c:v>
                </c:pt>
                <c:pt idx="398">
                  <c:v>2726</c:v>
                </c:pt>
                <c:pt idx="399">
                  <c:v>2684</c:v>
                </c:pt>
                <c:pt idx="400">
                  <c:v>2714</c:v>
                </c:pt>
                <c:pt idx="401">
                  <c:v>2669</c:v>
                </c:pt>
                <c:pt idx="402">
                  <c:v>2759</c:v>
                </c:pt>
                <c:pt idx="403">
                  <c:v>2671</c:v>
                </c:pt>
                <c:pt idx="404">
                  <c:v>2692</c:v>
                </c:pt>
                <c:pt idx="405">
                  <c:v>2663</c:v>
                </c:pt>
                <c:pt idx="406">
                  <c:v>2667</c:v>
                </c:pt>
                <c:pt idx="407">
                  <c:v>2673</c:v>
                </c:pt>
                <c:pt idx="408">
                  <c:v>2590</c:v>
                </c:pt>
                <c:pt idx="409">
                  <c:v>2743</c:v>
                </c:pt>
                <c:pt idx="410">
                  <c:v>2633</c:v>
                </c:pt>
                <c:pt idx="411">
                  <c:v>2705</c:v>
                </c:pt>
                <c:pt idx="412">
                  <c:v>2587</c:v>
                </c:pt>
                <c:pt idx="413">
                  <c:v>2587</c:v>
                </c:pt>
                <c:pt idx="414">
                  <c:v>2661</c:v>
                </c:pt>
                <c:pt idx="415">
                  <c:v>2556</c:v>
                </c:pt>
                <c:pt idx="416">
                  <c:v>2516</c:v>
                </c:pt>
                <c:pt idx="417">
                  <c:v>2537</c:v>
                </c:pt>
                <c:pt idx="418">
                  <c:v>2592</c:v>
                </c:pt>
                <c:pt idx="419">
                  <c:v>2555</c:v>
                </c:pt>
                <c:pt idx="420">
                  <c:v>2618</c:v>
                </c:pt>
                <c:pt idx="421">
                  <c:v>2508</c:v>
                </c:pt>
                <c:pt idx="422">
                  <c:v>2509</c:v>
                </c:pt>
                <c:pt idx="423">
                  <c:v>2560</c:v>
                </c:pt>
                <c:pt idx="424">
                  <c:v>2587</c:v>
                </c:pt>
                <c:pt idx="425">
                  <c:v>2523</c:v>
                </c:pt>
                <c:pt idx="426">
                  <c:v>2470</c:v>
                </c:pt>
                <c:pt idx="427">
                  <c:v>2496</c:v>
                </c:pt>
                <c:pt idx="428">
                  <c:v>2475</c:v>
                </c:pt>
                <c:pt idx="429">
                  <c:v>2536</c:v>
                </c:pt>
                <c:pt idx="430">
                  <c:v>2463</c:v>
                </c:pt>
                <c:pt idx="431">
                  <c:v>2534</c:v>
                </c:pt>
                <c:pt idx="432">
                  <c:v>2488</c:v>
                </c:pt>
                <c:pt idx="433">
                  <c:v>2402</c:v>
                </c:pt>
                <c:pt idx="434">
                  <c:v>2477</c:v>
                </c:pt>
                <c:pt idx="435">
                  <c:v>2470</c:v>
                </c:pt>
                <c:pt idx="436">
                  <c:v>2375</c:v>
                </c:pt>
                <c:pt idx="437">
                  <c:v>2492</c:v>
                </c:pt>
                <c:pt idx="438">
                  <c:v>2446</c:v>
                </c:pt>
                <c:pt idx="439">
                  <c:v>2348</c:v>
                </c:pt>
                <c:pt idx="440">
                  <c:v>2457</c:v>
                </c:pt>
                <c:pt idx="441">
                  <c:v>2463</c:v>
                </c:pt>
                <c:pt idx="442">
                  <c:v>2297</c:v>
                </c:pt>
                <c:pt idx="443">
                  <c:v>2427</c:v>
                </c:pt>
                <c:pt idx="444">
                  <c:v>2305</c:v>
                </c:pt>
                <c:pt idx="445">
                  <c:v>2392</c:v>
                </c:pt>
                <c:pt idx="446">
                  <c:v>2305</c:v>
                </c:pt>
                <c:pt idx="447">
                  <c:v>2425</c:v>
                </c:pt>
                <c:pt idx="448">
                  <c:v>2336</c:v>
                </c:pt>
                <c:pt idx="449">
                  <c:v>2349</c:v>
                </c:pt>
                <c:pt idx="450">
                  <c:v>2268</c:v>
                </c:pt>
                <c:pt idx="451">
                  <c:v>2378</c:v>
                </c:pt>
                <c:pt idx="452">
                  <c:v>2348</c:v>
                </c:pt>
                <c:pt idx="453">
                  <c:v>2378</c:v>
                </c:pt>
                <c:pt idx="454">
                  <c:v>2378</c:v>
                </c:pt>
                <c:pt idx="455">
                  <c:v>2340</c:v>
                </c:pt>
                <c:pt idx="456">
                  <c:v>2276</c:v>
                </c:pt>
                <c:pt idx="457">
                  <c:v>2338</c:v>
                </c:pt>
                <c:pt idx="458">
                  <c:v>2241</c:v>
                </c:pt>
                <c:pt idx="459">
                  <c:v>2342</c:v>
                </c:pt>
                <c:pt idx="460">
                  <c:v>2193</c:v>
                </c:pt>
                <c:pt idx="461">
                  <c:v>2222</c:v>
                </c:pt>
                <c:pt idx="462">
                  <c:v>2233</c:v>
                </c:pt>
                <c:pt idx="463">
                  <c:v>2261</c:v>
                </c:pt>
                <c:pt idx="464">
                  <c:v>2259</c:v>
                </c:pt>
                <c:pt idx="465">
                  <c:v>2254</c:v>
                </c:pt>
                <c:pt idx="466">
                  <c:v>2187</c:v>
                </c:pt>
                <c:pt idx="467">
                  <c:v>2186</c:v>
                </c:pt>
                <c:pt idx="468">
                  <c:v>2256</c:v>
                </c:pt>
                <c:pt idx="469">
                  <c:v>2254</c:v>
                </c:pt>
                <c:pt idx="470">
                  <c:v>2232</c:v>
                </c:pt>
                <c:pt idx="471">
                  <c:v>2133</c:v>
                </c:pt>
                <c:pt idx="472">
                  <c:v>2234</c:v>
                </c:pt>
                <c:pt idx="473">
                  <c:v>2188</c:v>
                </c:pt>
                <c:pt idx="474">
                  <c:v>2188</c:v>
                </c:pt>
                <c:pt idx="475">
                  <c:v>2190</c:v>
                </c:pt>
                <c:pt idx="476">
                  <c:v>2184</c:v>
                </c:pt>
                <c:pt idx="477">
                  <c:v>2118</c:v>
                </c:pt>
                <c:pt idx="478">
                  <c:v>2224</c:v>
                </c:pt>
                <c:pt idx="479">
                  <c:v>2075</c:v>
                </c:pt>
                <c:pt idx="480">
                  <c:v>2158</c:v>
                </c:pt>
                <c:pt idx="481">
                  <c:v>2182</c:v>
                </c:pt>
                <c:pt idx="482">
                  <c:v>2188</c:v>
                </c:pt>
                <c:pt idx="483">
                  <c:v>2147</c:v>
                </c:pt>
                <c:pt idx="484">
                  <c:v>2147</c:v>
                </c:pt>
                <c:pt idx="485">
                  <c:v>2128</c:v>
                </c:pt>
                <c:pt idx="486">
                  <c:v>2164</c:v>
                </c:pt>
                <c:pt idx="487">
                  <c:v>2150</c:v>
                </c:pt>
                <c:pt idx="488">
                  <c:v>2172</c:v>
                </c:pt>
                <c:pt idx="489">
                  <c:v>2065</c:v>
                </c:pt>
                <c:pt idx="490">
                  <c:v>2092</c:v>
                </c:pt>
                <c:pt idx="491">
                  <c:v>2047</c:v>
                </c:pt>
                <c:pt idx="492">
                  <c:v>2121</c:v>
                </c:pt>
                <c:pt idx="493">
                  <c:v>2102</c:v>
                </c:pt>
                <c:pt idx="494">
                  <c:v>2052</c:v>
                </c:pt>
                <c:pt idx="495">
                  <c:v>2126</c:v>
                </c:pt>
                <c:pt idx="496">
                  <c:v>2038</c:v>
                </c:pt>
                <c:pt idx="497">
                  <c:v>2050</c:v>
                </c:pt>
                <c:pt idx="498">
                  <c:v>1991</c:v>
                </c:pt>
                <c:pt idx="499">
                  <c:v>2037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11-491C-9CE7-BCD1A6474A31}"/>
            </c:ext>
          </c:extLst>
        </c:ser>
        <c:ser>
          <c:idx val="1"/>
          <c:order val="1"/>
          <c:tx>
            <c:v>Theoretical</c:v>
          </c:tx>
          <c:spPr>
            <a:ln w="28575"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'LM-OSL'!$C$32:$C$1031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</c:numCache>
            </c:numRef>
          </c:xVal>
          <c:yVal>
            <c:numRef>
              <c:f>'LM-OSL'!$Y$32:$Y$1031</c:f>
              <c:numCache>
                <c:formatCode>General</c:formatCode>
                <c:ptCount val="1000"/>
                <c:pt idx="0">
                  <c:v>9133</c:v>
                </c:pt>
                <c:pt idx="1">
                  <c:v>20176.097853633393</c:v>
                </c:pt>
                <c:pt idx="2">
                  <c:v>30090.461650491459</c:v>
                </c:pt>
                <c:pt idx="3">
                  <c:v>38103.366215890019</c:v>
                </c:pt>
                <c:pt idx="4">
                  <c:v>43984.168589145993</c:v>
                </c:pt>
                <c:pt idx="5">
                  <c:v>47922.638493944527</c:v>
                </c:pt>
                <c:pt idx="6">
                  <c:v>50284.976028254954</c:v>
                </c:pt>
                <c:pt idx="7">
                  <c:v>51422.333720135954</c:v>
                </c:pt>
                <c:pt idx="8">
                  <c:v>51597.268746430891</c:v>
                </c:pt>
                <c:pt idx="9">
                  <c:v>50993.47515973491</c:v>
                </c:pt>
                <c:pt idx="10">
                  <c:v>49751.056640261209</c:v>
                </c:pt>
                <c:pt idx="11">
                  <c:v>47993.782072710099</c:v>
                </c:pt>
                <c:pt idx="12">
                  <c:v>45840.855066786055</c:v>
                </c:pt>
                <c:pt idx="13">
                  <c:v>43407.689167424403</c:v>
                </c:pt>
                <c:pt idx="14">
                  <c:v>40801.882368772523</c:v>
                </c:pt>
                <c:pt idx="15">
                  <c:v>38118.606868163355</c:v>
                </c:pt>
                <c:pt idx="16">
                  <c:v>35437.416861416692</c:v>
                </c:pt>
                <c:pt idx="17">
                  <c:v>32820.999695908729</c:v>
                </c:pt>
                <c:pt idx="18">
                  <c:v>30315.634282730833</c:v>
                </c:pt>
                <c:pt idx="19">
                  <c:v>27952.836070096055</c:v>
                </c:pt>
                <c:pt idx="20">
                  <c:v>25751.647629580948</c:v>
                </c:pt>
                <c:pt idx="21">
                  <c:v>23721.134511318865</c:v>
                </c:pt>
                <c:pt idx="22">
                  <c:v>21862.782112950423</c:v>
                </c:pt>
                <c:pt idx="23">
                  <c:v>20172.616136433469</c:v>
                </c:pt>
                <c:pt idx="24">
                  <c:v>18642.968085056411</c:v>
                </c:pt>
                <c:pt idx="25">
                  <c:v>17263.874677630181</c:v>
                </c:pt>
                <c:pt idx="26">
                  <c:v>16024.140115677626</c:v>
                </c:pt>
                <c:pt idx="27">
                  <c:v>14912.109649200263</c:v>
                </c:pt>
                <c:pt idx="28">
                  <c:v>13916.208667585992</c:v>
                </c:pt>
                <c:pt idx="29">
                  <c:v>13025.299185648097</c:v>
                </c:pt>
                <c:pt idx="30">
                  <c:v>12228.899140128113</c:v>
                </c:pt>
                <c:pt idx="31">
                  <c:v>11517.301989532374</c:v>
                </c:pt>
                <c:pt idx="32">
                  <c:v>10881.626258977434</c:v>
                </c:pt>
                <c:pt idx="33">
                  <c:v>10313.817673072112</c:v>
                </c:pt>
                <c:pt idx="34">
                  <c:v>9806.6206753336864</c:v>
                </c:pt>
                <c:pt idx="35">
                  <c:v>9353.5314681202799</c:v>
                </c:pt>
                <c:pt idx="36">
                  <c:v>8948.7411091265312</c:v>
                </c:pt>
                <c:pt idx="37">
                  <c:v>8587.0745002675831</c:v>
                </c:pt>
                <c:pt idx="38">
                  <c:v>8263.9291252207368</c:v>
                </c:pt>
                <c:pt idx="39">
                  <c:v>7975.2159714083673</c:v>
                </c:pt>
                <c:pt idx="40">
                  <c:v>7717.3040741232098</c:v>
                </c:pt>
                <c:pt idx="41">
                  <c:v>7486.9694347468203</c:v>
                </c:pt>
                <c:pt idx="42">
                  <c:v>7281.3486059356128</c:v>
                </c:pt>
                <c:pt idx="43">
                  <c:v>7097.8969392813069</c:v>
                </c:pt>
                <c:pt idx="44">
                  <c:v>6934.3513070135614</c:v>
                </c:pt>
                <c:pt idx="45">
                  <c:v>6788.6970035257282</c:v>
                </c:pt>
                <c:pt idx="46">
                  <c:v>6659.1384794736778</c:v>
                </c:pt>
                <c:pt idx="47">
                  <c:v>6544.073542889947</c:v>
                </c:pt>
                <c:pt idx="48">
                  <c:v>6442.0706655414424</c:v>
                </c:pt>
                <c:pt idx="49">
                  <c:v>6351.8490499197624</c:v>
                </c:pt>
                <c:pt idx="50">
                  <c:v>6272.2611368687685</c:v>
                </c:pt>
                <c:pt idx="51">
                  <c:v>6202.277261983917</c:v>
                </c:pt>
                <c:pt idx="52">
                  <c:v>6140.9721980067206</c:v>
                </c:pt>
                <c:pt idx="53">
                  <c:v>6087.5133488883821</c:v>
                </c:pt>
                <c:pt idx="54">
                  <c:v>6041.1503880647397</c:v>
                </c:pt>
                <c:pt idx="55">
                  <c:v>6001.2061582648275</c:v>
                </c:pt>
                <c:pt idx="56">
                  <c:v>5967.0686726501217</c:v>
                </c:pt>
                <c:pt idx="57">
                  <c:v>5938.1840772179658</c:v>
                </c:pt>
                <c:pt idx="58">
                  <c:v>5914.0504522807769</c:v>
                </c:pt>
                <c:pt idx="59">
                  <c:v>5894.2123465972354</c:v>
                </c:pt>
                <c:pt idx="60">
                  <c:v>5878.2559515608673</c:v>
                </c:pt>
                <c:pt idx="61">
                  <c:v>5865.8048349350793</c:v>
                </c:pt>
                <c:pt idx="62">
                  <c:v>5856.5161641511086</c:v>
                </c:pt>
                <c:pt idx="63">
                  <c:v>5850.0773583369655</c:v>
                </c:pt>
                <c:pt idx="64">
                  <c:v>5846.2031161883915</c:v>
                </c:pt>
                <c:pt idx="65">
                  <c:v>5844.6327736795456</c:v>
                </c:pt>
                <c:pt idx="66">
                  <c:v>5845.127951577836</c:v>
                </c:pt>
                <c:pt idx="67">
                  <c:v>5847.4704578952915</c:v>
                </c:pt>
                <c:pt idx="68">
                  <c:v>5851.4604148845283</c:v>
                </c:pt>
                <c:pt idx="69">
                  <c:v>5856.9145840642959</c:v>
                </c:pt>
                <c:pt idx="70">
                  <c:v>5863.6648661188128</c:v>
                </c:pt>
                <c:pt idx="71">
                  <c:v>5871.5569554273397</c:v>
                </c:pt>
                <c:pt idx="72">
                  <c:v>5880.4491315067271</c:v>
                </c:pt>
                <c:pt idx="73">
                  <c:v>5890.2111718428096</c:v>
                </c:pt>
                <c:pt idx="74">
                  <c:v>5900.7233724919624</c:v>
                </c:pt>
                <c:pt idx="75">
                  <c:v>5911.875664491281</c:v>
                </c:pt>
                <c:pt idx="76">
                  <c:v>5923.5668155582744</c:v>
                </c:pt>
                <c:pt idx="77">
                  <c:v>5935.7037078179674</c:v>
                </c:pt>
                <c:pt idx="78">
                  <c:v>5948.2006833917821</c:v>
                </c:pt>
                <c:pt idx="79">
                  <c:v>5960.9789506401785</c:v>
                </c:pt>
                <c:pt idx="80">
                  <c:v>5973.9660446881817</c:v>
                </c:pt>
                <c:pt idx="81">
                  <c:v>5987.0953365958603</c:v>
                </c:pt>
                <c:pt idx="82">
                  <c:v>6000.3055861779676</c:v>
                </c:pt>
                <c:pt idx="83">
                  <c:v>6013.5405340404996</c:v>
                </c:pt>
                <c:pt idx="84">
                  <c:v>6026.748528897022</c:v>
                </c:pt>
                <c:pt idx="85">
                  <c:v>6039.882186662915</c:v>
                </c:pt>
                <c:pt idx="86">
                  <c:v>6052.8980782092458</c:v>
                </c:pt>
                <c:pt idx="87">
                  <c:v>6065.7564429959702</c:v>
                </c:pt>
                <c:pt idx="88">
                  <c:v>6078.4209261026908</c:v>
                </c:pt>
                <c:pt idx="89">
                  <c:v>6090.858336438956</c:v>
                </c:pt>
                <c:pt idx="90">
                  <c:v>6103.0384241495294</c:v>
                </c:pt>
                <c:pt idx="91">
                  <c:v>6114.9336754369106</c:v>
                </c:pt>
                <c:pt idx="92">
                  <c:v>6126.5191232068428</c:v>
                </c:pt>
                <c:pt idx="93">
                  <c:v>6137.7721721054868</c:v>
                </c:pt>
                <c:pt idx="94">
                  <c:v>6148.6724366618428</c:v>
                </c:pt>
                <c:pt idx="95">
                  <c:v>6159.2015913779469</c:v>
                </c:pt>
                <c:pt idx="96">
                  <c:v>6169.3432317243396</c:v>
                </c:pt>
                <c:pt idx="97">
                  <c:v>6179.0827451008172</c:v>
                </c:pt>
                <c:pt idx="98">
                  <c:v>6188.4071909141403</c:v>
                </c:pt>
                <c:pt idx="99">
                  <c:v>6197.3051890061843</c:v>
                </c:pt>
                <c:pt idx="100">
                  <c:v>6205.7668157394519</c:v>
                </c:pt>
                <c:pt idx="101">
                  <c:v>6213.7835071124464</c:v>
                </c:pt>
                <c:pt idx="102">
                  <c:v>6221.3479683364449</c:v>
                </c:pt>
                <c:pt idx="103">
                  <c:v>6228.4540893580252</c:v>
                </c:pt>
                <c:pt idx="104">
                  <c:v>6235.0968658593638</c:v>
                </c:pt>
                <c:pt idx="105">
                  <c:v>6241.2723253110044</c:v>
                </c:pt>
                <c:pt idx="106">
                  <c:v>6246.9774576904329</c:v>
                </c:pt>
                <c:pt idx="107">
                  <c:v>6252.2101505144137</c:v>
                </c:pt>
                <c:pt idx="108">
                  <c:v>6256.969127864495</c:v>
                </c:pt>
                <c:pt idx="109">
                  <c:v>6261.253893113234</c:v>
                </c:pt>
                <c:pt idx="110">
                  <c:v>6265.0646750844307</c:v>
                </c:pt>
                <c:pt idx="111">
                  <c:v>6268.4023774035704</c:v>
                </c:pt>
                <c:pt idx="112">
                  <c:v>6271.2685308157988</c:v>
                </c:pt>
                <c:pt idx="113">
                  <c:v>6273.6652482675554</c:v>
                </c:pt>
                <c:pt idx="114">
                  <c:v>6275.5951825652601</c:v>
                </c:pt>
                <c:pt idx="115">
                  <c:v>6277.0615168650947</c:v>
                </c:pt>
                <c:pt idx="116">
                  <c:v>6278.067803562617</c:v>
                </c:pt>
                <c:pt idx="117">
                  <c:v>6278.6181165439993</c:v>
                </c:pt>
                <c:pt idx="118">
                  <c:v>6278.7168904758582</c:v>
                </c:pt>
                <c:pt idx="119">
                  <c:v>6278.3689213157058</c:v>
                </c:pt>
                <c:pt idx="120">
                  <c:v>6277.5793362925151</c:v>
                </c:pt>
                <c:pt idx="121">
                  <c:v>6276.353565522536</c:v>
                </c:pt>
                <c:pt idx="122">
                  <c:v>6274.6973151649981</c:v>
                </c:pt>
                <c:pt idx="123">
                  <c:v>6272.6165420296302</c:v>
                </c:pt>
                <c:pt idx="124">
                  <c:v>6270.1174295545416</c:v>
                </c:pt>
                <c:pt idx="125">
                  <c:v>6267.2063650791106</c:v>
                </c:pt>
                <c:pt idx="126">
                  <c:v>6263.8899183420053</c:v>
                </c:pt>
                <c:pt idx="127">
                  <c:v>6260.1748211395152</c:v>
                </c:pt>
                <c:pt idx="128">
                  <c:v>6256.0679480840136</c:v>
                </c:pt>
                <c:pt idx="129">
                  <c:v>6251.5762984064813</c:v>
                </c:pt>
                <c:pt idx="130">
                  <c:v>6246.7069787509618</c:v>
                </c:pt>
                <c:pt idx="131">
                  <c:v>6241.467186912254</c:v>
                </c:pt>
                <c:pt idx="132">
                  <c:v>6235.8641964713579</c:v>
                </c:pt>
                <c:pt idx="133">
                  <c:v>6229.905342286168</c:v>
                </c:pt>
                <c:pt idx="134">
                  <c:v>6223.5980067975352</c:v>
                </c:pt>
                <c:pt idx="135">
                  <c:v>6216.949607113268</c:v>
                </c:pt>
                <c:pt idx="136">
                  <c:v>6209.9675828349409</c:v>
                </c:pt>
                <c:pt idx="137">
                  <c:v>6202.6593845943853</c:v>
                </c:pt>
                <c:pt idx="138">
                  <c:v>6195.0324632686179</c:v>
                </c:pt>
                <c:pt idx="139">
                  <c:v>6187.0942598437014</c:v>
                </c:pt>
                <c:pt idx="140">
                  <c:v>6178.8521958996389</c:v>
                </c:pt>
                <c:pt idx="141">
                  <c:v>6170.3136646898047</c:v>
                </c:pt>
                <c:pt idx="142">
                  <c:v>6161.4860227897561</c:v>
                </c:pt>
                <c:pt idx="143">
                  <c:v>6152.376582291552</c:v>
                </c:pt>
                <c:pt idx="144">
                  <c:v>6142.99260352075</c:v>
                </c:pt>
                <c:pt idx="145">
                  <c:v>6133.3412882543535</c:v>
                </c:pt>
                <c:pt idx="146">
                  <c:v>6123.4297734188904</c:v>
                </c:pt>
                <c:pt idx="147">
                  <c:v>6113.2651252487576</c:v>
                </c:pt>
                <c:pt idx="148">
                  <c:v>6102.8543338856698</c:v>
                </c:pt>
                <c:pt idx="149">
                  <c:v>6092.204308400952</c:v>
                </c:pt>
                <c:pt idx="150">
                  <c:v>6081.3218722229758</c:v>
                </c:pt>
                <c:pt idx="151">
                  <c:v>6070.213758952812</c:v>
                </c:pt>
                <c:pt idx="152">
                  <c:v>6058.8866085516747</c:v>
                </c:pt>
                <c:pt idx="153">
                  <c:v>6047.3469638844253</c:v>
                </c:pt>
                <c:pt idx="154">
                  <c:v>6035.6012676037835</c:v>
                </c:pt>
                <c:pt idx="155">
                  <c:v>6023.6558593605532</c:v>
                </c:pt>
                <c:pt idx="156">
                  <c:v>6011.5169733255216</c:v>
                </c:pt>
                <c:pt idx="157">
                  <c:v>5999.1907360091973</c:v>
                </c:pt>
                <c:pt idx="158">
                  <c:v>5986.683164365948</c:v>
                </c:pt>
                <c:pt idx="159">
                  <c:v>5974.0001641695453</c:v>
                </c:pt>
                <c:pt idx="160">
                  <c:v>5961.1475286474333</c:v>
                </c:pt>
                <c:pt idx="161">
                  <c:v>5948.1309373614604</c:v>
                </c:pt>
                <c:pt idx="162">
                  <c:v>5934.9559553231775</c:v>
                </c:pt>
                <c:pt idx="163">
                  <c:v>5921.628032332088</c:v>
                </c:pt>
                <c:pt idx="164">
                  <c:v>5908.1525025256124</c:v>
                </c:pt>
                <c:pt idx="165">
                  <c:v>5894.5345841298267</c:v>
                </c:pt>
                <c:pt idx="166">
                  <c:v>5880.7793794003501</c:v>
                </c:pt>
                <c:pt idx="167">
                  <c:v>5866.8918747430662</c:v>
                </c:pt>
                <c:pt idx="168">
                  <c:v>5852.8769410046361</c:v>
                </c:pt>
                <c:pt idx="169">
                  <c:v>5838.7393339230621</c:v>
                </c:pt>
                <c:pt idx="170">
                  <c:v>5824.4836947288559</c:v>
                </c:pt>
                <c:pt idx="171">
                  <c:v>5810.1145508876161</c:v>
                </c:pt>
                <c:pt idx="172">
                  <c:v>5795.6363169751248</c:v>
                </c:pt>
                <c:pt idx="173">
                  <c:v>5781.0532956763009</c:v>
                </c:pt>
                <c:pt idx="174">
                  <c:v>5766.3696788996731</c:v>
                </c:pt>
                <c:pt idx="175">
                  <c:v>5751.5895489992299</c:v>
                </c:pt>
                <c:pt idx="176">
                  <c:v>5736.7168800958279</c:v>
                </c:pt>
                <c:pt idx="177">
                  <c:v>5721.7555394905467</c:v>
                </c:pt>
                <c:pt idx="178">
                  <c:v>5706.7092891626571</c:v>
                </c:pt>
                <c:pt idx="179">
                  <c:v>5691.5817873451251</c:v>
                </c:pt>
                <c:pt idx="180">
                  <c:v>5676.3765901708221</c:v>
                </c:pt>
                <c:pt idx="181">
                  <c:v>5661.0971533827933</c:v>
                </c:pt>
                <c:pt idx="182">
                  <c:v>5645.7468341023423</c:v>
                </c:pt>
                <c:pt idx="183">
                  <c:v>5630.3288926487085</c:v>
                </c:pt>
                <c:pt idx="184">
                  <c:v>5614.8464944045591</c:v>
                </c:pt>
                <c:pt idx="185">
                  <c:v>5599.3027117216061</c:v>
                </c:pt>
                <c:pt idx="186">
                  <c:v>5583.7005258609752</c:v>
                </c:pt>
                <c:pt idx="187">
                  <c:v>5568.0428289631409</c:v>
                </c:pt>
                <c:pt idx="188">
                  <c:v>5552.3324260424979</c:v>
                </c:pt>
                <c:pt idx="189">
                  <c:v>5536.572037001798</c:v>
                </c:pt>
                <c:pt idx="190">
                  <c:v>5520.7642986620285</c:v>
                </c:pt>
                <c:pt idx="191">
                  <c:v>5504.9117668033468</c:v>
                </c:pt>
                <c:pt idx="192">
                  <c:v>5489.0169182130767</c:v>
                </c:pt>
                <c:pt idx="193">
                  <c:v>5473.0821527368307</c:v>
                </c:pt>
                <c:pt idx="194">
                  <c:v>5457.1097953291328</c:v>
                </c:pt>
                <c:pt idx="195">
                  <c:v>5441.1020981000738</c:v>
                </c:pt>
                <c:pt idx="196">
                  <c:v>5425.06124235467</c:v>
                </c:pt>
                <c:pt idx="197">
                  <c:v>5408.9893406219362</c:v>
                </c:pt>
                <c:pt idx="198">
                  <c:v>5392.8884386707005</c:v>
                </c:pt>
                <c:pt idx="199">
                  <c:v>5376.7605175094741</c:v>
                </c:pt>
                <c:pt idx="200">
                  <c:v>5360.6074953678599</c:v>
                </c:pt>
                <c:pt idx="201">
                  <c:v>5344.4312296570961</c:v>
                </c:pt>
                <c:pt idx="202">
                  <c:v>5328.2335189075666</c:v>
                </c:pt>
                <c:pt idx="203">
                  <c:v>5312.0161046812427</c:v>
                </c:pt>
                <c:pt idx="204">
                  <c:v>5295.780673457155</c:v>
                </c:pt>
                <c:pt idx="205">
                  <c:v>5279.5288584882037</c:v>
                </c:pt>
                <c:pt idx="206">
                  <c:v>5263.2622416277045</c:v>
                </c:pt>
                <c:pt idx="207">
                  <c:v>5246.982355124248</c:v>
                </c:pt>
                <c:pt idx="208">
                  <c:v>5230.6906833835683</c:v>
                </c:pt>
                <c:pt idx="209">
                  <c:v>5214.3886646962637</c:v>
                </c:pt>
                <c:pt idx="210">
                  <c:v>5198.0776929303238</c:v>
                </c:pt>
                <c:pt idx="211">
                  <c:v>5181.7591191875454</c:v>
                </c:pt>
                <c:pt idx="212">
                  <c:v>5165.4342534230354</c:v>
                </c:pt>
                <c:pt idx="213">
                  <c:v>5149.1043660271444</c:v>
                </c:pt>
                <c:pt idx="214">
                  <c:v>5132.7706893691802</c:v>
                </c:pt>
                <c:pt idx="215">
                  <c:v>5116.4344193025045</c:v>
                </c:pt>
                <c:pt idx="216">
                  <c:v>5100.0967166305836</c:v>
                </c:pt>
                <c:pt idx="217">
                  <c:v>5083.7587085336963</c:v>
                </c:pt>
                <c:pt idx="218">
                  <c:v>5067.4214899561412</c:v>
                </c:pt>
                <c:pt idx="219">
                  <c:v>5051.0861249537829</c:v>
                </c:pt>
                <c:pt idx="220">
                  <c:v>5034.7536480019216</c:v>
                </c:pt>
                <c:pt idx="221">
                  <c:v>5018.4250652635219</c:v>
                </c:pt>
                <c:pt idx="222">
                  <c:v>5002.101355817882</c:v>
                </c:pt>
                <c:pt idx="223">
                  <c:v>4985.7834728499465</c:v>
                </c:pt>
                <c:pt idx="224">
                  <c:v>4969.4723448004752</c:v>
                </c:pt>
                <c:pt idx="225">
                  <c:v>4953.1688764773644</c:v>
                </c:pt>
                <c:pt idx="226">
                  <c:v>4936.8739501284554</c:v>
                </c:pt>
                <c:pt idx="227">
                  <c:v>4920.5884264762381</c:v>
                </c:pt>
                <c:pt idx="228">
                  <c:v>4904.3131457148893</c:v>
                </c:pt>
                <c:pt idx="229">
                  <c:v>4888.0489284701025</c:v>
                </c:pt>
                <c:pt idx="230">
                  <c:v>4871.7965767222649</c:v>
                </c:pt>
                <c:pt idx="231">
                  <c:v>4855.5568746935278</c:v>
                </c:pt>
                <c:pt idx="232">
                  <c:v>4839.3305896993343</c:v>
                </c:pt>
                <c:pt idx="233">
                  <c:v>4823.1184729650904</c:v>
                </c:pt>
                <c:pt idx="234">
                  <c:v>4806.9212604085351</c:v>
                </c:pt>
                <c:pt idx="235">
                  <c:v>4790.7396733885607</c:v>
                </c:pt>
                <c:pt idx="236">
                  <c:v>4774.5744194211447</c:v>
                </c:pt>
                <c:pt idx="237">
                  <c:v>4758.4261928630985</c:v>
                </c:pt>
                <c:pt idx="238">
                  <c:v>4742.2956755643499</c:v>
                </c:pt>
                <c:pt idx="239">
                  <c:v>4726.1835374895572</c:v>
                </c:pt>
                <c:pt idx="240">
                  <c:v>4710.0904373097192</c:v>
                </c:pt>
                <c:pt idx="241">
                  <c:v>4694.0170229646428</c:v>
                </c:pt>
                <c:pt idx="242">
                  <c:v>4677.963932196938</c:v>
                </c:pt>
                <c:pt idx="243">
                  <c:v>4661.9317930584084</c:v>
                </c:pt>
                <c:pt idx="244">
                  <c:v>4645.9212243895427</c:v>
                </c:pt>
                <c:pt idx="245">
                  <c:v>4629.9328362729484</c:v>
                </c:pt>
                <c:pt idx="246">
                  <c:v>4613.9672304614505</c:v>
                </c:pt>
                <c:pt idx="247">
                  <c:v>4598.0250007816921</c:v>
                </c:pt>
                <c:pt idx="248">
                  <c:v>4582.1067335139924</c:v>
                </c:pt>
                <c:pt idx="249">
                  <c:v>4566.2130077492175</c:v>
                </c:pt>
                <c:pt idx="250">
                  <c:v>4550.3443957234776</c:v>
                </c:pt>
                <c:pt idx="251">
                  <c:v>4534.501463131377</c:v>
                </c:pt>
                <c:pt idx="252">
                  <c:v>4518.6847694185926</c:v>
                </c:pt>
                <c:pt idx="253">
                  <c:v>4502.89486805454</c:v>
                </c:pt>
                <c:pt idx="254">
                  <c:v>4487.1323067858339</c:v>
                </c:pt>
                <c:pt idx="255">
                  <c:v>4471.3976278713208</c:v>
                </c:pt>
                <c:pt idx="256">
                  <c:v>4455.6913682993691</c:v>
                </c:pt>
                <c:pt idx="257">
                  <c:v>4440.0140599881242</c:v>
                </c:pt>
                <c:pt idx="258">
                  <c:v>4424.3662299694652</c:v>
                </c:pt>
                <c:pt idx="259">
                  <c:v>4408.7484005573106</c:v>
                </c:pt>
                <c:pt idx="260">
                  <c:v>4393.1610895009526</c:v>
                </c:pt>
                <c:pt idx="261">
                  <c:v>4377.6048101241031</c:v>
                </c:pt>
                <c:pt idx="262">
                  <c:v>4362.0800714502629</c:v>
                </c:pt>
                <c:pt idx="263">
                  <c:v>4346.5873783150728</c:v>
                </c:pt>
                <c:pt idx="264">
                  <c:v>4331.1272314662619</c:v>
                </c:pt>
                <c:pt idx="265">
                  <c:v>4315.7001276517667</c:v>
                </c:pt>
                <c:pt idx="266">
                  <c:v>4300.3065596966726</c:v>
                </c:pt>
                <c:pt idx="267">
                  <c:v>4284.9470165694675</c:v>
                </c:pt>
                <c:pt idx="268">
                  <c:v>4269.6219834382509</c:v>
                </c:pt>
                <c:pt idx="269">
                  <c:v>4254.3319417173789</c:v>
                </c:pt>
                <c:pt idx="270">
                  <c:v>4239.0773691051081</c:v>
                </c:pt>
                <c:pt idx="271">
                  <c:v>4223.8587396127477</c:v>
                </c:pt>
                <c:pt idx="272">
                  <c:v>4208.676523585802</c:v>
                </c:pt>
                <c:pt idx="273">
                  <c:v>4193.5311877176164</c:v>
                </c:pt>
                <c:pt idx="274">
                  <c:v>4178.4231950559588</c:v>
                </c:pt>
                <c:pt idx="275">
                  <c:v>4163.3530050030295</c:v>
                </c:pt>
                <c:pt idx="276">
                  <c:v>4148.321073309311</c:v>
                </c:pt>
                <c:pt idx="277">
                  <c:v>4133.327852061685</c:v>
                </c:pt>
                <c:pt idx="278">
                  <c:v>4118.3737896662524</c:v>
                </c:pt>
                <c:pt idx="279">
                  <c:v>4103.459330826212</c:v>
                </c:pt>
                <c:pt idx="280">
                  <c:v>4088.5849165152154</c:v>
                </c:pt>
                <c:pt idx="281">
                  <c:v>4073.7509839465461</c:v>
                </c:pt>
                <c:pt idx="282">
                  <c:v>4058.9579665384736</c:v>
                </c:pt>
                <c:pt idx="283">
                  <c:v>4044.2064083430073</c:v>
                </c:pt>
                <c:pt idx="284">
                  <c:v>4029.4965034487641</c:v>
                </c:pt>
                <c:pt idx="285">
                  <c:v>4014.8287908755392</c:v>
                </c:pt>
                <c:pt idx="286">
                  <c:v>4000.2036884483105</c:v>
                </c:pt>
                <c:pt idx="287">
                  <c:v>3985.6216099781441</c:v>
                </c:pt>
                <c:pt idx="288">
                  <c:v>3971.0829652113362</c:v>
                </c:pt>
                <c:pt idx="289">
                  <c:v>3956.5881597768648</c:v>
                </c:pt>
                <c:pt idx="290">
                  <c:v>3942.1375951323889</c:v>
                </c:pt>
                <c:pt idx="291">
                  <c:v>3927.73166850903</c:v>
                </c:pt>
                <c:pt idx="292">
                  <c:v>3913.3707728551885</c:v>
                </c:pt>
                <c:pt idx="293">
                  <c:v>3899.0552967795811</c:v>
                </c:pt>
                <c:pt idx="294">
                  <c:v>3884.7856244937457</c:v>
                </c:pt>
                <c:pt idx="295">
                  <c:v>3870.562135754169</c:v>
                </c:pt>
                <c:pt idx="296">
                  <c:v>3856.3852058042671</c:v>
                </c:pt>
                <c:pt idx="297">
                  <c:v>3842.2552053163727</c:v>
                </c:pt>
                <c:pt idx="298">
                  <c:v>3828.1725003338875</c:v>
                </c:pt>
                <c:pt idx="299">
                  <c:v>3814.1374522137926</c:v>
                </c:pt>
                <c:pt idx="300">
                  <c:v>3800.1504175696437</c:v>
                </c:pt>
                <c:pt idx="301">
                  <c:v>3786.211748215188</c:v>
                </c:pt>
                <c:pt idx="302">
                  <c:v>3772.321791108749</c:v>
                </c:pt>
                <c:pt idx="303">
                  <c:v>3758.4808882985099</c:v>
                </c:pt>
                <c:pt idx="304">
                  <c:v>3744.6893768687869</c:v>
                </c:pt>
                <c:pt idx="305">
                  <c:v>3730.9475888874299</c:v>
                </c:pt>
                <c:pt idx="306">
                  <c:v>3717.2558513544309</c:v>
                </c:pt>
                <c:pt idx="307">
                  <c:v>3703.6144861518478</c:v>
                </c:pt>
                <c:pt idx="308">
                  <c:v>3690.0238099951284</c:v>
                </c:pt>
                <c:pt idx="309">
                  <c:v>3676.4841343859148</c:v>
                </c:pt>
                <c:pt idx="310">
                  <c:v>3662.9957655663984</c:v>
                </c:pt>
                <c:pt idx="311">
                  <c:v>3649.5590044753026</c:v>
                </c:pt>
                <c:pt idx="312">
                  <c:v>3636.1741467055567</c:v>
                </c:pt>
                <c:pt idx="313">
                  <c:v>3622.8414824636957</c:v>
                </c:pt>
                <c:pt idx="314">
                  <c:v>3609.5612965310806</c:v>
                </c:pt>
                <c:pt idx="315">
                  <c:v>3596.3338682269323</c:v>
                </c:pt>
                <c:pt idx="316">
                  <c:v>3583.1594713732711</c:v>
                </c:pt>
                <c:pt idx="317">
                  <c:v>3570.0383742617596</c:v>
                </c:pt>
                <c:pt idx="318">
                  <c:v>3556.970839622501</c:v>
                </c:pt>
                <c:pt idx="319">
                  <c:v>3543.9571245948141</c:v>
                </c:pt>
                <c:pt idx="320">
                  <c:v>3530.9974807000062</c:v>
                </c:pt>
                <c:pt idx="321">
                  <c:v>3518.0921538161706</c:v>
                </c:pt>
                <c:pt idx="322">
                  <c:v>3505.2413841550124</c:v>
                </c:pt>
                <c:pt idx="323">
                  <c:v>3492.4454062407162</c:v>
                </c:pt>
                <c:pt idx="324">
                  <c:v>3479.7044488908828</c:v>
                </c:pt>
                <c:pt idx="325">
                  <c:v>3467.018735199501</c:v>
                </c:pt>
                <c:pt idx="326">
                  <c:v>3454.3884825220007</c:v>
                </c:pt>
                <c:pt idx="327">
                  <c:v>3441.813902462342</c:v>
                </c:pt>
                <c:pt idx="328">
                  <c:v>3429.2952008621742</c:v>
                </c:pt>
                <c:pt idx="329">
                  <c:v>3416.8325777920254</c:v>
                </c:pt>
                <c:pt idx="330">
                  <c:v>3404.4262275445403</c:v>
                </c:pt>
                <c:pt idx="331">
                  <c:v>3392.0763386297299</c:v>
                </c:pt>
                <c:pt idx="332">
                  <c:v>3379.7830937722315</c:v>
                </c:pt>
                <c:pt idx="333">
                  <c:v>3367.5466699105696</c:v>
                </c:pt>
                <c:pt idx="334">
                  <c:v>3355.3672381983688</c:v>
                </c:pt>
                <c:pt idx="335">
                  <c:v>3343.2449640075429</c:v>
                </c:pt>
                <c:pt idx="336">
                  <c:v>3331.1800069333894</c:v>
                </c:pt>
                <c:pt idx="337">
                  <c:v>3319.1725208016037</c:v>
                </c:pt>
                <c:pt idx="338">
                  <c:v>3307.2226536771732</c:v>
                </c:pt>
                <c:pt idx="339">
                  <c:v>3295.3305478751058</c:v>
                </c:pt>
                <c:pt idx="340">
                  <c:v>3283.4963399730041</c:v>
                </c:pt>
                <c:pt idx="341">
                  <c:v>3271.7201608254118</c:v>
                </c:pt>
                <c:pt idx="342">
                  <c:v>3260.0021355799408</c:v>
                </c:pt>
                <c:pt idx="343">
                  <c:v>3248.3423836951147</c:v>
                </c:pt>
                <c:pt idx="344">
                  <c:v>3236.7410189599113</c:v>
                </c:pt>
                <c:pt idx="345">
                  <c:v>3225.1981495149785</c:v>
                </c:pt>
                <c:pt idx="346">
                  <c:v>3213.7138778754584</c:v>
                </c:pt>
                <c:pt idx="347">
                  <c:v>3202.2883009554334</c:v>
                </c:pt>
                <c:pt idx="348">
                  <c:v>3190.9215100938927</c:v>
                </c:pt>
                <c:pt idx="349">
                  <c:v>3179.6135910822513</c:v>
                </c:pt>
                <c:pt idx="350">
                  <c:v>3168.3646241933393</c:v>
                </c:pt>
                <c:pt idx="351">
                  <c:v>3157.1746842118209</c:v>
                </c:pt>
                <c:pt idx="352">
                  <c:v>3146.0438404660576</c:v>
                </c:pt>
                <c:pt idx="353">
                  <c:v>3134.9721568612936</c:v>
                </c:pt>
                <c:pt idx="354">
                  <c:v>3123.9596919142182</c:v>
                </c:pt>
                <c:pt idx="355">
                  <c:v>3113.0064987887863</c:v>
                </c:pt>
                <c:pt idx="356">
                  <c:v>3102.1126253332995</c:v>
                </c:pt>
                <c:pt idx="357">
                  <c:v>3091.2781141187152</c:v>
                </c:pt>
                <c:pt idx="358">
                  <c:v>3080.5030024781113</c:v>
                </c:pt>
                <c:pt idx="359">
                  <c:v>3069.7873225473004</c:v>
                </c:pt>
                <c:pt idx="360">
                  <c:v>3059.1311013065279</c:v>
                </c:pt>
                <c:pt idx="361">
                  <c:v>3048.5343606232436</c:v>
                </c:pt>
                <c:pt idx="362">
                  <c:v>3037.997117295879</c:v>
                </c:pt>
                <c:pt idx="363">
                  <c:v>3027.5193830986082</c:v>
                </c:pt>
                <c:pt idx="364">
                  <c:v>3017.1011648270605</c:v>
                </c:pt>
                <c:pt idx="365">
                  <c:v>3006.7424643449167</c:v>
                </c:pt>
                <c:pt idx="366">
                  <c:v>2996.4432786313946</c:v>
                </c:pt>
                <c:pt idx="367">
                  <c:v>2986.2035998295437</c:v>
                </c:pt>
                <c:pt idx="368">
                  <c:v>2976.0234152953431</c:v>
                </c:pt>
                <c:pt idx="369">
                  <c:v>2965.9027076475513</c:v>
                </c:pt>
                <c:pt idx="370">
                  <c:v>2955.84145481826</c:v>
                </c:pt>
                <c:pt idx="371">
                  <c:v>2945.8396301041566</c:v>
                </c:pt>
                <c:pt idx="372">
                  <c:v>2935.8972022184003</c:v>
                </c:pt>
                <c:pt idx="373">
                  <c:v>2926.0141353431382</c:v>
                </c:pt>
                <c:pt idx="374">
                  <c:v>2916.1903891825714</c:v>
                </c:pt>
                <c:pt idx="375">
                  <c:v>2906.4259190165817</c:v>
                </c:pt>
                <c:pt idx="376">
                  <c:v>2896.720675754852</c:v>
                </c:pt>
                <c:pt idx="377">
                  <c:v>2887.074605991465</c:v>
                </c:pt>
                <c:pt idx="378">
                  <c:v>2877.4876520599469</c:v>
                </c:pt>
                <c:pt idx="379">
                  <c:v>2867.9597520887173</c:v>
                </c:pt>
                <c:pt idx="380">
                  <c:v>2858.4908400569016</c:v>
                </c:pt>
                <c:pt idx="381">
                  <c:v>2849.0808458505207</c:v>
                </c:pt>
                <c:pt idx="382">
                  <c:v>2839.7296953189557</c:v>
                </c:pt>
                <c:pt idx="383">
                  <c:v>2830.4373103317344</c:v>
                </c:pt>
                <c:pt idx="384">
                  <c:v>2821.2036088355426</c:v>
                </c:pt>
                <c:pt idx="385">
                  <c:v>2812.0285049114827</c:v>
                </c:pt>
                <c:pt idx="386">
                  <c:v>2802.911908832516</c:v>
                </c:pt>
                <c:pt idx="387">
                  <c:v>2793.8537271210844</c:v>
                </c:pt>
                <c:pt idx="388">
                  <c:v>2784.8538626068689</c:v>
                </c:pt>
                <c:pt idx="389">
                  <c:v>2775.912214484666</c:v>
                </c:pt>
                <c:pt idx="390">
                  <c:v>2767.0286783723527</c:v>
                </c:pt>
                <c:pt idx="391">
                  <c:v>2758.2031463689141</c:v>
                </c:pt>
                <c:pt idx="392">
                  <c:v>2749.4355071125256</c:v>
                </c:pt>
                <c:pt idx="393">
                  <c:v>2740.7256458386237</c:v>
                </c:pt>
                <c:pt idx="394">
                  <c:v>2732.0734444379927</c:v>
                </c:pt>
                <c:pt idx="395">
                  <c:v>2723.4787815148102</c:v>
                </c:pt>
                <c:pt idx="396">
                  <c:v>2714.9415324446395</c:v>
                </c:pt>
                <c:pt idx="397">
                  <c:v>2706.4615694323466</c:v>
                </c:pt>
                <c:pt idx="398">
                  <c:v>2698.0387615699224</c:v>
                </c:pt>
                <c:pt idx="399">
                  <c:v>2689.6729748941884</c:v>
                </c:pt>
                <c:pt idx="400">
                  <c:v>2681.3640724443649</c:v>
                </c:pt>
                <c:pt idx="401">
                  <c:v>2673.1119143194765</c:v>
                </c:pt>
                <c:pt idx="402">
                  <c:v>2664.9163577355935</c:v>
                </c:pt>
                <c:pt idx="403">
                  <c:v>2656.7772570828679</c:v>
                </c:pt>
                <c:pt idx="404">
                  <c:v>2648.6944639823701</c:v>
                </c:pt>
                <c:pt idx="405">
                  <c:v>2640.6678273426865</c:v>
                </c:pt>
                <c:pt idx="406">
                  <c:v>2632.6971934162716</c:v>
                </c:pt>
                <c:pt idx="407">
                  <c:v>2624.7824058555525</c:v>
                </c:pt>
                <c:pt idx="408">
                  <c:v>2616.9233057687379</c:v>
                </c:pt>
                <c:pt idx="409">
                  <c:v>2609.1197317753554</c:v>
                </c:pt>
                <c:pt idx="410">
                  <c:v>2601.3715200614579</c:v>
                </c:pt>
                <c:pt idx="411">
                  <c:v>2593.6785044345393</c:v>
                </c:pt>
                <c:pt idx="412">
                  <c:v>2586.0405163780902</c:v>
                </c:pt>
                <c:pt idx="413">
                  <c:v>2578.4573851058244</c:v>
                </c:pt>
                <c:pt idx="414">
                  <c:v>2570.9289376155407</c:v>
                </c:pt>
                <c:pt idx="415">
                  <c:v>2563.4549987426108</c:v>
                </c:pt>
                <c:pt idx="416">
                  <c:v>2556.0353912130977</c:v>
                </c:pt>
                <c:pt idx="417">
                  <c:v>2548.6699356964637</c:v>
                </c:pt>
                <c:pt idx="418">
                  <c:v>2541.3584508578915</c:v>
                </c:pt>
                <c:pt idx="419">
                  <c:v>2534.1007534101832</c:v>
                </c:pt>
                <c:pt idx="420">
                  <c:v>2526.8966581652371</c:v>
                </c:pt>
                <c:pt idx="421">
                  <c:v>2519.7459780850995</c:v>
                </c:pt>
                <c:pt idx="422">
                  <c:v>2512.6485243325665</c:v>
                </c:pt>
                <c:pt idx="423">
                  <c:v>2505.6041063213479</c:v>
                </c:pt>
                <c:pt idx="424">
                  <c:v>2498.6125317657657</c:v>
                </c:pt>
                <c:pt idx="425">
                  <c:v>2491.6736067299967</c:v>
                </c:pt>
                <c:pt idx="426">
                  <c:v>2484.787135676841</c:v>
                </c:pt>
                <c:pt idx="427">
                  <c:v>2477.9529215160119</c:v>
                </c:pt>
                <c:pt idx="428">
                  <c:v>2471.1707656519493</c:v>
                </c:pt>
                <c:pt idx="429">
                  <c:v>2464.4404680311386</c:v>
                </c:pt>
                <c:pt idx="430">
                  <c:v>2457.7618271889396</c:v>
                </c:pt>
                <c:pt idx="431">
                  <c:v>2451.1346402959116</c:v>
                </c:pt>
                <c:pt idx="432">
                  <c:v>2444.5587032036428</c:v>
                </c:pt>
                <c:pt idx="433">
                  <c:v>2438.033810490062</c:v>
                </c:pt>
                <c:pt idx="434">
                  <c:v>2431.5597555042496</c:v>
                </c:pt>
                <c:pt idx="435">
                  <c:v>2425.1363304107217</c:v>
                </c:pt>
                <c:pt idx="436">
                  <c:v>2418.7633262332056</c:v>
                </c:pt>
                <c:pt idx="437">
                  <c:v>2412.4405328978896</c:v>
                </c:pt>
                <c:pt idx="438">
                  <c:v>2406.1677392761444</c:v>
                </c:pt>
                <c:pt idx="439">
                  <c:v>2399.9447332267264</c:v>
                </c:pt>
                <c:pt idx="440">
                  <c:v>2393.7713016374473</c:v>
                </c:pt>
                <c:pt idx="441">
                  <c:v>2387.647230466313</c:v>
                </c:pt>
                <c:pt idx="442">
                  <c:v>2381.5723047821339</c:v>
                </c:pt>
                <c:pt idx="443">
                  <c:v>2375.5463088045972</c:v>
                </c:pt>
                <c:pt idx="444">
                  <c:v>2369.5690259438124</c:v>
                </c:pt>
                <c:pt idx="445">
                  <c:v>2363.6402388393121</c:v>
                </c:pt>
                <c:pt idx="446">
                  <c:v>2357.7597293985309</c:v>
                </c:pt>
                <c:pt idx="447">
                  <c:v>2351.9272788347339</c:v>
                </c:pt>
                <c:pt idx="448">
                  <c:v>2346.1426677044246</c:v>
                </c:pt>
                <c:pt idx="449">
                  <c:v>2340.4056759442037</c:v>
                </c:pt>
                <c:pt idx="450">
                  <c:v>2334.7160829071086</c:v>
                </c:pt>
                <c:pt idx="451">
                  <c:v>2329.0736673983997</c:v>
                </c:pt>
                <c:pt idx="452">
                  <c:v>2323.4782077108384</c:v>
                </c:pt>
                <c:pt idx="453">
                  <c:v>2317.9294816594038</c:v>
                </c:pt>
                <c:pt idx="454">
                  <c:v>2312.4272666155102</c:v>
                </c:pt>
                <c:pt idx="455">
                  <c:v>2306.9713395406679</c:v>
                </c:pt>
                <c:pt idx="456">
                  <c:v>2301.5614770196325</c:v>
                </c:pt>
                <c:pt idx="457">
                  <c:v>2296.1974552930242</c:v>
                </c:pt>
                <c:pt idx="458">
                  <c:v>2290.8790502894235</c:v>
                </c:pt>
                <c:pt idx="459">
                  <c:v>2285.6060376569435</c:v>
                </c:pt>
                <c:pt idx="460">
                  <c:v>2280.3781927942864</c:v>
                </c:pt>
                <c:pt idx="461">
                  <c:v>2275.1952908812787</c:v>
                </c:pt>
                <c:pt idx="462">
                  <c:v>2270.0571069088996</c:v>
                </c:pt>
                <c:pt idx="463">
                  <c:v>2264.9634157087844</c:v>
                </c:pt>
                <c:pt idx="464">
                  <c:v>2259.9139919822364</c:v>
                </c:pt>
                <c:pt idx="465">
                  <c:v>2254.9086103287182</c:v>
                </c:pt>
                <c:pt idx="466">
                  <c:v>2249.9470452738492</c:v>
                </c:pt>
                <c:pt idx="467">
                  <c:v>2245.0290712969008</c:v>
                </c:pt>
                <c:pt idx="468">
                  <c:v>2240.1544628577949</c:v>
                </c:pt>
                <c:pt idx="469">
                  <c:v>2235.3229944236095</c:v>
                </c:pt>
                <c:pt idx="470">
                  <c:v>2230.5344404945981</c:v>
                </c:pt>
                <c:pt idx="471">
                  <c:v>2225.7885756297214</c:v>
                </c:pt>
                <c:pt idx="472">
                  <c:v>2221.0851744716933</c:v>
                </c:pt>
                <c:pt idx="473">
                  <c:v>2216.4240117715608</c:v>
                </c:pt>
                <c:pt idx="474">
                  <c:v>2211.804862412795</c:v>
                </c:pt>
                <c:pt idx="475">
                  <c:v>2207.2275014349188</c:v>
                </c:pt>
                <c:pt idx="476">
                  <c:v>2202.691704056675</c:v>
                </c:pt>
                <c:pt idx="477">
                  <c:v>2198.1972456987187</c:v>
                </c:pt>
                <c:pt idx="478">
                  <c:v>2193.7439020058632</c:v>
                </c:pt>
                <c:pt idx="479">
                  <c:v>2189.3314488688648</c:v>
                </c:pt>
                <c:pt idx="480">
                  <c:v>2184.9596624457649</c:v>
                </c:pt>
                <c:pt idx="481">
                  <c:v>2180.6283191827811</c:v>
                </c:pt>
                <c:pt idx="482">
                  <c:v>2176.337195834762</c:v>
                </c:pt>
                <c:pt idx="483">
                  <c:v>2172.0860694851995</c:v>
                </c:pt>
                <c:pt idx="484">
                  <c:v>2167.8747175658204</c:v>
                </c:pt>
                <c:pt idx="485">
                  <c:v>2163.7029178757366</c:v>
                </c:pt>
                <c:pt idx="486">
                  <c:v>2159.5704486001882</c:v>
                </c:pt>
                <c:pt idx="487">
                  <c:v>2155.4770883288511</c:v>
                </c:pt>
                <c:pt idx="488">
                  <c:v>2151.4226160737476</c:v>
                </c:pt>
                <c:pt idx="489">
                  <c:v>2147.4068112867371</c:v>
                </c:pt>
                <c:pt idx="490">
                  <c:v>2143.4294538766067</c:v>
                </c:pt>
                <c:pt idx="491">
                  <c:v>2139.4903242257615</c:v>
                </c:pt>
                <c:pt idx="492">
                  <c:v>2135.5892032065203</c:v>
                </c:pt>
                <c:pt idx="493">
                  <c:v>2131.7258721970215</c:v>
                </c:pt>
                <c:pt idx="494">
                  <c:v>2127.9001130967417</c:v>
                </c:pt>
                <c:pt idx="495">
                  <c:v>2124.1117083416361</c:v>
                </c:pt>
                <c:pt idx="496">
                  <c:v>2120.3604409188997</c:v>
                </c:pt>
                <c:pt idx="497">
                  <c:v>2116.6460943813627</c:v>
                </c:pt>
                <c:pt idx="498">
                  <c:v>2112.9684528615112</c:v>
                </c:pt>
                <c:pt idx="499">
                  <c:v>2109.3273010851544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211-491C-9CE7-BCD1A6474A31}"/>
            </c:ext>
          </c:extLst>
        </c:ser>
        <c:ser>
          <c:idx val="2"/>
          <c:order val="2"/>
          <c:tx>
            <c:v>I1</c:v>
          </c:tx>
          <c:spPr>
            <a:ln w="28575">
              <a:solidFill>
                <a:schemeClr val="accent6"/>
              </a:solidFill>
            </a:ln>
          </c:spPr>
          <c:marker>
            <c:symbol val="circle"/>
            <c:size val="3"/>
            <c:spPr>
              <a:noFill/>
              <a:ln>
                <a:noFill/>
              </a:ln>
            </c:spPr>
          </c:marker>
          <c:xVal>
            <c:numRef>
              <c:f>'LM-OSL'!$C$32:$C$1031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</c:numCache>
            </c:numRef>
          </c:xVal>
          <c:yVal>
            <c:numRef>
              <c:f>'LM-OSL'!$R$32:$R$1031</c:f>
              <c:numCache>
                <c:formatCode>General</c:formatCode>
                <c:ptCount val="1000"/>
                <c:pt idx="0">
                  <c:v>0</c:v>
                </c:pt>
                <c:pt idx="1">
                  <c:v>4050.4701197718618</c:v>
                </c:pt>
                <c:pt idx="2">
                  <c:v>7232.1329886556778</c:v>
                </c:pt>
                <c:pt idx="3">
                  <c:v>9042.0638689412754</c:v>
                </c:pt>
                <c:pt idx="4">
                  <c:v>9476.2215064890988</c:v>
                </c:pt>
                <c:pt idx="5">
                  <c:v>8892.7848144430845</c:v>
                </c:pt>
                <c:pt idx="6">
                  <c:v>7759.8388720690609</c:v>
                </c:pt>
                <c:pt idx="7">
                  <c:v>6462.7121170867395</c:v>
                </c:pt>
                <c:pt idx="8">
                  <c:v>5235.8345027228179</c:v>
                </c:pt>
                <c:pt idx="9">
                  <c:v>4183.0510079591231</c:v>
                </c:pt>
                <c:pt idx="10">
                  <c:v>3326.6984246297111</c:v>
                </c:pt>
                <c:pt idx="11">
                  <c:v>2649.7835429169559</c:v>
                </c:pt>
                <c:pt idx="12">
                  <c:v>2121.900251301714</c:v>
                </c:pt>
                <c:pt idx="13">
                  <c:v>1711.9600251588763</c:v>
                </c:pt>
                <c:pt idx="14">
                  <c:v>1393.1166702909959</c:v>
                </c:pt>
                <c:pt idx="15">
                  <c:v>1143.8820715588045</c:v>
                </c:pt>
                <c:pt idx="16">
                  <c:v>947.69264472490636</c:v>
                </c:pt>
                <c:pt idx="17">
                  <c:v>792.01221066530752</c:v>
                </c:pt>
                <c:pt idx="18">
                  <c:v>667.42302167793844</c:v>
                </c:pt>
                <c:pt idx="19">
                  <c:v>566.85733144023084</c:v>
                </c:pt>
                <c:pt idx="20">
                  <c:v>484.99598120942812</c:v>
                </c:pt>
                <c:pt idx="21">
                  <c:v>417.81510974956319</c:v>
                </c:pt>
                <c:pt idx="22">
                  <c:v>362.25081106782511</c:v>
                </c:pt>
                <c:pt idx="23">
                  <c:v>315.95307542123186</c:v>
                </c:pt>
                <c:pt idx="24">
                  <c:v>277.10561754460645</c:v>
                </c:pt>
                <c:pt idx="25">
                  <c:v>244.29373153516406</c:v>
                </c:pt>
                <c:pt idx="26">
                  <c:v>216.40698546265119</c:v>
                </c:pt>
                <c:pt idx="27">
                  <c:v>192.56718271738094</c:v>
                </c:pt>
                <c:pt idx="28">
                  <c:v>172.0746943839946</c:v>
                </c:pt>
                <c:pt idx="29">
                  <c:v>154.36820694385858</c:v>
                </c:pt>
                <c:pt idx="30">
                  <c:v>138.9943200178248</c:v>
                </c:pt>
                <c:pt idx="31">
                  <c:v>125.58442088993549</c:v>
                </c:pt>
                <c:pt idx="32">
                  <c:v>113.83696999142452</c:v>
                </c:pt>
                <c:pt idx="33">
                  <c:v>103.50383705033268</c:v>
                </c:pt>
                <c:pt idx="34">
                  <c:v>94.379690193124674</c:v>
                </c:pt>
                <c:pt idx="35">
                  <c:v>86.293701584459214</c:v>
                </c:pt>
                <c:pt idx="36">
                  <c:v>79.103022531455068</c:v>
                </c:pt>
                <c:pt idx="37">
                  <c:v>72.687618985457931</c:v>
                </c:pt>
                <c:pt idx="38">
                  <c:v>66.946159582441865</c:v>
                </c:pt>
                <c:pt idx="39">
                  <c:v>61.79272304898511</c:v>
                </c:pt>
                <c:pt idx="40">
                  <c:v>57.154147260605527</c:v>
                </c:pt>
                <c:pt idx="41">
                  <c:v>52.967883679251081</c:v>
                </c:pt>
                <c:pt idx="42">
                  <c:v>49.180252051583629</c:v>
                </c:pt>
                <c:pt idx="43">
                  <c:v>45.745013813524714</c:v>
                </c:pt>
                <c:pt idx="44">
                  <c:v>42.622200574130709</c:v>
                </c:pt>
                <c:pt idx="45">
                  <c:v>39.777147769817297</c:v>
                </c:pt>
                <c:pt idx="46">
                  <c:v>37.179694135461709</c:v>
                </c:pt>
                <c:pt idx="47">
                  <c:v>34.803515805127255</c:v>
                </c:pt>
                <c:pt idx="48">
                  <c:v>32.625570206178715</c:v>
                </c:pt>
                <c:pt idx="49">
                  <c:v>30.625629875062003</c:v>
                </c:pt>
                <c:pt idx="50">
                  <c:v>28.785890222876013</c:v>
                </c:pt>
                <c:pt idx="51">
                  <c:v>27.090638357020492</c:v>
                </c:pt>
                <c:pt idx="52">
                  <c:v>25.525972506032989</c:v>
                </c:pt>
                <c:pt idx="53">
                  <c:v>24.079563538838475</c:v>
                </c:pt>
                <c:pt idx="54">
                  <c:v>22.740451624813524</c:v>
                </c:pt>
                <c:pt idx="55">
                  <c:v>21.49887233032571</c:v>
                </c:pt>
                <c:pt idx="56">
                  <c:v>20.346107454987095</c:v>
                </c:pt>
                <c:pt idx="57">
                  <c:v>19.274356726697466</c:v>
                </c:pt>
                <c:pt idx="58">
                  <c:v>18.276627137637604</c:v>
                </c:pt>
                <c:pt idx="59">
                  <c:v>17.346637244285834</c:v>
                </c:pt>
                <c:pt idx="60">
                  <c:v>16.478734197344394</c:v>
                </c:pt>
                <c:pt idx="61">
                  <c:v>15.667821631218986</c:v>
                </c:pt>
                <c:pt idx="62">
                  <c:v>14.909296842499382</c:v>
                </c:pt>
                <c:pt idx="63">
                  <c:v>14.198995934786728</c:v>
                </c:pt>
                <c:pt idx="64">
                  <c:v>13.533145812828671</c:v>
                </c:pt>
                <c:pt idx="65">
                  <c:v>12.908322079988896</c:v>
                </c:pt>
                <c:pt idx="66">
                  <c:v>12.321412035814207</c:v>
                </c:pt>
                <c:pt idx="67">
                  <c:v>11.769582089904119</c:v>
                </c:pt>
                <c:pt idx="68">
                  <c:v>11.250249008511364</c:v>
                </c:pt>
                <c:pt idx="69">
                  <c:v>10.761054494626467</c:v>
                </c:pt>
                <c:pt idx="70">
                  <c:v>10.299842673432661</c:v>
                </c:pt>
                <c:pt idx="71">
                  <c:v>9.8646401151742573</c:v>
                </c:pt>
                <c:pt idx="72">
                  <c:v>9.453638078482566</c:v>
                </c:pt>
                <c:pt idx="73">
                  <c:v>9.065176700544141</c:v>
                </c:pt>
                <c:pt idx="74">
                  <c:v>8.6977308974146226</c:v>
                </c:pt>
                <c:pt idx="75">
                  <c:v>8.349897769298801</c:v>
                </c:pt>
                <c:pt idx="76">
                  <c:v>8.0203853325856773</c:v>
                </c:pt>
                <c:pt idx="77">
                  <c:v>7.7080024235495728</c:v>
                </c:pt>
                <c:pt idx="78">
                  <c:v>7.4116496384976047</c:v>
                </c:pt>
                <c:pt idx="79">
                  <c:v>7.1303111922498426</c:v>
                </c:pt>
                <c:pt idx="80">
                  <c:v>6.8630475915969518</c:v>
                </c:pt>
                <c:pt idx="81">
                  <c:v>6.6089890331361518</c:v>
                </c:pt>
                <c:pt idx="82">
                  <c:v>6.3673294459335903</c:v>
                </c:pt>
                <c:pt idx="83">
                  <c:v>6.137321109045355</c:v>
                </c:pt>
                <c:pt idx="84">
                  <c:v>5.9182697822597596</c:v>
                </c:pt>
                <c:pt idx="85">
                  <c:v>5.7095302956762</c:v>
                </c:pt>
                <c:pt idx="86">
                  <c:v>5.5105025500615197</c:v>
                </c:pt>
                <c:pt idx="87">
                  <c:v>5.320627885451052</c:v>
                </c:pt>
                <c:pt idx="88">
                  <c:v>5.1393857802966849</c:v>
                </c:pt>
                <c:pt idx="89">
                  <c:v>4.966290847702572</c:v>
                </c:pt>
                <c:pt idx="90">
                  <c:v>4.800890099008738</c:v>
                </c:pt>
                <c:pt idx="91">
                  <c:v>4.6427604482533154</c:v>
                </c:pt>
                <c:pt idx="92">
                  <c:v>4.4915064339231403</c:v>
                </c:pt>
                <c:pt idx="93">
                  <c:v>4.346758136941121</c:v>
                </c:pt>
                <c:pt idx="94">
                  <c:v>4.2081692760800777</c:v>
                </c:pt>
                <c:pt idx="95">
                  <c:v>4.0754154639745037</c:v>
                </c:pt>
                <c:pt idx="96">
                  <c:v>3.9481926086562917</c:v>
                </c:pt>
                <c:pt idx="97">
                  <c:v>3.8262154470959047</c:v>
                </c:pt>
                <c:pt idx="98">
                  <c:v>3.7092161986113314</c:v>
                </c:pt>
                <c:pt idx="99">
                  <c:v>3.5969433272343241</c:v>
                </c:pt>
                <c:pt idx="100">
                  <c:v>3.4891604032156529</c:v>
                </c:pt>
                <c:pt idx="101">
                  <c:v>3.3856450548242769</c:v>
                </c:pt>
                <c:pt idx="102">
                  <c:v>3.2861880024633345</c:v>
                </c:pt>
                <c:pt idx="103">
                  <c:v>3.1905921679012885</c:v>
                </c:pt>
                <c:pt idx="104">
                  <c:v>3.0986718521097112</c:v>
                </c:pt>
                <c:pt idx="105">
                  <c:v>3.0102519758198154</c:v>
                </c:pt>
                <c:pt idx="106">
                  <c:v>2.9251673774658937</c:v>
                </c:pt>
                <c:pt idx="107">
                  <c:v>2.8432621636827449</c:v>
                </c:pt>
                <c:pt idx="108">
                  <c:v>2.7643891079721232</c:v>
                </c:pt>
                <c:pt idx="109">
                  <c:v>2.6884090935560518</c:v>
                </c:pt>
                <c:pt idx="110">
                  <c:v>2.6151905967972691</c:v>
                </c:pt>
                <c:pt idx="111">
                  <c:v>2.5446092078935574</c:v>
                </c:pt>
                <c:pt idx="112">
                  <c:v>2.4765471858470955</c:v>
                </c:pt>
                <c:pt idx="113">
                  <c:v>2.4108930449756585</c:v>
                </c:pt>
                <c:pt idx="114">
                  <c:v>2.3475411704725602</c:v>
                </c:pt>
                <c:pt idx="115">
                  <c:v>2.2864218858831569</c:v>
                </c:pt>
                <c:pt idx="116">
                  <c:v>2.2273776960311338</c:v>
                </c:pt>
                <c:pt idx="117">
                  <c:v>2.1703508093905755</c:v>
                </c:pt>
                <c:pt idx="118">
                  <c:v>2.1152557475460219</c:v>
                </c:pt>
                <c:pt idx="119">
                  <c:v>2.062011343965537</c:v>
                </c:pt>
                <c:pt idx="120">
                  <c:v>2.0105404922662231</c:v>
                </c:pt>
                <c:pt idx="121">
                  <c:v>1.9607699111411434</c:v>
                </c:pt>
                <c:pt idx="122">
                  <c:v>1.9126299247170273</c:v>
                </c:pt>
                <c:pt idx="123">
                  <c:v>1.866054257212324</c:v>
                </c:pt>
                <c:pt idx="124">
                  <c:v>1.8209798408564499</c:v>
                </c:pt>
                <c:pt idx="125">
                  <c:v>1.777346636114298</c:v>
                </c:pt>
                <c:pt idx="126">
                  <c:v>1.7350974633360474</c:v>
                </c:pt>
                <c:pt idx="127">
                  <c:v>1.6941778450217013</c:v>
                </c:pt>
                <c:pt idx="128">
                  <c:v>1.6545358579531679</c:v>
                </c:pt>
                <c:pt idx="129">
                  <c:v>1.6161219945046814</c:v>
                </c:pt>
                <c:pt idx="130">
                  <c:v>1.5788890324954816</c:v>
                </c:pt>
                <c:pt idx="131">
                  <c:v>1.5427919129972243</c:v>
                </c:pt>
                <c:pt idx="132">
                  <c:v>1.5077876255532157</c:v>
                </c:pt>
                <c:pt idx="133">
                  <c:v>1.4738351003073848</c:v>
                </c:pt>
                <c:pt idx="134">
                  <c:v>1.4408951065784543</c:v>
                </c:pt>
                <c:pt idx="135">
                  <c:v>1.4089301574491917</c:v>
                </c:pt>
                <c:pt idx="136">
                  <c:v>1.3779044199723034</c:v>
                </c:pt>
                <c:pt idx="137">
                  <c:v>1.3477836306236484</c:v>
                </c:pt>
                <c:pt idx="138">
                  <c:v>1.3185350156602218</c:v>
                </c:pt>
                <c:pt idx="139">
                  <c:v>1.2901272160650568</c:v>
                </c:pt>
                <c:pt idx="140">
                  <c:v>1.2625302167838861</c:v>
                </c:pt>
                <c:pt idx="141">
                  <c:v>1.2357152799794051</c:v>
                </c:pt>
                <c:pt idx="142">
                  <c:v>1.2096548820482589</c:v>
                </c:pt>
                <c:pt idx="143">
                  <c:v>1.1843226541637395</c:v>
                </c:pt>
                <c:pt idx="144">
                  <c:v>1.1596933261236644</c:v>
                </c:pt>
                <c:pt idx="145">
                  <c:v>1.1357426732981137</c:v>
                </c:pt>
                <c:pt idx="146">
                  <c:v>1.1124474664857855</c:v>
                </c:pt>
                <c:pt idx="147">
                  <c:v>1.089785424500751</c:v>
                </c:pt>
                <c:pt idx="148">
                  <c:v>1.0677351693234474</c:v>
                </c:pt>
                <c:pt idx="149">
                  <c:v>1.0462761836609134</c:v>
                </c:pt>
                <c:pt idx="150">
                  <c:v>1.0253887707715894</c:v>
                </c:pt>
                <c:pt idx="151">
                  <c:v>1.0050540164196333</c:v>
                </c:pt>
                <c:pt idx="152">
                  <c:v>0.9852537528325539</c:v>
                </c:pt>
                <c:pt idx="153">
                  <c:v>0.96597052454425625</c:v>
                </c:pt>
                <c:pt idx="154">
                  <c:v>0.94718755601323523</c:v>
                </c:pt>
                <c:pt idx="155">
                  <c:v>0.9288887209127662</c:v>
                </c:pt>
                <c:pt idx="156">
                  <c:v>0.91105851299658858</c:v>
                </c:pt>
                <c:pt idx="157">
                  <c:v>0.89368201844969608</c:v>
                </c:pt>
                <c:pt idx="158">
                  <c:v>0.87674488963960073</c:v>
                </c:pt>
                <c:pt idx="159">
                  <c:v>0.86023332018874143</c:v>
                </c:pt>
                <c:pt idx="160">
                  <c:v>0.8441340212936872</c:v>
                </c:pt>
                <c:pt idx="161">
                  <c:v>0.82843419922139783</c:v>
                </c:pt>
                <c:pt idx="162">
                  <c:v>0.81312153391711695</c:v>
                </c:pt>
                <c:pt idx="163">
                  <c:v>0.79818415866248049</c:v>
                </c:pt>
                <c:pt idx="164">
                  <c:v>0.78361064072618514</c:v>
                </c:pt>
                <c:pt idx="165">
                  <c:v>0.76938996295304374</c:v>
                </c:pt>
                <c:pt idx="166">
                  <c:v>0.75551150624053443</c:v>
                </c:pt>
                <c:pt idx="167">
                  <c:v>0.7419650328549825</c:v>
                </c:pt>
                <c:pt idx="168">
                  <c:v>0.72874067054238478</c:v>
                </c:pt>
                <c:pt idx="169">
                  <c:v>0.71582889739152966</c:v>
                </c:pt>
                <c:pt idx="170">
                  <c:v>0.70322052740957597</c:v>
                </c:pt>
                <c:pt idx="171">
                  <c:v>0.69090669677257621</c:v>
                </c:pt>
                <c:pt idx="172">
                  <c:v>0.67887885071560938</c:v>
                </c:pt>
                <c:pt idx="173">
                  <c:v>0.66712873102924042</c:v>
                </c:pt>
                <c:pt idx="174">
                  <c:v>0.6556483641309292</c:v>
                </c:pt>
                <c:pt idx="175">
                  <c:v>0.64443004968181627</c:v>
                </c:pt>
                <c:pt idx="176">
                  <c:v>0.63346634972097804</c:v>
                </c:pt>
                <c:pt idx="177">
                  <c:v>0.62275007829083828</c:v>
                </c:pt>
                <c:pt idx="178">
                  <c:v>0.61227429152889057</c:v>
                </c:pt>
                <c:pt idx="179">
                  <c:v>0.60203227820227945</c:v>
                </c:pt>
                <c:pt idx="180">
                  <c:v>0.59201755066309181</c:v>
                </c:pt>
                <c:pt idx="181">
                  <c:v>0.5822238362034331</c:v>
                </c:pt>
                <c:pt idx="182">
                  <c:v>0.57264506879050947</c:v>
                </c:pt>
                <c:pt idx="183">
                  <c:v>0.56327538116303266</c:v>
                </c:pt>
                <c:pt idx="184">
                  <c:v>0.5541090972712559</c:v>
                </c:pt>
                <c:pt idx="185">
                  <c:v>0.54514072504393063</c:v>
                </c:pt>
                <c:pt idx="186">
                  <c:v>0.53636494946635971</c:v>
                </c:pt>
                <c:pt idx="187">
                  <c:v>0.52777662595456398</c:v>
                </c:pt>
                <c:pt idx="188">
                  <c:v>0.51937077401139842</c:v>
                </c:pt>
                <c:pt idx="189">
                  <c:v>0.51114257115117079</c:v>
                </c:pt>
                <c:pt idx="190">
                  <c:v>0.50308734708005931</c:v>
                </c:pt>
                <c:pt idx="191">
                  <c:v>0.49520057812026325</c:v>
                </c:pt>
                <c:pt idx="192">
                  <c:v>0.48747788186646207</c:v>
                </c:pt>
                <c:pt idx="193">
                  <c:v>0.47991501206375037</c:v>
                </c:pt>
                <c:pt idx="194">
                  <c:v>0.47250785369677384</c:v>
                </c:pt>
                <c:pt idx="195">
                  <c:v>0.46525241828031028</c:v>
                </c:pt>
                <c:pt idx="196">
                  <c:v>0.4581448393420533</c:v>
                </c:pt>
                <c:pt idx="197">
                  <c:v>0.45118136808881282</c:v>
                </c:pt>
                <c:pt idx="198">
                  <c:v>0.44435836924779154</c:v>
                </c:pt>
                <c:pt idx="199">
                  <c:v>0.43767231707502713</c:v>
                </c:pt>
                <c:pt idx="200">
                  <c:v>0.43111979152346647</c:v>
                </c:pt>
                <c:pt idx="201">
                  <c:v>0.42469747456353613</c:v>
                </c:pt>
                <c:pt idx="202">
                  <c:v>0.41840214664939895</c:v>
                </c:pt>
                <c:pt idx="203">
                  <c:v>0.41223068332445545</c:v>
                </c:pt>
                <c:pt idx="204">
                  <c:v>0.40618005195992973</c:v>
                </c:pt>
                <c:pt idx="205">
                  <c:v>0.40024730862071017</c:v>
                </c:pt>
                <c:pt idx="206">
                  <c:v>0.39442959505287517</c:v>
                </c:pt>
                <c:pt idx="207">
                  <c:v>0.38872413578762322</c:v>
                </c:pt>
                <c:pt idx="208">
                  <c:v>0.38312823535655827</c:v>
                </c:pt>
                <c:pt idx="209">
                  <c:v>0.37763927561355004</c:v>
                </c:pt>
                <c:pt idx="210">
                  <c:v>0.37225471315858633</c:v>
                </c:pt>
                <c:pt idx="211">
                  <c:v>0.36697207685928157</c:v>
                </c:pt>
                <c:pt idx="212">
                  <c:v>0.36178896546588418</c:v>
                </c:pt>
                <c:pt idx="213">
                  <c:v>0.35670304531584046</c:v>
                </c:pt>
                <c:pt idx="214">
                  <c:v>0.35171204812414381</c:v>
                </c:pt>
                <c:pt idx="215">
                  <c:v>0.34681376885588261</c:v>
                </c:pt>
                <c:pt idx="216">
                  <c:v>0.34200606367755648</c:v>
                </c:pt>
                <c:pt idx="217">
                  <c:v>0.33728684798390252</c:v>
                </c:pt>
                <c:pt idx="218">
                  <c:v>0.33265409449710387</c:v>
                </c:pt>
                <c:pt idx="219">
                  <c:v>0.32810583143541738</c:v>
                </c:pt>
                <c:pt idx="220">
                  <c:v>0.32364014074837255</c:v>
                </c:pt>
                <c:pt idx="221">
                  <c:v>0.31925515641583324</c:v>
                </c:pt>
                <c:pt idx="222">
                  <c:v>0.31494906280833751</c:v>
                </c:pt>
                <c:pt idx="223">
                  <c:v>0.3107200931062355</c:v>
                </c:pt>
                <c:pt idx="224">
                  <c:v>0.30656652777526988</c:v>
                </c:pt>
                <c:pt idx="225">
                  <c:v>0.30248669309633797</c:v>
                </c:pt>
                <c:pt idx="226">
                  <c:v>0.29847895974727806</c:v>
                </c:pt>
                <c:pt idx="227">
                  <c:v>0.29454174143462031</c:v>
                </c:pt>
                <c:pt idx="228">
                  <c:v>0.29067349357332761</c:v>
                </c:pt>
                <c:pt idx="229">
                  <c:v>0.28687271201264042</c:v>
                </c:pt>
                <c:pt idx="230">
                  <c:v>0.28313793180622648</c:v>
                </c:pt>
                <c:pt idx="231">
                  <c:v>0.279467726024901</c:v>
                </c:pt>
                <c:pt idx="232">
                  <c:v>0.27586070461027662</c:v>
                </c:pt>
                <c:pt idx="233">
                  <c:v>0.27231551326775311</c:v>
                </c:pt>
                <c:pt idx="234">
                  <c:v>0.26883083239734029</c:v>
                </c:pt>
                <c:pt idx="235">
                  <c:v>0.26540537606086284</c:v>
                </c:pt>
                <c:pt idx="236">
                  <c:v>0.26203789098415947</c:v>
                </c:pt>
                <c:pt idx="237">
                  <c:v>0.25872715559295045</c:v>
                </c:pt>
                <c:pt idx="238">
                  <c:v>0.25547197908109781</c:v>
                </c:pt>
                <c:pt idx="239">
                  <c:v>0.25227120051003987</c:v>
                </c:pt>
                <c:pt idx="240">
                  <c:v>0.24912368793823197</c:v>
                </c:pt>
                <c:pt idx="241">
                  <c:v>0.24602833757947154</c:v>
                </c:pt>
                <c:pt idx="242">
                  <c:v>0.24298407298903552</c:v>
                </c:pt>
                <c:pt idx="243">
                  <c:v>0.23998984427659878</c:v>
                </c:pt>
                <c:pt idx="244">
                  <c:v>0.23704462734494572</c:v>
                </c:pt>
                <c:pt idx="245">
                  <c:v>0.2341474231535304</c:v>
                </c:pt>
                <c:pt idx="246">
                  <c:v>0.23129725700597345</c:v>
                </c:pt>
                <c:pt idx="247">
                  <c:v>0.22849317786062437</c:v>
                </c:pt>
                <c:pt idx="248">
                  <c:v>0.22573425766335403</c:v>
                </c:pt>
                <c:pt idx="249">
                  <c:v>0.22301959070177324</c:v>
                </c:pt>
                <c:pt idx="250">
                  <c:v>0.22034829298010444</c:v>
                </c:pt>
                <c:pt idx="251">
                  <c:v>0.21771950161396988</c:v>
                </c:pt>
                <c:pt idx="252">
                  <c:v>0.21513237424438203</c:v>
                </c:pt>
                <c:pt idx="253">
                  <c:v>0.21258608847025423</c:v>
                </c:pt>
                <c:pt idx="254">
                  <c:v>0.21007984129877752</c:v>
                </c:pt>
                <c:pt idx="255">
                  <c:v>0.2076128486130292</c:v>
                </c:pt>
                <c:pt idx="256">
                  <c:v>0.20518434465621213</c:v>
                </c:pt>
                <c:pt idx="257">
                  <c:v>0.20279358153193883</c:v>
                </c:pt>
                <c:pt idx="258">
                  <c:v>0.20043982872000379</c:v>
                </c:pt>
                <c:pt idx="259">
                  <c:v>0.19812237260710316</c:v>
                </c:pt>
                <c:pt idx="260">
                  <c:v>0.19584051603198704</c:v>
                </c:pt>
                <c:pt idx="261">
                  <c:v>0.19359357784454587</c:v>
                </c:pt>
                <c:pt idx="262">
                  <c:v>0.19138089247835188</c:v>
                </c:pt>
                <c:pt idx="263">
                  <c:v>0.1892018095361962</c:v>
                </c:pt>
                <c:pt idx="264">
                  <c:v>0.18705569338817871</c:v>
                </c:pt>
                <c:pt idx="265">
                  <c:v>0.18494192278192384</c:v>
                </c:pt>
                <c:pt idx="266">
                  <c:v>0.18285989046451301</c:v>
                </c:pt>
                <c:pt idx="267">
                  <c:v>0.18080900281573806</c:v>
                </c:pt>
                <c:pt idx="268">
                  <c:v>0.17878867949229604</c:v>
                </c:pt>
                <c:pt idx="269">
                  <c:v>0.17679835308256062</c:v>
                </c:pt>
                <c:pt idx="270">
                  <c:v>0.17483746877157469</c:v>
                </c:pt>
                <c:pt idx="271">
                  <c:v>0.17290548401592817</c:v>
                </c:pt>
                <c:pt idx="272">
                  <c:v>0.17100186822819233</c:v>
                </c:pt>
                <c:pt idx="273">
                  <c:v>0.16912610247059556</c:v>
                </c:pt>
                <c:pt idx="274">
                  <c:v>0.16727767915763808</c:v>
                </c:pt>
                <c:pt idx="275">
                  <c:v>0.16545610176735234</c:v>
                </c:pt>
                <c:pt idx="276">
                  <c:v>0.163660884560928</c:v>
                </c:pt>
                <c:pt idx="277">
                  <c:v>0.16189155231042954</c:v>
                </c:pt>
                <c:pt idx="278">
                  <c:v>0.16014764003434379</c:v>
                </c:pt>
                <c:pt idx="279">
                  <c:v>0.15842869274070664</c:v>
                </c:pt>
                <c:pt idx="280">
                  <c:v>0.15673426517756428</c:v>
                </c:pt>
                <c:pt idx="281">
                  <c:v>0.15506392159053406</c:v>
                </c:pt>
                <c:pt idx="282">
                  <c:v>0.15341723548723887</c:v>
                </c:pt>
                <c:pt idx="283">
                  <c:v>0.15179378940839658</c:v>
                </c:pt>
                <c:pt idx="284">
                  <c:v>0.15019317470535359</c:v>
                </c:pt>
                <c:pt idx="285">
                  <c:v>0.14861499132385941</c:v>
                </c:pt>
                <c:pt idx="286">
                  <c:v>0.14705884759388516</c:v>
                </c:pt>
                <c:pt idx="287">
                  <c:v>0.14552436002529692</c:v>
                </c:pt>
                <c:pt idx="288">
                  <c:v>0.14401115310920287</c:v>
                </c:pt>
                <c:pt idx="289">
                  <c:v>0.1425188591247927</c:v>
                </c:pt>
                <c:pt idx="290">
                  <c:v>0.14104711795150635</c:v>
                </c:pt>
                <c:pt idx="291">
                  <c:v>0.13959557688635924</c:v>
                </c:pt>
                <c:pt idx="292">
                  <c:v>0.13816389046627148</c:v>
                </c:pt>
                <c:pt idx="293">
                  <c:v>0.13675172029524424</c:v>
                </c:pt>
                <c:pt idx="294">
                  <c:v>0.1353587348762354</c:v>
                </c:pt>
                <c:pt idx="295">
                  <c:v>0.13398460944759213</c:v>
                </c:pt>
                <c:pt idx="296">
                  <c:v>0.13262902582390151</c:v>
                </c:pt>
                <c:pt idx="297">
                  <c:v>0.13129167224112331</c:v>
                </c:pt>
                <c:pt idx="298">
                  <c:v>0.12997224320588036</c:v>
                </c:pt>
                <c:pt idx="299">
                  <c:v>0.12867043934877612</c:v>
                </c:pt>
                <c:pt idx="300">
                  <c:v>0.12738596728162255</c:v>
                </c:pt>
                <c:pt idx="301">
                  <c:v>0.12611853945845969</c:v>
                </c:pt>
                <c:pt idx="302">
                  <c:v>0.12486787404025403</c:v>
                </c:pt>
                <c:pt idx="303">
                  <c:v>0.12363369476316732</c:v>
                </c:pt>
                <c:pt idx="304">
                  <c:v>0.12241573081028925</c:v>
                </c:pt>
                <c:pt idx="305">
                  <c:v>0.12121371668673227</c:v>
                </c:pt>
                <c:pt idx="306">
                  <c:v>0.12002739209799002</c:v>
                </c:pt>
                <c:pt idx="307">
                  <c:v>0.11885650183146269</c:v>
                </c:pt>
                <c:pt idx="308">
                  <c:v>0.11770079564105843</c:v>
                </c:pt>
                <c:pt idx="309">
                  <c:v>0.11656002813477956</c:v>
                </c:pt>
                <c:pt idx="310">
                  <c:v>0.11543395866520818</c:v>
                </c:pt>
                <c:pt idx="311">
                  <c:v>0.11432235122280708</c:v>
                </c:pt>
                <c:pt idx="312">
                  <c:v>0.11322497433195383</c:v>
                </c:pt>
                <c:pt idx="313">
                  <c:v>0.11214160094963135</c:v>
                </c:pt>
                <c:pt idx="314">
                  <c:v>0.11107200836669717</c:v>
                </c:pt>
                <c:pt idx="315">
                  <c:v>0.11001597811165811</c:v>
                </c:pt>
                <c:pt idx="316">
                  <c:v>0.10897329585688038</c:v>
                </c:pt>
                <c:pt idx="317">
                  <c:v>0.10794375132716354</c:v>
                </c:pt>
                <c:pt idx="318">
                  <c:v>0.10692713821061407</c:v>
                </c:pt>
                <c:pt idx="319">
                  <c:v>0.10592325407175185</c:v>
                </c:pt>
                <c:pt idx="320">
                  <c:v>0.10493190026678763</c:v>
                </c:pt>
                <c:pt idx="321">
                  <c:v>0.10395288186101022</c:v>
                </c:pt>
                <c:pt idx="322">
                  <c:v>0.10298600754822529</c:v>
                </c:pt>
                <c:pt idx="323">
                  <c:v>0.10203108957218719</c:v>
                </c:pt>
                <c:pt idx="324">
                  <c:v>0.1010879436499702</c:v>
                </c:pt>
                <c:pt idx="325">
                  <c:v>0.10015638889722403</c:v>
                </c:pt>
                <c:pt idx="326">
                  <c:v>9.9236247755262519E-2</c:v>
                </c:pt>
                <c:pt idx="327">
                  <c:v>9.832734591993475E-2</c:v>
                </c:pt>
                <c:pt idx="328">
                  <c:v>9.7429512272229762E-2</c:v>
                </c:pt>
                <c:pt idx="329">
                  <c:v>9.6542578810567325E-2</c:v>
                </c:pt>
                <c:pt idx="330">
                  <c:v>9.5666380584729233E-2</c:v>
                </c:pt>
                <c:pt idx="331">
                  <c:v>9.4800755631385805E-2</c:v>
                </c:pt>
                <c:pt idx="332">
                  <c:v>9.394554491117553E-2</c:v>
                </c:pt>
                <c:pt idx="333">
                  <c:v>9.3100592247294306E-2</c:v>
                </c:pt>
                <c:pt idx="334">
                  <c:v>9.2265744265555324E-2</c:v>
                </c:pt>
                <c:pt idx="335">
                  <c:v>9.1440850335878815E-2</c:v>
                </c:pt>
                <c:pt idx="336">
                  <c:v>9.062576251517393E-2</c:v>
                </c:pt>
                <c:pt idx="337">
                  <c:v>8.9820335491575851E-2</c:v>
                </c:pt>
                <c:pt idx="338">
                  <c:v>8.9024426530001283E-2</c:v>
                </c:pt>
                <c:pt idx="339">
                  <c:v>8.8237895418988133E-2</c:v>
                </c:pt>
                <c:pt idx="340">
                  <c:v>8.7460604418785032E-2</c:v>
                </c:pt>
                <c:pt idx="341">
                  <c:v>8.6692418210657873E-2</c:v>
                </c:pt>
                <c:pt idx="342">
                  <c:v>8.5933203847380832E-2</c:v>
                </c:pt>
                <c:pt idx="343">
                  <c:v>8.5182830704881932E-2</c:v>
                </c:pt>
                <c:pt idx="344">
                  <c:v>8.4441170435011745E-2</c:v>
                </c:pt>
                <c:pt idx="345">
                  <c:v>8.3708096919406796E-2</c:v>
                </c:pt>
                <c:pt idx="346">
                  <c:v>8.2983486224418632E-2</c:v>
                </c:pt>
                <c:pt idx="347">
                  <c:v>8.2267216557081441E-2</c:v>
                </c:pt>
                <c:pt idx="348">
                  <c:v>8.155916822209118E-2</c:v>
                </c:pt>
                <c:pt idx="349">
                  <c:v>8.085922357976992E-2</c:v>
                </c:pt>
                <c:pt idx="350">
                  <c:v>8.0167267004990203E-2</c:v>
                </c:pt>
                <c:pt idx="351">
                  <c:v>7.9483184847035274E-2</c:v>
                </c:pt>
                <c:pt idx="352">
                  <c:v>7.8806865390370545E-2</c:v>
                </c:pt>
                <c:pt idx="353">
                  <c:v>7.8138198816303406E-2</c:v>
                </c:pt>
                <c:pt idx="354">
                  <c:v>7.7477077165509112E-2</c:v>
                </c:pt>
                <c:pt idx="355">
                  <c:v>7.6823394301400338E-2</c:v>
                </c:pt>
                <c:pt idx="356">
                  <c:v>7.6177045874319033E-2</c:v>
                </c:pt>
                <c:pt idx="357">
                  <c:v>7.553792928653047E-2</c:v>
                </c:pt>
                <c:pt idx="358">
                  <c:v>7.4905943657998908E-2</c:v>
                </c:pt>
                <c:pt idx="359">
                  <c:v>7.4280989792924815E-2</c:v>
                </c:pt>
                <c:pt idx="360">
                  <c:v>7.3662970147025941E-2</c:v>
                </c:pt>
                <c:pt idx="361">
                  <c:v>7.3051788795542305E-2</c:v>
                </c:pt>
                <c:pt idx="362">
                  <c:v>7.2447351401947829E-2</c:v>
                </c:pt>
                <c:pt idx="363">
                  <c:v>7.1849565187351069E-2</c:v>
                </c:pt>
                <c:pt idx="364">
                  <c:v>7.1258338900568208E-2</c:v>
                </c:pt>
                <c:pt idx="365">
                  <c:v>7.0673582788850831E-2</c:v>
                </c:pt>
                <c:pt idx="366">
                  <c:v>7.0095208569253414E-2</c:v>
                </c:pt>
                <c:pt idx="367">
                  <c:v>6.9523129400624717E-2</c:v>
                </c:pt>
                <c:pt idx="368">
                  <c:v>6.8957259856207292E-2</c:v>
                </c:pt>
                <c:pt idx="369">
                  <c:v>6.8397515896830144E-2</c:v>
                </c:pt>
                <c:pt idx="370">
                  <c:v>6.7843814844681591E-2</c:v>
                </c:pt>
                <c:pt idx="371">
                  <c:v>6.7296075357646451E-2</c:v>
                </c:pt>
                <c:pt idx="372">
                  <c:v>6.675421740419471E-2</c:v>
                </c:pt>
                <c:pt idx="373">
                  <c:v>6.6218162238808817E-2</c:v>
                </c:pt>
                <c:pt idx="374">
                  <c:v>6.568783237793574E-2</c:v>
                </c:pt>
                <c:pt idx="375">
                  <c:v>6.5163151576451889E-2</c:v>
                </c:pt>
                <c:pt idx="376">
                  <c:v>6.464404480462814E-2</c:v>
                </c:pt>
                <c:pt idx="377">
                  <c:v>6.4130438225583702E-2</c:v>
                </c:pt>
                <c:pt idx="378">
                  <c:v>6.3622259173216442E-2</c:v>
                </c:pt>
                <c:pt idx="379">
                  <c:v>6.3119436130598561E-2</c:v>
                </c:pt>
                <c:pt idx="380">
                  <c:v>6.262189870882727E-2</c:v>
                </c:pt>
                <c:pt idx="381">
                  <c:v>6.2129577626318808E-2</c:v>
                </c:pt>
                <c:pt idx="382">
                  <c:v>6.1642404688535553E-2</c:v>
                </c:pt>
                <c:pt idx="383">
                  <c:v>6.1160312768136965E-2</c:v>
                </c:pt>
                <c:pt idx="384">
                  <c:v>6.0683235785543015E-2</c:v>
                </c:pt>
                <c:pt idx="385">
                  <c:v>6.0211108689901413E-2</c:v>
                </c:pt>
                <c:pt idx="386">
                  <c:v>5.9743867440449142E-2</c:v>
                </c:pt>
                <c:pt idx="387">
                  <c:v>5.9281448988258927E-2</c:v>
                </c:pt>
                <c:pt idx="388">
                  <c:v>5.8823791258361451E-2</c:v>
                </c:pt>
                <c:pt idx="389">
                  <c:v>5.8370833132235338E-2</c:v>
                </c:pt>
                <c:pt idx="390">
                  <c:v>5.7922514430655929E-2</c:v>
                </c:pt>
                <c:pt idx="391">
                  <c:v>5.7478775896894582E-2</c:v>
                </c:pt>
                <c:pt idx="392">
                  <c:v>5.7039559180260456E-2</c:v>
                </c:pt>
                <c:pt idx="393">
                  <c:v>5.6604806819977808E-2</c:v>
                </c:pt>
                <c:pt idx="394">
                  <c:v>5.617446222938912E-2</c:v>
                </c:pt>
                <c:pt idx="395">
                  <c:v>5.5748469680479036E-2</c:v>
                </c:pt>
                <c:pt idx="396">
                  <c:v>5.5326774288710322E-2</c:v>
                </c:pt>
                <c:pt idx="397">
                  <c:v>5.4909321998164784E-2</c:v>
                </c:pt>
                <c:pt idx="398">
                  <c:v>5.4496059566983272E-2</c:v>
                </c:pt>
                <c:pt idx="399">
                  <c:v>5.4086934553096822E-2</c:v>
                </c:pt>
                <c:pt idx="400">
                  <c:v>5.3681895300243448E-2</c:v>
                </c:pt>
                <c:pt idx="401">
                  <c:v>5.3280890924263136E-2</c:v>
                </c:pt>
                <c:pt idx="402">
                  <c:v>5.2883871299665673E-2</c:v>
                </c:pt>
                <c:pt idx="403">
                  <c:v>5.24907870464651E-2</c:v>
                </c:pt>
                <c:pt idx="404">
                  <c:v>5.2101589517274227E-2</c:v>
                </c:pt>
                <c:pt idx="405">
                  <c:v>5.1716230784654031E-2</c:v>
                </c:pt>
                <c:pt idx="406">
                  <c:v>5.1334663628712293E-2</c:v>
                </c:pt>
                <c:pt idx="407">
                  <c:v>5.0956841524945659E-2</c:v>
                </c:pt>
                <c:pt idx="408">
                  <c:v>5.0582718632319709E-2</c:v>
                </c:pt>
                <c:pt idx="409">
                  <c:v>5.0212249781582556E-2</c:v>
                </c:pt>
                <c:pt idx="410">
                  <c:v>4.9845390463805615E-2</c:v>
                </c:pt>
                <c:pt idx="411">
                  <c:v>4.9482096819147621E-2</c:v>
                </c:pt>
                <c:pt idx="412">
                  <c:v>4.9122325625836689E-2</c:v>
                </c:pt>
                <c:pt idx="413">
                  <c:v>4.8766034289365476E-2</c:v>
                </c:pt>
                <c:pt idx="414">
                  <c:v>4.8413180831894921E-2</c:v>
                </c:pt>
                <c:pt idx="415">
                  <c:v>4.8063723881862197E-2</c:v>
                </c:pt>
                <c:pt idx="416">
                  <c:v>4.7717622663788477E-2</c:v>
                </c:pt>
                <c:pt idx="417">
                  <c:v>4.7374836988281745E-2</c:v>
                </c:pt>
                <c:pt idx="418">
                  <c:v>4.7035327242230925E-2</c:v>
                </c:pt>
                <c:pt idx="419">
                  <c:v>4.6699054379187296E-2</c:v>
                </c:pt>
                <c:pt idx="420">
                  <c:v>4.6365979909928738E-2</c:v>
                </c:pt>
                <c:pt idx="421">
                  <c:v>4.6036065893203103E-2</c:v>
                </c:pt>
                <c:pt idx="422">
                  <c:v>4.57092749266471E-2</c:v>
                </c:pt>
                <c:pt idx="423">
                  <c:v>4.5385570137876724E-2</c:v>
                </c:pt>
                <c:pt idx="424">
                  <c:v>4.5064915175745499E-2</c:v>
                </c:pt>
                <c:pt idx="425">
                  <c:v>4.4747274201767454E-2</c:v>
                </c:pt>
                <c:pt idx="426">
                  <c:v>4.4432611881700779E-2</c:v>
                </c:pt>
                <c:pt idx="427">
                  <c:v>4.4120893377288986E-2</c:v>
                </c:pt>
                <c:pt idx="428">
                  <c:v>4.3812084338156719E-2</c:v>
                </c:pt>
                <c:pt idx="429">
                  <c:v>4.3506150893856052E-2</c:v>
                </c:pt>
                <c:pt idx="430">
                  <c:v>4.3203059646061026E-2</c:v>
                </c:pt>
                <c:pt idx="431">
                  <c:v>4.2902777660906735E-2</c:v>
                </c:pt>
                <c:pt idx="432">
                  <c:v>4.2605272461470292E-2</c:v>
                </c:pt>
                <c:pt idx="433">
                  <c:v>4.23105120203906E-2</c:v>
                </c:pt>
                <c:pt idx="434">
                  <c:v>4.201846475262383E-2</c:v>
                </c:pt>
                <c:pt idx="435">
                  <c:v>4.1729099508332361E-2</c:v>
                </c:pt>
                <c:pt idx="436">
                  <c:v>4.1442385565903912E-2</c:v>
                </c:pt>
                <c:pt idx="437">
                  <c:v>4.1158292625098285E-2</c:v>
                </c:pt>
                <c:pt idx="438">
                  <c:v>4.0876790800319446E-2</c:v>
                </c:pt>
                <c:pt idx="439">
                  <c:v>4.0597850614009806E-2</c:v>
                </c:pt>
                <c:pt idx="440">
                  <c:v>4.0321442990164658E-2</c:v>
                </c:pt>
                <c:pt idx="441">
                  <c:v>4.0047539247964219E-2</c:v>
                </c:pt>
                <c:pt idx="442">
                  <c:v>3.9776111095520816E-2</c:v>
                </c:pt>
                <c:pt idx="443">
                  <c:v>3.950713062373875E-2</c:v>
                </c:pt>
                <c:pt idx="444">
                  <c:v>3.9240570300284841E-2</c:v>
                </c:pt>
                <c:pt idx="445">
                  <c:v>3.897640296366732E-2</c:v>
                </c:pt>
                <c:pt idx="446">
                  <c:v>3.871460181742073E-2</c:v>
                </c:pt>
                <c:pt idx="447">
                  <c:v>3.8455140424394796E-2</c:v>
                </c:pt>
                <c:pt idx="448">
                  <c:v>3.8197992701145378E-2</c:v>
                </c:pt>
                <c:pt idx="449">
                  <c:v>3.7943132912425154E-2</c:v>
                </c:pt>
                <c:pt idx="450">
                  <c:v>3.7690535665771997E-2</c:v>
                </c:pt>
                <c:pt idx="451">
                  <c:v>3.7440175906193716E-2</c:v>
                </c:pt>
                <c:pt idx="452">
                  <c:v>3.7192028910946334E-2</c:v>
                </c:pt>
                <c:pt idx="453">
                  <c:v>3.6946070284404768E-2</c:v>
                </c:pt>
                <c:pt idx="454">
                  <c:v>3.6702275953023764E-2</c:v>
                </c:pt>
                <c:pt idx="455">
                  <c:v>3.6460622160387299E-2</c:v>
                </c:pt>
                <c:pt idx="456">
                  <c:v>3.6221085462344892E-2</c:v>
                </c:pt>
                <c:pt idx="457">
                  <c:v>3.598364272223277E-2</c:v>
                </c:pt>
                <c:pt idx="458">
                  <c:v>3.5748271106178779E-2</c:v>
                </c:pt>
                <c:pt idx="459">
                  <c:v>3.5514948078488685E-2</c:v>
                </c:pt>
                <c:pt idx="460">
                  <c:v>3.5283651397112883E-2</c:v>
                </c:pt>
                <c:pt idx="461">
                  <c:v>3.5054359109191614E-2</c:v>
                </c:pt>
                <c:pt idx="462">
                  <c:v>3.4827049546677424E-2</c:v>
                </c:pt>
                <c:pt idx="463">
                  <c:v>3.4601701322032927E-2</c:v>
                </c:pt>
                <c:pt idx="464">
                  <c:v>3.4378293324002794E-2</c:v>
                </c:pt>
                <c:pt idx="465">
                  <c:v>3.4156804713458694E-2</c:v>
                </c:pt>
                <c:pt idx="466">
                  <c:v>3.3937214919314958E-2</c:v>
                </c:pt>
                <c:pt idx="467">
                  <c:v>3.3719503634514723E-2</c:v>
                </c:pt>
                <c:pt idx="468">
                  <c:v>3.3503650812084194E-2</c:v>
                </c:pt>
                <c:pt idx="469">
                  <c:v>3.3289636661254479E-2</c:v>
                </c:pt>
                <c:pt idx="470">
                  <c:v>3.3077441643649105E-2</c:v>
                </c:pt>
                <c:pt idx="471">
                  <c:v>3.2867046469536462E-2</c:v>
                </c:pt>
                <c:pt idx="472">
                  <c:v>3.2658432094145651E-2</c:v>
                </c:pt>
                <c:pt idx="473">
                  <c:v>3.2451579714044429E-2</c:v>
                </c:pt>
                <c:pt idx="474">
                  <c:v>3.2246470763578505E-2</c:v>
                </c:pt>
                <c:pt idx="475">
                  <c:v>3.2043086911370568E-2</c:v>
                </c:pt>
                <c:pt idx="476">
                  <c:v>3.1841410056878142E-2</c:v>
                </c:pt>
                <c:pt idx="477">
                  <c:v>3.1641422327009207E-2</c:v>
                </c:pt>
                <c:pt idx="478">
                  <c:v>3.1443106072794297E-2</c:v>
                </c:pt>
                <c:pt idx="479">
                  <c:v>3.1246443866114214E-2</c:v>
                </c:pt>
                <c:pt idx="480">
                  <c:v>3.1051418496482172E-2</c:v>
                </c:pt>
                <c:pt idx="481">
                  <c:v>3.0858012967879565E-2</c:v>
                </c:pt>
                <c:pt idx="482">
                  <c:v>3.0666210495643983E-2</c:v>
                </c:pt>
                <c:pt idx="483">
                  <c:v>3.0475994503408873E-2</c:v>
                </c:pt>
                <c:pt idx="484">
                  <c:v>3.0287348620093808E-2</c:v>
                </c:pt>
                <c:pt idx="485">
                  <c:v>3.010025667694418E-2</c:v>
                </c:pt>
                <c:pt idx="486">
                  <c:v>2.9914702704619676E-2</c:v>
                </c:pt>
                <c:pt idx="487">
                  <c:v>2.9730670930330591E-2</c:v>
                </c:pt>
                <c:pt idx="488">
                  <c:v>2.9548145775021028E-2</c:v>
                </c:pt>
                <c:pt idx="489">
                  <c:v>2.9367111850597989E-2</c:v>
                </c:pt>
                <c:pt idx="490">
                  <c:v>2.9187553957205903E-2</c:v>
                </c:pt>
                <c:pt idx="491">
                  <c:v>2.900945708054543E-2</c:v>
                </c:pt>
                <c:pt idx="492">
                  <c:v>2.8832806389235712E-2</c:v>
                </c:pt>
                <c:pt idx="493">
                  <c:v>2.8657587232219572E-2</c:v>
                </c:pt>
                <c:pt idx="494">
                  <c:v>2.8483785136210617E-2</c:v>
                </c:pt>
                <c:pt idx="495">
                  <c:v>2.8311385803181516E-2</c:v>
                </c:pt>
                <c:pt idx="496">
                  <c:v>2.8140375107892905E-2</c:v>
                </c:pt>
                <c:pt idx="497">
                  <c:v>2.7970739095461862E-2</c:v>
                </c:pt>
                <c:pt idx="498">
                  <c:v>2.7802463978969506E-2</c:v>
                </c:pt>
                <c:pt idx="499">
                  <c:v>2.7635536137106922E-2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11-491C-9CE7-BCD1A6474A31}"/>
            </c:ext>
          </c:extLst>
        </c:ser>
        <c:ser>
          <c:idx val="3"/>
          <c:order val="3"/>
          <c:tx>
            <c:v>I2</c:v>
          </c:tx>
          <c:spPr>
            <a:ln w="28575">
              <a:solidFill>
                <a:srgbClr val="00B0F0"/>
              </a:solidFill>
            </a:ln>
          </c:spPr>
          <c:marker>
            <c:symbol val="circle"/>
            <c:size val="3"/>
            <c:spPr>
              <a:noFill/>
              <a:ln>
                <a:noFill/>
              </a:ln>
            </c:spPr>
          </c:marker>
          <c:xVal>
            <c:numRef>
              <c:f>'LM-OSL'!$C$32:$C$1031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</c:numCache>
            </c:numRef>
          </c:xVal>
          <c:yVal>
            <c:numRef>
              <c:f>'LM-OSL'!$S$32:$S$1031</c:f>
              <c:numCache>
                <c:formatCode>General</c:formatCode>
                <c:ptCount val="1000"/>
                <c:pt idx="0">
                  <c:v>0</c:v>
                </c:pt>
                <c:pt idx="1">
                  <c:v>7434.1840242175631</c:v>
                </c:pt>
                <c:pt idx="2">
                  <c:v>14577.456204632294</c:v>
                </c:pt>
                <c:pt idx="3">
                  <c:v>21161.852131256277</c:v>
                </c:pt>
                <c:pt idx="4">
                  <c:v>26962.500228100285</c:v>
                </c:pt>
                <c:pt idx="5">
                  <c:v>31812.621709813713</c:v>
                </c:pt>
                <c:pt idx="6">
                  <c:v>35611.868081373177</c:v>
                </c:pt>
                <c:pt idx="7">
                  <c:v>38327.511469925164</c:v>
                </c:pt>
                <c:pt idx="8">
                  <c:v>39989.043834455566</c:v>
                </c:pt>
                <c:pt idx="9">
                  <c:v>40677.600528931165</c:v>
                </c:pt>
                <c:pt idx="10">
                  <c:v>40512.160829529821</c:v>
                </c:pt>
                <c:pt idx="11">
                  <c:v>39634.629621126252</c:v>
                </c:pt>
                <c:pt idx="12">
                  <c:v>38195.693861266751</c:v>
                </c:pt>
                <c:pt idx="13">
                  <c:v>36342.871108233048</c:v>
                </c:pt>
                <c:pt idx="14">
                  <c:v>34211.562874817544</c:v>
                </c:pt>
                <c:pt idx="15">
                  <c:v>31919.332006948895</c:v>
                </c:pt>
                <c:pt idx="16">
                  <c:v>29563.147202685039</c:v>
                </c:pt>
                <c:pt idx="17">
                  <c:v>27219.034280438951</c:v>
                </c:pt>
                <c:pt idx="18">
                  <c:v>24943.446378932771</c:v>
                </c:pt>
                <c:pt idx="19">
                  <c:v>22775.680009753763</c:v>
                </c:pt>
                <c:pt idx="20">
                  <c:v>20740.76955117366</c:v>
                </c:pt>
                <c:pt idx="21">
                  <c:v>18852.438740966852</c:v>
                </c:pt>
                <c:pt idx="22">
                  <c:v>17115.835097522202</c:v>
                </c:pt>
                <c:pt idx="23">
                  <c:v>15529.89851596108</c:v>
                </c:pt>
                <c:pt idx="24">
                  <c:v>14089.308895254604</c:v>
                </c:pt>
                <c:pt idx="25">
                  <c:v>12786.019541036247</c:v>
                </c:pt>
                <c:pt idx="26">
                  <c:v>11610.418473598078</c:v>
                </c:pt>
                <c:pt idx="27">
                  <c:v>10552.175665983174</c:v>
                </c:pt>
                <c:pt idx="28">
                  <c:v>9600.8373404243339</c:v>
                </c:pt>
                <c:pt idx="29">
                  <c:v>8746.2241544419467</c:v>
                </c:pt>
                <c:pt idx="30">
                  <c:v>7978.6822625187997</c:v>
                </c:pt>
                <c:pt idx="31">
                  <c:v>7289.2273244685712</c:v>
                </c:pt>
                <c:pt idx="32">
                  <c:v>6669.6129726899208</c:v>
                </c:pt>
                <c:pt idx="33">
                  <c:v>6112.3477460504173</c:v>
                </c:pt>
                <c:pt idx="34">
                  <c:v>5610.678290774802</c:v>
                </c:pt>
                <c:pt idx="35">
                  <c:v>5158.5517026535545</c:v>
                </c:pt>
                <c:pt idx="36">
                  <c:v>4750.5660973833674</c:v>
                </c:pt>
                <c:pt idx="37">
                  <c:v>4381.9156574068174</c:v>
                </c:pt>
                <c:pt idx="38">
                  <c:v>4048.3343226512475</c:v>
                </c:pt>
                <c:pt idx="39">
                  <c:v>3746.0407972041544</c:v>
                </c:pt>
                <c:pt idx="40">
                  <c:v>3471.6864902397192</c:v>
                </c:pt>
                <c:pt idx="41">
                  <c:v>3222.3072821510718</c:v>
                </c:pt>
                <c:pt idx="42">
                  <c:v>2995.2795164518457</c:v>
                </c:pt>
                <c:pt idx="43">
                  <c:v>2788.2802969285872</c:v>
                </c:pt>
                <c:pt idx="44">
                  <c:v>2599.251967517198</c:v>
                </c:pt>
                <c:pt idx="45">
                  <c:v>2426.370532738254</c:v>
                </c:pt>
                <c:pt idx="46">
                  <c:v>2268.0177128137966</c:v>
                </c:pt>
                <c:pt idx="47">
                  <c:v>2122.7563009958608</c:v>
                </c:pt>
                <c:pt idx="48">
                  <c:v>1989.308487960418</c:v>
                </c:pt>
                <c:pt idx="49">
                  <c:v>1866.5368302116717</c:v>
                </c:pt>
                <c:pt idx="50">
                  <c:v>1753.4275600584378</c:v>
                </c:pt>
                <c:pt idx="51">
                  <c:v>1649.0759596828475</c:v>
                </c:pt>
                <c:pt idx="52">
                  <c:v>1552.673548381912</c:v>
                </c:pt>
                <c:pt idx="53">
                  <c:v>1463.4968584863486</c:v>
                </c:pt>
                <c:pt idx="54">
                  <c:v>1380.8976006961557</c:v>
                </c:pt>
                <c:pt idx="55">
                  <c:v>1304.2940430299759</c:v>
                </c:pt>
                <c:pt idx="56">
                  <c:v>1233.1634489834228</c:v>
                </c:pt>
                <c:pt idx="57">
                  <c:v>1167.0354397470853</c:v>
                </c:pt>
                <c:pt idx="58">
                  <c:v>1105.4861624886296</c:v>
                </c:pt>
                <c:pt idx="59">
                  <c:v>1048.133161869473</c:v>
                </c:pt>
                <c:pt idx="60">
                  <c:v>994.6308652984585</c:v>
                </c:pt>
                <c:pt idx="61">
                  <c:v>944.66660409370434</c:v>
                </c:pt>
                <c:pt idx="62">
                  <c:v>897.95710290319028</c:v>
                </c:pt>
                <c:pt idx="63">
                  <c:v>854.24537859288648</c:v>
                </c:pt>
                <c:pt idx="64">
                  <c:v>813.29799750584618</c:v>
                </c:pt>
                <c:pt idx="65">
                  <c:v>774.90264667097415</c:v>
                </c:pt>
                <c:pt idx="66">
                  <c:v>738.86598032624306</c:v>
                </c:pt>
                <c:pt idx="67">
                  <c:v>705.01170813387751</c:v>
                </c:pt>
                <c:pt idx="68">
                  <c:v>673.17889580686926</c:v>
                </c:pt>
                <c:pt idx="69">
                  <c:v>643.22045262703557</c:v>
                </c:pt>
                <c:pt idx="70">
                  <c:v>615.0017835931086</c:v>
                </c:pt>
                <c:pt idx="71">
                  <c:v>588.39958676130004</c:v>
                </c:pt>
                <c:pt idx="72">
                  <c:v>563.30077878961129</c:v>
                </c:pt>
                <c:pt idx="73">
                  <c:v>539.60153382199735</c:v>
                </c:pt>
                <c:pt idx="74">
                  <c:v>517.20642269360485</c:v>
                </c:pt>
                <c:pt idx="75">
                  <c:v>496.02764104175026</c:v>
                </c:pt>
                <c:pt idx="76">
                  <c:v>475.98431630204612</c:v>
                </c:pt>
                <c:pt idx="77">
                  <c:v>457.00188478330392</c:v>
                </c:pt>
                <c:pt idx="78">
                  <c:v>439.0115310730651</c:v>
                </c:pt>
                <c:pt idx="79">
                  <c:v>421.94968294869983</c:v>
                </c:pt>
                <c:pt idx="80">
                  <c:v>405.75755577515071</c:v>
                </c:pt>
                <c:pt idx="81">
                  <c:v>390.38074107509635</c:v>
                </c:pt>
                <c:pt idx="82">
                  <c:v>375.76883457403801</c:v>
                </c:pt>
                <c:pt idx="83">
                  <c:v>361.87509956313136</c:v>
                </c:pt>
                <c:pt idx="84">
                  <c:v>348.65616189648205</c:v>
                </c:pt>
                <c:pt idx="85">
                  <c:v>336.07173335574976</c:v>
                </c:pt>
                <c:pt idx="86">
                  <c:v>324.08436048068381</c:v>
                </c:pt>
                <c:pt idx="87">
                  <c:v>312.65919628613153</c:v>
                </c:pt>
                <c:pt idx="88">
                  <c:v>301.76379256965379</c:v>
                </c:pt>
                <c:pt idx="89">
                  <c:v>291.36791076404376</c:v>
                </c:pt>
                <c:pt idx="90">
                  <c:v>281.4433495099085</c:v>
                </c:pt>
                <c:pt idx="91">
                  <c:v>271.9637873187325</c:v>
                </c:pt>
                <c:pt idx="92">
                  <c:v>262.90463886962726</c:v>
                </c:pt>
                <c:pt idx="93">
                  <c:v>254.24292363604431</c:v>
                </c:pt>
                <c:pt idx="94">
                  <c:v>245.95714567449778</c:v>
                </c:pt>
                <c:pt idx="95">
                  <c:v>238.02718352786763</c:v>
                </c:pt>
                <c:pt idx="96">
                  <c:v>230.43418930299532</c:v>
                </c:pt>
                <c:pt idx="97">
                  <c:v>223.16049607758944</c:v>
                </c:pt>
                <c:pt idx="98">
                  <c:v>216.18953287636467</c:v>
                </c:pt>
                <c:pt idx="99">
                  <c:v>209.50574653201804</c:v>
                </c:pt>
                <c:pt idx="100">
                  <c:v>203.09452981421043</c:v>
                </c:pt>
                <c:pt idx="101">
                  <c:v>196.94215527006295</c:v>
                </c:pt>
                <c:pt idx="102">
                  <c:v>191.03571427366109</c:v>
                </c:pt>
                <c:pt idx="103">
                  <c:v>185.36306083036644</c:v>
                </c:pt>
                <c:pt idx="104">
                  <c:v>179.91275972503163</c:v>
                </c:pt>
                <c:pt idx="105">
                  <c:v>174.67403864204462</c:v>
                </c:pt>
                <c:pt idx="106">
                  <c:v>169.63674391998364</c:v>
                </c:pt>
                <c:pt idx="107">
                  <c:v>164.79129963499554</c:v>
                </c:pt>
                <c:pt idx="108">
                  <c:v>160.12866973517771</c:v>
                </c:pt>
                <c:pt idx="109">
                  <c:v>155.64032297361308</c:v>
                </c:pt>
                <c:pt idx="110">
                  <c:v>151.31820041056289</c:v>
                </c:pt>
                <c:pt idx="111">
                  <c:v>147.15468527592967</c:v>
                </c:pt>
                <c:pt idx="112">
                  <c:v>143.14257500171428</c:v>
                </c:pt>
                <c:pt idx="113">
                  <c:v>139.27505525099548</c:v>
                </c:pt>
                <c:pt idx="114">
                  <c:v>135.54567578516239</c:v>
                </c:pt>
                <c:pt idx="115">
                  <c:v>131.94832802488443</c:v>
                </c:pt>
                <c:pt idx="116">
                  <c:v>128.47722417275838</c:v>
                </c:pt>
                <c:pt idx="117">
                  <c:v>125.12687777686932</c:v>
                </c:pt>
                <c:pt idx="118">
                  <c:v>121.89208562474208</c:v>
                </c:pt>
                <c:pt idx="119">
                  <c:v>118.76791086646557</c:v>
                </c:pt>
                <c:pt idx="120">
                  <c:v>115.74966727421723</c:v>
                </c:pt>
                <c:pt idx="121">
                  <c:v>112.83290455310737</c:v>
                </c:pt>
                <c:pt idx="122">
                  <c:v>110.01339462524902</c:v>
                </c:pt>
                <c:pt idx="123">
                  <c:v>107.28711881533461</c:v>
                </c:pt>
                <c:pt idx="124">
                  <c:v>104.65025587179848</c:v>
                </c:pt>
                <c:pt idx="125">
                  <c:v>102.09917076294408</c:v>
                </c:pt>
                <c:pt idx="126">
                  <c:v>99.630404192242963</c:v>
                </c:pt>
                <c:pt idx="127">
                  <c:v>97.240662781426366</c:v>
                </c:pt>
                <c:pt idx="128">
                  <c:v>94.926809874024826</c:v>
                </c:pt>
                <c:pt idx="129">
                  <c:v>92.685856915698807</c:v>
                </c:pt>
                <c:pt idx="130">
                  <c:v>90.514955371081058</c:v>
                </c:pt>
                <c:pt idx="131">
                  <c:v>88.411389139942983</c:v>
                </c:pt>
                <c:pt idx="132">
                  <c:v>86.372567438332027</c:v>
                </c:pt>
                <c:pt idx="133">
                  <c:v>84.396018112925205</c:v>
                </c:pt>
                <c:pt idx="134">
                  <c:v>82.479381359230189</c:v>
                </c:pt>
                <c:pt idx="135">
                  <c:v>80.62040381645393</c:v>
                </c:pt>
                <c:pt idx="136">
                  <c:v>78.816933013872045</c:v>
                </c:pt>
                <c:pt idx="137">
                  <c:v>77.066912145382702</c:v>
                </c:pt>
                <c:pt idx="138">
                  <c:v>75.368375150628751</c:v>
                </c:pt>
                <c:pt idx="139">
                  <c:v>73.719442082640285</c:v>
                </c:pt>
                <c:pt idx="140">
                  <c:v>72.118314743392659</c:v>
                </c:pt>
                <c:pt idx="141">
                  <c:v>70.563272570003775</c:v>
                </c:pt>
                <c:pt idx="142">
                  <c:v>69.052668755521552</c:v>
                </c:pt>
                <c:pt idx="143">
                  <c:v>67.584926589383883</c:v>
                </c:pt>
                <c:pt idx="144">
                  <c:v>66.158536003677682</c:v>
                </c:pt>
                <c:pt idx="145">
                  <c:v>64.772050312288542</c:v>
                </c:pt>
                <c:pt idx="146">
                  <c:v>63.424083130924281</c:v>
                </c:pt>
                <c:pt idx="147">
                  <c:v>62.113305466820115</c:v>
                </c:pt>
                <c:pt idx="148">
                  <c:v>60.838442967695741</c:v>
                </c:pt>
                <c:pt idx="149">
                  <c:v>59.598273320241866</c:v>
                </c:pt>
                <c:pt idx="150">
                  <c:v>58.391623789066436</c:v>
                </c:pt>
                <c:pt idx="151">
                  <c:v>57.217368887637619</c:v>
                </c:pt>
                <c:pt idx="152">
                  <c:v>56.074428173322197</c:v>
                </c:pt>
                <c:pt idx="153">
                  <c:v>54.961764159139939</c:v>
                </c:pt>
                <c:pt idx="154">
                  <c:v>53.878380335336949</c:v>
                </c:pt>
                <c:pt idx="155">
                  <c:v>52.823319294331263</c:v>
                </c:pt>
                <c:pt idx="156">
                  <c:v>51.795660953000741</c:v>
                </c:pt>
                <c:pt idx="157">
                  <c:v>50.794520866670716</c:v>
                </c:pt>
                <c:pt idx="158">
                  <c:v>49.819048629520374</c:v>
                </c:pt>
                <c:pt idx="159">
                  <c:v>48.868426356460738</c:v>
                </c:pt>
                <c:pt idx="160">
                  <c:v>47.941867241851128</c:v>
                </c:pt>
                <c:pt idx="161">
                  <c:v>47.038614190709914</c:v>
                </c:pt>
                <c:pt idx="162">
                  <c:v>46.157938518347244</c:v>
                </c:pt>
                <c:pt idx="163">
                  <c:v>45.299138714599614</c:v>
                </c:pt>
                <c:pt idx="164">
                  <c:v>44.461539269080518</c:v>
                </c:pt>
                <c:pt idx="165">
                  <c:v>43.644489554082575</c:v>
                </c:pt>
                <c:pt idx="166">
                  <c:v>42.847362761969244</c:v>
                </c:pt>
                <c:pt idx="167">
                  <c:v>42.069554894087425</c:v>
                </c:pt>
                <c:pt idx="168">
                  <c:v>41.310483798409173</c:v>
                </c:pt>
                <c:pt idx="169">
                  <c:v>40.569588253278667</c:v>
                </c:pt>
                <c:pt idx="170">
                  <c:v>39.84632709479596</c:v>
                </c:pt>
                <c:pt idx="171">
                  <c:v>39.140178385514901</c:v>
                </c:pt>
                <c:pt idx="172">
                  <c:v>38.45063862226948</c:v>
                </c:pt>
                <c:pt idx="173">
                  <c:v>37.777221981069729</c:v>
                </c:pt>
                <c:pt idx="174">
                  <c:v>37.119459597128674</c:v>
                </c:pt>
                <c:pt idx="175">
                  <c:v>36.476898878192792</c:v>
                </c:pt>
                <c:pt idx="176">
                  <c:v>35.849102849454816</c:v>
                </c:pt>
                <c:pt idx="177">
                  <c:v>35.235649528423842</c:v>
                </c:pt>
                <c:pt idx="178">
                  <c:v>34.636131328222177</c:v>
                </c:pt>
                <c:pt idx="179">
                  <c:v>34.050154487862905</c:v>
                </c:pt>
                <c:pt idx="180">
                  <c:v>33.477338528144969</c:v>
                </c:pt>
                <c:pt idx="181">
                  <c:v>32.91731573187672</c:v>
                </c:pt>
                <c:pt idx="182">
                  <c:v>32.369730647212606</c:v>
                </c:pt>
                <c:pt idx="183">
                  <c:v>31.834239612952953</c:v>
                </c:pt>
                <c:pt idx="184">
                  <c:v>31.3105103047209</c:v>
                </c:pt>
                <c:pt idx="185">
                  <c:v>30.798221300989898</c:v>
                </c:pt>
                <c:pt idx="186">
                  <c:v>30.297061667990143</c:v>
                </c:pt>
                <c:pt idx="187">
                  <c:v>29.806730562575918</c:v>
                </c:pt>
                <c:pt idx="188">
                  <c:v>29.326936852184105</c:v>
                </c:pt>
                <c:pt idx="189">
                  <c:v>28.857398751061474</c:v>
                </c:pt>
                <c:pt idx="190">
                  <c:v>28.397843471981471</c:v>
                </c:pt>
                <c:pt idx="191">
                  <c:v>27.948006892712758</c:v>
                </c:pt>
                <c:pt idx="192">
                  <c:v>27.507633236540645</c:v>
                </c:pt>
                <c:pt idx="193">
                  <c:v>27.076474766178599</c:v>
                </c:pt>
                <c:pt idx="194">
                  <c:v>26.65429149044261</c:v>
                </c:pt>
                <c:pt idx="195">
                  <c:v>26.240850883092239</c:v>
                </c:pt>
                <c:pt idx="196">
                  <c:v>25.835927613274311</c:v>
                </c:pt>
                <c:pt idx="197">
                  <c:v>25.439303287033045</c:v>
                </c:pt>
                <c:pt idx="198">
                  <c:v>25.050766199378611</c:v>
                </c:pt>
                <c:pt idx="199">
                  <c:v>24.670111096431196</c:v>
                </c:pt>
                <c:pt idx="200">
                  <c:v>24.297138947182543</c:v>
                </c:pt>
                <c:pt idx="201">
                  <c:v>23.931656724439733</c:v>
                </c:pt>
                <c:pt idx="202">
                  <c:v>23.573477194537769</c:v>
                </c:pt>
                <c:pt idx="203">
                  <c:v>23.222418715428162</c:v>
                </c:pt>
                <c:pt idx="204">
                  <c:v>22.878305042769998</c:v>
                </c:pt>
                <c:pt idx="205">
                  <c:v>22.540965143668632</c:v>
                </c:pt>
                <c:pt idx="206">
                  <c:v>22.210233017724239</c:v>
                </c:pt>
                <c:pt idx="207">
                  <c:v>21.885947525069348</c:v>
                </c:pt>
                <c:pt idx="208">
                  <c:v>21.567952221089513</c:v>
                </c:pt>
                <c:pt idx="209">
                  <c:v>21.25609519753667</c:v>
                </c:pt>
                <c:pt idx="210">
                  <c:v>20.950228929758072</c:v>
                </c:pt>
                <c:pt idx="211">
                  <c:v>20.650210129777644</c:v>
                </c:pt>
                <c:pt idx="212">
                  <c:v>20.355899604978418</c:v>
                </c:pt>
                <c:pt idx="213">
                  <c:v>20.067162122147234</c:v>
                </c:pt>
                <c:pt idx="214">
                  <c:v>19.783866276653669</c:v>
                </c:pt>
                <c:pt idx="215">
                  <c:v>19.505884366546468</c:v>
                </c:pt>
                <c:pt idx="216">
                  <c:v>19.233092271359993</c:v>
                </c:pt>
                <c:pt idx="217">
                  <c:v>18.96536933543392</c:v>
                </c:pt>
                <c:pt idx="218">
                  <c:v>18.702598255557643</c:v>
                </c:pt>
                <c:pt idx="219">
                  <c:v>18.444664972759981</c:v>
                </c:pt>
                <c:pt idx="220">
                  <c:v>18.191458568073056</c:v>
                </c:pt>
                <c:pt idx="221">
                  <c:v>17.942871162106609</c:v>
                </c:pt>
                <c:pt idx="222">
                  <c:v>17.698797818277122</c:v>
                </c:pt>
                <c:pt idx="223">
                  <c:v>17.459136449542484</c:v>
                </c:pt>
                <c:pt idx="224">
                  <c:v>17.223787728500081</c:v>
                </c:pt>
                <c:pt idx="225">
                  <c:v>16.992655000712688</c:v>
                </c:pt>
                <c:pt idx="226">
                  <c:v>16.765644201131817</c:v>
                </c:pt>
                <c:pt idx="227">
                  <c:v>16.542663773495253</c:v>
                </c:pt>
                <c:pt idx="228">
                  <c:v>16.323624592579623</c:v>
                </c:pt>
                <c:pt idx="229">
                  <c:v>16.108439889195058</c:v>
                </c:pt>
                <c:pt idx="230">
                  <c:v>15.897025177813539</c:v>
                </c:pt>
                <c:pt idx="231">
                  <c:v>15.689298186727335</c:v>
                </c:pt>
                <c:pt idx="232">
                  <c:v>15.485178790638388</c:v>
                </c:pt>
                <c:pt idx="233">
                  <c:v>15.284588945584057</c:v>
                </c:pt>
                <c:pt idx="234">
                  <c:v>15.087452626108249</c:v>
                </c:pt>
                <c:pt idx="235">
                  <c:v>14.893695764591305</c:v>
                </c:pt>
                <c:pt idx="236">
                  <c:v>14.703246192655635</c:v>
                </c:pt>
                <c:pt idx="237">
                  <c:v>14.516033584567252</c:v>
                </c:pt>
                <c:pt idx="238">
                  <c:v>14.331989402557314</c:v>
                </c:pt>
                <c:pt idx="239">
                  <c:v>14.151046843990557</c:v>
                </c:pt>
                <c:pt idx="240">
                  <c:v>13.973140790310779</c:v>
                </c:pt>
                <c:pt idx="241">
                  <c:v>13.798207757696446</c:v>
                </c:pt>
                <c:pt idx="242">
                  <c:v>13.626185849362027</c:v>
                </c:pt>
                <c:pt idx="243">
                  <c:v>13.457014709443905</c:v>
                </c:pt>
                <c:pt idx="244">
                  <c:v>13.2906354784116</c:v>
                </c:pt>
                <c:pt idx="245">
                  <c:v>13.126990749947831</c:v>
                </c:pt>
                <c:pt idx="246">
                  <c:v>12.966024529243343</c:v>
                </c:pt>
                <c:pt idx="247">
                  <c:v>12.807682192654244</c:v>
                </c:pt>
                <c:pt idx="248">
                  <c:v>12.651910448672231</c:v>
                </c:pt>
                <c:pt idx="249">
                  <c:v>12.498657300159602</c:v>
                </c:pt>
                <c:pt idx="250">
                  <c:v>12.347872007803272</c:v>
                </c:pt>
                <c:pt idx="251">
                  <c:v>12.199505054743655</c:v>
                </c:pt>
                <c:pt idx="252">
                  <c:v>12.05350811233601</c:v>
                </c:pt>
                <c:pt idx="253">
                  <c:v>11.909834007003772</c:v>
                </c:pt>
                <c:pt idx="254">
                  <c:v>11.768436688144732</c:v>
                </c:pt>
                <c:pt idx="255">
                  <c:v>11.629271197052512</c:v>
                </c:pt>
                <c:pt idx="256">
                  <c:v>11.492293636817584</c:v>
                </c:pt>
                <c:pt idx="257">
                  <c:v>11.357461143172968</c:v>
                </c:pt>
                <c:pt idx="258">
                  <c:v>11.224731856251534</c:v>
                </c:pt>
                <c:pt idx="259">
                  <c:v>11.094064893222873</c:v>
                </c:pt>
                <c:pt idx="260">
                  <c:v>10.965420321779147</c:v>
                </c:pt>
                <c:pt idx="261">
                  <c:v>10.838759134440242</c:v>
                </c:pt>
                <c:pt idx="262">
                  <c:v>10.714043223650009</c:v>
                </c:pt>
                <c:pt idx="263">
                  <c:v>10.591235357636137</c:v>
                </c:pt>
                <c:pt idx="264">
                  <c:v>10.470299157007529</c:v>
                </c:pt>
                <c:pt idx="265">
                  <c:v>10.351199072063885</c:v>
                </c:pt>
                <c:pt idx="266">
                  <c:v>10.233900360793157</c:v>
                </c:pt>
                <c:pt idx="267">
                  <c:v>10.118369067533608</c:v>
                </c:pt>
                <c:pt idx="268">
                  <c:v>10.004572002277769</c:v>
                </c:pt>
                <c:pt idx="269">
                  <c:v>9.8924767205969495</c:v>
                </c:pt>
                <c:pt idx="270">
                  <c:v>9.7820515041651301</c:v>
                </c:pt>
                <c:pt idx="271">
                  <c:v>9.673265341862372</c:v>
                </c:pt>
                <c:pt idx="272">
                  <c:v>9.5660879114383874</c:v>
                </c:pt>
                <c:pt idx="273">
                  <c:v>9.4604895617175515</c:v>
                </c:pt>
                <c:pt idx="274">
                  <c:v>9.3564412953275653</c:v>
                </c:pt>
                <c:pt idx="275">
                  <c:v>9.2539147519344347</c:v>
                </c:pt>
                <c:pt idx="276">
                  <c:v>9.1528821919670573</c:v>
                </c:pt>
                <c:pt idx="277">
                  <c:v>9.0533164808155444</c:v>
                </c:pt>
                <c:pt idx="278">
                  <c:v>8.9551910734876579</c:v>
                </c:pt>
                <c:pt idx="279">
                  <c:v>8.8584799997085728</c:v>
                </c:pt>
                <c:pt idx="280">
                  <c:v>8.7631578494495592</c:v>
                </c:pt>
                <c:pt idx="281">
                  <c:v>8.6691997588717538</c:v>
                </c:pt>
                <c:pt idx="282">
                  <c:v>8.5765813966716831</c:v>
                </c:pt>
                <c:pt idx="283">
                  <c:v>8.4853934176709434</c:v>
                </c:pt>
                <c:pt idx="284">
                  <c:v>8.3953808940701755</c:v>
                </c:pt>
                <c:pt idx="285">
                  <c:v>8.3066382415839186</c:v>
                </c:pt>
                <c:pt idx="286">
                  <c:v>8.2191431279163734</c:v>
                </c:pt>
                <c:pt idx="287">
                  <c:v>8.1328736906990091</c:v>
                </c:pt>
                <c:pt idx="288">
                  <c:v>8.0478085259888292</c:v>
                </c:pt>
                <c:pt idx="289">
                  <c:v>7.9639266770873371</c:v>
                </c:pt>
                <c:pt idx="290">
                  <c:v>7.8812076236702557</c:v>
                </c:pt>
                <c:pt idx="291">
                  <c:v>7.7996312712181766</c:v>
                </c:pt>
                <c:pt idx="292">
                  <c:v>7.71917794073895</c:v>
                </c:pt>
                <c:pt idx="293">
                  <c:v>7.6398283587726983</c:v>
                </c:pt>
                <c:pt idx="294">
                  <c:v>7.5615636476706909</c:v>
                </c:pt>
                <c:pt idx="295">
                  <c:v>7.4843653161398347</c:v>
                </c:pt>
                <c:pt idx="296">
                  <c:v>7.4082152500444387</c:v>
                </c:pt>
                <c:pt idx="297">
                  <c:v>7.333095703457519</c:v>
                </c:pt>
                <c:pt idx="298">
                  <c:v>7.2589892899540844</c:v>
                </c:pt>
                <c:pt idx="299">
                  <c:v>7.1858789741389195</c:v>
                </c:pt>
                <c:pt idx="300">
                  <c:v>7.1137480634019372</c:v>
                </c:pt>
                <c:pt idx="301">
                  <c:v>7.0425801998941635</c:v>
                </c:pt>
                <c:pt idx="302">
                  <c:v>6.9723593527177181</c:v>
                </c:pt>
                <c:pt idx="303">
                  <c:v>6.9030698103234682</c:v>
                </c:pt>
                <c:pt idx="304">
                  <c:v>6.8346961731100659</c:v>
                </c:pt>
                <c:pt idx="305">
                  <c:v>6.7672233462184757</c:v>
                </c:pt>
                <c:pt idx="306">
                  <c:v>6.7006365325161106</c:v>
                </c:pt>
                <c:pt idx="307">
                  <c:v>6.6349212257650958</c:v>
                </c:pt>
                <c:pt idx="308">
                  <c:v>6.5700632039690756</c:v>
                </c:pt>
                <c:pt idx="309">
                  <c:v>6.5060485228935363</c:v>
                </c:pt>
                <c:pt idx="310">
                  <c:v>6.4428635097543614</c:v>
                </c:pt>
                <c:pt idx="311">
                  <c:v>6.3804947570698802</c:v>
                </c:pt>
                <c:pt idx="312">
                  <c:v>6.3189291166715655</c:v>
                </c:pt>
                <c:pt idx="313">
                  <c:v>6.2581536938688354</c:v>
                </c:pt>
                <c:pt idx="314">
                  <c:v>6.198155841763489</c:v>
                </c:pt>
                <c:pt idx="315">
                  <c:v>6.1389231557094668</c:v>
                </c:pt>
                <c:pt idx="316">
                  <c:v>6.0804434679138053</c:v>
                </c:pt>
                <c:pt idx="317">
                  <c:v>6.0227048421746892</c:v>
                </c:pt>
                <c:pt idx="318">
                  <c:v>5.9656955687527669</c:v>
                </c:pt>
                <c:pt idx="319">
                  <c:v>5.9094041593718911</c:v>
                </c:pt>
                <c:pt idx="320">
                  <c:v>5.85381934234562</c:v>
                </c:pt>
                <c:pt idx="321">
                  <c:v>5.7989300578259897</c:v>
                </c:pt>
                <c:pt idx="322">
                  <c:v>5.744725453171017</c:v>
                </c:pt>
                <c:pt idx="323">
                  <c:v>5.6911948784277131</c:v>
                </c:pt>
                <c:pt idx="324">
                  <c:v>5.6383278819272986</c:v>
                </c:pt>
                <c:pt idx="325">
                  <c:v>5.5861142059895181</c:v>
                </c:pt>
                <c:pt idx="326">
                  <c:v>5.5345437827330386</c:v>
                </c:pt>
                <c:pt idx="327">
                  <c:v>5.483606729988951</c:v>
                </c:pt>
                <c:pt idx="328">
                  <c:v>5.4332933473145948</c:v>
                </c:pt>
                <c:pt idx="329">
                  <c:v>5.3835941121048752</c:v>
                </c:pt>
                <c:pt idx="330">
                  <c:v>5.3344996757984173</c:v>
                </c:pt>
                <c:pt idx="331">
                  <c:v>5.2860008601760082</c:v>
                </c:pt>
                <c:pt idx="332">
                  <c:v>5.2380886537487328</c:v>
                </c:pt>
                <c:pt idx="333">
                  <c:v>5.1907542082334244</c:v>
                </c:pt>
                <c:pt idx="334">
                  <c:v>5.1439888351130403</c:v>
                </c:pt>
                <c:pt idx="335">
                  <c:v>5.0977840022796475</c:v>
                </c:pt>
                <c:pt idx="336">
                  <c:v>5.0521313307578337</c:v>
                </c:pt>
                <c:pt idx="337">
                  <c:v>5.0070225915063604</c:v>
                </c:pt>
                <c:pt idx="338">
                  <c:v>4.9624497022959408</c:v>
                </c:pt>
                <c:pt idx="339">
                  <c:v>4.9184047246611415</c:v>
                </c:pt>
                <c:pt idx="340">
                  <c:v>4.8748798609244375</c:v>
                </c:pt>
                <c:pt idx="341">
                  <c:v>4.8318674512904494</c:v>
                </c:pt>
                <c:pt idx="342">
                  <c:v>4.7893599710086017</c:v>
                </c:pt>
                <c:pt idx="343">
                  <c:v>4.7473500276022778</c:v>
                </c:pt>
                <c:pt idx="344">
                  <c:v>4.7058303581628209</c:v>
                </c:pt>
                <c:pt idx="345">
                  <c:v>4.6647938267066422</c:v>
                </c:pt>
                <c:pt idx="346">
                  <c:v>4.6242334215937477</c:v>
                </c:pt>
                <c:pt idx="347">
                  <c:v>4.5841422530061697</c:v>
                </c:pt>
                <c:pt idx="348">
                  <c:v>4.5445135504846359</c:v>
                </c:pt>
                <c:pt idx="349">
                  <c:v>4.5053406605220623</c:v>
                </c:pt>
                <c:pt idx="350">
                  <c:v>4.4666170442123478</c:v>
                </c:pt>
                <c:pt idx="351">
                  <c:v>4.4283362749530371</c:v>
                </c:pt>
                <c:pt idx="352">
                  <c:v>4.3904920362005146</c:v>
                </c:pt>
                <c:pt idx="353">
                  <c:v>4.3530781192763293</c:v>
                </c:pt>
                <c:pt idx="354">
                  <c:v>4.3160884212233714</c:v>
                </c:pt>
                <c:pt idx="355">
                  <c:v>4.2795169427106474</c:v>
                </c:pt>
                <c:pt idx="356">
                  <c:v>4.2433577859853369</c:v>
                </c:pt>
                <c:pt idx="357">
                  <c:v>4.207605152871067</c:v>
                </c:pt>
                <c:pt idx="358">
                  <c:v>4.1722533428110973</c:v>
                </c:pt>
                <c:pt idx="359">
                  <c:v>4.1372967509553744</c:v>
                </c:pt>
                <c:pt idx="360">
                  <c:v>4.1027298662903195</c:v>
                </c:pt>
                <c:pt idx="361">
                  <c:v>4.0685472698102751</c:v>
                </c:pt>
                <c:pt idx="362">
                  <c:v>4.0347436327295769</c:v>
                </c:pt>
                <c:pt idx="363">
                  <c:v>4.0013137147342563</c:v>
                </c:pt>
                <c:pt idx="364">
                  <c:v>3.96825236227233</c:v>
                </c:pt>
                <c:pt idx="365">
                  <c:v>3.935554506881811</c:v>
                </c:pt>
                <c:pt idx="366">
                  <c:v>3.9032151635553891</c:v>
                </c:pt>
                <c:pt idx="367">
                  <c:v>3.8712294291410241</c:v>
                </c:pt>
                <c:pt idx="368">
                  <c:v>3.8395924807774153</c:v>
                </c:pt>
                <c:pt idx="369">
                  <c:v>3.8082995743636068</c:v>
                </c:pt>
                <c:pt idx="370">
                  <c:v>3.7773460430618497</c:v>
                </c:pt>
                <c:pt idx="371">
                  <c:v>3.7467272958328843</c:v>
                </c:pt>
                <c:pt idx="372">
                  <c:v>3.7164388160029227</c:v>
                </c:pt>
                <c:pt idx="373">
                  <c:v>3.6864761598614861</c:v>
                </c:pt>
                <c:pt idx="374">
                  <c:v>3.6568349552894035</c:v>
                </c:pt>
                <c:pt idx="375">
                  <c:v>3.62751090041623</c:v>
                </c:pt>
                <c:pt idx="376">
                  <c:v>3.5984997623063624</c:v>
                </c:pt>
                <c:pt idx="377">
                  <c:v>3.5697973756731796</c:v>
                </c:pt>
                <c:pt idx="378">
                  <c:v>3.5413996416205289</c:v>
                </c:pt>
                <c:pt idx="379">
                  <c:v>3.5133025264109219</c:v>
                </c:pt>
                <c:pt idx="380">
                  <c:v>3.4855020602597633</c:v>
                </c:pt>
                <c:pt idx="381">
                  <c:v>3.4579943361550591</c:v>
                </c:pt>
                <c:pt idx="382">
                  <c:v>3.4307755087019181</c:v>
                </c:pt>
                <c:pt idx="383">
                  <c:v>3.4038417929913587</c:v>
                </c:pt>
                <c:pt idx="384">
                  <c:v>3.3771894634927446</c:v>
                </c:pt>
                <c:pt idx="385">
                  <c:v>3.3508148529693789</c:v>
                </c:pt>
                <c:pt idx="386">
                  <c:v>3.3247143514166764</c:v>
                </c:pt>
                <c:pt idx="387">
                  <c:v>3.2988844050223847</c:v>
                </c:pt>
                <c:pt idx="388">
                  <c:v>3.2733215151483313</c:v>
                </c:pt>
                <c:pt idx="389">
                  <c:v>3.2480222373332546</c:v>
                </c:pt>
                <c:pt idx="390">
                  <c:v>3.2229831803161315</c:v>
                </c:pt>
                <c:pt idx="391">
                  <c:v>3.1982010050796283</c:v>
                </c:pt>
                <c:pt idx="392">
                  <c:v>3.173672423913136</c:v>
                </c:pt>
                <c:pt idx="393">
                  <c:v>3.1493941994949712</c:v>
                </c:pt>
                <c:pt idx="394">
                  <c:v>3.1253631439933218</c:v>
                </c:pt>
                <c:pt idx="395">
                  <c:v>3.1015761181854495</c:v>
                </c:pt>
                <c:pt idx="396">
                  <c:v>3.0780300305948032</c:v>
                </c:pt>
                <c:pt idx="397">
                  <c:v>3.0547218366455673</c:v>
                </c:pt>
                <c:pt idx="398">
                  <c:v>3.0316485378343114</c:v>
                </c:pt>
                <c:pt idx="399">
                  <c:v>3.0088071809183101</c:v>
                </c:pt>
                <c:pt idx="400">
                  <c:v>2.9861948571201657</c:v>
                </c:pt>
                <c:pt idx="401">
                  <c:v>2.9638087013483747</c:v>
                </c:pt>
                <c:pt idx="402">
                  <c:v>2.9416458914334878</c:v>
                </c:pt>
                <c:pt idx="403">
                  <c:v>2.919703647379472</c:v>
                </c:pt>
                <c:pt idx="404">
                  <c:v>2.8979792306299963</c:v>
                </c:pt>
                <c:pt idx="405">
                  <c:v>2.8764699433492531</c:v>
                </c:pt>
                <c:pt idx="406">
                  <c:v>2.8551731277170149</c:v>
                </c:pt>
                <c:pt idx="407">
                  <c:v>2.8340861652376232</c:v>
                </c:pt>
                <c:pt idx="408">
                  <c:v>2.8132064760625686</c:v>
                </c:pt>
                <c:pt idx="409">
                  <c:v>2.7925315183263888</c:v>
                </c:pt>
                <c:pt idx="410">
                  <c:v>2.7720587874955771</c:v>
                </c:pt>
                <c:pt idx="411">
                  <c:v>2.7517858157302233</c:v>
                </c:pt>
                <c:pt idx="412">
                  <c:v>2.7317101712581033</c:v>
                </c:pt>
                <c:pt idx="413">
                  <c:v>2.711829457760937</c:v>
                </c:pt>
                <c:pt idx="414">
                  <c:v>2.6921413137725678</c:v>
                </c:pt>
                <c:pt idx="415">
                  <c:v>2.6726434120887861</c:v>
                </c:pt>
                <c:pt idx="416">
                  <c:v>2.6533334591885516</c:v>
                </c:pt>
                <c:pt idx="417">
                  <c:v>2.6342091946663695</c:v>
                </c:pt>
                <c:pt idx="418">
                  <c:v>2.615268390675574</c:v>
                </c:pt>
                <c:pt idx="419">
                  <c:v>2.5965088513822798</c:v>
                </c:pt>
                <c:pt idx="420">
                  <c:v>2.5779284124297956</c:v>
                </c:pt>
                <c:pt idx="421">
                  <c:v>2.5595249404132332</c:v>
                </c:pt>
                <c:pt idx="422">
                  <c:v>2.5412963323641442</c:v>
                </c:pt>
                <c:pt idx="423">
                  <c:v>2.523240515244912</c:v>
                </c:pt>
                <c:pt idx="424">
                  <c:v>2.5053554454527647</c:v>
                </c:pt>
                <c:pt idx="425">
                  <c:v>2.4876391083331191</c:v>
                </c:pt>
                <c:pt idx="426">
                  <c:v>2.4700895177021351</c:v>
                </c:pt>
                <c:pt idx="427">
                  <c:v>2.4527047153782267</c:v>
                </c:pt>
                <c:pt idx="428">
                  <c:v>2.4354827707223841</c:v>
                </c:pt>
                <c:pt idx="429">
                  <c:v>2.4184217801870975</c:v>
                </c:pt>
                <c:pt idx="430">
                  <c:v>2.4015198668736959</c:v>
                </c:pt>
                <c:pt idx="431">
                  <c:v>2.3847751800979489</c:v>
                </c:pt>
                <c:pt idx="432">
                  <c:v>2.3681858949637351</c:v>
                </c:pt>
                <c:pt idx="433">
                  <c:v>2.3517502119446334</c:v>
                </c:pt>
                <c:pt idx="434">
                  <c:v>2.3354663564732432</c:v>
                </c:pt>
                <c:pt idx="435">
                  <c:v>2.3193325785380816</c:v>
                </c:pt>
                <c:pt idx="436">
                  <c:v>2.3033471522879339</c:v>
                </c:pt>
                <c:pt idx="437">
                  <c:v>2.2875083756434402</c:v>
                </c:pt>
                <c:pt idx="438">
                  <c:v>2.271814569915835</c:v>
                </c:pt>
                <c:pt idx="439">
                  <c:v>2.2562640794326456</c:v>
                </c:pt>
                <c:pt idx="440">
                  <c:v>2.2408552711702185</c:v>
                </c:pt>
                <c:pt idx="441">
                  <c:v>2.225586534392948</c:v>
                </c:pt>
                <c:pt idx="442">
                  <c:v>2.2104562802990588</c:v>
                </c:pt>
                <c:pt idx="443">
                  <c:v>2.1954629416728038</c:v>
                </c:pt>
                <c:pt idx="444">
                  <c:v>2.1806049725429579</c:v>
                </c:pt>
                <c:pt idx="445">
                  <c:v>2.16588084784747</c:v>
                </c:pt>
                <c:pt idx="446">
                  <c:v>2.1512890631041568</c:v>
                </c:pt>
                <c:pt idx="447">
                  <c:v>2.1368281340873101</c:v>
                </c:pt>
                <c:pt idx="448">
                  <c:v>2.1224965965101039</c:v>
                </c:pt>
                <c:pt idx="449">
                  <c:v>2.1082930057126803</c:v>
                </c:pt>
                <c:pt idx="450">
                  <c:v>2.0942159363557962</c:v>
                </c:pt>
                <c:pt idx="451">
                  <c:v>2.0802639821199254</c:v>
                </c:pt>
                <c:pt idx="452">
                  <c:v>2.0664357554097221</c:v>
                </c:pt>
                <c:pt idx="453">
                  <c:v>2.0527298870636979</c:v>
                </c:pt>
                <c:pt idx="454">
                  <c:v>2.0391450260690469</c:v>
                </c:pt>
                <c:pt idx="455">
                  <c:v>2.0256798392815081</c:v>
                </c:pt>
                <c:pt idx="456">
                  <c:v>2.0123330111501487</c:v>
                </c:pt>
                <c:pt idx="457">
                  <c:v>1.9991032434469878</c:v>
                </c:pt>
                <c:pt idx="458">
                  <c:v>1.9859892550013643</c:v>
                </c:pt>
                <c:pt idx="459">
                  <c:v>1.9729897814389405</c:v>
                </c:pt>
                <c:pt idx="460">
                  <c:v>1.9601035749252784</c:v>
                </c:pt>
                <c:pt idx="461">
                  <c:v>1.9473294039138602</c:v>
                </c:pt>
                <c:pt idx="462">
                  <c:v>1.9346660528985047</c:v>
                </c:pt>
                <c:pt idx="463">
                  <c:v>1.92211232217007</c:v>
                </c:pt>
                <c:pt idx="464">
                  <c:v>1.9096670275773646</c:v>
                </c:pt>
                <c:pt idx="465">
                  <c:v>1.8973290002921941</c:v>
                </c:pt>
                <c:pt idx="466">
                  <c:v>1.8850970865784413</c:v>
                </c:pt>
                <c:pt idx="467">
                  <c:v>1.8729701475651346</c:v>
                </c:pt>
                <c:pt idx="468">
                  <c:v>1.8609470590233883</c:v>
                </c:pt>
                <c:pt idx="469">
                  <c:v>1.8490267111471796</c:v>
                </c:pt>
                <c:pt idx="470">
                  <c:v>1.8372080083378652</c:v>
                </c:pt>
                <c:pt idx="471">
                  <c:v>1.8254898689923551</c:v>
                </c:pt>
                <c:pt idx="472">
                  <c:v>1.8138712252949161</c:v>
                </c:pt>
                <c:pt idx="473">
                  <c:v>1.8023510230124817</c:v>
                </c:pt>
                <c:pt idx="474">
                  <c:v>1.7909282212934508</c:v>
                </c:pt>
                <c:pt idx="475">
                  <c:v>1.7796017924698704</c:v>
                </c:pt>
                <c:pt idx="476">
                  <c:v>1.7683707218629632</c:v>
                </c:pt>
                <c:pt idx="477">
                  <c:v>1.7572340075919253</c:v>
                </c:pt>
                <c:pt idx="478">
                  <c:v>1.7461906603859347</c:v>
                </c:pt>
                <c:pt idx="479">
                  <c:v>1.7352397033993066</c:v>
                </c:pt>
                <c:pt idx="480">
                  <c:v>1.7243801720297489</c:v>
                </c:pt>
                <c:pt idx="481">
                  <c:v>1.7136111137396419</c:v>
                </c:pt>
                <c:pt idx="482">
                  <c:v>1.7029315878802962</c:v>
                </c:pt>
                <c:pt idx="483">
                  <c:v>1.6923406655191322</c:v>
                </c:pt>
                <c:pt idx="484">
                  <c:v>1.6818374292697262</c:v>
                </c:pt>
                <c:pt idx="485">
                  <c:v>1.6714209731246668</c:v>
                </c:pt>
                <c:pt idx="486">
                  <c:v>1.6610904022911785</c:v>
                </c:pt>
                <c:pt idx="487">
                  <c:v>1.6508448330294403</c:v>
                </c:pt>
                <c:pt idx="488">
                  <c:v>1.6406833924935764</c:v>
                </c:pt>
                <c:pt idx="489">
                  <c:v>1.6306052185752544</c:v>
                </c:pt>
                <c:pt idx="490">
                  <c:v>1.6206094597498373</c:v>
                </c:pt>
                <c:pt idx="491">
                  <c:v>1.6106952749250623</c:v>
                </c:pt>
                <c:pt idx="492">
                  <c:v>1.6008618332921773</c:v>
                </c:pt>
                <c:pt idx="493">
                  <c:v>1.5911083141795093</c:v>
                </c:pt>
                <c:pt idx="494">
                  <c:v>1.5814339069084005</c:v>
                </c:pt>
                <c:pt idx="495">
                  <c:v>1.571837810651495</c:v>
                </c:pt>
                <c:pt idx="496">
                  <c:v>1.5623192342933088</c:v>
                </c:pt>
                <c:pt idx="497">
                  <c:v>1.5528773962930469</c:v>
                </c:pt>
                <c:pt idx="498">
                  <c:v>1.5435115245496478</c:v>
                </c:pt>
                <c:pt idx="499">
                  <c:v>1.5342208562689759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211-491C-9CE7-BCD1A6474A31}"/>
            </c:ext>
          </c:extLst>
        </c:ser>
        <c:ser>
          <c:idx val="4"/>
          <c:order val="4"/>
          <c:tx>
            <c:v>I3</c:v>
          </c:tx>
          <c:spPr>
            <a:ln w="28575">
              <a:solidFill>
                <a:srgbClr val="92D050"/>
              </a:solidFill>
            </a:ln>
          </c:spPr>
          <c:marker>
            <c:symbol val="circle"/>
            <c:size val="3"/>
            <c:spPr>
              <a:noFill/>
              <a:ln>
                <a:noFill/>
              </a:ln>
            </c:spPr>
          </c:marker>
          <c:xVal>
            <c:numRef>
              <c:f>'LM-OSL'!$C$32:$C$1031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</c:numCache>
            </c:numRef>
          </c:xVal>
          <c:yVal>
            <c:numRef>
              <c:f>'LM-OSL'!$T$32:$T$1031</c:f>
              <c:numCache>
                <c:formatCode>General</c:formatCode>
                <c:ptCount val="1000"/>
                <c:pt idx="0">
                  <c:v>0</c:v>
                </c:pt>
                <c:pt idx="1">
                  <c:v>51.426421180355774</c:v>
                </c:pt>
                <c:pt idx="2">
                  <c:v>102.83229121987206</c:v>
                </c:pt>
                <c:pt idx="3">
                  <c:v>154.19707395608518</c:v>
                </c:pt>
                <c:pt idx="4">
                  <c:v>205.50026316774898</c:v>
                </c:pt>
                <c:pt idx="5">
                  <c:v>256.72139750662734</c:v>
                </c:pt>
                <c:pt idx="6">
                  <c:v>307.84007538276518</c:v>
                </c:pt>
                <c:pt idx="7">
                  <c:v>358.83596978782259</c:v>
                </c:pt>
                <c:pt idx="8">
                  <c:v>409.68884304113834</c:v>
                </c:pt>
                <c:pt idx="9">
                  <c:v>460.37856144329123</c:v>
                </c:pt>
                <c:pt idx="10">
                  <c:v>510.88510982204326</c:v>
                </c:pt>
                <c:pt idx="11">
                  <c:v>561.18860595568901</c:v>
                </c:pt>
                <c:pt idx="12">
                  <c:v>611.26931485899809</c:v>
                </c:pt>
                <c:pt idx="13">
                  <c:v>661.10766291710775</c:v>
                </c:pt>
                <c:pt idx="14">
                  <c:v>710.6842518529246</c:v>
                </c:pt>
                <c:pt idx="15">
                  <c:v>759.97987251380687</c:v>
                </c:pt>
                <c:pt idx="16">
                  <c:v>808.97551846353031</c:v>
                </c:pt>
                <c:pt idx="17">
                  <c:v>857.65239936579542</c:v>
                </c:pt>
                <c:pt idx="18">
                  <c:v>905.99195414579617</c:v>
                </c:pt>
                <c:pt idx="19">
                  <c:v>953.97586391665686</c:v>
                </c:pt>
                <c:pt idx="20">
                  <c:v>1001.5860646578516</c:v>
                </c:pt>
                <c:pt idx="21">
                  <c:v>1048.8047596330271</c:v>
                </c:pt>
                <c:pt idx="22">
                  <c:v>1095.6144315349934</c:v>
                </c:pt>
                <c:pt idx="23">
                  <c:v>1141.9978543459906</c:v>
                </c:pt>
                <c:pt idx="24">
                  <c:v>1187.9381049016979</c:v>
                </c:pt>
                <c:pt idx="25">
                  <c:v>1233.4185741478432</c:v>
                </c:pt>
                <c:pt idx="26">
                  <c:v>1278.4229780786434</c:v>
                </c:pt>
                <c:pt idx="27">
                  <c:v>1322.9353683467273</c:v>
                </c:pt>
                <c:pt idx="28">
                  <c:v>1366.9401425345904</c:v>
                </c:pt>
                <c:pt idx="29">
                  <c:v>1410.4220540780764</c:v>
                </c:pt>
                <c:pt idx="30">
                  <c:v>1453.3662218328088</c:v>
                </c:pt>
                <c:pt idx="31">
                  <c:v>1495.758139274946</c:v>
                </c:pt>
                <c:pt idx="32">
                  <c:v>1537.5836833280935</c:v>
                </c:pt>
                <c:pt idx="33">
                  <c:v>1578.8291228086794</c:v>
                </c:pt>
                <c:pt idx="34">
                  <c:v>1619.4811264825721</c:v>
                </c:pt>
                <c:pt idx="35">
                  <c:v>1659.5267707261894</c:v>
                </c:pt>
                <c:pt idx="36">
                  <c:v>1698.9535467858836</c:v>
                </c:pt>
                <c:pt idx="37">
                  <c:v>1737.7493676298247</c:v>
                </c:pt>
                <c:pt idx="38">
                  <c:v>1775.9025743871573</c:v>
                </c:pt>
                <c:pt idx="39">
                  <c:v>1813.4019423696884</c:v>
                </c:pt>
                <c:pt idx="40">
                  <c:v>1850.2366866718899</c:v>
                </c:pt>
                <c:pt idx="41">
                  <c:v>1886.3964673455021</c:v>
                </c:pt>
                <c:pt idx="42">
                  <c:v>1921.8713941455585</c:v>
                </c:pt>
                <c:pt idx="43">
                  <c:v>1956.6520308451622</c:v>
                </c:pt>
                <c:pt idx="44">
                  <c:v>1990.7293991168729</c:v>
                </c:pt>
                <c:pt idx="45">
                  <c:v>2024.0949819790794</c:v>
                </c:pt>
                <c:pt idx="46">
                  <c:v>2056.7407268062661</c:v>
                </c:pt>
                <c:pt idx="47">
                  <c:v>2088.6590479025899</c:v>
                </c:pt>
                <c:pt idx="48">
                  <c:v>2119.8428286387261</c:v>
                </c:pt>
                <c:pt idx="49">
                  <c:v>2150.285423152422</c:v>
                </c:pt>
                <c:pt idx="50">
                  <c:v>2179.9806576137594</c:v>
                </c:pt>
                <c:pt idx="51">
                  <c:v>2208.9228310566068</c:v>
                </c:pt>
                <c:pt idx="52">
                  <c:v>2237.1067157782463</c:v>
                </c:pt>
                <c:pt idx="53">
                  <c:v>2264.5275573096901</c:v>
                </c:pt>
                <c:pt idx="54">
                  <c:v>2291.1810739596667</c:v>
                </c:pt>
                <c:pt idx="55">
                  <c:v>2317.0634559357723</c:v>
                </c:pt>
                <c:pt idx="56">
                  <c:v>2342.1713640467415</c:v>
                </c:pt>
                <c:pt idx="57">
                  <c:v>2366.5019279902867</c:v>
                </c:pt>
                <c:pt idx="58">
                  <c:v>2390.0527442314174</c:v>
                </c:pt>
                <c:pt idx="59">
                  <c:v>2412.8218734765883</c:v>
                </c:pt>
                <c:pt idx="60">
                  <c:v>2434.8078377495212</c:v>
                </c:pt>
                <c:pt idx="61">
                  <c:v>2456.0096170749171</c:v>
                </c:pt>
                <c:pt idx="62">
                  <c:v>2476.4266457767744</c:v>
                </c:pt>
                <c:pt idx="63">
                  <c:v>2496.0588083983821</c:v>
                </c:pt>
                <c:pt idx="64">
                  <c:v>2514.9064352515106</c:v>
                </c:pt>
                <c:pt idx="65">
                  <c:v>2532.9702976026815</c:v>
                </c:pt>
                <c:pt idx="66">
                  <c:v>2550.2516025048062</c:v>
                </c:pt>
                <c:pt idx="67">
                  <c:v>2566.7519872828179</c:v>
                </c:pt>
                <c:pt idx="68">
                  <c:v>2582.473513682311</c:v>
                </c:pt>
                <c:pt idx="69">
                  <c:v>2597.4186616905085</c:v>
                </c:pt>
                <c:pt idx="70">
                  <c:v>2611.5903230392287</c:v>
                </c:pt>
                <c:pt idx="71">
                  <c:v>2624.9917943998184</c:v>
                </c:pt>
                <c:pt idx="72">
                  <c:v>2637.626770280312</c:v>
                </c:pt>
                <c:pt idx="73">
                  <c:v>2649.4993356353766</c:v>
                </c:pt>
                <c:pt idx="74">
                  <c:v>2660.6139581998368</c:v>
                </c:pt>
                <c:pt idx="75">
                  <c:v>2670.9754805568473</c:v>
                </c:pt>
                <c:pt idx="76">
                  <c:v>2680.5891119519961</c:v>
                </c:pt>
                <c:pt idx="77">
                  <c:v>2689.4604198648449</c:v>
                </c:pt>
                <c:pt idx="78">
                  <c:v>2697.595321349605</c:v>
                </c:pt>
                <c:pt idx="79">
                  <c:v>2705.0000741568319</c:v>
                </c:pt>
                <c:pt idx="80">
                  <c:v>2711.681267648185</c:v>
                </c:pt>
                <c:pt idx="81">
                  <c:v>2717.6458135164357</c:v>
                </c:pt>
                <c:pt idx="82">
                  <c:v>2722.9009363230616</c:v>
                </c:pt>
                <c:pt idx="83">
                  <c:v>2727.454163865832</c:v>
                </c:pt>
                <c:pt idx="84">
                  <c:v>2731.3133173889341</c:v>
                </c:pt>
                <c:pt idx="85">
                  <c:v>2734.4865016482213</c:v>
                </c:pt>
                <c:pt idx="86">
                  <c:v>2736.9820948442457</c:v>
                </c:pt>
                <c:pt idx="87">
                  <c:v>2738.8087384357736</c:v>
                </c:pt>
                <c:pt idx="88">
                  <c:v>2739.975326846497</c:v>
                </c:pt>
                <c:pt idx="89">
                  <c:v>2740.4909970776675</c:v>
                </c:pt>
                <c:pt idx="90">
                  <c:v>2740.3651182393555</c:v>
                </c:pt>
                <c:pt idx="91">
                  <c:v>2739.6072810130195</c:v>
                </c:pt>
                <c:pt idx="92">
                  <c:v>2738.2272870580014</c:v>
                </c:pt>
                <c:pt idx="93">
                  <c:v>2736.2351383745208</c:v>
                </c:pt>
                <c:pt idx="94">
                  <c:v>2733.6410266356374</c:v>
                </c:pt>
                <c:pt idx="95">
                  <c:v>2730.4553225005652</c:v>
                </c:pt>
                <c:pt idx="96">
                  <c:v>2726.6885649215956</c:v>
                </c:pt>
                <c:pt idx="97">
                  <c:v>2722.3514504567552</c:v>
                </c:pt>
                <c:pt idx="98">
                  <c:v>2717.4548226001671</c:v>
                </c:pt>
                <c:pt idx="99">
                  <c:v>2712.0096611419494</c:v>
                </c:pt>
                <c:pt idx="100">
                  <c:v>2706.0270715692441</c:v>
                </c:pt>
                <c:pt idx="101">
                  <c:v>2699.5182745198335</c:v>
                </c:pt>
                <c:pt idx="102">
                  <c:v>2692.4945952995595</c:v>
                </c:pt>
                <c:pt idx="103">
                  <c:v>2684.9674534745191</c:v>
                </c:pt>
                <c:pt idx="104">
                  <c:v>2676.9483525488131</c:v>
                </c:pt>
                <c:pt idx="105">
                  <c:v>2668.4488697383267</c:v>
                </c:pt>
                <c:pt idx="106">
                  <c:v>2659.4806458507801</c:v>
                </c:pt>
                <c:pt idx="107">
                  <c:v>2650.0553752819997</c:v>
                </c:pt>
                <c:pt idx="108">
                  <c:v>2640.1847961380577</c:v>
                </c:pt>
                <c:pt idx="109">
                  <c:v>2629.8806804926417</c:v>
                </c:pt>
                <c:pt idx="110">
                  <c:v>2619.1548247886949</c:v>
                </c:pt>
                <c:pt idx="111">
                  <c:v>2608.0190403930328</c:v>
                </c:pt>
                <c:pt idx="112">
                  <c:v>2596.4851443123139</c:v>
                </c:pt>
                <c:pt idx="113">
                  <c:v>2584.564950078407</c:v>
                </c:pt>
                <c:pt idx="114">
                  <c:v>2572.2702588108259</c:v>
                </c:pt>
                <c:pt idx="115">
                  <c:v>2559.6128504635526</c:v>
                </c:pt>
                <c:pt idx="116">
                  <c:v>2546.604475263211</c:v>
                </c:pt>
                <c:pt idx="117">
                  <c:v>2533.2568453451518</c:v>
                </c:pt>
                <c:pt idx="118">
                  <c:v>2519.5816265936578</c:v>
                </c:pt>
                <c:pt idx="119">
                  <c:v>2505.5904306920734</c:v>
                </c:pt>
                <c:pt idx="120">
                  <c:v>2491.2948073882849</c:v>
                </c:pt>
                <c:pt idx="121">
                  <c:v>2476.706236980579</c:v>
                </c:pt>
                <c:pt idx="122">
                  <c:v>2461.8361230285086</c:v>
                </c:pt>
                <c:pt idx="123">
                  <c:v>2446.6957852930013</c:v>
                </c:pt>
                <c:pt idx="124">
                  <c:v>2431.2964529095366</c:v>
                </c:pt>
                <c:pt idx="125">
                  <c:v>2415.6492577978547</c:v>
                </c:pt>
                <c:pt idx="126">
                  <c:v>2399.7652283111825</c:v>
                </c:pt>
                <c:pt idx="127">
                  <c:v>2383.6552831276554</c:v>
                </c:pt>
                <c:pt idx="128">
                  <c:v>2367.3302253861502</c:v>
                </c:pt>
                <c:pt idx="129">
                  <c:v>2350.8007370683749</c:v>
                </c:pt>
                <c:pt idx="130">
                  <c:v>2334.0773736286678</c:v>
                </c:pt>
                <c:pt idx="131">
                  <c:v>2317.1705588725704</c:v>
                </c:pt>
                <c:pt idx="132">
                  <c:v>2300.0905800848495</c:v>
                </c:pt>
                <c:pt idx="133">
                  <c:v>2282.8475834072706</c:v>
                </c:pt>
                <c:pt idx="134">
                  <c:v>2265.4515694660608</c:v>
                </c:pt>
                <c:pt idx="135">
                  <c:v>2247.9123892486191</c:v>
                </c:pt>
                <c:pt idx="136">
                  <c:v>2230.2397402286738</c:v>
                </c:pt>
                <c:pt idx="137">
                  <c:v>2212.4431627387726</c:v>
                </c:pt>
                <c:pt idx="138">
                  <c:v>2194.5320365885873</c:v>
                </c:pt>
                <c:pt idx="139">
                  <c:v>2176.5155779272427</c:v>
                </c:pt>
                <c:pt idx="140">
                  <c:v>2158.4028363475286</c:v>
                </c:pt>
                <c:pt idx="141">
                  <c:v>2140.2026922295368</c:v>
                </c:pt>
                <c:pt idx="142">
                  <c:v>2121.9238543209772</c:v>
                </c:pt>
                <c:pt idx="143">
                  <c:v>2103.5748575511439</c:v>
                </c:pt>
                <c:pt idx="144">
                  <c:v>2085.1640610751974</c:v>
                </c:pt>
                <c:pt idx="145">
                  <c:v>2066.6996465451862</c:v>
                </c:pt>
                <c:pt idx="146">
                  <c:v>2048.189616603971</c:v>
                </c:pt>
                <c:pt idx="147">
                  <c:v>2029.6417935979655</c:v>
                </c:pt>
                <c:pt idx="148">
                  <c:v>2011.0638185043965</c:v>
                </c:pt>
                <c:pt idx="149">
                  <c:v>1992.463150068548</c:v>
                </c:pt>
                <c:pt idx="150">
                  <c:v>1973.8470641462741</c:v>
                </c:pt>
                <c:pt idx="151">
                  <c:v>1955.2226532468662</c:v>
                </c:pt>
                <c:pt idx="152">
                  <c:v>1936.5968262711874</c:v>
                </c:pt>
                <c:pt idx="153">
                  <c:v>1917.9763084398285</c:v>
                </c:pt>
                <c:pt idx="154">
                  <c:v>1899.3676414058818</c:v>
                </c:pt>
                <c:pt idx="155">
                  <c:v>1880.7771835468295</c:v>
                </c:pt>
                <c:pt idx="156">
                  <c:v>1862.2111104298772</c:v>
                </c:pt>
                <c:pt idx="157">
                  <c:v>1843.675415444992</c:v>
                </c:pt>
                <c:pt idx="158">
                  <c:v>1825.1759105998071</c:v>
                </c:pt>
                <c:pt idx="159">
                  <c:v>1806.7182274704671</c:v>
                </c:pt>
                <c:pt idx="160">
                  <c:v>1788.3078183024311</c:v>
                </c:pt>
                <c:pt idx="161">
                  <c:v>1769.9499572551974</c:v>
                </c:pt>
                <c:pt idx="162">
                  <c:v>1751.6497417848764</c:v>
                </c:pt>
                <c:pt idx="163">
                  <c:v>1733.4120941585138</c:v>
                </c:pt>
                <c:pt idx="164">
                  <c:v>1715.2417630940427</c:v>
                </c:pt>
                <c:pt idx="165">
                  <c:v>1697.1433255197605</c:v>
                </c:pt>
                <c:pt idx="166">
                  <c:v>1679.1211884472145</c:v>
                </c:pt>
                <c:pt idx="167">
                  <c:v>1661.1795909514219</c:v>
                </c:pt>
                <c:pt idx="168">
                  <c:v>1643.3226062523713</c:v>
                </c:pt>
                <c:pt idx="169">
                  <c:v>1625.5541438917933</c:v>
                </c:pt>
                <c:pt idx="170">
                  <c:v>1607.8779519992556</c:v>
                </c:pt>
                <c:pt idx="171">
                  <c:v>1590.2976196416832</c:v>
                </c:pt>
                <c:pt idx="172">
                  <c:v>1572.8165792504867</c:v>
                </c:pt>
                <c:pt idx="173">
                  <c:v>1555.4381091205612</c:v>
                </c:pt>
                <c:pt idx="174">
                  <c:v>1538.1653359755089</c:v>
                </c:pt>
                <c:pt idx="175">
                  <c:v>1521.0012375935269</c:v>
                </c:pt>
                <c:pt idx="176">
                  <c:v>1503.9486454885164</c:v>
                </c:pt>
                <c:pt idx="177">
                  <c:v>1487.0102476410757</c:v>
                </c:pt>
                <c:pt idx="178">
                  <c:v>1470.1885912741498</c:v>
                </c:pt>
                <c:pt idx="179">
                  <c:v>1453.486085668251</c:v>
                </c:pt>
                <c:pt idx="180">
                  <c:v>1436.905005011273</c:v>
                </c:pt>
                <c:pt idx="181">
                  <c:v>1420.4474912780538</c:v>
                </c:pt>
                <c:pt idx="182">
                  <c:v>1404.115557135013</c:v>
                </c:pt>
                <c:pt idx="183">
                  <c:v>1387.9110888652724</c:v>
                </c:pt>
                <c:pt idx="184">
                  <c:v>1371.8358493098754</c:v>
                </c:pt>
                <c:pt idx="185">
                  <c:v>1355.8914808208126</c:v>
                </c:pt>
                <c:pt idx="186">
                  <c:v>1340.0795082217587</c:v>
                </c:pt>
                <c:pt idx="187">
                  <c:v>1324.4013417725332</c:v>
                </c:pt>
                <c:pt idx="188">
                  <c:v>1308.8582801334894</c:v>
                </c:pt>
                <c:pt idx="189">
                  <c:v>1293.4515133261543</c:v>
                </c:pt>
                <c:pt idx="190">
                  <c:v>1278.1821256866326</c:v>
                </c:pt>
                <c:pt idx="191">
                  <c:v>1263.0510988084066</c:v>
                </c:pt>
                <c:pt idx="192">
                  <c:v>1248.05931447135</c:v>
                </c:pt>
                <c:pt idx="193">
                  <c:v>1233.2075575539122</c:v>
                </c:pt>
                <c:pt idx="194">
                  <c:v>1218.4965189255686</c:v>
                </c:pt>
                <c:pt idx="195">
                  <c:v>1203.9267983168356</c:v>
                </c:pt>
                <c:pt idx="196">
                  <c:v>1189.4989071642231</c:v>
                </c:pt>
                <c:pt idx="197">
                  <c:v>1175.2132714277272</c:v>
                </c:pt>
                <c:pt idx="198">
                  <c:v>1161.070234378551</c:v>
                </c:pt>
                <c:pt idx="199">
                  <c:v>1147.0700593549211</c:v>
                </c:pt>
                <c:pt idx="200">
                  <c:v>1133.2129324839884</c:v>
                </c:pt>
                <c:pt idx="201">
                  <c:v>1119.4989653679713</c:v>
                </c:pt>
                <c:pt idx="202">
                  <c:v>1105.9281977327923</c:v>
                </c:pt>
                <c:pt idx="203">
                  <c:v>1092.50060003764</c:v>
                </c:pt>
                <c:pt idx="204">
                  <c:v>1079.2160760439779</c:v>
                </c:pt>
                <c:pt idx="205">
                  <c:v>1066.0744653426834</c:v>
                </c:pt>
                <c:pt idx="206">
                  <c:v>1053.0755458380975</c:v>
                </c:pt>
                <c:pt idx="207">
                  <c:v>1040.2190361878977</c:v>
                </c:pt>
                <c:pt idx="208">
                  <c:v>1027.5045981978244</c:v>
                </c:pt>
                <c:pt idx="209">
                  <c:v>1014.9318391703977</c:v>
                </c:pt>
                <c:pt idx="210">
                  <c:v>1002.5003142068788</c:v>
                </c:pt>
                <c:pt idx="211">
                  <c:v>990.20952846181706</c:v>
                </c:pt>
                <c:pt idx="212">
                  <c:v>978.05893934965127</c:v>
                </c:pt>
                <c:pt idx="213">
                  <c:v>966.04795870290843</c:v>
                </c:pt>
                <c:pt idx="214">
                  <c:v>954.17595488163772</c:v>
                </c:pt>
                <c:pt idx="215">
                  <c:v>942.44225483383013</c:v>
                </c:pt>
                <c:pt idx="216">
                  <c:v>930.84614610662356</c:v>
                </c:pt>
                <c:pt idx="217">
                  <c:v>919.38687880819634</c:v>
                </c:pt>
                <c:pt idx="218">
                  <c:v>908.06366752033455</c:v>
                </c:pt>
                <c:pt idx="219">
                  <c:v>896.87569316170618</c:v>
                </c:pt>
                <c:pt idx="220">
                  <c:v>885.82210480197114</c:v>
                </c:pt>
                <c:pt idx="221">
                  <c:v>874.90202142690589</c:v>
                </c:pt>
                <c:pt idx="222">
                  <c:v>864.11453365478951</c:v>
                </c:pt>
                <c:pt idx="223">
                  <c:v>853.45870540434964</c:v>
                </c:pt>
                <c:pt idx="224">
                  <c:v>842.93357551463203</c:v>
                </c:pt>
                <c:pt idx="225">
                  <c:v>832.53815931720032</c:v>
                </c:pt>
                <c:pt idx="226">
                  <c:v>822.27145016111535</c:v>
                </c:pt>
                <c:pt idx="227">
                  <c:v>812.13242089120695</c:v>
                </c:pt>
                <c:pt idx="228">
                  <c:v>802.12002528016819</c:v>
                </c:pt>
                <c:pt idx="229">
                  <c:v>792.23319941505633</c:v>
                </c:pt>
                <c:pt idx="230">
                  <c:v>782.47086303881304</c:v>
                </c:pt>
                <c:pt idx="231">
                  <c:v>772.8319208474544</c:v>
                </c:pt>
                <c:pt idx="232">
                  <c:v>763.31526374359169</c:v>
                </c:pt>
                <c:pt idx="233">
                  <c:v>753.91977004700539</c:v>
                </c:pt>
                <c:pt idx="234">
                  <c:v>744.64430666297426</c:v>
                </c:pt>
                <c:pt idx="235">
                  <c:v>735.4877302091237</c:v>
                </c:pt>
                <c:pt idx="236">
                  <c:v>726.44888810154589</c:v>
                </c:pt>
                <c:pt idx="237">
                  <c:v>717.52661960097896</c:v>
                </c:pt>
                <c:pt idx="238">
                  <c:v>708.71975681983372</c:v>
                </c:pt>
                <c:pt idx="239">
                  <c:v>700.02712569088271</c:v>
                </c:pt>
                <c:pt idx="240">
                  <c:v>691.44754689842068</c:v>
                </c:pt>
                <c:pt idx="241">
                  <c:v>682.9798367727235</c:v>
                </c:pt>
                <c:pt idx="242">
                  <c:v>674.62280814864198</c:v>
                </c:pt>
                <c:pt idx="243">
                  <c:v>666.37527118915318</c:v>
                </c:pt>
                <c:pt idx="244">
                  <c:v>658.23603417471793</c:v>
                </c:pt>
                <c:pt idx="245">
                  <c:v>650.2039042592836</c:v>
                </c:pt>
                <c:pt idx="246">
                  <c:v>642.27768819376126</c:v>
                </c:pt>
                <c:pt idx="247">
                  <c:v>634.45619301782642</c:v>
                </c:pt>
                <c:pt idx="248">
                  <c:v>626.73822672087124</c:v>
                </c:pt>
                <c:pt idx="249">
                  <c:v>619.12259887293942</c:v>
                </c:pt>
                <c:pt idx="250">
                  <c:v>611.6081212264711</c:v>
                </c:pt>
                <c:pt idx="251">
                  <c:v>604.19360828967569</c:v>
                </c:pt>
                <c:pt idx="252">
                  <c:v>596.87787787234561</c:v>
                </c:pt>
                <c:pt idx="253">
                  <c:v>589.65975160491291</c:v>
                </c:pt>
                <c:pt idx="254">
                  <c:v>582.53805543154681</c:v>
                </c:pt>
                <c:pt idx="255">
                  <c:v>575.51162007807579</c:v>
                </c:pt>
                <c:pt idx="256">
                  <c:v>568.57928149550946</c:v>
                </c:pt>
                <c:pt idx="257">
                  <c:v>561.73988127992743</c:v>
                </c:pt>
                <c:pt idx="258">
                  <c:v>554.9922670694823</c:v>
                </c:pt>
                <c:pt idx="259">
                  <c:v>548.33529291926379</c:v>
                </c:pt>
                <c:pt idx="260">
                  <c:v>541.76781965475038</c:v>
                </c:pt>
                <c:pt idx="261">
                  <c:v>535.2887152045621</c:v>
                </c:pt>
                <c:pt idx="262">
                  <c:v>528.89685491321904</c:v>
                </c:pt>
                <c:pt idx="263">
                  <c:v>522.59112183459536</c:v>
                </c:pt>
                <c:pt idx="264">
                  <c:v>516.37040700674186</c:v>
                </c:pt>
                <c:pt idx="265">
                  <c:v>510.23360970873961</c:v>
                </c:pt>
                <c:pt idx="266">
                  <c:v>504.17963770023226</c:v>
                </c:pt>
                <c:pt idx="267">
                  <c:v>498.20740744426905</c:v>
                </c:pt>
                <c:pt idx="268">
                  <c:v>492.31584431407731</c:v>
                </c:pt>
                <c:pt idx="269">
                  <c:v>486.50388278437026</c:v>
                </c:pt>
                <c:pt idx="270">
                  <c:v>480.77046660777455</c:v>
                </c:pt>
                <c:pt idx="271">
                  <c:v>475.11454897696007</c:v>
                </c:pt>
                <c:pt idx="272">
                  <c:v>469.53509267302638</c:v>
                </c:pt>
                <c:pt idx="273">
                  <c:v>464.03107020069569</c:v>
                </c:pt>
                <c:pt idx="274">
                  <c:v>458.60146391084038</c:v>
                </c:pt>
                <c:pt idx="275">
                  <c:v>453.24526611086736</c:v>
                </c:pt>
                <c:pt idx="276">
                  <c:v>447.96147916345819</c:v>
                </c:pt>
                <c:pt idx="277">
                  <c:v>442.74911557415521</c:v>
                </c:pt>
                <c:pt idx="278">
                  <c:v>437.60719806827262</c:v>
                </c:pt>
                <c:pt idx="279">
                  <c:v>432.5347596575856</c:v>
                </c:pt>
                <c:pt idx="280">
                  <c:v>427.53084369725389</c:v>
                </c:pt>
                <c:pt idx="281">
                  <c:v>422.59450393341064</c:v>
                </c:pt>
                <c:pt idx="282">
                  <c:v>417.72480454183375</c:v>
                </c:pt>
                <c:pt idx="283">
                  <c:v>412.92082015811513</c:v>
                </c:pt>
                <c:pt idx="284">
                  <c:v>408.18163589971761</c:v>
                </c:pt>
                <c:pt idx="285">
                  <c:v>403.50634738030317</c:v>
                </c:pt>
                <c:pt idx="286">
                  <c:v>398.89406071670402</c:v>
                </c:pt>
                <c:pt idx="287">
                  <c:v>394.34389252889315</c:v>
                </c:pt>
                <c:pt idx="288">
                  <c:v>389.85496993330037</c:v>
                </c:pt>
                <c:pt idx="289">
                  <c:v>385.42643052980924</c:v>
                </c:pt>
                <c:pt idx="290">
                  <c:v>381.0574223827561</c:v>
                </c:pt>
                <c:pt idx="291">
                  <c:v>376.74710399624547</c:v>
                </c:pt>
                <c:pt idx="292">
                  <c:v>372.4946442840797</c:v>
                </c:pt>
                <c:pt idx="293">
                  <c:v>368.29922253459517</c:v>
                </c:pt>
                <c:pt idx="294">
                  <c:v>364.16002837068379</c:v>
                </c:pt>
                <c:pt idx="295">
                  <c:v>360.07626170526947</c:v>
                </c:pt>
                <c:pt idx="296">
                  <c:v>356.04713269249822</c:v>
                </c:pt>
                <c:pt idx="297">
                  <c:v>352.07186167489397</c:v>
                </c:pt>
                <c:pt idx="298">
                  <c:v>348.14967912671858</c:v>
                </c:pt>
                <c:pt idx="299">
                  <c:v>344.27982559376841</c:v>
                </c:pt>
                <c:pt idx="300">
                  <c:v>340.46155162982865</c:v>
                </c:pt>
                <c:pt idx="301">
                  <c:v>336.6941177300007</c:v>
                </c:pt>
                <c:pt idx="302">
                  <c:v>332.97679426110756</c:v>
                </c:pt>
                <c:pt idx="303">
                  <c:v>329.30886138937223</c:v>
                </c:pt>
                <c:pt idx="304">
                  <c:v>325.68960900556181</c:v>
                </c:pt>
                <c:pt idx="305">
                  <c:v>322.11833664777743</c:v>
                </c:pt>
                <c:pt idx="306">
                  <c:v>318.59435342206007</c:v>
                </c:pt>
                <c:pt idx="307">
                  <c:v>315.11697792098602</c:v>
                </c:pt>
                <c:pt idx="308">
                  <c:v>311.68553814040666</c:v>
                </c:pt>
                <c:pt idx="309">
                  <c:v>308.2993713944872</c:v>
                </c:pt>
                <c:pt idx="310">
                  <c:v>304.9578242291895</c:v>
                </c:pt>
                <c:pt idx="311">
                  <c:v>301.66025233434112</c:v>
                </c:pt>
                <c:pt idx="312">
                  <c:v>298.40602045442148</c:v>
                </c:pt>
                <c:pt idx="313">
                  <c:v>295.19450229819563</c:v>
                </c:pt>
                <c:pt idx="314">
                  <c:v>292.02508044731621</c:v>
                </c:pt>
                <c:pt idx="315">
                  <c:v>288.89714626400951</c:v>
                </c:pt>
                <c:pt idx="316">
                  <c:v>285.81009979795869</c:v>
                </c:pt>
                <c:pt idx="317">
                  <c:v>282.76334969248785</c:v>
                </c:pt>
                <c:pt idx="318">
                  <c:v>279.75631309014938</c:v>
                </c:pt>
                <c:pt idx="319">
                  <c:v>276.7884155378099</c:v>
                </c:pt>
                <c:pt idx="320">
                  <c:v>273.85909089132616</c:v>
                </c:pt>
                <c:pt idx="321">
                  <c:v>270.96778121989831</c:v>
                </c:pt>
                <c:pt idx="322">
                  <c:v>268.11393671018249</c:v>
                </c:pt>
                <c:pt idx="323">
                  <c:v>265.29701557024151</c:v>
                </c:pt>
                <c:pt idx="324">
                  <c:v>262.5164839334077</c:v>
                </c:pt>
                <c:pt idx="325">
                  <c:v>259.77181576212888</c:v>
                </c:pt>
                <c:pt idx="326">
                  <c:v>257.06249275186337</c:v>
                </c:pt>
                <c:pt idx="327">
                  <c:v>254.38800423508852</c:v>
                </c:pt>
                <c:pt idx="328">
                  <c:v>251.74784708548142</c:v>
                </c:pt>
                <c:pt idx="329">
                  <c:v>249.14152562232903</c:v>
                </c:pt>
                <c:pt idx="330">
                  <c:v>246.56855151521987</c:v>
                </c:pt>
                <c:pt idx="331">
                  <c:v>244.02844368906952</c:v>
                </c:pt>
                <c:pt idx="332">
                  <c:v>241.52072822952488</c:v>
                </c:pt>
                <c:pt idx="333">
                  <c:v>239.04493828879399</c:v>
                </c:pt>
                <c:pt idx="334">
                  <c:v>236.60061399194151</c:v>
                </c:pt>
                <c:pt idx="335">
                  <c:v>234.18730234368925</c:v>
                </c:pt>
                <c:pt idx="336">
                  <c:v>231.80455713576058</c:v>
                </c:pt>
                <c:pt idx="337">
                  <c:v>229.45193885479961</c:v>
                </c:pt>
                <c:pt idx="338">
                  <c:v>227.12901459090045</c:v>
                </c:pt>
                <c:pt idx="339">
                  <c:v>224.83535794677533</c:v>
                </c:pt>
                <c:pt idx="340">
                  <c:v>222.57054894758809</c:v>
                </c:pt>
                <c:pt idx="341">
                  <c:v>220.33417395148194</c:v>
                </c:pt>
                <c:pt idx="342">
                  <c:v>218.12582556082199</c:v>
                </c:pt>
                <c:pt idx="343">
                  <c:v>215.94510253417795</c:v>
                </c:pt>
                <c:pt idx="344">
                  <c:v>213.79160969906434</c:v>
                </c:pt>
                <c:pt idx="345">
                  <c:v>211.66495786546054</c:v>
                </c:pt>
                <c:pt idx="346">
                  <c:v>209.56476374012374</c:v>
                </c:pt>
                <c:pt idx="347">
                  <c:v>207.490649841714</c:v>
                </c:pt>
                <c:pt idx="348">
                  <c:v>205.44224441674348</c:v>
                </c:pt>
                <c:pt idx="349">
                  <c:v>203.41918135636402</c:v>
                </c:pt>
                <c:pt idx="350">
                  <c:v>201.42110011400331</c:v>
                </c:pt>
                <c:pt idx="351">
                  <c:v>199.44764562386121</c:v>
                </c:pt>
                <c:pt idx="352">
                  <c:v>197.49846822027402</c:v>
                </c:pt>
                <c:pt idx="353">
                  <c:v>195.57322355795699</c:v>
                </c:pt>
                <c:pt idx="354">
                  <c:v>193.67157253312786</c:v>
                </c:pt>
                <c:pt idx="355">
                  <c:v>191.7931812055225</c:v>
                </c:pt>
                <c:pt idx="356">
                  <c:v>189.93772072130341</c:v>
                </c:pt>
                <c:pt idx="357">
                  <c:v>188.1048672368664</c:v>
                </c:pt>
                <c:pt idx="358">
                  <c:v>186.29430184354993</c:v>
                </c:pt>
                <c:pt idx="359">
                  <c:v>184.50571049324759</c:v>
                </c:pt>
                <c:pt idx="360">
                  <c:v>182.73878392492551</c:v>
                </c:pt>
                <c:pt idx="361">
                  <c:v>180.99321759204656</c:v>
                </c:pt>
                <c:pt idx="362">
                  <c:v>179.26871159090064</c:v>
                </c:pt>
                <c:pt idx="363">
                  <c:v>177.56497058984033</c:v>
                </c:pt>
                <c:pt idx="364">
                  <c:v>175.8817037594213</c:v>
                </c:pt>
                <c:pt idx="365">
                  <c:v>174.21862470344453</c:v>
                </c:pt>
                <c:pt idx="366">
                  <c:v>172.57545139090027</c:v>
                </c:pt>
                <c:pt idx="367">
                  <c:v>170.95190608880807</c:v>
                </c:pt>
                <c:pt idx="368">
                  <c:v>169.34771529595159</c:v>
                </c:pt>
                <c:pt idx="369">
                  <c:v>167.76260967750343</c:v>
                </c:pt>
                <c:pt idx="370">
                  <c:v>166.19632400053621</c:v>
                </c:pt>
                <c:pt idx="371">
                  <c:v>164.64859707041447</c:v>
                </c:pt>
                <c:pt idx="372">
                  <c:v>163.11917166806361</c:v>
                </c:pt>
                <c:pt idx="373">
                  <c:v>161.60779448810919</c:v>
                </c:pt>
                <c:pt idx="374">
                  <c:v>160.11421607788191</c:v>
                </c:pt>
                <c:pt idx="375">
                  <c:v>158.63819077728124</c:v>
                </c:pt>
                <c:pt idx="376">
                  <c:v>157.17947665949259</c:v>
                </c:pt>
                <c:pt idx="377">
                  <c:v>155.73783547255007</c:v>
                </c:pt>
                <c:pt idx="378">
                  <c:v>154.31303258173975</c:v>
                </c:pt>
                <c:pt idx="379">
                  <c:v>152.90483691283438</c:v>
                </c:pt>
                <c:pt idx="380">
                  <c:v>151.51302089615345</c:v>
                </c:pt>
                <c:pt idx="381">
                  <c:v>150.13736041144213</c:v>
                </c:pt>
                <c:pt idx="382">
                  <c:v>148.77763473355898</c:v>
                </c:pt>
                <c:pt idx="383">
                  <c:v>147.43362647896666</c:v>
                </c:pt>
                <c:pt idx="384">
                  <c:v>146.10512155301709</c:v>
                </c:pt>
                <c:pt idx="385">
                  <c:v>144.79190909802315</c:v>
                </c:pt>
                <c:pt idx="386">
                  <c:v>143.49378144210806</c:v>
                </c:pt>
                <c:pt idx="387">
                  <c:v>142.21053404882562</c:v>
                </c:pt>
                <c:pt idx="388">
                  <c:v>140.94196546754134</c:v>
                </c:pt>
                <c:pt idx="389">
                  <c:v>139.68787728456684</c:v>
                </c:pt>
                <c:pt idx="390">
                  <c:v>138.44807407503919</c:v>
                </c:pt>
                <c:pt idx="391">
                  <c:v>137.22236335553652</c:v>
                </c:pt>
                <c:pt idx="392">
                  <c:v>136.0105555374202</c:v>
                </c:pt>
                <c:pt idx="393">
                  <c:v>134.81246388089684</c:v>
                </c:pt>
                <c:pt idx="394">
                  <c:v>133.62790444979038</c:v>
                </c:pt>
                <c:pt idx="395">
                  <c:v>132.45669606701443</c:v>
                </c:pt>
                <c:pt idx="396">
                  <c:v>131.29866027073888</c:v>
                </c:pt>
                <c:pt idx="397">
                  <c:v>130.15362127123907</c:v>
                </c:pt>
                <c:pt idx="398">
                  <c:v>129.02140590842174</c:v>
                </c:pt>
                <c:pt idx="399">
                  <c:v>127.9018436100154</c:v>
                </c:pt>
                <c:pt idx="400">
                  <c:v>126.7947663504209</c:v>
                </c:pt>
                <c:pt idx="401">
                  <c:v>125.70000861020877</c:v>
                </c:pt>
                <c:pt idx="402">
                  <c:v>124.61740733625901</c:v>
                </c:pt>
                <c:pt idx="403">
                  <c:v>123.5468019025308</c:v>
                </c:pt>
                <c:pt idx="404">
                  <c:v>122.48803407145684</c:v>
                </c:pt>
                <c:pt idx="405">
                  <c:v>121.44094795595161</c:v>
                </c:pt>
                <c:pt idx="406">
                  <c:v>120.40538998202555</c:v>
                </c:pt>
                <c:pt idx="407">
                  <c:v>119.3812088519971</c:v>
                </c:pt>
                <c:pt idx="408">
                  <c:v>118.36825550829403</c:v>
                </c:pt>
                <c:pt idx="409">
                  <c:v>117.36638309783494</c:v>
                </c:pt>
                <c:pt idx="410">
                  <c:v>116.37544693698385</c:v>
                </c:pt>
                <c:pt idx="411">
                  <c:v>115.39530447706839</c:v>
                </c:pt>
                <c:pt idx="412">
                  <c:v>114.42581527045461</c:v>
                </c:pt>
                <c:pt idx="413">
                  <c:v>113.46684093716901</c:v>
                </c:pt>
                <c:pt idx="414">
                  <c:v>112.51824513206044</c:v>
                </c:pt>
                <c:pt idx="415">
                  <c:v>111.57989351249442</c:v>
                </c:pt>
                <c:pt idx="416">
                  <c:v>110.65165370657044</c:v>
                </c:pt>
                <c:pt idx="417">
                  <c:v>109.73339528185572</c:v>
                </c:pt>
                <c:pt idx="418">
                  <c:v>108.82498971462746</c:v>
                </c:pt>
                <c:pt idx="419">
                  <c:v>107.92631035961482</c:v>
                </c:pt>
                <c:pt idx="420">
                  <c:v>107.03723242023466</c:v>
                </c:pt>
                <c:pt idx="421">
                  <c:v>106.15763291931209</c:v>
                </c:pt>
                <c:pt idx="422">
                  <c:v>105.28739067027939</c:v>
                </c:pt>
                <c:pt idx="423">
                  <c:v>104.42638624884493</c:v>
                </c:pt>
                <c:pt idx="424">
                  <c:v>103.57450196512582</c:v>
                </c:pt>
                <c:pt idx="425">
                  <c:v>102.73162183623637</c:v>
                </c:pt>
                <c:pt idx="426">
                  <c:v>101.89763155932535</c:v>
                </c:pt>
                <c:pt idx="427">
                  <c:v>101.07241848505528</c:v>
                </c:pt>
                <c:pt idx="428">
                  <c:v>100.25587159151674</c:v>
                </c:pt>
                <c:pt idx="429">
                  <c:v>99.447881458570322</c:v>
                </c:pt>
                <c:pt idx="430">
                  <c:v>98.648340242610203</c:v>
                </c:pt>
                <c:pt idx="431">
                  <c:v>97.857141651742111</c:v>
                </c:pt>
                <c:pt idx="432">
                  <c:v>97.074180921368992</c:v>
                </c:pt>
                <c:pt idx="433">
                  <c:v>96.299354790178469</c:v>
                </c:pt>
                <c:pt idx="434">
                  <c:v>95.532561476525004</c:v>
                </c:pt>
                <c:pt idx="435">
                  <c:v>94.77370065520067</c:v>
                </c:pt>
                <c:pt idx="436">
                  <c:v>94.022673434588327</c:v>
                </c:pt>
                <c:pt idx="437">
                  <c:v>93.279382334190643</c:v>
                </c:pt>
                <c:pt idx="438">
                  <c:v>92.543731262529562</c:v>
                </c:pt>
                <c:pt idx="439">
                  <c:v>91.815625495409478</c:v>
                </c:pt>
                <c:pt idx="440">
                  <c:v>91.094971654538426</c:v>
                </c:pt>
                <c:pt idx="441">
                  <c:v>90.381677686501547</c:v>
                </c:pt>
                <c:pt idx="442">
                  <c:v>89.675652842081419</c:v>
                </c:pt>
                <c:pt idx="443">
                  <c:v>88.976807655918321</c:v>
                </c:pt>
                <c:pt idx="444">
                  <c:v>88.285053926506137</c:v>
                </c:pt>
                <c:pt idx="445">
                  <c:v>87.600304696518052</c:v>
                </c:pt>
                <c:pt idx="446">
                  <c:v>86.922474233456143</c:v>
                </c:pt>
                <c:pt idx="447">
                  <c:v>86.251478010619692</c:v>
                </c:pt>
                <c:pt idx="448">
                  <c:v>85.587232688387473</c:v>
                </c:pt>
                <c:pt idx="449">
                  <c:v>84.929656095807957</c:v>
                </c:pt>
                <c:pt idx="450">
                  <c:v>84.278667212493048</c:v>
                </c:pt>
                <c:pt idx="451">
                  <c:v>83.634186150809697</c:v>
                </c:pt>
                <c:pt idx="452">
                  <c:v>82.996134138365136</c:v>
                </c:pt>
                <c:pt idx="453">
                  <c:v>82.364433500779981</c:v>
                </c:pt>
                <c:pt idx="454">
                  <c:v>81.739007644745271</c:v>
                </c:pt>
                <c:pt idx="455">
                  <c:v>81.119781041357768</c:v>
                </c:pt>
                <c:pt idx="456">
                  <c:v>80.506679209729882</c:v>
                </c:pt>
                <c:pt idx="457">
                  <c:v>79.899628700868661</c:v>
                </c:pt>
                <c:pt idx="458">
                  <c:v>79.298557081820164</c:v>
                </c:pt>
                <c:pt idx="459">
                  <c:v>78.703392920073824</c:v>
                </c:pt>
                <c:pt idx="460">
                  <c:v>78.114065768223554</c:v>
                </c:pt>
                <c:pt idx="461">
                  <c:v>77.530506148880363</c:v>
                </c:pt>
                <c:pt idx="462">
                  <c:v>76.952645539832261</c:v>
                </c:pt>
                <c:pt idx="463">
                  <c:v>76.380416359448503</c:v>
                </c:pt>
                <c:pt idx="464">
                  <c:v>75.813751952322065</c:v>
                </c:pt>
                <c:pt idx="465">
                  <c:v>75.252586575148356</c:v>
                </c:pt>
                <c:pt idx="466">
                  <c:v>74.696855382834343</c:v>
                </c:pt>
                <c:pt idx="467">
                  <c:v>74.146494414835843</c:v>
                </c:pt>
                <c:pt idx="468">
                  <c:v>73.601440581717952</c:v>
                </c:pt>
                <c:pt idx="469">
                  <c:v>73.061631651935173</c:v>
                </c:pt>
                <c:pt idx="470">
                  <c:v>72.527006238828051</c:v>
                </c:pt>
                <c:pt idx="471">
                  <c:v>71.997503787831519</c:v>
                </c:pt>
                <c:pt idx="472">
                  <c:v>71.473064563892734</c:v>
                </c:pt>
                <c:pt idx="473">
                  <c:v>70.953629639093663</c:v>
                </c:pt>
                <c:pt idx="474">
                  <c:v>70.439140880475563</c:v>
                </c:pt>
                <c:pt idx="475">
                  <c:v>69.929540938062033</c:v>
                </c:pt>
                <c:pt idx="476">
                  <c:v>69.42477323307665</c:v>
                </c:pt>
                <c:pt idx="477">
                  <c:v>68.924781946352866</c:v>
                </c:pt>
                <c:pt idx="478">
                  <c:v>68.429512006931517</c:v>
                </c:pt>
                <c:pt idx="479">
                  <c:v>67.938909080844425</c:v>
                </c:pt>
                <c:pt idx="480">
                  <c:v>67.452919560079451</c:v>
                </c:pt>
                <c:pt idx="481">
                  <c:v>66.971490551724798</c:v>
                </c:pt>
                <c:pt idx="482">
                  <c:v>66.494569867289314</c:v>
                </c:pt>
                <c:pt idx="483">
                  <c:v>66.022106012195593</c:v>
                </c:pt>
                <c:pt idx="484">
                  <c:v>65.554048175443228</c:v>
                </c:pt>
                <c:pt idx="485">
                  <c:v>65.090346219439155</c:v>
                </c:pt>
                <c:pt idx="486">
                  <c:v>64.630950669992259</c:v>
                </c:pt>
                <c:pt idx="487">
                  <c:v>64.175812706469571</c:v>
                </c:pt>
                <c:pt idx="488">
                  <c:v>63.724884152111422</c:v>
                </c:pt>
                <c:pt idx="489">
                  <c:v>63.278117464502103</c:v>
                </c:pt>
                <c:pt idx="490">
                  <c:v>62.835465726194542</c:v>
                </c:pt>
                <c:pt idx="491">
                  <c:v>62.396882635485476</c:v>
                </c:pt>
                <c:pt idx="492">
                  <c:v>61.962322497339102</c:v>
                </c:pt>
                <c:pt idx="493">
                  <c:v>61.531740214456192</c:v>
                </c:pt>
                <c:pt idx="494">
                  <c:v>61.105091278486867</c:v>
                </c:pt>
                <c:pt idx="495">
                  <c:v>60.682331761383793</c:v>
                </c:pt>
                <c:pt idx="496">
                  <c:v>60.263418306894238</c:v>
                </c:pt>
                <c:pt idx="497">
                  <c:v>59.848308122187909</c:v>
                </c:pt>
                <c:pt idx="498">
                  <c:v>59.436958969618878</c:v>
                </c:pt>
                <c:pt idx="499">
                  <c:v>59.02932915861885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211-491C-9CE7-BCD1A6474A31}"/>
            </c:ext>
          </c:extLst>
        </c:ser>
        <c:ser>
          <c:idx val="5"/>
          <c:order val="5"/>
          <c:tx>
            <c:v>I4</c:v>
          </c:tx>
          <c:spPr>
            <a:ln w="28575">
              <a:solidFill>
                <a:srgbClr val="7030A0"/>
              </a:solidFill>
            </a:ln>
          </c:spPr>
          <c:marker>
            <c:symbol val="circle"/>
            <c:size val="3"/>
            <c:spPr>
              <a:noFill/>
              <a:ln>
                <a:noFill/>
              </a:ln>
            </c:spPr>
          </c:marker>
          <c:xVal>
            <c:numRef>
              <c:f>'LM-OSL'!$C$32:$C$1031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</c:numCache>
            </c:numRef>
          </c:xVal>
          <c:yVal>
            <c:numRef>
              <c:f>'LM-OSL'!$U$32:$U$1031</c:f>
              <c:numCache>
                <c:formatCode>General</c:formatCode>
                <c:ptCount val="1000"/>
                <c:pt idx="0">
                  <c:v>0</c:v>
                </c:pt>
                <c:pt idx="1">
                  <c:v>35.628376235621211</c:v>
                </c:pt>
                <c:pt idx="2">
                  <c:v>71.253109360847318</c:v>
                </c:pt>
                <c:pt idx="3">
                  <c:v>106.87055697299166</c:v>
                </c:pt>
                <c:pt idx="4">
                  <c:v>142.47707808458259</c:v>
                </c:pt>
                <c:pt idx="5">
                  <c:v>178.06903383046682</c:v>
                </c:pt>
                <c:pt idx="6">
                  <c:v>213.64278817430775</c:v>
                </c:pt>
                <c:pt idx="7">
                  <c:v>249.19470861427783</c:v>
                </c:pt>
                <c:pt idx="8">
                  <c:v>284.72116688774321</c:v>
                </c:pt>
                <c:pt idx="9">
                  <c:v>320.21853967474129</c:v>
                </c:pt>
                <c:pt idx="10">
                  <c:v>355.6832093000499</c:v>
                </c:pt>
                <c:pt idx="11">
                  <c:v>391.1115644336478</c:v>
                </c:pt>
                <c:pt idx="12">
                  <c:v>426.50000078937074</c:v>
                </c:pt>
                <c:pt idx="13">
                  <c:v>461.84492182155952</c:v>
                </c:pt>
                <c:pt idx="14">
                  <c:v>497.142739419507</c:v>
                </c:pt>
                <c:pt idx="15">
                  <c:v>532.38987459950408</c:v>
                </c:pt>
                <c:pt idx="16">
                  <c:v>567.58275819429002</c:v>
                </c:pt>
                <c:pt idx="17">
                  <c:v>602.71783153971182</c:v>
                </c:pt>
                <c:pt idx="18">
                  <c:v>637.79154715839741</c:v>
                </c:pt>
                <c:pt idx="19">
                  <c:v>672.80036944025233</c:v>
                </c:pt>
                <c:pt idx="20">
                  <c:v>707.74077531958437</c:v>
                </c:pt>
                <c:pt idx="21">
                  <c:v>742.60925494866729</c:v>
                </c:pt>
                <c:pt idx="22">
                  <c:v>777.40231236755596</c:v>
                </c:pt>
                <c:pt idx="23">
                  <c:v>812.11646616996177</c:v>
                </c:pt>
                <c:pt idx="24">
                  <c:v>846.74825016500313</c:v>
                </c:pt>
                <c:pt idx="25">
                  <c:v>881.29421403464653</c:v>
                </c:pt>
                <c:pt idx="26">
                  <c:v>915.75092398665242</c:v>
                </c:pt>
                <c:pt idx="27">
                  <c:v>950.11496340284748</c:v>
                </c:pt>
                <c:pt idx="28">
                  <c:v>984.38293348253933</c:v>
                </c:pt>
                <c:pt idx="29">
                  <c:v>1018.551453880897</c:v>
                </c:pt>
                <c:pt idx="30">
                  <c:v>1052.6171633421209</c:v>
                </c:pt>
                <c:pt idx="31">
                  <c:v>1086.5767203272262</c:v>
                </c:pt>
                <c:pt idx="32">
                  <c:v>1120.4268036362641</c:v>
                </c:pt>
                <c:pt idx="33">
                  <c:v>1154.1641130248215</c:v>
                </c:pt>
                <c:pt idx="34">
                  <c:v>1187.7853698146114</c:v>
                </c:pt>
                <c:pt idx="35">
                  <c:v>1221.2873174980052</c:v>
                </c:pt>
                <c:pt idx="36">
                  <c:v>1254.6667223363306</c:v>
                </c:pt>
                <c:pt idx="37">
                  <c:v>1287.9203739517798</c:v>
                </c:pt>
                <c:pt idx="38">
                  <c:v>1321.0450859127632</c:v>
                </c:pt>
                <c:pt idx="39">
                  <c:v>1354.0376963125534</c:v>
                </c:pt>
                <c:pt idx="40">
                  <c:v>1386.8950683410621</c:v>
                </c:pt>
                <c:pt idx="41">
                  <c:v>1419.6140908496011</c:v>
                </c:pt>
                <c:pt idx="42">
                  <c:v>1452.1916789084719</c:v>
                </c:pt>
                <c:pt idx="43">
                  <c:v>1484.6247743572403</c:v>
                </c:pt>
                <c:pt idx="44">
                  <c:v>1516.9103463475456</c:v>
                </c:pt>
                <c:pt idx="45">
                  <c:v>1549.0453918783116</c:v>
                </c:pt>
                <c:pt idx="46">
                  <c:v>1581.0269363232057</c:v>
                </c:pt>
                <c:pt idx="47">
                  <c:v>1612.8520339502209</c:v>
                </c:pt>
                <c:pt idx="48">
                  <c:v>1644.5177684332436</c:v>
                </c:pt>
                <c:pt idx="49">
                  <c:v>1676.0212533554661</c:v>
                </c:pt>
                <c:pt idx="50">
                  <c:v>1707.359632704535</c:v>
                </c:pt>
                <c:pt idx="51">
                  <c:v>1738.5300813592874</c:v>
                </c:pt>
                <c:pt idx="52">
                  <c:v>1769.5298055679684</c:v>
                </c:pt>
                <c:pt idx="53">
                  <c:v>1800.3560434178044</c:v>
                </c:pt>
                <c:pt idx="54">
                  <c:v>1831.0060652958136</c:v>
                </c:pt>
                <c:pt idx="55">
                  <c:v>1861.4771743407453</c:v>
                </c:pt>
                <c:pt idx="56">
                  <c:v>1891.7667068860355</c:v>
                </c:pt>
                <c:pt idx="57">
                  <c:v>1921.8720328936629</c:v>
                </c:pt>
                <c:pt idx="58">
                  <c:v>1951.7905563788217</c:v>
                </c:pt>
                <c:pt idx="59">
                  <c:v>1981.5197158252899</c:v>
                </c:pt>
                <c:pt idx="60">
                  <c:v>2011.0569845914026</c:v>
                </c:pt>
                <c:pt idx="61">
                  <c:v>2040.3998713065434</c:v>
                </c:pt>
                <c:pt idx="62">
                  <c:v>2069.5459202580514</c:v>
                </c:pt>
                <c:pt idx="63">
                  <c:v>2098.492711768462</c:v>
                </c:pt>
                <c:pt idx="64">
                  <c:v>2127.2378625629981</c:v>
                </c:pt>
                <c:pt idx="65">
                  <c:v>2155.7790261272316</c:v>
                </c:pt>
                <c:pt idx="66">
                  <c:v>2184.1138930548291</c:v>
                </c:pt>
                <c:pt idx="67">
                  <c:v>2212.2401913853214</c:v>
                </c:pt>
                <c:pt idx="68">
                  <c:v>2240.1556869318147</c:v>
                </c:pt>
                <c:pt idx="69">
                  <c:v>2267.8581835985806</c:v>
                </c:pt>
                <c:pt idx="70">
                  <c:v>2295.3455236884688</c:v>
                </c:pt>
                <c:pt idx="71">
                  <c:v>2322.6155882000648</c:v>
                </c:pt>
                <c:pt idx="72">
                  <c:v>2349.6662971145565</c:v>
                </c:pt>
                <c:pt idx="73">
                  <c:v>2376.4956096722412</c:v>
                </c:pt>
                <c:pt idx="74">
                  <c:v>2403.1015246386287</c:v>
                </c:pt>
                <c:pt idx="75">
                  <c:v>2429.4820805601053</c:v>
                </c:pt>
                <c:pt idx="76">
                  <c:v>2455.6353560090911</c:v>
                </c:pt>
                <c:pt idx="77">
                  <c:v>2481.5594698186819</c:v>
                </c:pt>
                <c:pt idx="78">
                  <c:v>2507.2525813067159</c:v>
                </c:pt>
                <c:pt idx="79">
                  <c:v>2532.7128904892515</c:v>
                </c:pt>
                <c:pt idx="80">
                  <c:v>2557.9386382834145</c:v>
                </c:pt>
                <c:pt idx="81">
                  <c:v>2582.9281066996018</c:v>
                </c:pt>
                <c:pt idx="82">
                  <c:v>2607.6796190230157</c:v>
                </c:pt>
                <c:pt idx="83">
                  <c:v>2632.1915399845047</c:v>
                </c:pt>
                <c:pt idx="84">
                  <c:v>2656.4622759207168</c:v>
                </c:pt>
                <c:pt idx="85">
                  <c:v>2680.4902749235307</c:v>
                </c:pt>
                <c:pt idx="86">
                  <c:v>2704.274026978781</c:v>
                </c:pt>
                <c:pt idx="87">
                  <c:v>2727.8120640942607</c:v>
                </c:pt>
                <c:pt idx="88">
                  <c:v>2751.1029604169998</c:v>
                </c:pt>
                <c:pt idx="89">
                  <c:v>2774.1453323398464</c:v>
                </c:pt>
                <c:pt idx="90">
                  <c:v>2796.9378385973237</c:v>
                </c:pt>
                <c:pt idx="91">
                  <c:v>2819.4791803508074</c:v>
                </c:pt>
                <c:pt idx="92">
                  <c:v>2841.7681012630205</c:v>
                </c:pt>
                <c:pt idx="93">
                  <c:v>2863.8033875618589</c:v>
                </c:pt>
                <c:pt idx="94">
                  <c:v>2885.5838680935949</c:v>
                </c:pt>
                <c:pt idx="95">
                  <c:v>2907.1084143654566</c:v>
                </c:pt>
                <c:pt idx="96">
                  <c:v>2928.3759405776273</c:v>
                </c:pt>
                <c:pt idx="97">
                  <c:v>2949.3854036446869</c:v>
                </c:pt>
                <c:pt idx="98">
                  <c:v>2970.1358032065577</c:v>
                </c:pt>
                <c:pt idx="99">
                  <c:v>2990.6261816289475</c:v>
                </c:pt>
                <c:pt idx="100">
                  <c:v>3010.8556239933805</c:v>
                </c:pt>
                <c:pt idx="101">
                  <c:v>3030.8232580768304</c:v>
                </c:pt>
                <c:pt idx="102">
                  <c:v>3050.5282543210164</c:v>
                </c:pt>
                <c:pt idx="103">
                  <c:v>3069.969825791417</c:v>
                </c:pt>
                <c:pt idx="104">
                  <c:v>3089.1472281260535</c:v>
                </c:pt>
                <c:pt idx="105">
                  <c:v>3108.0597594740952</c:v>
                </c:pt>
                <c:pt idx="106">
                  <c:v>3126.7067604243698</c:v>
                </c:pt>
                <c:pt idx="107">
                  <c:v>3145.0876139238162</c:v>
                </c:pt>
                <c:pt idx="108">
                  <c:v>3163.2017451859783</c:v>
                </c:pt>
                <c:pt idx="109">
                  <c:v>3181.0486215895749</c:v>
                </c:pt>
                <c:pt idx="110">
                  <c:v>3198.6277525672713</c:v>
                </c:pt>
                <c:pt idx="111">
                  <c:v>3215.9386894846671</c:v>
                </c:pt>
                <c:pt idx="112">
                  <c:v>3232.981025509639</c:v>
                </c:pt>
                <c:pt idx="113">
                  <c:v>3249.7543954720895</c:v>
                </c:pt>
                <c:pt idx="114">
                  <c:v>3266.2584757141935</c:v>
                </c:pt>
                <c:pt idx="115">
                  <c:v>3282.4929839312344</c:v>
                </c:pt>
                <c:pt idx="116">
                  <c:v>3298.4576790031306</c:v>
                </c:pt>
                <c:pt idx="117">
                  <c:v>3314.1523608167313</c:v>
                </c:pt>
                <c:pt idx="118">
                  <c:v>3329.5768700789863</c:v>
                </c:pt>
                <c:pt idx="119">
                  <c:v>3344.7310881210956</c:v>
                </c:pt>
                <c:pt idx="120">
                  <c:v>3359.6149366937366</c:v>
                </c:pt>
                <c:pt idx="121">
                  <c:v>3374.2283777534731</c:v>
                </c:pt>
                <c:pt idx="122">
                  <c:v>3388.5714132404496</c:v>
                </c:pt>
                <c:pt idx="123">
                  <c:v>3402.6440848475058</c:v>
                </c:pt>
                <c:pt idx="124">
                  <c:v>3416.4464737807912</c:v>
                </c:pt>
                <c:pt idx="125">
                  <c:v>3429.978700512007</c:v>
                </c:pt>
                <c:pt idx="126">
                  <c:v>3443.2409245224167</c:v>
                </c:pt>
                <c:pt idx="127">
                  <c:v>3456.2333440386974</c:v>
                </c:pt>
                <c:pt idx="128">
                  <c:v>3468.9561957608148</c:v>
                </c:pt>
                <c:pt idx="129">
                  <c:v>3481.4097545819768</c:v>
                </c:pt>
                <c:pt idx="130">
                  <c:v>3493.5943333008577</c:v>
                </c:pt>
                <c:pt idx="131">
                  <c:v>3505.5102823261741</c:v>
                </c:pt>
                <c:pt idx="132">
                  <c:v>3517.1579893737717</c:v>
                </c:pt>
                <c:pt idx="133">
                  <c:v>3528.5378791563394</c:v>
                </c:pt>
                <c:pt idx="134">
                  <c:v>3539.6504130658941</c:v>
                </c:pt>
                <c:pt idx="135">
                  <c:v>3550.4960888491546</c:v>
                </c:pt>
                <c:pt idx="136">
                  <c:v>3561.0754402759821</c:v>
                </c:pt>
                <c:pt idx="137">
                  <c:v>3571.3890368009766</c:v>
                </c:pt>
                <c:pt idx="138">
                  <c:v>3581.4374832184099</c:v>
                </c:pt>
                <c:pt idx="139">
                  <c:v>3591.2214193106101</c:v>
                </c:pt>
                <c:pt idx="140">
                  <c:v>3600.7415194899645</c:v>
                </c:pt>
                <c:pt idx="141">
                  <c:v>3609.9984924346782</c:v>
                </c:pt>
                <c:pt idx="142">
                  <c:v>3618.9930807184187</c:v>
                </c:pt>
                <c:pt idx="143">
                  <c:v>3627.726060434024</c:v>
                </c:pt>
                <c:pt idx="144">
                  <c:v>3636.1982408114063</c:v>
                </c:pt>
                <c:pt idx="145">
                  <c:v>3644.4104638298031</c:v>
                </c:pt>
                <c:pt idx="146">
                  <c:v>3652.3636038245254</c:v>
                </c:pt>
                <c:pt idx="147">
                  <c:v>3660.058567088372</c:v>
                </c:pt>
                <c:pt idx="148">
                  <c:v>3667.4962914678376</c:v>
                </c:pt>
                <c:pt idx="149">
                  <c:v>3674.6777459542982</c:v>
                </c:pt>
                <c:pt idx="150">
                  <c:v>3681.6039302703043</c:v>
                </c:pt>
                <c:pt idx="151">
                  <c:v>3688.2758744511561</c:v>
                </c:pt>
                <c:pt idx="152">
                  <c:v>3694.6946384219036</c:v>
                </c:pt>
                <c:pt idx="153">
                  <c:v>3700.8613115699491</c:v>
                </c:pt>
                <c:pt idx="154">
                  <c:v>3706.7770123133855</c:v>
                </c:pt>
                <c:pt idx="155">
                  <c:v>3712.4428876652514</c:v>
                </c:pt>
                <c:pt idx="156">
                  <c:v>3717.8601127938477</c:v>
                </c:pt>
                <c:pt idx="157">
                  <c:v>3723.0298905792906</c:v>
                </c:pt>
                <c:pt idx="158">
                  <c:v>3727.9534511664342</c:v>
                </c:pt>
                <c:pt idx="159">
                  <c:v>3732.6320515143643</c:v>
                </c:pt>
                <c:pt idx="160">
                  <c:v>3737.0669749425824</c:v>
                </c:pt>
                <c:pt idx="161">
                  <c:v>3741.2595306740623</c:v>
                </c:pt>
                <c:pt idx="162">
                  <c:v>3745.2110533753489</c:v>
                </c:pt>
                <c:pt idx="163">
                  <c:v>3748.9229026938274</c:v>
                </c:pt>
                <c:pt idx="164">
                  <c:v>3752.396462792371</c:v>
                </c:pt>
                <c:pt idx="165">
                  <c:v>3755.6331418814693</c:v>
                </c:pt>
                <c:pt idx="166">
                  <c:v>3758.6343717490572</c:v>
                </c:pt>
                <c:pt idx="167">
                  <c:v>3761.4016072881627</c:v>
                </c:pt>
                <c:pt idx="168">
                  <c:v>3763.9363260225546</c:v>
                </c:pt>
                <c:pt idx="169">
                  <c:v>3766.2400276305361</c:v>
                </c:pt>
                <c:pt idx="170">
                  <c:v>3768.314233467057</c:v>
                </c:pt>
                <c:pt idx="171">
                  <c:v>3770.1604860842876</c:v>
                </c:pt>
                <c:pt idx="172">
                  <c:v>3771.7803487508399</c:v>
                </c:pt>
                <c:pt idx="173">
                  <c:v>3773.1754049697442</c:v>
                </c:pt>
                <c:pt idx="174">
                  <c:v>3774.3472579954018</c:v>
                </c:pt>
                <c:pt idx="175">
                  <c:v>3775.2975303496073</c:v>
                </c:pt>
                <c:pt idx="176">
                  <c:v>3776.0278633368443</c:v>
                </c:pt>
                <c:pt idx="177">
                  <c:v>3776.5399165589847</c:v>
                </c:pt>
                <c:pt idx="178">
                  <c:v>3776.835367429539</c:v>
                </c:pt>
                <c:pt idx="179">
                  <c:v>3776.9159106876332</c:v>
                </c:pt>
                <c:pt idx="180">
                  <c:v>3776.7832579118458</c:v>
                </c:pt>
                <c:pt idx="181">
                  <c:v>3776.4391370340559</c:v>
                </c:pt>
                <c:pt idx="182">
                  <c:v>3775.8852918534653</c:v>
                </c:pt>
                <c:pt idx="183">
                  <c:v>3775.123481550922</c:v>
                </c:pt>
                <c:pt idx="184">
                  <c:v>3774.1554802037085</c:v>
                </c:pt>
                <c:pt idx="185">
                  <c:v>3772.9830763009368</c:v>
                </c:pt>
                <c:pt idx="186">
                  <c:v>3771.6080722596853</c:v>
                </c:pt>
                <c:pt idx="187">
                  <c:v>3770.0322839420251</c:v>
                </c:pt>
                <c:pt idx="188">
                  <c:v>3768.2575401730928</c:v>
                </c:pt>
                <c:pt idx="189">
                  <c:v>3766.2856822603062</c:v>
                </c:pt>
                <c:pt idx="190">
                  <c:v>3764.118563513925</c:v>
                </c:pt>
                <c:pt idx="191">
                  <c:v>3761.7580487690248</c:v>
                </c:pt>
                <c:pt idx="192">
                  <c:v>3759.2060139090704</c:v>
                </c:pt>
                <c:pt idx="193">
                  <c:v>3756.4643453911935</c:v>
                </c:pt>
                <c:pt idx="194">
                  <c:v>3753.5349397733185</c:v>
                </c:pt>
                <c:pt idx="195">
                  <c:v>3750.4197032432699</c:v>
                </c:pt>
                <c:pt idx="196">
                  <c:v>3747.1205511499556</c:v>
                </c:pt>
                <c:pt idx="197">
                  <c:v>3743.6394075368094</c:v>
                </c:pt>
                <c:pt idx="198">
                  <c:v>3739.9782046775658</c:v>
                </c:pt>
                <c:pt idx="199">
                  <c:v>3736.1388826145071</c:v>
                </c:pt>
                <c:pt idx="200">
                  <c:v>3732.1233886993159</c:v>
                </c:pt>
                <c:pt idx="201">
                  <c:v>3727.9336771366234</c:v>
                </c:pt>
                <c:pt idx="202">
                  <c:v>3723.5717085303954</c:v>
                </c:pt>
                <c:pt idx="203">
                  <c:v>3719.0394494332586</c:v>
                </c:pt>
                <c:pt idx="204">
                  <c:v>3714.3388718988635</c:v>
                </c:pt>
                <c:pt idx="205">
                  <c:v>3709.4719530374327</c:v>
                </c:pt>
                <c:pt idx="206">
                  <c:v>3704.4406745745582</c:v>
                </c:pt>
                <c:pt idx="207">
                  <c:v>3699.247022413384</c:v>
                </c:pt>
                <c:pt idx="208">
                  <c:v>3693.8929862002524</c:v>
                </c:pt>
                <c:pt idx="209">
                  <c:v>3688.3805588939476</c:v>
                </c:pt>
                <c:pt idx="210">
                  <c:v>3682.7117363385951</c:v>
                </c:pt>
                <c:pt idx="211">
                  <c:v>3676.8885168403426</c:v>
                </c:pt>
                <c:pt idx="212">
                  <c:v>3670.9129007479</c:v>
                </c:pt>
                <c:pt idx="213">
                  <c:v>3664.7868900370445</c:v>
                </c:pt>
                <c:pt idx="214">
                  <c:v>3658.5124878991578</c:v>
                </c:pt>
                <c:pt idx="215">
                  <c:v>3652.0916983339084</c:v>
                </c:pt>
                <c:pt idx="216">
                  <c:v>3645.526525746136</c:v>
                </c:pt>
                <c:pt idx="217">
                  <c:v>3638.8189745470445</c:v>
                </c:pt>
                <c:pt idx="218">
                  <c:v>3631.9710487597617</c:v>
                </c:pt>
                <c:pt idx="219">
                  <c:v>3624.9847516293626</c:v>
                </c:pt>
                <c:pt idx="220">
                  <c:v>3617.8620852374029</c:v>
                </c:pt>
                <c:pt idx="221">
                  <c:v>3610.6050501210743</c:v>
                </c:pt>
                <c:pt idx="222">
                  <c:v>3603.2156448970059</c:v>
                </c:pt>
                <c:pt idx="223">
                  <c:v>3595.6958658898152</c:v>
                </c:pt>
                <c:pt idx="224">
                  <c:v>3588.0477067654506</c:v>
                </c:pt>
                <c:pt idx="225">
                  <c:v>3580.273158169402</c:v>
                </c:pt>
                <c:pt idx="226">
                  <c:v>3572.3742073698236</c:v>
                </c:pt>
                <c:pt idx="227">
                  <c:v>3564.3528379056356</c:v>
                </c:pt>
                <c:pt idx="228">
                  <c:v>3556.2110292396669</c:v>
                </c:pt>
                <c:pt idx="229">
                  <c:v>3547.9507564168644</c:v>
                </c:pt>
                <c:pt idx="230">
                  <c:v>3539.5739897276476</c:v>
                </c:pt>
                <c:pt idx="231">
                  <c:v>3531.0826943764419</c:v>
                </c:pt>
                <c:pt idx="232">
                  <c:v>3522.4788301554177</c:v>
                </c:pt>
                <c:pt idx="233">
                  <c:v>3513.764351123526</c:v>
                </c:pt>
                <c:pt idx="234">
                  <c:v>3504.9412052908092</c:v>
                </c:pt>
                <c:pt idx="235">
                  <c:v>3496.0113343080584</c:v>
                </c:pt>
                <c:pt idx="236">
                  <c:v>3486.9766731618656</c:v>
                </c:pt>
                <c:pt idx="237">
                  <c:v>3477.8391498750611</c:v>
                </c:pt>
                <c:pt idx="238">
                  <c:v>3468.6006852125897</c:v>
                </c:pt>
                <c:pt idx="239">
                  <c:v>3459.2631923928689</c:v>
                </c:pt>
                <c:pt idx="240">
                  <c:v>3449.8285768046076</c:v>
                </c:pt>
                <c:pt idx="241">
                  <c:v>3440.2987357291609</c:v>
                </c:pt>
                <c:pt idx="242">
                  <c:v>3430.6755580683944</c:v>
                </c:pt>
                <c:pt idx="243">
                  <c:v>3420.9609240781074</c:v>
                </c:pt>
                <c:pt idx="244">
                  <c:v>3411.1567051070183</c:v>
                </c:pt>
                <c:pt idx="245">
                  <c:v>3401.2647633413185</c:v>
                </c:pt>
                <c:pt idx="246">
                  <c:v>3391.2869515548132</c:v>
                </c:pt>
                <c:pt idx="247">
                  <c:v>3381.2251128646594</c:v>
                </c:pt>
                <c:pt idx="248">
                  <c:v>3371.0810804927028</c:v>
                </c:pt>
                <c:pt idx="249">
                  <c:v>3360.856677532412</c:v>
                </c:pt>
                <c:pt idx="250">
                  <c:v>3350.5537167214238</c:v>
                </c:pt>
                <c:pt idx="251">
                  <c:v>3340.1740002196857</c:v>
                </c:pt>
                <c:pt idx="252">
                  <c:v>3329.7193193932021</c:v>
                </c:pt>
                <c:pt idx="253">
                  <c:v>3319.1914546033768</c:v>
                </c:pt>
                <c:pt idx="254">
                  <c:v>3308.5921750019379</c:v>
                </c:pt>
                <c:pt idx="255">
                  <c:v>3297.9232383314493</c:v>
                </c:pt>
                <c:pt idx="256">
                  <c:v>3287.1863907313877</c:v>
                </c:pt>
                <c:pt idx="257">
                  <c:v>3276.3833665497582</c:v>
                </c:pt>
                <c:pt idx="258">
                  <c:v>3265.5158881602733</c:v>
                </c:pt>
                <c:pt idx="259">
                  <c:v>3254.5856657850418</c:v>
                </c:pt>
                <c:pt idx="260">
                  <c:v>3243.5943973227463</c:v>
                </c:pt>
                <c:pt idx="261">
                  <c:v>3232.5437681823287</c:v>
                </c:pt>
                <c:pt idx="262">
                  <c:v>3221.4354511221086</c:v>
                </c:pt>
                <c:pt idx="263">
                  <c:v>3210.2711060943493</c:v>
                </c:pt>
                <c:pt idx="264">
                  <c:v>3199.0523800952255</c:v>
                </c:pt>
                <c:pt idx="265">
                  <c:v>3187.7809070201656</c:v>
                </c:pt>
                <c:pt idx="266">
                  <c:v>3176.4583075245532</c:v>
                </c:pt>
                <c:pt idx="267">
                  <c:v>3165.0861888897284</c:v>
                </c:pt>
                <c:pt idx="268">
                  <c:v>3153.6661448942914</c:v>
                </c:pt>
                <c:pt idx="269">
                  <c:v>3142.1997556906335</c:v>
                </c:pt>
                <c:pt idx="270">
                  <c:v>3130.6885876866959</c:v>
                </c:pt>
                <c:pt idx="271">
                  <c:v>3119.1341934328998</c:v>
                </c:pt>
                <c:pt idx="272">
                  <c:v>3107.5381115141972</c:v>
                </c:pt>
                <c:pt idx="273">
                  <c:v>3095.9018664472342</c:v>
                </c:pt>
                <c:pt idx="274">
                  <c:v>3084.2269685825486</c:v>
                </c:pt>
                <c:pt idx="275">
                  <c:v>3072.5149140117874</c:v>
                </c:pt>
                <c:pt idx="276">
                  <c:v>3060.767184479877</c:v>
                </c:pt>
                <c:pt idx="277">
                  <c:v>3048.9852473021101</c:v>
                </c:pt>
                <c:pt idx="278">
                  <c:v>3037.1705552861099</c:v>
                </c:pt>
                <c:pt idx="279">
                  <c:v>3025.3245466586013</c:v>
                </c:pt>
                <c:pt idx="280">
                  <c:v>3013.4486449969627</c:v>
                </c:pt>
                <c:pt idx="281">
                  <c:v>3001.5442591654873</c:v>
                </c:pt>
                <c:pt idx="282">
                  <c:v>2989.6127832563175</c:v>
                </c:pt>
                <c:pt idx="283">
                  <c:v>2977.6555965349912</c:v>
                </c:pt>
                <c:pt idx="284">
                  <c:v>2965.6740633905433</c:v>
                </c:pt>
                <c:pt idx="285">
                  <c:v>2953.6695332901199</c:v>
                </c:pt>
                <c:pt idx="286">
                  <c:v>2941.6433407380273</c:v>
                </c:pt>
                <c:pt idx="287">
                  <c:v>2929.5968052391918</c:v>
                </c:pt>
                <c:pt idx="288">
                  <c:v>2917.5312312669357</c:v>
                </c:pt>
                <c:pt idx="289">
                  <c:v>2905.4479082350372</c:v>
                </c:pt>
                <c:pt idx="290">
                  <c:v>2893.3481104740067</c:v>
                </c:pt>
                <c:pt idx="291">
                  <c:v>2881.2330972115101</c:v>
                </c:pt>
                <c:pt idx="292">
                  <c:v>2869.1041125569068</c:v>
                </c:pt>
                <c:pt idx="293">
                  <c:v>2856.9623854898</c:v>
                </c:pt>
                <c:pt idx="294">
                  <c:v>2844.8091298525796</c:v>
                </c:pt>
                <c:pt idx="295">
                  <c:v>2832.6455443468567</c:v>
                </c:pt>
                <c:pt idx="296">
                  <c:v>2820.4728125337615</c:v>
                </c:pt>
                <c:pt idx="297">
                  <c:v>2808.2921028380219</c:v>
                </c:pt>
                <c:pt idx="298">
                  <c:v>2796.104568555751</c:v>
                </c:pt>
                <c:pt idx="299">
                  <c:v>2783.9113478659042</c:v>
                </c:pt>
                <c:pt idx="300">
                  <c:v>2771.7135638453265</c:v>
                </c:pt>
                <c:pt idx="301">
                  <c:v>2759.5123244873193</c:v>
                </c:pt>
                <c:pt idx="302">
                  <c:v>2747.3087227236729</c:v>
                </c:pt>
                <c:pt idx="303">
                  <c:v>2735.1038364501019</c:v>
                </c:pt>
                <c:pt idx="304">
                  <c:v>2722.8987285549993</c:v>
                </c:pt>
                <c:pt idx="305">
                  <c:v>2710.6944469514669</c:v>
                </c:pt>
                <c:pt idx="306">
                  <c:v>2698.4920246125371</c:v>
                </c:pt>
                <c:pt idx="307">
                  <c:v>2686.2924796095331</c:v>
                </c:pt>
                <c:pt idx="308">
                  <c:v>2674.0968151534912</c:v>
                </c:pt>
                <c:pt idx="309">
                  <c:v>2661.9060196395912</c:v>
                </c:pt>
                <c:pt idx="310">
                  <c:v>2649.7210666945148</c:v>
                </c:pt>
                <c:pt idx="311">
                  <c:v>2637.5429152266756</c:v>
                </c:pt>
                <c:pt idx="312">
                  <c:v>2625.3725094792562</c:v>
                </c:pt>
                <c:pt idx="313">
                  <c:v>2613.2107790859686</c:v>
                </c:pt>
                <c:pt idx="314">
                  <c:v>2601.058639129506</c:v>
                </c:pt>
                <c:pt idx="315">
                  <c:v>2588.9169902025769</c:v>
                </c:pt>
                <c:pt idx="316">
                  <c:v>2576.7867184714987</c:v>
                </c:pt>
                <c:pt idx="317">
                  <c:v>2564.6686957422544</c:v>
                </c:pt>
                <c:pt idx="318">
                  <c:v>2552.5637795289599</c:v>
                </c:pt>
                <c:pt idx="319">
                  <c:v>2540.4728131246807</c:v>
                </c:pt>
                <c:pt idx="320">
                  <c:v>2528.3966256745184</c:v>
                </c:pt>
                <c:pt idx="321">
                  <c:v>2516.3360322509257</c:v>
                </c:pt>
                <c:pt idx="322">
                  <c:v>2504.2918339311641</c:v>
                </c:pt>
                <c:pt idx="323">
                  <c:v>2492.2648178768468</c:v>
                </c:pt>
                <c:pt idx="324">
                  <c:v>2480.2557574155203</c:v>
                </c:pt>
                <c:pt idx="325">
                  <c:v>2468.2654121241885</c:v>
                </c:pt>
                <c:pt idx="326">
                  <c:v>2456.2945279147589</c:v>
                </c:pt>
                <c:pt idx="327">
                  <c:v>2444.3438371213033</c:v>
                </c:pt>
                <c:pt idx="328">
                  <c:v>2432.4140585891137</c:v>
                </c:pt>
                <c:pt idx="329">
                  <c:v>2420.5058977654612</c:v>
                </c:pt>
                <c:pt idx="330">
                  <c:v>2408.620046792018</c:v>
                </c:pt>
                <c:pt idx="331">
                  <c:v>2396.7571845988691</c:v>
                </c:pt>
                <c:pt idx="332">
                  <c:v>2384.917977000061</c:v>
                </c:pt>
                <c:pt idx="333">
                  <c:v>2373.10307679063</c:v>
                </c:pt>
                <c:pt idx="334">
                  <c:v>2361.313123845041</c:v>
                </c:pt>
                <c:pt idx="335">
                  <c:v>2349.5487452170014</c:v>
                </c:pt>
                <c:pt idx="336">
                  <c:v>2337.8105552405623</c:v>
                </c:pt>
                <c:pt idx="337">
                  <c:v>2326.0991556324775</c:v>
                </c:pt>
                <c:pt idx="338">
                  <c:v>2314.4151355957579</c:v>
                </c:pt>
                <c:pt idx="339">
                  <c:v>2302.7590719243467</c:v>
                </c:pt>
                <c:pt idx="340">
                  <c:v>2291.1315291088954</c:v>
                </c:pt>
                <c:pt idx="341">
                  <c:v>2279.5330594435513</c:v>
                </c:pt>
                <c:pt idx="342">
                  <c:v>2267.9642031337385</c:v>
                </c:pt>
                <c:pt idx="343">
                  <c:v>2256.4254884048451</c:v>
                </c:pt>
                <c:pt idx="344">
                  <c:v>2244.9174316117897</c:v>
                </c:pt>
                <c:pt idx="345">
                  <c:v>2233.440537349411</c:v>
                </c:pt>
                <c:pt idx="346">
                  <c:v>2221.9952985636164</c:v>
                </c:pt>
                <c:pt idx="347">
                  <c:v>2210.5821966632739</c:v>
                </c:pt>
                <c:pt idx="348">
                  <c:v>2199.2017016327418</c:v>
                </c:pt>
                <c:pt idx="349">
                  <c:v>2187.8542721450576</c:v>
                </c:pt>
                <c:pt idx="350">
                  <c:v>2176.5403556756855</c:v>
                </c:pt>
                <c:pt idx="351">
                  <c:v>2165.2603886167858</c:v>
                </c:pt>
                <c:pt idx="352">
                  <c:v>2154.0147963919985</c:v>
                </c:pt>
                <c:pt idx="353">
                  <c:v>2142.8039935716301</c:v>
                </c:pt>
                <c:pt idx="354">
                  <c:v>2131.6283839882722</c:v>
                </c:pt>
                <c:pt idx="355">
                  <c:v>2120.488360852743</c:v>
                </c:pt>
                <c:pt idx="356">
                  <c:v>2109.3843068703527</c:v>
                </c:pt>
                <c:pt idx="357">
                  <c:v>2098.3165943574409</c:v>
                </c:pt>
                <c:pt idx="358">
                  <c:v>2087.2855853581309</c:v>
                </c:pt>
                <c:pt idx="359">
                  <c:v>2076.2916317612767</c:v>
                </c:pt>
                <c:pt idx="360">
                  <c:v>2065.3350754175558</c:v>
                </c:pt>
                <c:pt idx="361">
                  <c:v>2054.4162482566749</c:v>
                </c:pt>
                <c:pt idx="362">
                  <c:v>2043.5354724046401</c:v>
                </c:pt>
                <c:pt idx="363">
                  <c:v>2032.6930603010676</c:v>
                </c:pt>
                <c:pt idx="364">
                  <c:v>2021.8893148164923</c:v>
                </c:pt>
                <c:pt idx="365">
                  <c:v>2011.1245293696295</c:v>
                </c:pt>
                <c:pt idx="366">
                  <c:v>2000.3989880445827</c:v>
                </c:pt>
                <c:pt idx="367">
                  <c:v>1989.7129657079231</c:v>
                </c:pt>
                <c:pt idx="368">
                  <c:v>1979.0667281256549</c:v>
                </c:pt>
                <c:pt idx="369">
                  <c:v>1968.4605320799892</c:v>
                </c:pt>
                <c:pt idx="370">
                  <c:v>1957.8946254859229</c:v>
                </c:pt>
                <c:pt idx="371">
                  <c:v>1947.3692475075904</c:v>
                </c:pt>
                <c:pt idx="372">
                  <c:v>1936.8846286743396</c:v>
                </c:pt>
                <c:pt idx="373">
                  <c:v>1926.4409909965302</c:v>
                </c:pt>
                <c:pt idx="374">
                  <c:v>1916.0385480809971</c:v>
                </c:pt>
                <c:pt idx="375">
                  <c:v>1905.6775052461783</c:v>
                </c:pt>
                <c:pt idx="376">
                  <c:v>1895.3580596368565</c:v>
                </c:pt>
                <c:pt idx="377">
                  <c:v>1885.0804003385051</c:v>
                </c:pt>
                <c:pt idx="378">
                  <c:v>1874.8447084912104</c:v>
                </c:pt>
                <c:pt idx="379">
                  <c:v>1864.6511574031401</c:v>
                </c:pt>
                <c:pt idx="380">
                  <c:v>1854.4999126635271</c:v>
                </c:pt>
                <c:pt idx="381">
                  <c:v>1844.3911322551755</c:v>
                </c:pt>
                <c:pt idx="382">
                  <c:v>1834.3249666664215</c:v>
                </c:pt>
                <c:pt idx="383">
                  <c:v>1824.3015590025755</c:v>
                </c:pt>
                <c:pt idx="384">
                  <c:v>1814.3210450967808</c:v>
                </c:pt>
                <c:pt idx="385">
                  <c:v>1804.3835536202994</c:v>
                </c:pt>
                <c:pt idx="386">
                  <c:v>1794.4892061921907</c:v>
                </c:pt>
                <c:pt idx="387">
                  <c:v>1784.6381174883688</c:v>
                </c:pt>
                <c:pt idx="388">
                  <c:v>1774.8303953500181</c:v>
                </c:pt>
                <c:pt idx="389">
                  <c:v>1765.0661408913493</c:v>
                </c:pt>
                <c:pt idx="390">
                  <c:v>1755.3454486066798</c:v>
                </c:pt>
                <c:pt idx="391">
                  <c:v>1745.6684064768215</c:v>
                </c:pt>
                <c:pt idx="392">
                  <c:v>1736.035096074771</c:v>
                </c:pt>
                <c:pt idx="393">
                  <c:v>1726.4455926706564</c:v>
                </c:pt>
                <c:pt idx="394">
                  <c:v>1716.8999653359645</c:v>
                </c:pt>
                <c:pt idx="395">
                  <c:v>1707.3982770470116</c:v>
                </c:pt>
                <c:pt idx="396">
                  <c:v>1697.9405847876485</c:v>
                </c:pt>
                <c:pt idx="397">
                  <c:v>1688.5269396511876</c:v>
                </c:pt>
                <c:pt idx="398">
                  <c:v>1679.1573869415445</c:v>
                </c:pt>
                <c:pt idx="399">
                  <c:v>1669.8319662735764</c:v>
                </c:pt>
                <c:pt idx="400">
                  <c:v>1660.5507116726121</c:v>
                </c:pt>
                <c:pt idx="401">
                  <c:v>1651.3136516731522</c:v>
                </c:pt>
                <c:pt idx="402">
                  <c:v>1642.1208094167489</c:v>
                </c:pt>
                <c:pt idx="403">
                  <c:v>1632.9722027490343</c:v>
                </c:pt>
                <c:pt idx="404">
                  <c:v>1623.867844315909</c:v>
                </c:pt>
                <c:pt idx="405">
                  <c:v>1614.8077416588633</c:v>
                </c:pt>
                <c:pt idx="406">
                  <c:v>1605.7918973094349</c:v>
                </c:pt>
                <c:pt idx="407">
                  <c:v>1596.8203088828018</c:v>
                </c:pt>
                <c:pt idx="408">
                  <c:v>1587.8929691704814</c:v>
                </c:pt>
                <c:pt idx="409">
                  <c:v>1579.0098662321604</c:v>
                </c:pt>
                <c:pt idx="410">
                  <c:v>1570.1709834866126</c:v>
                </c:pt>
                <c:pt idx="411">
                  <c:v>1561.3762998017421</c:v>
                </c:pt>
                <c:pt idx="412">
                  <c:v>1552.6257895837045</c:v>
                </c:pt>
                <c:pt idx="413">
                  <c:v>1543.9194228651345</c:v>
                </c:pt>
                <c:pt idx="414">
                  <c:v>1535.2571653924583</c:v>
                </c:pt>
                <c:pt idx="415">
                  <c:v>1526.6389787122882</c:v>
                </c:pt>
                <c:pt idx="416">
                  <c:v>1518.064820256913</c:v>
                </c:pt>
                <c:pt idx="417">
                  <c:v>1509.5346434288501</c:v>
                </c:pt>
                <c:pt idx="418">
                  <c:v>1501.0483976844907</c:v>
                </c:pt>
                <c:pt idx="419">
                  <c:v>1492.6060286168117</c:v>
                </c:pt>
                <c:pt idx="420">
                  <c:v>1484.2074780371624</c:v>
                </c:pt>
                <c:pt idx="421">
                  <c:v>1475.8526840561328</c:v>
                </c:pt>
                <c:pt idx="422">
                  <c:v>1467.5415811634762</c:v>
                </c:pt>
                <c:pt idx="423">
                  <c:v>1459.2741003071239</c:v>
                </c:pt>
                <c:pt idx="424">
                  <c:v>1451.0501689712528</c:v>
                </c:pt>
                <c:pt idx="425">
                  <c:v>1442.8697112534342</c:v>
                </c:pt>
                <c:pt idx="426">
                  <c:v>1434.7326479408537</c:v>
                </c:pt>
                <c:pt idx="427">
                  <c:v>1426.6388965855967</c:v>
                </c:pt>
                <c:pt idx="428">
                  <c:v>1418.588371579016</c:v>
                </c:pt>
                <c:pt idx="429">
                  <c:v>1410.5809842251679</c:v>
                </c:pt>
                <c:pt idx="430">
                  <c:v>1402.6166428133265</c:v>
                </c:pt>
                <c:pt idx="431">
                  <c:v>1394.6952526895761</c:v>
                </c:pt>
                <c:pt idx="432">
                  <c:v>1386.816716327485</c:v>
                </c:pt>
                <c:pt idx="433">
                  <c:v>1378.9809333978601</c:v>
                </c:pt>
                <c:pt idx="434">
                  <c:v>1371.1878008375875</c:v>
                </c:pt>
                <c:pt idx="435">
                  <c:v>1363.4372129175629</c:v>
                </c:pt>
                <c:pt idx="436">
                  <c:v>1355.7290613097123</c:v>
                </c:pt>
                <c:pt idx="437">
                  <c:v>1348.0632351531087</c:v>
                </c:pt>
                <c:pt idx="438">
                  <c:v>1340.4396211191827</c:v>
                </c:pt>
                <c:pt idx="439">
                  <c:v>1332.8581034760441</c:v>
                </c:pt>
                <c:pt idx="440">
                  <c:v>1325.3185641519028</c:v>
                </c:pt>
                <c:pt idx="441">
                  <c:v>1317.8208827976021</c:v>
                </c:pt>
                <c:pt idx="442">
                  <c:v>1310.3649368482697</c:v>
                </c:pt>
                <c:pt idx="443">
                  <c:v>1302.9506015840834</c:v>
                </c:pt>
                <c:pt idx="444">
                  <c:v>1295.5777501901669</c:v>
                </c:pt>
                <c:pt idx="445">
                  <c:v>1288.2462538156092</c:v>
                </c:pt>
                <c:pt idx="446">
                  <c:v>1280.9559816316248</c:v>
                </c:pt>
                <c:pt idx="447">
                  <c:v>1273.7068008888484</c:v>
                </c:pt>
                <c:pt idx="448">
                  <c:v>1266.4985769737782</c:v>
                </c:pt>
                <c:pt idx="449">
                  <c:v>1259.331173464366</c:v>
                </c:pt>
                <c:pt idx="450">
                  <c:v>1252.2044521847715</c:v>
                </c:pt>
                <c:pt idx="451">
                  <c:v>1245.1182732592683</c:v>
                </c:pt>
                <c:pt idx="452">
                  <c:v>1238.0724951653301</c:v>
                </c:pt>
                <c:pt idx="453">
                  <c:v>1231.0669747858767</c:v>
                </c:pt>
                <c:pt idx="454">
                  <c:v>1224.1015674607202</c:v>
                </c:pt>
                <c:pt idx="455">
                  <c:v>1217.1761270371776</c:v>
                </c:pt>
                <c:pt idx="456">
                  <c:v>1210.290505919889</c:v>
                </c:pt>
                <c:pt idx="457">
                  <c:v>1203.4445551198357</c:v>
                </c:pt>
                <c:pt idx="458">
                  <c:v>1196.6381243025592</c:v>
                </c:pt>
                <c:pt idx="459">
                  <c:v>1189.8710618355942</c:v>
                </c:pt>
                <c:pt idx="460">
                  <c:v>1183.1432148351287</c:v>
                </c:pt>
                <c:pt idx="461">
                  <c:v>1176.4544292118792</c:v>
                </c:pt>
                <c:pt idx="462">
                  <c:v>1169.804549716212</c:v>
                </c:pt>
                <c:pt idx="463">
                  <c:v>1163.1934199824923</c:v>
                </c:pt>
                <c:pt idx="464">
                  <c:v>1156.6208825726944</c:v>
                </c:pt>
                <c:pt idx="465">
                  <c:v>1150.086779019254</c:v>
                </c:pt>
                <c:pt idx="466">
                  <c:v>1143.5909498671929</c:v>
                </c:pt>
                <c:pt idx="467">
                  <c:v>1137.1332347155055</c:v>
                </c:pt>
                <c:pt idx="468">
                  <c:v>1130.7134722578253</c:v>
                </c:pt>
                <c:pt idx="469">
                  <c:v>1124.3315003223749</c:v>
                </c:pt>
                <c:pt idx="470">
                  <c:v>1117.9871559112041</c:v>
                </c:pt>
                <c:pt idx="471">
                  <c:v>1111.680275238733</c:v>
                </c:pt>
                <c:pt idx="472">
                  <c:v>1105.410693769591</c:v>
                </c:pt>
                <c:pt idx="473">
                  <c:v>1099.178246255779</c:v>
                </c:pt>
                <c:pt idx="474">
                  <c:v>1092.9827667731454</c:v>
                </c:pt>
                <c:pt idx="475">
                  <c:v>1086.8240887571908</c:v>
                </c:pt>
                <c:pt idx="476">
                  <c:v>1080.7020450382124</c:v>
                </c:pt>
                <c:pt idx="477">
                  <c:v>1074.616467875788</c:v>
                </c:pt>
                <c:pt idx="478">
                  <c:v>1068.5671889926102</c:v>
                </c:pt>
                <c:pt idx="479">
                  <c:v>1062.5540396076779</c:v>
                </c:pt>
                <c:pt idx="480">
                  <c:v>1056.5768504688579</c:v>
                </c:pt>
                <c:pt idx="481">
                  <c:v>1050.6354518848143</c:v>
                </c:pt>
                <c:pt idx="482">
                  <c:v>1044.7296737563197</c:v>
                </c:pt>
                <c:pt idx="483">
                  <c:v>1038.8593456069541</c:v>
                </c:pt>
                <c:pt idx="484">
                  <c:v>1033.0242966132018</c:v>
                </c:pt>
                <c:pt idx="485">
                  <c:v>1027.2243556339454</c:v>
                </c:pt>
                <c:pt idx="486">
                  <c:v>1021.4593512393772</c:v>
                </c:pt>
                <c:pt idx="487">
                  <c:v>1015.7291117393205</c:v>
                </c:pt>
                <c:pt idx="488">
                  <c:v>1010.0334652109811</c:v>
                </c:pt>
                <c:pt idx="489">
                  <c:v>1004.3722395261324</c:v>
                </c:pt>
                <c:pt idx="490">
                  <c:v>998.74526237773227</c:v>
                </c:pt>
                <c:pt idx="491">
                  <c:v>993.15236130599635</c:v>
                </c:pt>
                <c:pt idx="492">
                  <c:v>987.59336372391999</c:v>
                </c:pt>
                <c:pt idx="493">
                  <c:v>982.06809694226354</c:v>
                </c:pt>
                <c:pt idx="494">
                  <c:v>976.57638819400552</c:v>
                </c:pt>
                <c:pt idx="495">
                  <c:v>971.11806465827465</c:v>
                </c:pt>
                <c:pt idx="496">
                  <c:v>965.69295348375908</c:v>
                </c:pt>
                <c:pt idx="497">
                  <c:v>960.30088181161489</c:v>
                </c:pt>
                <c:pt idx="498">
                  <c:v>954.94167679786358</c:v>
                </c:pt>
                <c:pt idx="499">
                  <c:v>949.61516563529688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211-491C-9CE7-BCD1A6474A31}"/>
            </c:ext>
          </c:extLst>
        </c:ser>
        <c:ser>
          <c:idx val="6"/>
          <c:order val="6"/>
          <c:tx>
            <c:v>I5</c:v>
          </c:tx>
          <c:spPr>
            <a:ln w="28575">
              <a:solidFill>
                <a:srgbClr val="FFFF00"/>
              </a:solidFill>
            </a:ln>
          </c:spPr>
          <c:marker>
            <c:symbol val="circle"/>
            <c:size val="3"/>
            <c:spPr>
              <a:noFill/>
              <a:ln>
                <a:noFill/>
              </a:ln>
            </c:spPr>
          </c:marker>
          <c:xVal>
            <c:numRef>
              <c:f>'LM-OSL'!$C$32:$C$1031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</c:numCache>
            </c:numRef>
          </c:xVal>
          <c:yVal>
            <c:numRef>
              <c:f>'LM-OSL'!$V$32:$V$1031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211-491C-9CE7-BCD1A6474A31}"/>
            </c:ext>
          </c:extLst>
        </c:ser>
        <c:ser>
          <c:idx val="7"/>
          <c:order val="7"/>
          <c:tx>
            <c:v>background</c:v>
          </c:tx>
          <c:spPr>
            <a:ln w="28575">
              <a:solidFill>
                <a:srgbClr val="C00000"/>
              </a:solidFill>
            </a:ln>
          </c:spPr>
          <c:marker>
            <c:symbol val="circle"/>
            <c:size val="3"/>
            <c:spPr>
              <a:noFill/>
              <a:ln>
                <a:noFill/>
              </a:ln>
            </c:spPr>
          </c:marker>
          <c:xVal>
            <c:numRef>
              <c:f>'LM-OSL'!$C$32:$C$1031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</c:numCache>
            </c:numRef>
          </c:xVal>
          <c:yVal>
            <c:numRef>
              <c:f>'LM-OSL'!$W$32:$W$1031</c:f>
              <c:numCache>
                <c:formatCode>General</c:formatCode>
                <c:ptCount val="1000"/>
                <c:pt idx="0">
                  <c:v>50</c:v>
                </c:pt>
                <c:pt idx="1">
                  <c:v>52.102446793382803</c:v>
                </c:pt>
                <c:pt idx="2">
                  <c:v>54.204893586765607</c:v>
                </c:pt>
                <c:pt idx="3">
                  <c:v>56.307340380148403</c:v>
                </c:pt>
                <c:pt idx="4">
                  <c:v>58.409787173531207</c:v>
                </c:pt>
                <c:pt idx="5">
                  <c:v>60.51223396691401</c:v>
                </c:pt>
                <c:pt idx="6">
                  <c:v>62.614680760296807</c:v>
                </c:pt>
                <c:pt idx="7">
                  <c:v>64.717127553679617</c:v>
                </c:pt>
                <c:pt idx="8">
                  <c:v>66.819574347062414</c:v>
                </c:pt>
                <c:pt idx="9">
                  <c:v>68.922021140445224</c:v>
                </c:pt>
                <c:pt idx="10">
                  <c:v>71.024467933828021</c:v>
                </c:pt>
                <c:pt idx="11">
                  <c:v>73.126914727210817</c:v>
                </c:pt>
                <c:pt idx="12">
                  <c:v>75.229361520593613</c:v>
                </c:pt>
                <c:pt idx="13">
                  <c:v>77.331808313976424</c:v>
                </c:pt>
                <c:pt idx="14">
                  <c:v>79.43425510735922</c:v>
                </c:pt>
                <c:pt idx="15">
                  <c:v>81.536701900742031</c:v>
                </c:pt>
                <c:pt idx="16">
                  <c:v>83.639148694124827</c:v>
                </c:pt>
                <c:pt idx="17">
                  <c:v>85.741595487507624</c:v>
                </c:pt>
                <c:pt idx="18">
                  <c:v>87.844042280890434</c:v>
                </c:pt>
                <c:pt idx="19">
                  <c:v>89.946489074273231</c:v>
                </c:pt>
                <c:pt idx="20">
                  <c:v>92.048935867656041</c:v>
                </c:pt>
                <c:pt idx="21">
                  <c:v>94.151382661038838</c:v>
                </c:pt>
                <c:pt idx="22">
                  <c:v>96.253829454421634</c:v>
                </c:pt>
                <c:pt idx="23">
                  <c:v>98.356276247804431</c:v>
                </c:pt>
                <c:pt idx="24">
                  <c:v>100.45872304118724</c:v>
                </c:pt>
                <c:pt idx="25">
                  <c:v>102.56116983457005</c:v>
                </c:pt>
                <c:pt idx="26">
                  <c:v>104.66361662795285</c:v>
                </c:pt>
                <c:pt idx="27">
                  <c:v>106.76606342133564</c:v>
                </c:pt>
                <c:pt idx="28">
                  <c:v>108.86851021471844</c:v>
                </c:pt>
                <c:pt idx="29">
                  <c:v>110.97095700810125</c:v>
                </c:pt>
                <c:pt idx="30">
                  <c:v>113.07340380148405</c:v>
                </c:pt>
                <c:pt idx="31">
                  <c:v>115.17585059486686</c:v>
                </c:pt>
                <c:pt idx="32">
                  <c:v>117.27829738824965</c:v>
                </c:pt>
                <c:pt idx="33">
                  <c:v>119.38074418163245</c:v>
                </c:pt>
                <c:pt idx="34">
                  <c:v>121.48319097501526</c:v>
                </c:pt>
                <c:pt idx="35">
                  <c:v>123.58563776839806</c:v>
                </c:pt>
                <c:pt idx="36">
                  <c:v>125.68808456178087</c:v>
                </c:pt>
                <c:pt idx="37">
                  <c:v>127.79053135516367</c:v>
                </c:pt>
                <c:pt idx="38">
                  <c:v>129.89297814854646</c:v>
                </c:pt>
                <c:pt idx="39">
                  <c:v>131.99542494192929</c:v>
                </c:pt>
                <c:pt idx="40">
                  <c:v>134.09787173531208</c:v>
                </c:pt>
                <c:pt idx="41">
                  <c:v>136.20031852869488</c:v>
                </c:pt>
                <c:pt idx="42">
                  <c:v>138.30276532207768</c:v>
                </c:pt>
                <c:pt idx="43">
                  <c:v>140.40521211546047</c:v>
                </c:pt>
                <c:pt idx="44">
                  <c:v>142.50765890884327</c:v>
                </c:pt>
                <c:pt idx="45">
                  <c:v>144.61010570222606</c:v>
                </c:pt>
                <c:pt idx="46">
                  <c:v>146.71255249560886</c:v>
                </c:pt>
                <c:pt idx="47">
                  <c:v>148.81499928899169</c:v>
                </c:pt>
                <c:pt idx="48">
                  <c:v>150.91744608237448</c:v>
                </c:pt>
                <c:pt idx="49">
                  <c:v>153.01989287575728</c:v>
                </c:pt>
                <c:pt idx="50">
                  <c:v>155.1223396691401</c:v>
                </c:pt>
                <c:pt idx="51">
                  <c:v>157.2247864625229</c:v>
                </c:pt>
                <c:pt idx="52">
                  <c:v>159.3272332559057</c:v>
                </c:pt>
                <c:pt idx="53">
                  <c:v>161.42968004928849</c:v>
                </c:pt>
                <c:pt idx="54">
                  <c:v>163.53212684267129</c:v>
                </c:pt>
                <c:pt idx="55">
                  <c:v>165.63457363605409</c:v>
                </c:pt>
                <c:pt idx="56">
                  <c:v>167.73702042943688</c:v>
                </c:pt>
                <c:pt idx="57">
                  <c:v>169.83946722281968</c:v>
                </c:pt>
                <c:pt idx="58">
                  <c:v>171.9419140162025</c:v>
                </c:pt>
                <c:pt idx="59">
                  <c:v>174.0443608095853</c:v>
                </c:pt>
                <c:pt idx="60">
                  <c:v>176.1468076029681</c:v>
                </c:pt>
                <c:pt idx="61">
                  <c:v>178.24925439635089</c:v>
                </c:pt>
                <c:pt idx="62">
                  <c:v>180.35170118973372</c:v>
                </c:pt>
                <c:pt idx="63">
                  <c:v>182.45414798311651</c:v>
                </c:pt>
                <c:pt idx="64">
                  <c:v>184.55659477649931</c:v>
                </c:pt>
                <c:pt idx="65">
                  <c:v>186.65904156988211</c:v>
                </c:pt>
                <c:pt idx="66">
                  <c:v>188.7614883632649</c:v>
                </c:pt>
                <c:pt idx="67">
                  <c:v>190.86393515664773</c:v>
                </c:pt>
                <c:pt idx="68">
                  <c:v>192.96638195003052</c:v>
                </c:pt>
                <c:pt idx="69">
                  <c:v>195.06882874341332</c:v>
                </c:pt>
                <c:pt idx="70">
                  <c:v>197.17127553679612</c:v>
                </c:pt>
                <c:pt idx="71">
                  <c:v>199.27372233017891</c:v>
                </c:pt>
                <c:pt idx="72">
                  <c:v>201.37616912356174</c:v>
                </c:pt>
                <c:pt idx="73">
                  <c:v>203.47861591694453</c:v>
                </c:pt>
                <c:pt idx="74">
                  <c:v>205.58106271032733</c:v>
                </c:pt>
                <c:pt idx="75">
                  <c:v>207.68350950371013</c:v>
                </c:pt>
                <c:pt idx="76">
                  <c:v>209.78595629709292</c:v>
                </c:pt>
                <c:pt idx="77">
                  <c:v>211.88840309047572</c:v>
                </c:pt>
                <c:pt idx="78">
                  <c:v>213.99084988385854</c:v>
                </c:pt>
                <c:pt idx="79">
                  <c:v>216.09329667724134</c:v>
                </c:pt>
                <c:pt idx="80">
                  <c:v>218.19574347062414</c:v>
                </c:pt>
                <c:pt idx="81">
                  <c:v>220.29819026400693</c:v>
                </c:pt>
                <c:pt idx="82">
                  <c:v>222.40063705738973</c:v>
                </c:pt>
                <c:pt idx="83">
                  <c:v>224.50308385077255</c:v>
                </c:pt>
                <c:pt idx="84">
                  <c:v>226.60553064415535</c:v>
                </c:pt>
                <c:pt idx="85">
                  <c:v>228.70797743753815</c:v>
                </c:pt>
                <c:pt idx="86">
                  <c:v>230.81042423092094</c:v>
                </c:pt>
                <c:pt idx="87">
                  <c:v>232.91287102430374</c:v>
                </c:pt>
                <c:pt idx="88">
                  <c:v>235.01531781768654</c:v>
                </c:pt>
                <c:pt idx="89">
                  <c:v>237.11776461106936</c:v>
                </c:pt>
                <c:pt idx="90">
                  <c:v>239.22021140445216</c:v>
                </c:pt>
                <c:pt idx="91">
                  <c:v>241.32265819783495</c:v>
                </c:pt>
                <c:pt idx="92">
                  <c:v>243.42510499121775</c:v>
                </c:pt>
                <c:pt idx="93">
                  <c:v>245.52755178460055</c:v>
                </c:pt>
                <c:pt idx="94">
                  <c:v>247.62999857798337</c:v>
                </c:pt>
                <c:pt idx="95">
                  <c:v>249.73244537136617</c:v>
                </c:pt>
                <c:pt idx="96">
                  <c:v>251.83489216474896</c:v>
                </c:pt>
                <c:pt idx="97">
                  <c:v>253.93733895813176</c:v>
                </c:pt>
                <c:pt idx="98">
                  <c:v>256.03978575151456</c:v>
                </c:pt>
                <c:pt idx="99">
                  <c:v>258.14223254489741</c:v>
                </c:pt>
                <c:pt idx="100">
                  <c:v>260.24467933828021</c:v>
                </c:pt>
                <c:pt idx="101">
                  <c:v>262.347126131663</c:v>
                </c:pt>
                <c:pt idx="102">
                  <c:v>264.4495729250458</c:v>
                </c:pt>
                <c:pt idx="103">
                  <c:v>266.5520197184286</c:v>
                </c:pt>
                <c:pt idx="104">
                  <c:v>268.65446651181139</c:v>
                </c:pt>
                <c:pt idx="105">
                  <c:v>270.75691330519419</c:v>
                </c:pt>
                <c:pt idx="106">
                  <c:v>272.85936009857699</c:v>
                </c:pt>
                <c:pt idx="107">
                  <c:v>274.96180689195978</c:v>
                </c:pt>
                <c:pt idx="108">
                  <c:v>277.06425368534258</c:v>
                </c:pt>
                <c:pt idx="109">
                  <c:v>279.16670047872537</c:v>
                </c:pt>
                <c:pt idx="110">
                  <c:v>281.26914727210817</c:v>
                </c:pt>
                <c:pt idx="111">
                  <c:v>283.37159406549097</c:v>
                </c:pt>
                <c:pt idx="112">
                  <c:v>285.47404085887376</c:v>
                </c:pt>
                <c:pt idx="113">
                  <c:v>287.57648765225656</c:v>
                </c:pt>
                <c:pt idx="114">
                  <c:v>289.67893444563936</c:v>
                </c:pt>
                <c:pt idx="115">
                  <c:v>291.78138123902221</c:v>
                </c:pt>
                <c:pt idx="116">
                  <c:v>293.88382803240501</c:v>
                </c:pt>
                <c:pt idx="117">
                  <c:v>295.9862748257878</c:v>
                </c:pt>
                <c:pt idx="118">
                  <c:v>298.0887216191706</c:v>
                </c:pt>
                <c:pt idx="119">
                  <c:v>300.1911684125534</c:v>
                </c:pt>
                <c:pt idx="120">
                  <c:v>302.29361520593619</c:v>
                </c:pt>
                <c:pt idx="121">
                  <c:v>304.39606199931904</c:v>
                </c:pt>
                <c:pt idx="122">
                  <c:v>306.49850879270178</c:v>
                </c:pt>
                <c:pt idx="123">
                  <c:v>308.60095558608464</c:v>
                </c:pt>
                <c:pt idx="124">
                  <c:v>310.70340237946743</c:v>
                </c:pt>
                <c:pt idx="125">
                  <c:v>312.80584917285023</c:v>
                </c:pt>
                <c:pt idx="126">
                  <c:v>314.90829596623303</c:v>
                </c:pt>
                <c:pt idx="127">
                  <c:v>317.01074275961582</c:v>
                </c:pt>
                <c:pt idx="128">
                  <c:v>319.11318955299862</c:v>
                </c:pt>
                <c:pt idx="129">
                  <c:v>321.21563634638142</c:v>
                </c:pt>
                <c:pt idx="130">
                  <c:v>323.31808313976421</c:v>
                </c:pt>
                <c:pt idx="131">
                  <c:v>325.42052993314701</c:v>
                </c:pt>
                <c:pt idx="132">
                  <c:v>327.52297672652981</c:v>
                </c:pt>
                <c:pt idx="133">
                  <c:v>329.6254235199126</c:v>
                </c:pt>
                <c:pt idx="134">
                  <c:v>331.72787031329545</c:v>
                </c:pt>
                <c:pt idx="135">
                  <c:v>333.83031710667825</c:v>
                </c:pt>
                <c:pt idx="136">
                  <c:v>335.93276390006105</c:v>
                </c:pt>
                <c:pt idx="137">
                  <c:v>338.03521069344384</c:v>
                </c:pt>
                <c:pt idx="138">
                  <c:v>340.13765748682664</c:v>
                </c:pt>
                <c:pt idx="139">
                  <c:v>342.24010428020944</c:v>
                </c:pt>
                <c:pt idx="140">
                  <c:v>344.34255107359223</c:v>
                </c:pt>
                <c:pt idx="141">
                  <c:v>346.44499786697503</c:v>
                </c:pt>
                <c:pt idx="142">
                  <c:v>348.54744466035783</c:v>
                </c:pt>
                <c:pt idx="143">
                  <c:v>350.64989145374062</c:v>
                </c:pt>
                <c:pt idx="144">
                  <c:v>352.75233824712348</c:v>
                </c:pt>
                <c:pt idx="145">
                  <c:v>354.85478504050627</c:v>
                </c:pt>
                <c:pt idx="146">
                  <c:v>356.95723183388907</c:v>
                </c:pt>
                <c:pt idx="147">
                  <c:v>359.05967862727186</c:v>
                </c:pt>
                <c:pt idx="148">
                  <c:v>361.16212542065466</c:v>
                </c:pt>
                <c:pt idx="149">
                  <c:v>363.26457221403746</c:v>
                </c:pt>
                <c:pt idx="150">
                  <c:v>365.36701900742025</c:v>
                </c:pt>
                <c:pt idx="151">
                  <c:v>367.46946580080305</c:v>
                </c:pt>
                <c:pt idx="152">
                  <c:v>369.57191259418585</c:v>
                </c:pt>
                <c:pt idx="153">
                  <c:v>371.67435938756864</c:v>
                </c:pt>
                <c:pt idx="154">
                  <c:v>373.77680618095144</c:v>
                </c:pt>
                <c:pt idx="155">
                  <c:v>375.87925297433429</c:v>
                </c:pt>
                <c:pt idx="156">
                  <c:v>377.98169976771709</c:v>
                </c:pt>
                <c:pt idx="157">
                  <c:v>380.08414656109989</c:v>
                </c:pt>
                <c:pt idx="158">
                  <c:v>382.18659335448268</c:v>
                </c:pt>
                <c:pt idx="159">
                  <c:v>384.28904014786548</c:v>
                </c:pt>
                <c:pt idx="160">
                  <c:v>386.39148694124827</c:v>
                </c:pt>
                <c:pt idx="161">
                  <c:v>388.49393373463107</c:v>
                </c:pt>
                <c:pt idx="162">
                  <c:v>390.59638052801387</c:v>
                </c:pt>
                <c:pt idx="163">
                  <c:v>392.69882732139666</c:v>
                </c:pt>
                <c:pt idx="164">
                  <c:v>394.80127411477946</c:v>
                </c:pt>
                <c:pt idx="165">
                  <c:v>396.90372090816226</c:v>
                </c:pt>
                <c:pt idx="166">
                  <c:v>399.00616770154511</c:v>
                </c:pt>
                <c:pt idx="167">
                  <c:v>401.10861449492791</c:v>
                </c:pt>
                <c:pt idx="168">
                  <c:v>403.2110612883107</c:v>
                </c:pt>
                <c:pt idx="169">
                  <c:v>405.3135080816935</c:v>
                </c:pt>
                <c:pt idx="170">
                  <c:v>407.4159548750763</c:v>
                </c:pt>
                <c:pt idx="171">
                  <c:v>409.51840166845909</c:v>
                </c:pt>
                <c:pt idx="172">
                  <c:v>411.62084846184189</c:v>
                </c:pt>
                <c:pt idx="173">
                  <c:v>413.72329525522468</c:v>
                </c:pt>
                <c:pt idx="174">
                  <c:v>415.82574204860748</c:v>
                </c:pt>
                <c:pt idx="175">
                  <c:v>417.92818884199028</c:v>
                </c:pt>
                <c:pt idx="176">
                  <c:v>420.03063563537307</c:v>
                </c:pt>
                <c:pt idx="177">
                  <c:v>422.13308242875593</c:v>
                </c:pt>
                <c:pt idx="178">
                  <c:v>424.23552922213872</c:v>
                </c:pt>
                <c:pt idx="179">
                  <c:v>426.33797601552152</c:v>
                </c:pt>
                <c:pt idx="180">
                  <c:v>428.44042280890432</c:v>
                </c:pt>
                <c:pt idx="181">
                  <c:v>430.54286960228711</c:v>
                </c:pt>
                <c:pt idx="182">
                  <c:v>432.64531639566991</c:v>
                </c:pt>
                <c:pt idx="183">
                  <c:v>434.74776318905271</c:v>
                </c:pt>
                <c:pt idx="184">
                  <c:v>436.8502099824355</c:v>
                </c:pt>
                <c:pt idx="185">
                  <c:v>438.9526567758183</c:v>
                </c:pt>
                <c:pt idx="186">
                  <c:v>441.05510356920109</c:v>
                </c:pt>
                <c:pt idx="187">
                  <c:v>443.15755036258395</c:v>
                </c:pt>
                <c:pt idx="188">
                  <c:v>445.25999715596674</c:v>
                </c:pt>
                <c:pt idx="189">
                  <c:v>447.36244394934954</c:v>
                </c:pt>
                <c:pt idx="190">
                  <c:v>449.46489074273234</c:v>
                </c:pt>
                <c:pt idx="191">
                  <c:v>451.56733753611513</c:v>
                </c:pt>
                <c:pt idx="192">
                  <c:v>453.66978432949793</c:v>
                </c:pt>
                <c:pt idx="193">
                  <c:v>455.77223112288073</c:v>
                </c:pt>
                <c:pt idx="194">
                  <c:v>457.87467791626352</c:v>
                </c:pt>
                <c:pt idx="195">
                  <c:v>459.97712470964632</c:v>
                </c:pt>
                <c:pt idx="196">
                  <c:v>462.07957150302911</c:v>
                </c:pt>
                <c:pt idx="197">
                  <c:v>464.18201829641191</c:v>
                </c:pt>
                <c:pt idx="198">
                  <c:v>466.28446508979476</c:v>
                </c:pt>
                <c:pt idx="199">
                  <c:v>468.38691188317756</c:v>
                </c:pt>
                <c:pt idx="200">
                  <c:v>470.48935867656036</c:v>
                </c:pt>
                <c:pt idx="201">
                  <c:v>472.59180546994315</c:v>
                </c:pt>
                <c:pt idx="202">
                  <c:v>474.69425226332595</c:v>
                </c:pt>
                <c:pt idx="203">
                  <c:v>476.79669905670875</c:v>
                </c:pt>
                <c:pt idx="204">
                  <c:v>478.89914585009154</c:v>
                </c:pt>
                <c:pt idx="205">
                  <c:v>481.00159264347434</c:v>
                </c:pt>
                <c:pt idx="206">
                  <c:v>483.10403943685714</c:v>
                </c:pt>
                <c:pt idx="207">
                  <c:v>485.20648623023993</c:v>
                </c:pt>
                <c:pt idx="208">
                  <c:v>487.30893302362279</c:v>
                </c:pt>
                <c:pt idx="209">
                  <c:v>489.41137981700558</c:v>
                </c:pt>
                <c:pt idx="210">
                  <c:v>491.51382661038838</c:v>
                </c:pt>
                <c:pt idx="211">
                  <c:v>493.61627340377117</c:v>
                </c:pt>
                <c:pt idx="212">
                  <c:v>495.71872019715397</c:v>
                </c:pt>
                <c:pt idx="213">
                  <c:v>497.82116699053677</c:v>
                </c:pt>
                <c:pt idx="214">
                  <c:v>499.92361378391956</c:v>
                </c:pt>
                <c:pt idx="215">
                  <c:v>502.02606057730236</c:v>
                </c:pt>
                <c:pt idx="216">
                  <c:v>504.12850737068516</c:v>
                </c:pt>
                <c:pt idx="217">
                  <c:v>506.23095416406795</c:v>
                </c:pt>
                <c:pt idx="218">
                  <c:v>508.33340095745075</c:v>
                </c:pt>
                <c:pt idx="219">
                  <c:v>510.4358477508336</c:v>
                </c:pt>
                <c:pt idx="220">
                  <c:v>512.53829454421634</c:v>
                </c:pt>
                <c:pt idx="221">
                  <c:v>514.64074133759914</c:v>
                </c:pt>
                <c:pt idx="222">
                  <c:v>516.74318813098193</c:v>
                </c:pt>
                <c:pt idx="223">
                  <c:v>518.84563492436473</c:v>
                </c:pt>
                <c:pt idx="224">
                  <c:v>520.94808171774753</c:v>
                </c:pt>
                <c:pt idx="225">
                  <c:v>523.05052851113032</c:v>
                </c:pt>
                <c:pt idx="226">
                  <c:v>525.15297530451312</c:v>
                </c:pt>
                <c:pt idx="227">
                  <c:v>527.25542209789592</c:v>
                </c:pt>
                <c:pt idx="228">
                  <c:v>529.35786889127871</c:v>
                </c:pt>
                <c:pt idx="229">
                  <c:v>531.46031568466151</c:v>
                </c:pt>
                <c:pt idx="230">
                  <c:v>533.56276247804442</c:v>
                </c:pt>
                <c:pt idx="231">
                  <c:v>535.66520927142722</c:v>
                </c:pt>
                <c:pt idx="232">
                  <c:v>537.76765606481001</c:v>
                </c:pt>
                <c:pt idx="233">
                  <c:v>539.87010285819281</c:v>
                </c:pt>
                <c:pt idx="234">
                  <c:v>541.9725496515756</c:v>
                </c:pt>
                <c:pt idx="235">
                  <c:v>544.0749964449584</c:v>
                </c:pt>
                <c:pt idx="236">
                  <c:v>546.1774432383412</c:v>
                </c:pt>
                <c:pt idx="237">
                  <c:v>548.27989003172399</c:v>
                </c:pt>
                <c:pt idx="238">
                  <c:v>550.38233682510679</c:v>
                </c:pt>
                <c:pt idx="239">
                  <c:v>552.48478361848959</c:v>
                </c:pt>
                <c:pt idx="240">
                  <c:v>554.58723041187238</c:v>
                </c:pt>
                <c:pt idx="241">
                  <c:v>556.68967720525529</c:v>
                </c:pt>
                <c:pt idx="242">
                  <c:v>558.79212399863809</c:v>
                </c:pt>
                <c:pt idx="243">
                  <c:v>560.89457079202089</c:v>
                </c:pt>
                <c:pt idx="244">
                  <c:v>562.99701758540357</c:v>
                </c:pt>
                <c:pt idx="245">
                  <c:v>565.09946437878637</c:v>
                </c:pt>
                <c:pt idx="246">
                  <c:v>567.20191117216928</c:v>
                </c:pt>
                <c:pt idx="247">
                  <c:v>569.30435796555207</c:v>
                </c:pt>
                <c:pt idx="248">
                  <c:v>571.40680475893487</c:v>
                </c:pt>
                <c:pt idx="249">
                  <c:v>573.50925155231766</c:v>
                </c:pt>
                <c:pt idx="250">
                  <c:v>575.61169834570046</c:v>
                </c:pt>
                <c:pt idx="251">
                  <c:v>577.71414513908326</c:v>
                </c:pt>
                <c:pt idx="252">
                  <c:v>579.81659193246605</c:v>
                </c:pt>
                <c:pt idx="253">
                  <c:v>581.91903872584885</c:v>
                </c:pt>
                <c:pt idx="254">
                  <c:v>584.02148551923165</c:v>
                </c:pt>
                <c:pt idx="255">
                  <c:v>586.12393231261444</c:v>
                </c:pt>
                <c:pt idx="256">
                  <c:v>588.22637910599724</c:v>
                </c:pt>
                <c:pt idx="257">
                  <c:v>590.32882589938004</c:v>
                </c:pt>
                <c:pt idx="258">
                  <c:v>592.43127269276283</c:v>
                </c:pt>
                <c:pt idx="259">
                  <c:v>594.53371948614563</c:v>
                </c:pt>
                <c:pt idx="260">
                  <c:v>596.63616627952842</c:v>
                </c:pt>
                <c:pt idx="261">
                  <c:v>598.73861307291122</c:v>
                </c:pt>
                <c:pt idx="262">
                  <c:v>600.84105986629402</c:v>
                </c:pt>
                <c:pt idx="263">
                  <c:v>602.94350665967681</c:v>
                </c:pt>
                <c:pt idx="264">
                  <c:v>605.04595345305961</c:v>
                </c:pt>
                <c:pt idx="265">
                  <c:v>607.14840024644241</c:v>
                </c:pt>
                <c:pt idx="266">
                  <c:v>609.2508470398252</c:v>
                </c:pt>
                <c:pt idx="267">
                  <c:v>611.35329383320811</c:v>
                </c:pt>
                <c:pt idx="268">
                  <c:v>613.45574062659091</c:v>
                </c:pt>
                <c:pt idx="269">
                  <c:v>615.55818741997371</c:v>
                </c:pt>
                <c:pt idx="270">
                  <c:v>617.6606342133565</c:v>
                </c:pt>
                <c:pt idx="271">
                  <c:v>619.7630810067393</c:v>
                </c:pt>
                <c:pt idx="272">
                  <c:v>621.86552780012209</c:v>
                </c:pt>
                <c:pt idx="273">
                  <c:v>623.96797459350489</c:v>
                </c:pt>
                <c:pt idx="274">
                  <c:v>626.07042138688769</c:v>
                </c:pt>
                <c:pt idx="275">
                  <c:v>628.17286818027048</c:v>
                </c:pt>
                <c:pt idx="276">
                  <c:v>630.27531497365328</c:v>
                </c:pt>
                <c:pt idx="277">
                  <c:v>632.37776176703608</c:v>
                </c:pt>
                <c:pt idx="278">
                  <c:v>634.48020856041887</c:v>
                </c:pt>
                <c:pt idx="279">
                  <c:v>636.58265535380167</c:v>
                </c:pt>
                <c:pt idx="280">
                  <c:v>638.68510214718447</c:v>
                </c:pt>
                <c:pt idx="281">
                  <c:v>640.78754894056726</c:v>
                </c:pt>
                <c:pt idx="282">
                  <c:v>642.88999573395006</c:v>
                </c:pt>
                <c:pt idx="283">
                  <c:v>644.99244252733286</c:v>
                </c:pt>
                <c:pt idx="284">
                  <c:v>647.09488932071565</c:v>
                </c:pt>
                <c:pt idx="285">
                  <c:v>649.19733611409845</c:v>
                </c:pt>
                <c:pt idx="286">
                  <c:v>651.29978290748124</c:v>
                </c:pt>
                <c:pt idx="287">
                  <c:v>653.40222970086404</c:v>
                </c:pt>
                <c:pt idx="288">
                  <c:v>655.50467649424695</c:v>
                </c:pt>
                <c:pt idx="289">
                  <c:v>657.60712328762975</c:v>
                </c:pt>
                <c:pt idx="290">
                  <c:v>659.70957008101254</c:v>
                </c:pt>
                <c:pt idx="291">
                  <c:v>661.81201687439534</c:v>
                </c:pt>
                <c:pt idx="292">
                  <c:v>663.91446366777814</c:v>
                </c:pt>
                <c:pt idx="293">
                  <c:v>666.01691046116093</c:v>
                </c:pt>
                <c:pt idx="294">
                  <c:v>668.11935725454373</c:v>
                </c:pt>
                <c:pt idx="295">
                  <c:v>670.22180404792653</c:v>
                </c:pt>
                <c:pt idx="296">
                  <c:v>672.32425084130932</c:v>
                </c:pt>
                <c:pt idx="297">
                  <c:v>674.42669763469212</c:v>
                </c:pt>
                <c:pt idx="298">
                  <c:v>676.52914442807491</c:v>
                </c:pt>
                <c:pt idx="299">
                  <c:v>678.63159122145771</c:v>
                </c:pt>
                <c:pt idx="300">
                  <c:v>680.73403801484051</c:v>
                </c:pt>
                <c:pt idx="301">
                  <c:v>682.8364848082233</c:v>
                </c:pt>
                <c:pt idx="302">
                  <c:v>684.9389316016061</c:v>
                </c:pt>
                <c:pt idx="303">
                  <c:v>687.0413783949889</c:v>
                </c:pt>
                <c:pt idx="304">
                  <c:v>689.14382518837169</c:v>
                </c:pt>
                <c:pt idx="305">
                  <c:v>691.24627198175449</c:v>
                </c:pt>
                <c:pt idx="306">
                  <c:v>693.34871877513729</c:v>
                </c:pt>
                <c:pt idx="307">
                  <c:v>695.45116556852008</c:v>
                </c:pt>
                <c:pt idx="308">
                  <c:v>697.55361236190288</c:v>
                </c:pt>
                <c:pt idx="309">
                  <c:v>699.65605915528567</c:v>
                </c:pt>
                <c:pt idx="310">
                  <c:v>701.75850594866859</c:v>
                </c:pt>
                <c:pt idx="311">
                  <c:v>703.86095274205138</c:v>
                </c:pt>
                <c:pt idx="312">
                  <c:v>705.96339953543418</c:v>
                </c:pt>
                <c:pt idx="313">
                  <c:v>708.06584632881697</c:v>
                </c:pt>
                <c:pt idx="314">
                  <c:v>710.16829312219977</c:v>
                </c:pt>
                <c:pt idx="315">
                  <c:v>712.27073991558257</c:v>
                </c:pt>
                <c:pt idx="316">
                  <c:v>714.37318670896536</c:v>
                </c:pt>
                <c:pt idx="317">
                  <c:v>716.47563350234816</c:v>
                </c:pt>
                <c:pt idx="318">
                  <c:v>718.57808029573096</c:v>
                </c:pt>
                <c:pt idx="319">
                  <c:v>720.68052708911375</c:v>
                </c:pt>
                <c:pt idx="320">
                  <c:v>722.78297388249655</c:v>
                </c:pt>
                <c:pt idx="321">
                  <c:v>724.88542067587935</c:v>
                </c:pt>
                <c:pt idx="322">
                  <c:v>726.98786746926214</c:v>
                </c:pt>
                <c:pt idx="323">
                  <c:v>729.09031426264494</c:v>
                </c:pt>
                <c:pt idx="324">
                  <c:v>731.19276105602773</c:v>
                </c:pt>
                <c:pt idx="325">
                  <c:v>733.29520784941053</c:v>
                </c:pt>
                <c:pt idx="326">
                  <c:v>735.39765464279333</c:v>
                </c:pt>
                <c:pt idx="327">
                  <c:v>737.50010143617612</c:v>
                </c:pt>
                <c:pt idx="328">
                  <c:v>739.60254822955892</c:v>
                </c:pt>
                <c:pt idx="329">
                  <c:v>741.70499502294172</c:v>
                </c:pt>
                <c:pt idx="330">
                  <c:v>743.80744181632451</c:v>
                </c:pt>
                <c:pt idx="331">
                  <c:v>745.90988860970742</c:v>
                </c:pt>
                <c:pt idx="332">
                  <c:v>748.01233540309022</c:v>
                </c:pt>
                <c:pt idx="333">
                  <c:v>750.11478219647302</c:v>
                </c:pt>
                <c:pt idx="334">
                  <c:v>752.21722898985581</c:v>
                </c:pt>
                <c:pt idx="335">
                  <c:v>754.31967578323861</c:v>
                </c:pt>
                <c:pt idx="336">
                  <c:v>756.4221225766214</c:v>
                </c:pt>
                <c:pt idx="337">
                  <c:v>758.5245693700042</c:v>
                </c:pt>
                <c:pt idx="338">
                  <c:v>760.627016163387</c:v>
                </c:pt>
                <c:pt idx="339">
                  <c:v>762.72946295676979</c:v>
                </c:pt>
                <c:pt idx="340">
                  <c:v>764.83190975015259</c:v>
                </c:pt>
                <c:pt idx="341">
                  <c:v>766.93435654353539</c:v>
                </c:pt>
                <c:pt idx="342">
                  <c:v>769.03680333691818</c:v>
                </c:pt>
                <c:pt idx="343">
                  <c:v>771.13925013030098</c:v>
                </c:pt>
                <c:pt idx="344">
                  <c:v>773.24169692368378</c:v>
                </c:pt>
                <c:pt idx="345">
                  <c:v>775.34414371706657</c:v>
                </c:pt>
                <c:pt idx="346">
                  <c:v>777.44659051044937</c:v>
                </c:pt>
                <c:pt idx="347">
                  <c:v>779.54903730383216</c:v>
                </c:pt>
                <c:pt idx="348">
                  <c:v>781.65148409721496</c:v>
                </c:pt>
                <c:pt idx="349">
                  <c:v>783.75393089059776</c:v>
                </c:pt>
                <c:pt idx="350">
                  <c:v>785.85637768398055</c:v>
                </c:pt>
                <c:pt idx="351">
                  <c:v>787.95882447736335</c:v>
                </c:pt>
                <c:pt idx="352">
                  <c:v>790.06127127074615</c:v>
                </c:pt>
                <c:pt idx="353">
                  <c:v>792.16371806412906</c:v>
                </c:pt>
                <c:pt idx="354">
                  <c:v>794.26616485751185</c:v>
                </c:pt>
                <c:pt idx="355">
                  <c:v>796.36861165089465</c:v>
                </c:pt>
                <c:pt idx="356">
                  <c:v>798.47105844427745</c:v>
                </c:pt>
                <c:pt idx="357">
                  <c:v>800.57350523766024</c:v>
                </c:pt>
                <c:pt idx="358">
                  <c:v>802.67595203104304</c:v>
                </c:pt>
                <c:pt idx="359">
                  <c:v>804.77839882442584</c:v>
                </c:pt>
                <c:pt idx="360">
                  <c:v>806.88084561780863</c:v>
                </c:pt>
                <c:pt idx="361">
                  <c:v>808.98329241119143</c:v>
                </c:pt>
                <c:pt idx="362">
                  <c:v>811.08573920457422</c:v>
                </c:pt>
                <c:pt idx="363">
                  <c:v>813.18818599795702</c:v>
                </c:pt>
                <c:pt idx="364">
                  <c:v>815.29063279133982</c:v>
                </c:pt>
                <c:pt idx="365">
                  <c:v>817.39307958472261</c:v>
                </c:pt>
                <c:pt idx="366">
                  <c:v>819.49552637810541</c:v>
                </c:pt>
                <c:pt idx="367">
                  <c:v>821.59797317148821</c:v>
                </c:pt>
                <c:pt idx="368">
                  <c:v>823.700419964871</c:v>
                </c:pt>
                <c:pt idx="369">
                  <c:v>825.8028667582538</c:v>
                </c:pt>
                <c:pt idx="370">
                  <c:v>827.9053135516366</c:v>
                </c:pt>
                <c:pt idx="371">
                  <c:v>830.00776034501939</c:v>
                </c:pt>
                <c:pt idx="372">
                  <c:v>832.11020713840219</c:v>
                </c:pt>
                <c:pt idx="373">
                  <c:v>834.21265393178498</c:v>
                </c:pt>
                <c:pt idx="374">
                  <c:v>836.31510072516789</c:v>
                </c:pt>
                <c:pt idx="375">
                  <c:v>838.41754751855069</c:v>
                </c:pt>
                <c:pt idx="376">
                  <c:v>840.51999431193349</c:v>
                </c:pt>
                <c:pt idx="377">
                  <c:v>842.62244110531628</c:v>
                </c:pt>
                <c:pt idx="378">
                  <c:v>844.72488789869908</c:v>
                </c:pt>
                <c:pt idx="379">
                  <c:v>846.82733469208188</c:v>
                </c:pt>
                <c:pt idx="380">
                  <c:v>848.92978148546467</c:v>
                </c:pt>
                <c:pt idx="381">
                  <c:v>851.03222827884747</c:v>
                </c:pt>
                <c:pt idx="382">
                  <c:v>853.13467507223027</c:v>
                </c:pt>
                <c:pt idx="383">
                  <c:v>855.23712186561306</c:v>
                </c:pt>
                <c:pt idx="384">
                  <c:v>857.33956865899586</c:v>
                </c:pt>
                <c:pt idx="385">
                  <c:v>859.44201545237866</c:v>
                </c:pt>
                <c:pt idx="386">
                  <c:v>861.54446224576145</c:v>
                </c:pt>
                <c:pt idx="387">
                  <c:v>863.64690903914425</c:v>
                </c:pt>
                <c:pt idx="388">
                  <c:v>865.74935583252704</c:v>
                </c:pt>
                <c:pt idx="389">
                  <c:v>867.85180262590984</c:v>
                </c:pt>
                <c:pt idx="390">
                  <c:v>869.95424941929264</c:v>
                </c:pt>
                <c:pt idx="391">
                  <c:v>872.05669621267543</c:v>
                </c:pt>
                <c:pt idx="392">
                  <c:v>874.15914300605823</c:v>
                </c:pt>
                <c:pt idx="393">
                  <c:v>876.26158979944103</c:v>
                </c:pt>
                <c:pt idx="394">
                  <c:v>878.36403659282382</c:v>
                </c:pt>
                <c:pt idx="395">
                  <c:v>880.46648338620673</c:v>
                </c:pt>
                <c:pt idx="396">
                  <c:v>882.56893017958953</c:v>
                </c:pt>
                <c:pt idx="397">
                  <c:v>884.67137697297233</c:v>
                </c:pt>
                <c:pt idx="398">
                  <c:v>886.77382376635512</c:v>
                </c:pt>
                <c:pt idx="399">
                  <c:v>888.87627055973792</c:v>
                </c:pt>
                <c:pt idx="400">
                  <c:v>890.97871735312071</c:v>
                </c:pt>
                <c:pt idx="401">
                  <c:v>893.08116414650351</c:v>
                </c:pt>
                <c:pt idx="402">
                  <c:v>895.18361093988631</c:v>
                </c:pt>
                <c:pt idx="403">
                  <c:v>897.2860577332691</c:v>
                </c:pt>
                <c:pt idx="404">
                  <c:v>899.3885045266519</c:v>
                </c:pt>
                <c:pt idx="405">
                  <c:v>901.4909513200347</c:v>
                </c:pt>
                <c:pt idx="406">
                  <c:v>903.59339811341749</c:v>
                </c:pt>
                <c:pt idx="407">
                  <c:v>905.69584490680029</c:v>
                </c:pt>
                <c:pt idx="408">
                  <c:v>907.79829170018309</c:v>
                </c:pt>
                <c:pt idx="409">
                  <c:v>909.90073849356588</c:v>
                </c:pt>
                <c:pt idx="410">
                  <c:v>912.00318528694868</c:v>
                </c:pt>
                <c:pt idx="411">
                  <c:v>914.10563208033147</c:v>
                </c:pt>
                <c:pt idx="412">
                  <c:v>916.20807887371427</c:v>
                </c:pt>
                <c:pt idx="413">
                  <c:v>918.31052566709707</c:v>
                </c:pt>
                <c:pt idx="414">
                  <c:v>920.41297246047986</c:v>
                </c:pt>
                <c:pt idx="415">
                  <c:v>922.51541925386266</c:v>
                </c:pt>
                <c:pt idx="416">
                  <c:v>924.61786604724557</c:v>
                </c:pt>
                <c:pt idx="417">
                  <c:v>926.72031284062837</c:v>
                </c:pt>
                <c:pt idx="418">
                  <c:v>928.82275963401116</c:v>
                </c:pt>
                <c:pt idx="419">
                  <c:v>930.92520642739396</c:v>
                </c:pt>
                <c:pt idx="420">
                  <c:v>933.02765322077676</c:v>
                </c:pt>
                <c:pt idx="421">
                  <c:v>935.13010001415955</c:v>
                </c:pt>
                <c:pt idx="422">
                  <c:v>937.23254680754235</c:v>
                </c:pt>
                <c:pt idx="423">
                  <c:v>939.33499360092515</c:v>
                </c:pt>
                <c:pt idx="424">
                  <c:v>941.43744039430794</c:v>
                </c:pt>
                <c:pt idx="425">
                  <c:v>943.53988718769074</c:v>
                </c:pt>
                <c:pt idx="426">
                  <c:v>945.64233398107353</c:v>
                </c:pt>
                <c:pt idx="427">
                  <c:v>947.74478077445633</c:v>
                </c:pt>
                <c:pt idx="428">
                  <c:v>949.84722756783913</c:v>
                </c:pt>
                <c:pt idx="429">
                  <c:v>951.94967436122192</c:v>
                </c:pt>
                <c:pt idx="430">
                  <c:v>954.05212115460472</c:v>
                </c:pt>
                <c:pt idx="431">
                  <c:v>956.15456794798752</c:v>
                </c:pt>
                <c:pt idx="432">
                  <c:v>958.25701474137031</c:v>
                </c:pt>
                <c:pt idx="433">
                  <c:v>960.35946153475311</c:v>
                </c:pt>
                <c:pt idx="434">
                  <c:v>962.46190832813591</c:v>
                </c:pt>
                <c:pt idx="435">
                  <c:v>964.5643551215187</c:v>
                </c:pt>
                <c:pt idx="436">
                  <c:v>966.6668019149015</c:v>
                </c:pt>
                <c:pt idx="437">
                  <c:v>968.76924870828429</c:v>
                </c:pt>
                <c:pt idx="438">
                  <c:v>970.8716955016672</c:v>
                </c:pt>
                <c:pt idx="439">
                  <c:v>972.97414229505</c:v>
                </c:pt>
                <c:pt idx="440">
                  <c:v>975.0765890884328</c:v>
                </c:pt>
                <c:pt idx="441">
                  <c:v>977.17903588181559</c:v>
                </c:pt>
                <c:pt idx="442">
                  <c:v>979.28148267519839</c:v>
                </c:pt>
                <c:pt idx="443">
                  <c:v>981.38392946858119</c:v>
                </c:pt>
                <c:pt idx="444">
                  <c:v>983.48637626196398</c:v>
                </c:pt>
                <c:pt idx="445">
                  <c:v>985.58882305534678</c:v>
                </c:pt>
                <c:pt idx="446">
                  <c:v>987.69126984872958</c:v>
                </c:pt>
                <c:pt idx="447">
                  <c:v>989.79371664211237</c:v>
                </c:pt>
                <c:pt idx="448">
                  <c:v>991.89616343549517</c:v>
                </c:pt>
                <c:pt idx="449">
                  <c:v>993.99861022887796</c:v>
                </c:pt>
                <c:pt idx="450">
                  <c:v>996.10105702226076</c:v>
                </c:pt>
                <c:pt idx="451">
                  <c:v>998.20350381564356</c:v>
                </c:pt>
                <c:pt idx="452">
                  <c:v>1000.3059506090264</c:v>
                </c:pt>
                <c:pt idx="453">
                  <c:v>1002.4083974024092</c:v>
                </c:pt>
                <c:pt idx="454">
                  <c:v>1004.5108441957919</c:v>
                </c:pt>
                <c:pt idx="455">
                  <c:v>1006.6132909891747</c:v>
                </c:pt>
                <c:pt idx="456">
                  <c:v>1008.7157377825575</c:v>
                </c:pt>
                <c:pt idx="457">
                  <c:v>1010.8181845759403</c:v>
                </c:pt>
                <c:pt idx="458">
                  <c:v>1012.9206313693231</c:v>
                </c:pt>
                <c:pt idx="459">
                  <c:v>1015.023078162706</c:v>
                </c:pt>
                <c:pt idx="460">
                  <c:v>1017.1255249560888</c:v>
                </c:pt>
                <c:pt idx="461">
                  <c:v>1019.2279717494716</c:v>
                </c:pt>
                <c:pt idx="462">
                  <c:v>1021.3304185428544</c:v>
                </c:pt>
                <c:pt idx="463">
                  <c:v>1023.4328653362372</c:v>
                </c:pt>
                <c:pt idx="464">
                  <c:v>1025.53531212962</c:v>
                </c:pt>
                <c:pt idx="465">
                  <c:v>1027.6377589230028</c:v>
                </c:pt>
                <c:pt idx="466">
                  <c:v>1029.7402057163856</c:v>
                </c:pt>
                <c:pt idx="467">
                  <c:v>1031.8426525097684</c:v>
                </c:pt>
                <c:pt idx="468">
                  <c:v>1033.9450993031512</c:v>
                </c:pt>
                <c:pt idx="469">
                  <c:v>1036.047546096534</c:v>
                </c:pt>
                <c:pt idx="470">
                  <c:v>1038.1499928899168</c:v>
                </c:pt>
                <c:pt idx="471">
                  <c:v>1040.2524396832996</c:v>
                </c:pt>
                <c:pt idx="472">
                  <c:v>1042.3548864766824</c:v>
                </c:pt>
                <c:pt idx="473">
                  <c:v>1044.4573332700652</c:v>
                </c:pt>
                <c:pt idx="474">
                  <c:v>1046.559780063448</c:v>
                </c:pt>
                <c:pt idx="475">
                  <c:v>1048.6622268568308</c:v>
                </c:pt>
                <c:pt idx="476">
                  <c:v>1050.7646736502136</c:v>
                </c:pt>
                <c:pt idx="477">
                  <c:v>1052.8671204435964</c:v>
                </c:pt>
                <c:pt idx="478">
                  <c:v>1054.9695672369792</c:v>
                </c:pt>
                <c:pt idx="479">
                  <c:v>1057.072014030362</c:v>
                </c:pt>
                <c:pt idx="480">
                  <c:v>1059.1744608237448</c:v>
                </c:pt>
                <c:pt idx="481">
                  <c:v>1061.2769076171276</c:v>
                </c:pt>
                <c:pt idx="482">
                  <c:v>1063.3793544105106</c:v>
                </c:pt>
                <c:pt idx="483">
                  <c:v>1065.4818012038932</c:v>
                </c:pt>
                <c:pt idx="484">
                  <c:v>1067.5842479972762</c:v>
                </c:pt>
                <c:pt idx="485">
                  <c:v>1069.6866947906587</c:v>
                </c:pt>
                <c:pt idx="486">
                  <c:v>1071.7891415840418</c:v>
                </c:pt>
                <c:pt idx="487">
                  <c:v>1073.8915883774243</c:v>
                </c:pt>
                <c:pt idx="488">
                  <c:v>1075.9940351708071</c:v>
                </c:pt>
                <c:pt idx="489">
                  <c:v>1078.0964819641899</c:v>
                </c:pt>
                <c:pt idx="490">
                  <c:v>1080.1989287575727</c:v>
                </c:pt>
                <c:pt idx="491">
                  <c:v>1082.3013755509558</c:v>
                </c:pt>
                <c:pt idx="492">
                  <c:v>1084.4038223443386</c:v>
                </c:pt>
                <c:pt idx="493">
                  <c:v>1086.5062691377213</c:v>
                </c:pt>
                <c:pt idx="494">
                  <c:v>1088.6087159311041</c:v>
                </c:pt>
                <c:pt idx="495">
                  <c:v>1090.7111627244869</c:v>
                </c:pt>
                <c:pt idx="496">
                  <c:v>1092.8136095178697</c:v>
                </c:pt>
                <c:pt idx="497">
                  <c:v>1094.9160563112525</c:v>
                </c:pt>
                <c:pt idx="498">
                  <c:v>1097.0185031046353</c:v>
                </c:pt>
                <c:pt idx="499">
                  <c:v>1099.1209498980181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211-491C-9CE7-BCD1A6474A31}"/>
            </c:ext>
          </c:extLst>
        </c:ser>
        <c:ser>
          <c:idx val="8"/>
          <c:order val="8"/>
          <c:tx>
            <c:v>Phosphorescence</c:v>
          </c:tx>
          <c:spPr>
            <a:ln w="28575">
              <a:noFill/>
            </a:ln>
          </c:spPr>
          <c:xVal>
            <c:numRef>
              <c:f>'LM-OSL'!$C$32:$C$1031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</c:numCache>
            </c:numRef>
          </c:xVal>
          <c:yVal>
            <c:numRef>
              <c:f>'LM-OSL'!$K$32:$K$1031</c:f>
              <c:numCache>
                <c:formatCode>General</c:formatCode>
                <c:ptCount val="1000"/>
                <c:pt idx="0">
                  <c:v>9083</c:v>
                </c:pt>
                <c:pt idx="1">
                  <c:v>8552.2864654346104</c:v>
                </c:pt>
                <c:pt idx="2">
                  <c:v>8052.5821630360033</c:v>
                </c:pt>
                <c:pt idx="3">
                  <c:v>7582.0752443832398</c:v>
                </c:pt>
                <c:pt idx="4">
                  <c:v>7139.0597261307494</c:v>
                </c:pt>
                <c:pt idx="5">
                  <c:v>6721.9293043837206</c:v>
                </c:pt>
                <c:pt idx="6">
                  <c:v>6329.1715304953395</c:v>
                </c:pt>
                <c:pt idx="7">
                  <c:v>5959.3623271682654</c:v>
                </c:pt>
                <c:pt idx="8">
                  <c:v>5611.1608249765559</c:v>
                </c:pt>
                <c:pt idx="9">
                  <c:v>5283.3045005861386</c:v>
                </c:pt>
                <c:pt idx="10">
                  <c:v>4974.604599045756</c:v>
                </c:pt>
                <c:pt idx="11">
                  <c:v>4683.9418235503445</c:v>
                </c:pt>
                <c:pt idx="12">
                  <c:v>4410.2622770486314</c:v>
                </c:pt>
                <c:pt idx="13">
                  <c:v>4152.5736409798346</c:v>
                </c:pt>
                <c:pt idx="14">
                  <c:v>3909.9415772841967</c:v>
                </c:pt>
                <c:pt idx="15">
                  <c:v>3681.4863406416043</c:v>
                </c:pt>
                <c:pt idx="16">
                  <c:v>3466.3795886548037</c:v>
                </c:pt>
                <c:pt idx="17">
                  <c:v>3263.8413784114582</c:v>
                </c:pt>
                <c:pt idx="18">
                  <c:v>3073.137338535038</c:v>
                </c:pt>
                <c:pt idx="19">
                  <c:v>2893.5760064708738</c:v>
                </c:pt>
                <c:pt idx="20">
                  <c:v>2724.5063213527674</c:v>
                </c:pt>
                <c:pt idx="21">
                  <c:v>2565.3152633597165</c:v>
                </c:pt>
                <c:pt idx="22">
                  <c:v>2415.4256310034275</c:v>
                </c:pt>
                <c:pt idx="23">
                  <c:v>2274.2939482874012</c:v>
                </c:pt>
                <c:pt idx="24">
                  <c:v>2141.4084941493097</c:v>
                </c:pt>
                <c:pt idx="25">
                  <c:v>2016.2874470417103</c:v>
                </c:pt>
                <c:pt idx="26">
                  <c:v>1898.4771379236508</c:v>
                </c:pt>
                <c:pt idx="27">
                  <c:v>1787.5504053287984</c:v>
                </c:pt>
                <c:pt idx="28">
                  <c:v>1683.1050465458145</c:v>
                </c:pt>
                <c:pt idx="29">
                  <c:v>1584.7623592952175</c:v>
                </c:pt>
                <c:pt idx="30">
                  <c:v>1492.1657686150734</c:v>
                </c:pt>
                <c:pt idx="31">
                  <c:v>1404.979533976827</c:v>
                </c:pt>
                <c:pt idx="32">
                  <c:v>1322.8875319434819</c:v>
                </c:pt>
                <c:pt idx="33">
                  <c:v>1245.5921099562299</c:v>
                </c:pt>
                <c:pt idx="34">
                  <c:v>1172.8130070935601</c:v>
                </c:pt>
                <c:pt idx="35">
                  <c:v>1104.2863378896748</c:v>
                </c:pt>
                <c:pt idx="36">
                  <c:v>1039.7636355277129</c:v>
                </c:pt>
                <c:pt idx="37">
                  <c:v>979.01095093853871</c:v>
                </c:pt>
                <c:pt idx="38">
                  <c:v>921.80800453858092</c:v>
                </c:pt>
                <c:pt idx="39">
                  <c:v>867.94738753105696</c:v>
                </c:pt>
                <c:pt idx="40">
                  <c:v>817.23380987462167</c:v>
                </c:pt>
                <c:pt idx="41">
                  <c:v>769.48339219269917</c:v>
                </c:pt>
                <c:pt idx="42">
                  <c:v>724.52299905607549</c:v>
                </c:pt>
                <c:pt idx="43">
                  <c:v>682.18961122133305</c:v>
                </c:pt>
                <c:pt idx="44">
                  <c:v>642.32973454897126</c:v>
                </c:pt>
                <c:pt idx="45">
                  <c:v>604.7988434580393</c:v>
                </c:pt>
                <c:pt idx="46">
                  <c:v>569.46085689933909</c:v>
                </c:pt>
                <c:pt idx="47">
                  <c:v>536.18764494715538</c:v>
                </c:pt>
                <c:pt idx="48">
                  <c:v>504.85856422050142</c:v>
                </c:pt>
                <c:pt idx="49">
                  <c:v>475.360020449383</c:v>
                </c:pt>
                <c:pt idx="50">
                  <c:v>447.58505660001947</c:v>
                </c:pt>
                <c:pt idx="51">
                  <c:v>421.43296506563161</c:v>
                </c:pt>
                <c:pt idx="52">
                  <c:v>396.80892251665506</c:v>
                </c:pt>
                <c:pt idx="53">
                  <c:v>373.6236460864119</c:v>
                </c:pt>
                <c:pt idx="54">
                  <c:v>351.7930696456184</c:v>
                </c:pt>
                <c:pt idx="55">
                  <c:v>331.23803899195389</c:v>
                </c:pt>
                <c:pt idx="56">
                  <c:v>311.88402484949779</c:v>
                </c:pt>
                <c:pt idx="57">
                  <c:v>293.66085263741411</c:v>
                </c:pt>
                <c:pt idx="58">
                  <c:v>276.50244802806827</c:v>
                </c:pt>
                <c:pt idx="59">
                  <c:v>260.34659737201196</c:v>
                </c:pt>
                <c:pt idx="60">
                  <c:v>245.13472212117281</c:v>
                </c:pt>
                <c:pt idx="61">
                  <c:v>230.81166643234391</c:v>
                </c:pt>
                <c:pt idx="62">
                  <c:v>217.32549718085906</c:v>
                </c:pt>
                <c:pt idx="63">
                  <c:v>204.62731565933157</c:v>
                </c:pt>
                <c:pt idx="64">
                  <c:v>192.67108027870933</c:v>
                </c:pt>
                <c:pt idx="65">
                  <c:v>181.41343962878685</c:v>
                </c:pt>
                <c:pt idx="66">
                  <c:v>170.81357529287823</c:v>
                </c:pt>
                <c:pt idx="67">
                  <c:v>160.83305384672229</c:v>
                </c:pt>
                <c:pt idx="68">
                  <c:v>151.43568750499162</c:v>
                </c:pt>
                <c:pt idx="69">
                  <c:v>142.58740291013154</c:v>
                </c:pt>
                <c:pt idx="70">
                  <c:v>134.25611758777819</c:v>
                </c:pt>
                <c:pt idx="71">
                  <c:v>126.4116236208029</c:v>
                </c:pt>
                <c:pt idx="72">
                  <c:v>119.0254781202033</c:v>
                </c:pt>
                <c:pt idx="73">
                  <c:v>112.07090009570614</c:v>
                </c:pt>
                <c:pt idx="74">
                  <c:v>105.52267335215036</c:v>
                </c:pt>
                <c:pt idx="75">
                  <c:v>99.357055059569831</c:v>
                </c:pt>
                <c:pt idx="76">
                  <c:v>93.551689665462987</c:v>
                </c:pt>
                <c:pt idx="77">
                  <c:v>88.08552783711086</c:v>
                </c:pt>
                <c:pt idx="78">
                  <c:v>82.938750140040369</c:v>
                </c:pt>
                <c:pt idx="79">
                  <c:v>78.092695175903415</c:v>
                </c:pt>
                <c:pt idx="80">
                  <c:v>73.529791919210538</c:v>
                </c:pt>
                <c:pt idx="81">
                  <c:v>69.233496007584208</c:v>
                </c:pt>
                <c:pt idx="82">
                  <c:v>65.188229754528621</c:v>
                </c:pt>
                <c:pt idx="83">
                  <c:v>61.379325667213124</c:v>
                </c:pt>
                <c:pt idx="84">
                  <c:v>57.792973264473183</c:v>
                </c:pt>
                <c:pt idx="85">
                  <c:v>54.41616900219956</c:v>
                </c:pt>
                <c:pt idx="86">
                  <c:v>51.236669124552854</c:v>
                </c:pt>
                <c:pt idx="87">
                  <c:v>48.242945270050065</c:v>
                </c:pt>
                <c:pt idx="88">
                  <c:v>45.424142671556943</c:v>
                </c:pt>
                <c:pt idx="89">
                  <c:v>42.770040798626795</c:v>
                </c:pt>
                <c:pt idx="90">
                  <c:v>40.271016299480564</c:v>
                </c:pt>
                <c:pt idx="91">
                  <c:v>37.918008108262079</c:v>
                </c:pt>
                <c:pt idx="92">
                  <c:v>35.702484591052468</c:v>
                </c:pt>
                <c:pt idx="93">
                  <c:v>33.616412611521049</c:v>
                </c:pt>
                <c:pt idx="94">
                  <c:v>31.652228404048962</c:v>
                </c:pt>
                <c:pt idx="95">
                  <c:v>29.802810148716596</c:v>
                </c:pt>
                <c:pt idx="96">
                  <c:v>28.061452148715862</c:v>
                </c:pt>
                <c:pt idx="97">
                  <c:v>26.421840516558824</c:v>
                </c:pt>
                <c:pt idx="98">
                  <c:v>24.878030280924563</c:v>
                </c:pt>
                <c:pt idx="99">
                  <c:v>23.424423831137677</c:v>
                </c:pt>
                <c:pt idx="100">
                  <c:v>22.055750621121067</c:v>
                </c:pt>
                <c:pt idx="101">
                  <c:v>20.767048059233144</c:v>
                </c:pt>
                <c:pt idx="102">
                  <c:v>19.553643514698873</c:v>
                </c:pt>
                <c:pt idx="103">
                  <c:v>18.411137375392755</c:v>
                </c:pt>
                <c:pt idx="104">
                  <c:v>17.335387095544284</c:v>
                </c:pt>
                <c:pt idx="105">
                  <c:v>16.322492175524953</c:v>
                </c:pt>
                <c:pt idx="106">
                  <c:v>15.368780019256231</c:v>
                </c:pt>
                <c:pt idx="107">
                  <c:v>14.470792617959587</c:v>
                </c:pt>
                <c:pt idx="108">
                  <c:v>13.625274011965972</c:v>
                </c:pt>
                <c:pt idx="109">
                  <c:v>12.829158485123253</c:v>
                </c:pt>
                <c:pt idx="110">
                  <c:v>12.079559448996495</c:v>
                </c:pt>
                <c:pt idx="111">
                  <c:v>11.373758976556806</c:v>
                </c:pt>
                <c:pt idx="112">
                  <c:v>10.709197947409685</c:v>
                </c:pt>
                <c:pt idx="113">
                  <c:v>10.083466768830997</c:v>
                </c:pt>
                <c:pt idx="114">
                  <c:v>9.4942966389665369</c:v>
                </c:pt>
                <c:pt idx="115">
                  <c:v>8.9395513205168804</c:v>
                </c:pt>
                <c:pt idx="116">
                  <c:v>8.4172193950803251</c:v>
                </c:pt>
                <c:pt idx="117">
                  <c:v>7.9254069700692673</c:v>
                </c:pt>
                <c:pt idx="118">
                  <c:v>7.4623308117565239</c:v>
                </c:pt>
                <c:pt idx="119">
                  <c:v>7.026311879553119</c:v>
                </c:pt>
                <c:pt idx="120">
                  <c:v>6.6157692380738293</c:v>
                </c:pt>
                <c:pt idx="121">
                  <c:v>6.2292143249165974</c:v>
                </c:pt>
                <c:pt idx="122">
                  <c:v>5.86524555337175</c:v>
                </c:pt>
                <c:pt idx="123">
                  <c:v>5.5225432304912179</c:v>
                </c:pt>
                <c:pt idx="124">
                  <c:v>5.1998647720915523</c:v>
                </c:pt>
                <c:pt idx="125">
                  <c:v>4.8960401973410548</c:v>
                </c:pt>
                <c:pt idx="126">
                  <c:v>4.6099678865951486</c:v>
                </c:pt>
                <c:pt idx="127">
                  <c:v>4.3406105870985217</c:v>
                </c:pt>
                <c:pt idx="128">
                  <c:v>4.0869916520714362</c:v>
                </c:pt>
                <c:pt idx="129">
                  <c:v>3.8481914995436286</c:v>
                </c:pt>
                <c:pt idx="130">
                  <c:v>3.6233442780961673</c:v>
                </c:pt>
                <c:pt idx="131">
                  <c:v>3.4116347274217564</c:v>
                </c:pt>
                <c:pt idx="132">
                  <c:v>3.2122952223203547</c:v>
                </c:pt>
                <c:pt idx="133">
                  <c:v>3.0246029894121551</c:v>
                </c:pt>
                <c:pt idx="134">
                  <c:v>2.8478774864761283</c:v>
                </c:pt>
                <c:pt idx="135">
                  <c:v>2.6814779349120035</c:v>
                </c:pt>
                <c:pt idx="136">
                  <c:v>2.5248009963788918</c:v>
                </c:pt>
                <c:pt idx="137">
                  <c:v>2.3772785851862834</c:v>
                </c:pt>
                <c:pt idx="138">
                  <c:v>2.2383758085055803</c:v>
                </c:pt>
                <c:pt idx="139">
                  <c:v>2.1075890269336699</c:v>
                </c:pt>
                <c:pt idx="140">
                  <c:v>1.9844440283764531</c:v>
                </c:pt>
                <c:pt idx="141">
                  <c:v>1.868494308631121</c:v>
                </c:pt>
                <c:pt idx="142">
                  <c:v>1.7593194524328453</c:v>
                </c:pt>
                <c:pt idx="143">
                  <c:v>1.6565236090958109</c:v>
                </c:pt>
                <c:pt idx="144">
                  <c:v>1.5597340572215119</c:v>
                </c:pt>
                <c:pt idx="145">
                  <c:v>1.4685998532701692</c:v>
                </c:pt>
                <c:pt idx="146">
                  <c:v>1.3827905590952048</c:v>
                </c:pt>
                <c:pt idx="147">
                  <c:v>1.3019950438270038</c:v>
                </c:pt>
                <c:pt idx="148">
                  <c:v>1.2259203557618215</c:v>
                </c:pt>
                <c:pt idx="149">
                  <c:v>1.1542906601654306</c:v>
                </c:pt>
                <c:pt idx="150">
                  <c:v>1.0868462391401952</c:v>
                </c:pt>
                <c:pt idx="151">
                  <c:v>1.0233425499292301</c:v>
                </c:pt>
                <c:pt idx="152">
                  <c:v>0.96354933824321209</c:v>
                </c:pt>
                <c:pt idx="153">
                  <c:v>0.90724980339490224</c:v>
                </c:pt>
                <c:pt idx="154">
                  <c:v>0.85423981221429401</c:v>
                </c:pt>
                <c:pt idx="155">
                  <c:v>0.80432715889416584</c:v>
                </c:pt>
                <c:pt idx="156">
                  <c:v>0.75733086808235683</c:v>
                </c:pt>
                <c:pt idx="157">
                  <c:v>0.71308053869388788</c:v>
                </c:pt>
                <c:pt idx="158">
                  <c:v>0.67141572606369793</c:v>
                </c:pt>
                <c:pt idx="159">
                  <c:v>0.63218536019977034</c:v>
                </c:pt>
                <c:pt idx="160">
                  <c:v>0.59524719802734771</c:v>
                </c:pt>
                <c:pt idx="161">
                  <c:v>0.56046730763813279</c:v>
                </c:pt>
                <c:pt idx="162">
                  <c:v>0.52771958267446639</c:v>
                </c:pt>
                <c:pt idx="163">
                  <c:v>0.49688528508770663</c:v>
                </c:pt>
                <c:pt idx="164">
                  <c:v>0.46785261461292638</c:v>
                </c:pt>
                <c:pt idx="165">
                  <c:v>0.44051630339891279</c:v>
                </c:pt>
                <c:pt idx="166">
                  <c:v>0.41477723432366037</c:v>
                </c:pt>
                <c:pt idx="167">
                  <c:v>0.39054208161143239</c:v>
                </c:pt>
                <c:pt idx="168">
                  <c:v>0.36772297244832231</c:v>
                </c:pt>
                <c:pt idx="169">
                  <c:v>0.34623716836939072</c:v>
                </c:pt>
                <c:pt idx="170">
                  <c:v>0.32600676526213196</c:v>
                </c:pt>
                <c:pt idx="171">
                  <c:v>0.30695841089854109</c:v>
                </c:pt>
                <c:pt idx="172">
                  <c:v>0.28902303897158521</c:v>
                </c:pt>
                <c:pt idx="173">
                  <c:v>0.27213561867174585</c:v>
                </c:pt>
                <c:pt idx="174">
                  <c:v>0.25623491889563427</c:v>
                </c:pt>
                <c:pt idx="175">
                  <c:v>0.24126328623173701</c:v>
                </c:pt>
                <c:pt idx="176">
                  <c:v>0.2271664359183046</c:v>
                </c:pt>
                <c:pt idx="177">
                  <c:v>0.21389325501542825</c:v>
                </c:pt>
                <c:pt idx="178">
                  <c:v>0.20139561707763959</c:v>
                </c:pt>
                <c:pt idx="179">
                  <c:v>0.18962820765506422</c:v>
                </c:pt>
                <c:pt idx="180">
                  <c:v>0.1785483599904249</c:v>
                </c:pt>
                <c:pt idx="181">
                  <c:v>0.16811590031615761</c:v>
                </c:pt>
                <c:pt idx="182">
                  <c:v>0.15829300219071107</c:v>
                </c:pt>
                <c:pt idx="183">
                  <c:v>0.14904404934588011</c:v>
                </c:pt>
                <c:pt idx="184">
                  <c:v>0.14033550654787388</c:v>
                </c:pt>
                <c:pt idx="185">
                  <c:v>0.1321357980038855</c:v>
                </c:pt>
                <c:pt idx="186">
                  <c:v>0.12441519287328319</c:v>
                </c:pt>
                <c:pt idx="187">
                  <c:v>0.11714569746830522</c:v>
                </c:pt>
                <c:pt idx="188">
                  <c:v>0.1103009537533947</c:v>
                </c:pt>
                <c:pt idx="189">
                  <c:v>0.10385614377514987</c:v>
                </c:pt>
                <c:pt idx="190">
                  <c:v>9.778789967636739E-2</c:v>
                </c:pt>
                <c:pt idx="191">
                  <c:v>9.2074218967904242E-2</c:v>
                </c:pt>
                <c:pt idx="192">
                  <c:v>8.6694384751147213E-2</c:v>
                </c:pt>
                <c:pt idx="193">
                  <c:v>8.1628890601829568E-2</c:v>
                </c:pt>
                <c:pt idx="194">
                  <c:v>7.685936984283491E-2</c:v>
                </c:pt>
                <c:pt idx="195">
                  <c:v>7.2368528949544195E-2</c:v>
                </c:pt>
                <c:pt idx="196">
                  <c:v>6.8140084846262189E-2</c:v>
                </c:pt>
                <c:pt idx="197">
                  <c:v>6.4158705866371693E-2</c:v>
                </c:pt>
                <c:pt idx="198">
                  <c:v>6.0409956162145839E-2</c:v>
                </c:pt>
                <c:pt idx="199">
                  <c:v>5.6880243362657477E-2</c:v>
                </c:pt>
                <c:pt idx="200">
                  <c:v>5.3556769290001353E-2</c:v>
                </c:pt>
                <c:pt idx="201">
                  <c:v>5.0427483555134045E-2</c:v>
                </c:pt>
                <c:pt idx="202">
                  <c:v>4.7481039865077533E-2</c:v>
                </c:pt>
                <c:pt idx="203">
                  <c:v>4.470675488306327E-2</c:v>
                </c:pt>
                <c:pt idx="204">
                  <c:v>4.2094569492450211E-2</c:v>
                </c:pt>
                <c:pt idx="205">
                  <c:v>3.9635012323965491E-2</c:v>
                </c:pt>
                <c:pt idx="206">
                  <c:v>3.7319165414024441E-2</c:v>
                </c:pt>
                <c:pt idx="207">
                  <c:v>3.5138631869610991E-2</c:v>
                </c:pt>
                <c:pt idx="208">
                  <c:v>3.3085505422477512E-2</c:v>
                </c:pt>
                <c:pt idx="209">
                  <c:v>3.1152341762272134E-2</c:v>
                </c:pt>
                <c:pt idx="210">
                  <c:v>2.9332131544651911E-2</c:v>
                </c:pt>
                <c:pt idx="211">
                  <c:v>2.7618274976513719E-2</c:v>
                </c:pt>
                <c:pt idx="212">
                  <c:v>2.6004557886192846E-2</c:v>
                </c:pt>
                <c:pt idx="213">
                  <c:v>2.4485129191863693E-2</c:v>
                </c:pt>
                <c:pt idx="214">
                  <c:v>2.3054479686446513E-2</c:v>
                </c:pt>
                <c:pt idx="215">
                  <c:v>2.1707422062097727E-2</c:v>
                </c:pt>
                <c:pt idx="216">
                  <c:v>2.0439072101855704E-2</c:v>
                </c:pt>
                <c:pt idx="217">
                  <c:v>1.9244830970245801E-2</c:v>
                </c:pt>
                <c:pt idx="218">
                  <c:v>1.8120368538633705E-2</c:v>
                </c:pt>
                <c:pt idx="219">
                  <c:v>1.7061607684866691E-2</c:v>
                </c:pt>
                <c:pt idx="220">
                  <c:v>1.6064709510276397E-2</c:v>
                </c:pt>
                <c:pt idx="221">
                  <c:v>1.5126059420442088E-2</c:v>
                </c:pt>
                <c:pt idx="222">
                  <c:v>1.4242254019245462E-2</c:v>
                </c:pt>
                <c:pt idx="223">
                  <c:v>1.3410088768696976E-2</c:v>
                </c:pt>
                <c:pt idx="224">
                  <c:v>1.2626546369790137E-2</c:v>
                </c:pt>
                <c:pt idx="225">
                  <c:v>1.1888785822254614E-2</c:v>
                </c:pt>
                <c:pt idx="226">
                  <c:v>1.1194132123540573E-2</c:v>
                </c:pt>
                <c:pt idx="227">
                  <c:v>1.0540066569684352E-2</c:v>
                </c:pt>
                <c:pt idx="228">
                  <c:v>9.9242176228879538E-3</c:v>
                </c:pt>
                <c:pt idx="229">
                  <c:v>9.3443523126997986E-3</c:v>
                </c:pt>
                <c:pt idx="230">
                  <c:v>8.7983681396185259E-3</c:v>
                </c:pt>
                <c:pt idx="231">
                  <c:v>8.2842854517638006E-3</c:v>
                </c:pt>
                <c:pt idx="232">
                  <c:v>7.8002402669730703E-3</c:v>
                </c:pt>
                <c:pt idx="233">
                  <c:v>7.3444775142983403E-3</c:v>
                </c:pt>
                <c:pt idx="234">
                  <c:v>6.9153446703977229E-3</c:v>
                </c:pt>
                <c:pt idx="235">
                  <c:v>6.5112857677483002E-3</c:v>
                </c:pt>
                <c:pt idx="236">
                  <c:v>6.1308357529550562E-3</c:v>
                </c:pt>
                <c:pt idx="237">
                  <c:v>5.7726151747000036E-3</c:v>
                </c:pt>
                <c:pt idx="238">
                  <c:v>5.4353251820708224E-3</c:v>
                </c:pt>
                <c:pt idx="239">
                  <c:v>5.117742815133797E-3</c:v>
                </c:pt>
                <c:pt idx="240">
                  <c:v>4.8187165706753254E-3</c:v>
                </c:pt>
                <c:pt idx="241">
                  <c:v>4.5371622270342464E-3</c:v>
                </c:pt>
                <c:pt idx="242">
                  <c:v>4.2720589128862861E-3</c:v>
                </c:pt>
                <c:pt idx="243">
                  <c:v>4.0224454057268171E-3</c:v>
                </c:pt>
                <c:pt idx="244">
                  <c:v>3.7874166466307473E-3</c:v>
                </c:pt>
                <c:pt idx="245">
                  <c:v>3.566120458652634E-3</c:v>
                </c:pt>
                <c:pt idx="246">
                  <c:v>3.3577544569684445E-3</c:v>
                </c:pt>
                <c:pt idx="247">
                  <c:v>3.1615631395556492E-3</c:v>
                </c:pt>
                <c:pt idx="248">
                  <c:v>2.9768351478629009E-3</c:v>
                </c:pt>
                <c:pt idx="249">
                  <c:v>2.8029006875369285E-3</c:v>
                </c:pt>
                <c:pt idx="250">
                  <c:v>2.6391290998546112E-3</c:v>
                </c:pt>
                <c:pt idx="251">
                  <c:v>2.4849265750546356E-3</c:v>
                </c:pt>
                <c:pt idx="252">
                  <c:v>2.3397339992776108E-3</c:v>
                </c:pt>
                <c:pt idx="253">
                  <c:v>2.2030249273080585E-3</c:v>
                </c:pt>
                <c:pt idx="254">
                  <c:v>2.0743036737676727E-3</c:v>
                </c:pt>
                <c:pt idx="255">
                  <c:v>1.953103515838881E-3</c:v>
                </c:pt>
                <c:pt idx="256">
                  <c:v>1.8389850010020489E-3</c:v>
                </c:pt>
                <c:pt idx="257">
                  <c:v>1.7315343536504543E-3</c:v>
                </c:pt>
                <c:pt idx="258">
                  <c:v>1.6303619748056638E-3</c:v>
                </c:pt>
                <c:pt idx="259">
                  <c:v>1.5351010294935284E-3</c:v>
                </c:pt>
                <c:pt idx="260">
                  <c:v>1.4454061166588393E-3</c:v>
                </c:pt>
                <c:pt idx="261">
                  <c:v>1.3609520167959693E-3</c:v>
                </c:pt>
                <c:pt idx="262">
                  <c:v>1.2814325127546101E-3</c:v>
                </c:pt>
                <c:pt idx="263">
                  <c:v>1.2065592794450197E-3</c:v>
                </c:pt>
                <c:pt idx="264">
                  <c:v>1.1360608384170621E-3</c:v>
                </c:pt>
                <c:pt idx="265">
                  <c:v>1.0696815735224633E-3</c:v>
                </c:pt>
                <c:pt idx="266">
                  <c:v>1.0071808040912631E-3</c:v>
                </c:pt>
                <c:pt idx="267">
                  <c:v>9.4833191226194617E-4</c:v>
                </c:pt>
                <c:pt idx="268">
                  <c:v>8.9292152130106695E-4</c:v>
                </c:pt>
                <c:pt idx="269">
                  <c:v>8.4074872193310541E-4</c:v>
                </c:pt>
                <c:pt idx="270">
                  <c:v>7.9162434387536524E-4</c:v>
                </c:pt>
                <c:pt idx="271">
                  <c:v>7.453702699365671E-4</c:v>
                </c:pt>
                <c:pt idx="272">
                  <c:v>7.0181879019221005E-4</c:v>
                </c:pt>
                <c:pt idx="273">
                  <c:v>6.6081199389502691E-4</c:v>
                </c:pt>
                <c:pt idx="274">
                  <c:v>6.222011969156992E-4</c:v>
                </c:pt>
                <c:pt idx="275">
                  <c:v>5.8584640263782315E-4</c:v>
                </c:pt>
                <c:pt idx="276">
                  <c:v>5.516157943524177E-4</c:v>
                </c:pt>
                <c:pt idx="277">
                  <c:v>5.1938525731147673E-4</c:v>
                </c:pt>
                <c:pt idx="278">
                  <c:v>4.8903792870760919E-4</c:v>
                </c:pt>
                <c:pt idx="279">
                  <c:v>4.604637739480635E-4</c:v>
                </c:pt>
                <c:pt idx="280">
                  <c:v>4.3355918768677365E-4</c:v>
                </c:pt>
                <c:pt idx="281">
                  <c:v>4.0822661816783195E-4</c:v>
                </c:pt>
                <c:pt idx="282">
                  <c:v>3.8437421351831895E-4</c:v>
                </c:pt>
                <c:pt idx="283">
                  <c:v>3.6191548870800303E-4</c:v>
                </c:pt>
                <c:pt idx="284">
                  <c:v>3.4076901196835918E-4</c:v>
                </c:pt>
                <c:pt idx="285">
                  <c:v>3.2085810953391198E-4</c:v>
                </c:pt>
                <c:pt idx="286">
                  <c:v>3.0211058763534194E-4</c:v>
                </c:pt>
                <c:pt idx="287">
                  <c:v>2.8445847073634603E-4</c:v>
                </c:pt>
                <c:pt idx="288">
                  <c:v>2.6783775506514137E-4</c:v>
                </c:pt>
                <c:pt idx="289">
                  <c:v>2.5218817654695569E-4</c:v>
                </c:pt>
                <c:pt idx="290">
                  <c:v>2.374529922960655E-4</c:v>
                </c:pt>
                <c:pt idx="291">
                  <c:v>2.2357877487510697E-4</c:v>
                </c:pt>
                <c:pt idx="292">
                  <c:v>2.1051521857567201E-4</c:v>
                </c:pt>
                <c:pt idx="293">
                  <c:v>1.9821495701780558E-4</c:v>
                </c:pt>
                <c:pt idx="294">
                  <c:v>1.8663339140703305E-4</c:v>
                </c:pt>
                <c:pt idx="295">
                  <c:v>1.7572852882621697E-4</c:v>
                </c:pt>
                <c:pt idx="296">
                  <c:v>1.6546082997591003E-4</c:v>
                </c:pt>
                <c:pt idx="297">
                  <c:v>1.5579306581113645E-4</c:v>
                </c:pt>
                <c:pt idx="298">
                  <c:v>1.4669018255478869E-4</c:v>
                </c:pt>
                <c:pt idx="299">
                  <c:v>1.381191745982001E-4</c:v>
                </c:pt>
                <c:pt idx="300">
                  <c:v>1.3004896482805088E-4</c:v>
                </c:pt>
                <c:pt idx="301">
                  <c:v>1.2245029194569209E-4</c:v>
                </c:pt>
                <c:pt idx="302">
                  <c:v>1.1529560437032466E-4</c:v>
                </c:pt>
                <c:pt idx="303">
                  <c:v>1.0855896034134437E-4</c:v>
                </c:pt>
                <c:pt idx="304">
                  <c:v>1.0221593385763865E-4</c:v>
                </c:pt>
                <c:pt idx="305">
                  <c:v>9.6243526112786779E-5</c:v>
                </c:pt>
                <c:pt idx="306">
                  <c:v>9.0620082105041132E-5</c:v>
                </c:pt>
                <c:pt idx="307">
                  <c:v>8.5325212119730974E-5</c:v>
                </c:pt>
                <c:pt idx="308">
                  <c:v>8.0339717799395813E-5</c:v>
                </c:pt>
                <c:pt idx="309">
                  <c:v>7.5645522533591196E-5</c:v>
                </c:pt>
                <c:pt idx="310">
                  <c:v>7.1225605915970565E-5</c:v>
                </c:pt>
                <c:pt idx="311">
                  <c:v>6.7063942030995736E-5</c:v>
                </c:pt>
                <c:pt idx="312">
                  <c:v>6.3145441346512836E-5</c:v>
                </c:pt>
                <c:pt idx="313">
                  <c:v>5.9455896001505743E-5</c:v>
                </c:pt>
                <c:pt idx="314">
                  <c:v>5.5981928290649039E-5</c:v>
                </c:pt>
                <c:pt idx="315">
                  <c:v>5.2710942158873754E-5</c:v>
                </c:pt>
                <c:pt idx="316">
                  <c:v>4.963107753007184E-5</c:v>
                </c:pt>
                <c:pt idx="317">
                  <c:v>4.6731167304345389E-5</c:v>
                </c:pt>
                <c:pt idx="318">
                  <c:v>4.4000696867875531E-5</c:v>
                </c:pt>
                <c:pt idx="319">
                  <c:v>4.1429765968603194E-5</c:v>
                </c:pt>
                <c:pt idx="320">
                  <c:v>3.9009052819487891E-5</c:v>
                </c:pt>
                <c:pt idx="321">
                  <c:v>3.6729780299188599E-5</c:v>
                </c:pt>
                <c:pt idx="322">
                  <c:v>3.4583684127616141E-5</c:v>
                </c:pt>
                <c:pt idx="323">
                  <c:v>3.2562982900966338E-5</c:v>
                </c:pt>
                <c:pt idx="324">
                  <c:v>3.066034987758593E-5</c:v>
                </c:pt>
                <c:pt idx="325">
                  <c:v>2.886888641237122E-5</c:v>
                </c:pt>
                <c:pt idx="326">
                  <c:v>2.71820969433768E-5</c:v>
                </c:pt>
                <c:pt idx="327">
                  <c:v>2.5593865439939765E-5</c:v>
                </c:pt>
                <c:pt idx="328">
                  <c:v>2.4098433226924084E-5</c:v>
                </c:pt>
                <c:pt idx="329">
                  <c:v>2.2690378104679346E-5</c:v>
                </c:pt>
                <c:pt idx="330">
                  <c:v>2.1364594689006163E-5</c:v>
                </c:pt>
                <c:pt idx="331">
                  <c:v>2.0116275899844053E-5</c:v>
                </c:pt>
                <c:pt idx="332">
                  <c:v>1.8940895531562777E-5</c:v>
                </c:pt>
                <c:pt idx="333">
                  <c:v>1.7834191841659714E-5</c:v>
                </c:pt>
                <c:pt idx="334">
                  <c:v>1.679215209835855E-5</c:v>
                </c:pt>
                <c:pt idx="335">
                  <c:v>1.581099803108127E-5</c:v>
                </c:pt>
                <c:pt idx="336">
                  <c:v>1.4887172131039262E-5</c:v>
                </c:pt>
                <c:pt idx="337">
                  <c:v>1.4017324752271537E-5</c:v>
                </c:pt>
                <c:pt idx="338">
                  <c:v>1.3198301966360657E-5</c:v>
                </c:pt>
                <c:pt idx="339">
                  <c:v>1.242713412678908E-5</c:v>
                </c:pt>
                <c:pt idx="340">
                  <c:v>1.1701025101472948E-5</c:v>
                </c:pt>
                <c:pt idx="341">
                  <c:v>1.1017342134431103E-5</c:v>
                </c:pt>
                <c:pt idx="342">
                  <c:v>1.0373606299830185E-5</c:v>
                </c:pt>
                <c:pt idx="343">
                  <c:v>9.7674835137933394E-6</c:v>
                </c:pt>
                <c:pt idx="344">
                  <c:v>9.196776071382852E-6</c:v>
                </c:pt>
                <c:pt idx="345">
                  <c:v>8.6594146780711708E-6</c:v>
                </c:pt>
                <c:pt idx="346">
                  <c:v>8.1534509468076473E-6</c:v>
                </c:pt>
                <c:pt idx="347">
                  <c:v>7.6770503334766101E-6</c:v>
                </c:pt>
                <c:pt idx="348">
                  <c:v>7.2284854851318137E-6</c:v>
                </c:pt>
                <c:pt idx="349">
                  <c:v>6.8061299768890596E-6</c:v>
                </c:pt>
                <c:pt idx="350">
                  <c:v>6.4084524147679261E-6</c:v>
                </c:pt>
                <c:pt idx="351">
                  <c:v>6.0340108831004589E-6</c:v>
                </c:pt>
                <c:pt idx="352">
                  <c:v>5.6814477163740161E-6</c:v>
                </c:pt>
                <c:pt idx="353">
                  <c:v>5.3494845765517854E-6</c:v>
                </c:pt>
                <c:pt idx="354">
                  <c:v>5.0369178180221322E-6</c:v>
                </c:pt>
                <c:pt idx="355">
                  <c:v>4.7426141233708139E-6</c:v>
                </c:pt>
                <c:pt idx="356">
                  <c:v>4.4655063941520686E-6</c:v>
                </c:pt>
                <c:pt idx="357">
                  <c:v>4.2045898817591579E-6</c:v>
                </c:pt>
                <c:pt idx="358">
                  <c:v>3.9589185443655344E-6</c:v>
                </c:pt>
                <c:pt idx="359">
                  <c:v>3.7276016167274518E-6</c:v>
                </c:pt>
                <c:pt idx="360">
                  <c:v>3.5098003804106966E-6</c:v>
                </c:pt>
                <c:pt idx="361">
                  <c:v>3.304725122730788E-6</c:v>
                </c:pt>
                <c:pt idx="362">
                  <c:v>3.1116322733801874E-6</c:v>
                </c:pt>
                <c:pt idx="363">
                  <c:v>2.929821708360553E-6</c:v>
                </c:pt>
                <c:pt idx="364">
                  <c:v>2.7586342114442873E-6</c:v>
                </c:pt>
                <c:pt idx="365">
                  <c:v>2.5974490839612301E-6</c:v>
                </c:pt>
                <c:pt idx="366">
                  <c:v>2.4456818942438789E-6</c:v>
                </c:pt>
                <c:pt idx="367">
                  <c:v>2.302782358571001E-6</c:v>
                </c:pt>
                <c:pt idx="368">
                  <c:v>2.1682323459262752E-6</c:v>
                </c:pt>
                <c:pt idx="369">
                  <c:v>2.0415439993375332E-6</c:v>
                </c:pt>
                <c:pt idx="370">
                  <c:v>1.9222579669848761E-6</c:v>
                </c:pt>
                <c:pt idx="371">
                  <c:v>1.8099417366639438E-6</c:v>
                </c:pt>
                <c:pt idx="372">
                  <c:v>1.7041880675653703E-6</c:v>
                </c:pt>
                <c:pt idx="373">
                  <c:v>1.6046135136842979E-6</c:v>
                </c:pt>
                <c:pt idx="374">
                  <c:v>1.5108570335060765E-6</c:v>
                </c:pt>
                <c:pt idx="375">
                  <c:v>1.4225786809270838E-6</c:v>
                </c:pt>
                <c:pt idx="376">
                  <c:v>1.3394583726641548E-6</c:v>
                </c:pt>
                <c:pt idx="377">
                  <c:v>1.2611947276834435E-6</c:v>
                </c:pt>
                <c:pt idx="378">
                  <c:v>1.1875039744406694E-6</c:v>
                </c:pt>
                <c:pt idx="379">
                  <c:v>1.1181189219705762E-6</c:v>
                </c:pt>
                <c:pt idx="380">
                  <c:v>1.0527879910949349E-6</c:v>
                </c:pt>
                <c:pt idx="381">
                  <c:v>9.9127430223640912E-7</c:v>
                </c:pt>
                <c:pt idx="382">
                  <c:v>9.3335481653083537E-7</c:v>
                </c:pt>
                <c:pt idx="383">
                  <c:v>8.7881952712373283E-7</c:v>
                </c:pt>
                <c:pt idx="384">
                  <c:v>8.2747069771880923E-7</c:v>
                </c:pt>
                <c:pt idx="385">
                  <c:v>7.7912214561756352E-7</c:v>
                </c:pt>
                <c:pt idx="386">
                  <c:v>7.3359856665038656E-7</c:v>
                </c:pt>
                <c:pt idx="387">
                  <c:v>6.9073489955150609E-7</c:v>
                </c:pt>
                <c:pt idx="388">
                  <c:v>6.5037572747304629E-7</c:v>
                </c:pt>
                <c:pt idx="389">
                  <c:v>6.1237471446822883E-7</c:v>
                </c:pt>
                <c:pt idx="390">
                  <c:v>5.7659407490047513E-7</c:v>
                </c:pt>
                <c:pt idx="391">
                  <c:v>5.4290407385457702E-7</c:v>
                </c:pt>
                <c:pt idx="392">
                  <c:v>5.1118255673850167E-7</c:v>
                </c:pt>
                <c:pt idx="393">
                  <c:v>4.813145063702462E-7</c:v>
                </c:pt>
                <c:pt idx="394">
                  <c:v>4.5319162594380674E-7</c:v>
                </c:pt>
                <c:pt idx="395">
                  <c:v>4.2671194636216255E-7</c:v>
                </c:pt>
                <c:pt idx="396">
                  <c:v>4.0177945651352879E-7</c:v>
                </c:pt>
                <c:pt idx="397">
                  <c:v>3.7830375515031654E-7</c:v>
                </c:pt>
                <c:pt idx="398">
                  <c:v>3.561997231085699E-7</c:v>
                </c:pt>
                <c:pt idx="399">
                  <c:v>3.3538721467939861E-7</c:v>
                </c:pt>
                <c:pt idx="400">
                  <c:v>3.1579076701336922E-7</c:v>
                </c:pt>
                <c:pt idx="401">
                  <c:v>2.9733932650420031E-7</c:v>
                </c:pt>
                <c:pt idx="402">
                  <c:v>2.7996599115967349E-7</c:v>
                </c:pt>
                <c:pt idx="403">
                  <c:v>2.6360776802563701E-7</c:v>
                </c:pt>
                <c:pt idx="404">
                  <c:v>2.4820534478356066E-7</c:v>
                </c:pt>
                <c:pt idx="405">
                  <c:v>2.3370287469349076E-7</c:v>
                </c:pt>
                <c:pt idx="406">
                  <c:v>2.2004777410264246E-7</c:v>
                </c:pt>
                <c:pt idx="407">
                  <c:v>2.0719053178542786E-7</c:v>
                </c:pt>
                <c:pt idx="408">
                  <c:v>1.9508452942361779E-7</c:v>
                </c:pt>
                <c:pt idx="409">
                  <c:v>1.8368587257572235E-7</c:v>
                </c:pt>
                <c:pt idx="410">
                  <c:v>1.7295323152272337E-7</c:v>
                </c:pt>
                <c:pt idx="411">
                  <c:v>1.6284769141307557E-7</c:v>
                </c:pt>
                <c:pt idx="412">
                  <c:v>1.5333261116363735E-7</c:v>
                </c:pt>
                <c:pt idx="413">
                  <c:v>1.4437349060492385E-7</c:v>
                </c:pt>
                <c:pt idx="414">
                  <c:v>1.3593784538897288E-7</c:v>
                </c:pt>
                <c:pt idx="415">
                  <c:v>1.2799508920625954E-7</c:v>
                </c:pt>
                <c:pt idx="416">
                  <c:v>1.2051642288459638E-7</c:v>
                </c:pt>
                <c:pt idx="417">
                  <c:v>1.1347472996791011E-7</c:v>
                </c:pt>
                <c:pt idx="418">
                  <c:v>1.0684447839627926E-7</c:v>
                </c:pt>
                <c:pt idx="419">
                  <c:v>1.0060162793074091E-7</c:v>
                </c:pt>
                <c:pt idx="420">
                  <c:v>9.4723542987202872E-8</c:v>
                </c:pt>
                <c:pt idx="421">
                  <c:v>8.9188910563411704E-8</c:v>
                </c:pt>
                <c:pt idx="422">
                  <c:v>8.3977662961392021E-8</c:v>
                </c:pt>
                <c:pt idx="423">
                  <c:v>7.9070905025161544E-8</c:v>
                </c:pt>
                <c:pt idx="424">
                  <c:v>7.4450845629896994E-8</c:v>
                </c:pt>
                <c:pt idx="425">
                  <c:v>7.0100733174141753E-8</c:v>
                </c:pt>
                <c:pt idx="426">
                  <c:v>6.6004794841159907E-8</c:v>
                </c:pt>
                <c:pt idx="427">
                  <c:v>6.2148179409208415E-8</c:v>
                </c:pt>
                <c:pt idx="428">
                  <c:v>5.8516903403366168E-8</c:v>
                </c:pt>
                <c:pt idx="429">
                  <c:v>5.5097800393675321E-8</c:v>
                </c:pt>
                <c:pt idx="430">
                  <c:v>5.1878473255757686E-8</c:v>
                </c:pt>
                <c:pt idx="431">
                  <c:v>4.8847249220811342E-8</c:v>
                </c:pt>
                <c:pt idx="432">
                  <c:v>4.5993137552004411E-8</c:v>
                </c:pt>
                <c:pt idx="433">
                  <c:v>4.3305789693810365E-8</c:v>
                </c:pt>
                <c:pt idx="434">
                  <c:v>4.0775461749788838E-8</c:v>
                </c:pt>
                <c:pt idx="435">
                  <c:v>3.8392979152765133E-8</c:v>
                </c:pt>
                <c:pt idx="436">
                  <c:v>3.6149703399307092E-8</c:v>
                </c:pt>
                <c:pt idx="437">
                  <c:v>3.4037500727883903E-8</c:v>
                </c:pt>
                <c:pt idx="438">
                  <c:v>3.2048712627138852E-8</c:v>
                </c:pt>
                <c:pt idx="439">
                  <c:v>3.0176128067343698E-8</c:v>
                </c:pt>
                <c:pt idx="440">
                  <c:v>2.8412957354350427E-8</c:v>
                </c:pt>
                <c:pt idx="441">
                  <c:v>2.6752807511238788E-8</c:v>
                </c:pt>
                <c:pt idx="442">
                  <c:v>2.5189659098397538E-8</c:v>
                </c:pt>
                <c:pt idx="443">
                  <c:v>2.3717844387992627E-8</c:v>
                </c:pt>
                <c:pt idx="444">
                  <c:v>2.2332026813686394E-8</c:v>
                </c:pt>
                <c:pt idx="445">
                  <c:v>2.1027181621095778E-8</c:v>
                </c:pt>
                <c:pt idx="446">
                  <c:v>1.9798577648831087E-8</c:v>
                </c:pt>
                <c:pt idx="447">
                  <c:v>1.8641760174056399E-8</c:v>
                </c:pt>
                <c:pt idx="448">
                  <c:v>1.7552534760372175E-8</c:v>
                </c:pt>
                <c:pt idx="449">
                  <c:v>1.6526952049455184E-8</c:v>
                </c:pt>
                <c:pt idx="450">
                  <c:v>1.55612934413126E-8</c:v>
                </c:pt>
                <c:pt idx="451">
                  <c:v>1.4652057611229122E-8</c:v>
                </c:pt>
                <c:pt idx="452">
                  <c:v>1.3795947814519758E-8</c:v>
                </c:pt>
                <c:pt idx="453">
                  <c:v>1.2989859933057305E-8</c:v>
                </c:pt>
                <c:pt idx="454">
                  <c:v>1.223087122023315E-8</c:v>
                </c:pt>
                <c:pt idx="455">
                  <c:v>1.1516229703542183E-8</c:v>
                </c:pt>
                <c:pt idx="456">
                  <c:v>1.0843344206367923E-8</c:v>
                </c:pt>
                <c:pt idx="457">
                  <c:v>1.0209774952787533E-8</c:v>
                </c:pt>
                <c:pt idx="458">
                  <c:v>9.6132247213319493E-9</c:v>
                </c:pt>
                <c:pt idx="459">
                  <c:v>9.0515305156257427E-9</c:v>
                </c:pt>
                <c:pt idx="460">
                  <c:v>8.5226557217058668E-9</c:v>
                </c:pt>
                <c:pt idx="461">
                  <c:v>8.0246827235829479E-9</c:v>
                </c:pt>
                <c:pt idx="462">
                  <c:v>7.5558059502703261E-9</c:v>
                </c:pt>
                <c:pt idx="463">
                  <c:v>7.1143253290704821E-9</c:v>
                </c:pt>
                <c:pt idx="464">
                  <c:v>6.6986401213814943E-9</c:v>
                </c:pt>
                <c:pt idx="465">
                  <c:v>6.3072431186731469E-9</c:v>
                </c:pt>
                <c:pt idx="466">
                  <c:v>5.938715177588235E-9</c:v>
                </c:pt>
                <c:pt idx="467">
                  <c:v>5.5917200743541724E-9</c:v>
                </c:pt>
                <c:pt idx="468">
                  <c:v>5.2649996598478683E-9</c:v>
                </c:pt>
                <c:pt idx="469">
                  <c:v>4.9573692977468622E-9</c:v>
                </c:pt>
                <c:pt idx="470">
                  <c:v>4.6677135692261984E-9</c:v>
                </c:pt>
                <c:pt idx="471">
                  <c:v>4.3949822286269607E-9</c:v>
                </c:pt>
                <c:pt idx="472">
                  <c:v>4.1381863954323453E-9</c:v>
                </c:pt>
                <c:pt idx="473">
                  <c:v>3.896394968743992E-9</c:v>
                </c:pt>
                <c:pt idx="474">
                  <c:v>3.6687312512580371E-9</c:v>
                </c:pt>
                <c:pt idx="475">
                  <c:v>3.4543697704999545E-9</c:v>
                </c:pt>
                <c:pt idx="476">
                  <c:v>3.2525332857924934E-9</c:v>
                </c:pt>
                <c:pt idx="477">
                  <c:v>3.0624899701044476E-9</c:v>
                </c:pt>
                <c:pt idx="478">
                  <c:v>2.8835507565621051E-9</c:v>
                </c:pt>
                <c:pt idx="479">
                  <c:v>2.7150668400021819E-9</c:v>
                </c:pt>
                <c:pt idx="480">
                  <c:v>2.5564273245074288E-9</c:v>
                </c:pt>
                <c:pt idx="481">
                  <c:v>2.4070570083950337E-9</c:v>
                </c:pt>
                <c:pt idx="482">
                  <c:v>2.2664142986267056E-9</c:v>
                </c:pt>
                <c:pt idx="483">
                  <c:v>2.133989247078349E-9</c:v>
                </c:pt>
                <c:pt idx="484">
                  <c:v>2.0093017015491751E-9</c:v>
                </c:pt>
                <c:pt idx="485">
                  <c:v>1.8918995648060928E-9</c:v>
                </c:pt>
                <c:pt idx="486">
                  <c:v>1.7813571553509605E-9</c:v>
                </c:pt>
                <c:pt idx="487">
                  <c:v>1.677273663967094E-9</c:v>
                </c:pt>
                <c:pt idx="488">
                  <c:v>1.5792717004487167E-9</c:v>
                </c:pt>
                <c:pt idx="489">
                  <c:v>1.4869959252440229E-9</c:v>
                </c:pt>
                <c:pt idx="490">
                  <c:v>1.4001117610504098E-9</c:v>
                </c:pt>
                <c:pt idx="491">
                  <c:v>1.3183041796903264E-9</c:v>
                </c:pt>
                <c:pt idx="492">
                  <c:v>1.2412765598691461E-9</c:v>
                </c:pt>
                <c:pt idx="493">
                  <c:v>1.16874961167347E-9</c:v>
                </c:pt>
                <c:pt idx="494">
                  <c:v>1.100460363910269E-9</c:v>
                </c:pt>
                <c:pt idx="495">
                  <c:v>1.0361612106151094E-9</c:v>
                </c:pt>
                <c:pt idx="496">
                  <c:v>9.7561901327226025E-10</c:v>
                </c:pt>
                <c:pt idx="497">
                  <c:v>9.186142554914697E-10</c:v>
                </c:pt>
                <c:pt idx="498">
                  <c:v>8.6494024707640487E-10</c:v>
                </c:pt>
                <c:pt idx="499">
                  <c:v>8.1440237459883346E-10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211-491C-9CE7-BCD1A6474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12928"/>
        <c:axId val="191213504"/>
      </c:scatterChart>
      <c:valAx>
        <c:axId val="191212928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1213504"/>
        <c:crosses val="autoZero"/>
        <c:crossBetween val="midCat"/>
      </c:valAx>
      <c:valAx>
        <c:axId val="1912135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LM-OSL</a:t>
                </a:r>
                <a:r>
                  <a:rPr lang="en-US" baseline="0"/>
                  <a:t> Intensity (a.u.)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1212928"/>
        <c:crossesAt val="0.1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ln w="19050">
      <a:solidFill>
        <a:schemeClr val="tx1"/>
      </a:solidFill>
    </a:ln>
  </c:sp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'LM-OSL'!$AB$31</c:f>
              <c:strCache>
                <c:ptCount val="1"/>
                <c:pt idx="0">
                  <c:v>(EXPER.-THER.)</c:v>
                </c:pt>
              </c:strCache>
            </c:strRef>
          </c:tx>
          <c:spPr>
            <a:ln w="28575">
              <a:noFill/>
            </a:ln>
          </c:spPr>
          <c:xVal>
            <c:numRef>
              <c:f>'LM-OSL'!$C$32:$C$1031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</c:numCache>
            </c:numRef>
          </c:xVal>
          <c:yVal>
            <c:numRef>
              <c:f>'LM-OSL'!$AB$32:$AB$1031</c:f>
              <c:numCache>
                <c:formatCode>General</c:formatCode>
                <c:ptCount val="1000"/>
                <c:pt idx="0">
                  <c:v>0</c:v>
                </c:pt>
                <c:pt idx="1">
                  <c:v>23.902146366606758</c:v>
                </c:pt>
                <c:pt idx="2">
                  <c:v>286.5383495085407</c:v>
                </c:pt>
                <c:pt idx="3">
                  <c:v>0.63378410998120671</c:v>
                </c:pt>
                <c:pt idx="4">
                  <c:v>-322.16858914599288</c:v>
                </c:pt>
                <c:pt idx="5">
                  <c:v>-360.638493944527</c:v>
                </c:pt>
                <c:pt idx="6">
                  <c:v>5.0239717450458556</c:v>
                </c:pt>
                <c:pt idx="7">
                  <c:v>371.66627986404637</c:v>
                </c:pt>
                <c:pt idx="8">
                  <c:v>329.73125356910896</c:v>
                </c:pt>
                <c:pt idx="9">
                  <c:v>-55.475159734909539</c:v>
                </c:pt>
                <c:pt idx="10">
                  <c:v>202.9433597387906</c:v>
                </c:pt>
                <c:pt idx="11">
                  <c:v>87.217927289901127</c:v>
                </c:pt>
                <c:pt idx="12">
                  <c:v>-109.85506678605452</c:v>
                </c:pt>
                <c:pt idx="13">
                  <c:v>0.31083257559657795</c:v>
                </c:pt>
                <c:pt idx="14">
                  <c:v>-142.88236877252348</c:v>
                </c:pt>
                <c:pt idx="15">
                  <c:v>-560.6068681633551</c:v>
                </c:pt>
                <c:pt idx="16">
                  <c:v>-142.41686141669197</c:v>
                </c:pt>
                <c:pt idx="17">
                  <c:v>-31.999695908729336</c:v>
                </c:pt>
                <c:pt idx="18">
                  <c:v>-321.63428273083264</c:v>
                </c:pt>
                <c:pt idx="19">
                  <c:v>1.1639299039452453</c:v>
                </c:pt>
                <c:pt idx="20">
                  <c:v>198.35237041905202</c:v>
                </c:pt>
                <c:pt idx="21">
                  <c:v>160.86548868113459</c:v>
                </c:pt>
                <c:pt idx="22">
                  <c:v>48.217887049577257</c:v>
                </c:pt>
                <c:pt idx="23">
                  <c:v>137.38386356653064</c:v>
                </c:pt>
                <c:pt idx="24">
                  <c:v>-68.968085056410928</c:v>
                </c:pt>
                <c:pt idx="25">
                  <c:v>219.1253223698186</c:v>
                </c:pt>
                <c:pt idx="26">
                  <c:v>184.85988432237355</c:v>
                </c:pt>
                <c:pt idx="27">
                  <c:v>175.89035079973655</c:v>
                </c:pt>
                <c:pt idx="28">
                  <c:v>-54.208667585991861</c:v>
                </c:pt>
                <c:pt idx="29">
                  <c:v>-0.29918564809668169</c:v>
                </c:pt>
                <c:pt idx="30">
                  <c:v>19.100859871887224</c:v>
                </c:pt>
                <c:pt idx="31">
                  <c:v>6.6980104676258634</c:v>
                </c:pt>
                <c:pt idx="32">
                  <c:v>-9.6262589774341905</c:v>
                </c:pt>
                <c:pt idx="33">
                  <c:v>0.18232692788842542</c:v>
                </c:pt>
                <c:pt idx="34">
                  <c:v>-56.620675333686449</c:v>
                </c:pt>
                <c:pt idx="35">
                  <c:v>69.468531879720103</c:v>
                </c:pt>
                <c:pt idx="36">
                  <c:v>-199.74110912653123</c:v>
                </c:pt>
                <c:pt idx="37">
                  <c:v>-63.074500267583062</c:v>
                </c:pt>
                <c:pt idx="38">
                  <c:v>-54.929125220736751</c:v>
                </c:pt>
                <c:pt idx="39">
                  <c:v>-176.2159714083673</c:v>
                </c:pt>
                <c:pt idx="40">
                  <c:v>-187.30407412320983</c:v>
                </c:pt>
                <c:pt idx="41">
                  <c:v>-78.969434746820298</c:v>
                </c:pt>
                <c:pt idx="42">
                  <c:v>14.651394064387205</c:v>
                </c:pt>
                <c:pt idx="43">
                  <c:v>-54.896939281306913</c:v>
                </c:pt>
                <c:pt idx="44">
                  <c:v>-109.35130701356138</c:v>
                </c:pt>
                <c:pt idx="45">
                  <c:v>36.302996474271822</c:v>
                </c:pt>
                <c:pt idx="46">
                  <c:v>-243.13847947367776</c:v>
                </c:pt>
                <c:pt idx="47">
                  <c:v>-34.073542889947021</c:v>
                </c:pt>
                <c:pt idx="48">
                  <c:v>-85.070665541442395</c:v>
                </c:pt>
                <c:pt idx="49">
                  <c:v>68.150950080237635</c:v>
                </c:pt>
                <c:pt idx="50">
                  <c:v>-150.26113686876852</c:v>
                </c:pt>
                <c:pt idx="51">
                  <c:v>48.722738016082985</c:v>
                </c:pt>
                <c:pt idx="52">
                  <c:v>14.027801993279354</c:v>
                </c:pt>
                <c:pt idx="53">
                  <c:v>-60.513348888382097</c:v>
                </c:pt>
                <c:pt idx="54">
                  <c:v>-6.1503880647396727</c:v>
                </c:pt>
                <c:pt idx="55">
                  <c:v>-166.20615826482754</c:v>
                </c:pt>
                <c:pt idx="56">
                  <c:v>38.931327349878302</c:v>
                </c:pt>
                <c:pt idx="57">
                  <c:v>21.815922782034249</c:v>
                </c:pt>
                <c:pt idx="58">
                  <c:v>49.949547719223119</c:v>
                </c:pt>
                <c:pt idx="59">
                  <c:v>98.78765340276459</c:v>
                </c:pt>
                <c:pt idx="60">
                  <c:v>-11.255951560867288</c:v>
                </c:pt>
                <c:pt idx="61">
                  <c:v>-38.804834935079271</c:v>
                </c:pt>
                <c:pt idx="62">
                  <c:v>-0.51616415110856906</c:v>
                </c:pt>
                <c:pt idx="63">
                  <c:v>87.922641663034483</c:v>
                </c:pt>
                <c:pt idx="64">
                  <c:v>81.796883811608495</c:v>
                </c:pt>
                <c:pt idx="65">
                  <c:v>26.367226320454392</c:v>
                </c:pt>
                <c:pt idx="66">
                  <c:v>64.872048422163971</c:v>
                </c:pt>
                <c:pt idx="67">
                  <c:v>35.529542104708526</c:v>
                </c:pt>
                <c:pt idx="68">
                  <c:v>212.53958511547171</c:v>
                </c:pt>
                <c:pt idx="69">
                  <c:v>14.085415935704077</c:v>
                </c:pt>
                <c:pt idx="70">
                  <c:v>117.33513388118718</c:v>
                </c:pt>
                <c:pt idx="71">
                  <c:v>89.443044572660256</c:v>
                </c:pt>
                <c:pt idx="72">
                  <c:v>-102.4491315067271</c:v>
                </c:pt>
                <c:pt idx="73">
                  <c:v>92.788828157190437</c:v>
                </c:pt>
                <c:pt idx="74">
                  <c:v>174.27662750803756</c:v>
                </c:pt>
                <c:pt idx="75">
                  <c:v>217.12433550871901</c:v>
                </c:pt>
                <c:pt idx="76">
                  <c:v>-112.56681555827436</c:v>
                </c:pt>
                <c:pt idx="77">
                  <c:v>108.29629218203263</c:v>
                </c:pt>
                <c:pt idx="78">
                  <c:v>137.79931660821785</c:v>
                </c:pt>
                <c:pt idx="79">
                  <c:v>83.021049359821518</c:v>
                </c:pt>
                <c:pt idx="80">
                  <c:v>85.033955311818318</c:v>
                </c:pt>
                <c:pt idx="81">
                  <c:v>-14.095336595860317</c:v>
                </c:pt>
                <c:pt idx="82">
                  <c:v>-122.3055861779676</c:v>
                </c:pt>
                <c:pt idx="83">
                  <c:v>-59.540534040499551</c:v>
                </c:pt>
                <c:pt idx="84">
                  <c:v>-60.74852889702197</c:v>
                </c:pt>
                <c:pt idx="85">
                  <c:v>-27.882186662915046</c:v>
                </c:pt>
                <c:pt idx="86">
                  <c:v>28.101921790754204</c:v>
                </c:pt>
                <c:pt idx="87">
                  <c:v>20.243557004029753</c:v>
                </c:pt>
                <c:pt idx="88">
                  <c:v>23.579073897309172</c:v>
                </c:pt>
                <c:pt idx="89">
                  <c:v>-93.85833643895603</c:v>
                </c:pt>
                <c:pt idx="90">
                  <c:v>-117.03842414952942</c:v>
                </c:pt>
                <c:pt idx="91">
                  <c:v>-59.933675436910562</c:v>
                </c:pt>
                <c:pt idx="92">
                  <c:v>-20.519123206842778</c:v>
                </c:pt>
                <c:pt idx="93">
                  <c:v>150.22782789451321</c:v>
                </c:pt>
                <c:pt idx="94">
                  <c:v>95.327563338157233</c:v>
                </c:pt>
                <c:pt idx="95">
                  <c:v>-51.201591377946897</c:v>
                </c:pt>
                <c:pt idx="96">
                  <c:v>-11.343231724339603</c:v>
                </c:pt>
                <c:pt idx="97">
                  <c:v>-3.082745100817192</c:v>
                </c:pt>
                <c:pt idx="98">
                  <c:v>-45.407190914140301</c:v>
                </c:pt>
                <c:pt idx="99">
                  <c:v>11.694810993815736</c:v>
                </c:pt>
                <c:pt idx="100">
                  <c:v>112.23318426054811</c:v>
                </c:pt>
                <c:pt idx="101">
                  <c:v>-187.78350711244639</c:v>
                </c:pt>
                <c:pt idx="102">
                  <c:v>23.652031663555135</c:v>
                </c:pt>
                <c:pt idx="103">
                  <c:v>97.545910641974842</c:v>
                </c:pt>
                <c:pt idx="104">
                  <c:v>-126.09686585936379</c:v>
                </c:pt>
                <c:pt idx="105">
                  <c:v>-43.272325311004352</c:v>
                </c:pt>
                <c:pt idx="106">
                  <c:v>38.022542309567143</c:v>
                </c:pt>
                <c:pt idx="107">
                  <c:v>-45.210150514413726</c:v>
                </c:pt>
                <c:pt idx="108">
                  <c:v>-65.969127864495022</c:v>
                </c:pt>
                <c:pt idx="109">
                  <c:v>-73.253893113233971</c:v>
                </c:pt>
                <c:pt idx="110">
                  <c:v>75.935324915569254</c:v>
                </c:pt>
                <c:pt idx="111">
                  <c:v>4.5976225964295736</c:v>
                </c:pt>
                <c:pt idx="112">
                  <c:v>-79.26853081579884</c:v>
                </c:pt>
                <c:pt idx="113">
                  <c:v>-3.6652482675553983</c:v>
                </c:pt>
                <c:pt idx="114">
                  <c:v>-133.59518256526007</c:v>
                </c:pt>
                <c:pt idx="115">
                  <c:v>-136.06151686509475</c:v>
                </c:pt>
                <c:pt idx="116">
                  <c:v>-3.0678035626169731</c:v>
                </c:pt>
                <c:pt idx="117">
                  <c:v>31.381883456000651</c:v>
                </c:pt>
                <c:pt idx="118">
                  <c:v>-75.716890475858236</c:v>
                </c:pt>
                <c:pt idx="119">
                  <c:v>-81.368921315705848</c:v>
                </c:pt>
                <c:pt idx="120">
                  <c:v>-36.579336292515109</c:v>
                </c:pt>
                <c:pt idx="121">
                  <c:v>146.64643447746403</c:v>
                </c:pt>
                <c:pt idx="122">
                  <c:v>-23.697315164998145</c:v>
                </c:pt>
                <c:pt idx="123">
                  <c:v>67.383457970369818</c:v>
                </c:pt>
                <c:pt idx="124">
                  <c:v>18.882570445458441</c:v>
                </c:pt>
                <c:pt idx="125">
                  <c:v>-77.206365079110583</c:v>
                </c:pt>
                <c:pt idx="126">
                  <c:v>-108.88991834200533</c:v>
                </c:pt>
                <c:pt idx="127">
                  <c:v>74.825178860484812</c:v>
                </c:pt>
                <c:pt idx="128">
                  <c:v>-114.06794808401355</c:v>
                </c:pt>
                <c:pt idx="129">
                  <c:v>-58.576298406481328</c:v>
                </c:pt>
                <c:pt idx="130">
                  <c:v>-59.706978750961753</c:v>
                </c:pt>
                <c:pt idx="131">
                  <c:v>-89.467186912253965</c:v>
                </c:pt>
                <c:pt idx="132">
                  <c:v>194.1358035286421</c:v>
                </c:pt>
                <c:pt idx="133">
                  <c:v>-107.90534228616798</c:v>
                </c:pt>
                <c:pt idx="134">
                  <c:v>-70.598006797535163</c:v>
                </c:pt>
                <c:pt idx="135">
                  <c:v>29.05039288673197</c:v>
                </c:pt>
                <c:pt idx="136">
                  <c:v>23.032417165059087</c:v>
                </c:pt>
                <c:pt idx="137">
                  <c:v>79.340615405614699</c:v>
                </c:pt>
                <c:pt idx="138">
                  <c:v>-116.0324632686179</c:v>
                </c:pt>
                <c:pt idx="139">
                  <c:v>81.905740156298634</c:v>
                </c:pt>
                <c:pt idx="140">
                  <c:v>20.1478041003611</c:v>
                </c:pt>
                <c:pt idx="141">
                  <c:v>39.686335310195318</c:v>
                </c:pt>
                <c:pt idx="142">
                  <c:v>-20.486022789756134</c:v>
                </c:pt>
                <c:pt idx="143">
                  <c:v>-99.37658229155204</c:v>
                </c:pt>
                <c:pt idx="144">
                  <c:v>-15.992603520749981</c:v>
                </c:pt>
                <c:pt idx="145">
                  <c:v>51.658711745646542</c:v>
                </c:pt>
                <c:pt idx="146">
                  <c:v>20.570226581109637</c:v>
                </c:pt>
                <c:pt idx="147">
                  <c:v>65.734874751242387</c:v>
                </c:pt>
                <c:pt idx="148">
                  <c:v>2.1456661143301972</c:v>
                </c:pt>
                <c:pt idx="149">
                  <c:v>-10.204308400951959</c:v>
                </c:pt>
                <c:pt idx="150">
                  <c:v>-38.321872222975799</c:v>
                </c:pt>
                <c:pt idx="151">
                  <c:v>-99.213758952811986</c:v>
                </c:pt>
                <c:pt idx="152">
                  <c:v>33.113391448325274</c:v>
                </c:pt>
                <c:pt idx="153">
                  <c:v>9.6530361155746505</c:v>
                </c:pt>
                <c:pt idx="154">
                  <c:v>-18.601267603783526</c:v>
                </c:pt>
                <c:pt idx="155">
                  <c:v>64.344140639446778</c:v>
                </c:pt>
                <c:pt idx="156">
                  <c:v>-180.51697332552158</c:v>
                </c:pt>
                <c:pt idx="157">
                  <c:v>-3.1907360091972805</c:v>
                </c:pt>
                <c:pt idx="158">
                  <c:v>-72.68316436594796</c:v>
                </c:pt>
                <c:pt idx="159">
                  <c:v>77.999835830454685</c:v>
                </c:pt>
                <c:pt idx="160">
                  <c:v>-4.1475286474333188</c:v>
                </c:pt>
                <c:pt idx="161">
                  <c:v>-43.130937361460383</c:v>
                </c:pt>
                <c:pt idx="162">
                  <c:v>131.04404467682252</c:v>
                </c:pt>
                <c:pt idx="163">
                  <c:v>-121.62803233208797</c:v>
                </c:pt>
                <c:pt idx="164">
                  <c:v>-3.1525025256123627</c:v>
                </c:pt>
                <c:pt idx="165">
                  <c:v>-11.534584129826726</c:v>
                </c:pt>
                <c:pt idx="166">
                  <c:v>-16.779379400350081</c:v>
                </c:pt>
                <c:pt idx="167">
                  <c:v>-38.891874743066182</c:v>
                </c:pt>
                <c:pt idx="168">
                  <c:v>31.123058995363863</c:v>
                </c:pt>
                <c:pt idx="169">
                  <c:v>27.260666076937923</c:v>
                </c:pt>
                <c:pt idx="170">
                  <c:v>66.51630527114412</c:v>
                </c:pt>
                <c:pt idx="171">
                  <c:v>162.88544911238387</c:v>
                </c:pt>
                <c:pt idx="172">
                  <c:v>156.36368302487517</c:v>
                </c:pt>
                <c:pt idx="173">
                  <c:v>-46.053295676300877</c:v>
                </c:pt>
                <c:pt idx="174">
                  <c:v>-10.36967889967309</c:v>
                </c:pt>
                <c:pt idx="175">
                  <c:v>83.410451000770081</c:v>
                </c:pt>
                <c:pt idx="176">
                  <c:v>-86.716880095827946</c:v>
                </c:pt>
                <c:pt idx="177">
                  <c:v>10.244460509453347</c:v>
                </c:pt>
                <c:pt idx="178">
                  <c:v>-46.709289162657115</c:v>
                </c:pt>
                <c:pt idx="179">
                  <c:v>-30.581787345125122</c:v>
                </c:pt>
                <c:pt idx="180">
                  <c:v>83.623409829177945</c:v>
                </c:pt>
                <c:pt idx="181">
                  <c:v>187.90284661720671</c:v>
                </c:pt>
                <c:pt idx="182">
                  <c:v>103.25316589765771</c:v>
                </c:pt>
                <c:pt idx="183">
                  <c:v>-85.328892648708461</c:v>
                </c:pt>
                <c:pt idx="184">
                  <c:v>-64.846494404559053</c:v>
                </c:pt>
                <c:pt idx="185">
                  <c:v>22.697288278393899</c:v>
                </c:pt>
                <c:pt idx="186">
                  <c:v>88.299474139024824</c:v>
                </c:pt>
                <c:pt idx="187">
                  <c:v>113.95717103685911</c:v>
                </c:pt>
                <c:pt idx="188">
                  <c:v>-101.3324260424979</c:v>
                </c:pt>
                <c:pt idx="189">
                  <c:v>45.42796299820202</c:v>
                </c:pt>
                <c:pt idx="190">
                  <c:v>-64.764298662028523</c:v>
                </c:pt>
                <c:pt idx="191">
                  <c:v>48.088233196653164</c:v>
                </c:pt>
                <c:pt idx="192">
                  <c:v>93.983081786923321</c:v>
                </c:pt>
                <c:pt idx="193">
                  <c:v>-133.08215273683072</c:v>
                </c:pt>
                <c:pt idx="194">
                  <c:v>61.890204670867206</c:v>
                </c:pt>
                <c:pt idx="195">
                  <c:v>72.897901899926183</c:v>
                </c:pt>
                <c:pt idx="196">
                  <c:v>-8.0612423546699574</c:v>
                </c:pt>
                <c:pt idx="197">
                  <c:v>147.01065937806379</c:v>
                </c:pt>
                <c:pt idx="198">
                  <c:v>-42.888438670700452</c:v>
                </c:pt>
                <c:pt idx="199">
                  <c:v>26.239482490525916</c:v>
                </c:pt>
                <c:pt idx="200">
                  <c:v>16.392504632140117</c:v>
                </c:pt>
                <c:pt idx="201">
                  <c:v>0.56877034290391748</c:v>
                </c:pt>
                <c:pt idx="202">
                  <c:v>66.766481092433423</c:v>
                </c:pt>
                <c:pt idx="203">
                  <c:v>-34.016104681242723</c:v>
                </c:pt>
                <c:pt idx="204">
                  <c:v>105.21932654284501</c:v>
                </c:pt>
                <c:pt idx="205">
                  <c:v>39.471141511796304</c:v>
                </c:pt>
                <c:pt idx="206">
                  <c:v>97.737758372295502</c:v>
                </c:pt>
                <c:pt idx="207">
                  <c:v>80.017644875752012</c:v>
                </c:pt>
                <c:pt idx="208">
                  <c:v>63.309316616431715</c:v>
                </c:pt>
                <c:pt idx="209">
                  <c:v>-17.388664696263731</c:v>
                </c:pt>
                <c:pt idx="210">
                  <c:v>143.92230706967621</c:v>
                </c:pt>
                <c:pt idx="211">
                  <c:v>51.240880812454634</c:v>
                </c:pt>
                <c:pt idx="212">
                  <c:v>36.565746576964557</c:v>
                </c:pt>
                <c:pt idx="213">
                  <c:v>15.895633972855649</c:v>
                </c:pt>
                <c:pt idx="214">
                  <c:v>-21.770689369180218</c:v>
                </c:pt>
                <c:pt idx="215">
                  <c:v>-33.434419302504466</c:v>
                </c:pt>
                <c:pt idx="216">
                  <c:v>38.903283369416386</c:v>
                </c:pt>
                <c:pt idx="217">
                  <c:v>-24.758708533696336</c:v>
                </c:pt>
                <c:pt idx="218">
                  <c:v>-5.4214899561411585</c:v>
                </c:pt>
                <c:pt idx="219">
                  <c:v>70.913875046217072</c:v>
                </c:pt>
                <c:pt idx="220">
                  <c:v>131.24635199807835</c:v>
                </c:pt>
                <c:pt idx="221">
                  <c:v>67.574934736478099</c:v>
                </c:pt>
                <c:pt idx="222">
                  <c:v>125.89864418211801</c:v>
                </c:pt>
                <c:pt idx="223">
                  <c:v>-139.78347284994652</c:v>
                </c:pt>
                <c:pt idx="224">
                  <c:v>18.527655199524816</c:v>
                </c:pt>
                <c:pt idx="225">
                  <c:v>82.831123522635608</c:v>
                </c:pt>
                <c:pt idx="226">
                  <c:v>-62.873950128455363</c:v>
                </c:pt>
                <c:pt idx="227">
                  <c:v>136.41157352376194</c:v>
                </c:pt>
                <c:pt idx="228">
                  <c:v>-26.313145714889288</c:v>
                </c:pt>
                <c:pt idx="229">
                  <c:v>-67.04892847010251</c:v>
                </c:pt>
                <c:pt idx="230">
                  <c:v>53.203423277735055</c:v>
                </c:pt>
                <c:pt idx="231">
                  <c:v>86.443125306472211</c:v>
                </c:pt>
                <c:pt idx="232">
                  <c:v>-51.330589699334269</c:v>
                </c:pt>
                <c:pt idx="233">
                  <c:v>-141.1184729650904</c:v>
                </c:pt>
                <c:pt idx="234">
                  <c:v>77.07873959146491</c:v>
                </c:pt>
                <c:pt idx="235">
                  <c:v>35.260326611439268</c:v>
                </c:pt>
                <c:pt idx="236">
                  <c:v>71.425580578855261</c:v>
                </c:pt>
                <c:pt idx="237">
                  <c:v>51.573807136901451</c:v>
                </c:pt>
                <c:pt idx="238">
                  <c:v>8.7043244356500509</c:v>
                </c:pt>
                <c:pt idx="239">
                  <c:v>-107.18353748955724</c:v>
                </c:pt>
                <c:pt idx="240">
                  <c:v>71.909562690280836</c:v>
                </c:pt>
                <c:pt idx="241">
                  <c:v>-9.0170229646428197</c:v>
                </c:pt>
                <c:pt idx="242">
                  <c:v>-93.963932196938003</c:v>
                </c:pt>
                <c:pt idx="243">
                  <c:v>-91.931793058408402</c:v>
                </c:pt>
                <c:pt idx="244">
                  <c:v>-131.92122438954266</c:v>
                </c:pt>
                <c:pt idx="245">
                  <c:v>-9.932836272948407</c:v>
                </c:pt>
                <c:pt idx="246">
                  <c:v>-108.96723046145053</c:v>
                </c:pt>
                <c:pt idx="247">
                  <c:v>-55.025000781692142</c:v>
                </c:pt>
                <c:pt idx="248">
                  <c:v>46.893266486007633</c:v>
                </c:pt>
                <c:pt idx="249">
                  <c:v>-24.213007749217468</c:v>
                </c:pt>
                <c:pt idx="250">
                  <c:v>62.655604276522354</c:v>
                </c:pt>
                <c:pt idx="251">
                  <c:v>-156.50146313137702</c:v>
                </c:pt>
                <c:pt idx="252">
                  <c:v>112.31523058140738</c:v>
                </c:pt>
                <c:pt idx="253">
                  <c:v>-82.894868054539984</c:v>
                </c:pt>
                <c:pt idx="254">
                  <c:v>58.867693214166138</c:v>
                </c:pt>
                <c:pt idx="255">
                  <c:v>-43.397627871320765</c:v>
                </c:pt>
                <c:pt idx="256">
                  <c:v>-6.69136829936906</c:v>
                </c:pt>
                <c:pt idx="257">
                  <c:v>44.985940011875755</c:v>
                </c:pt>
                <c:pt idx="258">
                  <c:v>19.633770030534833</c:v>
                </c:pt>
                <c:pt idx="259">
                  <c:v>10.251599442689439</c:v>
                </c:pt>
                <c:pt idx="260">
                  <c:v>-13.161089500952585</c:v>
                </c:pt>
                <c:pt idx="261">
                  <c:v>-58.604810124103096</c:v>
                </c:pt>
                <c:pt idx="262">
                  <c:v>-137.08007145026295</c:v>
                </c:pt>
                <c:pt idx="263">
                  <c:v>-85.587378315072783</c:v>
                </c:pt>
                <c:pt idx="264">
                  <c:v>-117.12723146626195</c:v>
                </c:pt>
                <c:pt idx="265">
                  <c:v>8.2998723482332935</c:v>
                </c:pt>
                <c:pt idx="266">
                  <c:v>11.693440303327407</c:v>
                </c:pt>
                <c:pt idx="267">
                  <c:v>18.052983430532549</c:v>
                </c:pt>
                <c:pt idx="268">
                  <c:v>53.378016561749064</c:v>
                </c:pt>
                <c:pt idx="269">
                  <c:v>-38.331941717378868</c:v>
                </c:pt>
                <c:pt idx="270">
                  <c:v>-169.07736910510812</c:v>
                </c:pt>
                <c:pt idx="271">
                  <c:v>-58.85873961274774</c:v>
                </c:pt>
                <c:pt idx="272">
                  <c:v>-130.67652358580199</c:v>
                </c:pt>
                <c:pt idx="273">
                  <c:v>-156.53118771761638</c:v>
                </c:pt>
                <c:pt idx="274">
                  <c:v>-65.423195055958786</c:v>
                </c:pt>
                <c:pt idx="275">
                  <c:v>-17.353005003029466</c:v>
                </c:pt>
                <c:pt idx="276">
                  <c:v>-63.321073309311032</c:v>
                </c:pt>
                <c:pt idx="277">
                  <c:v>-61.327852061685007</c:v>
                </c:pt>
                <c:pt idx="278">
                  <c:v>-11.373789666252378</c:v>
                </c:pt>
                <c:pt idx="279">
                  <c:v>9.5406691737880465</c:v>
                </c:pt>
                <c:pt idx="280">
                  <c:v>-65.584916515215355</c:v>
                </c:pt>
                <c:pt idx="281">
                  <c:v>-34.750983946546057</c:v>
                </c:pt>
                <c:pt idx="282">
                  <c:v>11.042033461526444</c:v>
                </c:pt>
                <c:pt idx="283">
                  <c:v>-33.206408343007297</c:v>
                </c:pt>
                <c:pt idx="284">
                  <c:v>-0.49650344876408781</c:v>
                </c:pt>
                <c:pt idx="285">
                  <c:v>-16.828790875539198</c:v>
                </c:pt>
                <c:pt idx="286">
                  <c:v>-53.203688448310459</c:v>
                </c:pt>
                <c:pt idx="287">
                  <c:v>-5.6216099781440789</c:v>
                </c:pt>
                <c:pt idx="288">
                  <c:v>18.917034788663841</c:v>
                </c:pt>
                <c:pt idx="289">
                  <c:v>39.411840223135187</c:v>
                </c:pt>
                <c:pt idx="290">
                  <c:v>-5.137595132388924</c:v>
                </c:pt>
                <c:pt idx="291">
                  <c:v>8.268331490970013</c:v>
                </c:pt>
                <c:pt idx="292">
                  <c:v>55.629227144811466</c:v>
                </c:pt>
                <c:pt idx="293">
                  <c:v>18.944703220418887</c:v>
                </c:pt>
                <c:pt idx="294">
                  <c:v>-39.785624493745672</c:v>
                </c:pt>
                <c:pt idx="295">
                  <c:v>21.437864245830951</c:v>
                </c:pt>
                <c:pt idx="296">
                  <c:v>-54.385205804267116</c:v>
                </c:pt>
                <c:pt idx="297">
                  <c:v>-110.25520531637267</c:v>
                </c:pt>
                <c:pt idx="298">
                  <c:v>-36.172500333887456</c:v>
                </c:pt>
                <c:pt idx="299">
                  <c:v>-67.137452213792585</c:v>
                </c:pt>
                <c:pt idx="300">
                  <c:v>19.84958243035635</c:v>
                </c:pt>
                <c:pt idx="301">
                  <c:v>17.788251784812019</c:v>
                </c:pt>
                <c:pt idx="302">
                  <c:v>-126.32179110874904</c:v>
                </c:pt>
                <c:pt idx="303">
                  <c:v>-47.480888298509853</c:v>
                </c:pt>
                <c:pt idx="304">
                  <c:v>23.310623131213106</c:v>
                </c:pt>
                <c:pt idx="305">
                  <c:v>-73.947588887429902</c:v>
                </c:pt>
                <c:pt idx="306">
                  <c:v>-61.255851354430888</c:v>
                </c:pt>
                <c:pt idx="307">
                  <c:v>-1.6144861518478137</c:v>
                </c:pt>
                <c:pt idx="308">
                  <c:v>26.976190004871569</c:v>
                </c:pt>
                <c:pt idx="309">
                  <c:v>54.515865614085214</c:v>
                </c:pt>
                <c:pt idx="310">
                  <c:v>-67.995765566398404</c:v>
                </c:pt>
                <c:pt idx="311">
                  <c:v>-137.55900447530257</c:v>
                </c:pt>
                <c:pt idx="312">
                  <c:v>0.82585329444327726</c:v>
                </c:pt>
                <c:pt idx="313">
                  <c:v>59.158517536304316</c:v>
                </c:pt>
                <c:pt idx="314">
                  <c:v>13.438703468919357</c:v>
                </c:pt>
                <c:pt idx="315">
                  <c:v>-43.333868226932282</c:v>
                </c:pt>
                <c:pt idx="316">
                  <c:v>47.840528626728883</c:v>
                </c:pt>
                <c:pt idx="317">
                  <c:v>5.9616257382404001</c:v>
                </c:pt>
                <c:pt idx="318">
                  <c:v>-23.970839622500989</c:v>
                </c:pt>
                <c:pt idx="319">
                  <c:v>64.042875405185896</c:v>
                </c:pt>
                <c:pt idx="320">
                  <c:v>-4.9974807000062356</c:v>
                </c:pt>
                <c:pt idx="321">
                  <c:v>-5.0921538161705939</c:v>
                </c:pt>
                <c:pt idx="322">
                  <c:v>-38.241384155012383</c:v>
                </c:pt>
                <c:pt idx="323">
                  <c:v>-5.4454062407162382</c:v>
                </c:pt>
                <c:pt idx="324">
                  <c:v>-48.704448890882759</c:v>
                </c:pt>
                <c:pt idx="325">
                  <c:v>-27.018735199500952</c:v>
                </c:pt>
                <c:pt idx="326">
                  <c:v>-56.388482522000686</c:v>
                </c:pt>
                <c:pt idx="327">
                  <c:v>-36.813902462341957</c:v>
                </c:pt>
                <c:pt idx="328">
                  <c:v>-101.29520086217417</c:v>
                </c:pt>
                <c:pt idx="329">
                  <c:v>29.167422207974596</c:v>
                </c:pt>
                <c:pt idx="330">
                  <c:v>-56.426227544540325</c:v>
                </c:pt>
                <c:pt idx="331">
                  <c:v>-17.076338629729889</c:v>
                </c:pt>
                <c:pt idx="332">
                  <c:v>15.216906227768504</c:v>
                </c:pt>
                <c:pt idx="333">
                  <c:v>-65.546669910569562</c:v>
                </c:pt>
                <c:pt idx="334">
                  <c:v>6.6327618016312044</c:v>
                </c:pt>
                <c:pt idx="335">
                  <c:v>4.7550359924571239</c:v>
                </c:pt>
                <c:pt idx="336">
                  <c:v>54.81999306661055</c:v>
                </c:pt>
                <c:pt idx="337">
                  <c:v>41.827479198396304</c:v>
                </c:pt>
                <c:pt idx="338">
                  <c:v>-59.222653677173184</c:v>
                </c:pt>
                <c:pt idx="339">
                  <c:v>30.669452124894178</c:v>
                </c:pt>
                <c:pt idx="340">
                  <c:v>-51.496339973004069</c:v>
                </c:pt>
                <c:pt idx="341">
                  <c:v>15.279839174588233</c:v>
                </c:pt>
                <c:pt idx="342">
                  <c:v>-78.002135579940841</c:v>
                </c:pt>
                <c:pt idx="343">
                  <c:v>-1.3423836951146768</c:v>
                </c:pt>
                <c:pt idx="344">
                  <c:v>-103.74101895991134</c:v>
                </c:pt>
                <c:pt idx="345">
                  <c:v>-74.198149514978468</c:v>
                </c:pt>
                <c:pt idx="346">
                  <c:v>35.286122124541635</c:v>
                </c:pt>
                <c:pt idx="347">
                  <c:v>-99.288300955433442</c:v>
                </c:pt>
                <c:pt idx="348">
                  <c:v>28.078489906107279</c:v>
                </c:pt>
                <c:pt idx="349">
                  <c:v>29.386408917748668</c:v>
                </c:pt>
                <c:pt idx="350">
                  <c:v>47.635375806660704</c:v>
                </c:pt>
                <c:pt idx="351">
                  <c:v>-18.174684211820932</c:v>
                </c:pt>
                <c:pt idx="352">
                  <c:v>-6.0438404660576452</c:v>
                </c:pt>
                <c:pt idx="353">
                  <c:v>14.02784313870643</c:v>
                </c:pt>
                <c:pt idx="354">
                  <c:v>77.040308085781817</c:v>
                </c:pt>
                <c:pt idx="355">
                  <c:v>-17.006498788786303</c:v>
                </c:pt>
                <c:pt idx="356">
                  <c:v>57.887374666700453</c:v>
                </c:pt>
                <c:pt idx="357">
                  <c:v>-53.278114118715166</c:v>
                </c:pt>
                <c:pt idx="358">
                  <c:v>28.496997521888716</c:v>
                </c:pt>
                <c:pt idx="359">
                  <c:v>36.212677452699609</c:v>
                </c:pt>
                <c:pt idx="360">
                  <c:v>-62.131101306527853</c:v>
                </c:pt>
                <c:pt idx="361">
                  <c:v>-66.534360623243629</c:v>
                </c:pt>
                <c:pt idx="362">
                  <c:v>-13.997117295878979</c:v>
                </c:pt>
                <c:pt idx="363">
                  <c:v>0.48061690139184066</c:v>
                </c:pt>
                <c:pt idx="364">
                  <c:v>12.898835172939471</c:v>
                </c:pt>
                <c:pt idx="365">
                  <c:v>-123.7424643449167</c:v>
                </c:pt>
                <c:pt idx="366">
                  <c:v>-69.443278631394605</c:v>
                </c:pt>
                <c:pt idx="367">
                  <c:v>-30.203599829543691</c:v>
                </c:pt>
                <c:pt idx="368">
                  <c:v>22.976584704656943</c:v>
                </c:pt>
                <c:pt idx="369">
                  <c:v>-22.902707647551324</c:v>
                </c:pt>
                <c:pt idx="370">
                  <c:v>-32.84145481825999</c:v>
                </c:pt>
                <c:pt idx="371">
                  <c:v>-49.83963010415664</c:v>
                </c:pt>
                <c:pt idx="372">
                  <c:v>-31.897202218400253</c:v>
                </c:pt>
                <c:pt idx="373">
                  <c:v>31.98586465686185</c:v>
                </c:pt>
                <c:pt idx="374">
                  <c:v>-52.19038918257138</c:v>
                </c:pt>
                <c:pt idx="375">
                  <c:v>-17.425919016581702</c:v>
                </c:pt>
                <c:pt idx="376">
                  <c:v>65.279324245148018</c:v>
                </c:pt>
                <c:pt idx="377">
                  <c:v>85.925394008535022</c:v>
                </c:pt>
                <c:pt idx="378">
                  <c:v>11.512347940053132</c:v>
                </c:pt>
                <c:pt idx="379">
                  <c:v>-18.959752088717323</c:v>
                </c:pt>
                <c:pt idx="380">
                  <c:v>-40.490840056901561</c:v>
                </c:pt>
                <c:pt idx="381">
                  <c:v>-66.080845850520745</c:v>
                </c:pt>
                <c:pt idx="382">
                  <c:v>-31.729695318955692</c:v>
                </c:pt>
                <c:pt idx="383">
                  <c:v>-7.4373103317343521</c:v>
                </c:pt>
                <c:pt idx="384">
                  <c:v>87.796391164457418</c:v>
                </c:pt>
                <c:pt idx="385">
                  <c:v>49.971495088517258</c:v>
                </c:pt>
                <c:pt idx="386">
                  <c:v>57.088091167483981</c:v>
                </c:pt>
                <c:pt idx="387">
                  <c:v>42.146272878915624</c:v>
                </c:pt>
                <c:pt idx="388">
                  <c:v>40.146137393131085</c:v>
                </c:pt>
                <c:pt idx="389">
                  <c:v>116.08778551533396</c:v>
                </c:pt>
                <c:pt idx="390">
                  <c:v>60.971321627647285</c:v>
                </c:pt>
                <c:pt idx="391">
                  <c:v>-9.2031463689140764</c:v>
                </c:pt>
                <c:pt idx="392">
                  <c:v>85.564492887474444</c:v>
                </c:pt>
                <c:pt idx="393">
                  <c:v>47.274354161376323</c:v>
                </c:pt>
                <c:pt idx="394">
                  <c:v>-141.07344443799275</c:v>
                </c:pt>
                <c:pt idx="395">
                  <c:v>104.52121848518982</c:v>
                </c:pt>
                <c:pt idx="396">
                  <c:v>7.0584675553604939</c:v>
                </c:pt>
                <c:pt idx="397">
                  <c:v>64.53843056765345</c:v>
                </c:pt>
                <c:pt idx="398">
                  <c:v>27.961238430077628</c:v>
                </c:pt>
                <c:pt idx="399">
                  <c:v>-5.6729748941884282</c:v>
                </c:pt>
                <c:pt idx="400">
                  <c:v>32.635927555635135</c:v>
                </c:pt>
                <c:pt idx="401">
                  <c:v>-4.1119143194764547</c:v>
                </c:pt>
                <c:pt idx="402">
                  <c:v>94.083642264406535</c:v>
                </c:pt>
                <c:pt idx="403">
                  <c:v>14.222742917132109</c:v>
                </c:pt>
                <c:pt idx="404">
                  <c:v>43.305536017629947</c:v>
                </c:pt>
                <c:pt idx="405">
                  <c:v>22.332172657313549</c:v>
                </c:pt>
                <c:pt idx="406">
                  <c:v>34.302806583728398</c:v>
                </c:pt>
                <c:pt idx="407">
                  <c:v>48.217594144447503</c:v>
                </c:pt>
                <c:pt idx="408">
                  <c:v>-26.923305768737919</c:v>
                </c:pt>
                <c:pt idx="409">
                  <c:v>133.88026822464462</c:v>
                </c:pt>
                <c:pt idx="410">
                  <c:v>31.628479938542114</c:v>
                </c:pt>
                <c:pt idx="411">
                  <c:v>111.32149556546074</c:v>
                </c:pt>
                <c:pt idx="412">
                  <c:v>0.95948362190983971</c:v>
                </c:pt>
                <c:pt idx="413">
                  <c:v>8.5426148941755855</c:v>
                </c:pt>
                <c:pt idx="414">
                  <c:v>90.07106238445931</c:v>
                </c:pt>
                <c:pt idx="415">
                  <c:v>-7.4549987426107691</c:v>
                </c:pt>
                <c:pt idx="416">
                  <c:v>-40.035391213097682</c:v>
                </c:pt>
                <c:pt idx="417">
                  <c:v>-11.669935696463654</c:v>
                </c:pt>
                <c:pt idx="418">
                  <c:v>50.641549142108488</c:v>
                </c:pt>
                <c:pt idx="419">
                  <c:v>20.899246589816812</c:v>
                </c:pt>
                <c:pt idx="420">
                  <c:v>91.103341834762887</c:v>
                </c:pt>
                <c:pt idx="421">
                  <c:v>-11.745978085099523</c:v>
                </c:pt>
                <c:pt idx="422">
                  <c:v>-3.6485243325664669</c:v>
                </c:pt>
                <c:pt idx="423">
                  <c:v>54.395893678652101</c:v>
                </c:pt>
                <c:pt idx="424">
                  <c:v>88.387468234234348</c:v>
                </c:pt>
                <c:pt idx="425">
                  <c:v>31.326393270003337</c:v>
                </c:pt>
                <c:pt idx="426">
                  <c:v>-14.78713567684099</c:v>
                </c:pt>
                <c:pt idx="427">
                  <c:v>18.047078483988116</c:v>
                </c:pt>
                <c:pt idx="428">
                  <c:v>3.8292343480507043</c:v>
                </c:pt>
                <c:pt idx="429">
                  <c:v>71.559531968861393</c:v>
                </c:pt>
                <c:pt idx="430">
                  <c:v>5.2381728110603945</c:v>
                </c:pt>
                <c:pt idx="431">
                  <c:v>82.865359704088405</c:v>
                </c:pt>
                <c:pt idx="432">
                  <c:v>43.441296796357165</c:v>
                </c:pt>
                <c:pt idx="433">
                  <c:v>-36.033810490062024</c:v>
                </c:pt>
                <c:pt idx="434">
                  <c:v>45.440244495750449</c:v>
                </c:pt>
                <c:pt idx="435">
                  <c:v>44.863669589278288</c:v>
                </c:pt>
                <c:pt idx="436">
                  <c:v>-43.763326233205589</c:v>
                </c:pt>
                <c:pt idx="437">
                  <c:v>79.559467102110375</c:v>
                </c:pt>
                <c:pt idx="438">
                  <c:v>39.832260723855597</c:v>
                </c:pt>
                <c:pt idx="439">
                  <c:v>-51.944733226726385</c:v>
                </c:pt>
                <c:pt idx="440">
                  <c:v>63.228698362552677</c:v>
                </c:pt>
                <c:pt idx="441">
                  <c:v>75.352769533687024</c:v>
                </c:pt>
                <c:pt idx="442">
                  <c:v>-84.57230478213387</c:v>
                </c:pt>
                <c:pt idx="443">
                  <c:v>51.453691195402826</c:v>
                </c:pt>
                <c:pt idx="444">
                  <c:v>-64.569025943812449</c:v>
                </c:pt>
                <c:pt idx="445">
                  <c:v>28.359761160687867</c:v>
                </c:pt>
                <c:pt idx="446">
                  <c:v>-52.759729398530908</c:v>
                </c:pt>
                <c:pt idx="447">
                  <c:v>73.072721165266103</c:v>
                </c:pt>
                <c:pt idx="448">
                  <c:v>-10.142667704424639</c:v>
                </c:pt>
                <c:pt idx="449">
                  <c:v>8.5943240557962781</c:v>
                </c:pt>
                <c:pt idx="450">
                  <c:v>-66.716082907108557</c:v>
                </c:pt>
                <c:pt idx="451">
                  <c:v>48.926332601600279</c:v>
                </c:pt>
                <c:pt idx="452">
                  <c:v>24.521792289161567</c:v>
                </c:pt>
                <c:pt idx="453">
                  <c:v>60.070518340596209</c:v>
                </c:pt>
                <c:pt idx="454">
                  <c:v>65.572733384489766</c:v>
                </c:pt>
                <c:pt idx="455">
                  <c:v>33.028660459332059</c:v>
                </c:pt>
                <c:pt idx="456">
                  <c:v>-25.561477019632548</c:v>
                </c:pt>
                <c:pt idx="457">
                  <c:v>41.802544706975823</c:v>
                </c:pt>
                <c:pt idx="458">
                  <c:v>-49.879050289423503</c:v>
                </c:pt>
                <c:pt idx="459">
                  <c:v>56.393962343056501</c:v>
                </c:pt>
                <c:pt idx="460">
                  <c:v>-87.378192794286406</c:v>
                </c:pt>
                <c:pt idx="461">
                  <c:v>-53.195290881278652</c:v>
                </c:pt>
                <c:pt idx="462">
                  <c:v>-37.057106908899641</c:v>
                </c:pt>
                <c:pt idx="463">
                  <c:v>-3.963415708784396</c:v>
                </c:pt>
                <c:pt idx="464">
                  <c:v>-0.91399198223643907</c:v>
                </c:pt>
                <c:pt idx="465">
                  <c:v>-0.9086103287181686</c:v>
                </c:pt>
                <c:pt idx="466">
                  <c:v>-62.947045273849199</c:v>
                </c:pt>
                <c:pt idx="467">
                  <c:v>-59.029071296900838</c:v>
                </c:pt>
                <c:pt idx="468">
                  <c:v>15.845537142205103</c:v>
                </c:pt>
                <c:pt idx="469">
                  <c:v>18.677005576390457</c:v>
                </c:pt>
                <c:pt idx="470">
                  <c:v>1.4655595054018704</c:v>
                </c:pt>
                <c:pt idx="471">
                  <c:v>-92.788575629721436</c:v>
                </c:pt>
                <c:pt idx="472">
                  <c:v>12.914825528306665</c:v>
                </c:pt>
                <c:pt idx="473">
                  <c:v>-28.424011771560799</c:v>
                </c:pt>
                <c:pt idx="474">
                  <c:v>-23.804862412795046</c:v>
                </c:pt>
                <c:pt idx="475">
                  <c:v>-17.22750143491885</c:v>
                </c:pt>
                <c:pt idx="476">
                  <c:v>-18.691704056675007</c:v>
                </c:pt>
                <c:pt idx="477">
                  <c:v>-80.197245698718689</c:v>
                </c:pt>
                <c:pt idx="478">
                  <c:v>30.25609799413678</c:v>
                </c:pt>
                <c:pt idx="479">
                  <c:v>-114.33144886886475</c:v>
                </c:pt>
                <c:pt idx="480">
                  <c:v>-26.959662445764934</c:v>
                </c:pt>
                <c:pt idx="481">
                  <c:v>1.3716808172189303</c:v>
                </c:pt>
                <c:pt idx="482">
                  <c:v>11.662804165237958</c:v>
                </c:pt>
                <c:pt idx="483">
                  <c:v>-25.086069485199459</c:v>
                </c:pt>
                <c:pt idx="484">
                  <c:v>-20.874717565820447</c:v>
                </c:pt>
                <c:pt idx="485">
                  <c:v>-35.702917875736603</c:v>
                </c:pt>
                <c:pt idx="486">
                  <c:v>4.4295513998117713</c:v>
                </c:pt>
                <c:pt idx="487">
                  <c:v>-5.4770883288510959</c:v>
                </c:pt>
                <c:pt idx="488">
                  <c:v>20.577383926252423</c:v>
                </c:pt>
                <c:pt idx="489">
                  <c:v>-82.406811286737138</c:v>
                </c:pt>
                <c:pt idx="490">
                  <c:v>-51.429453876606658</c:v>
                </c:pt>
                <c:pt idx="491">
                  <c:v>-92.490324225761469</c:v>
                </c:pt>
                <c:pt idx="492">
                  <c:v>-14.589203206520324</c:v>
                </c:pt>
                <c:pt idx="493">
                  <c:v>-29.725872197021545</c:v>
                </c:pt>
                <c:pt idx="494">
                  <c:v>-75.900113096741734</c:v>
                </c:pt>
                <c:pt idx="495">
                  <c:v>1.8882916583638689</c:v>
                </c:pt>
                <c:pt idx="496">
                  <c:v>-82.360440918899712</c:v>
                </c:pt>
                <c:pt idx="497">
                  <c:v>-66.646094381362673</c:v>
                </c:pt>
                <c:pt idx="498">
                  <c:v>-121.9684528615112</c:v>
                </c:pt>
                <c:pt idx="499">
                  <c:v>-72.327301085154431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05-4056-A2F3-63F442EAF7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15808"/>
        <c:axId val="191216384"/>
      </c:scatterChart>
      <c:valAx>
        <c:axId val="191215808"/>
        <c:scaling>
          <c:logBase val="10"/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216384"/>
        <c:crosses val="autoZero"/>
        <c:crossBetween val="midCat"/>
      </c:valAx>
      <c:valAx>
        <c:axId val="19121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215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165736</xdr:colOff>
      <xdr:row>25</xdr:row>
      <xdr:rowOff>69530</xdr:rowOff>
    </xdr:from>
    <xdr:to>
      <xdr:col>18</xdr:col>
      <xdr:colOff>161925</xdr:colOff>
      <xdr:row>57</xdr:row>
      <xdr:rowOff>43815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649604</xdr:colOff>
      <xdr:row>31</xdr:row>
      <xdr:rowOff>55245</xdr:rowOff>
    </xdr:from>
    <xdr:to>
      <xdr:col>27</xdr:col>
      <xdr:colOff>1154429</xdr:colOff>
      <xdr:row>51</xdr:row>
      <xdr:rowOff>179070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15240</xdr:colOff>
      <xdr:row>0</xdr:row>
      <xdr:rowOff>205740</xdr:rowOff>
    </xdr:from>
    <xdr:to>
      <xdr:col>8</xdr:col>
      <xdr:colOff>350520</xdr:colOff>
      <xdr:row>14</xdr:row>
      <xdr:rowOff>53340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1 - TextBox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891540" y="205740"/>
              <a:ext cx="4168140" cy="2423160"/>
            </a:xfrm>
            <a:prstGeom prst="rect">
              <a:avLst/>
            </a:prstGeom>
            <a:ln/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en-US" sz="1100" b="1" u="sng"/>
                <a:t>CW - OSL fitting</a:t>
              </a:r>
              <a:r>
                <a:rPr lang="en-US" sz="1100" b="1" u="sng" baseline="0"/>
                <a:t> with Lambert W0 function:</a:t>
              </a:r>
            </a:p>
            <a:p>
              <a:endParaRPr lang="en-US" sz="1100" b="1" baseline="0"/>
            </a:p>
            <a:p>
              <a:r>
                <a:rPr lang="en-US" sz="1100" b="1" baseline="0"/>
                <a:t>Ri = An/Am</a:t>
              </a:r>
            </a:p>
            <a:p>
              <a:endParaRPr lang="en-US" sz="1100" b="1"/>
            </a:p>
            <a:p>
              <a:pPr algn="l"/>
              <a:r>
                <a:rPr lang="en-US" sz="1100" b="1"/>
                <a:t>C=(n0/N)*[(1-Ri)/Ri]&gt;0,</a:t>
              </a:r>
              <a:r>
                <a:rPr lang="en-US" sz="1100" b="1" baseline="0"/>
                <a:t> </a:t>
              </a:r>
              <a:r>
                <a:rPr lang="el-GR" sz="1100" b="1" baseline="0"/>
                <a:t>όπου  </a:t>
              </a:r>
              <a:r>
                <a:rPr lang="en-US" sz="1100" b="1" baseline="0"/>
                <a:t>n0=N</a:t>
              </a:r>
              <a:r>
                <a:rPr lang="el-GR" sz="1100" b="1" baseline="0"/>
                <a:t>, άρα </a:t>
              </a:r>
              <a:r>
                <a:rPr lang="en-US" sz="1100" b="1" baseline="0"/>
                <a:t>C=(1-Ri)/Ri</a:t>
              </a:r>
            </a:p>
            <a:p>
              <a:pPr algn="l"/>
              <a:endParaRPr lang="en-US" sz="1100" b="1" baseline="0"/>
            </a:p>
            <a:p>
              <a:pPr algn="l"/>
              <a:r>
                <a:rPr lang="en-US" sz="1100" b="1" baseline="0"/>
                <a:t>zi=</a:t>
              </a:r>
              <a14:m>
                <m:oMath xmlns:m="http://schemas.openxmlformats.org/officeDocument/2006/math">
                  <m:f>
                    <m:fPr>
                      <m:ctrlP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</m:t>
                      </m:r>
                    </m:num>
                    <m:den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𝒄</m:t>
                      </m:r>
                    </m:den>
                  </m:f>
                  <m:r>
                    <a:rPr lang="en-US" sz="1100" b="1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−</m:t>
                  </m:r>
                  <m:func>
                    <m:funcPr>
                      <m:ctrlP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uncPr>
                    <m:fName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𝒍𝒏</m:t>
                      </m:r>
                    </m:fName>
                    <m:e>
                      <m:d>
                        <m:dPr>
                          <m:ctrlP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𝒄</m:t>
                          </m:r>
                        </m:e>
                      </m:d>
                    </m:e>
                  </m:func>
                  <m:r>
                    <a:rPr lang="en-US" sz="1100" b="1" i="1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+</m:t>
                  </m:r>
                  <m:f>
                    <m:fPr>
                      <m:ctrlP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</m:t>
                      </m:r>
                    </m:num>
                    <m:den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(</m:t>
                      </m:r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</m:t>
                      </m:r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𝟎</m:t>
                      </m:r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.</m:t>
                      </m:r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𝟓𝟑𝟒𝟏𝟓𝟔</m:t>
                      </m:r>
                      <m:sSup>
                        <m:sSupPr>
                          <m:ctrlP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𝑹</m:t>
                          </m:r>
                        </m:e>
                        <m:sup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𝟎</m:t>
                          </m:r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.</m:t>
                          </m:r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𝟕𝟗𝟏𝟕</m:t>
                          </m:r>
                        </m:sup>
                      </m:sSup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)(</m:t>
                      </m:r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𝟏</m:t>
                      </m:r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</m:t>
                      </m:r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𝑹</m:t>
                      </m:r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)</m:t>
                      </m:r>
                    </m:den>
                  </m:f>
                  <m:f>
                    <m:fPr>
                      <m:ctrlP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sSup>
                        <m:sSupPr>
                          <m:ctrlP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𝒕</m:t>
                          </m:r>
                        </m:e>
                        <m:sup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𝟐</m:t>
                          </m:r>
                        </m:sup>
                      </m:sSup>
                    </m:num>
                    <m:den>
                      <m:sSubSup>
                        <m:sSubSupPr>
                          <m:ctrlP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SupPr>
                        <m:e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𝒕</m:t>
                          </m:r>
                        </m:e>
                        <m:sub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𝒎</m:t>
                          </m:r>
                        </m:sub>
                        <m:sup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𝟐</m:t>
                          </m:r>
                        </m:sup>
                      </m:sSubSup>
                    </m:den>
                  </m:f>
                </m:oMath>
              </a14:m>
              <a:endParaRPr lang="en-US" sz="1100" b="1" baseline="0"/>
            </a:p>
            <a:p>
              <a:pPr algn="l"/>
              <a:endParaRPr lang="en-US" sz="1100" b="1" baseline="0"/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1" baseline="0"/>
                <a:t>I=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𝑰</m:t>
                      </m:r>
                    </m:e>
                    <m:sub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𝒎</m:t>
                      </m:r>
                    </m:sub>
                  </m:sSub>
                  <m:f>
                    <m:fPr>
                      <m:ctrlP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𝒕</m:t>
                      </m:r>
                    </m:num>
                    <m:den>
                      <m:sSub>
                        <m:sSubPr>
                          <m:ctrlP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𝒕</m:t>
                          </m:r>
                        </m:e>
                        <m:sub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𝒎</m:t>
                          </m:r>
                        </m:sub>
                      </m:sSub>
                    </m:den>
                  </m:f>
                  <m:f>
                    <m:fPr>
                      <m:ctrlP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fPr>
                    <m:num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𝑾</m:t>
                      </m:r>
                      <m:d>
                        <m:dPr>
                          <m:begChr m:val="["/>
                          <m:endChr m:val="]"/>
                          <m:ctrlP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sSup>
                            <m:sSupPr>
                              <m:ctrlPr>
                                <a:rPr lang="en-US" sz="11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pPr>
                            <m:e>
                              <m:r>
                                <a:rPr lang="en-US" sz="11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𝒆</m:t>
                              </m:r>
                            </m:e>
                            <m:sup>
                              <m:sSub>
                                <m:sSubPr>
                                  <m:ctrlPr>
                                    <a:rPr lang="en-US" sz="1100" b="1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en-US" sz="1100" b="1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𝒛</m:t>
                                  </m:r>
                                </m:e>
                                <m:sub>
                                  <m:r>
                                    <a:rPr lang="en-US" sz="1100" b="1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𝒎</m:t>
                                  </m:r>
                                </m:sub>
                              </m:sSub>
                            </m:sup>
                          </m:sSup>
                        </m:e>
                      </m:d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𝑾</m:t>
                      </m:r>
                      <m:sSup>
                        <m:sSupPr>
                          <m:ctrlP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d>
                            <m:dPr>
                              <m:begChr m:val="["/>
                              <m:endChr m:val="]"/>
                              <m:ctrlPr>
                                <a:rPr lang="en-US" sz="11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sSup>
                                <m:sSupPr>
                                  <m:ctrlPr>
                                    <a:rPr lang="en-US" sz="1100" b="1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pPr>
                                <m:e>
                                  <m:r>
                                    <a:rPr lang="en-US" sz="1100" b="1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𝒆</m:t>
                                  </m:r>
                                </m:e>
                                <m:sup>
                                  <m:sSub>
                                    <m:sSubPr>
                                      <m:ctrlPr>
                                        <a:rPr lang="en-US" sz="1100" b="1" i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US" sz="1100" b="1" i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𝒛</m:t>
                                      </m:r>
                                    </m:e>
                                    <m:sub>
                                      <m:r>
                                        <a:rPr lang="en-US" sz="1100" b="1" i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Cambria Math" panose="02040503050406030204" pitchFamily="18" charset="0"/>
                                          <a:ea typeface="+mn-ea"/>
                                          <a:cs typeface="+mn-cs"/>
                                        </a:rPr>
                                        <m:t>𝒎</m:t>
                                      </m:r>
                                    </m:sub>
                                  </m:sSub>
                                </m:sup>
                              </m:sSup>
                            </m:e>
                          </m:d>
                        </m:e>
                        <m:sup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𝟐</m:t>
                          </m:r>
                        </m:sup>
                      </m:sSup>
                    </m:num>
                    <m:den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𝑾</m:t>
                      </m:r>
                      <m:d>
                        <m:dPr>
                          <m:begChr m:val="["/>
                          <m:endChr m:val="]"/>
                          <m:ctrlP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sSup>
                            <m:sSupPr>
                              <m:ctrlPr>
                                <a:rPr lang="en-US" sz="11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sSupPr>
                            <m:e>
                              <m:r>
                                <a:rPr lang="en-US" sz="11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𝒆</m:t>
                              </m:r>
                            </m:e>
                            <m:sup>
                              <m:r>
                                <a:rPr lang="en-US" sz="11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𝒛</m:t>
                              </m:r>
                            </m:sup>
                          </m:sSup>
                        </m:e>
                      </m:d>
                      <m:r>
                        <a:rPr lang="en-US" sz="1100" b="1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+</m:t>
                      </m:r>
                      <m:sSup>
                        <m:sSupPr>
                          <m:ctrlP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pPr>
                        <m:e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𝑾</m:t>
                          </m:r>
                          <m:d>
                            <m:dPr>
                              <m:begChr m:val="["/>
                              <m:endChr m:val="]"/>
                              <m:ctrlPr>
                                <a:rPr lang="en-US" sz="1100" b="1" i="1">
                                  <a:solidFill>
                                    <a:schemeClr val="dk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</m:ctrlPr>
                            </m:dPr>
                            <m:e>
                              <m:sSup>
                                <m:sSupPr>
                                  <m:ctrlPr>
                                    <a:rPr lang="en-US" sz="1100" b="1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pPr>
                                <m:e>
                                  <m:r>
                                    <a:rPr lang="en-US" sz="1100" b="1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𝒆</m:t>
                                  </m:r>
                                </m:e>
                                <m:sup>
                                  <m:r>
                                    <a:rPr lang="en-US" sz="1100" b="1" i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𝒛</m:t>
                                  </m:r>
                                </m:sup>
                              </m:sSup>
                            </m:e>
                          </m:d>
                        </m:e>
                        <m:sup>
                          <m:r>
                            <a:rPr lang="en-US" sz="1100" b="1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𝟐</m:t>
                          </m:r>
                        </m:sup>
                      </m:sSup>
                    </m:den>
                  </m:f>
                </m:oMath>
              </a14:m>
              <a:endParaRPr lang="en-US" sz="1100" b="1">
                <a:solidFill>
                  <a:schemeClr val="dk1"/>
                </a:solidFill>
                <a:effectLst/>
                <a:ea typeface="+mn-ea"/>
                <a:cs typeface="+mn-cs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US" sz="1100" b="1">
                <a:solidFill>
                  <a:schemeClr val="dk1"/>
                </a:solidFill>
                <a:effectLst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𝒕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𝒎</m:t>
                        </m:r>
                      </m:sub>
                      <m:sup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𝟐</m:t>
                        </m:r>
                      </m:sup>
                    </m:sSubSup>
                    <m:r>
                      <a:rPr lang="en-US" sz="1100" b="1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𝑳𝑴</m:t>
                        </m:r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𝑶𝑺𝑳</m:t>
                        </m:r>
                      </m:sub>
                    </m:sSub>
                    <m:f>
                      <m:fPr>
                        <m:ctrlP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𝑷</m:t>
                        </m:r>
                      </m:num>
                      <m:den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el-GR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𝝀</m:t>
                        </m:r>
                      </m:den>
                    </m:f>
                    <m:r>
                      <a:rPr lang="en-US" sz="1100" b="1" i="0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 </m:t>
                    </m:r>
                    <m:sSub>
                      <m:sSubPr>
                        <m:ctrlP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</m:t>
                        </m:r>
                      </m:e>
                      <m:sub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𝑳𝑴</m:t>
                        </m:r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𝑶𝑺𝑳</m:t>
                        </m:r>
                      </m:sub>
                    </m:sSub>
                    <m:r>
                      <a:rPr lang="en-US" sz="1100" b="1" i="1">
                        <a:solidFill>
                          <a:schemeClr val="dk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d>
                      <m:dPr>
                        <m:begChr m:val="["/>
                        <m:endChr m:val="]"/>
                        <m:ctrlP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𝑹</m:t>
                        </m:r>
                        <m:r>
                          <a:rPr lang="en-US" sz="1100" b="1" i="1">
                            <a:solidFill>
                              <a:schemeClr val="dk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  <m:f>
                          <m:fPr>
                            <m:ctrlPr>
                              <a:rPr lang="en-US" sz="1100" b="1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d>
                              <m:dPr>
                                <m:ctrlPr>
                                  <a:rPr lang="en-US" sz="1100" b="1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b="1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𝟏</m:t>
                                </m:r>
                                <m:r>
                                  <a:rPr lang="en-US" sz="1100" b="1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r>
                                  <a:rPr lang="en-US" sz="1100" b="1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𝑾</m:t>
                                </m:r>
                                <m:sSup>
                                  <m:sSupPr>
                                    <m:ctrlPr>
                                      <a:rPr lang="en-US" sz="1100" b="1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d>
                                      <m:dPr>
                                        <m:begChr m:val="["/>
                                        <m:endChr m:val="]"/>
                                        <m:ctrlPr>
                                          <a:rPr lang="en-US" sz="1100" b="1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sSup>
                                          <m:sSupPr>
                                            <m:ctrlPr>
                                              <a:rPr lang="en-US" sz="1100" b="1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pPr>
                                          <m:e>
                                            <m:r>
                                              <a:rPr lang="en-US" sz="1100" b="1" i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𝒆</m:t>
                                            </m:r>
                                          </m:e>
                                          <m:sup>
                                            <m:sSub>
                                              <m:sSubPr>
                                                <m:ctrlPr>
                                                  <a:rPr lang="en-US" sz="1100" b="1" i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US" sz="1100" b="1" i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  <m:t>𝒛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US" sz="1100" b="1" i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+mn-ea"/>
                                                    <a:cs typeface="+mn-cs"/>
                                                  </a:rPr>
                                                  <m:t>𝒎</m:t>
                                                </m:r>
                                              </m:sub>
                                            </m:sSub>
                                          </m:sup>
                                        </m:sSup>
                                      </m:e>
                                    </m:d>
                                  </m:e>
                                  <m:sup>
                                    <m:r>
                                      <a:rPr lang="en-US" sz="1100" b="1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𝟐</m:t>
                                    </m:r>
                                  </m:sup>
                                </m:sSup>
                              </m:e>
                            </m:d>
                          </m:num>
                          <m:den>
                            <m:r>
                              <a:rPr lang="en-US" sz="1100" b="1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𝟏</m:t>
                            </m:r>
                            <m:r>
                              <a:rPr lang="en-US" sz="1100" b="1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r>
                              <a:rPr lang="en-US" sz="1100" b="1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𝟐</m:t>
                            </m:r>
                            <m:r>
                              <a:rPr lang="en-US" sz="1100" b="1" i="1">
                                <a:solidFill>
                                  <a:schemeClr val="dk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𝑾</m:t>
                            </m:r>
                            <m:d>
                              <m:dPr>
                                <m:begChr m:val="["/>
                                <m:endChr m:val="]"/>
                                <m:ctrlPr>
                                  <a:rPr lang="en-US" sz="1100" b="1" i="1">
                                    <a:solidFill>
                                      <a:schemeClr val="dk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p>
                                  <m:sSupPr>
                                    <m:ctrlPr>
                                      <a:rPr lang="en-US" sz="1100" b="1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US" sz="1100" b="1" i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𝒆</m:t>
                                    </m:r>
                                  </m:e>
                                  <m:sup>
                                    <m:sSub>
                                      <m:sSubPr>
                                        <m:ctrlPr>
                                          <a:rPr lang="en-US" sz="1100" b="1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100" b="1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𝒛</m:t>
                                        </m:r>
                                      </m:e>
                                      <m:sub>
                                        <m:r>
                                          <a:rPr lang="en-US" sz="1100" b="1" i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𝒎</m:t>
                                        </m:r>
                                      </m:sub>
                                    </m:sSub>
                                  </m:sup>
                                </m:sSup>
                              </m:e>
                            </m:d>
                          </m:den>
                        </m:f>
                      </m:e>
                    </m:d>
                  </m:oMath>
                </m:oMathPara>
              </a14:m>
              <a:endParaRPr lang="en-U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l-GR" sz="1100" b="1"/>
            </a:p>
          </xdr:txBody>
        </xdr:sp>
      </mc:Choice>
      <mc:Fallback xmlns="">
        <xdr:sp macro="" textlink="">
          <xdr:nvSpPr>
            <xdr:cNvPr id="4" name="1 - TextBox">
              <a:extLst>
                <a:ext uri="{FF2B5EF4-FFF2-40B4-BE49-F238E27FC236}">
                  <a16:creationId xmlns:a16="http://schemas.microsoft.com/office/drawing/2014/main" id="{4D92B4B0-7B4E-4D83-91C9-954E31317F2B}"/>
                </a:ext>
              </a:extLst>
            </xdr:cNvPr>
            <xdr:cNvSpPr txBox="1"/>
          </xdr:nvSpPr>
          <xdr:spPr>
            <a:xfrm>
              <a:off x="891540" y="205740"/>
              <a:ext cx="4168140" cy="2423160"/>
            </a:xfrm>
            <a:prstGeom prst="rect">
              <a:avLst/>
            </a:prstGeom>
            <a:ln/>
          </xdr:spPr>
          <xdr:style>
            <a:lnRef idx="2">
              <a:schemeClr val="accent1"/>
            </a:lnRef>
            <a:fillRef idx="1">
              <a:schemeClr val="lt1"/>
            </a:fillRef>
            <a:effectRef idx="0">
              <a:schemeClr val="accent1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en-US" sz="1100" b="1" u="sng"/>
                <a:t>CW - OSL fitting</a:t>
              </a:r>
              <a:r>
                <a:rPr lang="en-US" sz="1100" b="1" u="sng" baseline="0"/>
                <a:t> with Lambert W0 function:</a:t>
              </a:r>
            </a:p>
            <a:p>
              <a:endParaRPr lang="en-US" sz="1100" b="1" baseline="0"/>
            </a:p>
            <a:p>
              <a:r>
                <a:rPr lang="en-US" sz="1100" b="1" baseline="0"/>
                <a:t>Ri = An/Am</a:t>
              </a:r>
            </a:p>
            <a:p>
              <a:endParaRPr lang="en-US" sz="1100" b="1"/>
            </a:p>
            <a:p>
              <a:pPr algn="l"/>
              <a:r>
                <a:rPr lang="en-US" sz="1100" b="1"/>
                <a:t>C=(n0/N)*[(1-Ri)/Ri]&gt;0,</a:t>
              </a:r>
              <a:r>
                <a:rPr lang="en-US" sz="1100" b="1" baseline="0"/>
                <a:t> </a:t>
              </a:r>
              <a:r>
                <a:rPr lang="el-GR" sz="1100" b="1" baseline="0"/>
                <a:t>όπου  </a:t>
              </a:r>
              <a:r>
                <a:rPr lang="en-US" sz="1100" b="1" baseline="0"/>
                <a:t>n0=N</a:t>
              </a:r>
              <a:r>
                <a:rPr lang="el-GR" sz="1100" b="1" baseline="0"/>
                <a:t>, άρα </a:t>
              </a:r>
              <a:r>
                <a:rPr lang="en-US" sz="1100" b="1" baseline="0"/>
                <a:t>C=(1-Ri)/Ri</a:t>
              </a:r>
            </a:p>
            <a:p>
              <a:pPr algn="l"/>
              <a:endParaRPr lang="en-US" sz="1100" b="1" baseline="0"/>
            </a:p>
            <a:p>
              <a:pPr algn="l"/>
              <a:r>
                <a:rPr lang="en-US" sz="1100" b="1" baseline="0"/>
                <a:t>zi=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𝟏/𝒄−𝒍𝒏⁡(𝒄)+𝟏/((𝟏+𝟎.𝟓𝟑𝟒𝟏𝟓𝟔𝑹^(𝟎.𝟕𝟗𝟏𝟕))(𝟏−𝑹))  𝒕^𝟐/(𝒕_𝒎^𝟐 )</a:t>
              </a:r>
              <a:endParaRPr lang="en-US" sz="1100" b="1" baseline="0"/>
            </a:p>
            <a:p>
              <a:pPr algn="l"/>
              <a:endParaRPr lang="en-US" sz="1100" b="1" baseline="0"/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1" baseline="0"/>
                <a:t>I=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𝑰_𝒎  𝒕/𝒕_𝒎   (𝑾[𝒆^(𝒛_𝒎 ) ]+𝑾[𝒆^(𝒛_𝒎 ) ]^𝟐)/(𝑾[𝒆^𝒛 ]+〖𝑾[𝒆^𝒛 ]〗^𝟐 )</a:t>
              </a:r>
              <a:endParaRPr lang="en-US" sz="1100" b="1">
                <a:solidFill>
                  <a:schemeClr val="dk1"/>
                </a:solidFill>
                <a:effectLst/>
                <a:ea typeface="+mn-ea"/>
                <a:cs typeface="+mn-cs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US" sz="1100" b="1">
                <a:solidFill>
                  <a:schemeClr val="dk1"/>
                </a:solidFill>
                <a:effectLst/>
                <a:ea typeface="+mn-ea"/>
                <a:cs typeface="+mn-cs"/>
              </a:endParaRPr>
            </a:p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𝒕_𝒎^𝟐=𝑭_(𝑳𝑴−𝑶𝑺𝑳)  𝑷/( </a:t>
              </a:r>
              <a:r>
                <a:rPr lang="el-GR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𝝀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     〖 𝑭〗_(𝑳𝑴−𝑶𝑺𝑳)=[(𝟏−𝑹)((𝟏+𝑾[𝒆^(𝒛_𝒎 ) ]^𝟐 ))/(𝟏+𝟐𝑾[𝒆^(𝒛_𝒎 ) ] )]</a:t>
              </a:r>
              <a:endParaRPr lang="en-US" sz="1100" b="1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endParaRPr>
            </a:p>
            <a:p>
              <a:endParaRPr lang="el-GR" sz="1100" b="1"/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5">
    <tabColor theme="9" tint="0.39997558519241921"/>
  </sheetPr>
  <dimension ref="A1:AG1506"/>
  <sheetViews>
    <sheetView tabSelected="1" topLeftCell="A14" workbookViewId="0">
      <selection activeCell="B23" sqref="B23"/>
    </sheetView>
  </sheetViews>
  <sheetFormatPr defaultColWidth="9.109375" defaultRowHeight="14.4" x14ac:dyDescent="0.3"/>
  <cols>
    <col min="1" max="1" width="3.6640625" style="3" customWidth="1"/>
    <col min="2" max="2" width="9.109375" style="3" customWidth="1"/>
    <col min="3" max="4" width="9.109375" style="3"/>
    <col min="5" max="5" width="5.6640625" style="3" customWidth="1"/>
    <col min="6" max="10" width="10.6640625" style="3" customWidth="1"/>
    <col min="11" max="11" width="7.5546875" style="3" customWidth="1"/>
    <col min="12" max="12" width="10.6640625" style="3" customWidth="1"/>
    <col min="13" max="13" width="10.5546875" style="3" customWidth="1"/>
    <col min="14" max="16" width="10.6640625" style="3" customWidth="1"/>
    <col min="17" max="17" width="11" style="3" bestFit="1" customWidth="1"/>
    <col min="18" max="23" width="10.6640625" style="3" customWidth="1"/>
    <col min="24" max="24" width="1.6640625" style="3" customWidth="1"/>
    <col min="25" max="25" width="9.6640625" style="3" customWidth="1"/>
    <col min="26" max="26" width="3.6640625" style="3" customWidth="1"/>
    <col min="27" max="27" width="18.6640625" style="3" bestFit="1" customWidth="1"/>
    <col min="28" max="28" width="17.88671875" style="3" bestFit="1" customWidth="1"/>
    <col min="29" max="33" width="9.109375" style="3"/>
    <col min="34" max="34" width="10" style="3" bestFit="1" customWidth="1"/>
    <col min="35" max="16384" width="9.109375" style="3"/>
  </cols>
  <sheetData>
    <row r="1" spans="1:33" ht="18" x14ac:dyDescent="0.35">
      <c r="A1" s="32" t="s">
        <v>35</v>
      </c>
      <c r="B1" s="32"/>
      <c r="C1" s="1" t="s">
        <v>32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2"/>
    </row>
    <row r="2" spans="1:33" ht="12" customHeight="1" x14ac:dyDescent="0.3"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</row>
    <row r="3" spans="1:33" x14ac:dyDescent="0.3">
      <c r="C3" s="5"/>
      <c r="L3" s="5"/>
    </row>
    <row r="4" spans="1:33" x14ac:dyDescent="0.3">
      <c r="C4" s="5"/>
      <c r="L4" s="5"/>
    </row>
    <row r="5" spans="1:33" x14ac:dyDescent="0.3">
      <c r="C5" s="5"/>
      <c r="L5" s="5"/>
    </row>
    <row r="6" spans="1:33" x14ac:dyDescent="0.3">
      <c r="C6" s="5"/>
      <c r="L6" s="5"/>
    </row>
    <row r="7" spans="1:33" x14ac:dyDescent="0.3">
      <c r="C7" s="5"/>
      <c r="L7" s="5"/>
    </row>
    <row r="8" spans="1:33" x14ac:dyDescent="0.3">
      <c r="C8" s="5"/>
      <c r="L8" s="5"/>
    </row>
    <row r="9" spans="1:33" x14ac:dyDescent="0.3">
      <c r="C9" s="5"/>
      <c r="L9" s="5"/>
    </row>
    <row r="10" spans="1:33" x14ac:dyDescent="0.3">
      <c r="C10" s="5"/>
      <c r="L10" s="5"/>
    </row>
    <row r="11" spans="1:33" x14ac:dyDescent="0.3">
      <c r="C11" s="5"/>
      <c r="L11" s="5"/>
    </row>
    <row r="12" spans="1:33" x14ac:dyDescent="0.3">
      <c r="C12" s="5"/>
      <c r="L12" s="5"/>
      <c r="R12" s="14"/>
      <c r="S12" s="14"/>
      <c r="T12" s="14"/>
      <c r="U12" s="14"/>
      <c r="V12" s="14"/>
      <c r="W12" s="14"/>
    </row>
    <row r="13" spans="1:33" x14ac:dyDescent="0.3">
      <c r="C13" s="5"/>
      <c r="R13" s="14"/>
      <c r="S13" s="14"/>
      <c r="T13" s="14"/>
      <c r="U13" s="14"/>
      <c r="V13" s="14"/>
      <c r="AE13" s="14"/>
      <c r="AF13" s="14"/>
      <c r="AG13" s="14"/>
    </row>
    <row r="14" spans="1:33" x14ac:dyDescent="0.3">
      <c r="C14" s="5"/>
      <c r="R14" s="14"/>
      <c r="S14" s="14"/>
      <c r="T14" s="14"/>
      <c r="U14" s="14"/>
      <c r="V14" s="14"/>
      <c r="W14" s="14"/>
      <c r="AE14" s="14"/>
      <c r="AF14" s="14"/>
      <c r="AG14" s="14"/>
    </row>
    <row r="15" spans="1:33" x14ac:dyDescent="0.3">
      <c r="C15" s="5"/>
      <c r="AE15" s="14"/>
      <c r="AF15" s="14"/>
      <c r="AG15" s="14"/>
    </row>
    <row r="16" spans="1:33" ht="15.6" x14ac:dyDescent="0.3">
      <c r="D16" s="6"/>
      <c r="E16" s="33" t="s">
        <v>18</v>
      </c>
      <c r="F16" s="33"/>
      <c r="G16" s="33"/>
      <c r="H16" s="33"/>
      <c r="I16" s="33"/>
      <c r="J16" s="33"/>
      <c r="K16" s="7"/>
      <c r="L16" s="8"/>
      <c r="M16" s="33" t="s">
        <v>18</v>
      </c>
      <c r="N16" s="33"/>
      <c r="O16" s="33"/>
      <c r="P16" s="33"/>
      <c r="Q16" s="33"/>
      <c r="R16" s="33"/>
    </row>
    <row r="17" spans="3:33" ht="12" customHeight="1" x14ac:dyDescent="0.3">
      <c r="D17" s="4"/>
      <c r="E17" s="9" t="s">
        <v>17</v>
      </c>
      <c r="F17" s="10" t="s">
        <v>12</v>
      </c>
      <c r="G17" s="10" t="s">
        <v>13</v>
      </c>
      <c r="H17" s="10" t="s">
        <v>14</v>
      </c>
      <c r="I17" s="10" t="s">
        <v>15</v>
      </c>
      <c r="J17" s="10" t="s">
        <v>16</v>
      </c>
      <c r="K17" s="11" t="s">
        <v>53</v>
      </c>
      <c r="M17" s="10"/>
      <c r="N17" s="10" t="s">
        <v>12</v>
      </c>
      <c r="O17" s="10" t="s">
        <v>13</v>
      </c>
      <c r="P17" s="10" t="s">
        <v>14</v>
      </c>
      <c r="Q17" s="10" t="s">
        <v>15</v>
      </c>
      <c r="R17" s="10" t="s">
        <v>16</v>
      </c>
      <c r="AC17" s="8"/>
      <c r="AD17" s="8"/>
      <c r="AG17" s="12"/>
    </row>
    <row r="18" spans="3:33" x14ac:dyDescent="0.3">
      <c r="E18" s="13" t="s">
        <v>40</v>
      </c>
      <c r="F18">
        <v>1418.7416009559784</v>
      </c>
      <c r="G18">
        <v>8938.4153582328527</v>
      </c>
      <c r="H18">
        <v>1729.7647875752825</v>
      </c>
      <c r="I18">
        <v>2200.9759791438109</v>
      </c>
      <c r="J18">
        <v>0</v>
      </c>
      <c r="K18">
        <v>9083</v>
      </c>
      <c r="M18" s="30" t="s">
        <v>57</v>
      </c>
      <c r="N18" s="3">
        <f>(1-F20)*(1+L28^2)/(1+2*L28)</f>
        <v>1.2736613569547819</v>
      </c>
      <c r="O18" s="3">
        <f t="shared" ref="O18:R18" si="0">(1-G20)*(1+M28^2)/(1+2*M28)</f>
        <v>0.98996116258765754</v>
      </c>
      <c r="P18" s="3">
        <f t="shared" si="0"/>
        <v>0.48185282123115974</v>
      </c>
      <c r="Q18" s="3">
        <f t="shared" si="0"/>
        <v>0.5122491427104463</v>
      </c>
      <c r="R18" s="3">
        <f t="shared" si="0"/>
        <v>0.55651305353316649</v>
      </c>
      <c r="AC18" s="15"/>
      <c r="AE18" s="14"/>
      <c r="AF18" s="14"/>
      <c r="AG18" s="14"/>
    </row>
    <row r="19" spans="3:33" x14ac:dyDescent="0.3">
      <c r="E19" s="13" t="s">
        <v>41</v>
      </c>
      <c r="F19">
        <v>5.462237273229074</v>
      </c>
      <c r="G19">
        <v>13.158885743843232</v>
      </c>
      <c r="H19">
        <v>126.75729427557319</v>
      </c>
      <c r="I19">
        <v>253.87980143474994</v>
      </c>
      <c r="J19">
        <v>1000</v>
      </c>
      <c r="K19" s="29" t="s">
        <v>54</v>
      </c>
      <c r="M19" s="31" t="s">
        <v>54</v>
      </c>
      <c r="N19" s="3">
        <f>N18*$F$21/F19^2</f>
        <v>21.344346073897814</v>
      </c>
      <c r="O19" s="3">
        <f t="shared" ref="O19:R19" si="1">O18*$F$21/G19^2</f>
        <v>2.8585772250910613</v>
      </c>
      <c r="P19" s="3">
        <f t="shared" si="1"/>
        <v>1.4994724466689499E-2</v>
      </c>
      <c r="Q19" s="3">
        <f t="shared" si="1"/>
        <v>3.9736987949428012E-3</v>
      </c>
      <c r="R19" s="3">
        <f t="shared" si="1"/>
        <v>2.7825652676658326E-4</v>
      </c>
      <c r="AC19" s="15"/>
      <c r="AE19" s="14"/>
      <c r="AF19" s="14"/>
      <c r="AG19" s="14"/>
    </row>
    <row r="20" spans="3:33" x14ac:dyDescent="0.3">
      <c r="E20" s="13" t="s">
        <v>11</v>
      </c>
      <c r="F20">
        <v>0.52479590324816583</v>
      </c>
      <c r="G20">
        <v>0.49513193190764254</v>
      </c>
      <c r="H20">
        <v>0.27743853797051793</v>
      </c>
      <c r="I20">
        <v>0.35956833609255684</v>
      </c>
      <c r="J20">
        <v>0.1</v>
      </c>
      <c r="K20">
        <v>6.0205864464677308E-2</v>
      </c>
      <c r="M20" s="31" t="s">
        <v>58</v>
      </c>
      <c r="N20" s="3">
        <f>1/N19</f>
        <v>4.6850814568777474E-2</v>
      </c>
      <c r="O20" s="3">
        <f t="shared" ref="O20:R20" si="2">1/O19</f>
        <v>0.34982437809359673</v>
      </c>
      <c r="P20" s="3">
        <f t="shared" si="2"/>
        <v>66.69012173057807</v>
      </c>
      <c r="Q20" s="3">
        <f t="shared" si="2"/>
        <v>251.65470550326256</v>
      </c>
      <c r="R20" s="3">
        <f t="shared" si="2"/>
        <v>3593.8060882893665</v>
      </c>
      <c r="AC20" s="15"/>
      <c r="AE20" s="14"/>
      <c r="AF20" s="14"/>
      <c r="AG20" s="14"/>
    </row>
    <row r="21" spans="3:33" x14ac:dyDescent="0.3">
      <c r="E21" s="13" t="s">
        <v>33</v>
      </c>
      <c r="F21" s="3">
        <v>500</v>
      </c>
      <c r="K21" s="28"/>
      <c r="M21" s="31" t="s">
        <v>59</v>
      </c>
      <c r="N21" s="3">
        <f>10^(-18)*N19/6.24146</f>
        <v>3.4197681430142651E-18</v>
      </c>
      <c r="O21" s="3">
        <f t="shared" ref="O21:R21" si="3">10^(-18)*O19/6.24146</f>
        <v>4.5799816470682529E-19</v>
      </c>
      <c r="P21" s="3">
        <f t="shared" si="3"/>
        <v>2.4024386067826275E-21</v>
      </c>
      <c r="Q21" s="3">
        <f t="shared" si="3"/>
        <v>6.3666174179483669E-22</v>
      </c>
      <c r="R21" s="3">
        <f t="shared" si="3"/>
        <v>4.4581961074265204E-23</v>
      </c>
    </row>
    <row r="22" spans="3:33" x14ac:dyDescent="0.3">
      <c r="E22" s="13" t="s">
        <v>34</v>
      </c>
      <c r="F22" s="3">
        <v>50</v>
      </c>
      <c r="G22">
        <v>1051.2233966914009</v>
      </c>
    </row>
    <row r="23" spans="3:33" x14ac:dyDescent="0.3">
      <c r="E23" s="13"/>
      <c r="AE23" s="14"/>
      <c r="AF23" s="14"/>
      <c r="AG23" s="14"/>
    </row>
    <row r="24" spans="3:33" x14ac:dyDescent="0.3">
      <c r="E24" s="23" t="s">
        <v>3</v>
      </c>
      <c r="F24" s="24">
        <f>SUM(R32:R1031)</f>
        <v>82573.029191969123</v>
      </c>
      <c r="G24" s="24">
        <f>SUM(S32:S1031)</f>
        <v>845274.51971893595</v>
      </c>
      <c r="H24" s="24">
        <f>SUM(T32:T1031)</f>
        <v>480298.29690332897</v>
      </c>
      <c r="I24" s="24">
        <f>SUM(U32:U1031)</f>
        <v>1198860.4619707558</v>
      </c>
      <c r="J24" s="24">
        <f>SUM(V32:V1031)</f>
        <v>0</v>
      </c>
      <c r="K24" s="24">
        <f>SUM(K32:K1031)</f>
        <v>155452.76995348232</v>
      </c>
      <c r="W24" s="24">
        <f>SUM(W32:W1031)</f>
        <v>287280.23747450451</v>
      </c>
      <c r="AE24" s="14"/>
      <c r="AF24" s="14"/>
      <c r="AG24" s="14"/>
    </row>
    <row r="25" spans="3:33" x14ac:dyDescent="0.3">
      <c r="E25" s="25" t="s">
        <v>56</v>
      </c>
      <c r="F25" s="26">
        <f>100*F24/SUM(F24,G24,H24,I24,J24,K24,W24)</f>
        <v>2.7075438474387337</v>
      </c>
      <c r="G25" s="26">
        <f>100*G24/SUM(F24,G24,H24,I24,J24,K24,W24)</f>
        <v>27.716287602106302</v>
      </c>
      <c r="H25" s="26">
        <f>100*H24/SUM(F24,G24,H24,I24,J24,K24,W24)</f>
        <v>15.748831203620027</v>
      </c>
      <c r="I25" s="26">
        <f>100*I24/SUM(F24,G24,H24,I24,J24,K24,W24)</f>
        <v>39.310260257015905</v>
      </c>
      <c r="J25" s="26">
        <f>100*J24/SUM(F24,G24,H24,I24,J24,K24,W24)</f>
        <v>0</v>
      </c>
      <c r="K25" s="26">
        <f>100*K24/SUM(F24,G24,H24,I24,J24,K24,W24)</f>
        <v>5.0972477935421958</v>
      </c>
      <c r="L25" s="5" t="s">
        <v>42</v>
      </c>
      <c r="M25" s="5" t="s">
        <v>43</v>
      </c>
      <c r="N25" s="5" t="s">
        <v>44</v>
      </c>
      <c r="O25" s="5" t="s">
        <v>45</v>
      </c>
      <c r="P25" s="5" t="s">
        <v>46</v>
      </c>
      <c r="W25" s="27">
        <f>100-F25-G25-H25-I25-J25-K25</f>
        <v>9.4198292962768377</v>
      </c>
      <c r="AE25" s="14"/>
      <c r="AF25" s="14"/>
      <c r="AG25" s="14"/>
    </row>
    <row r="26" spans="3:33" x14ac:dyDescent="0.3">
      <c r="E26" s="12" t="s">
        <v>38</v>
      </c>
      <c r="F26" s="3">
        <f>SUM(AA32:AA1031)</f>
        <v>3675402.0125864092</v>
      </c>
      <c r="G26" s="16"/>
      <c r="L26" s="3">
        <f>EXP($F$20/(1-$F$20)-LN((1-$F$20)/$F$20)+(F19/$F$19)^2*(1.0455-0.3892*$F$20^0.4647)/(2*(1-$F$20)))</f>
        <v>7.3904540096358513</v>
      </c>
      <c r="M26" s="3">
        <f>EXP($G$20/(1-$G$20)-LN((1-$G$20)/$G$20)+(G19/$G$19)^2*(1.0455-0.3892*$G$20^0.4647)/(2*(1-$G$20)))</f>
        <v>5.5768558808159856</v>
      </c>
      <c r="N26" s="3">
        <f>EXP($H$20/(1-$H$20)-LN((1-$H$20)/$H$20)+(H19/$H$19)^2*(1.0455-0.3892*$H$20^0.4647)/(2*(1-$H$20)))</f>
        <v>1.0018065477148499</v>
      </c>
      <c r="O26" s="3">
        <f>EXP($I$20/(1-$I$20)-LN((1-$I$20)/$I$20)+(I19/$I$19)^2*(1.0455-0.3892*$I$20^0.4647)/(2*(1-$I$20)))</f>
        <v>1.8432877093480333</v>
      </c>
      <c r="P26" s="3">
        <f>EXP($J$20/(1-$J$20)-LN((1-$J$20)/$J$20)+(J19/$J$19)^2*(1.0455-0.3892*$J$20^0.4647)/(2*(1-$J$20)))</f>
        <v>0.20608937207790007</v>
      </c>
      <c r="AE26" s="14"/>
      <c r="AF26" s="14"/>
      <c r="AG26" s="14"/>
    </row>
    <row r="27" spans="3:33" x14ac:dyDescent="0.3">
      <c r="E27" s="12" t="s">
        <v>7</v>
      </c>
      <c r="F27" s="3">
        <f>SUM(AD32:AD1031)*100</f>
        <v>1.0111600964743201</v>
      </c>
      <c r="L27" s="5" t="s">
        <v>47</v>
      </c>
      <c r="M27" s="5" t="s">
        <v>48</v>
      </c>
      <c r="N27" s="5" t="s">
        <v>49</v>
      </c>
      <c r="O27" s="5" t="s">
        <v>50</v>
      </c>
      <c r="P27" s="5" t="s">
        <v>51</v>
      </c>
    </row>
    <row r="28" spans="3:33" x14ac:dyDescent="0.3">
      <c r="L28" s="3" cm="1">
        <f t="array" ref="L28">lmb_2(L26)</f>
        <v>5.6574761302526255</v>
      </c>
      <c r="M28" s="3" cm="1">
        <f t="array" ref="M28">lmb_2(M26)</f>
        <v>4.1530200809027038</v>
      </c>
      <c r="N28" s="3" cm="1">
        <f t="array" ref="N28">lmb_2(N26)</f>
        <v>1.0009034778026291</v>
      </c>
      <c r="O28" s="3" cm="1">
        <f t="array" ref="O28">lmb_2(O26)</f>
        <v>1.4628803646473383</v>
      </c>
      <c r="P28" s="3" cm="1">
        <f t="array" ref="P28">lmb_2(P26)</f>
        <v>0.64484095149745146</v>
      </c>
    </row>
    <row r="29" spans="3:33" x14ac:dyDescent="0.3">
      <c r="C29" s="17" t="s">
        <v>31</v>
      </c>
      <c r="D29" s="18"/>
    </row>
    <row r="30" spans="3:33" x14ac:dyDescent="0.3">
      <c r="C30" s="34" t="s">
        <v>0</v>
      </c>
      <c r="D30" s="34"/>
      <c r="F30" s="19"/>
      <c r="G30" s="19"/>
      <c r="H30" s="19"/>
      <c r="I30" s="19"/>
      <c r="J30" s="19"/>
      <c r="L30" s="19"/>
      <c r="M30" s="19"/>
      <c r="N30" s="19"/>
      <c r="O30" s="19"/>
      <c r="P30" s="19"/>
      <c r="R30" s="19"/>
      <c r="S30" s="19"/>
      <c r="T30" s="19"/>
      <c r="U30" s="19"/>
      <c r="V30" s="19"/>
      <c r="W30" s="19"/>
      <c r="X30" s="34" t="s">
        <v>4</v>
      </c>
      <c r="Y30" s="34"/>
      <c r="Z30" s="34"/>
    </row>
    <row r="31" spans="3:33" x14ac:dyDescent="0.3">
      <c r="C31" s="20" t="s">
        <v>1</v>
      </c>
      <c r="D31" s="20" t="s">
        <v>2</v>
      </c>
      <c r="F31" s="20" t="s">
        <v>8</v>
      </c>
      <c r="G31" s="20" t="s">
        <v>9</v>
      </c>
      <c r="H31" s="20" t="s">
        <v>10</v>
      </c>
      <c r="I31" s="20" t="s">
        <v>19</v>
      </c>
      <c r="J31" s="20" t="s">
        <v>20</v>
      </c>
      <c r="K31" s="20" t="s">
        <v>55</v>
      </c>
      <c r="L31" s="20" t="s">
        <v>21</v>
      </c>
      <c r="M31" s="20" t="s">
        <v>22</v>
      </c>
      <c r="N31" s="20" t="s">
        <v>23</v>
      </c>
      <c r="O31" s="20" t="s">
        <v>24</v>
      </c>
      <c r="P31" s="20" t="s">
        <v>25</v>
      </c>
      <c r="Q31" s="20"/>
      <c r="R31" s="20" t="s">
        <v>26</v>
      </c>
      <c r="S31" s="20" t="s">
        <v>27</v>
      </c>
      <c r="T31" s="20" t="s">
        <v>28</v>
      </c>
      <c r="U31" s="20" t="s">
        <v>29</v>
      </c>
      <c r="V31" s="20" t="s">
        <v>30</v>
      </c>
      <c r="W31" s="20" t="s">
        <v>39</v>
      </c>
      <c r="X31" s="20"/>
      <c r="Y31" s="20" t="s">
        <v>5</v>
      </c>
      <c r="AA31" s="5" t="s">
        <v>6</v>
      </c>
      <c r="AB31" s="20" t="s">
        <v>52</v>
      </c>
      <c r="AC31" s="20" t="s">
        <v>36</v>
      </c>
      <c r="AD31" s="20" t="s">
        <v>37</v>
      </c>
    </row>
    <row r="32" spans="3:33" x14ac:dyDescent="0.3">
      <c r="C32" s="22">
        <v>0</v>
      </c>
      <c r="D32" s="22">
        <v>9133</v>
      </c>
      <c r="F32" s="3">
        <f>$F$20/(1-$F$20)-LN((1-$F$20)/$F$20)+(C32/$F$19)^2/((1-$F$20)*(1+0.534156*$F$20^0.7917))</f>
        <v>1.20362400463212</v>
      </c>
      <c r="G32" s="3">
        <f>$G$20/(1-$G$20)-LN((1-$G$20)/$G$20)+(C32/$G$19)^2/((1-$G$20)*(1+0.534156*$G$20^0.7917))</f>
        <v>0.96124259662310119</v>
      </c>
      <c r="H32" s="3">
        <f>$H$20/(1-$H$20)-LN((1-$H$20)/$H$20)+(C32/$H$19)^2/((1-$H$20)*(1+0.534156*$H$20^0.7917))</f>
        <v>-0.57323774800096428</v>
      </c>
      <c r="I32" s="3">
        <f>$I$20/(1-$I$20)-LN((1-$I$20)/$I$20)+(C32/$I$19)^2/((1-$I$20)*(1+0.534156*$I$20^0.7917))</f>
        <v>-1.5791334901729903E-2</v>
      </c>
      <c r="J32" s="3">
        <f>$J$20/(1-$J$20)-LN((1-$J$20)/$J$20)+(C32/$J$19)^2/((1-$J$20)*(1+0.534156*$J$20^0.7917))</f>
        <v>-2.0861134662251084</v>
      </c>
      <c r="K32" s="3">
        <f>$K$18*EXP(-$K$20*C32)</f>
        <v>9083</v>
      </c>
      <c r="L32" s="3" cm="1">
        <f t="array" ref="L32">lmb_2(F32)</f>
        <v>1.1043589624654055</v>
      </c>
      <c r="M32" s="3" cm="1">
        <f t="array" ref="M32">lmb_2(G32)</f>
        <v>0.98071548430166555</v>
      </c>
      <c r="N32" s="3" cm="1">
        <f t="array" ref="N32">lmb_2(H32)</f>
        <v>0.38396531305623083</v>
      </c>
      <c r="O32" s="3" cm="1">
        <f t="array" ref="O32">lmb_2(I32)</f>
        <v>0.56144684336613704</v>
      </c>
      <c r="P32" s="3" cm="1">
        <f t="array" ref="P32">lmb_2(J32)</f>
        <v>0.11111111111111109</v>
      </c>
      <c r="R32" s="3">
        <f>$F$18*(C32/$F$19)*($L$28+$L$28^2)/(L32+L32^2)</f>
        <v>0</v>
      </c>
      <c r="S32" s="3">
        <f>$G$18*(C32/$G$19)*($M$28+$M$28^2)/(M32+M32^2)</f>
        <v>0</v>
      </c>
      <c r="T32" s="3">
        <f>$H$18*(C32/$H$19)*($N$28+$N$28^2)/(N32+N32^2)</f>
        <v>0</v>
      </c>
      <c r="U32" s="3">
        <f t="shared" ref="U32:U95" si="4">$I$18*(C32/$I$19)*($O$28+$O$28^2)/(O32+O32^2)</f>
        <v>0</v>
      </c>
      <c r="V32" s="3">
        <f t="shared" ref="V32:V95" si="5">$J$18*(C32/$J$19)*($P$28+$P$28^2)/(P32+P32^2)</f>
        <v>0</v>
      </c>
      <c r="W32" s="3">
        <f>$F$22+$G$22/$F$21*C32</f>
        <v>50</v>
      </c>
      <c r="Y32" s="3">
        <f>SUM(R32:W32)+K32</f>
        <v>9133</v>
      </c>
      <c r="AA32" s="3">
        <f>(D32-Y32)^2</f>
        <v>0</v>
      </c>
      <c r="AB32" s="3">
        <f>D32-Y32</f>
        <v>0</v>
      </c>
      <c r="AC32" s="3">
        <f>SUM(Y32:Y1031)</f>
        <v>3049739.3152129813</v>
      </c>
      <c r="AD32" s="3">
        <f>ABS(AB32/$AC$32)</f>
        <v>0</v>
      </c>
    </row>
    <row r="33" spans="3:30" x14ac:dyDescent="0.3">
      <c r="C33" s="22">
        <v>1</v>
      </c>
      <c r="D33" s="22">
        <v>20200</v>
      </c>
      <c r="F33" s="3">
        <f t="shared" ref="F33:F96" si="6">$F$20/(1-$F$20)-LN((1-$F$20)/$F$20)+(C33/$F$19)^2/((1-$F$20)*(1+0.534156*$F$20^0.7917))</f>
        <v>1.2570315114598642</v>
      </c>
      <c r="G33" s="3">
        <f t="shared" ref="G33:G96" si="7">$G$20/(1-$G$20)-LN((1-$G$20)/$G$20)+(C33/$G$19)^2/((1-$G$20)*(1+0.534156*$G$20^0.7917))</f>
        <v>0.9700001017385762</v>
      </c>
      <c r="H33" s="3">
        <f t="shared" ref="H33:H96" si="8">$H$20/(1-$H$20)-LN((1-$H$20)/$H$20)+(C33/$H$19)^2/((1-$H$20)*(1+0.534156*$H$20^0.7917))</f>
        <v>-0.57316558180895649</v>
      </c>
      <c r="I33" s="3">
        <f t="shared" ref="I33:I96" si="9">$I$20/(1-$I$20)-LN((1-$I$20)/$I$20)+(C33/$I$19)^2/((1-$I$20)*(1+0.534156*$I$20^0.7917))</f>
        <v>-1.5771761563321097E-2</v>
      </c>
      <c r="J33" s="3">
        <f t="shared" ref="J33:J96" si="10">$J$20/(1-$J$20)-LN((1-$J$20)/$J$20)+(C33/$J$19)^2/((1-$J$20)*(1+0.534156*$J$20^0.7917))</f>
        <v>-2.0861124433771048</v>
      </c>
      <c r="K33" s="3">
        <f t="shared" ref="K33:K96" si="11">$K$18*EXP(-$K$20*C33)</f>
        <v>8552.2864654346104</v>
      </c>
      <c r="L33" s="3" cm="1">
        <f t="array" ref="L33">lmb_2(F33)</f>
        <v>1.1325551960438851</v>
      </c>
      <c r="M33" s="3" cm="1">
        <f t="array" ref="M33">lmb_2(G33)</f>
        <v>0.98505644084250532</v>
      </c>
      <c r="N33" s="3" cm="1">
        <f t="array" ref="N33">lmb_2(H33)</f>
        <v>0.38398533511621813</v>
      </c>
      <c r="O33" s="3" cm="1">
        <f t="array" ref="O33">lmb_2(I33)</f>
        <v>0.56145388134711105</v>
      </c>
      <c r="P33" s="3" cm="1">
        <f t="array" ref="P33">lmb_2(J33)</f>
        <v>0.11111121339595384</v>
      </c>
      <c r="R33" s="3">
        <f t="shared" ref="R33:R96" si="12">$F$18*(C33/$F$19)*($L$28+$L$28^2)/(L33+L33^2)</f>
        <v>4050.4701197718618</v>
      </c>
      <c r="S33" s="3">
        <f t="shared" ref="S33:S96" si="13">$G$18*(C33/$G$19)*($M$28+$M$28^2)/(M33+M33^2)</f>
        <v>7434.1840242175631</v>
      </c>
      <c r="T33" s="3">
        <f t="shared" ref="T33:T96" si="14">$H$18*(C33/$H$19)*($N$28+$N$28^2)/(N33+N33^2)</f>
        <v>51.426421180355774</v>
      </c>
      <c r="U33" s="3">
        <f t="shared" si="4"/>
        <v>35.628376235621211</v>
      </c>
      <c r="V33" s="3">
        <f t="shared" si="5"/>
        <v>0</v>
      </c>
      <c r="W33" s="3">
        <f t="shared" ref="W33:W96" si="15">$F$22+$G$22/$F$21*C33</f>
        <v>52.102446793382803</v>
      </c>
      <c r="Y33" s="3">
        <f t="shared" ref="Y33:Y96" si="16">SUM(R33:W33)+K33</f>
        <v>20176.097853633393</v>
      </c>
      <c r="AA33" s="3">
        <f t="shared" ref="AA33:AA96" si="17">(D33-Y33)^2</f>
        <v>571.31260093069261</v>
      </c>
      <c r="AB33" s="3">
        <f t="shared" ref="AB33:AB96" si="18">D33-Y33</f>
        <v>23.902146366606758</v>
      </c>
      <c r="AD33" s="3">
        <f t="shared" ref="AD33:AD96" si="19">ABS(AB33/$AC$32)</f>
        <v>7.8374391697598349E-6</v>
      </c>
    </row>
    <row r="34" spans="3:30" x14ac:dyDescent="0.3">
      <c r="C34" s="22">
        <v>2</v>
      </c>
      <c r="D34" s="22">
        <v>30377</v>
      </c>
      <c r="F34" s="3">
        <f t="shared" si="6"/>
        <v>1.4172540319430968</v>
      </c>
      <c r="G34" s="3">
        <f t="shared" si="7"/>
        <v>0.99627261708500148</v>
      </c>
      <c r="H34" s="3">
        <f t="shared" si="8"/>
        <v>-0.57294908323293314</v>
      </c>
      <c r="I34" s="3">
        <f t="shared" si="9"/>
        <v>-1.5713041548094681E-2</v>
      </c>
      <c r="J34" s="3">
        <f t="shared" si="10"/>
        <v>-2.0861093748330934</v>
      </c>
      <c r="K34" s="3">
        <f t="shared" si="11"/>
        <v>8052.5821630360033</v>
      </c>
      <c r="L34" s="3" cm="1">
        <f t="array" ref="L34">lmb_2(F34)</f>
        <v>1.2191226067353109</v>
      </c>
      <c r="M34" s="3" cm="1">
        <f t="array" ref="M34">lmb_2(G34)</f>
        <v>0.99813717714861849</v>
      </c>
      <c r="N34" s="3" cm="1">
        <f t="array" ref="N34">lmb_2(H34)</f>
        <v>0.38404540582246105</v>
      </c>
      <c r="O34" s="3" cm="1">
        <f t="array" ref="O34">lmb_2(I34)</f>
        <v>0.56147499562903902</v>
      </c>
      <c r="P34" s="3" cm="1">
        <f t="array" ref="P34">lmb_2(J34)</f>
        <v>0.11111152025099054</v>
      </c>
      <c r="R34" s="3">
        <f t="shared" si="12"/>
        <v>7232.1329886556778</v>
      </c>
      <c r="S34" s="3">
        <f t="shared" si="13"/>
        <v>14577.456204632294</v>
      </c>
      <c r="T34" s="3">
        <f t="shared" si="14"/>
        <v>102.83229121987206</v>
      </c>
      <c r="U34" s="3">
        <f t="shared" si="4"/>
        <v>71.253109360847318</v>
      </c>
      <c r="V34" s="3">
        <f t="shared" si="5"/>
        <v>0</v>
      </c>
      <c r="W34" s="3">
        <f t="shared" si="15"/>
        <v>54.204893586765607</v>
      </c>
      <c r="Y34" s="3">
        <f t="shared" si="16"/>
        <v>30090.461650491459</v>
      </c>
      <c r="AA34" s="3">
        <f t="shared" si="17"/>
        <v>82104.225739078625</v>
      </c>
      <c r="AB34" s="3">
        <f t="shared" si="18"/>
        <v>286.5383495085407</v>
      </c>
      <c r="AD34" s="3">
        <f t="shared" si="19"/>
        <v>9.3955030214944795E-5</v>
      </c>
    </row>
    <row r="35" spans="3:30" x14ac:dyDescent="0.3">
      <c r="C35" s="22">
        <v>3</v>
      </c>
      <c r="D35" s="22">
        <v>38104</v>
      </c>
      <c r="F35" s="3">
        <f t="shared" si="6"/>
        <v>1.6842915660818176</v>
      </c>
      <c r="G35" s="3">
        <f t="shared" si="7"/>
        <v>1.0400601426623768</v>
      </c>
      <c r="H35" s="3">
        <f t="shared" si="8"/>
        <v>-0.57258825227289423</v>
      </c>
      <c r="I35" s="3">
        <f t="shared" si="9"/>
        <v>-1.561517485605065E-2</v>
      </c>
      <c r="J35" s="3">
        <f t="shared" si="10"/>
        <v>-2.0861042605930744</v>
      </c>
      <c r="K35" s="3">
        <f t="shared" si="11"/>
        <v>7582.0752443832398</v>
      </c>
      <c r="L35" s="3" cm="1">
        <f t="array" ref="L35">lmb_2(F35)</f>
        <v>1.3696999007698283</v>
      </c>
      <c r="M35" s="3" cm="1">
        <f t="array" ref="M35">lmb_2(G35)</f>
        <v>1.0201300366147512</v>
      </c>
      <c r="N35" s="3" cm="1">
        <f t="array" ref="N35">lmb_2(H35)</f>
        <v>0.38414553875419888</v>
      </c>
      <c r="O35" s="3" cm="1">
        <f t="array" ref="O35">lmb_2(I35)</f>
        <v>0.56151018722893542</v>
      </c>
      <c r="P35" s="3" cm="1">
        <f t="array" ref="P35">lmb_2(J35)</f>
        <v>0.11111203167774662</v>
      </c>
      <c r="R35" s="3">
        <f t="shared" si="12"/>
        <v>9042.0638689412754</v>
      </c>
      <c r="S35" s="3">
        <f t="shared" si="13"/>
        <v>21161.852131256277</v>
      </c>
      <c r="T35" s="3">
        <f t="shared" si="14"/>
        <v>154.19707395608518</v>
      </c>
      <c r="U35" s="3">
        <f t="shared" si="4"/>
        <v>106.87055697299166</v>
      </c>
      <c r="V35" s="3">
        <f t="shared" si="5"/>
        <v>0</v>
      </c>
      <c r="W35" s="3">
        <f t="shared" si="15"/>
        <v>56.307340380148403</v>
      </c>
      <c r="Y35" s="3">
        <f t="shared" si="16"/>
        <v>38103.366215890019</v>
      </c>
      <c r="AA35" s="3">
        <f t="shared" si="17"/>
        <v>0.40168229806467032</v>
      </c>
      <c r="AB35" s="3">
        <f t="shared" si="18"/>
        <v>0.63378410998120671</v>
      </c>
      <c r="AD35" s="3">
        <f t="shared" si="19"/>
        <v>2.0781583095306157E-7</v>
      </c>
    </row>
    <row r="36" spans="3:30" x14ac:dyDescent="0.3">
      <c r="C36" s="22">
        <v>4</v>
      </c>
      <c r="D36" s="22">
        <v>43662</v>
      </c>
      <c r="F36" s="3">
        <f t="shared" si="6"/>
        <v>2.0581441138760272</v>
      </c>
      <c r="G36" s="3">
        <f t="shared" si="7"/>
        <v>1.1013626784707022</v>
      </c>
      <c r="H36" s="3">
        <f t="shared" si="8"/>
        <v>-0.57208308892883986</v>
      </c>
      <c r="I36" s="3">
        <f t="shared" si="9"/>
        <v>-1.5478161487189009E-2</v>
      </c>
      <c r="J36" s="3">
        <f t="shared" si="10"/>
        <v>-2.0860971006570481</v>
      </c>
      <c r="K36" s="3">
        <f t="shared" si="11"/>
        <v>7139.0597261307494</v>
      </c>
      <c r="L36" s="3" cm="1">
        <f t="array" ref="L36">lmb_2(F36)</f>
        <v>1.5927082467630089</v>
      </c>
      <c r="M36" s="3" cm="1">
        <f t="array" ref="M36">lmb_2(G36)</f>
        <v>1.0513180324718905</v>
      </c>
      <c r="N36" s="3" cm="1">
        <f t="array" ref="N36">lmb_2(H36)</f>
        <v>0.38428575654481406</v>
      </c>
      <c r="O36" s="3" cm="1">
        <f t="array" ref="O36">lmb_2(I36)</f>
        <v>0.56155945784181371</v>
      </c>
      <c r="P36" s="3" cm="1">
        <f t="array" ref="P36">lmb_2(J36)</f>
        <v>0.11111274767876436</v>
      </c>
      <c r="R36" s="3">
        <f t="shared" si="12"/>
        <v>9476.2215064890988</v>
      </c>
      <c r="S36" s="3">
        <f t="shared" si="13"/>
        <v>26962.500228100285</v>
      </c>
      <c r="T36" s="3">
        <f t="shared" si="14"/>
        <v>205.50026316774898</v>
      </c>
      <c r="U36" s="3">
        <f t="shared" si="4"/>
        <v>142.47707808458259</v>
      </c>
      <c r="V36" s="3">
        <f t="shared" si="5"/>
        <v>0</v>
      </c>
      <c r="W36" s="3">
        <f t="shared" si="15"/>
        <v>58.409787173531207</v>
      </c>
      <c r="Y36" s="3">
        <f t="shared" si="16"/>
        <v>43984.168589145993</v>
      </c>
      <c r="AA36" s="3">
        <f t="shared" si="17"/>
        <v>103792.59983231957</v>
      </c>
      <c r="AB36" s="3">
        <f t="shared" si="18"/>
        <v>-322.16858914599288</v>
      </c>
      <c r="AD36" s="3">
        <f t="shared" si="19"/>
        <v>1.0563807455244546E-4</v>
      </c>
    </row>
    <row r="37" spans="3:30" x14ac:dyDescent="0.3">
      <c r="C37" s="22">
        <v>5</v>
      </c>
      <c r="D37" s="22">
        <v>47562</v>
      </c>
      <c r="F37" s="3">
        <f t="shared" si="6"/>
        <v>2.5388116753257246</v>
      </c>
      <c r="G37" s="3">
        <f t="shared" si="7"/>
        <v>1.1801802245099777</v>
      </c>
      <c r="H37" s="3">
        <f t="shared" si="8"/>
        <v>-0.57143359320076981</v>
      </c>
      <c r="I37" s="3">
        <f t="shared" si="9"/>
        <v>-1.5302001441509757E-2</v>
      </c>
      <c r="J37" s="3">
        <f t="shared" si="10"/>
        <v>-2.0860878950250146</v>
      </c>
      <c r="K37" s="3">
        <f t="shared" si="11"/>
        <v>6721.9293043837206</v>
      </c>
      <c r="L37" s="3" cm="1">
        <f t="array" ref="L37">lmb_2(F37)</f>
        <v>1.898007188000522</v>
      </c>
      <c r="M37" s="3" cm="1">
        <f t="array" ref="M37">lmb_2(G37)</f>
        <v>1.0920883989991941</v>
      </c>
      <c r="N37" s="3" cm="1">
        <f t="array" ref="N37">lmb_2(H37)</f>
        <v>0.38446609088380473</v>
      </c>
      <c r="O37" s="3" cm="1">
        <f t="array" ref="O37">lmb_2(I37)</f>
        <v>0.56162280984066881</v>
      </c>
      <c r="P37" s="3" cm="1">
        <f t="array" ref="P37">lmb_2(J37)</f>
        <v>0.11111366825760302</v>
      </c>
      <c r="R37" s="3">
        <f t="shared" si="12"/>
        <v>8892.7848144430845</v>
      </c>
      <c r="S37" s="3">
        <f t="shared" si="13"/>
        <v>31812.621709813713</v>
      </c>
      <c r="T37" s="3">
        <f t="shared" si="14"/>
        <v>256.72139750662734</v>
      </c>
      <c r="U37" s="3">
        <f t="shared" si="4"/>
        <v>178.06903383046682</v>
      </c>
      <c r="V37" s="3">
        <f t="shared" si="5"/>
        <v>0</v>
      </c>
      <c r="W37" s="3">
        <f t="shared" si="15"/>
        <v>60.51223396691401</v>
      </c>
      <c r="Y37" s="3">
        <f t="shared" si="16"/>
        <v>47922.638493944527</v>
      </c>
      <c r="AA37" s="3">
        <f t="shared" si="17"/>
        <v>130060.12331457663</v>
      </c>
      <c r="AB37" s="3">
        <f t="shared" si="18"/>
        <v>-360.638493944527</v>
      </c>
      <c r="AD37" s="3">
        <f t="shared" si="19"/>
        <v>1.1825223623066993E-4</v>
      </c>
    </row>
    <row r="38" spans="3:30" x14ac:dyDescent="0.3">
      <c r="C38" s="22">
        <v>6</v>
      </c>
      <c r="D38" s="22">
        <v>50290</v>
      </c>
      <c r="F38" s="3">
        <f t="shared" si="6"/>
        <v>3.1262942504309104</v>
      </c>
      <c r="G38" s="3">
        <f t="shared" si="7"/>
        <v>1.2765127807802035</v>
      </c>
      <c r="H38" s="3">
        <f t="shared" si="8"/>
        <v>-0.57063976508868419</v>
      </c>
      <c r="I38" s="3">
        <f t="shared" si="9"/>
        <v>-1.5086694719012892E-2</v>
      </c>
      <c r="J38" s="3">
        <f t="shared" si="10"/>
        <v>-2.0860766436969729</v>
      </c>
      <c r="K38" s="3">
        <f t="shared" si="11"/>
        <v>6329.1715304953395</v>
      </c>
      <c r="L38" s="3" cm="1">
        <f t="array" ref="L38">lmb_2(F38)</f>
        <v>2.2953910355652249</v>
      </c>
      <c r="M38" s="3" cm="1">
        <f t="array" ref="M38">lmb_2(G38)</f>
        <v>1.1429234079128361</v>
      </c>
      <c r="N38" s="3" cm="1">
        <f t="array" ref="N38">lmb_2(H38)</f>
        <v>0.38468658251953791</v>
      </c>
      <c r="O38" s="3" cm="1">
        <f t="array" ref="O38">lmb_2(I38)</f>
        <v>0.56170024627645443</v>
      </c>
      <c r="P38" s="3" cm="1">
        <f t="array" ref="P38">lmb_2(J38)</f>
        <v>0.11111479341883898</v>
      </c>
      <c r="R38" s="3">
        <f t="shared" si="12"/>
        <v>7759.8388720690609</v>
      </c>
      <c r="S38" s="3">
        <f t="shared" si="13"/>
        <v>35611.868081373177</v>
      </c>
      <c r="T38" s="3">
        <f t="shared" si="14"/>
        <v>307.84007538276518</v>
      </c>
      <c r="U38" s="3">
        <f t="shared" si="4"/>
        <v>213.64278817430775</v>
      </c>
      <c r="V38" s="3">
        <f t="shared" si="5"/>
        <v>0</v>
      </c>
      <c r="W38" s="3">
        <f t="shared" si="15"/>
        <v>62.614680760296807</v>
      </c>
      <c r="Y38" s="3">
        <f t="shared" si="16"/>
        <v>50284.976028254954</v>
      </c>
      <c r="AA38" s="3">
        <f t="shared" si="17"/>
        <v>25.2402920950191</v>
      </c>
      <c r="AB38" s="3">
        <f t="shared" si="18"/>
        <v>5.0239717450458556</v>
      </c>
      <c r="AD38" s="3">
        <f t="shared" si="19"/>
        <v>1.6473446500770843E-6</v>
      </c>
    </row>
    <row r="39" spans="3:30" x14ac:dyDescent="0.3">
      <c r="C39" s="22">
        <v>7</v>
      </c>
      <c r="D39" s="22">
        <v>51794</v>
      </c>
      <c r="F39" s="3">
        <f t="shared" si="6"/>
        <v>3.8205918391915858</v>
      </c>
      <c r="G39" s="3">
        <f t="shared" si="7"/>
        <v>1.3903603472813792</v>
      </c>
      <c r="H39" s="3">
        <f t="shared" si="8"/>
        <v>-0.56970160459258312</v>
      </c>
      <c r="I39" s="3">
        <f t="shared" si="9"/>
        <v>-1.4832241319698415E-2</v>
      </c>
      <c r="J39" s="3">
        <f t="shared" si="10"/>
        <v>-2.0860633466729244</v>
      </c>
      <c r="K39" s="3">
        <f t="shared" si="11"/>
        <v>5959.3623271682654</v>
      </c>
      <c r="L39" s="3" cm="1">
        <f t="array" ref="L39">lmb_2(F39)</f>
        <v>2.7933501817361188</v>
      </c>
      <c r="M39" s="3" cm="1">
        <f t="array" ref="M39">lmb_2(G39)</f>
        <v>1.2043884333574453</v>
      </c>
      <c r="N39" s="3" cm="1">
        <f t="array" ref="N39">lmb_2(H39)</f>
        <v>0.38494728126277705</v>
      </c>
      <c r="O39" s="3" cm="1">
        <f t="array" ref="O39">lmb_2(I39)</f>
        <v>0.56179177087805177</v>
      </c>
      <c r="P39" s="3" cm="1">
        <f t="array" ref="P39">lmb_2(J39)</f>
        <v>0.11111612316806535</v>
      </c>
      <c r="R39" s="3">
        <f t="shared" si="12"/>
        <v>6462.7121170867395</v>
      </c>
      <c r="S39" s="3">
        <f t="shared" si="13"/>
        <v>38327.511469925164</v>
      </c>
      <c r="T39" s="3">
        <f t="shared" si="14"/>
        <v>358.83596978782259</v>
      </c>
      <c r="U39" s="3">
        <f t="shared" si="4"/>
        <v>249.19470861427783</v>
      </c>
      <c r="V39" s="3">
        <f t="shared" si="5"/>
        <v>0</v>
      </c>
      <c r="W39" s="3">
        <f t="shared" si="15"/>
        <v>64.717127553679617</v>
      </c>
      <c r="Y39" s="3">
        <f t="shared" si="16"/>
        <v>51422.333720135954</v>
      </c>
      <c r="AA39" s="3">
        <f t="shared" si="17"/>
        <v>138135.82358797966</v>
      </c>
      <c r="AB39" s="3">
        <f t="shared" si="18"/>
        <v>371.66627986404637</v>
      </c>
      <c r="AD39" s="3">
        <f t="shared" si="19"/>
        <v>1.2186821280431004E-4</v>
      </c>
    </row>
    <row r="40" spans="3:30" x14ac:dyDescent="0.3">
      <c r="C40" s="22">
        <v>8</v>
      </c>
      <c r="D40" s="22">
        <v>51927</v>
      </c>
      <c r="F40" s="3">
        <f t="shared" si="6"/>
        <v>4.621704441607748</v>
      </c>
      <c r="G40" s="3">
        <f t="shared" si="7"/>
        <v>1.5217229240135051</v>
      </c>
      <c r="H40" s="3">
        <f t="shared" si="8"/>
        <v>-0.56861911171246637</v>
      </c>
      <c r="I40" s="3">
        <f t="shared" si="9"/>
        <v>-1.4538641243566327E-2</v>
      </c>
      <c r="J40" s="3">
        <f t="shared" si="10"/>
        <v>-2.0860480039528677</v>
      </c>
      <c r="K40" s="3">
        <f t="shared" si="11"/>
        <v>5611.1608249765559</v>
      </c>
      <c r="L40" s="3" cm="1">
        <f t="array" ref="L40">lmb_2(F40)</f>
        <v>3.3983997751467632</v>
      </c>
      <c r="M40" s="3" cm="1">
        <f t="array" ref="M40">lmb_2(G40)</f>
        <v>1.2771174095164537</v>
      </c>
      <c r="N40" s="3" cm="1">
        <f t="array" ref="N40">lmb_2(H40)</f>
        <v>0.38524824599097407</v>
      </c>
      <c r="O40" s="3" cm="1">
        <f t="array" ref="O40">lmb_2(I40)</f>
        <v>0.56189738805223366</v>
      </c>
      <c r="P40" s="3" cm="1">
        <f t="array" ref="P40">lmb_2(J40)</f>
        <v>0.11111765751189258</v>
      </c>
      <c r="R40" s="3">
        <f t="shared" si="12"/>
        <v>5235.8345027228179</v>
      </c>
      <c r="S40" s="3">
        <f t="shared" si="13"/>
        <v>39989.043834455566</v>
      </c>
      <c r="T40" s="3">
        <f t="shared" si="14"/>
        <v>409.68884304113834</v>
      </c>
      <c r="U40" s="3">
        <f t="shared" si="4"/>
        <v>284.72116688774321</v>
      </c>
      <c r="V40" s="3">
        <f t="shared" si="5"/>
        <v>0</v>
      </c>
      <c r="W40" s="3">
        <f t="shared" si="15"/>
        <v>66.819574347062414</v>
      </c>
      <c r="Y40" s="3">
        <f t="shared" si="16"/>
        <v>51597.268746430891</v>
      </c>
      <c r="AA40" s="3">
        <f t="shared" si="17"/>
        <v>108722.69958025603</v>
      </c>
      <c r="AB40" s="3">
        <f t="shared" si="18"/>
        <v>329.73125356910896</v>
      </c>
      <c r="AD40" s="3">
        <f t="shared" si="19"/>
        <v>1.0811784860571988E-4</v>
      </c>
    </row>
    <row r="41" spans="3:30" x14ac:dyDescent="0.3">
      <c r="C41" s="22">
        <v>9</v>
      </c>
      <c r="D41" s="22">
        <v>50938</v>
      </c>
      <c r="F41" s="3">
        <f t="shared" si="6"/>
        <v>5.5296320576793985</v>
      </c>
      <c r="G41" s="3">
        <f t="shared" si="7"/>
        <v>1.6706005109765809</v>
      </c>
      <c r="H41" s="3">
        <f t="shared" si="8"/>
        <v>-0.56739228644833417</v>
      </c>
      <c r="I41" s="3">
        <f t="shared" si="9"/>
        <v>-1.4205894490616627E-2</v>
      </c>
      <c r="J41" s="3">
        <f t="shared" si="10"/>
        <v>-2.0860306155368038</v>
      </c>
      <c r="K41" s="3">
        <f t="shared" si="11"/>
        <v>5283.3045005861386</v>
      </c>
      <c r="L41" s="3" cm="1">
        <f t="array" ref="L41">lmb_2(F41)</f>
        <v>4.1149945483701593</v>
      </c>
      <c r="M41" s="3" cm="1">
        <f t="array" ref="M41">lmb_2(G41)</f>
        <v>1.3617960543168568</v>
      </c>
      <c r="N41" s="3" cm="1">
        <f t="array" ref="N41">lmb_2(H41)</f>
        <v>0.38558954465331302</v>
      </c>
      <c r="O41" s="3" cm="1">
        <f t="array" ref="O41">lmb_2(I41)</f>
        <v>0.56201710288361961</v>
      </c>
      <c r="P41" s="3" cm="1">
        <f t="array" ref="P41">lmb_2(J41)</f>
        <v>0.11111939645794798</v>
      </c>
      <c r="R41" s="3">
        <f t="shared" si="12"/>
        <v>4183.0510079591231</v>
      </c>
      <c r="S41" s="3">
        <f t="shared" si="13"/>
        <v>40677.600528931165</v>
      </c>
      <c r="T41" s="3">
        <f t="shared" si="14"/>
        <v>460.37856144329123</v>
      </c>
      <c r="U41" s="3">
        <f t="shared" si="4"/>
        <v>320.21853967474129</v>
      </c>
      <c r="V41" s="3">
        <f t="shared" si="5"/>
        <v>0</v>
      </c>
      <c r="W41" s="3">
        <f t="shared" si="15"/>
        <v>68.922021140445224</v>
      </c>
      <c r="Y41" s="3">
        <f t="shared" si="16"/>
        <v>50993.47515973491</v>
      </c>
      <c r="AA41" s="3">
        <f t="shared" si="17"/>
        <v>3077.4933476137285</v>
      </c>
      <c r="AB41" s="3">
        <f t="shared" si="18"/>
        <v>-55.475159734909539</v>
      </c>
      <c r="AD41" s="3">
        <f t="shared" si="19"/>
        <v>1.8190131680495904E-5</v>
      </c>
    </row>
    <row r="42" spans="3:30" x14ac:dyDescent="0.3">
      <c r="C42" s="22">
        <v>10</v>
      </c>
      <c r="D42" s="22">
        <v>49954</v>
      </c>
      <c r="F42" s="3">
        <f t="shared" si="6"/>
        <v>6.5443746874065383</v>
      </c>
      <c r="G42" s="3">
        <f t="shared" si="7"/>
        <v>1.8369931081706072</v>
      </c>
      <c r="H42" s="3">
        <f t="shared" si="8"/>
        <v>-0.56602112880018629</v>
      </c>
      <c r="I42" s="3">
        <f t="shared" si="9"/>
        <v>-1.3834001060849315E-2</v>
      </c>
      <c r="J42" s="3">
        <f t="shared" si="10"/>
        <v>-2.0860111814247326</v>
      </c>
      <c r="K42" s="3">
        <f t="shared" si="11"/>
        <v>4974.604599045756</v>
      </c>
      <c r="L42" s="3" cm="1">
        <f t="array" ref="L42">lmb_2(F42)</f>
        <v>4.9458299085894275</v>
      </c>
      <c r="M42" s="3" cm="1">
        <f t="array" ref="M42">lmb_2(G42)</f>
        <v>1.4591434931341787</v>
      </c>
      <c r="N42" s="3" cm="1">
        <f t="array" ref="N42">lmb_2(H42)</f>
        <v>0.38597125427649331</v>
      </c>
      <c r="O42" s="3" cm="1">
        <f t="array" ref="O42">lmb_2(I42)</f>
        <v>0.5621509211346255</v>
      </c>
      <c r="P42" s="3" cm="1">
        <f t="array" ref="P42">lmb_2(J42)</f>
        <v>0.11112134001487609</v>
      </c>
      <c r="R42" s="3">
        <f t="shared" si="12"/>
        <v>3326.6984246297111</v>
      </c>
      <c r="S42" s="3">
        <f t="shared" si="13"/>
        <v>40512.160829529821</v>
      </c>
      <c r="T42" s="3">
        <f t="shared" si="14"/>
        <v>510.88510982204326</v>
      </c>
      <c r="U42" s="3">
        <f t="shared" si="4"/>
        <v>355.6832093000499</v>
      </c>
      <c r="V42" s="3">
        <f t="shared" si="5"/>
        <v>0</v>
      </c>
      <c r="W42" s="3">
        <f t="shared" si="15"/>
        <v>71.024467933828021</v>
      </c>
      <c r="Y42" s="3">
        <f t="shared" si="16"/>
        <v>49751.056640261209</v>
      </c>
      <c r="AA42" s="3">
        <f t="shared" si="17"/>
        <v>41186.007262068175</v>
      </c>
      <c r="AB42" s="3">
        <f t="shared" si="18"/>
        <v>202.9433597387906</v>
      </c>
      <c r="AD42" s="3">
        <f t="shared" si="19"/>
        <v>6.6544494057721741E-5</v>
      </c>
    </row>
    <row r="43" spans="3:30" x14ac:dyDescent="0.3">
      <c r="C43" s="22">
        <v>11</v>
      </c>
      <c r="D43" s="22">
        <v>48081</v>
      </c>
      <c r="F43" s="3">
        <f t="shared" si="6"/>
        <v>7.6659323307891665</v>
      </c>
      <c r="G43" s="3">
        <f t="shared" si="7"/>
        <v>2.0209007155955834</v>
      </c>
      <c r="H43" s="3">
        <f t="shared" si="8"/>
        <v>-0.56450563876802295</v>
      </c>
      <c r="I43" s="3">
        <f t="shared" si="9"/>
        <v>-1.3422960954264393E-2</v>
      </c>
      <c r="J43" s="3">
        <f t="shared" si="10"/>
        <v>-2.0859897016166533</v>
      </c>
      <c r="K43" s="3">
        <f t="shared" si="11"/>
        <v>4683.9418235503445</v>
      </c>
      <c r="L43" s="3" cm="1">
        <f t="array" ref="L43">lmb_2(F43)</f>
        <v>5.8922879602862501</v>
      </c>
      <c r="M43" s="3" cm="1">
        <f t="array" ref="M43">lmb_2(G43)</f>
        <v>1.5698931535896532</v>
      </c>
      <c r="N43" s="3" cm="1">
        <f t="array" ref="N43">lmb_2(H43)</f>
        <v>0.38639346097123534</v>
      </c>
      <c r="O43" s="3" cm="1">
        <f t="array" ref="O43">lmb_2(I43)</f>
        <v>0.56229884924540563</v>
      </c>
      <c r="P43" s="3" cm="1">
        <f t="array" ref="P43">lmb_2(J43)</f>
        <v>0.11112348819233871</v>
      </c>
      <c r="R43" s="3">
        <f t="shared" si="12"/>
        <v>2649.7835429169559</v>
      </c>
      <c r="S43" s="3">
        <f t="shared" si="13"/>
        <v>39634.629621126252</v>
      </c>
      <c r="T43" s="3">
        <f t="shared" si="14"/>
        <v>561.18860595568901</v>
      </c>
      <c r="U43" s="3">
        <f t="shared" si="4"/>
        <v>391.1115644336478</v>
      </c>
      <c r="V43" s="3">
        <f t="shared" si="5"/>
        <v>0</v>
      </c>
      <c r="W43" s="3">
        <f t="shared" si="15"/>
        <v>73.126914727210817</v>
      </c>
      <c r="Y43" s="3">
        <f t="shared" si="16"/>
        <v>47993.782072710099</v>
      </c>
      <c r="AA43" s="3">
        <f t="shared" si="17"/>
        <v>7606.9668407464796</v>
      </c>
      <c r="AB43" s="3">
        <f t="shared" si="18"/>
        <v>87.217927289901127</v>
      </c>
      <c r="AD43" s="3">
        <f t="shared" si="19"/>
        <v>2.859848605906508E-5</v>
      </c>
    </row>
    <row r="44" spans="3:30" x14ac:dyDescent="0.3">
      <c r="C44" s="22">
        <v>12</v>
      </c>
      <c r="D44" s="22">
        <v>45731</v>
      </c>
      <c r="F44" s="3">
        <f t="shared" si="6"/>
        <v>8.8943049878272831</v>
      </c>
      <c r="G44" s="3">
        <f t="shared" si="7"/>
        <v>2.2223233332515098</v>
      </c>
      <c r="H44" s="3">
        <f t="shared" si="8"/>
        <v>-0.56284581635184405</v>
      </c>
      <c r="I44" s="3">
        <f t="shared" si="9"/>
        <v>-1.2972774170861857E-2</v>
      </c>
      <c r="J44" s="3">
        <f t="shared" si="10"/>
        <v>-2.0859661761125672</v>
      </c>
      <c r="K44" s="3">
        <f t="shared" si="11"/>
        <v>4410.2622770486314</v>
      </c>
      <c r="L44" s="3" cm="1">
        <f t="array" ref="L44">lmb_2(F44)</f>
        <v>6.9548637525062675</v>
      </c>
      <c r="M44" s="3" cm="1">
        <f t="array" ref="M44">lmb_2(G44)</f>
        <v>1.6947739588956794</v>
      </c>
      <c r="N44" s="3" cm="1">
        <f t="array" ref="N44">lmb_2(H44)</f>
        <v>0.38685625993949019</v>
      </c>
      <c r="O44" s="3" cm="1">
        <f t="array" ref="O44">lmb_2(I44)</f>
        <v>0.56246089433378743</v>
      </c>
      <c r="P44" s="3" cm="1">
        <f t="array" ref="P44">lmb_2(J44)</f>
        <v>0.11112584100101468</v>
      </c>
      <c r="R44" s="3">
        <f t="shared" si="12"/>
        <v>2121.900251301714</v>
      </c>
      <c r="S44" s="3">
        <f t="shared" si="13"/>
        <v>38195.693861266751</v>
      </c>
      <c r="T44" s="3">
        <f t="shared" si="14"/>
        <v>611.26931485899809</v>
      </c>
      <c r="U44" s="3">
        <f t="shared" si="4"/>
        <v>426.50000078937074</v>
      </c>
      <c r="V44" s="3">
        <f t="shared" si="5"/>
        <v>0</v>
      </c>
      <c r="W44" s="3">
        <f t="shared" si="15"/>
        <v>75.229361520593613</v>
      </c>
      <c r="Y44" s="3">
        <f t="shared" si="16"/>
        <v>45840.855066786055</v>
      </c>
      <c r="AA44" s="3">
        <f t="shared" si="17"/>
        <v>12068.1356985685</v>
      </c>
      <c r="AB44" s="3">
        <f t="shared" si="18"/>
        <v>-109.85506678605452</v>
      </c>
      <c r="AD44" s="3">
        <f t="shared" si="19"/>
        <v>3.602113342542613E-5</v>
      </c>
    </row>
    <row r="45" spans="3:30" x14ac:dyDescent="0.3">
      <c r="C45" s="22">
        <v>13</v>
      </c>
      <c r="D45" s="22">
        <v>43408</v>
      </c>
      <c r="F45" s="3">
        <f t="shared" si="6"/>
        <v>10.22949265852089</v>
      </c>
      <c r="G45" s="3">
        <f t="shared" si="7"/>
        <v>2.4412609611383864</v>
      </c>
      <c r="H45" s="3">
        <f t="shared" si="8"/>
        <v>-0.56104166155164947</v>
      </c>
      <c r="I45" s="3">
        <f t="shared" si="9"/>
        <v>-1.2483440710641711E-2</v>
      </c>
      <c r="J45" s="3">
        <f t="shared" si="10"/>
        <v>-2.0859406049124729</v>
      </c>
      <c r="K45" s="3">
        <f t="shared" si="11"/>
        <v>4152.5736409798346</v>
      </c>
      <c r="L45" s="3" cm="1">
        <f t="array" ref="L45">lmb_2(F45)</f>
        <v>8.1335011784126916</v>
      </c>
      <c r="M45" s="3" cm="1">
        <f t="array" ref="M45">lmb_2(G45)</f>
        <v>1.834492878381506</v>
      </c>
      <c r="N45" s="3" cm="1">
        <f t="array" ref="N45">lmb_2(H45)</f>
        <v>0.38735975548233331</v>
      </c>
      <c r="O45" s="3" cm="1">
        <f t="array" ref="O45">lmb_2(I45)</f>
        <v>0.56263706419519977</v>
      </c>
      <c r="P45" s="3" cm="1">
        <f t="array" ref="P45">lmb_2(J45)</f>
        <v>0.11112839845260043</v>
      </c>
      <c r="R45" s="3">
        <f t="shared" si="12"/>
        <v>1711.9600251588763</v>
      </c>
      <c r="S45" s="3">
        <f t="shared" si="13"/>
        <v>36342.871108233048</v>
      </c>
      <c r="T45" s="3">
        <f t="shared" si="14"/>
        <v>661.10766291710775</v>
      </c>
      <c r="U45" s="3">
        <f t="shared" si="4"/>
        <v>461.84492182155952</v>
      </c>
      <c r="V45" s="3">
        <f t="shared" si="5"/>
        <v>0</v>
      </c>
      <c r="W45" s="3">
        <f t="shared" si="15"/>
        <v>77.331808313976424</v>
      </c>
      <c r="Y45" s="3">
        <f t="shared" si="16"/>
        <v>43407.689167424403</v>
      </c>
      <c r="AA45" s="3">
        <f t="shared" si="17"/>
        <v>9.6616890052002344E-2</v>
      </c>
      <c r="AB45" s="3">
        <f t="shared" si="18"/>
        <v>0.31083257559657795</v>
      </c>
      <c r="AD45" s="3">
        <f t="shared" si="19"/>
        <v>1.0192103110126666E-7</v>
      </c>
    </row>
    <row r="46" spans="3:30" x14ac:dyDescent="0.3">
      <c r="C46" s="22">
        <v>14</v>
      </c>
      <c r="D46" s="22">
        <v>40659</v>
      </c>
      <c r="F46" s="3">
        <f t="shared" si="6"/>
        <v>11.671495342869983</v>
      </c>
      <c r="G46" s="3">
        <f t="shared" si="7"/>
        <v>2.6777135992562133</v>
      </c>
      <c r="H46" s="3">
        <f t="shared" si="8"/>
        <v>-0.55909317436743944</v>
      </c>
      <c r="I46" s="3">
        <f t="shared" si="9"/>
        <v>-1.1954960573603951E-2</v>
      </c>
      <c r="J46" s="3">
        <f t="shared" si="10"/>
        <v>-2.0859129880163714</v>
      </c>
      <c r="K46" s="3">
        <f t="shared" si="11"/>
        <v>3909.9415772841967</v>
      </c>
      <c r="L46" s="3" cm="1">
        <f t="array" ref="L46">lmb_2(F46)</f>
        <v>9.4278294479137212</v>
      </c>
      <c r="M46" s="3" cm="1">
        <f t="array" ref="M46">lmb_2(G46)</f>
        <v>1.9897197829984334</v>
      </c>
      <c r="N46" s="3" cm="1">
        <f t="array" ref="N46">lmb_2(H46)</f>
        <v>0.38790406100852076</v>
      </c>
      <c r="O46" s="3" cm="1">
        <f t="array" ref="O46">lmb_2(I46)</f>
        <v>0.56282736730259331</v>
      </c>
      <c r="P46" s="3" cm="1">
        <f t="array" ref="P46">lmb_2(J46)</f>
        <v>0.11113116055980957</v>
      </c>
      <c r="R46" s="3">
        <f t="shared" si="12"/>
        <v>1393.1166702909959</v>
      </c>
      <c r="S46" s="3">
        <f t="shared" si="13"/>
        <v>34211.562874817544</v>
      </c>
      <c r="T46" s="3">
        <f t="shared" si="14"/>
        <v>710.6842518529246</v>
      </c>
      <c r="U46" s="3">
        <f t="shared" si="4"/>
        <v>497.142739419507</v>
      </c>
      <c r="V46" s="3">
        <f t="shared" si="5"/>
        <v>0</v>
      </c>
      <c r="W46" s="3">
        <f t="shared" si="15"/>
        <v>79.43425510735922</v>
      </c>
      <c r="Y46" s="3">
        <f t="shared" si="16"/>
        <v>40801.882368772523</v>
      </c>
      <c r="AA46" s="3">
        <f t="shared" si="17"/>
        <v>20415.371306047393</v>
      </c>
      <c r="AB46" s="3">
        <f t="shared" si="18"/>
        <v>-142.88236877252348</v>
      </c>
      <c r="AD46" s="3">
        <f t="shared" si="19"/>
        <v>4.6850682633687709E-5</v>
      </c>
    </row>
    <row r="47" spans="3:30" x14ac:dyDescent="0.3">
      <c r="C47" s="22">
        <v>15</v>
      </c>
      <c r="D47" s="22">
        <v>37558</v>
      </c>
      <c r="F47" s="3">
        <f t="shared" si="6"/>
        <v>13.220313040874563</v>
      </c>
      <c r="G47" s="3">
        <f t="shared" si="7"/>
        <v>2.93168124760499</v>
      </c>
      <c r="H47" s="3">
        <f t="shared" si="8"/>
        <v>-0.55700035479921384</v>
      </c>
      <c r="I47" s="3">
        <f t="shared" si="9"/>
        <v>-1.1387333759748581E-2</v>
      </c>
      <c r="J47" s="3">
        <f t="shared" si="10"/>
        <v>-2.0858833254242626</v>
      </c>
      <c r="K47" s="3">
        <f t="shared" si="11"/>
        <v>3681.4863406416043</v>
      </c>
      <c r="L47" s="3" cm="1">
        <f t="array" ref="L47">lmb_2(F47)</f>
        <v>10.837317535326985</v>
      </c>
      <c r="M47" s="3" cm="1">
        <f t="array" ref="M47">lmb_2(G47)</f>
        <v>2.1610753175754178</v>
      </c>
      <c r="N47" s="3" cm="1">
        <f t="array" ref="N47">lmb_2(H47)</f>
        <v>0.38848929904368107</v>
      </c>
      <c r="O47" s="3" cm="1">
        <f t="array" ref="O47">lmb_2(I47)</f>
        <v>0.56303181280635339</v>
      </c>
      <c r="P47" s="3" cm="1">
        <f t="array" ref="P47">lmb_2(J47)</f>
        <v>0.11113412733637328</v>
      </c>
      <c r="R47" s="3">
        <f t="shared" si="12"/>
        <v>1143.8820715588045</v>
      </c>
      <c r="S47" s="3">
        <f t="shared" si="13"/>
        <v>31919.332006948895</v>
      </c>
      <c r="T47" s="3">
        <f t="shared" si="14"/>
        <v>759.97987251380687</v>
      </c>
      <c r="U47" s="3">
        <f t="shared" si="4"/>
        <v>532.38987459950408</v>
      </c>
      <c r="V47" s="3">
        <f t="shared" si="5"/>
        <v>0</v>
      </c>
      <c r="W47" s="3">
        <f t="shared" si="15"/>
        <v>81.536701900742031</v>
      </c>
      <c r="Y47" s="3">
        <f t="shared" si="16"/>
        <v>38118.606868163355</v>
      </c>
      <c r="AA47" s="3">
        <f t="shared" si="17"/>
        <v>314280.06063192541</v>
      </c>
      <c r="AB47" s="3">
        <f t="shared" si="18"/>
        <v>-560.6068681633551</v>
      </c>
      <c r="AD47" s="3">
        <f t="shared" si="19"/>
        <v>1.8382124182446873E-4</v>
      </c>
    </row>
    <row r="48" spans="3:30" x14ac:dyDescent="0.3">
      <c r="C48" s="22">
        <v>16</v>
      </c>
      <c r="D48" s="22">
        <v>35295</v>
      </c>
      <c r="F48" s="3">
        <f t="shared" si="6"/>
        <v>14.875945752534632</v>
      </c>
      <c r="G48" s="3">
        <f t="shared" si="7"/>
        <v>3.2031639061847166</v>
      </c>
      <c r="H48" s="3">
        <f t="shared" si="8"/>
        <v>-0.55476320284697267</v>
      </c>
      <c r="I48" s="3">
        <f t="shared" si="9"/>
        <v>-1.0780560269075598E-2</v>
      </c>
      <c r="J48" s="3">
        <f t="shared" si="10"/>
        <v>-2.0858516171361461</v>
      </c>
      <c r="K48" s="3">
        <f t="shared" si="11"/>
        <v>3466.3795886548037</v>
      </c>
      <c r="L48" s="3" cm="1">
        <f t="array" ref="L48">lmb_2(F48)</f>
        <v>12.361369505247666</v>
      </c>
      <c r="M48" s="3" cm="1">
        <f t="array" ref="M48">lmb_2(G48)</f>
        <v>2.3491221857780995</v>
      </c>
      <c r="N48" s="3" cm="1">
        <f t="array" ref="N48">lmb_2(H48)</f>
        <v>0.38911560124011868</v>
      </c>
      <c r="O48" s="3" cm="1">
        <f t="array" ref="O48">lmb_2(I48)</f>
        <v>0.56325041053420644</v>
      </c>
      <c r="P48" s="3" cm="1">
        <f t="array" ref="P48">lmb_2(J48)</f>
        <v>0.11113729879704032</v>
      </c>
      <c r="R48" s="3">
        <f t="shared" si="12"/>
        <v>947.69264472490636</v>
      </c>
      <c r="S48" s="3">
        <f t="shared" si="13"/>
        <v>29563.147202685039</v>
      </c>
      <c r="T48" s="3">
        <f t="shared" si="14"/>
        <v>808.97551846353031</v>
      </c>
      <c r="U48" s="3">
        <f t="shared" si="4"/>
        <v>567.58275819429002</v>
      </c>
      <c r="V48" s="3">
        <f t="shared" si="5"/>
        <v>0</v>
      </c>
      <c r="W48" s="3">
        <f t="shared" si="15"/>
        <v>83.639148694124827</v>
      </c>
      <c r="Y48" s="3">
        <f t="shared" si="16"/>
        <v>35437.416861416692</v>
      </c>
      <c r="AA48" s="3">
        <f t="shared" si="17"/>
        <v>20282.562415781245</v>
      </c>
      <c r="AB48" s="3">
        <f t="shared" si="18"/>
        <v>-142.41686141669197</v>
      </c>
      <c r="AD48" s="3">
        <f t="shared" si="19"/>
        <v>4.6698044225050812E-5</v>
      </c>
    </row>
    <row r="49" spans="3:30" x14ac:dyDescent="0.3">
      <c r="C49" s="22">
        <v>17</v>
      </c>
      <c r="D49" s="22">
        <v>32789</v>
      </c>
      <c r="F49" s="3">
        <f t="shared" si="6"/>
        <v>16.63839347785019</v>
      </c>
      <c r="G49" s="3">
        <f t="shared" si="7"/>
        <v>3.4921615749953938</v>
      </c>
      <c r="H49" s="3">
        <f t="shared" si="8"/>
        <v>-0.55238171851071594</v>
      </c>
      <c r="I49" s="3">
        <f t="shared" si="9"/>
        <v>-1.0134640101585005E-2</v>
      </c>
      <c r="J49" s="3">
        <f t="shared" si="10"/>
        <v>-2.0858178631520219</v>
      </c>
      <c r="K49" s="3">
        <f t="shared" si="11"/>
        <v>3263.8413784114582</v>
      </c>
      <c r="L49" s="3" cm="1">
        <f t="array" ref="L49">lmb_2(F49)</f>
        <v>13.999380405933337</v>
      </c>
      <c r="M49" s="3" cm="1">
        <f t="array" ref="M49">lmb_2(G49)</f>
        <v>2.5543599079791846</v>
      </c>
      <c r="N49" s="3" cm="1">
        <f t="array" ref="N49">lmb_2(H49)</f>
        <v>0.38978310838719721</v>
      </c>
      <c r="O49" s="3" cm="1">
        <f t="array" ref="O49">lmb_2(I49)</f>
        <v>0.56348317099111711</v>
      </c>
      <c r="P49" s="3" cm="1">
        <f t="array" ref="P49">lmb_2(J49)</f>
        <v>0.11114067495757711</v>
      </c>
      <c r="R49" s="3">
        <f t="shared" si="12"/>
        <v>792.01221066530752</v>
      </c>
      <c r="S49" s="3">
        <f t="shared" si="13"/>
        <v>27219.034280438951</v>
      </c>
      <c r="T49" s="3">
        <f t="shared" si="14"/>
        <v>857.65239936579542</v>
      </c>
      <c r="U49" s="3">
        <f t="shared" si="4"/>
        <v>602.71783153971182</v>
      </c>
      <c r="V49" s="3">
        <f t="shared" si="5"/>
        <v>0</v>
      </c>
      <c r="W49" s="3">
        <f t="shared" si="15"/>
        <v>85.741595487507624</v>
      </c>
      <c r="Y49" s="3">
        <f t="shared" si="16"/>
        <v>32820.999695908729</v>
      </c>
      <c r="AA49" s="3">
        <f t="shared" si="17"/>
        <v>1023.980538251149</v>
      </c>
      <c r="AB49" s="3">
        <f t="shared" si="18"/>
        <v>-31.999695908729336</v>
      </c>
      <c r="AD49" s="3">
        <f t="shared" si="19"/>
        <v>1.0492600383614954E-5</v>
      </c>
    </row>
    <row r="50" spans="3:30" x14ac:dyDescent="0.3">
      <c r="C50" s="22">
        <v>18</v>
      </c>
      <c r="D50" s="22">
        <v>29994</v>
      </c>
      <c r="F50" s="3">
        <f t="shared" si="6"/>
        <v>18.507656216821232</v>
      </c>
      <c r="G50" s="3">
        <f t="shared" si="7"/>
        <v>3.7986742540370204</v>
      </c>
      <c r="H50" s="3">
        <f t="shared" si="8"/>
        <v>-0.54985590179044364</v>
      </c>
      <c r="I50" s="3">
        <f t="shared" si="9"/>
        <v>-9.4495732572767999E-3</v>
      </c>
      <c r="J50" s="3">
        <f t="shared" si="10"/>
        <v>-2.08578206347189</v>
      </c>
      <c r="K50" s="3">
        <f t="shared" si="11"/>
        <v>3073.137338535038</v>
      </c>
      <c r="L50" s="3" cm="1">
        <f t="array" ref="L50">lmb_2(F50)</f>
        <v>15.750767145109752</v>
      </c>
      <c r="M50" s="3" cm="1">
        <f t="array" ref="M50">lmb_2(G50)</f>
        <v>2.7772228135773109</v>
      </c>
      <c r="N50" s="3" cm="1">
        <f t="array" ref="N50">lmb_2(H50)</f>
        <v>0.39049197042227396</v>
      </c>
      <c r="O50" s="3" cm="1">
        <f t="array" ref="O50">lmb_2(I50)</f>
        <v>0.56373010535917933</v>
      </c>
      <c r="P50" s="3" cm="1">
        <f t="array" ref="P50">lmb_2(J50)</f>
        <v>0.11114425583476778</v>
      </c>
      <c r="R50" s="3">
        <f t="shared" si="12"/>
        <v>667.42302167793844</v>
      </c>
      <c r="S50" s="3">
        <f t="shared" si="13"/>
        <v>24943.446378932771</v>
      </c>
      <c r="T50" s="3">
        <f t="shared" si="14"/>
        <v>905.99195414579617</v>
      </c>
      <c r="U50" s="3">
        <f t="shared" si="4"/>
        <v>637.79154715839741</v>
      </c>
      <c r="V50" s="3">
        <f t="shared" si="5"/>
        <v>0</v>
      </c>
      <c r="W50" s="3">
        <f t="shared" si="15"/>
        <v>87.844042280890434</v>
      </c>
      <c r="Y50" s="3">
        <f t="shared" si="16"/>
        <v>30315.634282730833</v>
      </c>
      <c r="AA50" s="3">
        <f t="shared" si="17"/>
        <v>103448.61182777719</v>
      </c>
      <c r="AB50" s="3">
        <f t="shared" si="18"/>
        <v>-321.63428273083264</v>
      </c>
      <c r="AD50" s="3">
        <f t="shared" si="19"/>
        <v>1.0546287714704921E-4</v>
      </c>
    </row>
    <row r="51" spans="3:30" x14ac:dyDescent="0.3">
      <c r="C51" s="22">
        <v>19</v>
      </c>
      <c r="D51" s="22">
        <v>27954</v>
      </c>
      <c r="F51" s="3">
        <f t="shared" si="6"/>
        <v>20.483733969447769</v>
      </c>
      <c r="G51" s="3">
        <f t="shared" si="7"/>
        <v>4.1227019433095986</v>
      </c>
      <c r="H51" s="3">
        <f t="shared" si="8"/>
        <v>-0.54718575268615588</v>
      </c>
      <c r="I51" s="3">
        <f t="shared" si="9"/>
        <v>-8.7253597361509824E-3</v>
      </c>
      <c r="J51" s="3">
        <f t="shared" si="10"/>
        <v>-2.0857442180957513</v>
      </c>
      <c r="K51" s="3">
        <f t="shared" si="11"/>
        <v>2893.5760064708738</v>
      </c>
      <c r="L51" s="3" cm="1">
        <f t="array" ref="L51">lmb_2(F51)</f>
        <v>17.614984062427741</v>
      </c>
      <c r="M51" s="3" cm="1">
        <f t="array" ref="M51">lmb_2(G51)</f>
        <v>3.0180808079808328</v>
      </c>
      <c r="N51" s="3" cm="1">
        <f t="array" ref="N51">lmb_2(H51)</f>
        <v>0.39124234644215117</v>
      </c>
      <c r="O51" s="3" cm="1">
        <f t="array" ref="O51">lmb_2(I51)</f>
        <v>0.56399122549749803</v>
      </c>
      <c r="P51" s="3" cm="1">
        <f t="array" ref="P51">lmb_2(J51)</f>
        <v>0.11114804144641434</v>
      </c>
      <c r="R51" s="3">
        <f t="shared" si="12"/>
        <v>566.85733144023084</v>
      </c>
      <c r="S51" s="3">
        <f t="shared" si="13"/>
        <v>22775.680009753763</v>
      </c>
      <c r="T51" s="3">
        <f t="shared" si="14"/>
        <v>953.97586391665686</v>
      </c>
      <c r="U51" s="3">
        <f t="shared" si="4"/>
        <v>672.80036944025233</v>
      </c>
      <c r="V51" s="3">
        <f t="shared" si="5"/>
        <v>0</v>
      </c>
      <c r="W51" s="3">
        <f t="shared" si="15"/>
        <v>89.946489074273231</v>
      </c>
      <c r="Y51" s="3">
        <f t="shared" si="16"/>
        <v>27952.836070096055</v>
      </c>
      <c r="AA51" s="3">
        <f t="shared" si="17"/>
        <v>1.3547328212979879</v>
      </c>
      <c r="AB51" s="3">
        <f t="shared" si="18"/>
        <v>1.1639299039452453</v>
      </c>
      <c r="AD51" s="3">
        <f t="shared" si="19"/>
        <v>3.8164898164876799E-7</v>
      </c>
    </row>
    <row r="52" spans="3:30" x14ac:dyDescent="0.3">
      <c r="C52" s="22">
        <v>20</v>
      </c>
      <c r="D52" s="22">
        <v>25950</v>
      </c>
      <c r="F52" s="3">
        <f t="shared" si="6"/>
        <v>22.566626735729791</v>
      </c>
      <c r="G52" s="3">
        <f t="shared" si="7"/>
        <v>4.4642446428131262</v>
      </c>
      <c r="H52" s="3">
        <f t="shared" si="8"/>
        <v>-0.54437127119785245</v>
      </c>
      <c r="I52" s="3">
        <f t="shared" si="9"/>
        <v>-7.9619995382075523E-3</v>
      </c>
      <c r="J52" s="3">
        <f t="shared" si="10"/>
        <v>-2.0857043270236044</v>
      </c>
      <c r="K52" s="3">
        <f t="shared" si="11"/>
        <v>2724.5063213527674</v>
      </c>
      <c r="L52" s="3" cm="1">
        <f t="array" ref="L52">lmb_2(F52)</f>
        <v>19.591529434609996</v>
      </c>
      <c r="M52" s="3" cm="1">
        <f t="array" ref="M52">lmb_2(G52)</f>
        <v>3.2772423277756499</v>
      </c>
      <c r="N52" s="3" cm="1">
        <f t="array" ref="N52">lmb_2(H52)</f>
        <v>0.39203440471500822</v>
      </c>
      <c r="O52" s="3" cm="1">
        <f t="array" ref="O52">lmb_2(I52)</f>
        <v>0.56426654394206321</v>
      </c>
      <c r="P52" s="3" cm="1">
        <f t="array" ref="P52">lmb_2(J52)</f>
        <v>0.11115203181133688</v>
      </c>
      <c r="R52" s="3">
        <f t="shared" si="12"/>
        <v>484.99598120942812</v>
      </c>
      <c r="S52" s="3">
        <f t="shared" si="13"/>
        <v>20740.76955117366</v>
      </c>
      <c r="T52" s="3">
        <f t="shared" si="14"/>
        <v>1001.5860646578516</v>
      </c>
      <c r="U52" s="3">
        <f t="shared" si="4"/>
        <v>707.74077531958437</v>
      </c>
      <c r="V52" s="3">
        <f t="shared" si="5"/>
        <v>0</v>
      </c>
      <c r="W52" s="3">
        <f t="shared" si="15"/>
        <v>92.048935867656041</v>
      </c>
      <c r="Y52" s="3">
        <f t="shared" si="16"/>
        <v>25751.647629580948</v>
      </c>
      <c r="AA52" s="3">
        <f t="shared" si="17"/>
        <v>39343.662850856825</v>
      </c>
      <c r="AB52" s="3">
        <f t="shared" si="18"/>
        <v>198.35237041905202</v>
      </c>
      <c r="AD52" s="3">
        <f t="shared" si="19"/>
        <v>6.5039122993107329E-5</v>
      </c>
    </row>
    <row r="53" spans="3:30" x14ac:dyDescent="0.3">
      <c r="C53" s="22">
        <v>21</v>
      </c>
      <c r="D53" s="22">
        <v>23882</v>
      </c>
      <c r="F53" s="3">
        <f t="shared" si="6"/>
        <v>24.756334515667312</v>
      </c>
      <c r="G53" s="3">
        <f t="shared" si="7"/>
        <v>4.8233023525476035</v>
      </c>
      <c r="H53" s="3">
        <f t="shared" si="8"/>
        <v>-0.54141245732553345</v>
      </c>
      <c r="I53" s="3">
        <f t="shared" si="9"/>
        <v>-7.1594926634465129E-3</v>
      </c>
      <c r="J53" s="3">
        <f t="shared" si="10"/>
        <v>-2.0856623902554503</v>
      </c>
      <c r="K53" s="3">
        <f t="shared" si="11"/>
        <v>2565.3152633597165</v>
      </c>
      <c r="L53" s="3" cm="1">
        <f t="array" ref="L53">lmb_2(F53)</f>
        <v>21.679946793283232</v>
      </c>
      <c r="M53" s="3" cm="1">
        <f t="array" ref="M53">lmb_2(G53)</f>
        <v>3.5549588613990144</v>
      </c>
      <c r="N53" s="3" cm="1">
        <f t="array" ref="N53">lmb_2(H53)</f>
        <v>0.39286832269277838</v>
      </c>
      <c r="O53" s="3" cm="1">
        <f t="array" ref="O53">lmb_2(I53)</f>
        <v>0.56455607390561657</v>
      </c>
      <c r="P53" s="3" cm="1">
        <f t="array" ref="P53">lmb_2(J53)</f>
        <v>0.11115622694937351</v>
      </c>
      <c r="R53" s="3">
        <f t="shared" si="12"/>
        <v>417.81510974956319</v>
      </c>
      <c r="S53" s="3">
        <f t="shared" si="13"/>
        <v>18852.438740966852</v>
      </c>
      <c r="T53" s="3">
        <f t="shared" si="14"/>
        <v>1048.8047596330271</v>
      </c>
      <c r="U53" s="3">
        <f t="shared" si="4"/>
        <v>742.60925494866729</v>
      </c>
      <c r="V53" s="3">
        <f t="shared" si="5"/>
        <v>0</v>
      </c>
      <c r="W53" s="3">
        <f t="shared" si="15"/>
        <v>94.151382661038838</v>
      </c>
      <c r="Y53" s="3">
        <f t="shared" si="16"/>
        <v>23721.134511318865</v>
      </c>
      <c r="AA53" s="3">
        <f t="shared" si="17"/>
        <v>25877.705448620243</v>
      </c>
      <c r="AB53" s="3">
        <f t="shared" si="18"/>
        <v>160.86548868113459</v>
      </c>
      <c r="AD53" s="3">
        <f t="shared" si="19"/>
        <v>5.2747291507405578E-5</v>
      </c>
    </row>
    <row r="54" spans="3:30" x14ac:dyDescent="0.3">
      <c r="C54" s="22">
        <v>22</v>
      </c>
      <c r="D54" s="22">
        <v>21911</v>
      </c>
      <c r="F54" s="3">
        <f t="shared" si="6"/>
        <v>27.052857309260304</v>
      </c>
      <c r="G54" s="3">
        <f t="shared" si="7"/>
        <v>5.1998750725130307</v>
      </c>
      <c r="H54" s="3">
        <f t="shared" si="8"/>
        <v>-0.53830931106919888</v>
      </c>
      <c r="I54" s="3">
        <f t="shared" si="9"/>
        <v>-6.3178391118678609E-3</v>
      </c>
      <c r="J54" s="3">
        <f t="shared" si="10"/>
        <v>-2.0856184077912885</v>
      </c>
      <c r="K54" s="3">
        <f t="shared" si="11"/>
        <v>2415.4256310034275</v>
      </c>
      <c r="L54" s="3" cm="1">
        <f t="array" ref="L54">lmb_2(F54)</f>
        <v>23.879823415427101</v>
      </c>
      <c r="M54" s="3" cm="1">
        <f t="array" ref="M54">lmb_2(G54)</f>
        <v>3.8514304482254609</v>
      </c>
      <c r="N54" s="3" cm="1">
        <f t="array" ref="N54">lmb_2(H54)</f>
        <v>0.39374428702392961</v>
      </c>
      <c r="O54" s="3" cm="1">
        <f t="array" ref="O54">lmb_2(I54)</f>
        <v>0.56485982927750844</v>
      </c>
      <c r="P54" s="3" cm="1">
        <f t="array" ref="P54">lmb_2(J54)</f>
        <v>0.11116062688138058</v>
      </c>
      <c r="R54" s="3">
        <f t="shared" si="12"/>
        <v>362.25081106782511</v>
      </c>
      <c r="S54" s="3">
        <f t="shared" si="13"/>
        <v>17115.835097522202</v>
      </c>
      <c r="T54" s="3">
        <f t="shared" si="14"/>
        <v>1095.6144315349934</v>
      </c>
      <c r="U54" s="3">
        <f t="shared" si="4"/>
        <v>777.40231236755596</v>
      </c>
      <c r="V54" s="3">
        <f t="shared" si="5"/>
        <v>0</v>
      </c>
      <c r="W54" s="3">
        <f t="shared" si="15"/>
        <v>96.253829454421634</v>
      </c>
      <c r="Y54" s="3">
        <f t="shared" si="16"/>
        <v>21862.782112950423</v>
      </c>
      <c r="AA54" s="3">
        <f t="shared" si="17"/>
        <v>2324.9646315257901</v>
      </c>
      <c r="AB54" s="3">
        <f t="shared" si="18"/>
        <v>48.217887049577257</v>
      </c>
      <c r="AD54" s="3">
        <f t="shared" si="19"/>
        <v>1.5810494624590532E-5</v>
      </c>
    </row>
    <row r="55" spans="3:30" x14ac:dyDescent="0.3">
      <c r="C55" s="22">
        <v>23</v>
      </c>
      <c r="D55" s="22">
        <v>20310</v>
      </c>
      <c r="F55" s="3">
        <f t="shared" si="6"/>
        <v>29.456195116508795</v>
      </c>
      <c r="G55" s="3">
        <f t="shared" si="7"/>
        <v>5.5939628027094086</v>
      </c>
      <c r="H55" s="3">
        <f t="shared" si="8"/>
        <v>-0.53506183242884886</v>
      </c>
      <c r="I55" s="3">
        <f t="shared" si="9"/>
        <v>-5.4370388834715927E-3</v>
      </c>
      <c r="J55" s="3">
        <f t="shared" si="10"/>
        <v>-2.0855723796311194</v>
      </c>
      <c r="K55" s="3">
        <f t="shared" si="11"/>
        <v>2274.2939482874012</v>
      </c>
      <c r="L55" s="3" cm="1">
        <f t="array" ref="L55">lmb_2(F55)</f>
        <v>26.190787393768762</v>
      </c>
      <c r="M55" s="3" cm="1">
        <f t="array" ref="M55">lmb_2(G55)</f>
        <v>4.1668116513505167</v>
      </c>
      <c r="N55" s="3" cm="1">
        <f t="array" ref="N55">lmb_2(H55)</f>
        <v>0.39466249356660743</v>
      </c>
      <c r="O55" s="3" cm="1">
        <f t="array" ref="O55">lmb_2(I55)</f>
        <v>0.56517782462354671</v>
      </c>
      <c r="P55" s="3" cm="1">
        <f t="array" ref="P55">lmb_2(J55)</f>
        <v>0.11116523162923279</v>
      </c>
      <c r="R55" s="3">
        <f t="shared" si="12"/>
        <v>315.95307542123186</v>
      </c>
      <c r="S55" s="3">
        <f t="shared" si="13"/>
        <v>15529.89851596108</v>
      </c>
      <c r="T55" s="3">
        <f t="shared" si="14"/>
        <v>1141.9978543459906</v>
      </c>
      <c r="U55" s="3">
        <f t="shared" si="4"/>
        <v>812.11646616996177</v>
      </c>
      <c r="V55" s="3">
        <f t="shared" si="5"/>
        <v>0</v>
      </c>
      <c r="W55" s="3">
        <f t="shared" si="15"/>
        <v>98.356276247804431</v>
      </c>
      <c r="Y55" s="3">
        <f t="shared" si="16"/>
        <v>20172.616136433469</v>
      </c>
      <c r="AA55" s="3">
        <f t="shared" si="17"/>
        <v>18874.325968467103</v>
      </c>
      <c r="AB55" s="3">
        <f t="shared" si="18"/>
        <v>137.38386356653064</v>
      </c>
      <c r="AD55" s="3">
        <f t="shared" si="19"/>
        <v>4.5047739943286369E-5</v>
      </c>
    </row>
    <row r="56" spans="3:30" x14ac:dyDescent="0.3">
      <c r="C56" s="22">
        <v>24</v>
      </c>
      <c r="D56" s="22">
        <v>18574</v>
      </c>
      <c r="F56" s="3">
        <f t="shared" si="6"/>
        <v>31.96634793741277</v>
      </c>
      <c r="G56" s="3">
        <f t="shared" si="7"/>
        <v>6.0055655431367363</v>
      </c>
      <c r="H56" s="3">
        <f t="shared" si="8"/>
        <v>-0.53167002140448316</v>
      </c>
      <c r="I56" s="3">
        <f t="shared" si="9"/>
        <v>-4.5170919782577187E-3</v>
      </c>
      <c r="J56" s="3">
        <f t="shared" si="10"/>
        <v>-2.0855243057749426</v>
      </c>
      <c r="K56" s="3">
        <f t="shared" si="11"/>
        <v>2141.4084941493097</v>
      </c>
      <c r="L56" s="3" cm="1">
        <f t="array" ref="L56">lmb_2(F56)</f>
        <v>28.612504108541554</v>
      </c>
      <c r="M56" s="3" cm="1">
        <f t="array" ref="M56">lmb_2(G56)</f>
        <v>4.5012176042402308</v>
      </c>
      <c r="N56" s="3" cm="1">
        <f t="array" ref="N56">lmb_2(H56)</f>
        <v>0.39562314740209675</v>
      </c>
      <c r="O56" s="3" cm="1">
        <f t="array" ref="O56">lmb_2(I56)</f>
        <v>0.56551007518583685</v>
      </c>
      <c r="P56" s="3" cm="1">
        <f t="array" ref="P56">lmb_2(J56)</f>
        <v>0.11117004121582348</v>
      </c>
      <c r="R56" s="3">
        <f t="shared" si="12"/>
        <v>277.10561754460645</v>
      </c>
      <c r="S56" s="3">
        <f t="shared" si="13"/>
        <v>14089.308895254604</v>
      </c>
      <c r="T56" s="3">
        <f t="shared" si="14"/>
        <v>1187.9381049016979</v>
      </c>
      <c r="U56" s="3">
        <f t="shared" si="4"/>
        <v>846.74825016500313</v>
      </c>
      <c r="V56" s="3">
        <f t="shared" si="5"/>
        <v>0</v>
      </c>
      <c r="W56" s="3">
        <f t="shared" si="15"/>
        <v>100.45872304118724</v>
      </c>
      <c r="Y56" s="3">
        <f t="shared" si="16"/>
        <v>18642.968085056411</v>
      </c>
      <c r="AA56" s="3">
        <f t="shared" si="17"/>
        <v>4756.5967563483327</v>
      </c>
      <c r="AB56" s="3">
        <f t="shared" si="18"/>
        <v>-68.968085056410928</v>
      </c>
      <c r="AD56" s="3">
        <f t="shared" si="19"/>
        <v>2.2614419767741519E-5</v>
      </c>
    </row>
    <row r="57" spans="3:30" x14ac:dyDescent="0.3">
      <c r="C57" s="22">
        <v>25</v>
      </c>
      <c r="D57" s="22">
        <v>17483</v>
      </c>
      <c r="F57" s="3">
        <f t="shared" si="6"/>
        <v>34.583315771972245</v>
      </c>
      <c r="G57" s="3">
        <f t="shared" si="7"/>
        <v>6.4346832937950138</v>
      </c>
      <c r="H57" s="3">
        <f t="shared" si="8"/>
        <v>-0.52813387799610201</v>
      </c>
      <c r="I57" s="3">
        <f t="shared" si="9"/>
        <v>-3.5579983962262321E-3</v>
      </c>
      <c r="J57" s="3">
        <f t="shared" si="10"/>
        <v>-2.0854741862227586</v>
      </c>
      <c r="K57" s="3">
        <f t="shared" si="11"/>
        <v>2016.2874470417103</v>
      </c>
      <c r="L57" s="3" cm="1">
        <f t="array" ref="L57">lmb_2(F57)</f>
        <v>31.144672566517187</v>
      </c>
      <c r="M57" s="3" cm="1">
        <f t="array" ref="M57">lmb_2(G57)</f>
        <v>4.8547298394411724</v>
      </c>
      <c r="N57" s="3" cm="1">
        <f t="array" ref="N57">lmb_2(H57)</f>
        <v>0.39662646284855546</v>
      </c>
      <c r="O57" s="3" cm="1">
        <f t="array" ref="O57">lmb_2(I57)</f>
        <v>0.56585659688261292</v>
      </c>
      <c r="P57" s="3" cm="1">
        <f t="array" ref="P57">lmb_2(J57)</f>
        <v>0.11117505566506448</v>
      </c>
      <c r="R57" s="3">
        <f t="shared" si="12"/>
        <v>244.29373153516406</v>
      </c>
      <c r="S57" s="3">
        <f t="shared" si="13"/>
        <v>12786.019541036247</v>
      </c>
      <c r="T57" s="3">
        <f t="shared" si="14"/>
        <v>1233.4185741478432</v>
      </c>
      <c r="U57" s="3">
        <f t="shared" si="4"/>
        <v>881.29421403464653</v>
      </c>
      <c r="V57" s="3">
        <f t="shared" si="5"/>
        <v>0</v>
      </c>
      <c r="W57" s="3">
        <f t="shared" si="15"/>
        <v>102.56116983457005</v>
      </c>
      <c r="Y57" s="3">
        <f t="shared" si="16"/>
        <v>17263.874677630181</v>
      </c>
      <c r="AA57" s="3">
        <f t="shared" si="17"/>
        <v>48015.906903676929</v>
      </c>
      <c r="AB57" s="3">
        <f t="shared" si="18"/>
        <v>219.1253223698186</v>
      </c>
      <c r="AD57" s="3">
        <f t="shared" si="19"/>
        <v>7.1850509083434816E-5</v>
      </c>
    </row>
    <row r="58" spans="3:30" x14ac:dyDescent="0.3">
      <c r="C58" s="22">
        <v>26</v>
      </c>
      <c r="D58" s="22">
        <v>16209</v>
      </c>
      <c r="F58" s="3">
        <f t="shared" si="6"/>
        <v>37.307098620187197</v>
      </c>
      <c r="G58" s="3">
        <f t="shared" si="7"/>
        <v>6.8813160546842429</v>
      </c>
      <c r="H58" s="3">
        <f t="shared" si="8"/>
        <v>-0.52445340220370529</v>
      </c>
      <c r="I58" s="3">
        <f t="shared" si="9"/>
        <v>-2.5597581373771328E-3</v>
      </c>
      <c r="J58" s="3">
        <f t="shared" si="10"/>
        <v>-2.0854220209745669</v>
      </c>
      <c r="K58" s="3">
        <f t="shared" si="11"/>
        <v>1898.4771379236508</v>
      </c>
      <c r="L58" s="3" cm="1">
        <f t="array" ref="L58">lmb_2(F58)</f>
        <v>33.787021860070041</v>
      </c>
      <c r="M58" s="3" cm="1">
        <f t="array" ref="M58">lmb_2(G58)</f>
        <v>5.2274017058257423</v>
      </c>
      <c r="N58" s="3" cm="1">
        <f t="array" ref="N58">lmb_2(H58)</f>
        <v>0.39767266347497171</v>
      </c>
      <c r="O58" s="3" cm="1">
        <f t="array" ref="O58">lmb_2(I58)</f>
        <v>0.5662174063080595</v>
      </c>
      <c r="P58" s="3" cm="1">
        <f t="array" ref="P58">lmb_2(J58)</f>
        <v>0.11118027500188657</v>
      </c>
      <c r="R58" s="3">
        <f t="shared" si="12"/>
        <v>216.40698546265119</v>
      </c>
      <c r="S58" s="3">
        <f t="shared" si="13"/>
        <v>11610.418473598078</v>
      </c>
      <c r="T58" s="3">
        <f t="shared" si="14"/>
        <v>1278.4229780786434</v>
      </c>
      <c r="U58" s="3">
        <f t="shared" si="4"/>
        <v>915.75092398665242</v>
      </c>
      <c r="V58" s="3">
        <f t="shared" si="5"/>
        <v>0</v>
      </c>
      <c r="W58" s="3">
        <f t="shared" si="15"/>
        <v>104.66361662795285</v>
      </c>
      <c r="Y58" s="3">
        <f t="shared" si="16"/>
        <v>16024.140115677626</v>
      </c>
      <c r="AA58" s="3">
        <f t="shared" si="17"/>
        <v>34173.176831681332</v>
      </c>
      <c r="AB58" s="3">
        <f t="shared" si="18"/>
        <v>184.85988432237355</v>
      </c>
      <c r="AD58" s="3">
        <f t="shared" si="19"/>
        <v>6.0614978926309866E-5</v>
      </c>
    </row>
    <row r="59" spans="3:30" x14ac:dyDescent="0.3">
      <c r="C59" s="22">
        <v>27</v>
      </c>
      <c r="D59" s="22">
        <v>15088</v>
      </c>
      <c r="F59" s="3">
        <f t="shared" si="6"/>
        <v>40.137696482057642</v>
      </c>
      <c r="G59" s="3">
        <f t="shared" si="7"/>
        <v>7.34546382580442</v>
      </c>
      <c r="H59" s="3">
        <f t="shared" si="8"/>
        <v>-0.52062859402729289</v>
      </c>
      <c r="I59" s="3">
        <f t="shared" si="9"/>
        <v>-1.522371201710419E-3</v>
      </c>
      <c r="J59" s="3">
        <f t="shared" si="10"/>
        <v>-2.0853678100303674</v>
      </c>
      <c r="K59" s="3">
        <f t="shared" si="11"/>
        <v>1787.5504053287984</v>
      </c>
      <c r="L59" s="3" cm="1">
        <f t="array" ref="L59">lmb_2(F59)</f>
        <v>36.539307872915117</v>
      </c>
      <c r="M59" s="3" cm="1">
        <f t="array" ref="M59">lmb_2(G59)</f>
        <v>5.6192632625628107</v>
      </c>
      <c r="N59" s="3" cm="1">
        <f t="array" ref="N59">lmb_2(H59)</f>
        <v>0.39876198211529512</v>
      </c>
      <c r="O59" s="3" cm="1">
        <f t="array" ref="O59">lmb_2(I59)</f>
        <v>0.56659252073212363</v>
      </c>
      <c r="P59" s="3" cm="1">
        <f t="array" ref="P59">lmb_2(J59)</f>
        <v>0.11118569925223939</v>
      </c>
      <c r="R59" s="3">
        <f t="shared" si="12"/>
        <v>192.56718271738094</v>
      </c>
      <c r="S59" s="3">
        <f t="shared" si="13"/>
        <v>10552.175665983174</v>
      </c>
      <c r="T59" s="3">
        <f t="shared" si="14"/>
        <v>1322.9353683467273</v>
      </c>
      <c r="U59" s="3">
        <f t="shared" si="4"/>
        <v>950.11496340284748</v>
      </c>
      <c r="V59" s="3">
        <f t="shared" si="5"/>
        <v>0</v>
      </c>
      <c r="W59" s="3">
        <f t="shared" si="15"/>
        <v>106.76606342133564</v>
      </c>
      <c r="Y59" s="3">
        <f t="shared" si="16"/>
        <v>14912.109649200263</v>
      </c>
      <c r="AA59" s="3">
        <f t="shared" si="17"/>
        <v>30937.415504454384</v>
      </c>
      <c r="AB59" s="3">
        <f t="shared" si="18"/>
        <v>175.89035079973655</v>
      </c>
      <c r="AD59" s="3">
        <f t="shared" si="19"/>
        <v>5.7673896887627292E-5</v>
      </c>
    </row>
    <row r="60" spans="3:30" x14ac:dyDescent="0.3">
      <c r="C60" s="22">
        <v>28</v>
      </c>
      <c r="D60" s="22">
        <v>13862</v>
      </c>
      <c r="F60" s="3">
        <f t="shared" si="6"/>
        <v>43.075109357583571</v>
      </c>
      <c r="G60" s="3">
        <f t="shared" si="7"/>
        <v>7.8271266071555505</v>
      </c>
      <c r="H60" s="3">
        <f t="shared" si="8"/>
        <v>-0.51665945346686504</v>
      </c>
      <c r="I60" s="3">
        <f t="shared" si="9"/>
        <v>-4.4583758922609774E-4</v>
      </c>
      <c r="J60" s="3">
        <f t="shared" si="10"/>
        <v>-2.0853115533901607</v>
      </c>
      <c r="K60" s="3">
        <f t="shared" si="11"/>
        <v>1683.1050465458145</v>
      </c>
      <c r="L60" s="3" cm="1">
        <f t="array" ref="L60">lmb_2(F60)</f>
        <v>39.401310285846691</v>
      </c>
      <c r="M60" s="3" cm="1">
        <f t="array" ref="M60">lmb_2(G60)</f>
        <v>6.0303256010215689</v>
      </c>
      <c r="N60" s="3" cm="1">
        <f t="array" ref="N60">lmb_2(H60)</f>
        <v>0.39989466088268832</v>
      </c>
      <c r="O60" s="3" cm="1">
        <f t="array" ref="O60">lmb_2(I60)</f>
        <v>0.56698195810031726</v>
      </c>
      <c r="P60" s="3" cm="1">
        <f t="array" ref="P60">lmb_2(J60)</f>
        <v>0.11119132844309179</v>
      </c>
      <c r="R60" s="3">
        <f t="shared" si="12"/>
        <v>172.0746943839946</v>
      </c>
      <c r="S60" s="3">
        <f t="shared" si="13"/>
        <v>9600.8373404243339</v>
      </c>
      <c r="T60" s="3">
        <f t="shared" si="14"/>
        <v>1366.9401425345904</v>
      </c>
      <c r="U60" s="3">
        <f t="shared" si="4"/>
        <v>984.38293348253933</v>
      </c>
      <c r="V60" s="3">
        <f t="shared" si="5"/>
        <v>0</v>
      </c>
      <c r="W60" s="3">
        <f t="shared" si="15"/>
        <v>108.86851021471844</v>
      </c>
      <c r="Y60" s="3">
        <f t="shared" si="16"/>
        <v>13916.208667585992</v>
      </c>
      <c r="AA60" s="3">
        <f t="shared" si="17"/>
        <v>2938.5796414485649</v>
      </c>
      <c r="AB60" s="3">
        <f t="shared" si="18"/>
        <v>-54.208667585991861</v>
      </c>
      <c r="AD60" s="3">
        <f t="shared" si="19"/>
        <v>1.7774852858925795E-5</v>
      </c>
    </row>
    <row r="61" spans="3:30" x14ac:dyDescent="0.3">
      <c r="C61" s="22">
        <v>29</v>
      </c>
      <c r="D61" s="22">
        <v>13025</v>
      </c>
      <c r="F61" s="3">
        <f t="shared" si="6"/>
        <v>46.119337246764985</v>
      </c>
      <c r="G61" s="3">
        <f t="shared" si="7"/>
        <v>8.3263043987376282</v>
      </c>
      <c r="H61" s="3">
        <f t="shared" si="8"/>
        <v>-0.51254598052242162</v>
      </c>
      <c r="I61" s="3">
        <f t="shared" si="9"/>
        <v>6.6984270007583793E-4</v>
      </c>
      <c r="J61" s="3">
        <f t="shared" si="10"/>
        <v>-2.0852532510539463</v>
      </c>
      <c r="K61" s="3">
        <f t="shared" si="11"/>
        <v>1584.7623592952175</v>
      </c>
      <c r="L61" s="3" cm="1">
        <f t="array" ref="L61">lmb_2(F61)</f>
        <v>42.372829894309447</v>
      </c>
      <c r="M61" s="3" cm="1">
        <f t="array" ref="M61">lmb_2(G61)</f>
        <v>6.4605845910646016</v>
      </c>
      <c r="N61" s="3" cm="1">
        <f t="array" ref="N61">lmb_2(H61)</f>
        <v>0.40107095118384528</v>
      </c>
      <c r="O61" s="3" cm="1">
        <f t="array" ref="O61">lmb_2(I61)</f>
        <v>0.56738573703351025</v>
      </c>
      <c r="P61" s="3" cm="1">
        <f t="array" ref="P61">lmb_2(J61)</f>
        <v>0.11119716260243194</v>
      </c>
      <c r="R61" s="3">
        <f t="shared" si="12"/>
        <v>154.36820694385858</v>
      </c>
      <c r="S61" s="3">
        <f t="shared" si="13"/>
        <v>8746.2241544419467</v>
      </c>
      <c r="T61" s="3">
        <f t="shared" si="14"/>
        <v>1410.4220540780764</v>
      </c>
      <c r="U61" s="3">
        <f t="shared" si="4"/>
        <v>1018.551453880897</v>
      </c>
      <c r="V61" s="3">
        <f t="shared" si="5"/>
        <v>0</v>
      </c>
      <c r="W61" s="3">
        <f t="shared" si="15"/>
        <v>110.97095700810125</v>
      </c>
      <c r="Y61" s="3">
        <f t="shared" si="16"/>
        <v>13025.299185648097</v>
      </c>
      <c r="AA61" s="3">
        <f t="shared" si="17"/>
        <v>8.9512052027031455E-2</v>
      </c>
      <c r="AB61" s="3">
        <f t="shared" si="18"/>
        <v>-0.29918564809668169</v>
      </c>
      <c r="AD61" s="3">
        <f t="shared" si="19"/>
        <v>9.8102039936415937E-8</v>
      </c>
    </row>
    <row r="62" spans="3:30" x14ac:dyDescent="0.3">
      <c r="C62" s="22">
        <v>30</v>
      </c>
      <c r="D62" s="22">
        <v>12248</v>
      </c>
      <c r="F62" s="3">
        <f t="shared" si="6"/>
        <v>49.270380149601891</v>
      </c>
      <c r="G62" s="3">
        <f t="shared" si="7"/>
        <v>8.8429972005506574</v>
      </c>
      <c r="H62" s="3">
        <f t="shared" si="8"/>
        <v>-0.50828817519396263</v>
      </c>
      <c r="I62" s="3">
        <f t="shared" si="9"/>
        <v>1.8246696661953846E-3</v>
      </c>
      <c r="J62" s="3">
        <f t="shared" si="10"/>
        <v>-2.0851929030217247</v>
      </c>
      <c r="K62" s="3">
        <f t="shared" si="11"/>
        <v>1492.1657686150734</v>
      </c>
      <c r="L62" s="3" cm="1">
        <f t="array" ref="L62">lmb_2(F62)</f>
        <v>45.453686227159231</v>
      </c>
      <c r="M62" s="3" cm="1">
        <f t="array" ref="M62">lmb_2(G62)</f>
        <v>6.9100240782288376</v>
      </c>
      <c r="N62" s="3" cm="1">
        <f t="array" ref="N62">lmb_2(H62)</f>
        <v>0.40229111373331783</v>
      </c>
      <c r="O62" s="3" cm="1">
        <f t="array" ref="O62">lmb_2(I62)</f>
        <v>0.56780387682771238</v>
      </c>
      <c r="P62" s="3" cm="1">
        <f t="array" ref="P62">lmb_2(J62)</f>
        <v>0.11120320175926746</v>
      </c>
      <c r="R62" s="3">
        <f t="shared" si="12"/>
        <v>138.9943200178248</v>
      </c>
      <c r="S62" s="3">
        <f t="shared" si="13"/>
        <v>7978.6822625187997</v>
      </c>
      <c r="T62" s="3">
        <f t="shared" si="14"/>
        <v>1453.3662218328088</v>
      </c>
      <c r="U62" s="3">
        <f t="shared" si="4"/>
        <v>1052.6171633421209</v>
      </c>
      <c r="V62" s="3">
        <f t="shared" si="5"/>
        <v>0</v>
      </c>
      <c r="W62" s="3">
        <f t="shared" si="15"/>
        <v>113.07340380148405</v>
      </c>
      <c r="Y62" s="3">
        <f t="shared" si="16"/>
        <v>12228.899140128113</v>
      </c>
      <c r="AA62" s="3">
        <f t="shared" si="17"/>
        <v>364.84284784547162</v>
      </c>
      <c r="AB62" s="3">
        <f t="shared" si="18"/>
        <v>19.100859871887224</v>
      </c>
      <c r="AD62" s="3">
        <f t="shared" si="19"/>
        <v>6.2631123180288273E-6</v>
      </c>
    </row>
    <row r="63" spans="3:30" x14ac:dyDescent="0.3">
      <c r="C63" s="22">
        <v>31</v>
      </c>
      <c r="D63" s="22">
        <v>11524</v>
      </c>
      <c r="F63" s="3">
        <f t="shared" si="6"/>
        <v>52.528238066094289</v>
      </c>
      <c r="G63" s="3">
        <f t="shared" si="7"/>
        <v>9.3772050125946347</v>
      </c>
      <c r="H63" s="3">
        <f t="shared" si="8"/>
        <v>-0.50388603748148808</v>
      </c>
      <c r="I63" s="3">
        <f t="shared" si="9"/>
        <v>3.0186433091325439E-3</v>
      </c>
      <c r="J63" s="3">
        <f t="shared" si="10"/>
        <v>-2.0851305092934953</v>
      </c>
      <c r="K63" s="3">
        <f t="shared" si="11"/>
        <v>1404.979533976827</v>
      </c>
      <c r="L63" s="3" cm="1">
        <f t="array" ref="L63">lmb_2(F63)</f>
        <v>48.643715444743016</v>
      </c>
      <c r="M63" s="3" cm="1">
        <f t="array" ref="M63">lmb_2(G63)</f>
        <v>7.3786185762882956</v>
      </c>
      <c r="N63" s="3" cm="1">
        <f t="array" ref="N63">lmb_2(H63)</f>
        <v>0.40355541856779409</v>
      </c>
      <c r="O63" s="3" cm="1">
        <f t="array" ref="O63">lmb_2(I63)</f>
        <v>0.56823639745384524</v>
      </c>
      <c r="P63" s="3" cm="1">
        <f t="array" ref="P63">lmb_2(J63)</f>
        <v>0.11120944594362565</v>
      </c>
      <c r="R63" s="3">
        <f t="shared" si="12"/>
        <v>125.58442088993549</v>
      </c>
      <c r="S63" s="3">
        <f t="shared" si="13"/>
        <v>7289.2273244685712</v>
      </c>
      <c r="T63" s="3">
        <f t="shared" si="14"/>
        <v>1495.758139274946</v>
      </c>
      <c r="U63" s="3">
        <f t="shared" si="4"/>
        <v>1086.5767203272262</v>
      </c>
      <c r="V63" s="3">
        <f t="shared" si="5"/>
        <v>0</v>
      </c>
      <c r="W63" s="3">
        <f t="shared" si="15"/>
        <v>115.17585059486686</v>
      </c>
      <c r="Y63" s="3">
        <f t="shared" si="16"/>
        <v>11517.301989532374</v>
      </c>
      <c r="AA63" s="3">
        <f t="shared" si="17"/>
        <v>44.863344224425639</v>
      </c>
      <c r="AB63" s="3">
        <f t="shared" si="18"/>
        <v>6.6980104676258634</v>
      </c>
      <c r="AD63" s="3">
        <f t="shared" si="19"/>
        <v>2.1962567207676572E-6</v>
      </c>
    </row>
    <row r="64" spans="3:30" x14ac:dyDescent="0.3">
      <c r="C64" s="22">
        <v>32</v>
      </c>
      <c r="D64" s="22">
        <v>10872</v>
      </c>
      <c r="F64" s="3">
        <f t="shared" si="6"/>
        <v>55.892910996242165</v>
      </c>
      <c r="G64" s="3">
        <f t="shared" si="7"/>
        <v>9.9289278348695635</v>
      </c>
      <c r="H64" s="3">
        <f t="shared" si="8"/>
        <v>-0.49933956738499791</v>
      </c>
      <c r="I64" s="3">
        <f t="shared" si="9"/>
        <v>4.2517636288873159E-3</v>
      </c>
      <c r="J64" s="3">
        <f t="shared" si="10"/>
        <v>-2.0850660698692582</v>
      </c>
      <c r="K64" s="3">
        <f t="shared" si="11"/>
        <v>1322.8875319434819</v>
      </c>
      <c r="L64" s="3" cm="1">
        <f t="array" ref="L64">lmb_2(F64)</f>
        <v>51.94276848973881</v>
      </c>
      <c r="M64" s="3" cm="1">
        <f t="array" ref="M64">lmb_2(G64)</f>
        <v>7.8663355087389313</v>
      </c>
      <c r="N64" s="3" cm="1">
        <f t="array" ref="N64">lmb_2(H64)</f>
        <v>0.40486414506026491</v>
      </c>
      <c r="O64" s="3" cm="1">
        <f t="array" ref="O64">lmb_2(I64)</f>
        <v>0.56868331955750417</v>
      </c>
      <c r="P64" s="3" cm="1">
        <f t="array" ref="P64">lmb_2(J64)</f>
        <v>0.11121589518655377</v>
      </c>
      <c r="R64" s="3">
        <f t="shared" si="12"/>
        <v>113.83696999142452</v>
      </c>
      <c r="S64" s="3">
        <f t="shared" si="13"/>
        <v>6669.6129726899208</v>
      </c>
      <c r="T64" s="3">
        <f t="shared" si="14"/>
        <v>1537.5836833280935</v>
      </c>
      <c r="U64" s="3">
        <f t="shared" si="4"/>
        <v>1120.4268036362641</v>
      </c>
      <c r="V64" s="3">
        <f t="shared" si="5"/>
        <v>0</v>
      </c>
      <c r="W64" s="3">
        <f t="shared" si="15"/>
        <v>117.27829738824965</v>
      </c>
      <c r="Y64" s="3">
        <f t="shared" si="16"/>
        <v>10881.626258977434</v>
      </c>
      <c r="AA64" s="3">
        <f t="shared" si="17"/>
        <v>92.664861900632346</v>
      </c>
      <c r="AB64" s="3">
        <f t="shared" si="18"/>
        <v>-9.6262589774341905</v>
      </c>
      <c r="AD64" s="3">
        <f t="shared" si="19"/>
        <v>3.1564202649766254E-6</v>
      </c>
    </row>
    <row r="65" spans="3:30" x14ac:dyDescent="0.3">
      <c r="C65" s="22">
        <v>33</v>
      </c>
      <c r="D65" s="22">
        <v>10314</v>
      </c>
      <c r="F65" s="3">
        <f t="shared" si="6"/>
        <v>59.36439894004554</v>
      </c>
      <c r="G65" s="3">
        <f t="shared" si="7"/>
        <v>10.498165667375442</v>
      </c>
      <c r="H65" s="3">
        <f t="shared" si="8"/>
        <v>-0.49464876490449228</v>
      </c>
      <c r="I65" s="3">
        <f t="shared" si="9"/>
        <v>5.5240306254596937E-3</v>
      </c>
      <c r="J65" s="3">
        <f t="shared" si="10"/>
        <v>-2.0849995847490139</v>
      </c>
      <c r="K65" s="3">
        <f t="shared" si="11"/>
        <v>1245.5921099562299</v>
      </c>
      <c r="L65" s="3" cm="1">
        <f t="array" ref="L65">lmb_2(F65)</f>
        <v>55.35070946320954</v>
      </c>
      <c r="M65" s="3" cm="1">
        <f t="array" ref="M65">lmb_2(G65)</f>
        <v>8.3731370555378213</v>
      </c>
      <c r="N65" s="3" cm="1">
        <f t="array" ref="N65">lmb_2(H65)</f>
        <v>0.40621758193401747</v>
      </c>
      <c r="O65" s="3" cm="1">
        <f t="array" ref="O65">lmb_2(I65)</f>
        <v>0.56914466445870693</v>
      </c>
      <c r="P65" s="3" cm="1">
        <f t="array" ref="P65">lmb_2(J65)</f>
        <v>0.11122254952011901</v>
      </c>
      <c r="R65" s="3">
        <f t="shared" si="12"/>
        <v>103.50383705033268</v>
      </c>
      <c r="S65" s="3">
        <f t="shared" si="13"/>
        <v>6112.3477460504173</v>
      </c>
      <c r="T65" s="3">
        <f t="shared" si="14"/>
        <v>1578.8291228086794</v>
      </c>
      <c r="U65" s="3">
        <f t="shared" si="4"/>
        <v>1154.1641130248215</v>
      </c>
      <c r="V65" s="3">
        <f t="shared" si="5"/>
        <v>0</v>
      </c>
      <c r="W65" s="3">
        <f t="shared" si="15"/>
        <v>119.38074418163245</v>
      </c>
      <c r="Y65" s="3">
        <f t="shared" si="16"/>
        <v>10313.817673072112</v>
      </c>
      <c r="AA65" s="3">
        <f t="shared" si="17"/>
        <v>3.3243108633231079E-2</v>
      </c>
      <c r="AB65" s="3">
        <f t="shared" si="18"/>
        <v>0.18232692788842542</v>
      </c>
      <c r="AD65" s="3">
        <f t="shared" si="19"/>
        <v>5.9784430419651276E-8</v>
      </c>
    </row>
    <row r="66" spans="3:30" x14ac:dyDescent="0.3">
      <c r="C66" s="22">
        <v>34</v>
      </c>
      <c r="D66" s="22">
        <v>9750</v>
      </c>
      <c r="F66" s="3">
        <f t="shared" si="6"/>
        <v>62.942701897504399</v>
      </c>
      <c r="G66" s="3">
        <f t="shared" si="7"/>
        <v>11.084918510112272</v>
      </c>
      <c r="H66" s="3">
        <f t="shared" si="8"/>
        <v>-0.48981363003997103</v>
      </c>
      <c r="I66" s="3">
        <f t="shared" si="9"/>
        <v>6.8354442988496911E-3</v>
      </c>
      <c r="J66" s="3">
        <f t="shared" si="10"/>
        <v>-2.0849310539327619</v>
      </c>
      <c r="K66" s="3">
        <f t="shared" si="11"/>
        <v>1172.8130070935601</v>
      </c>
      <c r="L66" s="3" cm="1">
        <f t="array" ref="L66">lmb_2(F66)</f>
        <v>58.867414199340239</v>
      </c>
      <c r="M66" s="3" cm="1">
        <f t="array" ref="M66">lmb_2(G66)</f>
        <v>8.898981660130703</v>
      </c>
      <c r="N66" s="3" cm="1">
        <f t="array" ref="N66">lmb_2(H66)</f>
        <v>0.40761602727638996</v>
      </c>
      <c r="O66" s="3" cm="1">
        <f t="array" ref="O66">lmb_2(I66)</f>
        <v>0.56962045415163398</v>
      </c>
      <c r="P66" s="3" cm="1">
        <f t="array" ref="P66">lmb_2(J66)</f>
        <v>0.11122940897740899</v>
      </c>
      <c r="R66" s="3">
        <f t="shared" si="12"/>
        <v>94.379690193124674</v>
      </c>
      <c r="S66" s="3">
        <f t="shared" si="13"/>
        <v>5610.678290774802</v>
      </c>
      <c r="T66" s="3">
        <f t="shared" si="14"/>
        <v>1619.4811264825721</v>
      </c>
      <c r="U66" s="3">
        <f t="shared" si="4"/>
        <v>1187.7853698146114</v>
      </c>
      <c r="V66" s="3">
        <f t="shared" si="5"/>
        <v>0</v>
      </c>
      <c r="W66" s="3">
        <f t="shared" si="15"/>
        <v>121.48319097501526</v>
      </c>
      <c r="Y66" s="3">
        <f t="shared" si="16"/>
        <v>9806.6206753336864</v>
      </c>
      <c r="AA66" s="3">
        <f t="shared" si="17"/>
        <v>3205.9008752427289</v>
      </c>
      <c r="AB66" s="3">
        <f t="shared" si="18"/>
        <v>-56.620675333686449</v>
      </c>
      <c r="AD66" s="3">
        <f t="shared" si="19"/>
        <v>1.8565742668970476E-5</v>
      </c>
    </row>
    <row r="67" spans="3:30" x14ac:dyDescent="0.3">
      <c r="C67" s="22">
        <v>35</v>
      </c>
      <c r="D67" s="22">
        <v>9423</v>
      </c>
      <c r="F67" s="3">
        <f t="shared" si="6"/>
        <v>66.627819868618758</v>
      </c>
      <c r="G67" s="3">
        <f t="shared" si="7"/>
        <v>11.689186363080051</v>
      </c>
      <c r="H67" s="3">
        <f t="shared" si="8"/>
        <v>-0.48483416279143421</v>
      </c>
      <c r="I67" s="3">
        <f t="shared" si="9"/>
        <v>8.1860046490572977E-3</v>
      </c>
      <c r="J67" s="3">
        <f t="shared" si="10"/>
        <v>-2.0848604774205026</v>
      </c>
      <c r="K67" s="3">
        <f t="shared" si="11"/>
        <v>1104.2863378896748</v>
      </c>
      <c r="L67" s="3" cm="1">
        <f t="array" ref="L67">lmb_2(F67)</f>
        <v>62.492769014340233</v>
      </c>
      <c r="M67" s="3" cm="1">
        <f t="array" ref="M67">lmb_2(G67)</f>
        <v>9.4438252480467533</v>
      </c>
      <c r="N67" s="3" cm="1">
        <f t="array" ref="N67">lmb_2(H67)</f>
        <v>0.4090597885522208</v>
      </c>
      <c r="O67" s="3" cm="1">
        <f t="array" ref="O67">lmb_2(I67)</f>
        <v>0.57011071130435498</v>
      </c>
      <c r="P67" s="3" cm="1">
        <f t="array" ref="P67">lmb_2(J67)</f>
        <v>0.11123647359253171</v>
      </c>
      <c r="R67" s="3">
        <f t="shared" si="12"/>
        <v>86.293701584459214</v>
      </c>
      <c r="S67" s="3">
        <f t="shared" si="13"/>
        <v>5158.5517026535545</v>
      </c>
      <c r="T67" s="3">
        <f t="shared" si="14"/>
        <v>1659.5267707261894</v>
      </c>
      <c r="U67" s="3">
        <f t="shared" si="4"/>
        <v>1221.2873174980052</v>
      </c>
      <c r="V67" s="3">
        <f t="shared" si="5"/>
        <v>0</v>
      </c>
      <c r="W67" s="3">
        <f t="shared" si="15"/>
        <v>123.58563776839806</v>
      </c>
      <c r="Y67" s="3">
        <f t="shared" si="16"/>
        <v>9353.5314681202799</v>
      </c>
      <c r="AA67" s="3">
        <f t="shared" si="17"/>
        <v>4825.876921523688</v>
      </c>
      <c r="AB67" s="3">
        <f t="shared" si="18"/>
        <v>69.468531879720103</v>
      </c>
      <c r="AD67" s="3">
        <f t="shared" si="19"/>
        <v>2.2778514718681357E-5</v>
      </c>
    </row>
    <row r="68" spans="3:30" x14ac:dyDescent="0.3">
      <c r="C68" s="22">
        <v>36</v>
      </c>
      <c r="D68" s="22">
        <v>8749</v>
      </c>
      <c r="F68" s="3">
        <f t="shared" si="6"/>
        <v>70.419752853388573</v>
      </c>
      <c r="G68" s="3">
        <f t="shared" si="7"/>
        <v>12.310969226278779</v>
      </c>
      <c r="H68" s="3">
        <f t="shared" si="8"/>
        <v>-0.47971036315888188</v>
      </c>
      <c r="I68" s="3">
        <f t="shared" si="9"/>
        <v>9.5757116760825101E-3</v>
      </c>
      <c r="J68" s="3">
        <f t="shared" si="10"/>
        <v>-2.0847878552122356</v>
      </c>
      <c r="K68" s="3">
        <f t="shared" si="11"/>
        <v>1039.7636355277129</v>
      </c>
      <c r="L68" s="3" cm="1">
        <f t="array" ref="L68">lmb_2(F68)</f>
        <v>66.226669607413271</v>
      </c>
      <c r="M68" s="3" cm="1">
        <f t="array" ref="M68">lmb_2(G68)</f>
        <v>10.007622203297384</v>
      </c>
      <c r="N68" s="3" cm="1">
        <f t="array" ref="N68">lmb_2(H68)</f>
        <v>0.41054918261692169</v>
      </c>
      <c r="O68" s="3" cm="1">
        <f t="array" ref="O68">lmb_2(I68)</f>
        <v>0.57061545925854418</v>
      </c>
      <c r="P68" s="3" cm="1">
        <f t="array" ref="P68">lmb_2(J68)</f>
        <v>0.11124374340061595</v>
      </c>
      <c r="R68" s="3">
        <f t="shared" si="12"/>
        <v>79.103022531455068</v>
      </c>
      <c r="S68" s="3">
        <f t="shared" si="13"/>
        <v>4750.5660973833674</v>
      </c>
      <c r="T68" s="3">
        <f t="shared" si="14"/>
        <v>1698.9535467858836</v>
      </c>
      <c r="U68" s="3">
        <f t="shared" si="4"/>
        <v>1254.6667223363306</v>
      </c>
      <c r="V68" s="3">
        <f t="shared" si="5"/>
        <v>0</v>
      </c>
      <c r="W68" s="3">
        <f t="shared" si="15"/>
        <v>125.68808456178087</v>
      </c>
      <c r="Y68" s="3">
        <f t="shared" si="16"/>
        <v>8948.7411091265312</v>
      </c>
      <c r="AA68" s="3">
        <f t="shared" si="17"/>
        <v>39896.510675096855</v>
      </c>
      <c r="AB68" s="3">
        <f t="shared" si="18"/>
        <v>-199.74110912653123</v>
      </c>
      <c r="AD68" s="3">
        <f t="shared" si="19"/>
        <v>6.5494486079569112E-5</v>
      </c>
    </row>
    <row r="69" spans="3:30" x14ac:dyDescent="0.3">
      <c r="C69" s="22">
        <v>37</v>
      </c>
      <c r="D69" s="22">
        <v>8524</v>
      </c>
      <c r="F69" s="3">
        <f t="shared" si="6"/>
        <v>74.318500851813909</v>
      </c>
      <c r="G69" s="3">
        <f t="shared" si="7"/>
        <v>12.950267099708459</v>
      </c>
      <c r="H69" s="3">
        <f t="shared" si="8"/>
        <v>-0.47444223114231399</v>
      </c>
      <c r="I69" s="3">
        <f t="shared" si="9"/>
        <v>1.1004565379925342E-2</v>
      </c>
      <c r="J69" s="3">
        <f t="shared" si="10"/>
        <v>-2.084713187307961</v>
      </c>
      <c r="K69" s="3">
        <f t="shared" si="11"/>
        <v>979.01095093853871</v>
      </c>
      <c r="L69" s="3" cm="1">
        <f t="array" ref="L69">lmb_2(F69)</f>
        <v>70.069020094198891</v>
      </c>
      <c r="M69" s="3" cm="1">
        <f t="array" ref="M69">lmb_2(G69)</f>
        <v>10.590326143281246</v>
      </c>
      <c r="N69" s="3" cm="1">
        <f t="array" ref="N69">lmb_2(H69)</f>
        <v>0.41208453572910592</v>
      </c>
      <c r="O69" s="3" cm="1">
        <f t="array" ref="O69">lmb_2(I69)</f>
        <v>0.57113472202918414</v>
      </c>
      <c r="P69" s="3" cm="1">
        <f t="array" ref="P69">lmb_2(J69)</f>
        <v>0.11125121843781145</v>
      </c>
      <c r="R69" s="3">
        <f t="shared" si="12"/>
        <v>72.687618985457931</v>
      </c>
      <c r="S69" s="3">
        <f t="shared" si="13"/>
        <v>4381.9156574068174</v>
      </c>
      <c r="T69" s="3">
        <f t="shared" si="14"/>
        <v>1737.7493676298247</v>
      </c>
      <c r="U69" s="3">
        <f t="shared" si="4"/>
        <v>1287.9203739517798</v>
      </c>
      <c r="V69" s="3">
        <f t="shared" si="5"/>
        <v>0</v>
      </c>
      <c r="W69" s="3">
        <f t="shared" si="15"/>
        <v>127.79053135516367</v>
      </c>
      <c r="Y69" s="3">
        <f t="shared" si="16"/>
        <v>8587.0745002675831</v>
      </c>
      <c r="AA69" s="3">
        <f t="shared" si="17"/>
        <v>3978.3925840053357</v>
      </c>
      <c r="AB69" s="3">
        <f t="shared" si="18"/>
        <v>-63.074500267583062</v>
      </c>
      <c r="AD69" s="3">
        <f t="shared" si="19"/>
        <v>2.0681931715589335E-5</v>
      </c>
    </row>
    <row r="70" spans="3:30" x14ac:dyDescent="0.3">
      <c r="C70" s="22">
        <v>38</v>
      </c>
      <c r="D70" s="22">
        <v>8209</v>
      </c>
      <c r="F70" s="3">
        <f t="shared" si="6"/>
        <v>78.324063863894722</v>
      </c>
      <c r="G70" s="3">
        <f t="shared" si="7"/>
        <v>13.60707998336909</v>
      </c>
      <c r="H70" s="3">
        <f t="shared" si="8"/>
        <v>-0.46902976674173047</v>
      </c>
      <c r="I70" s="3">
        <f t="shared" si="9"/>
        <v>1.2472565760585776E-2</v>
      </c>
      <c r="J70" s="3">
        <f t="shared" si="10"/>
        <v>-2.084636473707679</v>
      </c>
      <c r="K70" s="3">
        <f t="shared" si="11"/>
        <v>921.80800453858092</v>
      </c>
      <c r="L70" s="3" cm="1">
        <f t="array" ref="L70">lmb_2(F70)</f>
        <v>74.019732155485741</v>
      </c>
      <c r="M70" s="3" cm="1">
        <f t="array" ref="M70">lmb_2(G70)</f>
        <v>11.191890527381361</v>
      </c>
      <c r="N70" s="3" cm="1">
        <f t="array" ref="N70">lmb_2(H70)</f>
        <v>0.41366618356269685</v>
      </c>
      <c r="O70" s="3" cm="1">
        <f t="array" ref="O70">lmb_2(I70)</f>
        <v>0.57166852430425519</v>
      </c>
      <c r="P70" s="3" cm="1">
        <f t="array" ref="P70">lmb_2(J70)</f>
        <v>0.111258898741289</v>
      </c>
      <c r="R70" s="3">
        <f t="shared" si="12"/>
        <v>66.946159582441865</v>
      </c>
      <c r="S70" s="3">
        <f t="shared" si="13"/>
        <v>4048.3343226512475</v>
      </c>
      <c r="T70" s="3">
        <f t="shared" si="14"/>
        <v>1775.9025743871573</v>
      </c>
      <c r="U70" s="3">
        <f t="shared" si="4"/>
        <v>1321.0450859127632</v>
      </c>
      <c r="V70" s="3">
        <f t="shared" si="5"/>
        <v>0</v>
      </c>
      <c r="W70" s="3">
        <f t="shared" si="15"/>
        <v>129.89297814854646</v>
      </c>
      <c r="Y70" s="3">
        <f t="shared" si="16"/>
        <v>8263.9291252207368</v>
      </c>
      <c r="AA70" s="3">
        <f t="shared" si="17"/>
        <v>3017.2087975153781</v>
      </c>
      <c r="AB70" s="3">
        <f t="shared" si="18"/>
        <v>-54.929125220736751</v>
      </c>
      <c r="AD70" s="3">
        <f t="shared" si="19"/>
        <v>1.8011088668049232E-5</v>
      </c>
    </row>
    <row r="71" spans="3:30" x14ac:dyDescent="0.3">
      <c r="C71" s="22">
        <v>39</v>
      </c>
      <c r="D71" s="22">
        <v>7799</v>
      </c>
      <c r="F71" s="3">
        <f t="shared" si="6"/>
        <v>82.436441889631027</v>
      </c>
      <c r="G71" s="3">
        <f t="shared" si="7"/>
        <v>14.281407877260667</v>
      </c>
      <c r="H71" s="3">
        <f t="shared" si="8"/>
        <v>-0.4634729699571315</v>
      </c>
      <c r="I71" s="3">
        <f t="shared" si="9"/>
        <v>1.3979712818063834E-2</v>
      </c>
      <c r="J71" s="3">
        <f t="shared" si="10"/>
        <v>-2.0845577144113898</v>
      </c>
      <c r="K71" s="3">
        <f t="shared" si="11"/>
        <v>867.94738753105696</v>
      </c>
      <c r="L71" s="3" cm="1">
        <f t="array" ref="L71">lmb_2(F71)</f>
        <v>78.078724286207219</v>
      </c>
      <c r="M71" s="3" cm="1">
        <f t="array" ref="M71">lmb_2(G71)</f>
        <v>11.812269129245907</v>
      </c>
      <c r="N71" s="3" cm="1">
        <f t="array" ref="N71">lmb_2(H71)</f>
        <v>0.41529447121844271</v>
      </c>
      <c r="O71" s="3" cm="1">
        <f t="array" ref="O71">lmb_2(I71)</f>
        <v>0.57221689144441445</v>
      </c>
      <c r="P71" s="3" cm="1">
        <f t="array" ref="P71">lmb_2(J71)</f>
        <v>0.11126678434924091</v>
      </c>
      <c r="R71" s="3">
        <f t="shared" si="12"/>
        <v>61.79272304898511</v>
      </c>
      <c r="S71" s="3">
        <f t="shared" si="13"/>
        <v>3746.0407972041544</v>
      </c>
      <c r="T71" s="3">
        <f t="shared" si="14"/>
        <v>1813.4019423696884</v>
      </c>
      <c r="U71" s="3">
        <f t="shared" si="4"/>
        <v>1354.0376963125534</v>
      </c>
      <c r="V71" s="3">
        <f t="shared" si="5"/>
        <v>0</v>
      </c>
      <c r="W71" s="3">
        <f t="shared" si="15"/>
        <v>131.99542494192929</v>
      </c>
      <c r="Y71" s="3">
        <f t="shared" si="16"/>
        <v>7975.2159714083673</v>
      </c>
      <c r="AA71" s="3">
        <f t="shared" si="17"/>
        <v>31052.068579394519</v>
      </c>
      <c r="AB71" s="3">
        <f t="shared" si="18"/>
        <v>-176.2159714083673</v>
      </c>
      <c r="AD71" s="3">
        <f t="shared" si="19"/>
        <v>5.7780666868591387E-5</v>
      </c>
    </row>
    <row r="72" spans="3:30" x14ac:dyDescent="0.3">
      <c r="C72" s="22">
        <v>40</v>
      </c>
      <c r="D72" s="22">
        <v>7530</v>
      </c>
      <c r="F72" s="3">
        <f t="shared" si="6"/>
        <v>86.65563492902281</v>
      </c>
      <c r="G72" s="3">
        <f t="shared" si="7"/>
        <v>14.9732507813832</v>
      </c>
      <c r="H72" s="3">
        <f t="shared" si="8"/>
        <v>-0.45777184078851685</v>
      </c>
      <c r="I72" s="3">
        <f t="shared" si="9"/>
        <v>1.55260065523595E-2</v>
      </c>
      <c r="J72" s="3">
        <f t="shared" si="10"/>
        <v>-2.0844769094190925</v>
      </c>
      <c r="K72" s="3">
        <f t="shared" si="11"/>
        <v>817.23380987462167</v>
      </c>
      <c r="L72" s="3" cm="1">
        <f t="array" ref="L72">lmb_2(F72)</f>
        <v>82.24592113171083</v>
      </c>
      <c r="M72" s="3" cm="1">
        <f t="array" ref="M72">lmb_2(G72)</f>
        <v>12.451416398033155</v>
      </c>
      <c r="N72" s="3" cm="1">
        <f t="array" ref="N72">lmb_2(H72)</f>
        <v>0.4169697532347601</v>
      </c>
      <c r="O72" s="3" cm="1">
        <f t="array" ref="O72">lmb_2(I72)</f>
        <v>0.57277984948265948</v>
      </c>
      <c r="P72" s="3" cm="1">
        <f t="array" ref="P72">lmb_2(J72)</f>
        <v>0.11127487530088118</v>
      </c>
      <c r="R72" s="3">
        <f t="shared" si="12"/>
        <v>57.154147260605527</v>
      </c>
      <c r="S72" s="3">
        <f t="shared" si="13"/>
        <v>3471.6864902397192</v>
      </c>
      <c r="T72" s="3">
        <f t="shared" si="14"/>
        <v>1850.2366866718899</v>
      </c>
      <c r="U72" s="3">
        <f t="shared" si="4"/>
        <v>1386.8950683410621</v>
      </c>
      <c r="V72" s="3">
        <f t="shared" si="5"/>
        <v>0</v>
      </c>
      <c r="W72" s="3">
        <f t="shared" si="15"/>
        <v>134.09787173531208</v>
      </c>
      <c r="Y72" s="3">
        <f t="shared" si="16"/>
        <v>7717.3040741232098</v>
      </c>
      <c r="AA72" s="3">
        <f t="shared" si="17"/>
        <v>35082.816183152885</v>
      </c>
      <c r="AB72" s="3">
        <f t="shared" si="18"/>
        <v>-187.30407412320983</v>
      </c>
      <c r="AD72" s="3">
        <f t="shared" si="19"/>
        <v>6.1416421131105516E-5</v>
      </c>
    </row>
    <row r="73" spans="3:30" x14ac:dyDescent="0.3">
      <c r="C73" s="22">
        <v>41</v>
      </c>
      <c r="D73" s="22">
        <v>7408</v>
      </c>
      <c r="F73" s="3">
        <f t="shared" si="6"/>
        <v>90.981642982070099</v>
      </c>
      <c r="G73" s="3">
        <f t="shared" si="7"/>
        <v>15.682608695736681</v>
      </c>
      <c r="H73" s="3">
        <f t="shared" si="8"/>
        <v>-0.45192637923588669</v>
      </c>
      <c r="I73" s="3">
        <f t="shared" si="9"/>
        <v>1.7111446963472769E-2</v>
      </c>
      <c r="J73" s="3">
        <f t="shared" si="10"/>
        <v>-2.0843940587307879</v>
      </c>
      <c r="K73" s="3">
        <f t="shared" si="11"/>
        <v>769.48339219269917</v>
      </c>
      <c r="L73" s="3" cm="1">
        <f t="array" ref="L73">lmb_2(F73)</f>
        <v>86.521252900044729</v>
      </c>
      <c r="M73" s="3" cm="1">
        <f t="array" ref="M73">lmb_2(G73)</f>
        <v>13.109287729739142</v>
      </c>
      <c r="N73" s="3" cm="1">
        <f t="array" ref="N73">lmb_2(H73)</f>
        <v>0.41869239359782839</v>
      </c>
      <c r="O73" s="3" cm="1">
        <f t="array" ref="O73">lmb_2(I73)</f>
        <v>0.57335742512397947</v>
      </c>
      <c r="P73" s="3" cm="1">
        <f t="array" ref="P73">lmb_2(J73)</f>
        <v>0.11128317163644562</v>
      </c>
      <c r="R73" s="3">
        <f t="shared" si="12"/>
        <v>52.967883679251081</v>
      </c>
      <c r="S73" s="3">
        <f t="shared" si="13"/>
        <v>3222.3072821510718</v>
      </c>
      <c r="T73" s="3">
        <f t="shared" si="14"/>
        <v>1886.3964673455021</v>
      </c>
      <c r="U73" s="3">
        <f t="shared" si="4"/>
        <v>1419.6140908496011</v>
      </c>
      <c r="V73" s="3">
        <f t="shared" si="5"/>
        <v>0</v>
      </c>
      <c r="W73" s="3">
        <f t="shared" si="15"/>
        <v>136.20031852869488</v>
      </c>
      <c r="Y73" s="3">
        <f t="shared" si="16"/>
        <v>7486.9694347468203</v>
      </c>
      <c r="AA73" s="3">
        <f t="shared" si="17"/>
        <v>6236.1716242323091</v>
      </c>
      <c r="AB73" s="3">
        <f t="shared" si="18"/>
        <v>-78.969434746820298</v>
      </c>
      <c r="AD73" s="3">
        <f t="shared" si="19"/>
        <v>2.5893831106448322E-5</v>
      </c>
    </row>
    <row r="74" spans="3:30" x14ac:dyDescent="0.3">
      <c r="C74" s="22">
        <v>42</v>
      </c>
      <c r="D74" s="22">
        <v>7296</v>
      </c>
      <c r="F74" s="3">
        <f t="shared" si="6"/>
        <v>95.41446604877288</v>
      </c>
      <c r="G74" s="3">
        <f t="shared" si="7"/>
        <v>16.40948162032111</v>
      </c>
      <c r="H74" s="3">
        <f t="shared" si="8"/>
        <v>-0.44593658529924102</v>
      </c>
      <c r="I74" s="3">
        <f t="shared" si="9"/>
        <v>1.8736034051403658E-2</v>
      </c>
      <c r="J74" s="3">
        <f t="shared" si="10"/>
        <v>-2.084309162346476</v>
      </c>
      <c r="K74" s="3">
        <f t="shared" si="11"/>
        <v>724.52299905607549</v>
      </c>
      <c r="L74" s="3" cm="1">
        <f t="array" ref="L74">lmb_2(F74)</f>
        <v>90.904654840533837</v>
      </c>
      <c r="M74" s="3" cm="1">
        <f t="array" ref="M74">lmb_2(G74)</f>
        <v>13.785839666121054</v>
      </c>
      <c r="N74" s="3" cm="1">
        <f t="array" ref="N74">lmb_2(H74)</f>
        <v>0.42046276575085423</v>
      </c>
      <c r="O74" s="3" cm="1">
        <f t="array" ref="O74">lmb_2(I74)</f>
        <v>0.57394964574499274</v>
      </c>
      <c r="P74" s="3" cm="1">
        <f t="array" ref="P74">lmb_2(J74)</f>
        <v>0.11129167339719219</v>
      </c>
      <c r="R74" s="3">
        <f t="shared" si="12"/>
        <v>49.180252051583629</v>
      </c>
      <c r="S74" s="3">
        <f t="shared" si="13"/>
        <v>2995.2795164518457</v>
      </c>
      <c r="T74" s="3">
        <f t="shared" si="14"/>
        <v>1921.8713941455585</v>
      </c>
      <c r="U74" s="3">
        <f t="shared" si="4"/>
        <v>1452.1916789084719</v>
      </c>
      <c r="V74" s="3">
        <f t="shared" si="5"/>
        <v>0</v>
      </c>
      <c r="W74" s="3">
        <f t="shared" si="15"/>
        <v>138.30276532207768</v>
      </c>
      <c r="Y74" s="3">
        <f t="shared" si="16"/>
        <v>7281.3486059356128</v>
      </c>
      <c r="AA74" s="3">
        <f t="shared" si="17"/>
        <v>214.66334802996062</v>
      </c>
      <c r="AB74" s="3">
        <f t="shared" si="18"/>
        <v>14.651394064387205</v>
      </c>
      <c r="AD74" s="3">
        <f t="shared" si="19"/>
        <v>4.8041463712330476E-6</v>
      </c>
    </row>
    <row r="75" spans="3:30" x14ac:dyDescent="0.3">
      <c r="C75" s="22">
        <v>43</v>
      </c>
      <c r="D75" s="22">
        <v>7043</v>
      </c>
      <c r="F75" s="3">
        <f t="shared" si="6"/>
        <v>99.954104129131139</v>
      </c>
      <c r="G75" s="3">
        <f t="shared" si="7"/>
        <v>17.153869555136488</v>
      </c>
      <c r="H75" s="3">
        <f t="shared" si="8"/>
        <v>-0.43980245897857972</v>
      </c>
      <c r="I75" s="3">
        <f t="shared" si="9"/>
        <v>2.0399767816152166E-2</v>
      </c>
      <c r="J75" s="3">
        <f t="shared" si="10"/>
        <v>-2.0842222202661564</v>
      </c>
      <c r="K75" s="3">
        <f t="shared" si="11"/>
        <v>682.18961122133305</v>
      </c>
      <c r="L75" s="3" cm="1">
        <f t="array" ref="L75">lmb_2(F75)</f>
        <v>95.39606678024542</v>
      </c>
      <c r="M75" s="3" cm="1">
        <f t="array" ref="M75">lmb_2(G75)</f>
        <v>14.481030035650182</v>
      </c>
      <c r="N75" s="3" cm="1">
        <f t="array" ref="N75">lmb_2(H75)</f>
        <v>0.42228125260242383</v>
      </c>
      <c r="O75" s="3" cm="1">
        <f t="array" ref="O75">lmb_2(I75)</f>
        <v>0.57455653939356877</v>
      </c>
      <c r="P75" s="3" cm="1">
        <f t="array" ref="P75">lmb_2(J75)</f>
        <v>0.11130038062540144</v>
      </c>
      <c r="R75" s="3">
        <f t="shared" si="12"/>
        <v>45.745013813524714</v>
      </c>
      <c r="S75" s="3">
        <f t="shared" si="13"/>
        <v>2788.2802969285872</v>
      </c>
      <c r="T75" s="3">
        <f t="shared" si="14"/>
        <v>1956.6520308451622</v>
      </c>
      <c r="U75" s="3">
        <f t="shared" si="4"/>
        <v>1484.6247743572403</v>
      </c>
      <c r="V75" s="3">
        <f t="shared" si="5"/>
        <v>0</v>
      </c>
      <c r="W75" s="3">
        <f t="shared" si="15"/>
        <v>140.40521211546047</v>
      </c>
      <c r="Y75" s="3">
        <f t="shared" si="16"/>
        <v>7097.8969392813069</v>
      </c>
      <c r="AA75" s="3">
        <f t="shared" si="17"/>
        <v>3013.673942455498</v>
      </c>
      <c r="AB75" s="3">
        <f t="shared" si="18"/>
        <v>-54.896939281306913</v>
      </c>
      <c r="AD75" s="3">
        <f t="shared" si="19"/>
        <v>1.8000534998996507E-5</v>
      </c>
    </row>
    <row r="76" spans="3:30" x14ac:dyDescent="0.3">
      <c r="C76" s="22">
        <v>44</v>
      </c>
      <c r="D76" s="22">
        <v>6825</v>
      </c>
      <c r="F76" s="3">
        <f t="shared" si="6"/>
        <v>104.60055722314486</v>
      </c>
      <c r="G76" s="3">
        <f t="shared" si="7"/>
        <v>17.915772500182818</v>
      </c>
      <c r="H76" s="3">
        <f t="shared" si="8"/>
        <v>-0.43352400027390292</v>
      </c>
      <c r="I76" s="3">
        <f t="shared" si="9"/>
        <v>2.2102648257718266E-2</v>
      </c>
      <c r="J76" s="3">
        <f t="shared" si="10"/>
        <v>-2.0841332324898292</v>
      </c>
      <c r="K76" s="3">
        <f t="shared" si="11"/>
        <v>642.32973454897126</v>
      </c>
      <c r="L76" s="3" cm="1">
        <f t="array" ref="L76">lmb_2(F76)</f>
        <v>99.995432711088924</v>
      </c>
      <c r="M76" s="3" cm="1">
        <f t="array" ref="M76">lmb_2(G76)</f>
        <v>15.194818048329365</v>
      </c>
      <c r="N76" s="3" cm="1">
        <f t="array" ref="N76">lmb_2(H76)</f>
        <v>0.42414824653385991</v>
      </c>
      <c r="O76" s="3" cm="1">
        <f t="array" ref="O76">lmb_2(I76)</f>
        <v>0.57517813478843727</v>
      </c>
      <c r="P76" s="3" cm="1">
        <f t="array" ref="P76">lmb_2(J76)</f>
        <v>0.11130929336437652</v>
      </c>
      <c r="R76" s="3">
        <f t="shared" si="12"/>
        <v>42.622200574130709</v>
      </c>
      <c r="S76" s="3">
        <f t="shared" si="13"/>
        <v>2599.251967517198</v>
      </c>
      <c r="T76" s="3">
        <f t="shared" si="14"/>
        <v>1990.7293991168729</v>
      </c>
      <c r="U76" s="3">
        <f t="shared" si="4"/>
        <v>1516.9103463475456</v>
      </c>
      <c r="V76" s="3">
        <f t="shared" si="5"/>
        <v>0</v>
      </c>
      <c r="W76" s="3">
        <f t="shared" si="15"/>
        <v>142.50765890884327</v>
      </c>
      <c r="Y76" s="3">
        <f t="shared" si="16"/>
        <v>6934.3513070135614</v>
      </c>
      <c r="AA76" s="3">
        <f t="shared" si="17"/>
        <v>11957.708345574159</v>
      </c>
      <c r="AB76" s="3">
        <f t="shared" si="18"/>
        <v>-109.35130701356138</v>
      </c>
      <c r="AD76" s="3">
        <f t="shared" si="19"/>
        <v>3.5855952168792083E-5</v>
      </c>
    </row>
    <row r="77" spans="3:30" x14ac:dyDescent="0.3">
      <c r="C77" s="22">
        <v>45</v>
      </c>
      <c r="D77" s="22">
        <v>6825</v>
      </c>
      <c r="F77" s="3">
        <f t="shared" si="6"/>
        <v>109.35382533081412</v>
      </c>
      <c r="G77" s="3">
        <f t="shared" si="7"/>
        <v>18.6951904554601</v>
      </c>
      <c r="H77" s="3">
        <f t="shared" si="8"/>
        <v>-0.42710120918521055</v>
      </c>
      <c r="I77" s="3">
        <f t="shared" si="9"/>
        <v>2.3844675376101993E-2</v>
      </c>
      <c r="J77" s="3">
        <f t="shared" si="10"/>
        <v>-2.0840421990174947</v>
      </c>
      <c r="K77" s="3">
        <f t="shared" si="11"/>
        <v>604.7988434580393</v>
      </c>
      <c r="L77" s="3" cm="1">
        <f t="array" ref="L77">lmb_2(F77)</f>
        <v>104.70270042128092</v>
      </c>
      <c r="M77" s="3" cm="1">
        <f t="array" ref="M77">lmb_2(G77)</f>
        <v>15.927164354035115</v>
      </c>
      <c r="N77" s="3" cm="1">
        <f t="array" ref="N77">lmb_2(H77)</f>
        <v>0.42606414940549642</v>
      </c>
      <c r="O77" s="3" cm="1">
        <f t="array" ref="O77">lmb_2(I77)</f>
        <v>0.57581446131878056</v>
      </c>
      <c r="P77" s="3" cm="1">
        <f t="array" ref="P77">lmb_2(J77)</f>
        <v>0.11131841165844353</v>
      </c>
      <c r="R77" s="3">
        <f t="shared" si="12"/>
        <v>39.777147769817297</v>
      </c>
      <c r="S77" s="3">
        <f t="shared" si="13"/>
        <v>2426.370532738254</v>
      </c>
      <c r="T77" s="3">
        <f t="shared" si="14"/>
        <v>2024.0949819790794</v>
      </c>
      <c r="U77" s="3">
        <f t="shared" si="4"/>
        <v>1549.0453918783116</v>
      </c>
      <c r="V77" s="3">
        <f t="shared" si="5"/>
        <v>0</v>
      </c>
      <c r="W77" s="3">
        <f t="shared" si="15"/>
        <v>144.61010570222606</v>
      </c>
      <c r="Y77" s="3">
        <f t="shared" si="16"/>
        <v>6788.6970035257282</v>
      </c>
      <c r="AA77" s="3">
        <f t="shared" si="17"/>
        <v>1317.9075530109924</v>
      </c>
      <c r="AB77" s="3">
        <f t="shared" si="18"/>
        <v>36.302996474271822</v>
      </c>
      <c r="AD77" s="3">
        <f t="shared" si="19"/>
        <v>1.1903639203908997E-5</v>
      </c>
    </row>
    <row r="78" spans="3:30" x14ac:dyDescent="0.3">
      <c r="C78" s="22">
        <v>46</v>
      </c>
      <c r="D78" s="22">
        <v>6416</v>
      </c>
      <c r="F78" s="3">
        <f t="shared" si="6"/>
        <v>114.21390845213881</v>
      </c>
      <c r="G78" s="3">
        <f t="shared" si="7"/>
        <v>19.49212342096833</v>
      </c>
      <c r="H78" s="3">
        <f t="shared" si="8"/>
        <v>-0.42053408571250261</v>
      </c>
      <c r="I78" s="3">
        <f t="shared" si="9"/>
        <v>2.5625849171303339E-2</v>
      </c>
      <c r="J78" s="3">
        <f t="shared" si="10"/>
        <v>-2.0839491198491524</v>
      </c>
      <c r="K78" s="3">
        <f t="shared" si="11"/>
        <v>569.46085689933909</v>
      </c>
      <c r="L78" s="3" cm="1">
        <f t="array" ref="L78">lmb_2(F78)</f>
        <v>109.51782116575249</v>
      </c>
      <c r="M78" s="3" cm="1">
        <f t="array" ref="M78">lmb_2(G78)</f>
        <v>16.678031072237886</v>
      </c>
      <c r="N78" s="3" cm="1">
        <f t="array" ref="N78">lmb_2(H78)</f>
        <v>0.4280293725617863</v>
      </c>
      <c r="O78" s="3" cm="1">
        <f t="array" ref="O78">lmb_2(I78)</f>
        <v>0.57646554904381186</v>
      </c>
      <c r="P78" s="3" cm="1">
        <f t="array" ref="P78">lmb_2(J78)</f>
        <v>0.11132773555295196</v>
      </c>
      <c r="R78" s="3">
        <f t="shared" si="12"/>
        <v>37.179694135461709</v>
      </c>
      <c r="S78" s="3">
        <f t="shared" si="13"/>
        <v>2268.0177128137966</v>
      </c>
      <c r="T78" s="3">
        <f t="shared" si="14"/>
        <v>2056.7407268062661</v>
      </c>
      <c r="U78" s="3">
        <f t="shared" si="4"/>
        <v>1581.0269363232057</v>
      </c>
      <c r="V78" s="3">
        <f t="shared" si="5"/>
        <v>0</v>
      </c>
      <c r="W78" s="3">
        <f t="shared" si="15"/>
        <v>146.71255249560886</v>
      </c>
      <c r="Y78" s="3">
        <f t="shared" si="16"/>
        <v>6659.1384794736778</v>
      </c>
      <c r="AA78" s="3">
        <f t="shared" si="17"/>
        <v>59116.320200772025</v>
      </c>
      <c r="AB78" s="3">
        <f t="shared" si="18"/>
        <v>-243.13847947367776</v>
      </c>
      <c r="AD78" s="3">
        <f t="shared" si="19"/>
        <v>7.9724348327357935E-5</v>
      </c>
    </row>
    <row r="79" spans="3:30" x14ac:dyDescent="0.3">
      <c r="C79" s="22">
        <v>47</v>
      </c>
      <c r="D79" s="22">
        <v>6510</v>
      </c>
      <c r="F79" s="3">
        <f t="shared" si="6"/>
        <v>119.18080658711904</v>
      </c>
      <c r="G79" s="3">
        <f t="shared" si="7"/>
        <v>20.306571396707511</v>
      </c>
      <c r="H79" s="3">
        <f t="shared" si="8"/>
        <v>-0.41382262985577911</v>
      </c>
      <c r="I79" s="3">
        <f t="shared" si="9"/>
        <v>2.744616964332227E-2</v>
      </c>
      <c r="J79" s="3">
        <f t="shared" si="10"/>
        <v>-2.0838539949848029</v>
      </c>
      <c r="K79" s="3">
        <f t="shared" si="11"/>
        <v>536.18764494715538</v>
      </c>
      <c r="L79" s="3" cm="1">
        <f t="array" ref="L79">lmb_2(F79)</f>
        <v>114.44074937080404</v>
      </c>
      <c r="M79" s="3" cm="1">
        <f t="array" ref="M79">lmb_2(G79)</f>
        <v>17.447381799461684</v>
      </c>
      <c r="N79" s="3" cm="1">
        <f t="array" ref="N79">lmb_2(H79)</f>
        <v>0.43004433683515175</v>
      </c>
      <c r="O79" s="3" cm="1">
        <f t="array" ref="O79">lmb_2(I79)</f>
        <v>0.57713142869233724</v>
      </c>
      <c r="P79" s="3" cm="1">
        <f t="array" ref="P79">lmb_2(J79)</f>
        <v>0.1113372650942747</v>
      </c>
      <c r="R79" s="3">
        <f t="shared" si="12"/>
        <v>34.803515805127255</v>
      </c>
      <c r="S79" s="3">
        <f t="shared" si="13"/>
        <v>2122.7563009958608</v>
      </c>
      <c r="T79" s="3">
        <f t="shared" si="14"/>
        <v>2088.6590479025899</v>
      </c>
      <c r="U79" s="3">
        <f t="shared" si="4"/>
        <v>1612.8520339502209</v>
      </c>
      <c r="V79" s="3">
        <f t="shared" si="5"/>
        <v>0</v>
      </c>
      <c r="W79" s="3">
        <f t="shared" si="15"/>
        <v>148.81499928899169</v>
      </c>
      <c r="Y79" s="3">
        <f t="shared" si="16"/>
        <v>6544.073542889947</v>
      </c>
      <c r="AA79" s="3">
        <f t="shared" si="17"/>
        <v>1161.0063250730591</v>
      </c>
      <c r="AB79" s="3">
        <f t="shared" si="18"/>
        <v>-34.073542889947021</v>
      </c>
      <c r="AD79" s="3">
        <f t="shared" si="19"/>
        <v>1.1172608334088863E-5</v>
      </c>
    </row>
    <row r="80" spans="3:30" x14ac:dyDescent="0.3">
      <c r="C80" s="22">
        <v>48</v>
      </c>
      <c r="D80" s="22">
        <v>6357</v>
      </c>
      <c r="F80" s="3">
        <f t="shared" si="6"/>
        <v>124.25451973575471</v>
      </c>
      <c r="G80" s="3">
        <f t="shared" si="7"/>
        <v>21.138534382677641</v>
      </c>
      <c r="H80" s="3">
        <f t="shared" si="8"/>
        <v>-0.40696684161504004</v>
      </c>
      <c r="I80" s="3">
        <f t="shared" si="9"/>
        <v>2.9305636792158835E-2</v>
      </c>
      <c r="J80" s="3">
        <f t="shared" si="10"/>
        <v>-2.0837568244244458</v>
      </c>
      <c r="K80" s="3">
        <f t="shared" si="11"/>
        <v>504.85856422050142</v>
      </c>
      <c r="L80" s="3" cm="1">
        <f t="array" ref="L80">lmb_2(F80)</f>
        <v>119.47144236893463</v>
      </c>
      <c r="M80" s="3" cm="1">
        <f t="array" ref="M80">lmb_2(G80)</f>
        <v>18.23518159961727</v>
      </c>
      <c r="N80" s="3" cm="1">
        <f t="array" ref="N80">lmb_2(H80)</f>
        <v>0.43210947254848758</v>
      </c>
      <c r="O80" s="3" cm="1">
        <f t="array" ref="O80">lmb_2(I80)</f>
        <v>0.57781213166230116</v>
      </c>
      <c r="P80" s="3" cm="1">
        <f t="array" ref="P80">lmb_2(J80)</f>
        <v>0.11134700032980868</v>
      </c>
      <c r="R80" s="3">
        <f t="shared" si="12"/>
        <v>32.625570206178715</v>
      </c>
      <c r="S80" s="3">
        <f t="shared" si="13"/>
        <v>1989.308487960418</v>
      </c>
      <c r="T80" s="3">
        <f t="shared" si="14"/>
        <v>2119.8428286387261</v>
      </c>
      <c r="U80" s="3">
        <f t="shared" si="4"/>
        <v>1644.5177684332436</v>
      </c>
      <c r="V80" s="3">
        <f t="shared" si="5"/>
        <v>0</v>
      </c>
      <c r="W80" s="3">
        <f t="shared" si="15"/>
        <v>150.91744608237448</v>
      </c>
      <c r="Y80" s="3">
        <f t="shared" si="16"/>
        <v>6442.0706655414424</v>
      </c>
      <c r="AA80" s="3">
        <f t="shared" si="17"/>
        <v>7237.0181356639541</v>
      </c>
      <c r="AB80" s="3">
        <f t="shared" si="18"/>
        <v>-85.070665541442395</v>
      </c>
      <c r="AD80" s="3">
        <f t="shared" si="19"/>
        <v>2.789440563561788E-5</v>
      </c>
    </row>
    <row r="81" spans="3:30" x14ac:dyDescent="0.3">
      <c r="C81" s="22">
        <v>49</v>
      </c>
      <c r="D81" s="22">
        <v>6420</v>
      </c>
      <c r="F81" s="3">
        <f t="shared" si="6"/>
        <v>129.43504789804595</v>
      </c>
      <c r="G81" s="3">
        <f t="shared" si="7"/>
        <v>21.988012378878722</v>
      </c>
      <c r="H81" s="3">
        <f t="shared" si="8"/>
        <v>-0.39996672099028541</v>
      </c>
      <c r="I81" s="3">
        <f t="shared" si="9"/>
        <v>3.1204250617813012E-2</v>
      </c>
      <c r="J81" s="3">
        <f t="shared" si="10"/>
        <v>-2.0836576081680809</v>
      </c>
      <c r="K81" s="3">
        <f t="shared" si="11"/>
        <v>475.360020449383</v>
      </c>
      <c r="L81" s="3" cm="1">
        <f t="array" ref="L81">lmb_2(F81)</f>
        <v>124.60986016031065</v>
      </c>
      <c r="M81" s="3" cm="1">
        <f t="array" ref="M81">lmb_2(G81)</f>
        <v>19.041396981338398</v>
      </c>
      <c r="N81" s="3" cm="1">
        <f t="array" ref="N81">lmb_2(H81)</f>
        <v>0.43422521951622833</v>
      </c>
      <c r="O81" s="3" cm="1">
        <f t="array" ref="O81">lmb_2(I81)</f>
        <v>0.5785076900203161</v>
      </c>
      <c r="P81" s="3" cm="1">
        <f t="array" ref="P81">lmb_2(J81)</f>
        <v>0.11135694130797491</v>
      </c>
      <c r="R81" s="3">
        <f t="shared" si="12"/>
        <v>30.625629875062003</v>
      </c>
      <c r="S81" s="3">
        <f t="shared" si="13"/>
        <v>1866.5368302116717</v>
      </c>
      <c r="T81" s="3">
        <f t="shared" si="14"/>
        <v>2150.285423152422</v>
      </c>
      <c r="U81" s="3">
        <f t="shared" si="4"/>
        <v>1676.0212533554661</v>
      </c>
      <c r="V81" s="3">
        <f t="shared" si="5"/>
        <v>0</v>
      </c>
      <c r="W81" s="3">
        <f t="shared" si="15"/>
        <v>153.01989287575728</v>
      </c>
      <c r="Y81" s="3">
        <f t="shared" si="16"/>
        <v>6351.8490499197624</v>
      </c>
      <c r="AA81" s="3">
        <f t="shared" si="17"/>
        <v>4644.5519968390417</v>
      </c>
      <c r="AB81" s="3">
        <f t="shared" si="18"/>
        <v>68.150950080237635</v>
      </c>
      <c r="AD81" s="3">
        <f t="shared" si="19"/>
        <v>2.2346483760195828E-5</v>
      </c>
    </row>
    <row r="82" spans="3:30" x14ac:dyDescent="0.3">
      <c r="C82" s="22">
        <v>50</v>
      </c>
      <c r="D82" s="22">
        <v>6122</v>
      </c>
      <c r="F82" s="3">
        <f t="shared" si="6"/>
        <v>134.72239107399264</v>
      </c>
      <c r="G82" s="3">
        <f t="shared" si="7"/>
        <v>22.855005385310751</v>
      </c>
      <c r="H82" s="3">
        <f t="shared" si="8"/>
        <v>-0.39282226798151521</v>
      </c>
      <c r="I82" s="3">
        <f t="shared" si="9"/>
        <v>3.3142011120284781E-2</v>
      </c>
      <c r="J82" s="3">
        <f t="shared" si="10"/>
        <v>-2.0835563462157087</v>
      </c>
      <c r="K82" s="3">
        <f t="shared" si="11"/>
        <v>447.58505660001947</v>
      </c>
      <c r="L82" s="3" cm="1">
        <f t="array" ref="L82">lmb_2(F82)</f>
        <v>129.85596519779546</v>
      </c>
      <c r="M82" s="3" cm="1">
        <f t="array" ref="M82">lmb_2(G82)</f>
        <v>19.865995865630442</v>
      </c>
      <c r="N82" s="3" cm="1">
        <f t="array" ref="N82">lmb_2(H82)</f>
        <v>0.43639202704388314</v>
      </c>
      <c r="O82" s="3" cm="1">
        <f t="array" ref="O82">lmb_2(I82)</f>
        <v>0.57921813650117437</v>
      </c>
      <c r="P82" s="3" cm="1">
        <f t="array" ref="P82">lmb_2(J82)</f>
        <v>0.11136708807821882</v>
      </c>
      <c r="R82" s="3">
        <f t="shared" si="12"/>
        <v>28.785890222876013</v>
      </c>
      <c r="S82" s="3">
        <f t="shared" si="13"/>
        <v>1753.4275600584378</v>
      </c>
      <c r="T82" s="3">
        <f t="shared" si="14"/>
        <v>2179.9806576137594</v>
      </c>
      <c r="U82" s="3">
        <f t="shared" si="4"/>
        <v>1707.359632704535</v>
      </c>
      <c r="V82" s="3">
        <f t="shared" si="5"/>
        <v>0</v>
      </c>
      <c r="W82" s="3">
        <f t="shared" si="15"/>
        <v>155.1223396691401</v>
      </c>
      <c r="Y82" s="3">
        <f t="shared" si="16"/>
        <v>6272.2611368687685</v>
      </c>
      <c r="AA82" s="3">
        <f t="shared" si="17"/>
        <v>22578.409253094786</v>
      </c>
      <c r="AB82" s="3">
        <f t="shared" si="18"/>
        <v>-150.26113686876852</v>
      </c>
      <c r="AD82" s="3">
        <f t="shared" si="19"/>
        <v>4.927015765551584E-5</v>
      </c>
    </row>
    <row r="83" spans="3:30" x14ac:dyDescent="0.3">
      <c r="C83" s="22">
        <v>51</v>
      </c>
      <c r="D83" s="22">
        <v>6251</v>
      </c>
      <c r="F83" s="3">
        <f t="shared" si="6"/>
        <v>140.11654926359478</v>
      </c>
      <c r="G83" s="3">
        <f t="shared" si="7"/>
        <v>23.739513401973738</v>
      </c>
      <c r="H83" s="3">
        <f t="shared" si="8"/>
        <v>-0.38553348258872949</v>
      </c>
      <c r="I83" s="3">
        <f t="shared" si="9"/>
        <v>3.5118918299574184E-2</v>
      </c>
      <c r="J83" s="3">
        <f t="shared" si="10"/>
        <v>-2.0834530385673289</v>
      </c>
      <c r="K83" s="3">
        <f t="shared" si="11"/>
        <v>421.43296506563161</v>
      </c>
      <c r="L83" s="3" cm="1">
        <f t="array" ref="L83">lmb_2(F83)</f>
        <v>135.2097221928608</v>
      </c>
      <c r="M83" s="3" cm="1">
        <f t="array" ref="M83">lmb_2(G83)</f>
        <v>20.708947546473052</v>
      </c>
      <c r="N83" s="3" cm="1">
        <f t="array" ref="N83">lmb_2(H83)</f>
        <v>0.43861035392594788</v>
      </c>
      <c r="O83" s="3" cm="1">
        <f t="array" ref="O83">lmb_2(I83)</f>
        <v>0.57994350450734311</v>
      </c>
      <c r="P83" s="3" cm="1">
        <f t="array" ref="P83">lmb_2(J83)</f>
        <v>0.11137744069101074</v>
      </c>
      <c r="R83" s="3">
        <f t="shared" si="12"/>
        <v>27.090638357020492</v>
      </c>
      <c r="S83" s="3">
        <f t="shared" si="13"/>
        <v>1649.0759596828475</v>
      </c>
      <c r="T83" s="3">
        <f t="shared" si="14"/>
        <v>2208.9228310566068</v>
      </c>
      <c r="U83" s="3">
        <f t="shared" si="4"/>
        <v>1738.5300813592874</v>
      </c>
      <c r="V83" s="3">
        <f t="shared" si="5"/>
        <v>0</v>
      </c>
      <c r="W83" s="3">
        <f t="shared" si="15"/>
        <v>157.2247864625229</v>
      </c>
      <c r="Y83" s="3">
        <f t="shared" si="16"/>
        <v>6202.277261983917</v>
      </c>
      <c r="AA83" s="3">
        <f t="shared" si="17"/>
        <v>2373.9051997838583</v>
      </c>
      <c r="AB83" s="3">
        <f t="shared" si="18"/>
        <v>48.722738016082985</v>
      </c>
      <c r="AD83" s="3">
        <f t="shared" si="19"/>
        <v>1.597603368033454E-5</v>
      </c>
    </row>
    <row r="84" spans="3:30" x14ac:dyDescent="0.3">
      <c r="C84" s="22">
        <v>52</v>
      </c>
      <c r="D84" s="22">
        <v>6155</v>
      </c>
      <c r="F84" s="3">
        <f t="shared" si="6"/>
        <v>145.61752246685245</v>
      </c>
      <c r="G84" s="3">
        <f t="shared" si="7"/>
        <v>24.641536428867667</v>
      </c>
      <c r="H84" s="3">
        <f t="shared" si="8"/>
        <v>-0.37810036481192821</v>
      </c>
      <c r="I84" s="3">
        <f t="shared" si="9"/>
        <v>3.7134972155681178E-2</v>
      </c>
      <c r="J84" s="3">
        <f t="shared" si="10"/>
        <v>-2.0833476852229418</v>
      </c>
      <c r="K84" s="3">
        <f t="shared" si="11"/>
        <v>396.80892251665506</v>
      </c>
      <c r="L84" s="3" cm="1">
        <f t="array" ref="L84">lmb_2(F84)</f>
        <v>140.67109794003733</v>
      </c>
      <c r="M84" s="3" cm="1">
        <f t="array" ref="M84">lmb_2(G84)</f>
        <v>21.570222646476459</v>
      </c>
      <c r="N84" s="3" cm="1">
        <f t="array" ref="N84">lmb_2(H84)</f>
        <v>0.44088066844209878</v>
      </c>
      <c r="O84" s="3" cm="1">
        <f t="array" ref="O84">lmb_2(I84)</f>
        <v>0.58068382810844144</v>
      </c>
      <c r="P84" s="3" cm="1">
        <f t="array" ref="P84">lmb_2(J84)</f>
        <v>0.11138799919784606</v>
      </c>
      <c r="R84" s="3">
        <f t="shared" si="12"/>
        <v>25.525972506032989</v>
      </c>
      <c r="S84" s="3">
        <f t="shared" si="13"/>
        <v>1552.673548381912</v>
      </c>
      <c r="T84" s="3">
        <f t="shared" si="14"/>
        <v>2237.1067157782463</v>
      </c>
      <c r="U84" s="3">
        <f t="shared" si="4"/>
        <v>1769.5298055679684</v>
      </c>
      <c r="V84" s="3">
        <f t="shared" si="5"/>
        <v>0</v>
      </c>
      <c r="W84" s="3">
        <f t="shared" si="15"/>
        <v>159.3272332559057</v>
      </c>
      <c r="Y84" s="3">
        <f t="shared" si="16"/>
        <v>6140.9721980067206</v>
      </c>
      <c r="AA84" s="3">
        <f t="shared" si="17"/>
        <v>196.77922876265222</v>
      </c>
      <c r="AB84" s="3">
        <f t="shared" si="18"/>
        <v>14.027801993279354</v>
      </c>
      <c r="AD84" s="3">
        <f t="shared" si="19"/>
        <v>4.5996724780064388E-6</v>
      </c>
    </row>
    <row r="85" spans="3:30" x14ac:dyDescent="0.3">
      <c r="C85" s="22">
        <v>53</v>
      </c>
      <c r="D85" s="22">
        <v>6027</v>
      </c>
      <c r="F85" s="3">
        <f t="shared" si="6"/>
        <v>151.22531068376557</v>
      </c>
      <c r="G85" s="3">
        <f t="shared" si="7"/>
        <v>25.561074465992547</v>
      </c>
      <c r="H85" s="3">
        <f t="shared" si="8"/>
        <v>-0.37052291465111126</v>
      </c>
      <c r="I85" s="3">
        <f t="shared" si="9"/>
        <v>3.91901726886058E-2</v>
      </c>
      <c r="J85" s="3">
        <f t="shared" si="10"/>
        <v>-2.083240286182547</v>
      </c>
      <c r="K85" s="3">
        <f t="shared" si="11"/>
        <v>373.6236460864119</v>
      </c>
      <c r="L85" s="3" cm="1">
        <f t="array" ref="L85">lmb_2(F85)</f>
        <v>146.24006115785784</v>
      </c>
      <c r="M85" s="3" cm="1">
        <f t="array" ref="M85">lmb_2(G85)</f>
        <v>22.449793069252021</v>
      </c>
      <c r="N85" s="3" cm="1">
        <f t="array" ref="N85">lmb_2(H85)</f>
        <v>0.44320344835157094</v>
      </c>
      <c r="O85" s="3" cm="1">
        <f t="array" ref="O85">lmb_2(I85)</f>
        <v>0.5814391420406988</v>
      </c>
      <c r="P85" s="3" cm="1">
        <f t="array" ref="P85">lmb_2(J85)</f>
        <v>0.11139876365124562</v>
      </c>
      <c r="R85" s="3">
        <f t="shared" si="12"/>
        <v>24.079563538838475</v>
      </c>
      <c r="S85" s="3">
        <f t="shared" si="13"/>
        <v>1463.4968584863486</v>
      </c>
      <c r="T85" s="3">
        <f t="shared" si="14"/>
        <v>2264.5275573096901</v>
      </c>
      <c r="U85" s="3">
        <f t="shared" si="4"/>
        <v>1800.3560434178044</v>
      </c>
      <c r="V85" s="3">
        <f t="shared" si="5"/>
        <v>0</v>
      </c>
      <c r="W85" s="3">
        <f t="shared" si="15"/>
        <v>161.42968004928849</v>
      </c>
      <c r="Y85" s="3">
        <f t="shared" si="16"/>
        <v>6087.5133488883821</v>
      </c>
      <c r="AA85" s="3">
        <f t="shared" si="17"/>
        <v>3661.8653936870546</v>
      </c>
      <c r="AB85" s="3">
        <f t="shared" si="18"/>
        <v>-60.513348888382097</v>
      </c>
      <c r="AD85" s="3">
        <f t="shared" si="19"/>
        <v>1.9842138174408554E-5</v>
      </c>
    </row>
    <row r="86" spans="3:30" x14ac:dyDescent="0.3">
      <c r="C86" s="22">
        <v>54</v>
      </c>
      <c r="D86" s="22">
        <v>6035</v>
      </c>
      <c r="F86" s="3">
        <f t="shared" si="6"/>
        <v>156.93991391433423</v>
      </c>
      <c r="G86" s="3">
        <f t="shared" si="7"/>
        <v>26.498127513348376</v>
      </c>
      <c r="H86" s="3">
        <f t="shared" si="8"/>
        <v>-0.3628011321062789</v>
      </c>
      <c r="I86" s="3">
        <f t="shared" si="9"/>
        <v>4.1284519898348034E-2</v>
      </c>
      <c r="J86" s="3">
        <f t="shared" si="10"/>
        <v>-2.0831308414461445</v>
      </c>
      <c r="K86" s="3">
        <f t="shared" si="11"/>
        <v>351.7930696456184</v>
      </c>
      <c r="L86" s="3" cm="1">
        <f t="array" ref="L86">lmb_2(F86)</f>
        <v>151.91658234449912</v>
      </c>
      <c r="M86" s="3" cm="1">
        <f t="array" ref="M86">lmb_2(G86)</f>
        <v>23.347631949802384</v>
      </c>
      <c r="N86" s="3" cm="1">
        <f t="array" ref="N86">lmb_2(H86)</f>
        <v>0.44557918088562676</v>
      </c>
      <c r="O86" s="3" cm="1">
        <f t="array" ref="O86">lmb_2(I86)</f>
        <v>0.58220948170639519</v>
      </c>
      <c r="P86" s="3" cm="1">
        <f t="array" ref="P86">lmb_2(J86)</f>
        <v>0.11140973410475616</v>
      </c>
      <c r="R86" s="3">
        <f t="shared" si="12"/>
        <v>22.740451624813524</v>
      </c>
      <c r="S86" s="3">
        <f t="shared" si="13"/>
        <v>1380.8976006961557</v>
      </c>
      <c r="T86" s="3">
        <f t="shared" si="14"/>
        <v>2291.1810739596667</v>
      </c>
      <c r="U86" s="3">
        <f t="shared" si="4"/>
        <v>1831.0060652958136</v>
      </c>
      <c r="V86" s="3">
        <f t="shared" si="5"/>
        <v>0</v>
      </c>
      <c r="W86" s="3">
        <f t="shared" si="15"/>
        <v>163.53212684267129</v>
      </c>
      <c r="Y86" s="3">
        <f t="shared" si="16"/>
        <v>6041.1503880647397</v>
      </c>
      <c r="AA86" s="3">
        <f t="shared" si="17"/>
        <v>37.82727334689222</v>
      </c>
      <c r="AB86" s="3">
        <f t="shared" si="18"/>
        <v>-6.1503880647396727</v>
      </c>
      <c r="AD86" s="3">
        <f t="shared" si="19"/>
        <v>2.0166930445693373E-6</v>
      </c>
    </row>
    <row r="87" spans="3:30" x14ac:dyDescent="0.3">
      <c r="C87" s="22">
        <v>55</v>
      </c>
      <c r="D87" s="22">
        <v>5835</v>
      </c>
      <c r="F87" s="3">
        <f t="shared" si="6"/>
        <v>162.76133215855828</v>
      </c>
      <c r="G87" s="3">
        <f t="shared" si="7"/>
        <v>27.452695570935159</v>
      </c>
      <c r="H87" s="3">
        <f t="shared" si="8"/>
        <v>-0.35493501717743092</v>
      </c>
      <c r="I87" s="3">
        <f t="shared" si="9"/>
        <v>4.3418013784907866E-2</v>
      </c>
      <c r="J87" s="3">
        <f t="shared" si="10"/>
        <v>-2.0830193510137347</v>
      </c>
      <c r="K87" s="3">
        <f t="shared" si="11"/>
        <v>331.23803899195389</v>
      </c>
      <c r="L87" s="3" cm="1">
        <f t="array" ref="L87">lmb_2(F87)</f>
        <v>157.70063364654698</v>
      </c>
      <c r="M87" s="3" cm="1">
        <f t="array" ref="M87">lmb_2(G87)</f>
        <v>24.26371360395061</v>
      </c>
      <c r="N87" s="3" cm="1">
        <f t="array" ref="N87">lmb_2(H87)</f>
        <v>0.44800836273801581</v>
      </c>
      <c r="O87" s="3" cm="1">
        <f t="array" ref="O87">lmb_2(I87)</f>
        <v>0.58299488317328163</v>
      </c>
      <c r="P87" s="3" cm="1">
        <f t="array" ref="P87">lmb_2(J87)</f>
        <v>0.11142091061295034</v>
      </c>
      <c r="R87" s="3">
        <f t="shared" si="12"/>
        <v>21.49887233032571</v>
      </c>
      <c r="S87" s="3">
        <f t="shared" si="13"/>
        <v>1304.2940430299759</v>
      </c>
      <c r="T87" s="3">
        <f t="shared" si="14"/>
        <v>2317.0634559357723</v>
      </c>
      <c r="U87" s="3">
        <f t="shared" si="4"/>
        <v>1861.4771743407453</v>
      </c>
      <c r="V87" s="3">
        <f t="shared" si="5"/>
        <v>0</v>
      </c>
      <c r="W87" s="3">
        <f t="shared" si="15"/>
        <v>165.63457363605409</v>
      </c>
      <c r="Y87" s="3">
        <f t="shared" si="16"/>
        <v>6001.2061582648275</v>
      </c>
      <c r="AA87" s="3">
        <f t="shared" si="17"/>
        <v>27624.487045152899</v>
      </c>
      <c r="AB87" s="3">
        <f t="shared" si="18"/>
        <v>-166.20615826482754</v>
      </c>
      <c r="AD87" s="3">
        <f t="shared" si="19"/>
        <v>5.4498480390026511E-5</v>
      </c>
    </row>
    <row r="88" spans="3:30" x14ac:dyDescent="0.3">
      <c r="C88" s="22">
        <v>56</v>
      </c>
      <c r="D88" s="22">
        <v>6006</v>
      </c>
      <c r="F88" s="3">
        <f t="shared" si="6"/>
        <v>168.68956541643794</v>
      </c>
      <c r="G88" s="3">
        <f t="shared" si="7"/>
        <v>28.424778638752898</v>
      </c>
      <c r="H88" s="3">
        <f t="shared" si="8"/>
        <v>-0.34692456986456732</v>
      </c>
      <c r="I88" s="3">
        <f t="shared" si="9"/>
        <v>4.5590654348285319E-2</v>
      </c>
      <c r="J88" s="3">
        <f t="shared" si="10"/>
        <v>-2.0829058148853172</v>
      </c>
      <c r="K88" s="3">
        <f t="shared" si="11"/>
        <v>311.88402484949779</v>
      </c>
      <c r="L88" s="3" cm="1">
        <f t="array" ref="L88">lmb_2(F88)</f>
        <v>163.59218873950024</v>
      </c>
      <c r="M88" s="3" cm="1">
        <f t="array" ref="M88">lmb_2(G88)</f>
        <v>25.198013477596881</v>
      </c>
      <c r="N88" s="3" cm="1">
        <f t="array" ref="N88">lmb_2(H88)</f>
        <v>0.4504915000533285</v>
      </c>
      <c r="O88" s="3" cm="1">
        <f t="array" ref="O88">lmb_2(I88)</f>
        <v>0.58379538317398139</v>
      </c>
      <c r="P88" s="3" cm="1">
        <f t="array" ref="P88">lmb_2(J88)</f>
        <v>0.1114322932314275</v>
      </c>
      <c r="R88" s="3">
        <f t="shared" si="12"/>
        <v>20.346107454987095</v>
      </c>
      <c r="S88" s="3">
        <f t="shared" si="13"/>
        <v>1233.1634489834228</v>
      </c>
      <c r="T88" s="3">
        <f t="shared" si="14"/>
        <v>2342.1713640467415</v>
      </c>
      <c r="U88" s="3">
        <f t="shared" si="4"/>
        <v>1891.7667068860355</v>
      </c>
      <c r="V88" s="3">
        <f t="shared" si="5"/>
        <v>0</v>
      </c>
      <c r="W88" s="3">
        <f t="shared" si="15"/>
        <v>167.73702042943688</v>
      </c>
      <c r="Y88" s="3">
        <f t="shared" si="16"/>
        <v>5967.0686726501217</v>
      </c>
      <c r="AA88" s="3">
        <f t="shared" si="17"/>
        <v>1515.6482492233822</v>
      </c>
      <c r="AB88" s="3">
        <f t="shared" si="18"/>
        <v>38.931327349878302</v>
      </c>
      <c r="AD88" s="3">
        <f t="shared" si="19"/>
        <v>1.2765460692222967E-5</v>
      </c>
    </row>
    <row r="89" spans="3:30" x14ac:dyDescent="0.3">
      <c r="C89" s="22">
        <v>57</v>
      </c>
      <c r="D89" s="22">
        <v>5960</v>
      </c>
      <c r="F89" s="3">
        <f t="shared" si="6"/>
        <v>174.72461368797298</v>
      </c>
      <c r="G89" s="3">
        <f t="shared" si="7"/>
        <v>29.414376716801577</v>
      </c>
      <c r="H89" s="3">
        <f t="shared" si="8"/>
        <v>-0.33876979016768827</v>
      </c>
      <c r="I89" s="3">
        <f t="shared" si="9"/>
        <v>4.780244158848039E-2</v>
      </c>
      <c r="J89" s="3">
        <f t="shared" si="10"/>
        <v>-2.0827902330608925</v>
      </c>
      <c r="K89" s="3">
        <f t="shared" si="11"/>
        <v>293.66085263741411</v>
      </c>
      <c r="L89" s="3" cm="1">
        <f t="array" ref="L89">lmb_2(F89)</f>
        <v>169.5912227187917</v>
      </c>
      <c r="M89" s="3" cm="1">
        <f t="array" ref="M89">lmb_2(G89)</f>
        <v>26.150508096406501</v>
      </c>
      <c r="N89" s="3" cm="1">
        <f t="array" ref="N89">lmb_2(H89)</f>
        <v>0.45302910841314542</v>
      </c>
      <c r="O89" s="3" cm="1">
        <f t="array" ref="O89">lmb_2(I89)</f>
        <v>0.5846110191053715</v>
      </c>
      <c r="P89" s="3" cm="1">
        <f t="array" ref="P89">lmb_2(J89)</f>
        <v>0.11144388201681375</v>
      </c>
      <c r="R89" s="3">
        <f t="shared" si="12"/>
        <v>19.274356726697466</v>
      </c>
      <c r="S89" s="3">
        <f t="shared" si="13"/>
        <v>1167.0354397470853</v>
      </c>
      <c r="T89" s="3">
        <f t="shared" si="14"/>
        <v>2366.5019279902867</v>
      </c>
      <c r="U89" s="3">
        <f t="shared" si="4"/>
        <v>1921.8720328936629</v>
      </c>
      <c r="V89" s="3">
        <f t="shared" si="5"/>
        <v>0</v>
      </c>
      <c r="W89" s="3">
        <f t="shared" si="15"/>
        <v>169.83946722281968</v>
      </c>
      <c r="Y89" s="3">
        <f t="shared" si="16"/>
        <v>5938.1840772179658</v>
      </c>
      <c r="AA89" s="3">
        <f t="shared" si="17"/>
        <v>475.934486831681</v>
      </c>
      <c r="AB89" s="3">
        <f t="shared" si="18"/>
        <v>21.815922782034249</v>
      </c>
      <c r="AD89" s="3">
        <f t="shared" si="19"/>
        <v>7.1533729696863335E-6</v>
      </c>
    </row>
    <row r="90" spans="3:30" x14ac:dyDescent="0.3">
      <c r="C90" s="22">
        <v>58</v>
      </c>
      <c r="D90" s="22">
        <v>5964</v>
      </c>
      <c r="F90" s="3">
        <f t="shared" si="6"/>
        <v>180.8664769731636</v>
      </c>
      <c r="G90" s="3">
        <f t="shared" si="7"/>
        <v>30.421489805081208</v>
      </c>
      <c r="H90" s="3">
        <f t="shared" si="8"/>
        <v>-0.33047067808679359</v>
      </c>
      <c r="I90" s="3">
        <f t="shared" si="9"/>
        <v>5.0053375505493061E-2</v>
      </c>
      <c r="J90" s="3">
        <f t="shared" si="10"/>
        <v>-2.0826726055404601</v>
      </c>
      <c r="K90" s="3">
        <f t="shared" si="11"/>
        <v>276.50244802806827</v>
      </c>
      <c r="L90" s="3" cm="1">
        <f t="array" ref="L90">lmb_2(F90)</f>
        <v>175.69771200025085</v>
      </c>
      <c r="M90" s="3" cm="1">
        <f t="array" ref="M90">lmb_2(G90)</f>
        <v>27.121175016384722</v>
      </c>
      <c r="N90" s="3" cm="1">
        <f t="array" ref="N90">lmb_2(H90)</f>
        <v>0.45562171281988301</v>
      </c>
      <c r="O90" s="3" cm="1">
        <f t="array" ref="O90">lmb_2(I90)</f>
        <v>0.58544182902794273</v>
      </c>
      <c r="P90" s="3" cm="1">
        <f t="array" ref="P90">lmb_2(J90)</f>
        <v>0.11145567702676239</v>
      </c>
      <c r="R90" s="3">
        <f t="shared" si="12"/>
        <v>18.276627137637604</v>
      </c>
      <c r="S90" s="3">
        <f t="shared" si="13"/>
        <v>1105.4861624886296</v>
      </c>
      <c r="T90" s="3">
        <f t="shared" si="14"/>
        <v>2390.0527442314174</v>
      </c>
      <c r="U90" s="3">
        <f t="shared" si="4"/>
        <v>1951.7905563788217</v>
      </c>
      <c r="V90" s="3">
        <f t="shared" si="5"/>
        <v>0</v>
      </c>
      <c r="W90" s="3">
        <f t="shared" si="15"/>
        <v>171.9419140162025</v>
      </c>
      <c r="Y90" s="3">
        <f t="shared" si="16"/>
        <v>5914.0504522807769</v>
      </c>
      <c r="AA90" s="3">
        <f t="shared" si="17"/>
        <v>2494.9573173549475</v>
      </c>
      <c r="AB90" s="3">
        <f t="shared" si="18"/>
        <v>49.949547719223119</v>
      </c>
      <c r="AD90" s="3">
        <f t="shared" si="19"/>
        <v>1.637830075182503E-5</v>
      </c>
    </row>
    <row r="91" spans="3:30" x14ac:dyDescent="0.3">
      <c r="C91" s="22">
        <v>59</v>
      </c>
      <c r="D91" s="22">
        <v>5993</v>
      </c>
      <c r="F91" s="3">
        <f t="shared" si="6"/>
        <v>187.11515527200964</v>
      </c>
      <c r="G91" s="3">
        <f t="shared" si="7"/>
        <v>31.446117903591791</v>
      </c>
      <c r="H91" s="3">
        <f t="shared" si="8"/>
        <v>-0.32202723362188335</v>
      </c>
      <c r="I91" s="3">
        <f t="shared" si="9"/>
        <v>5.2343456099323352E-2</v>
      </c>
      <c r="J91" s="3">
        <f t="shared" si="10"/>
        <v>-2.0825529323240204</v>
      </c>
      <c r="K91" s="3">
        <f t="shared" si="11"/>
        <v>260.34659737201196</v>
      </c>
      <c r="L91" s="3" cm="1">
        <f t="array" ref="L91">lmb_2(F91)</f>
        <v>181.91163422905285</v>
      </c>
      <c r="M91" s="3" cm="1">
        <f t="array" ref="M91">lmb_2(G91)</f>
        <v>28.109992775675327</v>
      </c>
      <c r="N91" s="3" cm="1">
        <f t="array" ref="N91">lmb_2(H91)</f>
        <v>0.45826984767823709</v>
      </c>
      <c r="O91" s="3" cm="1">
        <f t="array" ref="O91">lmb_2(I91)</f>
        <v>0.5862878516651393</v>
      </c>
      <c r="P91" s="3" cm="1">
        <f t="array" ref="P91">lmb_2(J91)</f>
        <v>0.11146767831995431</v>
      </c>
      <c r="R91" s="3">
        <f t="shared" si="12"/>
        <v>17.346637244285834</v>
      </c>
      <c r="S91" s="3">
        <f t="shared" si="13"/>
        <v>1048.133161869473</v>
      </c>
      <c r="T91" s="3">
        <f t="shared" si="14"/>
        <v>2412.8218734765883</v>
      </c>
      <c r="U91" s="3">
        <f t="shared" si="4"/>
        <v>1981.5197158252899</v>
      </c>
      <c r="V91" s="3">
        <f t="shared" si="5"/>
        <v>0</v>
      </c>
      <c r="W91" s="3">
        <f t="shared" si="15"/>
        <v>174.0443608095853</v>
      </c>
      <c r="Y91" s="3">
        <f t="shared" si="16"/>
        <v>5894.2123465972354</v>
      </c>
      <c r="AA91" s="3">
        <f t="shared" si="17"/>
        <v>9759.0004648247468</v>
      </c>
      <c r="AB91" s="3">
        <f t="shared" si="18"/>
        <v>98.78765340276459</v>
      </c>
      <c r="AD91" s="3">
        <f t="shared" si="19"/>
        <v>3.2392163130134832E-5</v>
      </c>
    </row>
    <row r="92" spans="3:30" x14ac:dyDescent="0.3">
      <c r="C92" s="22">
        <v>60</v>
      </c>
      <c r="D92" s="22">
        <v>5867</v>
      </c>
      <c r="F92" s="3">
        <f t="shared" si="6"/>
        <v>193.47064858451122</v>
      </c>
      <c r="G92" s="3">
        <f t="shared" si="7"/>
        <v>32.488261012333325</v>
      </c>
      <c r="H92" s="3">
        <f t="shared" si="8"/>
        <v>-0.31343945677295765</v>
      </c>
      <c r="I92" s="3">
        <f t="shared" si="9"/>
        <v>5.4672683369971248E-2</v>
      </c>
      <c r="J92" s="3">
        <f t="shared" si="10"/>
        <v>-2.082431213411573</v>
      </c>
      <c r="K92" s="3">
        <f t="shared" si="11"/>
        <v>245.13472212117281</v>
      </c>
      <c r="L92" s="3" cm="1">
        <f t="array" ref="L92">lmb_2(F92)</f>
        <v>188.23296819631304</v>
      </c>
      <c r="M92" s="3" cm="1">
        <f t="array" ref="M92">lmb_2(G92)</f>
        <v>29.116940847826005</v>
      </c>
      <c r="N92" s="3" cm="1">
        <f t="array" ref="N92">lmb_2(H92)</f>
        <v>0.4609740567741234</v>
      </c>
      <c r="O92" s="3" cm="1">
        <f t="array" ref="O92">lmb_2(I92)</f>
        <v>0.58714912640267691</v>
      </c>
      <c r="P92" s="3" cm="1">
        <f t="array" ref="P92">lmb_2(J92)</f>
        <v>0.11147988595609841</v>
      </c>
      <c r="R92" s="3">
        <f t="shared" si="12"/>
        <v>16.478734197344394</v>
      </c>
      <c r="S92" s="3">
        <f t="shared" si="13"/>
        <v>994.6308652984585</v>
      </c>
      <c r="T92" s="3">
        <f t="shared" si="14"/>
        <v>2434.8078377495212</v>
      </c>
      <c r="U92" s="3">
        <f t="shared" si="4"/>
        <v>2011.0569845914026</v>
      </c>
      <c r="V92" s="3">
        <f t="shared" si="5"/>
        <v>0</v>
      </c>
      <c r="W92" s="3">
        <f t="shared" si="15"/>
        <v>176.1468076029681</v>
      </c>
      <c r="Y92" s="3">
        <f t="shared" si="16"/>
        <v>5878.2559515608673</v>
      </c>
      <c r="AA92" s="3">
        <f t="shared" si="17"/>
        <v>126.69644554059074</v>
      </c>
      <c r="AB92" s="3">
        <f t="shared" si="18"/>
        <v>-11.255951560867288</v>
      </c>
      <c r="AD92" s="3">
        <f t="shared" si="19"/>
        <v>3.6907913750920768E-6</v>
      </c>
    </row>
    <row r="93" spans="3:30" x14ac:dyDescent="0.3">
      <c r="C93" s="22">
        <v>61</v>
      </c>
      <c r="D93" s="22">
        <v>5827</v>
      </c>
      <c r="F93" s="3">
        <f t="shared" si="6"/>
        <v>199.93295691066822</v>
      </c>
      <c r="G93" s="3">
        <f t="shared" si="7"/>
        <v>33.547919131305804</v>
      </c>
      <c r="H93" s="3">
        <f t="shared" si="8"/>
        <v>-0.30470734754001627</v>
      </c>
      <c r="I93" s="3">
        <f t="shared" si="9"/>
        <v>5.7041057317436764E-2</v>
      </c>
      <c r="J93" s="3">
        <f t="shared" si="10"/>
        <v>-2.0823074488031179</v>
      </c>
      <c r="K93" s="3">
        <f t="shared" si="11"/>
        <v>230.81166643234391</v>
      </c>
      <c r="L93" s="3" cm="1">
        <f t="array" ref="L93">lmb_2(F93)</f>
        <v>194.6616937625746</v>
      </c>
      <c r="M93" s="3" cm="1">
        <f t="array" ref="M93">lmb_2(G93)</f>
        <v>30.141999596688695</v>
      </c>
      <c r="N93" s="3" cm="1">
        <f t="array" ref="N93">lmb_2(H93)</f>
        <v>0.46373489325101874</v>
      </c>
      <c r="O93" s="3" cm="1">
        <f t="array" ref="O93">lmb_2(I93)</f>
        <v>0.58802569328783894</v>
      </c>
      <c r="P93" s="3" cm="1">
        <f t="array" ref="P93">lmb_2(J93)</f>
        <v>0.11149229999593187</v>
      </c>
      <c r="R93" s="3">
        <f t="shared" si="12"/>
        <v>15.667821631218986</v>
      </c>
      <c r="S93" s="3">
        <f t="shared" si="13"/>
        <v>944.66660409370434</v>
      </c>
      <c r="T93" s="3">
        <f t="shared" si="14"/>
        <v>2456.0096170749171</v>
      </c>
      <c r="U93" s="3">
        <f t="shared" si="4"/>
        <v>2040.3998713065434</v>
      </c>
      <c r="V93" s="3">
        <f t="shared" si="5"/>
        <v>0</v>
      </c>
      <c r="W93" s="3">
        <f t="shared" si="15"/>
        <v>178.24925439635089</v>
      </c>
      <c r="Y93" s="3">
        <f t="shared" si="16"/>
        <v>5865.8048349350793</v>
      </c>
      <c r="AA93" s="3">
        <f t="shared" si="17"/>
        <v>1505.8152143387485</v>
      </c>
      <c r="AB93" s="3">
        <f t="shared" si="18"/>
        <v>-38.804834935079271</v>
      </c>
      <c r="AD93" s="3">
        <f t="shared" si="19"/>
        <v>1.2723984224326825E-5</v>
      </c>
    </row>
    <row r="94" spans="3:30" x14ac:dyDescent="0.3">
      <c r="C94" s="22">
        <v>62</v>
      </c>
      <c r="D94" s="22">
        <v>5856</v>
      </c>
      <c r="F94" s="3">
        <f t="shared" si="6"/>
        <v>206.50208025048082</v>
      </c>
      <c r="G94" s="3">
        <f t="shared" si="7"/>
        <v>34.625092260509234</v>
      </c>
      <c r="H94" s="3">
        <f t="shared" si="8"/>
        <v>-0.29583090592305938</v>
      </c>
      <c r="I94" s="3">
        <f t="shared" si="9"/>
        <v>5.9448577941719885E-2</v>
      </c>
      <c r="J94" s="3">
        <f t="shared" si="10"/>
        <v>-2.0821816384986556</v>
      </c>
      <c r="K94" s="3">
        <f t="shared" si="11"/>
        <v>217.32549718085906</v>
      </c>
      <c r="L94" s="3" cm="1">
        <f t="array" ref="L94">lmb_2(F94)</f>
        <v>201.19779178752657</v>
      </c>
      <c r="M94" s="3" cm="1">
        <f t="array" ref="M94">lmb_2(G94)</f>
        <v>31.185150233064338</v>
      </c>
      <c r="N94" s="3" cm="1">
        <f t="array" ref="N94">lmb_2(H94)</f>
        <v>0.46655291958360051</v>
      </c>
      <c r="O94" s="3" cm="1">
        <f t="array" ref="O94">lmb_2(I94)</f>
        <v>0.58891759302874969</v>
      </c>
      <c r="P94" s="3" cm="1">
        <f t="array" ref="P94">lmb_2(J94)</f>
        <v>0.11150492050122056</v>
      </c>
      <c r="R94" s="3">
        <f t="shared" si="12"/>
        <v>14.909296842499382</v>
      </c>
      <c r="S94" s="3">
        <f t="shared" si="13"/>
        <v>897.95710290319028</v>
      </c>
      <c r="T94" s="3">
        <f t="shared" si="14"/>
        <v>2476.4266457767744</v>
      </c>
      <c r="U94" s="3">
        <f t="shared" si="4"/>
        <v>2069.5459202580514</v>
      </c>
      <c r="V94" s="3">
        <f t="shared" si="5"/>
        <v>0</v>
      </c>
      <c r="W94" s="3">
        <f t="shared" si="15"/>
        <v>180.35170118973372</v>
      </c>
      <c r="Y94" s="3">
        <f t="shared" si="16"/>
        <v>5856.5161641511086</v>
      </c>
      <c r="AA94" s="3">
        <f t="shared" si="17"/>
        <v>0.26642543088962972</v>
      </c>
      <c r="AB94" s="3">
        <f t="shared" si="18"/>
        <v>-0.51616415110856906</v>
      </c>
      <c r="AD94" s="3">
        <f t="shared" si="19"/>
        <v>1.6924861365487636E-7</v>
      </c>
    </row>
    <row r="95" spans="3:30" x14ac:dyDescent="0.3">
      <c r="C95" s="22">
        <v>63</v>
      </c>
      <c r="D95" s="22">
        <v>5938</v>
      </c>
      <c r="F95" s="3">
        <f t="shared" si="6"/>
        <v>213.17801860394877</v>
      </c>
      <c r="G95" s="3">
        <f t="shared" si="7"/>
        <v>35.719780399943616</v>
      </c>
      <c r="H95" s="3">
        <f t="shared" si="8"/>
        <v>-0.28681013192208693</v>
      </c>
      <c r="I95" s="3">
        <f t="shared" si="9"/>
        <v>6.1895245242820626E-2</v>
      </c>
      <c r="J95" s="3">
        <f t="shared" si="10"/>
        <v>-2.0820537824981855</v>
      </c>
      <c r="K95" s="3">
        <f t="shared" si="11"/>
        <v>204.62731565933157</v>
      </c>
      <c r="L95" s="3" cm="1">
        <f t="array" ref="L95">lmb_2(F95)</f>
        <v>207.84124406535656</v>
      </c>
      <c r="M95" s="3" cm="1">
        <f t="array" ref="M95">lmb_2(G95)</f>
        <v>32.246374773155054</v>
      </c>
      <c r="N95" s="3" cm="1">
        <f t="array" ref="N95">lmb_2(H95)</f>
        <v>0.46942870754858829</v>
      </c>
      <c r="O95" s="3" cm="1">
        <f t="array" ref="O95">lmb_2(I95)</f>
        <v>0.58982486699362535</v>
      </c>
      <c r="P95" s="3" cm="1">
        <f t="array" ref="P95">lmb_2(J95)</f>
        <v>0.11151774753475961</v>
      </c>
      <c r="R95" s="3">
        <f t="shared" si="12"/>
        <v>14.198995934786728</v>
      </c>
      <c r="S95" s="3">
        <f t="shared" si="13"/>
        <v>854.24537859288648</v>
      </c>
      <c r="T95" s="3">
        <f t="shared" si="14"/>
        <v>2496.0588083983821</v>
      </c>
      <c r="U95" s="3">
        <f t="shared" si="4"/>
        <v>2098.492711768462</v>
      </c>
      <c r="V95" s="3">
        <f t="shared" si="5"/>
        <v>0</v>
      </c>
      <c r="W95" s="3">
        <f t="shared" si="15"/>
        <v>182.45414798311651</v>
      </c>
      <c r="Y95" s="3">
        <f t="shared" si="16"/>
        <v>5850.0773583369655</v>
      </c>
      <c r="AA95" s="3">
        <f t="shared" si="17"/>
        <v>7730.3909170063671</v>
      </c>
      <c r="AB95" s="3">
        <f t="shared" si="18"/>
        <v>87.922641663034483</v>
      </c>
      <c r="AD95" s="3">
        <f t="shared" si="19"/>
        <v>2.8829559701857443E-5</v>
      </c>
    </row>
    <row r="96" spans="3:30" x14ac:dyDescent="0.3">
      <c r="C96" s="22">
        <v>64</v>
      </c>
      <c r="D96" s="22">
        <v>5928</v>
      </c>
      <c r="F96" s="3">
        <f t="shared" si="6"/>
        <v>219.96077197107232</v>
      </c>
      <c r="G96" s="3">
        <f t="shared" si="7"/>
        <v>36.83198354960895</v>
      </c>
      <c r="H96" s="3">
        <f t="shared" si="8"/>
        <v>-0.27764502553709886</v>
      </c>
      <c r="I96" s="3">
        <f t="shared" si="9"/>
        <v>6.4381059220738973E-2</v>
      </c>
      <c r="J96" s="3">
        <f t="shared" si="10"/>
        <v>-2.0819238808017078</v>
      </c>
      <c r="K96" s="3">
        <f t="shared" si="11"/>
        <v>192.67108027870933</v>
      </c>
      <c r="L96" s="3" cm="1">
        <f t="array" ref="L96">lmb_2(F96)</f>
        <v>214.59203326521248</v>
      </c>
      <c r="M96" s="3" cm="1">
        <f t="array" ref="M96">lmb_2(G96)</f>
        <v>33.325655998851168</v>
      </c>
      <c r="N96" s="3" cm="1">
        <f t="array" ref="N96">lmb_2(H96)</f>
        <v>0.47236283819268848</v>
      </c>
      <c r="O96" s="3" cm="1">
        <f t="array" ref="O96">lmb_2(I96)</f>
        <v>0.59074755721000094</v>
      </c>
      <c r="P96" s="3" cm="1">
        <f t="array" ref="P96">lmb_2(J96)</f>
        <v>0.11153078116037357</v>
      </c>
      <c r="R96" s="3">
        <f t="shared" si="12"/>
        <v>13.533145812828671</v>
      </c>
      <c r="S96" s="3">
        <f t="shared" si="13"/>
        <v>813.29799750584618</v>
      </c>
      <c r="T96" s="3">
        <f t="shared" si="14"/>
        <v>2514.9064352515106</v>
      </c>
      <c r="U96" s="3">
        <f t="shared" ref="U96:U159" si="20">$I$18*(C96/$I$19)*($O$28+$O$28^2)/(O96+O96^2)</f>
        <v>2127.2378625629981</v>
      </c>
      <c r="V96" s="3">
        <f t="shared" ref="V96:V159" si="21">$J$18*(C96/$J$19)*($P$28+$P$28^2)/(P96+P96^2)</f>
        <v>0</v>
      </c>
      <c r="W96" s="3">
        <f t="shared" si="15"/>
        <v>184.55659477649931</v>
      </c>
      <c r="Y96" s="3">
        <f t="shared" si="16"/>
        <v>5846.2031161883915</v>
      </c>
      <c r="AA96" s="3">
        <f t="shared" si="17"/>
        <v>6690.7302012897799</v>
      </c>
      <c r="AB96" s="3">
        <f t="shared" si="18"/>
        <v>81.796883811608495</v>
      </c>
      <c r="AD96" s="3">
        <f t="shared" si="19"/>
        <v>2.6820942827336749E-5</v>
      </c>
    </row>
    <row r="97" spans="3:30" x14ac:dyDescent="0.3">
      <c r="C97" s="22">
        <v>65</v>
      </c>
      <c r="D97" s="22">
        <v>5871</v>
      </c>
      <c r="F97" s="3">
        <f t="shared" ref="F97:F160" si="22">$F$20/(1-$F$20)-LN((1-$F$20)/$F$20)+(C97/$F$19)^2/((1-$F$20)*(1+0.534156*$F$20^0.7917))</f>
        <v>226.85034035185132</v>
      </c>
      <c r="G97" s="3">
        <f t="shared" ref="G97:G160" si="23">$G$20/(1-$G$20)-LN((1-$G$20)/$G$20)+(C97/$G$19)^2/((1-$G$20)*(1+0.534156*$G$20^0.7917))</f>
        <v>37.961701709505228</v>
      </c>
      <c r="H97" s="3">
        <f t="shared" ref="H97:H160" si="24">$H$20/(1-$H$20)-LN((1-$H$20)/$H$20)+(C97/$H$19)^2/((1-$H$20)*(1+0.534156*$H$20^0.7917))</f>
        <v>-0.26833558676809532</v>
      </c>
      <c r="I97" s="3">
        <f t="shared" ref="I97:I160" si="25">$I$20/(1-$I$20)-LN((1-$I$20)/$I$20)+(C97/$I$19)^2/((1-$I$20)*(1+0.534156*$I$20^0.7917))</f>
        <v>6.6906019875474926E-2</v>
      </c>
      <c r="J97" s="3">
        <f t="shared" ref="J97:J160" si="26">$J$20/(1-$J$20)-LN((1-$J$20)/$J$20)+(C97/$J$19)^2/((1-$J$20)*(1+0.534156*$J$20^0.7917))</f>
        <v>-2.0817919334092228</v>
      </c>
      <c r="K97" s="3">
        <f t="shared" ref="K97:K160" si="27">$K$18*EXP(-$K$20*C97)</f>
        <v>181.41343962878685</v>
      </c>
      <c r="L97" s="3" cm="1">
        <f t="array" ref="L97">lmb_2(F97)</f>
        <v>221.45014287629695</v>
      </c>
      <c r="M97" s="3" cm="1">
        <f t="array" ref="M97">lmb_2(G97)</f>
        <v>34.422977419852494</v>
      </c>
      <c r="N97" s="3" cm="1">
        <f t="array" ref="N97">lmb_2(H97)</f>
        <v>0.47535590179754389</v>
      </c>
      <c r="O97" s="3" cm="1">
        <f t="array" ref="O97">lmb_2(I97)</f>
        <v>0.59168570636393392</v>
      </c>
      <c r="P97" s="3" cm="1">
        <f t="array" ref="P97">lmb_2(J97)</f>
        <v>0.11154402144291693</v>
      </c>
      <c r="R97" s="3">
        <f t="shared" ref="R97:R160" si="28">$F$18*(C97/$F$19)*($L$28+$L$28^2)/(L97+L97^2)</f>
        <v>12.908322079988896</v>
      </c>
      <c r="S97" s="3">
        <f t="shared" ref="S97:S160" si="29">$G$18*(C97/$G$19)*($M$28+$M$28^2)/(M97+M97^2)</f>
        <v>774.90264667097415</v>
      </c>
      <c r="T97" s="3">
        <f t="shared" ref="T97:T160" si="30">$H$18*(C97/$H$19)*($N$28+$N$28^2)/(N97+N97^2)</f>
        <v>2532.9702976026815</v>
      </c>
      <c r="U97" s="3">
        <f t="shared" si="20"/>
        <v>2155.7790261272316</v>
      </c>
      <c r="V97" s="3">
        <f t="shared" si="21"/>
        <v>0</v>
      </c>
      <c r="W97" s="3">
        <f t="shared" ref="W97:W160" si="31">$F$22+$G$22/$F$21*C97</f>
        <v>186.65904156988211</v>
      </c>
      <c r="Y97" s="3">
        <f t="shared" ref="Y97:Y160" si="32">SUM(R97:W97)+K97</f>
        <v>5844.6327736795456</v>
      </c>
      <c r="AA97" s="3">
        <f t="shared" ref="AA97:AA160" si="33">(D97-Y97)^2</f>
        <v>695.23062383406284</v>
      </c>
      <c r="AB97" s="3">
        <f t="shared" ref="AB97:AB160" si="34">D97-Y97</f>
        <v>26.367226320454392</v>
      </c>
      <c r="AD97" s="3">
        <f t="shared" ref="AD97:AD160" si="35">ABS(AB97/$AC$32)</f>
        <v>8.6457311905076751E-6</v>
      </c>
    </row>
    <row r="98" spans="3:30" x14ac:dyDescent="0.3">
      <c r="C98" s="22">
        <v>66</v>
      </c>
      <c r="D98" s="22">
        <v>5910</v>
      </c>
      <c r="F98" s="3">
        <f t="shared" si="22"/>
        <v>233.84672374628582</v>
      </c>
      <c r="G98" s="3">
        <f t="shared" si="23"/>
        <v>39.108934879632464</v>
      </c>
      <c r="H98" s="3">
        <f t="shared" si="24"/>
        <v>-0.25888181561507623</v>
      </c>
      <c r="I98" s="3">
        <f t="shared" si="25"/>
        <v>6.9470127207028484E-2</v>
      </c>
      <c r="J98" s="3">
        <f t="shared" si="26"/>
        <v>-2.0816579403207305</v>
      </c>
      <c r="K98" s="3">
        <f t="shared" si="27"/>
        <v>170.81357529287823</v>
      </c>
      <c r="L98" s="3" cm="1">
        <f t="array" ref="L98">lmb_2(F98)</f>
        <v>228.41555715717573</v>
      </c>
      <c r="M98" s="3" cm="1">
        <f t="array" ref="M98">lmb_2(G98)</f>
        <v>35.538323237602448</v>
      </c>
      <c r="N98" s="3" cm="1">
        <f t="array" ref="N98">lmb_2(H98)</f>
        <v>0.47840849784159262</v>
      </c>
      <c r="O98" s="3" cm="1">
        <f t="array" ref="O98">lmb_2(I98)</f>
        <v>0.59263935779918242</v>
      </c>
      <c r="P98" s="3" cm="1">
        <f t="array" ref="P98">lmb_2(J98)</f>
        <v>0.1115574684482746</v>
      </c>
      <c r="R98" s="3">
        <f t="shared" si="28"/>
        <v>12.321412035814207</v>
      </c>
      <c r="S98" s="3">
        <f t="shared" si="29"/>
        <v>738.86598032624306</v>
      </c>
      <c r="T98" s="3">
        <f t="shared" si="30"/>
        <v>2550.2516025048062</v>
      </c>
      <c r="U98" s="3">
        <f t="shared" si="20"/>
        <v>2184.1138930548291</v>
      </c>
      <c r="V98" s="3">
        <f t="shared" si="21"/>
        <v>0</v>
      </c>
      <c r="W98" s="3">
        <f t="shared" si="31"/>
        <v>188.7614883632649</v>
      </c>
      <c r="Y98" s="3">
        <f t="shared" si="32"/>
        <v>5845.127951577836</v>
      </c>
      <c r="AA98" s="3">
        <f t="shared" si="33"/>
        <v>4208.3826664875869</v>
      </c>
      <c r="AB98" s="3">
        <f t="shared" si="34"/>
        <v>64.872048422163971</v>
      </c>
      <c r="AD98" s="3">
        <f t="shared" si="35"/>
        <v>2.1271342143429586E-5</v>
      </c>
    </row>
    <row r="99" spans="3:30" x14ac:dyDescent="0.3">
      <c r="C99" s="22">
        <v>67</v>
      </c>
      <c r="D99" s="22">
        <v>5883</v>
      </c>
      <c r="F99" s="3">
        <f t="shared" si="22"/>
        <v>240.94992215437583</v>
      </c>
      <c r="G99" s="3">
        <f t="shared" si="23"/>
        <v>40.27368305999066</v>
      </c>
      <c r="H99" s="3">
        <f t="shared" si="24"/>
        <v>-0.24928371207804145</v>
      </c>
      <c r="I99" s="3">
        <f t="shared" si="25"/>
        <v>7.207338121539969E-2</v>
      </c>
      <c r="J99" s="3">
        <f t="shared" si="26"/>
        <v>-2.0815219015362301</v>
      </c>
      <c r="K99" s="3">
        <f t="shared" si="27"/>
        <v>160.83305384672229</v>
      </c>
      <c r="L99" s="3" cm="1">
        <f t="array" ref="L99">lmb_2(F99)</f>
        <v>235.48826108891794</v>
      </c>
      <c r="M99" s="3" cm="1">
        <f t="array" ref="M99">lmb_2(G99)</f>
        <v>36.671678310997358</v>
      </c>
      <c r="N99" s="3" cm="1">
        <f t="array" ref="N99">lmb_2(H99)</f>
        <v>0.48152123495873994</v>
      </c>
      <c r="O99" s="3" cm="1">
        <f t="array" ref="O99">lmb_2(I99)</f>
        <v>0.59360855551635927</v>
      </c>
      <c r="P99" s="3" cm="1">
        <f t="array" ref="P99">lmb_2(J99)</f>
        <v>0.11157112224336228</v>
      </c>
      <c r="R99" s="3">
        <f t="shared" si="28"/>
        <v>11.769582089904119</v>
      </c>
      <c r="S99" s="3">
        <f t="shared" si="29"/>
        <v>705.01170813387751</v>
      </c>
      <c r="T99" s="3">
        <f t="shared" si="30"/>
        <v>2566.7519872828179</v>
      </c>
      <c r="U99" s="3">
        <f t="shared" si="20"/>
        <v>2212.2401913853214</v>
      </c>
      <c r="V99" s="3">
        <f t="shared" si="21"/>
        <v>0</v>
      </c>
      <c r="W99" s="3">
        <f t="shared" si="31"/>
        <v>190.86393515664773</v>
      </c>
      <c r="Y99" s="3">
        <f t="shared" si="32"/>
        <v>5847.4704578952915</v>
      </c>
      <c r="AA99" s="3">
        <f t="shared" si="33"/>
        <v>1262.348362170256</v>
      </c>
      <c r="AB99" s="3">
        <f t="shared" si="34"/>
        <v>35.529542104708526</v>
      </c>
      <c r="AD99" s="3">
        <f t="shared" si="35"/>
        <v>1.1650025930897405E-5</v>
      </c>
    </row>
    <row r="100" spans="3:30" x14ac:dyDescent="0.3">
      <c r="C100" s="22">
        <v>68</v>
      </c>
      <c r="D100" s="22">
        <v>6064</v>
      </c>
      <c r="F100" s="3">
        <f t="shared" si="22"/>
        <v>248.15993557612126</v>
      </c>
      <c r="G100" s="3">
        <f t="shared" si="23"/>
        <v>41.455946250579785</v>
      </c>
      <c r="H100" s="3">
        <f t="shared" si="24"/>
        <v>-0.23954127615699122</v>
      </c>
      <c r="I100" s="3">
        <f t="shared" si="25"/>
        <v>7.4715781900588474E-2</v>
      </c>
      <c r="J100" s="3">
        <f t="shared" si="26"/>
        <v>-2.0813838170557228</v>
      </c>
      <c r="K100" s="3">
        <f t="shared" si="27"/>
        <v>151.43568750499162</v>
      </c>
      <c r="L100" s="3" cm="1">
        <f t="array" ref="L100">lmb_2(F100)</f>
        <v>242.6682403317302</v>
      </c>
      <c r="M100" s="3" cm="1">
        <f t="array" ref="M100">lmb_2(G100)</f>
        <v>37.823028123822169</v>
      </c>
      <c r="N100" s="3" cm="1">
        <f t="array" ref="N100">lmb_2(H100)</f>
        <v>0.48469473089374854</v>
      </c>
      <c r="O100" s="3" cm="1">
        <f t="array" ref="O100">lmb_2(I100)</f>
        <v>0.59459334417206067</v>
      </c>
      <c r="P100" s="3" cm="1">
        <f t="array" ref="P100">lmb_2(J100)</f>
        <v>0.11158498289612677</v>
      </c>
      <c r="R100" s="3">
        <f t="shared" si="28"/>
        <v>11.250249008511364</v>
      </c>
      <c r="S100" s="3">
        <f t="shared" si="29"/>
        <v>673.17889580686926</v>
      </c>
      <c r="T100" s="3">
        <f t="shared" si="30"/>
        <v>2582.473513682311</v>
      </c>
      <c r="U100" s="3">
        <f t="shared" si="20"/>
        <v>2240.1556869318147</v>
      </c>
      <c r="V100" s="3">
        <f t="shared" si="21"/>
        <v>0</v>
      </c>
      <c r="W100" s="3">
        <f t="shared" si="31"/>
        <v>192.96638195003052</v>
      </c>
      <c r="Y100" s="3">
        <f t="shared" si="32"/>
        <v>5851.4604148845283</v>
      </c>
      <c r="AA100" s="3">
        <f t="shared" si="33"/>
        <v>45173.075241056846</v>
      </c>
      <c r="AB100" s="3">
        <f t="shared" si="34"/>
        <v>212.53958511547171</v>
      </c>
      <c r="AD100" s="3">
        <f t="shared" si="35"/>
        <v>6.9691066398778031E-5</v>
      </c>
    </row>
    <row r="101" spans="3:30" x14ac:dyDescent="0.3">
      <c r="C101" s="22">
        <v>69</v>
      </c>
      <c r="D101" s="22">
        <v>5871</v>
      </c>
      <c r="F101" s="3">
        <f t="shared" si="22"/>
        <v>255.47676401152225</v>
      </c>
      <c r="G101" s="3">
        <f t="shared" si="23"/>
        <v>42.65572445139987</v>
      </c>
      <c r="H101" s="3">
        <f t="shared" si="24"/>
        <v>-0.22965450785192554</v>
      </c>
      <c r="I101" s="3">
        <f t="shared" si="25"/>
        <v>7.7397329262594863E-2</v>
      </c>
      <c r="J101" s="3">
        <f t="shared" si="26"/>
        <v>-2.0812436868792075</v>
      </c>
      <c r="K101" s="3">
        <f t="shared" si="27"/>
        <v>142.58740291013154</v>
      </c>
      <c r="L101" s="3" cm="1">
        <f t="array" ref="L101">lmb_2(F101)</f>
        <v>249.95548118477817</v>
      </c>
      <c r="M101" s="3" cm="1">
        <f t="array" ref="M101">lmb_2(G101)</f>
        <v>38.992358753855221</v>
      </c>
      <c r="N101" s="3" cm="1">
        <f t="array" ref="N101">lmb_2(H101)</f>
        <v>0.48792961245425531</v>
      </c>
      <c r="O101" s="3" cm="1">
        <f t="array" ref="O101">lmb_2(I101)</f>
        <v>0.59559376907796835</v>
      </c>
      <c r="P101" s="3" cm="1">
        <f t="array" ref="P101">lmb_2(J101)</f>
        <v>0.11159905047554668</v>
      </c>
      <c r="R101" s="3">
        <f t="shared" si="28"/>
        <v>10.761054494626467</v>
      </c>
      <c r="S101" s="3">
        <f t="shared" si="29"/>
        <v>643.22045262703557</v>
      </c>
      <c r="T101" s="3">
        <f t="shared" si="30"/>
        <v>2597.4186616905085</v>
      </c>
      <c r="U101" s="3">
        <f t="shared" si="20"/>
        <v>2267.8581835985806</v>
      </c>
      <c r="V101" s="3">
        <f t="shared" si="21"/>
        <v>0</v>
      </c>
      <c r="W101" s="3">
        <f t="shared" si="31"/>
        <v>195.06882874341332</v>
      </c>
      <c r="Y101" s="3">
        <f t="shared" si="32"/>
        <v>5856.9145840642959</v>
      </c>
      <c r="AA101" s="3">
        <f t="shared" si="33"/>
        <v>198.39894208178637</v>
      </c>
      <c r="AB101" s="3">
        <f t="shared" si="34"/>
        <v>14.085415935704077</v>
      </c>
      <c r="AD101" s="3">
        <f t="shared" si="35"/>
        <v>4.6185639098535242E-6</v>
      </c>
    </row>
    <row r="102" spans="3:30" x14ac:dyDescent="0.3">
      <c r="C102" s="22">
        <v>70</v>
      </c>
      <c r="D102" s="22">
        <v>5981</v>
      </c>
      <c r="F102" s="3">
        <f t="shared" si="22"/>
        <v>262.90040746057866</v>
      </c>
      <c r="G102" s="3">
        <f t="shared" si="23"/>
        <v>43.873017662450899</v>
      </c>
      <c r="H102" s="3">
        <f t="shared" si="24"/>
        <v>-0.21962340716284401</v>
      </c>
      <c r="I102" s="3">
        <f t="shared" si="25"/>
        <v>8.01180233014189E-2</v>
      </c>
      <c r="J102" s="3">
        <f t="shared" si="26"/>
        <v>-2.0811015110066848</v>
      </c>
      <c r="K102" s="3">
        <f t="shared" si="27"/>
        <v>134.25611758777819</v>
      </c>
      <c r="L102" s="3" cm="1">
        <f t="array" ref="L102">lmb_2(F102)</f>
        <v>257.34997054891971</v>
      </c>
      <c r="M102" s="3" cm="1">
        <f t="array" ref="M102">lmb_2(G102)</f>
        <v>40.179656843578954</v>
      </c>
      <c r="N102" s="3" cm="1">
        <f t="array" ref="N102">lmb_2(H102)</f>
        <v>0.49122651545932122</v>
      </c>
      <c r="O102" s="3" cm="1">
        <f t="array" ref="O102">lmb_2(I102)</f>
        <v>0.59660987619992478</v>
      </c>
      <c r="P102" s="3" cm="1">
        <f t="array" ref="P102">lmb_2(J102)</f>
        <v>0.11161332505163254</v>
      </c>
      <c r="R102" s="3">
        <f t="shared" si="28"/>
        <v>10.299842673432661</v>
      </c>
      <c r="S102" s="3">
        <f t="shared" si="29"/>
        <v>615.0017835931086</v>
      </c>
      <c r="T102" s="3">
        <f t="shared" si="30"/>
        <v>2611.5903230392287</v>
      </c>
      <c r="U102" s="3">
        <f t="shared" si="20"/>
        <v>2295.3455236884688</v>
      </c>
      <c r="V102" s="3">
        <f t="shared" si="21"/>
        <v>0</v>
      </c>
      <c r="W102" s="3">
        <f t="shared" si="31"/>
        <v>197.17127553679612</v>
      </c>
      <c r="Y102" s="3">
        <f t="shared" si="32"/>
        <v>5863.6648661188128</v>
      </c>
      <c r="AA102" s="3">
        <f t="shared" si="33"/>
        <v>13767.533642916118</v>
      </c>
      <c r="AB102" s="3">
        <f t="shared" si="34"/>
        <v>117.33513388118718</v>
      </c>
      <c r="AD102" s="3">
        <f t="shared" si="35"/>
        <v>3.8473824072728319E-5</v>
      </c>
    </row>
    <row r="103" spans="3:30" x14ac:dyDescent="0.3">
      <c r="C103" s="22">
        <v>71</v>
      </c>
      <c r="D103" s="22">
        <v>5961</v>
      </c>
      <c r="F103" s="3">
        <f t="shared" si="22"/>
        <v>270.43086592329058</v>
      </c>
      <c r="G103" s="3">
        <f t="shared" si="23"/>
        <v>45.107825883732886</v>
      </c>
      <c r="H103" s="3">
        <f t="shared" si="24"/>
        <v>-0.20944797408974719</v>
      </c>
      <c r="I103" s="3">
        <f t="shared" si="25"/>
        <v>8.2877864017060515E-2</v>
      </c>
      <c r="J103" s="3">
        <f t="shared" si="26"/>
        <v>-2.0809572894381549</v>
      </c>
      <c r="K103" s="3">
        <f t="shared" si="27"/>
        <v>126.4116236208029</v>
      </c>
      <c r="L103" s="3" cm="1">
        <f t="array" ref="L103">lmb_2(F103)</f>
        <v>264.85169589210324</v>
      </c>
      <c r="M103" s="3" cm="1">
        <f t="array" ref="M103">lmb_2(G103)</f>
        <v>41.384909572430402</v>
      </c>
      <c r="N103" s="3" cm="1">
        <f t="array" ref="N103">lmb_2(H103)</f>
        <v>0.49458608468442616</v>
      </c>
      <c r="O103" s="3" cm="1">
        <f t="array" ref="O103">lmb_2(I103)</f>
        <v>0.59764171215698292</v>
      </c>
      <c r="P103" s="3" cm="1">
        <f t="array" ref="P103">lmb_2(J103)</f>
        <v>0.11162780669542753</v>
      </c>
      <c r="R103" s="3">
        <f t="shared" si="28"/>
        <v>9.8646401151742573</v>
      </c>
      <c r="S103" s="3">
        <f t="shared" si="29"/>
        <v>588.39958676130004</v>
      </c>
      <c r="T103" s="3">
        <f t="shared" si="30"/>
        <v>2624.9917943998184</v>
      </c>
      <c r="U103" s="3">
        <f t="shared" si="20"/>
        <v>2322.6155882000648</v>
      </c>
      <c r="V103" s="3">
        <f t="shared" si="21"/>
        <v>0</v>
      </c>
      <c r="W103" s="3">
        <f t="shared" si="31"/>
        <v>199.27372233017891</v>
      </c>
      <c r="Y103" s="3">
        <f t="shared" si="32"/>
        <v>5871.5569554273397</v>
      </c>
      <c r="AA103" s="3">
        <f t="shared" si="33"/>
        <v>8000.0582224268892</v>
      </c>
      <c r="AB103" s="3">
        <f t="shared" si="34"/>
        <v>89.443044572660256</v>
      </c>
      <c r="AD103" s="3">
        <f t="shared" si="35"/>
        <v>2.9328095069140007E-5</v>
      </c>
    </row>
    <row r="104" spans="3:30" x14ac:dyDescent="0.3">
      <c r="C104" s="22">
        <v>72</v>
      </c>
      <c r="D104" s="22">
        <v>5778</v>
      </c>
      <c r="F104" s="3">
        <f t="shared" si="22"/>
        <v>278.06813939965792</v>
      </c>
      <c r="G104" s="3">
        <f t="shared" si="23"/>
        <v>46.360149115245811</v>
      </c>
      <c r="H104" s="3">
        <f t="shared" si="24"/>
        <v>-0.1991282086326347</v>
      </c>
      <c r="I104" s="3">
        <f t="shared" si="25"/>
        <v>8.567685140951975E-2</v>
      </c>
      <c r="J104" s="3">
        <f t="shared" si="26"/>
        <v>-2.0808110221736169</v>
      </c>
      <c r="K104" s="3">
        <f t="shared" si="27"/>
        <v>119.0254781202033</v>
      </c>
      <c r="L104" s="3" cm="1">
        <f t="array" ref="L104">lmb_2(F104)</f>
        <v>272.46064521720564</v>
      </c>
      <c r="M104" s="3" cm="1">
        <f t="array" ref="M104">lmb_2(G104)</f>
        <v>42.608104630522845</v>
      </c>
      <c r="N104" s="3" cm="1">
        <f t="array" ref="N104">lmb_2(H104)</f>
        <v>0.4980089738028215</v>
      </c>
      <c r="O104" s="3" cm="1">
        <f t="array" ref="O104">lmb_2(I104)</f>
        <v>0.59868932422042664</v>
      </c>
      <c r="P104" s="3" cm="1">
        <f t="array" ref="P104">lmb_2(J104)</f>
        <v>0.11164249547900788</v>
      </c>
      <c r="R104" s="3">
        <f t="shared" si="28"/>
        <v>9.453638078482566</v>
      </c>
      <c r="S104" s="3">
        <f t="shared" si="29"/>
        <v>563.30077878961129</v>
      </c>
      <c r="T104" s="3">
        <f t="shared" si="30"/>
        <v>2637.626770280312</v>
      </c>
      <c r="U104" s="3">
        <f t="shared" si="20"/>
        <v>2349.6662971145565</v>
      </c>
      <c r="V104" s="3">
        <f t="shared" si="21"/>
        <v>0</v>
      </c>
      <c r="W104" s="3">
        <f t="shared" si="31"/>
        <v>201.37616912356174</v>
      </c>
      <c r="Y104" s="3">
        <f t="shared" si="32"/>
        <v>5880.4491315067271</v>
      </c>
      <c r="AA104" s="3">
        <f t="shared" si="33"/>
        <v>10495.824546482663</v>
      </c>
      <c r="AB104" s="3">
        <f t="shared" si="34"/>
        <v>-102.4491315067271</v>
      </c>
      <c r="AD104" s="3">
        <f t="shared" si="35"/>
        <v>3.3592750369082766E-5</v>
      </c>
    </row>
    <row r="105" spans="3:30" x14ac:dyDescent="0.3">
      <c r="C105" s="22">
        <v>73</v>
      </c>
      <c r="D105" s="22">
        <v>5983</v>
      </c>
      <c r="F105" s="3">
        <f t="shared" si="22"/>
        <v>285.81222788968091</v>
      </c>
      <c r="G105" s="3">
        <f t="shared" si="23"/>
        <v>47.629987356989709</v>
      </c>
      <c r="H105" s="3">
        <f t="shared" si="24"/>
        <v>-0.18866411079150663</v>
      </c>
      <c r="I105" s="3">
        <f t="shared" si="25"/>
        <v>8.8514985478796632E-2</v>
      </c>
      <c r="J105" s="3">
        <f t="shared" si="26"/>
        <v>-2.0806627092130721</v>
      </c>
      <c r="K105" s="3">
        <f t="shared" si="27"/>
        <v>112.07090009570614</v>
      </c>
      <c r="L105" s="3" cm="1">
        <f t="array" ref="L105">lmb_2(F105)</f>
        <v>280.17680703210857</v>
      </c>
      <c r="M105" s="3" cm="1">
        <f t="array" ref="M105">lmb_2(G105)</f>
        <v>43.849230193769863</v>
      </c>
      <c r="N105" s="3" cm="1">
        <f t="array" ref="N105">lmb_2(H105)</f>
        <v>0.50149584532315217</v>
      </c>
      <c r="O105" s="3" cm="1">
        <f t="array" ref="O105">lmb_2(I105)</f>
        <v>0.59975276031276425</v>
      </c>
      <c r="P105" s="3" cm="1">
        <f t="array" ref="P105">lmb_2(J105)</f>
        <v>0.11165739147548306</v>
      </c>
      <c r="R105" s="3">
        <f t="shared" si="28"/>
        <v>9.065176700544141</v>
      </c>
      <c r="S105" s="3">
        <f t="shared" si="29"/>
        <v>539.60153382199735</v>
      </c>
      <c r="T105" s="3">
        <f t="shared" si="30"/>
        <v>2649.4993356353766</v>
      </c>
      <c r="U105" s="3">
        <f t="shared" si="20"/>
        <v>2376.4956096722412</v>
      </c>
      <c r="V105" s="3">
        <f t="shared" si="21"/>
        <v>0</v>
      </c>
      <c r="W105" s="3">
        <f t="shared" si="31"/>
        <v>203.47861591694453</v>
      </c>
      <c r="Y105" s="3">
        <f t="shared" si="32"/>
        <v>5890.2111718428096</v>
      </c>
      <c r="AA105" s="3">
        <f t="shared" si="33"/>
        <v>8609.7666307846175</v>
      </c>
      <c r="AB105" s="3">
        <f t="shared" si="34"/>
        <v>92.788828157190437</v>
      </c>
      <c r="AD105" s="3">
        <f t="shared" si="35"/>
        <v>3.0425167060782191E-5</v>
      </c>
    </row>
    <row r="106" spans="3:30" x14ac:dyDescent="0.3">
      <c r="C106" s="22">
        <v>74</v>
      </c>
      <c r="D106" s="22">
        <v>6075</v>
      </c>
      <c r="F106" s="3">
        <f t="shared" si="22"/>
        <v>293.66313139335927</v>
      </c>
      <c r="G106" s="3">
        <f t="shared" si="23"/>
        <v>48.91734060896453</v>
      </c>
      <c r="H106" s="3">
        <f t="shared" si="24"/>
        <v>-0.17805568056636301</v>
      </c>
      <c r="I106" s="3">
        <f t="shared" si="25"/>
        <v>9.1392266224891078E-2</v>
      </c>
      <c r="J106" s="3">
        <f t="shared" si="26"/>
        <v>-2.0805123505565191</v>
      </c>
      <c r="K106" s="3">
        <f t="shared" si="27"/>
        <v>105.52267335215036</v>
      </c>
      <c r="L106" s="3" cm="1">
        <f t="array" ref="L106">lmb_2(F106)</f>
        <v>288.00017032182825</v>
      </c>
      <c r="M106" s="3" cm="1">
        <f t="array" ref="M106">lmb_2(G106)</f>
        <v>45.108274900342799</v>
      </c>
      <c r="N106" s="3" cm="1">
        <f t="array" ref="N106">lmb_2(H106)</f>
        <v>0.50504737052326865</v>
      </c>
      <c r="O106" s="3" cm="1">
        <f t="array" ref="O106">lmb_2(I106)</f>
        <v>0.60083206900669273</v>
      </c>
      <c r="P106" s="3" cm="1">
        <f t="array" ref="P106">lmb_2(J106)</f>
        <v>0.11167249475899677</v>
      </c>
      <c r="R106" s="3">
        <f t="shared" si="28"/>
        <v>8.6977308974146226</v>
      </c>
      <c r="S106" s="3">
        <f t="shared" si="29"/>
        <v>517.20642269360485</v>
      </c>
      <c r="T106" s="3">
        <f t="shared" si="30"/>
        <v>2660.6139581998368</v>
      </c>
      <c r="U106" s="3">
        <f t="shared" si="20"/>
        <v>2403.1015246386287</v>
      </c>
      <c r="V106" s="3">
        <f t="shared" si="21"/>
        <v>0</v>
      </c>
      <c r="W106" s="3">
        <f t="shared" si="31"/>
        <v>205.58106271032733</v>
      </c>
      <c r="Y106" s="3">
        <f t="shared" si="32"/>
        <v>5900.7233724919624</v>
      </c>
      <c r="AA106" s="3">
        <f t="shared" si="33"/>
        <v>30372.342895575275</v>
      </c>
      <c r="AB106" s="3">
        <f t="shared" si="34"/>
        <v>174.27662750803756</v>
      </c>
      <c r="AD106" s="3">
        <f t="shared" si="35"/>
        <v>5.7144762058414426E-5</v>
      </c>
    </row>
    <row r="107" spans="3:30" x14ac:dyDescent="0.3">
      <c r="C107" s="22">
        <v>75</v>
      </c>
      <c r="D107" s="22">
        <v>6129</v>
      </c>
      <c r="F107" s="3">
        <f t="shared" si="22"/>
        <v>301.62084991069321</v>
      </c>
      <c r="G107" s="3">
        <f t="shared" si="23"/>
        <v>50.222208871170324</v>
      </c>
      <c r="H107" s="3">
        <f t="shared" si="24"/>
        <v>-0.16730291795720392</v>
      </c>
      <c r="I107" s="3">
        <f t="shared" si="25"/>
        <v>9.4308693647803143E-2</v>
      </c>
      <c r="J107" s="3">
        <f t="shared" si="26"/>
        <v>-2.0803599462039588</v>
      </c>
      <c r="K107" s="3">
        <f t="shared" si="27"/>
        <v>99.357055059569831</v>
      </c>
      <c r="L107" s="3" cm="1">
        <f t="array" ref="L107">lmb_2(F107)</f>
        <v>295.93072452253574</v>
      </c>
      <c r="M107" s="3" cm="1">
        <f t="array" ref="M107">lmb_2(G107)</f>
        <v>46.385227828394612</v>
      </c>
      <c r="N107" s="3" cm="1">
        <f t="array" ref="N107">lmb_2(H107)</f>
        <v>0.50866422938014655</v>
      </c>
      <c r="O107" s="3" cm="1">
        <f t="array" ref="O107">lmb_2(I107)</f>
        <v>0.60192729952403268</v>
      </c>
      <c r="P107" s="3" cm="1">
        <f t="array" ref="P107">lmb_2(J107)</f>
        <v>0.11168780540472688</v>
      </c>
      <c r="R107" s="3">
        <f t="shared" si="28"/>
        <v>8.349897769298801</v>
      </c>
      <c r="S107" s="3">
        <f t="shared" si="29"/>
        <v>496.02764104175026</v>
      </c>
      <c r="T107" s="3">
        <f t="shared" si="30"/>
        <v>2670.9754805568473</v>
      </c>
      <c r="U107" s="3">
        <f t="shared" si="20"/>
        <v>2429.4820805601053</v>
      </c>
      <c r="V107" s="3">
        <f t="shared" si="21"/>
        <v>0</v>
      </c>
      <c r="W107" s="3">
        <f t="shared" si="31"/>
        <v>207.68350950371013</v>
      </c>
      <c r="Y107" s="3">
        <f t="shared" si="32"/>
        <v>5911.875664491281</v>
      </c>
      <c r="AA107" s="3">
        <f t="shared" si="33"/>
        <v>47142.977070102781</v>
      </c>
      <c r="AB107" s="3">
        <f t="shared" si="34"/>
        <v>217.12433550871901</v>
      </c>
      <c r="AD107" s="3">
        <f t="shared" si="35"/>
        <v>7.1194391738874232E-5</v>
      </c>
    </row>
    <row r="108" spans="3:30" x14ac:dyDescent="0.3">
      <c r="C108" s="22">
        <v>76</v>
      </c>
      <c r="D108" s="22">
        <v>5811</v>
      </c>
      <c r="F108" s="3">
        <f t="shared" si="22"/>
        <v>309.68538344168252</v>
      </c>
      <c r="G108" s="3">
        <f t="shared" si="23"/>
        <v>51.544592143607055</v>
      </c>
      <c r="H108" s="3">
        <f t="shared" si="24"/>
        <v>-0.15640582296402905</v>
      </c>
      <c r="I108" s="3">
        <f t="shared" si="25"/>
        <v>9.7264267747532815E-2</v>
      </c>
      <c r="J108" s="3">
        <f t="shared" si="26"/>
        <v>-2.0802054961553913</v>
      </c>
      <c r="K108" s="3">
        <f t="shared" si="27"/>
        <v>93.551689665462987</v>
      </c>
      <c r="L108" s="3" cm="1">
        <f t="array" ref="L108">lmb_2(F108)</f>
        <v>303.96845949731244</v>
      </c>
      <c r="M108" s="3" cm="1">
        <f t="array" ref="M108">lmb_2(G108)</f>
        <v>47.680078474983375</v>
      </c>
      <c r="N108" s="3" cm="1">
        <f t="array" ref="N108">lmb_2(H108)</f>
        <v>0.51234711049583592</v>
      </c>
      <c r="O108" s="3" cm="1">
        <f t="array" ref="O108">lmb_2(I108)</f>
        <v>0.6030385017346348</v>
      </c>
      <c r="P108" s="3" cm="1">
        <f t="array" ref="P108">lmb_2(J108)</f>
        <v>0.11170332348888616</v>
      </c>
      <c r="R108" s="3">
        <f t="shared" si="28"/>
        <v>8.0203853325856773</v>
      </c>
      <c r="S108" s="3">
        <f t="shared" si="29"/>
        <v>475.98431630204612</v>
      </c>
      <c r="T108" s="3">
        <f t="shared" si="30"/>
        <v>2680.5891119519961</v>
      </c>
      <c r="U108" s="3">
        <f t="shared" si="20"/>
        <v>2455.6353560090911</v>
      </c>
      <c r="V108" s="3">
        <f t="shared" si="21"/>
        <v>0</v>
      </c>
      <c r="W108" s="3">
        <f t="shared" si="31"/>
        <v>209.78595629709292</v>
      </c>
      <c r="Y108" s="3">
        <f t="shared" si="32"/>
        <v>5923.5668155582744</v>
      </c>
      <c r="AA108" s="3">
        <f t="shared" si="33"/>
        <v>12671.287964930558</v>
      </c>
      <c r="AB108" s="3">
        <f t="shared" si="34"/>
        <v>-112.56681555827436</v>
      </c>
      <c r="AD108" s="3">
        <f t="shared" si="35"/>
        <v>3.6910307381604237E-5</v>
      </c>
    </row>
    <row r="109" spans="3:30" x14ac:dyDescent="0.3">
      <c r="C109" s="22">
        <v>77</v>
      </c>
      <c r="D109" s="22">
        <v>6044</v>
      </c>
      <c r="F109" s="3">
        <f t="shared" si="22"/>
        <v>317.85673198632742</v>
      </c>
      <c r="G109" s="3">
        <f t="shared" si="23"/>
        <v>52.884490426274745</v>
      </c>
      <c r="H109" s="3">
        <f t="shared" si="24"/>
        <v>-0.14536439558683889</v>
      </c>
      <c r="I109" s="3">
        <f t="shared" si="25"/>
        <v>0.10025898852408013</v>
      </c>
      <c r="J109" s="3">
        <f t="shared" si="26"/>
        <v>-2.0800490004108161</v>
      </c>
      <c r="K109" s="3">
        <f t="shared" si="27"/>
        <v>88.08552783711086</v>
      </c>
      <c r="L109" s="3" cm="1">
        <f t="array" ref="L109">lmb_2(F109)</f>
        <v>312.11336551350911</v>
      </c>
      <c r="M109" s="3" cm="1">
        <f t="array" ref="M109">lmb_2(G109)</f>
        <v>48.992816736132333</v>
      </c>
      <c r="N109" s="3" cm="1">
        <f t="array" ref="N109">lmb_2(H109)</f>
        <v>0.51609671101936694</v>
      </c>
      <c r="O109" s="3" cm="1">
        <f t="array" ref="O109">lmb_2(I109)</f>
        <v>0.60416572615525399</v>
      </c>
      <c r="P109" s="3" cm="1">
        <f t="array" ref="P109">lmb_2(J109)</f>
        <v>0.11171904908872297</v>
      </c>
      <c r="R109" s="3">
        <f t="shared" si="28"/>
        <v>7.7080024235495728</v>
      </c>
      <c r="S109" s="3">
        <f t="shared" si="29"/>
        <v>457.00188478330392</v>
      </c>
      <c r="T109" s="3">
        <f t="shared" si="30"/>
        <v>2689.4604198648449</v>
      </c>
      <c r="U109" s="3">
        <f t="shared" si="20"/>
        <v>2481.5594698186819</v>
      </c>
      <c r="V109" s="3">
        <f t="shared" si="21"/>
        <v>0</v>
      </c>
      <c r="W109" s="3">
        <f t="shared" si="31"/>
        <v>211.88840309047572</v>
      </c>
      <c r="Y109" s="3">
        <f t="shared" si="32"/>
        <v>5935.7037078179674</v>
      </c>
      <c r="AA109" s="3">
        <f t="shared" si="33"/>
        <v>11728.086900376182</v>
      </c>
      <c r="AB109" s="3">
        <f t="shared" si="34"/>
        <v>108.29629218203263</v>
      </c>
      <c r="AD109" s="3">
        <f t="shared" si="35"/>
        <v>3.5510016099349681E-5</v>
      </c>
    </row>
    <row r="110" spans="3:30" x14ac:dyDescent="0.3">
      <c r="C110" s="22">
        <v>78</v>
      </c>
      <c r="D110" s="22">
        <v>6086</v>
      </c>
      <c r="F110" s="3">
        <f t="shared" si="22"/>
        <v>326.13489554462774</v>
      </c>
      <c r="G110" s="3">
        <f t="shared" si="23"/>
        <v>54.241903719173365</v>
      </c>
      <c r="H110" s="3">
        <f t="shared" si="24"/>
        <v>-0.13417863582563311</v>
      </c>
      <c r="I110" s="3">
        <f t="shared" si="25"/>
        <v>0.10329285597744504</v>
      </c>
      <c r="J110" s="3">
        <f t="shared" si="26"/>
        <v>-2.0798904589702332</v>
      </c>
      <c r="K110" s="3">
        <f t="shared" si="27"/>
        <v>82.938750140040369</v>
      </c>
      <c r="L110" s="3" cm="1">
        <f t="array" ref="L110">lmb_2(F110)</f>
        <v>320.36543322157837</v>
      </c>
      <c r="M110" s="3" cm="1">
        <f t="array" ref="M110">lmb_2(G110)</f>
        <v>50.323432887964174</v>
      </c>
      <c r="N110" s="3" cm="1">
        <f t="array" ref="N110">lmb_2(H110)</f>
        <v>0.51991373656453999</v>
      </c>
      <c r="O110" s="3" cm="1">
        <f t="array" ref="O110">lmb_2(I110)</f>
        <v>0.60530902394839436</v>
      </c>
      <c r="P110" s="3" cm="1">
        <f t="array" ref="P110">lmb_2(J110)</f>
        <v>0.11173498228252135</v>
      </c>
      <c r="R110" s="3">
        <f t="shared" si="28"/>
        <v>7.4116496384976047</v>
      </c>
      <c r="S110" s="3">
        <f t="shared" si="29"/>
        <v>439.0115310730651</v>
      </c>
      <c r="T110" s="3">
        <f t="shared" si="30"/>
        <v>2697.595321349605</v>
      </c>
      <c r="U110" s="3">
        <f t="shared" si="20"/>
        <v>2507.2525813067159</v>
      </c>
      <c r="V110" s="3">
        <f t="shared" si="21"/>
        <v>0</v>
      </c>
      <c r="W110" s="3">
        <f t="shared" si="31"/>
        <v>213.99084988385854</v>
      </c>
      <c r="Y110" s="3">
        <f t="shared" si="32"/>
        <v>5948.2006833917821</v>
      </c>
      <c r="AA110" s="3">
        <f t="shared" si="33"/>
        <v>18988.651657691866</v>
      </c>
      <c r="AB110" s="3">
        <f t="shared" si="34"/>
        <v>137.79931660821785</v>
      </c>
      <c r="AD110" s="3">
        <f t="shared" si="35"/>
        <v>4.5183965698587751E-5</v>
      </c>
    </row>
    <row r="111" spans="3:30" x14ac:dyDescent="0.3">
      <c r="C111" s="22">
        <v>79</v>
      </c>
      <c r="D111" s="22">
        <v>6044</v>
      </c>
      <c r="F111" s="3">
        <f t="shared" si="22"/>
        <v>334.51987411658359</v>
      </c>
      <c r="G111" s="3">
        <f t="shared" si="23"/>
        <v>55.616832022302951</v>
      </c>
      <c r="H111" s="3">
        <f t="shared" si="24"/>
        <v>-0.12284854368041159</v>
      </c>
      <c r="I111" s="3">
        <f t="shared" si="25"/>
        <v>0.10636587010762755</v>
      </c>
      <c r="J111" s="3">
        <f t="shared" si="26"/>
        <v>-2.079729871833643</v>
      </c>
      <c r="K111" s="3">
        <f t="shared" si="27"/>
        <v>78.092695175903415</v>
      </c>
      <c r="L111" s="3" cm="1">
        <f t="array" ref="L111">lmb_2(F111)</f>
        <v>328.7246536352722</v>
      </c>
      <c r="M111" s="3" cm="1">
        <f t="array" ref="M111">lmb_2(G111)</f>
        <v>51.671917568850972</v>
      </c>
      <c r="N111" s="3" cm="1">
        <f t="array" ref="N111">lmb_2(H111)</f>
        <v>0.52379890112353245</v>
      </c>
      <c r="O111" s="3" cm="1">
        <f t="array" ref="O111">lmb_2(I111)</f>
        <v>0.60646844692112245</v>
      </c>
      <c r="P111" s="3" cm="1">
        <f t="array" ref="P111">lmb_2(J111)</f>
        <v>0.11175112314960178</v>
      </c>
      <c r="R111" s="3">
        <f t="shared" si="28"/>
        <v>7.1303111922498426</v>
      </c>
      <c r="S111" s="3">
        <f t="shared" si="29"/>
        <v>421.94968294869983</v>
      </c>
      <c r="T111" s="3">
        <f t="shared" si="30"/>
        <v>2705.0000741568319</v>
      </c>
      <c r="U111" s="3">
        <f t="shared" si="20"/>
        <v>2532.7128904892515</v>
      </c>
      <c r="V111" s="3">
        <f t="shared" si="21"/>
        <v>0</v>
      </c>
      <c r="W111" s="3">
        <f t="shared" si="31"/>
        <v>216.09329667724134</v>
      </c>
      <c r="Y111" s="3">
        <f t="shared" si="32"/>
        <v>5960.9789506401785</v>
      </c>
      <c r="AA111" s="3">
        <f t="shared" si="33"/>
        <v>6892.4946368059209</v>
      </c>
      <c r="AB111" s="3">
        <f t="shared" si="34"/>
        <v>83.021049359821518</v>
      </c>
      <c r="AD111" s="3">
        <f t="shared" si="35"/>
        <v>2.7222342888681839E-5</v>
      </c>
    </row>
    <row r="112" spans="3:30" x14ac:dyDescent="0.3">
      <c r="C112" s="22">
        <v>80</v>
      </c>
      <c r="D112" s="22">
        <v>6059</v>
      </c>
      <c r="F112" s="3">
        <f t="shared" si="22"/>
        <v>343.01166770219487</v>
      </c>
      <c r="G112" s="3">
        <f t="shared" si="23"/>
        <v>57.009275335663496</v>
      </c>
      <c r="H112" s="3">
        <f t="shared" si="24"/>
        <v>-0.11137411915117468</v>
      </c>
      <c r="I112" s="3">
        <f t="shared" si="25"/>
        <v>0.10947803091462771</v>
      </c>
      <c r="J112" s="3">
        <f t="shared" si="26"/>
        <v>-2.0795672390010451</v>
      </c>
      <c r="K112" s="3">
        <f t="shared" si="27"/>
        <v>73.529791919210538</v>
      </c>
      <c r="L112" s="3" cm="1">
        <f t="array" ref="L112">lmb_2(F112)</f>
        <v>337.19101811309719</v>
      </c>
      <c r="M112" s="3" cm="1">
        <f t="array" ref="M112">lmb_2(G112)</f>
        <v>53.038261762522708</v>
      </c>
      <c r="N112" s="3" cm="1">
        <f t="array" ref="N112">lmb_2(H112)</f>
        <v>0.52775292697625797</v>
      </c>
      <c r="O112" s="3" cm="1">
        <f t="array" ref="O112">lmb_2(I112)</f>
        <v>0.60764404752384849</v>
      </c>
      <c r="P112" s="3" cm="1">
        <f t="array" ref="P112">lmb_2(J112)</f>
        <v>0.11176747177032159</v>
      </c>
      <c r="R112" s="3">
        <f t="shared" si="28"/>
        <v>6.8630475915969518</v>
      </c>
      <c r="S112" s="3">
        <f t="shared" si="29"/>
        <v>405.75755577515071</v>
      </c>
      <c r="T112" s="3">
        <f t="shared" si="30"/>
        <v>2711.681267648185</v>
      </c>
      <c r="U112" s="3">
        <f t="shared" si="20"/>
        <v>2557.9386382834145</v>
      </c>
      <c r="V112" s="3">
        <f t="shared" si="21"/>
        <v>0</v>
      </c>
      <c r="W112" s="3">
        <f t="shared" si="31"/>
        <v>218.19574347062414</v>
      </c>
      <c r="Y112" s="3">
        <f t="shared" si="32"/>
        <v>5973.9660446881817</v>
      </c>
      <c r="AA112" s="3">
        <f t="shared" si="33"/>
        <v>7230.7735559723151</v>
      </c>
      <c r="AB112" s="3">
        <f t="shared" si="34"/>
        <v>85.033955311818318</v>
      </c>
      <c r="AD112" s="3">
        <f t="shared" si="35"/>
        <v>2.7882368465935553E-5</v>
      </c>
    </row>
    <row r="113" spans="3:30" x14ac:dyDescent="0.3">
      <c r="C113" s="22">
        <v>81</v>
      </c>
      <c r="D113" s="22">
        <v>5973</v>
      </c>
      <c r="F113" s="3">
        <f t="shared" si="22"/>
        <v>351.61027630146174</v>
      </c>
      <c r="G113" s="3">
        <f t="shared" si="23"/>
        <v>58.419233659254978</v>
      </c>
      <c r="H113" s="3">
        <f t="shared" si="24"/>
        <v>-9.9755362237922196E-2</v>
      </c>
      <c r="I113" s="3">
        <f t="shared" si="25"/>
        <v>0.11262933839844544</v>
      </c>
      <c r="J113" s="3">
        <f t="shared" si="26"/>
        <v>-2.0794025604724395</v>
      </c>
      <c r="K113" s="3">
        <f t="shared" si="27"/>
        <v>69.233496007584208</v>
      </c>
      <c r="L113" s="3" cm="1">
        <f t="array" ref="L113">lmb_2(F113)</f>
        <v>345.7645183409353</v>
      </c>
      <c r="M113" s="3" cm="1">
        <f t="array" ref="M113">lmb_2(G113)</f>
        <v>54.422456782080928</v>
      </c>
      <c r="N113" s="3" cm="1">
        <f t="array" ref="N113">lmb_2(H113)</f>
        <v>0.53177654459541956</v>
      </c>
      <c r="O113" s="3" cm="1">
        <f t="array" ref="O113">lmb_2(I113)</f>
        <v>0.60883587884907431</v>
      </c>
      <c r="P113" s="3" cm="1">
        <f t="array" ref="P113">lmb_2(J113)</f>
        <v>0.11178402822607561</v>
      </c>
      <c r="R113" s="3">
        <f t="shared" si="28"/>
        <v>6.6089890331361518</v>
      </c>
      <c r="S113" s="3">
        <f t="shared" si="29"/>
        <v>390.38074107509635</v>
      </c>
      <c r="T113" s="3">
        <f t="shared" si="30"/>
        <v>2717.6458135164357</v>
      </c>
      <c r="U113" s="3">
        <f t="shared" si="20"/>
        <v>2582.9281066996018</v>
      </c>
      <c r="V113" s="3">
        <f t="shared" si="21"/>
        <v>0</v>
      </c>
      <c r="W113" s="3">
        <f t="shared" si="31"/>
        <v>220.29819026400693</v>
      </c>
      <c r="Y113" s="3">
        <f t="shared" si="32"/>
        <v>5987.0953365958603</v>
      </c>
      <c r="AA113" s="3">
        <f t="shared" si="33"/>
        <v>198.67851375059911</v>
      </c>
      <c r="AB113" s="3">
        <f t="shared" si="34"/>
        <v>-14.095336595860317</v>
      </c>
      <c r="AD113" s="3">
        <f t="shared" si="35"/>
        <v>4.6218168633458946E-6</v>
      </c>
    </row>
    <row r="114" spans="3:30" x14ac:dyDescent="0.3">
      <c r="C114" s="22">
        <v>82</v>
      </c>
      <c r="D114" s="22">
        <v>5878</v>
      </c>
      <c r="F114" s="3">
        <f t="shared" si="22"/>
        <v>360.31569991438403</v>
      </c>
      <c r="G114" s="3">
        <f t="shared" si="23"/>
        <v>59.846706993077419</v>
      </c>
      <c r="H114" s="3">
        <f t="shared" si="24"/>
        <v>-8.7992272940653982E-2</v>
      </c>
      <c r="I114" s="3">
        <f t="shared" si="25"/>
        <v>0.11581979255908079</v>
      </c>
      <c r="J114" s="3">
        <f t="shared" si="26"/>
        <v>-2.0792358362478267</v>
      </c>
      <c r="K114" s="3">
        <f t="shared" si="27"/>
        <v>65.188229754528621</v>
      </c>
      <c r="L114" s="3" cm="1">
        <f t="array" ref="L114">lmb_2(F114)</f>
        <v>354.44514631574214</v>
      </c>
      <c r="M114" s="3" cm="1">
        <f t="array" ref="M114">lmb_2(G114)</f>
        <v>55.824494254866195</v>
      </c>
      <c r="N114" s="3" cm="1">
        <f t="array" ref="N114">lmb_2(H114)</f>
        <v>0.5358704925471981</v>
      </c>
      <c r="O114" s="3" cm="1">
        <f t="array" ref="O114">lmb_2(I114)</f>
        <v>0.61004399463010972</v>
      </c>
      <c r="P114" s="3" cm="1">
        <f t="array" ref="P114">lmb_2(J114)</f>
        <v>0.11180079259929641</v>
      </c>
      <c r="R114" s="3">
        <f t="shared" si="28"/>
        <v>6.3673294459335903</v>
      </c>
      <c r="S114" s="3">
        <f t="shared" si="29"/>
        <v>375.76883457403801</v>
      </c>
      <c r="T114" s="3">
        <f t="shared" si="30"/>
        <v>2722.9009363230616</v>
      </c>
      <c r="U114" s="3">
        <f t="shared" si="20"/>
        <v>2607.6796190230157</v>
      </c>
      <c r="V114" s="3">
        <f t="shared" si="21"/>
        <v>0</v>
      </c>
      <c r="W114" s="3">
        <f t="shared" si="31"/>
        <v>222.40063705738973</v>
      </c>
      <c r="Y114" s="3">
        <f t="shared" si="32"/>
        <v>6000.3055861779676</v>
      </c>
      <c r="AA114" s="3">
        <f t="shared" si="33"/>
        <v>14958.656410336258</v>
      </c>
      <c r="AB114" s="3">
        <f t="shared" si="34"/>
        <v>-122.3055861779676</v>
      </c>
      <c r="AD114" s="3">
        <f t="shared" si="35"/>
        <v>4.0103619862809904E-5</v>
      </c>
    </row>
    <row r="115" spans="3:30" x14ac:dyDescent="0.3">
      <c r="C115" s="22">
        <v>83</v>
      </c>
      <c r="D115" s="22">
        <v>5954</v>
      </c>
      <c r="F115" s="3">
        <f t="shared" si="22"/>
        <v>369.12793854096179</v>
      </c>
      <c r="G115" s="3">
        <f t="shared" si="23"/>
        <v>61.291695337130797</v>
      </c>
      <c r="H115" s="3">
        <f t="shared" si="24"/>
        <v>-7.6084851259370423E-2</v>
      </c>
      <c r="I115" s="3">
        <f t="shared" si="25"/>
        <v>0.11904939339653378</v>
      </c>
      <c r="J115" s="3">
        <f t="shared" si="26"/>
        <v>-2.0790670663272066</v>
      </c>
      <c r="K115" s="3">
        <f t="shared" si="27"/>
        <v>61.379325667213124</v>
      </c>
      <c r="L115" s="3" cm="1">
        <f t="array" ref="L115">lmb_2(F115)</f>
        <v>363.23289433024581</v>
      </c>
      <c r="M115" s="3" cm="1">
        <f t="array" ref="M115">lmb_2(G115)</f>
        <v>57.2443661081305</v>
      </c>
      <c r="N115" s="3" cm="1">
        <f t="array" ref="N115">lmb_2(H115)</f>
        <v>0.54003551738752686</v>
      </c>
      <c r="O115" s="3" cm="1">
        <f t="array" ref="O115">lmb_2(I115)</f>
        <v>0.61126844923975521</v>
      </c>
      <c r="P115" s="3" cm="1">
        <f t="array" ref="P115">lmb_2(J115)</f>
        <v>0.11181776497345521</v>
      </c>
      <c r="R115" s="3">
        <f t="shared" si="28"/>
        <v>6.137321109045355</v>
      </c>
      <c r="S115" s="3">
        <f t="shared" si="29"/>
        <v>361.87509956313136</v>
      </c>
      <c r="T115" s="3">
        <f t="shared" si="30"/>
        <v>2727.454163865832</v>
      </c>
      <c r="U115" s="3">
        <f t="shared" si="20"/>
        <v>2632.1915399845047</v>
      </c>
      <c r="V115" s="3">
        <f t="shared" si="21"/>
        <v>0</v>
      </c>
      <c r="W115" s="3">
        <f t="shared" si="31"/>
        <v>224.50308385077255</v>
      </c>
      <c r="Y115" s="3">
        <f t="shared" si="32"/>
        <v>6013.5405340404996</v>
      </c>
      <c r="AA115" s="3">
        <f t="shared" si="33"/>
        <v>3545.0751938278859</v>
      </c>
      <c r="AB115" s="3">
        <f t="shared" si="34"/>
        <v>-59.540534040499551</v>
      </c>
      <c r="AD115" s="3">
        <f t="shared" si="35"/>
        <v>1.9523155222970747E-5</v>
      </c>
    </row>
    <row r="116" spans="3:30" x14ac:dyDescent="0.3">
      <c r="C116" s="22">
        <v>84</v>
      </c>
      <c r="D116" s="22">
        <v>5966</v>
      </c>
      <c r="F116" s="3">
        <f t="shared" si="22"/>
        <v>378.04699218119515</v>
      </c>
      <c r="G116" s="3">
        <f t="shared" si="23"/>
        <v>62.754198691415134</v>
      </c>
      <c r="H116" s="3">
        <f t="shared" si="24"/>
        <v>-6.4033097194071242E-2</v>
      </c>
      <c r="I116" s="3">
        <f t="shared" si="25"/>
        <v>0.12231814091080434</v>
      </c>
      <c r="J116" s="3">
        <f t="shared" si="26"/>
        <v>-2.0788962507105788</v>
      </c>
      <c r="K116" s="3">
        <f t="shared" si="27"/>
        <v>57.792973264473183</v>
      </c>
      <c r="L116" s="3" cm="1">
        <f t="array" ref="L116">lmb_2(F116)</f>
        <v>372.1277549585717</v>
      </c>
      <c r="M116" s="3" cm="1">
        <f t="array" ref="M116">lmb_2(G116)</f>
        <v>58.682064555469069</v>
      </c>
      <c r="N116" s="3" cm="1">
        <f t="array" ref="N116">lmb_2(H116)</f>
        <v>0.54427237355390456</v>
      </c>
      <c r="O116" s="3" cm="1">
        <f t="array" ref="O116">lmb_2(I116)</f>
        <v>0.61250929768894857</v>
      </c>
      <c r="P116" s="3" cm="1">
        <f t="array" ref="P116">lmb_2(J116)</f>
        <v>0.11183494543306213</v>
      </c>
      <c r="R116" s="3">
        <f t="shared" si="28"/>
        <v>5.9182697822597596</v>
      </c>
      <c r="S116" s="3">
        <f t="shared" si="29"/>
        <v>348.65616189648205</v>
      </c>
      <c r="T116" s="3">
        <f t="shared" si="30"/>
        <v>2731.3133173889341</v>
      </c>
      <c r="U116" s="3">
        <f t="shared" si="20"/>
        <v>2656.4622759207168</v>
      </c>
      <c r="V116" s="3">
        <f t="shared" si="21"/>
        <v>0</v>
      </c>
      <c r="W116" s="3">
        <f t="shared" si="31"/>
        <v>226.60553064415535</v>
      </c>
      <c r="Y116" s="3">
        <f t="shared" si="32"/>
        <v>6026.748528897022</v>
      </c>
      <c r="AA116" s="3">
        <f t="shared" si="33"/>
        <v>3690.3837631523133</v>
      </c>
      <c r="AB116" s="3">
        <f t="shared" si="34"/>
        <v>-60.74852889702197</v>
      </c>
      <c r="AD116" s="3">
        <f t="shared" si="35"/>
        <v>1.9919252964996301E-5</v>
      </c>
    </row>
    <row r="117" spans="3:30" x14ac:dyDescent="0.3">
      <c r="C117" s="22">
        <v>85</v>
      </c>
      <c r="D117" s="22">
        <v>6012</v>
      </c>
      <c r="F117" s="3">
        <f t="shared" si="22"/>
        <v>387.07286083508387</v>
      </c>
      <c r="G117" s="3">
        <f t="shared" si="23"/>
        <v>64.234217055930401</v>
      </c>
      <c r="H117" s="3">
        <f t="shared" si="24"/>
        <v>-5.183701074475644E-2</v>
      </c>
      <c r="I117" s="3">
        <f t="shared" si="25"/>
        <v>0.12562603510189252</v>
      </c>
      <c r="J117" s="3">
        <f t="shared" si="26"/>
        <v>-2.0787233893979433</v>
      </c>
      <c r="K117" s="3">
        <f t="shared" si="27"/>
        <v>54.41616900219956</v>
      </c>
      <c r="L117" s="3" cm="1">
        <f t="array" ref="L117">lmb_2(F117)</f>
        <v>381.12972104272791</v>
      </c>
      <c r="M117" s="3" cm="1">
        <f t="array" ref="M117">lmb_2(G117)</f>
        <v>60.137582083967615</v>
      </c>
      <c r="N117" s="3" cm="1">
        <f t="array" ref="N117">lmb_2(H117)</f>
        <v>0.54858182325270366</v>
      </c>
      <c r="O117" s="3" cm="1">
        <f t="array" ref="O117">lmb_2(I117)</f>
        <v>0.61376659562537961</v>
      </c>
      <c r="P117" s="3" cm="1">
        <f t="array" ref="P117">lmb_2(J117)</f>
        <v>0.11185233406366688</v>
      </c>
      <c r="R117" s="3">
        <f t="shared" si="28"/>
        <v>5.7095302956762</v>
      </c>
      <c r="S117" s="3">
        <f t="shared" si="29"/>
        <v>336.07173335574976</v>
      </c>
      <c r="T117" s="3">
        <f t="shared" si="30"/>
        <v>2734.4865016482213</v>
      </c>
      <c r="U117" s="3">
        <f t="shared" si="20"/>
        <v>2680.4902749235307</v>
      </c>
      <c r="V117" s="3">
        <f t="shared" si="21"/>
        <v>0</v>
      </c>
      <c r="W117" s="3">
        <f t="shared" si="31"/>
        <v>228.70797743753815</v>
      </c>
      <c r="Y117" s="3">
        <f t="shared" si="32"/>
        <v>6039.882186662915</v>
      </c>
      <c r="AA117" s="3">
        <f t="shared" si="33"/>
        <v>777.4163331056377</v>
      </c>
      <c r="AB117" s="3">
        <f t="shared" si="34"/>
        <v>-27.882186662915046</v>
      </c>
      <c r="AD117" s="3">
        <f t="shared" si="35"/>
        <v>9.1424819570087971E-6</v>
      </c>
    </row>
    <row r="118" spans="3:30" x14ac:dyDescent="0.3">
      <c r="C118" s="22">
        <v>86</v>
      </c>
      <c r="D118" s="22">
        <v>6081</v>
      </c>
      <c r="F118" s="3">
        <f t="shared" si="22"/>
        <v>396.20554450262819</v>
      </c>
      <c r="G118" s="3">
        <f t="shared" si="23"/>
        <v>65.731750430676641</v>
      </c>
      <c r="H118" s="3">
        <f t="shared" si="24"/>
        <v>-3.9496591911426182E-2</v>
      </c>
      <c r="I118" s="3">
        <f t="shared" si="25"/>
        <v>0.12897307596979837</v>
      </c>
      <c r="J118" s="3">
        <f t="shared" si="26"/>
        <v>-2.0785484823893001</v>
      </c>
      <c r="K118" s="3">
        <f t="shared" si="27"/>
        <v>51.236669124552854</v>
      </c>
      <c r="L118" s="3" cm="1">
        <f t="array" ref="L118">lmb_2(F118)</f>
        <v>390.23878567989181</v>
      </c>
      <c r="M118" s="3" cm="1">
        <f t="array" ref="M118">lmb_2(G118)</f>
        <v>61.61091144202441</v>
      </c>
      <c r="N118" s="3" cm="1">
        <f t="array" ref="N118">lmb_2(H118)</f>
        <v>0.55296463634193882</v>
      </c>
      <c r="O118" s="3" cm="1">
        <f t="array" ref="O118">lmb_2(I118)</f>
        <v>0.61504039933206767</v>
      </c>
      <c r="P118" s="3" cm="1">
        <f t="array" ref="P118">lmb_2(J118)</f>
        <v>0.11186993095185917</v>
      </c>
      <c r="R118" s="3">
        <f t="shared" si="28"/>
        <v>5.5105025500615197</v>
      </c>
      <c r="S118" s="3">
        <f t="shared" si="29"/>
        <v>324.08436048068381</v>
      </c>
      <c r="T118" s="3">
        <f t="shared" si="30"/>
        <v>2736.9820948442457</v>
      </c>
      <c r="U118" s="3">
        <f t="shared" si="20"/>
        <v>2704.274026978781</v>
      </c>
      <c r="V118" s="3">
        <f t="shared" si="21"/>
        <v>0</v>
      </c>
      <c r="W118" s="3">
        <f t="shared" si="31"/>
        <v>230.81042423092094</v>
      </c>
      <c r="Y118" s="3">
        <f t="shared" si="32"/>
        <v>6052.8980782092458</v>
      </c>
      <c r="AA118" s="3">
        <f t="shared" si="33"/>
        <v>789.71800833366603</v>
      </c>
      <c r="AB118" s="3">
        <f t="shared" si="34"/>
        <v>28.101921790754204</v>
      </c>
      <c r="AD118" s="3">
        <f t="shared" si="35"/>
        <v>9.2145324194017812E-6</v>
      </c>
    </row>
    <row r="119" spans="3:30" x14ac:dyDescent="0.3">
      <c r="C119" s="22">
        <v>87</v>
      </c>
      <c r="D119" s="22">
        <v>6086</v>
      </c>
      <c r="F119" s="3">
        <f t="shared" si="22"/>
        <v>405.44504318382786</v>
      </c>
      <c r="G119" s="3">
        <f t="shared" si="23"/>
        <v>67.246798815653818</v>
      </c>
      <c r="H119" s="3">
        <f t="shared" si="24"/>
        <v>-2.7011840694080358E-2</v>
      </c>
      <c r="I119" s="3">
        <f t="shared" si="25"/>
        <v>0.13235926351452176</v>
      </c>
      <c r="J119" s="3">
        <f t="shared" si="26"/>
        <v>-2.0783715296846497</v>
      </c>
      <c r="K119" s="3">
        <f t="shared" si="27"/>
        <v>48.242945270050065</v>
      </c>
      <c r="L119" s="3" cm="1">
        <f t="array" ref="L119">lmb_2(F119)</f>
        <v>399.45494221043799</v>
      </c>
      <c r="M119" s="3" cm="1">
        <f t="array" ref="M119">lmb_2(G119)</f>
        <v>63.102045627807918</v>
      </c>
      <c r="N119" s="3" cm="1">
        <f t="array" ref="N119">lmb_2(H119)</f>
        <v>0.55742159020946247</v>
      </c>
      <c r="O119" s="3" cm="1">
        <f t="array" ref="O119">lmb_2(I119)</f>
        <v>0.61633076572590384</v>
      </c>
      <c r="P119" s="3" cm="1">
        <f t="array" ref="P119">lmb_2(J119)</f>
        <v>0.11188773618526932</v>
      </c>
      <c r="R119" s="3">
        <f t="shared" si="28"/>
        <v>5.320627885451052</v>
      </c>
      <c r="S119" s="3">
        <f t="shared" si="29"/>
        <v>312.65919628613153</v>
      </c>
      <c r="T119" s="3">
        <f t="shared" si="30"/>
        <v>2738.8087384357736</v>
      </c>
      <c r="U119" s="3">
        <f t="shared" si="20"/>
        <v>2727.8120640942607</v>
      </c>
      <c r="V119" s="3">
        <f t="shared" si="21"/>
        <v>0</v>
      </c>
      <c r="W119" s="3">
        <f t="shared" si="31"/>
        <v>232.91287102430374</v>
      </c>
      <c r="Y119" s="3">
        <f t="shared" si="32"/>
        <v>6065.7564429959702</v>
      </c>
      <c r="AA119" s="3">
        <f t="shared" si="33"/>
        <v>409.80160017540209</v>
      </c>
      <c r="AB119" s="3">
        <f t="shared" si="34"/>
        <v>20.243557004029753</v>
      </c>
      <c r="AD119" s="3">
        <f t="shared" si="35"/>
        <v>6.6377991400933973E-6</v>
      </c>
    </row>
    <row r="120" spans="3:30" x14ac:dyDescent="0.3">
      <c r="C120" s="22">
        <v>88</v>
      </c>
      <c r="D120" s="22">
        <v>6102</v>
      </c>
      <c r="F120" s="3">
        <f t="shared" si="22"/>
        <v>414.79135687868308</v>
      </c>
      <c r="G120" s="3">
        <f t="shared" si="23"/>
        <v>68.779362210861962</v>
      </c>
      <c r="H120" s="3">
        <f t="shared" si="24"/>
        <v>-1.4382757092718745E-2</v>
      </c>
      <c r="I120" s="3">
        <f t="shared" si="25"/>
        <v>0.13578459773606277</v>
      </c>
      <c r="J120" s="3">
        <f t="shared" si="26"/>
        <v>-2.078192531283992</v>
      </c>
      <c r="K120" s="3">
        <f t="shared" si="27"/>
        <v>45.424142671556943</v>
      </c>
      <c r="L120" s="3" cm="1">
        <f t="array" ref="L120">lmb_2(F120)</f>
        <v>408.77818420666114</v>
      </c>
      <c r="M120" s="3" cm="1">
        <f t="array" ref="M120">lmb_2(G120)</f>
        <v>64.610977878314117</v>
      </c>
      <c r="N120" s="3" cm="1">
        <f t="array" ref="N120">lmb_2(H120)</f>
        <v>0.56195346964656034</v>
      </c>
      <c r="O120" s="3" cm="1">
        <f t="array" ref="O120">lmb_2(I120)</f>
        <v>0.61763775235615814</v>
      </c>
      <c r="P120" s="3" cm="1">
        <f t="array" ref="P120">lmb_2(J120)</f>
        <v>0.11190574985256894</v>
      </c>
      <c r="R120" s="3">
        <f t="shared" si="28"/>
        <v>5.1393857802966849</v>
      </c>
      <c r="S120" s="3">
        <f t="shared" si="29"/>
        <v>301.76379256965379</v>
      </c>
      <c r="T120" s="3">
        <f t="shared" si="30"/>
        <v>2739.975326846497</v>
      </c>
      <c r="U120" s="3">
        <f t="shared" si="20"/>
        <v>2751.1029604169998</v>
      </c>
      <c r="V120" s="3">
        <f t="shared" si="21"/>
        <v>0</v>
      </c>
      <c r="W120" s="3">
        <f t="shared" si="31"/>
        <v>235.01531781768654</v>
      </c>
      <c r="Y120" s="3">
        <f t="shared" si="32"/>
        <v>6078.4209261026908</v>
      </c>
      <c r="AA120" s="3">
        <f t="shared" si="33"/>
        <v>555.97272585476674</v>
      </c>
      <c r="AB120" s="3">
        <f t="shared" si="34"/>
        <v>23.579073897309172</v>
      </c>
      <c r="AD120" s="3">
        <f t="shared" si="35"/>
        <v>7.7315047157276477E-6</v>
      </c>
    </row>
    <row r="121" spans="3:30" x14ac:dyDescent="0.3">
      <c r="C121" s="22">
        <v>89</v>
      </c>
      <c r="D121" s="22">
        <v>5997</v>
      </c>
      <c r="F121" s="3">
        <f t="shared" si="22"/>
        <v>424.24448558719376</v>
      </c>
      <c r="G121" s="3">
        <f t="shared" si="23"/>
        <v>70.329440616301042</v>
      </c>
      <c r="H121" s="3">
        <f t="shared" si="24"/>
        <v>-1.6093411073418995E-3</v>
      </c>
      <c r="I121" s="3">
        <f t="shared" si="25"/>
        <v>0.13924907863442146</v>
      </c>
      <c r="J121" s="3">
        <f t="shared" si="26"/>
        <v>-2.0780114871873261</v>
      </c>
      <c r="K121" s="3">
        <f t="shared" si="27"/>
        <v>42.770040798626795</v>
      </c>
      <c r="L121" s="3" cm="1">
        <f t="array" ref="L121">lmb_2(F121)</f>
        <v>418.20850546214172</v>
      </c>
      <c r="M121" s="3" cm="1">
        <f t="array" ref="M121">lmb_2(G121)</f>
        <v>66.13770165898849</v>
      </c>
      <c r="N121" s="3" cm="1">
        <f t="array" ref="N121">lmb_2(H121)</f>
        <v>0.56656106671692785</v>
      </c>
      <c r="O121" s="3" cm="1">
        <f t="array" ref="O121">lmb_2(I121)</f>
        <v>0.61896141740294719</v>
      </c>
      <c r="P121" s="3" cm="1">
        <f t="array" ref="P121">lmb_2(J121)</f>
        <v>0.1119239720434715</v>
      </c>
      <c r="R121" s="3">
        <f t="shared" si="28"/>
        <v>4.966290847702572</v>
      </c>
      <c r="S121" s="3">
        <f t="shared" si="29"/>
        <v>291.36791076404376</v>
      </c>
      <c r="T121" s="3">
        <f t="shared" si="30"/>
        <v>2740.4909970776675</v>
      </c>
      <c r="U121" s="3">
        <f t="shared" si="20"/>
        <v>2774.1453323398464</v>
      </c>
      <c r="V121" s="3">
        <f t="shared" si="21"/>
        <v>0</v>
      </c>
      <c r="W121" s="3">
        <f t="shared" si="31"/>
        <v>237.11776461106936</v>
      </c>
      <c r="Y121" s="3">
        <f t="shared" si="32"/>
        <v>6090.858336438956</v>
      </c>
      <c r="AA121" s="3">
        <f t="shared" si="33"/>
        <v>8809.3873190882605</v>
      </c>
      <c r="AB121" s="3">
        <f t="shared" si="34"/>
        <v>-93.85833643895603</v>
      </c>
      <c r="AD121" s="3">
        <f t="shared" si="35"/>
        <v>3.0775855487307888E-5</v>
      </c>
    </row>
    <row r="122" spans="3:30" x14ac:dyDescent="0.3">
      <c r="C122" s="22">
        <v>90</v>
      </c>
      <c r="D122" s="22">
        <v>5986</v>
      </c>
      <c r="F122" s="3">
        <f t="shared" si="22"/>
        <v>433.8044293093601</v>
      </c>
      <c r="G122" s="3">
        <f t="shared" si="23"/>
        <v>71.897034031971089</v>
      </c>
      <c r="H122" s="3">
        <f t="shared" si="24"/>
        <v>1.1308407262050624E-2</v>
      </c>
      <c r="I122" s="3">
        <f t="shared" si="25"/>
        <v>0.14275270620959768</v>
      </c>
      <c r="J122" s="3">
        <f t="shared" si="26"/>
        <v>-2.0778283973946534</v>
      </c>
      <c r="K122" s="3">
        <f t="shared" si="27"/>
        <v>40.271016299480564</v>
      </c>
      <c r="L122" s="3" cm="1">
        <f t="array" ref="L122">lmb_2(F122)</f>
        <v>427.7458999817145</v>
      </c>
      <c r="M122" s="3" cm="1">
        <f t="array" ref="M122">lmb_2(G122)</f>
        <v>67.682210653880887</v>
      </c>
      <c r="N122" s="3" cm="1">
        <f t="array" ref="N122">lmb_2(H122)</f>
        <v>0.57124518062101193</v>
      </c>
      <c r="O122" s="3" cm="1">
        <f t="array" ref="O122">lmb_2(I122)</f>
        <v>0.62030181967566733</v>
      </c>
      <c r="P122" s="3" cm="1">
        <f t="array" ref="P122">lmb_2(J122)</f>
        <v>0.11194240284873251</v>
      </c>
      <c r="R122" s="3">
        <f t="shared" si="28"/>
        <v>4.800890099008738</v>
      </c>
      <c r="S122" s="3">
        <f t="shared" si="29"/>
        <v>281.4433495099085</v>
      </c>
      <c r="T122" s="3">
        <f t="shared" si="30"/>
        <v>2740.3651182393555</v>
      </c>
      <c r="U122" s="3">
        <f t="shared" si="20"/>
        <v>2796.9378385973237</v>
      </c>
      <c r="V122" s="3">
        <f t="shared" si="21"/>
        <v>0</v>
      </c>
      <c r="W122" s="3">
        <f t="shared" si="31"/>
        <v>239.22021140445216</v>
      </c>
      <c r="Y122" s="3">
        <f t="shared" si="32"/>
        <v>6103.0384241495294</v>
      </c>
      <c r="AA122" s="3">
        <f t="shared" si="33"/>
        <v>13697.992727405152</v>
      </c>
      <c r="AB122" s="3">
        <f t="shared" si="34"/>
        <v>-117.03842414952942</v>
      </c>
      <c r="AD122" s="3">
        <f t="shared" si="35"/>
        <v>3.8376533878062276E-5</v>
      </c>
    </row>
    <row r="123" spans="3:30" x14ac:dyDescent="0.3">
      <c r="C123" s="22">
        <v>91</v>
      </c>
      <c r="D123" s="22">
        <v>6055</v>
      </c>
      <c r="F123" s="3">
        <f t="shared" si="22"/>
        <v>443.4711880451818</v>
      </c>
      <c r="G123" s="3">
        <f t="shared" si="23"/>
        <v>73.482142457872087</v>
      </c>
      <c r="H123" s="3">
        <f t="shared" si="24"/>
        <v>2.4370488015458824E-2</v>
      </c>
      <c r="I123" s="3">
        <f t="shared" si="25"/>
        <v>0.14629548046159155</v>
      </c>
      <c r="J123" s="3">
        <f t="shared" si="26"/>
        <v>-2.0776432619059726</v>
      </c>
      <c r="K123" s="3">
        <f t="shared" si="27"/>
        <v>37.918008108262079</v>
      </c>
      <c r="L123" s="3" cm="1">
        <f t="array" ref="L123">lmb_2(F123)</f>
        <v>437.39036197199675</v>
      </c>
      <c r="M123" s="3" cm="1">
        <f t="array" ref="M123">lmb_2(G123)</f>
        <v>69.244498756302391</v>
      </c>
      <c r="N123" s="3" cm="1">
        <f t="array" ref="N123">lmb_2(H123)</f>
        <v>0.57600661755570781</v>
      </c>
      <c r="O123" s="3" cm="1">
        <f t="array" ref="O123">lmb_2(I123)</f>
        <v>0.62165901861138784</v>
      </c>
      <c r="P123" s="3" cm="1">
        <f t="array" ref="P123">lmb_2(J123)</f>
        <v>0.11196104236015068</v>
      </c>
      <c r="R123" s="3">
        <f t="shared" si="28"/>
        <v>4.6427604482533154</v>
      </c>
      <c r="S123" s="3">
        <f t="shared" si="29"/>
        <v>271.9637873187325</v>
      </c>
      <c r="T123" s="3">
        <f t="shared" si="30"/>
        <v>2739.6072810130195</v>
      </c>
      <c r="U123" s="3">
        <f t="shared" si="20"/>
        <v>2819.4791803508074</v>
      </c>
      <c r="V123" s="3">
        <f t="shared" si="21"/>
        <v>0</v>
      </c>
      <c r="W123" s="3">
        <f t="shared" si="31"/>
        <v>241.32265819783495</v>
      </c>
      <c r="Y123" s="3">
        <f t="shared" si="32"/>
        <v>6114.9336754369106</v>
      </c>
      <c r="AA123" s="3">
        <f t="shared" si="33"/>
        <v>3592.0454513769364</v>
      </c>
      <c r="AB123" s="3">
        <f t="shared" si="34"/>
        <v>-59.933675436910562</v>
      </c>
      <c r="AD123" s="3">
        <f t="shared" si="35"/>
        <v>1.9652065059444283E-5</v>
      </c>
    </row>
    <row r="124" spans="3:30" x14ac:dyDescent="0.3">
      <c r="C124" s="22">
        <v>92</v>
      </c>
      <c r="D124" s="22">
        <v>6106</v>
      </c>
      <c r="F124" s="3">
        <f t="shared" si="22"/>
        <v>453.24476179465887</v>
      </c>
      <c r="G124" s="3">
        <f t="shared" si="23"/>
        <v>75.084765894004008</v>
      </c>
      <c r="H124" s="3">
        <f t="shared" si="24"/>
        <v>3.757690115288248E-2</v>
      </c>
      <c r="I124" s="3">
        <f t="shared" si="25"/>
        <v>0.14987740139040306</v>
      </c>
      <c r="J124" s="3">
        <f t="shared" si="26"/>
        <v>-2.0774560807212845</v>
      </c>
      <c r="K124" s="3">
        <f t="shared" si="27"/>
        <v>35.702484591052468</v>
      </c>
      <c r="L124" s="3" cm="1">
        <f t="array" ref="L124">lmb_2(F124)</f>
        <v>447.14188583244209</v>
      </c>
      <c r="M124" s="3" cm="1">
        <f t="array" ref="M124">lmb_2(G124)</f>
        <v>70.824560059955772</v>
      </c>
      <c r="N124" s="3" cm="1">
        <f t="array" ref="N124">lmb_2(H124)</f>
        <v>0.58084619056941</v>
      </c>
      <c r="O124" s="3" cm="1">
        <f t="array" ref="O124">lmb_2(I124)</f>
        <v>0.62303307427320609</v>
      </c>
      <c r="P124" s="3" cm="1">
        <f t="array" ref="P124">lmb_2(J124)</f>
        <v>0.11197989067056814</v>
      </c>
      <c r="R124" s="3">
        <f t="shared" si="28"/>
        <v>4.4915064339231403</v>
      </c>
      <c r="S124" s="3">
        <f t="shared" si="29"/>
        <v>262.90463886962726</v>
      </c>
      <c r="T124" s="3">
        <f t="shared" si="30"/>
        <v>2738.2272870580014</v>
      </c>
      <c r="U124" s="3">
        <f t="shared" si="20"/>
        <v>2841.7681012630205</v>
      </c>
      <c r="V124" s="3">
        <f t="shared" si="21"/>
        <v>0</v>
      </c>
      <c r="W124" s="3">
        <f t="shared" si="31"/>
        <v>243.42510499121775</v>
      </c>
      <c r="Y124" s="3">
        <f t="shared" si="32"/>
        <v>6126.5191232068428</v>
      </c>
      <c r="AA124" s="3">
        <f t="shared" si="33"/>
        <v>421.03441717759387</v>
      </c>
      <c r="AB124" s="3">
        <f t="shared" si="34"/>
        <v>-20.519123206842778</v>
      </c>
      <c r="AD124" s="3">
        <f t="shared" si="35"/>
        <v>6.7281564376625437E-6</v>
      </c>
    </row>
    <row r="125" spans="3:30" x14ac:dyDescent="0.3">
      <c r="C125" s="22">
        <v>93</v>
      </c>
      <c r="D125" s="22">
        <v>6288</v>
      </c>
      <c r="F125" s="3">
        <f t="shared" si="22"/>
        <v>463.12515055779153</v>
      </c>
      <c r="G125" s="3">
        <f t="shared" si="23"/>
        <v>76.704904340366909</v>
      </c>
      <c r="H125" s="3">
        <f t="shared" si="24"/>
        <v>5.0927646674321592E-2</v>
      </c>
      <c r="I125" s="3">
        <f t="shared" si="25"/>
        <v>0.15349846899603212</v>
      </c>
      <c r="J125" s="3">
        <f t="shared" si="26"/>
        <v>-2.0772668538405892</v>
      </c>
      <c r="K125" s="3">
        <f t="shared" si="27"/>
        <v>33.616412611521049</v>
      </c>
      <c r="L125" s="3" cm="1">
        <f t="array" ref="L125">lmb_2(F125)</f>
        <v>457.00046614688279</v>
      </c>
      <c r="M125" s="3" cm="1">
        <f t="array" ref="M125">lmb_2(G125)</f>
        <v>72.422388850512789</v>
      </c>
      <c r="N125" s="3" cm="1">
        <f t="array" ref="N125">lmb_2(H125)</f>
        <v>0.58576471941242025</v>
      </c>
      <c r="O125" s="3" cm="1">
        <f t="array" ref="O125">lmb_2(I125)</f>
        <v>0.62442404734856438</v>
      </c>
      <c r="P125" s="3" cm="1">
        <f t="array" ref="P125">lmb_2(J125)</f>
        <v>0.11199894787387105</v>
      </c>
      <c r="R125" s="3">
        <f t="shared" si="28"/>
        <v>4.346758136941121</v>
      </c>
      <c r="S125" s="3">
        <f t="shared" si="29"/>
        <v>254.24292363604431</v>
      </c>
      <c r="T125" s="3">
        <f t="shared" si="30"/>
        <v>2736.2351383745208</v>
      </c>
      <c r="U125" s="3">
        <f t="shared" si="20"/>
        <v>2863.8033875618589</v>
      </c>
      <c r="V125" s="3">
        <f t="shared" si="21"/>
        <v>0</v>
      </c>
      <c r="W125" s="3">
        <f t="shared" si="31"/>
        <v>245.52755178460055</v>
      </c>
      <c r="Y125" s="3">
        <f t="shared" si="32"/>
        <v>6137.7721721054868</v>
      </c>
      <c r="AA125" s="3">
        <f t="shared" si="33"/>
        <v>22568.40027390348</v>
      </c>
      <c r="AB125" s="3">
        <f t="shared" si="34"/>
        <v>150.22782789451321</v>
      </c>
      <c r="AD125" s="3">
        <f t="shared" si="35"/>
        <v>4.9259235746850024E-5</v>
      </c>
    </row>
    <row r="126" spans="3:30" x14ac:dyDescent="0.3">
      <c r="C126" s="22">
        <v>94</v>
      </c>
      <c r="D126" s="22">
        <v>6244</v>
      </c>
      <c r="F126" s="3">
        <f t="shared" si="22"/>
        <v>473.11235433457978</v>
      </c>
      <c r="G126" s="3">
        <f t="shared" si="23"/>
        <v>78.342557796960733</v>
      </c>
      <c r="H126" s="3">
        <f t="shared" si="24"/>
        <v>6.4422724579776491E-2</v>
      </c>
      <c r="I126" s="3">
        <f t="shared" si="25"/>
        <v>0.15715868327847879</v>
      </c>
      <c r="J126" s="3">
        <f t="shared" si="26"/>
        <v>-2.0770755812638861</v>
      </c>
      <c r="K126" s="3">
        <f t="shared" si="27"/>
        <v>31.652228404048962</v>
      </c>
      <c r="L126" s="3" cm="1">
        <f t="array" ref="L126">lmb_2(F126)</f>
        <v>466.96609767552997</v>
      </c>
      <c r="M126" s="3" cm="1">
        <f t="array" ref="M126">lmb_2(G126)</f>
        <v>74.037979597612463</v>
      </c>
      <c r="N126" s="3" cm="1">
        <f t="array" ref="N126">lmb_2(H126)</f>
        <v>0.59076303038272238</v>
      </c>
      <c r="O126" s="3" cm="1">
        <f t="array" ref="O126">lmb_2(I126)</f>
        <v>0.6258319991475263</v>
      </c>
      <c r="P126" s="3" cm="1">
        <f t="array" ref="P126">lmb_2(J126)</f>
        <v>0.11201821406499048</v>
      </c>
      <c r="R126" s="3">
        <f t="shared" si="28"/>
        <v>4.2081692760800777</v>
      </c>
      <c r="S126" s="3">
        <f t="shared" si="29"/>
        <v>245.95714567449778</v>
      </c>
      <c r="T126" s="3">
        <f t="shared" si="30"/>
        <v>2733.6410266356374</v>
      </c>
      <c r="U126" s="3">
        <f t="shared" si="20"/>
        <v>2885.5838680935949</v>
      </c>
      <c r="V126" s="3">
        <f t="shared" si="21"/>
        <v>0</v>
      </c>
      <c r="W126" s="3">
        <f t="shared" si="31"/>
        <v>247.62999857798337</v>
      </c>
      <c r="Y126" s="3">
        <f t="shared" si="32"/>
        <v>6148.6724366618428</v>
      </c>
      <c r="AA126" s="3">
        <f t="shared" si="33"/>
        <v>9087.3443319903799</v>
      </c>
      <c r="AB126" s="3">
        <f t="shared" si="34"/>
        <v>95.327563338157233</v>
      </c>
      <c r="AD126" s="3">
        <f t="shared" si="35"/>
        <v>3.1257610400546625E-5</v>
      </c>
    </row>
    <row r="127" spans="3:30" x14ac:dyDescent="0.3">
      <c r="C127" s="22">
        <v>95</v>
      </c>
      <c r="D127" s="22">
        <v>6108</v>
      </c>
      <c r="F127" s="3">
        <f t="shared" si="22"/>
        <v>483.2063731250235</v>
      </c>
      <c r="G127" s="3">
        <f t="shared" si="23"/>
        <v>79.997726263785523</v>
      </c>
      <c r="H127" s="3">
        <f t="shared" si="24"/>
        <v>7.8062134869246846E-2</v>
      </c>
      <c r="I127" s="3">
        <f t="shared" si="25"/>
        <v>0.16085804423774316</v>
      </c>
      <c r="J127" s="3">
        <f t="shared" si="26"/>
        <v>-2.0768822629911754</v>
      </c>
      <c r="K127" s="3">
        <f t="shared" si="27"/>
        <v>29.802810148716596</v>
      </c>
      <c r="L127" s="3" cm="1">
        <f t="array" ref="L127">lmb_2(F127)</f>
        <v>477.03877534740252</v>
      </c>
      <c r="M127" s="3" cm="1">
        <f t="array" ref="M127">lmb_2(G127)</f>
        <v>75.671326947257455</v>
      </c>
      <c r="N127" s="3" cm="1">
        <f t="array" ref="N127">lmb_2(H127)</f>
        <v>0.59584195616714042</v>
      </c>
      <c r="O127" s="3" cm="1">
        <f t="array" ref="O127">lmb_2(I127)</f>
        <v>0.627256991601013</v>
      </c>
      <c r="P127" s="3" cm="1">
        <f t="array" ref="P127">lmb_2(J127)</f>
        <v>0.11203768933990263</v>
      </c>
      <c r="R127" s="3">
        <f t="shared" si="28"/>
        <v>4.0754154639745037</v>
      </c>
      <c r="S127" s="3">
        <f t="shared" si="29"/>
        <v>238.02718352786763</v>
      </c>
      <c r="T127" s="3">
        <f t="shared" si="30"/>
        <v>2730.4553225005652</v>
      </c>
      <c r="U127" s="3">
        <f t="shared" si="20"/>
        <v>2907.1084143654566</v>
      </c>
      <c r="V127" s="3">
        <f t="shared" si="21"/>
        <v>0</v>
      </c>
      <c r="W127" s="3">
        <f t="shared" si="31"/>
        <v>249.73244537136617</v>
      </c>
      <c r="Y127" s="3">
        <f t="shared" si="32"/>
        <v>6159.2015913779469</v>
      </c>
      <c r="AA127" s="3">
        <f t="shared" si="33"/>
        <v>2621.602959634246</v>
      </c>
      <c r="AB127" s="3">
        <f t="shared" si="34"/>
        <v>-51.201591377946897</v>
      </c>
      <c r="AD127" s="3">
        <f t="shared" si="35"/>
        <v>1.6788841958569561E-5</v>
      </c>
    </row>
    <row r="128" spans="3:30" x14ac:dyDescent="0.3">
      <c r="C128" s="22">
        <v>96</v>
      </c>
      <c r="D128" s="22">
        <v>6158</v>
      </c>
      <c r="F128" s="3">
        <f t="shared" si="22"/>
        <v>493.40720692912248</v>
      </c>
      <c r="G128" s="3">
        <f t="shared" si="23"/>
        <v>81.670409740841251</v>
      </c>
      <c r="H128" s="3">
        <f t="shared" si="24"/>
        <v>9.1845877542732657E-2</v>
      </c>
      <c r="I128" s="3">
        <f t="shared" si="25"/>
        <v>0.16459655187382505</v>
      </c>
      <c r="J128" s="3">
        <f t="shared" si="26"/>
        <v>-2.0766868990224574</v>
      </c>
      <c r="K128" s="3">
        <f t="shared" si="27"/>
        <v>28.061452148715862</v>
      </c>
      <c r="L128" s="3" cm="1">
        <f t="array" ref="L128">lmb_2(F128)</f>
        <v>487.21849425315753</v>
      </c>
      <c r="M128" s="3" cm="1">
        <f t="array" ref="M128">lmb_2(G128)</f>
        <v>77.322425714585236</v>
      </c>
      <c r="N128" s="3" cm="1">
        <f t="array" ref="N128">lmb_2(H128)</f>
        <v>0.60100233567790484</v>
      </c>
      <c r="O128" s="3" cm="1">
        <f t="array" ref="O128">lmb_2(I128)</f>
        <v>0.62869908725899915</v>
      </c>
      <c r="P128" s="3" cm="1">
        <f t="array" ref="P128">lmb_2(J128)</f>
        <v>0.11205737379562963</v>
      </c>
      <c r="R128" s="3">
        <f t="shared" si="28"/>
        <v>3.9481926086562917</v>
      </c>
      <c r="S128" s="3">
        <f t="shared" si="29"/>
        <v>230.43418930299532</v>
      </c>
      <c r="T128" s="3">
        <f t="shared" si="30"/>
        <v>2726.6885649215956</v>
      </c>
      <c r="U128" s="3">
        <f t="shared" si="20"/>
        <v>2928.3759405776273</v>
      </c>
      <c r="V128" s="3">
        <f t="shared" si="21"/>
        <v>0</v>
      </c>
      <c r="W128" s="3">
        <f t="shared" si="31"/>
        <v>251.83489216474896</v>
      </c>
      <c r="Y128" s="3">
        <f t="shared" si="32"/>
        <v>6169.3432317243396</v>
      </c>
      <c r="AA128" s="3">
        <f t="shared" si="33"/>
        <v>128.66890595206439</v>
      </c>
      <c r="AB128" s="3">
        <f t="shared" si="34"/>
        <v>-11.343231724339603</v>
      </c>
      <c r="AD128" s="3">
        <f t="shared" si="35"/>
        <v>3.7194102682010504E-6</v>
      </c>
    </row>
    <row r="129" spans="3:30" x14ac:dyDescent="0.3">
      <c r="C129" s="22">
        <v>97</v>
      </c>
      <c r="D129" s="22">
        <v>6176</v>
      </c>
      <c r="F129" s="3">
        <f t="shared" si="22"/>
        <v>503.71485574687716</v>
      </c>
      <c r="G129" s="3">
        <f t="shared" si="23"/>
        <v>83.360608228127944</v>
      </c>
      <c r="H129" s="3">
        <f t="shared" si="24"/>
        <v>0.10577395260023437</v>
      </c>
      <c r="I129" s="3">
        <f t="shared" si="25"/>
        <v>0.16837420618672458</v>
      </c>
      <c r="J129" s="3">
        <f t="shared" si="26"/>
        <v>-2.0764894893577317</v>
      </c>
      <c r="K129" s="3">
        <f t="shared" si="27"/>
        <v>26.421840516558824</v>
      </c>
      <c r="L129" s="3" cm="1">
        <f t="array" ref="L129">lmb_2(F129)</f>
        <v>497.50524963829741</v>
      </c>
      <c r="M129" s="3" cm="1">
        <f t="array" ref="M129">lmb_2(G129)</f>
        <v>78.991270876993894</v>
      </c>
      <c r="N129" s="3" cm="1">
        <f t="array" ref="N129">lmb_2(H129)</f>
        <v>0.60624501388465557</v>
      </c>
      <c r="O129" s="3" cm="1">
        <f t="array" ref="O129">lmb_2(I129)</f>
        <v>0.63015834928866821</v>
      </c>
      <c r="P129" s="3" cm="1">
        <f t="array" ref="P129">lmb_2(J129)</f>
        <v>0.1120772675302404</v>
      </c>
      <c r="R129" s="3">
        <f t="shared" si="28"/>
        <v>3.8262154470959047</v>
      </c>
      <c r="S129" s="3">
        <f t="shared" si="29"/>
        <v>223.16049607758944</v>
      </c>
      <c r="T129" s="3">
        <f t="shared" si="30"/>
        <v>2722.3514504567552</v>
      </c>
      <c r="U129" s="3">
        <f t="shared" si="20"/>
        <v>2949.3854036446869</v>
      </c>
      <c r="V129" s="3">
        <f t="shared" si="21"/>
        <v>0</v>
      </c>
      <c r="W129" s="3">
        <f t="shared" si="31"/>
        <v>253.93733895813176</v>
      </c>
      <c r="Y129" s="3">
        <f t="shared" si="32"/>
        <v>6179.0827451008172</v>
      </c>
      <c r="AA129" s="3">
        <f t="shared" si="33"/>
        <v>9.5033173566123992</v>
      </c>
      <c r="AB129" s="3">
        <f t="shared" si="34"/>
        <v>-3.082745100817192</v>
      </c>
      <c r="AD129" s="3">
        <f t="shared" si="35"/>
        <v>1.0108224940536945E-6</v>
      </c>
    </row>
    <row r="130" spans="3:30" x14ac:dyDescent="0.3">
      <c r="C130" s="22">
        <v>98</v>
      </c>
      <c r="D130" s="22">
        <v>6143</v>
      </c>
      <c r="F130" s="3">
        <f t="shared" si="22"/>
        <v>514.12931957828744</v>
      </c>
      <c r="G130" s="3">
        <f t="shared" si="23"/>
        <v>85.068321725645575</v>
      </c>
      <c r="H130" s="3">
        <f t="shared" si="24"/>
        <v>0.1198463600417512</v>
      </c>
      <c r="I130" s="3">
        <f t="shared" si="25"/>
        <v>0.17219100717644176</v>
      </c>
      <c r="J130" s="3">
        <f t="shared" si="26"/>
        <v>-2.0762900339969983</v>
      </c>
      <c r="K130" s="3">
        <f t="shared" si="27"/>
        <v>24.878030280924563</v>
      </c>
      <c r="L130" s="3" cm="1">
        <f t="array" ref="L130">lmb_2(F130)</f>
        <v>507.89903689672792</v>
      </c>
      <c r="M130" s="3" cm="1">
        <f t="array" ref="M130">lmb_2(G130)</f>
        <v>80.677857567602246</v>
      </c>
      <c r="N130" s="3" cm="1">
        <f t="array" ref="N130">lmb_2(H130)</f>
        <v>0.61157084164192177</v>
      </c>
      <c r="O130" s="3" cm="1">
        <f t="array" ref="O130">lmb_2(I130)</f>
        <v>0.63163484147252402</v>
      </c>
      <c r="P130" s="3" cm="1">
        <f t="array" ref="P130">lmb_2(J130)</f>
        <v>0.11209737064285075</v>
      </c>
      <c r="R130" s="3">
        <f t="shared" si="28"/>
        <v>3.7092161986113314</v>
      </c>
      <c r="S130" s="3">
        <f t="shared" si="29"/>
        <v>216.18953287636467</v>
      </c>
      <c r="T130" s="3">
        <f t="shared" si="30"/>
        <v>2717.4548226001671</v>
      </c>
      <c r="U130" s="3">
        <f t="shared" si="20"/>
        <v>2970.1358032065577</v>
      </c>
      <c r="V130" s="3">
        <f t="shared" si="21"/>
        <v>0</v>
      </c>
      <c r="W130" s="3">
        <f t="shared" si="31"/>
        <v>256.03978575151456</v>
      </c>
      <c r="Y130" s="3">
        <f t="shared" si="32"/>
        <v>6188.4071909141403</v>
      </c>
      <c r="AA130" s="3">
        <f t="shared" si="33"/>
        <v>2061.8129867131856</v>
      </c>
      <c r="AB130" s="3">
        <f t="shared" si="34"/>
        <v>-45.407190914140301</v>
      </c>
      <c r="AD130" s="3">
        <f t="shared" si="35"/>
        <v>1.4888876136932788E-5</v>
      </c>
    </row>
    <row r="131" spans="3:30" x14ac:dyDescent="0.3">
      <c r="C131" s="22">
        <v>99</v>
      </c>
      <c r="D131" s="22">
        <v>6209</v>
      </c>
      <c r="F131" s="3">
        <f t="shared" si="22"/>
        <v>524.65059842335302</v>
      </c>
      <c r="G131" s="3">
        <f t="shared" si="23"/>
        <v>86.793550233394171</v>
      </c>
      <c r="H131" s="3">
        <f t="shared" si="24"/>
        <v>0.13406309986728382</v>
      </c>
      <c r="I131" s="3">
        <f t="shared" si="25"/>
        <v>0.17604695484297647</v>
      </c>
      <c r="J131" s="3">
        <f t="shared" si="26"/>
        <v>-2.0760885329402576</v>
      </c>
      <c r="K131" s="3">
        <f t="shared" si="27"/>
        <v>23.424423831137677</v>
      </c>
      <c r="L131" s="3" cm="1">
        <f t="array" ref="L131">lmb_2(F131)</f>
        <v>518.39985156464866</v>
      </c>
      <c r="M131" s="3" cm="1">
        <f t="array" ref="M131">lmb_2(G131)</f>
        <v>82.382181069026274</v>
      </c>
      <c r="N131" s="3" cm="1">
        <f t="array" ref="N131">lmb_2(H131)</f>
        <v>0.61698067551211933</v>
      </c>
      <c r="O131" s="3" cm="1">
        <f t="array" ref="O131">lmb_2(I131)</f>
        <v>0.63312862820646287</v>
      </c>
      <c r="P131" s="3" cm="1">
        <f t="array" ref="P131">lmb_2(J131)</f>
        <v>0.11211768323362446</v>
      </c>
      <c r="R131" s="3">
        <f t="shared" si="28"/>
        <v>3.5969433272343241</v>
      </c>
      <c r="S131" s="3">
        <f t="shared" si="29"/>
        <v>209.50574653201804</v>
      </c>
      <c r="T131" s="3">
        <f t="shared" si="30"/>
        <v>2712.0096611419494</v>
      </c>
      <c r="U131" s="3">
        <f t="shared" si="20"/>
        <v>2990.6261816289475</v>
      </c>
      <c r="V131" s="3">
        <f t="shared" si="21"/>
        <v>0</v>
      </c>
      <c r="W131" s="3">
        <f t="shared" si="31"/>
        <v>258.14223254489741</v>
      </c>
      <c r="Y131" s="3">
        <f t="shared" si="32"/>
        <v>6197.3051890061843</v>
      </c>
      <c r="AA131" s="3">
        <f t="shared" si="33"/>
        <v>136.76860418107339</v>
      </c>
      <c r="AB131" s="3">
        <f t="shared" si="34"/>
        <v>11.694810993815736</v>
      </c>
      <c r="AD131" s="3">
        <f t="shared" si="35"/>
        <v>3.8346920130119445E-6</v>
      </c>
    </row>
    <row r="132" spans="3:30" x14ac:dyDescent="0.3">
      <c r="C132" s="22">
        <v>100</v>
      </c>
      <c r="D132" s="22">
        <v>6318</v>
      </c>
      <c r="F132" s="3">
        <f t="shared" si="22"/>
        <v>535.27869228207419</v>
      </c>
      <c r="G132" s="3">
        <f t="shared" si="23"/>
        <v>88.536293751373691</v>
      </c>
      <c r="H132" s="3">
        <f t="shared" si="24"/>
        <v>0.14842417207683201</v>
      </c>
      <c r="I132" s="3">
        <f t="shared" si="25"/>
        <v>0.17994204918632883</v>
      </c>
      <c r="J132" s="3">
        <f t="shared" si="26"/>
        <v>-2.0758849861875093</v>
      </c>
      <c r="K132" s="3">
        <f t="shared" si="27"/>
        <v>22.055750621121067</v>
      </c>
      <c r="L132" s="3" cm="1">
        <f t="array" ref="L132">lmb_2(F132)</f>
        <v>529.00768931475488</v>
      </c>
      <c r="M132" s="3" cm="1">
        <f t="array" ref="M132">lmb_2(G132)</f>
        <v>84.104236807453816</v>
      </c>
      <c r="N132" s="3" cm="1">
        <f t="array" ref="N132">lmb_2(H132)</f>
        <v>0.62247537758412175</v>
      </c>
      <c r="O132" s="3" cm="1">
        <f t="array" ref="O132">lmb_2(I132)</f>
        <v>0.63463977449779974</v>
      </c>
      <c r="P132" s="3" cm="1">
        <f t="array" ref="P132">lmb_2(J132)</f>
        <v>0.1121382054037738</v>
      </c>
      <c r="R132" s="3">
        <f t="shared" si="28"/>
        <v>3.4891604032156529</v>
      </c>
      <c r="S132" s="3">
        <f t="shared" si="29"/>
        <v>203.09452981421043</v>
      </c>
      <c r="T132" s="3">
        <f t="shared" si="30"/>
        <v>2706.0270715692441</v>
      </c>
      <c r="U132" s="3">
        <f t="shared" si="20"/>
        <v>3010.8556239933805</v>
      </c>
      <c r="V132" s="3">
        <f t="shared" si="21"/>
        <v>0</v>
      </c>
      <c r="W132" s="3">
        <f t="shared" si="31"/>
        <v>260.24467933828021</v>
      </c>
      <c r="Y132" s="3">
        <f t="shared" si="32"/>
        <v>6205.7668157394519</v>
      </c>
      <c r="AA132" s="3">
        <f t="shared" si="33"/>
        <v>12596.287649262145</v>
      </c>
      <c r="AB132" s="3">
        <f t="shared" si="34"/>
        <v>112.23318426054811</v>
      </c>
      <c r="AD132" s="3">
        <f t="shared" si="35"/>
        <v>3.6800910720695553E-5</v>
      </c>
    </row>
    <row r="133" spans="3:30" x14ac:dyDescent="0.3">
      <c r="C133" s="22">
        <v>101</v>
      </c>
      <c r="D133" s="22">
        <v>6026</v>
      </c>
      <c r="F133" s="3">
        <f t="shared" si="22"/>
        <v>546.01360115445061</v>
      </c>
      <c r="G133" s="3">
        <f t="shared" si="23"/>
        <v>90.296552279584191</v>
      </c>
      <c r="H133" s="3">
        <f t="shared" si="24"/>
        <v>0.16292957667039576</v>
      </c>
      <c r="I133" s="3">
        <f t="shared" si="25"/>
        <v>0.18387629020649887</v>
      </c>
      <c r="J133" s="3">
        <f t="shared" si="26"/>
        <v>-2.0756793937387537</v>
      </c>
      <c r="K133" s="3">
        <f t="shared" si="27"/>
        <v>20.767048059233144</v>
      </c>
      <c r="L133" s="3" cm="1">
        <f t="array" ref="L133">lmb_2(F133)</f>
        <v>539.72254595072968</v>
      </c>
      <c r="M133" s="3" cm="1">
        <f t="array" ref="M133">lmb_2(G133)</f>
        <v>85.844020347001987</v>
      </c>
      <c r="N133" s="3" cm="1">
        <f t="array" ref="N133">lmb_2(H133)</f>
        <v>0.62805581528746079</v>
      </c>
      <c r="O133" s="3" cm="1">
        <f t="array" ref="O133">lmb_2(I133)</f>
        <v>0.63616834596325411</v>
      </c>
      <c r="P133" s="3" cm="1">
        <f t="array" ref="P133">lmb_2(J133)</f>
        <v>0.11215893725556002</v>
      </c>
      <c r="R133" s="3">
        <f t="shared" si="28"/>
        <v>3.3856450548242769</v>
      </c>
      <c r="S133" s="3">
        <f t="shared" si="29"/>
        <v>196.94215527006295</v>
      </c>
      <c r="T133" s="3">
        <f t="shared" si="30"/>
        <v>2699.5182745198335</v>
      </c>
      <c r="U133" s="3">
        <f t="shared" si="20"/>
        <v>3030.8232580768304</v>
      </c>
      <c r="V133" s="3">
        <f t="shared" si="21"/>
        <v>0</v>
      </c>
      <c r="W133" s="3">
        <f t="shared" si="31"/>
        <v>262.347126131663</v>
      </c>
      <c r="Y133" s="3">
        <f t="shared" si="32"/>
        <v>6213.7835071124464</v>
      </c>
      <c r="AA133" s="3">
        <f t="shared" si="33"/>
        <v>35262.645543450206</v>
      </c>
      <c r="AB133" s="3">
        <f t="shared" si="34"/>
        <v>-187.78350711244639</v>
      </c>
      <c r="AD133" s="3">
        <f t="shared" si="35"/>
        <v>6.1573625711459332E-5</v>
      </c>
    </row>
    <row r="134" spans="3:30" x14ac:dyDescent="0.3">
      <c r="C134" s="22">
        <v>102</v>
      </c>
      <c r="D134" s="22">
        <v>6245</v>
      </c>
      <c r="F134" s="3">
        <f t="shared" si="22"/>
        <v>556.85532504048274</v>
      </c>
      <c r="G134" s="3">
        <f t="shared" si="23"/>
        <v>92.074325818025642</v>
      </c>
      <c r="H134" s="3">
        <f t="shared" si="24"/>
        <v>0.17757931364797486</v>
      </c>
      <c r="I134" s="3">
        <f t="shared" si="25"/>
        <v>0.18784967790348645</v>
      </c>
      <c r="J134" s="3">
        <f t="shared" si="26"/>
        <v>-2.0754717555939903</v>
      </c>
      <c r="K134" s="3">
        <f t="shared" si="27"/>
        <v>19.553643514698873</v>
      </c>
      <c r="L134" s="3" cm="1">
        <f t="array" ref="L134">lmb_2(F134)</f>
        <v>550.54441740201264</v>
      </c>
      <c r="M134" s="3" cm="1">
        <f t="array" ref="M134">lmb_2(G134)</f>
        <v>87.601527384340997</v>
      </c>
      <c r="N134" s="3" cm="1">
        <f t="array" ref="N134">lmb_2(H134)</f>
        <v>0.6337228612022241</v>
      </c>
      <c r="O134" s="3" cm="1">
        <f t="array" ref="O134">lmb_2(I134)</f>
        <v>0.63771440882688979</v>
      </c>
      <c r="P134" s="3" cm="1">
        <f t="array" ref="P134">lmb_2(J134)</f>
        <v>0.11217987889229428</v>
      </c>
      <c r="R134" s="3">
        <f t="shared" si="28"/>
        <v>3.2861880024633345</v>
      </c>
      <c r="S134" s="3">
        <f t="shared" si="29"/>
        <v>191.03571427366109</v>
      </c>
      <c r="T134" s="3">
        <f t="shared" si="30"/>
        <v>2692.4945952995595</v>
      </c>
      <c r="U134" s="3">
        <f t="shared" si="20"/>
        <v>3050.5282543210164</v>
      </c>
      <c r="V134" s="3">
        <f t="shared" si="21"/>
        <v>0</v>
      </c>
      <c r="W134" s="3">
        <f t="shared" si="31"/>
        <v>264.4495729250458</v>
      </c>
      <c r="Y134" s="3">
        <f t="shared" si="32"/>
        <v>6221.3479683364449</v>
      </c>
      <c r="AA134" s="3">
        <f t="shared" si="33"/>
        <v>559.41860181381469</v>
      </c>
      <c r="AB134" s="3">
        <f t="shared" si="34"/>
        <v>23.652031663555135</v>
      </c>
      <c r="AD134" s="3">
        <f t="shared" si="35"/>
        <v>7.755427339501433E-6</v>
      </c>
    </row>
    <row r="135" spans="3:30" x14ac:dyDescent="0.3">
      <c r="C135" s="22">
        <v>103</v>
      </c>
      <c r="D135" s="22">
        <v>6326</v>
      </c>
      <c r="F135" s="3">
        <f t="shared" si="22"/>
        <v>567.80386394017034</v>
      </c>
      <c r="G135" s="3">
        <f t="shared" si="23"/>
        <v>93.869614366698016</v>
      </c>
      <c r="H135" s="3">
        <f t="shared" si="24"/>
        <v>0.19237338300956985</v>
      </c>
      <c r="I135" s="3">
        <f t="shared" si="25"/>
        <v>0.19186221227729164</v>
      </c>
      <c r="J135" s="3">
        <f t="shared" si="26"/>
        <v>-2.0752620717532198</v>
      </c>
      <c r="K135" s="3">
        <f t="shared" si="27"/>
        <v>18.411137375392755</v>
      </c>
      <c r="L135" s="3" cm="1">
        <f t="array" ref="L135">lmb_2(F135)</f>
        <v>561.47329971882539</v>
      </c>
      <c r="M135" s="3" cm="1">
        <f t="array" ref="M135">lmb_2(G135)</f>
        <v>89.376753743570674</v>
      </c>
      <c r="N135" s="3" cm="1">
        <f t="array" ref="N135">lmb_2(H135)</f>
        <v>0.63947739286472494</v>
      </c>
      <c r="O135" s="3" cm="1">
        <f t="array" ref="O135">lmb_2(I135)</f>
        <v>0.63927802991801175</v>
      </c>
      <c r="P135" s="3" cm="1">
        <f t="array" ref="P135">lmb_2(J135)</f>
        <v>0.11220103041833805</v>
      </c>
      <c r="R135" s="3">
        <f t="shared" si="28"/>
        <v>3.1905921679012885</v>
      </c>
      <c r="S135" s="3">
        <f t="shared" si="29"/>
        <v>185.36306083036644</v>
      </c>
      <c r="T135" s="3">
        <f t="shared" si="30"/>
        <v>2684.9674534745191</v>
      </c>
      <c r="U135" s="3">
        <f t="shared" si="20"/>
        <v>3069.969825791417</v>
      </c>
      <c r="V135" s="3">
        <f t="shared" si="21"/>
        <v>0</v>
      </c>
      <c r="W135" s="3">
        <f t="shared" si="31"/>
        <v>266.5520197184286</v>
      </c>
      <c r="Y135" s="3">
        <f t="shared" si="32"/>
        <v>6228.4540893580252</v>
      </c>
      <c r="AA135" s="3">
        <f t="shared" si="33"/>
        <v>9515.2046829721403</v>
      </c>
      <c r="AB135" s="3">
        <f t="shared" si="34"/>
        <v>97.545910641974842</v>
      </c>
      <c r="AD135" s="3">
        <f t="shared" si="35"/>
        <v>3.1984999555662887E-5</v>
      </c>
    </row>
    <row r="136" spans="3:30" x14ac:dyDescent="0.3">
      <c r="C136" s="22">
        <v>104</v>
      </c>
      <c r="D136" s="22">
        <v>6109</v>
      </c>
      <c r="F136" s="3">
        <f t="shared" si="22"/>
        <v>578.85921785351343</v>
      </c>
      <c r="G136" s="3">
        <f t="shared" si="23"/>
        <v>95.682417925601357</v>
      </c>
      <c r="H136" s="3">
        <f t="shared" si="24"/>
        <v>0.20731178475518008</v>
      </c>
      <c r="I136" s="3">
        <f t="shared" si="25"/>
        <v>0.19591389332791442</v>
      </c>
      <c r="J136" s="3">
        <f t="shared" si="26"/>
        <v>-2.0750503422164415</v>
      </c>
      <c r="K136" s="3">
        <f t="shared" si="27"/>
        <v>17.335387095544284</v>
      </c>
      <c r="L136" s="3" cm="1">
        <f t="array" ref="L136">lmb_2(F136)</f>
        <v>572.50918906744107</v>
      </c>
      <c r="M136" s="3" cm="1">
        <f t="array" ref="M136">lmb_2(G136)</f>
        <v>91.169695371335834</v>
      </c>
      <c r="N136" s="3" cm="1">
        <f t="array" ref="N136">lmb_2(H136)</f>
        <v>0.6453202925690219</v>
      </c>
      <c r="O136" s="3" cm="1">
        <f t="array" ref="O136">lmb_2(I136)</f>
        <v>0.64085927666901654</v>
      </c>
      <c r="P136" s="3" cm="1">
        <f t="array" ref="P136">lmb_2(J136)</f>
        <v>0.11222239193910401</v>
      </c>
      <c r="R136" s="3">
        <f t="shared" si="28"/>
        <v>3.0986718521097112</v>
      </c>
      <c r="S136" s="3">
        <f t="shared" si="29"/>
        <v>179.91275972503163</v>
      </c>
      <c r="T136" s="3">
        <f t="shared" si="30"/>
        <v>2676.9483525488131</v>
      </c>
      <c r="U136" s="3">
        <f t="shared" si="20"/>
        <v>3089.1472281260535</v>
      </c>
      <c r="V136" s="3">
        <f t="shared" si="21"/>
        <v>0</v>
      </c>
      <c r="W136" s="3">
        <f t="shared" si="31"/>
        <v>268.65446651181139</v>
      </c>
      <c r="Y136" s="3">
        <f t="shared" si="32"/>
        <v>6235.0968658593638</v>
      </c>
      <c r="AA136" s="3">
        <f t="shared" si="33"/>
        <v>15900.419579554386</v>
      </c>
      <c r="AB136" s="3">
        <f t="shared" si="34"/>
        <v>-126.09686585936379</v>
      </c>
      <c r="AD136" s="3">
        <f t="shared" si="35"/>
        <v>4.1346768633750486E-5</v>
      </c>
    </row>
    <row r="137" spans="3:30" x14ac:dyDescent="0.3">
      <c r="C137" s="22">
        <v>105</v>
      </c>
      <c r="D137" s="22">
        <v>6198</v>
      </c>
      <c r="F137" s="3">
        <f t="shared" si="22"/>
        <v>590.02138678051176</v>
      </c>
      <c r="G137" s="3">
        <f t="shared" si="23"/>
        <v>97.512736494735634</v>
      </c>
      <c r="H137" s="3">
        <f t="shared" si="24"/>
        <v>0.22239451888480599</v>
      </c>
      <c r="I137" s="3">
        <f t="shared" si="25"/>
        <v>0.20000472105535488</v>
      </c>
      <c r="J137" s="3">
        <f t="shared" si="26"/>
        <v>-2.0748365669836555</v>
      </c>
      <c r="K137" s="3">
        <f t="shared" si="27"/>
        <v>16.322492175524953</v>
      </c>
      <c r="L137" s="3" cm="1">
        <f t="array" ref="L137">lmb_2(F137)</f>
        <v>583.65208172568305</v>
      </c>
      <c r="M137" s="3" cm="1">
        <f t="array" ref="M137">lmb_2(G137)</f>
        <v>92.980348332167381</v>
      </c>
      <c r="N137" s="3" cm="1">
        <f t="array" ref="N137">lmb_2(H137)</f>
        <v>0.65125244716438158</v>
      </c>
      <c r="O137" s="3" cm="1">
        <f t="array" ref="O137">lmb_2(I137)</f>
        <v>0.64245821711319995</v>
      </c>
      <c r="P137" s="3" cm="1">
        <f t="array" ref="P137">lmb_2(J137)</f>
        <v>0.11224396356105644</v>
      </c>
      <c r="R137" s="3">
        <f t="shared" si="28"/>
        <v>3.0102519758198154</v>
      </c>
      <c r="S137" s="3">
        <f t="shared" si="29"/>
        <v>174.67403864204462</v>
      </c>
      <c r="T137" s="3">
        <f t="shared" si="30"/>
        <v>2668.4488697383267</v>
      </c>
      <c r="U137" s="3">
        <f t="shared" si="20"/>
        <v>3108.0597594740952</v>
      </c>
      <c r="V137" s="3">
        <f t="shared" si="21"/>
        <v>0</v>
      </c>
      <c r="W137" s="3">
        <f t="shared" si="31"/>
        <v>270.75691330519419</v>
      </c>
      <c r="Y137" s="3">
        <f t="shared" si="32"/>
        <v>6241.2723253110044</v>
      </c>
      <c r="AA137" s="3">
        <f t="shared" si="33"/>
        <v>1872.4941378213878</v>
      </c>
      <c r="AB137" s="3">
        <f t="shared" si="34"/>
        <v>-43.272325311004352</v>
      </c>
      <c r="AD137" s="3">
        <f t="shared" si="35"/>
        <v>1.4188860370835462E-5</v>
      </c>
    </row>
    <row r="138" spans="3:30" x14ac:dyDescent="0.3">
      <c r="C138" s="22">
        <v>106</v>
      </c>
      <c r="D138" s="22">
        <v>6285</v>
      </c>
      <c r="F138" s="3">
        <f t="shared" si="22"/>
        <v>601.29037072116591</v>
      </c>
      <c r="G138" s="3">
        <f t="shared" si="23"/>
        <v>99.360570074100877</v>
      </c>
      <c r="H138" s="3">
        <f t="shared" si="24"/>
        <v>0.2376215853984478</v>
      </c>
      <c r="I138" s="3">
        <f t="shared" si="25"/>
        <v>0.20413469545961291</v>
      </c>
      <c r="J138" s="3">
        <f t="shared" si="26"/>
        <v>-2.0746207460548622</v>
      </c>
      <c r="K138" s="3">
        <f t="shared" si="27"/>
        <v>15.368780019256231</v>
      </c>
      <c r="L138" s="3" cm="1">
        <f t="array" ref="L138">lmb_2(F138)</f>
        <v>594.90197407864059</v>
      </c>
      <c r="M138" s="3" cm="1">
        <f t="array" ref="M138">lmb_2(G138)</f>
        <v>94.808708804037735</v>
      </c>
      <c r="N138" s="3" cm="1">
        <f t="array" ref="N138">lmb_2(H138)</f>
        <v>0.65727474784877638</v>
      </c>
      <c r="O138" s="3" cm="1">
        <f t="array" ref="O138">lmb_2(I138)</f>
        <v>0.64407491988251575</v>
      </c>
      <c r="P138" s="3" cm="1">
        <f t="array" ref="P138">lmb_2(J138)</f>
        <v>0.11226574539171227</v>
      </c>
      <c r="R138" s="3">
        <f t="shared" si="28"/>
        <v>2.9251673774658937</v>
      </c>
      <c r="S138" s="3">
        <f t="shared" si="29"/>
        <v>169.63674391998364</v>
      </c>
      <c r="T138" s="3">
        <f t="shared" si="30"/>
        <v>2659.4806458507801</v>
      </c>
      <c r="U138" s="3">
        <f t="shared" si="20"/>
        <v>3126.7067604243698</v>
      </c>
      <c r="V138" s="3">
        <f t="shared" si="21"/>
        <v>0</v>
      </c>
      <c r="W138" s="3">
        <f t="shared" si="31"/>
        <v>272.85936009857699</v>
      </c>
      <c r="Y138" s="3">
        <f t="shared" si="32"/>
        <v>6246.9774576904329</v>
      </c>
      <c r="AA138" s="3">
        <f t="shared" si="33"/>
        <v>1445.7137236828235</v>
      </c>
      <c r="AB138" s="3">
        <f t="shared" si="34"/>
        <v>38.022542309567143</v>
      </c>
      <c r="AD138" s="3">
        <f t="shared" si="35"/>
        <v>1.2467472914783146E-5</v>
      </c>
    </row>
    <row r="139" spans="3:30" x14ac:dyDescent="0.3">
      <c r="C139" s="22">
        <v>107</v>
      </c>
      <c r="D139" s="22">
        <v>6207</v>
      </c>
      <c r="F139" s="3">
        <f t="shared" si="22"/>
        <v>612.66616967547543</v>
      </c>
      <c r="G139" s="3">
        <f t="shared" si="23"/>
        <v>101.22591866369707</v>
      </c>
      <c r="H139" s="3">
        <f t="shared" si="24"/>
        <v>0.25299298429610462</v>
      </c>
      <c r="I139" s="3">
        <f t="shared" si="25"/>
        <v>0.20830381654068855</v>
      </c>
      <c r="J139" s="3">
        <f t="shared" si="26"/>
        <v>-2.0744028794300613</v>
      </c>
      <c r="K139" s="3">
        <f t="shared" si="27"/>
        <v>14.470792617959587</v>
      </c>
      <c r="L139" s="3" cm="1">
        <f t="array" ref="L139">lmb_2(F139)</f>
        <v>606.25886261458493</v>
      </c>
      <c r="M139" s="3" cm="1">
        <f t="array" ref="M139">lmb_2(G139)</f>
        <v>96.654773074118651</v>
      </c>
      <c r="N139" s="3" cm="1">
        <f t="array" ref="N139">lmb_2(H139)</f>
        <v>0.66338808995852183</v>
      </c>
      <c r="O139" s="3" cm="1">
        <f t="array" ref="O139">lmb_2(I139)</f>
        <v>0.64570945420529058</v>
      </c>
      <c r="P139" s="3" cm="1">
        <f t="array" ref="P139">lmb_2(J139)</f>
        <v>0.11228773753964143</v>
      </c>
      <c r="R139" s="3">
        <f t="shared" si="28"/>
        <v>2.8432621636827449</v>
      </c>
      <c r="S139" s="3">
        <f t="shared" si="29"/>
        <v>164.79129963499554</v>
      </c>
      <c r="T139" s="3">
        <f t="shared" si="30"/>
        <v>2650.0553752819997</v>
      </c>
      <c r="U139" s="3">
        <f t="shared" si="20"/>
        <v>3145.0876139238162</v>
      </c>
      <c r="V139" s="3">
        <f t="shared" si="21"/>
        <v>0</v>
      </c>
      <c r="W139" s="3">
        <f t="shared" si="31"/>
        <v>274.96180689195978</v>
      </c>
      <c r="Y139" s="3">
        <f t="shared" si="32"/>
        <v>6252.2101505144137</v>
      </c>
      <c r="AA139" s="3">
        <f t="shared" si="33"/>
        <v>2043.9577095359436</v>
      </c>
      <c r="AB139" s="3">
        <f t="shared" si="34"/>
        <v>-45.210150514413726</v>
      </c>
      <c r="AD139" s="3">
        <f t="shared" si="35"/>
        <v>1.4824267205033698E-5</v>
      </c>
    </row>
    <row r="140" spans="3:30" x14ac:dyDescent="0.3">
      <c r="C140" s="22">
        <v>108</v>
      </c>
      <c r="D140" s="22">
        <v>6191</v>
      </c>
      <c r="F140" s="3">
        <f t="shared" si="22"/>
        <v>624.14878364344054</v>
      </c>
      <c r="G140" s="3">
        <f t="shared" si="23"/>
        <v>103.10878226352419</v>
      </c>
      <c r="H140" s="3">
        <f t="shared" si="24"/>
        <v>0.26850871557777722</v>
      </c>
      <c r="I140" s="3">
        <f t="shared" si="25"/>
        <v>0.21251208429858184</v>
      </c>
      <c r="J140" s="3">
        <f t="shared" si="26"/>
        <v>-2.0741829671092531</v>
      </c>
      <c r="K140" s="3">
        <f t="shared" si="27"/>
        <v>13.625274011965972</v>
      </c>
      <c r="L140" s="3" cm="1">
        <f t="array" ref="L140">lmb_2(F140)</f>
        <v>617.72274392108125</v>
      </c>
      <c r="M140" s="3" cm="1">
        <f t="array" ref="M140">lmb_2(G140)</f>
        <v>98.518537534731081</v>
      </c>
      <c r="N140" s="3" cm="1">
        <f t="array" ref="N140">lmb_2(H140)</f>
        <v>0.66959337275416686</v>
      </c>
      <c r="O140" s="3" cm="1">
        <f t="array" ref="O140">lmb_2(I140)</f>
        <v>0.64736188990389043</v>
      </c>
      <c r="P140" s="3" cm="1">
        <f t="array" ref="P140">lmb_2(J140)</f>
        <v>0.11230994011446767</v>
      </c>
      <c r="R140" s="3">
        <f t="shared" si="28"/>
        <v>2.7643891079721232</v>
      </c>
      <c r="S140" s="3">
        <f t="shared" si="29"/>
        <v>160.12866973517771</v>
      </c>
      <c r="T140" s="3">
        <f t="shared" si="30"/>
        <v>2640.1847961380577</v>
      </c>
      <c r="U140" s="3">
        <f t="shared" si="20"/>
        <v>3163.2017451859783</v>
      </c>
      <c r="V140" s="3">
        <f t="shared" si="21"/>
        <v>0</v>
      </c>
      <c r="W140" s="3">
        <f t="shared" si="31"/>
        <v>277.06425368534258</v>
      </c>
      <c r="Y140" s="3">
        <f t="shared" si="32"/>
        <v>6256.969127864495</v>
      </c>
      <c r="AA140" s="3">
        <f t="shared" si="33"/>
        <v>4351.9258312020938</v>
      </c>
      <c r="AB140" s="3">
        <f t="shared" si="34"/>
        <v>-65.969127864495022</v>
      </c>
      <c r="AD140" s="3">
        <f t="shared" si="35"/>
        <v>2.1631071067425975E-5</v>
      </c>
    </row>
    <row r="141" spans="3:30" x14ac:dyDescent="0.3">
      <c r="C141" s="22">
        <v>109</v>
      </c>
      <c r="D141" s="22">
        <v>6188</v>
      </c>
      <c r="F141" s="3">
        <f t="shared" si="22"/>
        <v>635.73821262506078</v>
      </c>
      <c r="G141" s="3">
        <f t="shared" si="23"/>
        <v>105.00916087358229</v>
      </c>
      <c r="H141" s="3">
        <f t="shared" si="24"/>
        <v>0.28416877924346551</v>
      </c>
      <c r="I141" s="3">
        <f t="shared" si="25"/>
        <v>0.21675949873329273</v>
      </c>
      <c r="J141" s="3">
        <f t="shared" si="26"/>
        <v>-2.0739610090924372</v>
      </c>
      <c r="K141" s="3">
        <f t="shared" si="27"/>
        <v>12.829158485123253</v>
      </c>
      <c r="L141" s="3" cm="1">
        <f t="array" ref="L141">lmb_2(F141)</f>
        <v>629.29361468128002</v>
      </c>
      <c r="M141" s="3" cm="1">
        <f t="array" ref="M141">lmb_2(G141)</f>
        <v>100.39999867947728</v>
      </c>
      <c r="N141" s="3" cm="1">
        <f t="array" ref="N141">lmb_2(H141)</f>
        <v>0.67589149920274993</v>
      </c>
      <c r="O141" s="3" cm="1">
        <f t="array" ref="O141">lmb_2(I141)</f>
        <v>0.64903229739234114</v>
      </c>
      <c r="P141" s="3" cm="1">
        <f t="array" ref="P141">lmb_2(J141)</f>
        <v>0.11233235322686939</v>
      </c>
      <c r="R141" s="3">
        <f t="shared" si="28"/>
        <v>2.6884090935560518</v>
      </c>
      <c r="S141" s="3">
        <f t="shared" si="29"/>
        <v>155.64032297361308</v>
      </c>
      <c r="T141" s="3">
        <f t="shared" si="30"/>
        <v>2629.8806804926417</v>
      </c>
      <c r="U141" s="3">
        <f t="shared" si="20"/>
        <v>3181.0486215895749</v>
      </c>
      <c r="V141" s="3">
        <f t="shared" si="21"/>
        <v>0</v>
      </c>
      <c r="W141" s="3">
        <f t="shared" si="31"/>
        <v>279.16670047872537</v>
      </c>
      <c r="Y141" s="3">
        <f t="shared" si="32"/>
        <v>6261.253893113234</v>
      </c>
      <c r="AA141" s="3">
        <f t="shared" si="33"/>
        <v>5366.1328562451072</v>
      </c>
      <c r="AB141" s="3">
        <f t="shared" si="34"/>
        <v>-73.253893113233971</v>
      </c>
      <c r="AD141" s="3">
        <f t="shared" si="35"/>
        <v>2.4019722849039057E-5</v>
      </c>
    </row>
    <row r="142" spans="3:30" x14ac:dyDescent="0.3">
      <c r="C142" s="22">
        <v>110</v>
      </c>
      <c r="D142" s="22">
        <v>6341</v>
      </c>
      <c r="F142" s="3">
        <f t="shared" si="22"/>
        <v>647.43445662033673</v>
      </c>
      <c r="G142" s="3">
        <f t="shared" si="23"/>
        <v>106.92705449387132</v>
      </c>
      <c r="H142" s="3">
        <f t="shared" si="24"/>
        <v>0.29997317529316914</v>
      </c>
      <c r="I142" s="3">
        <f t="shared" si="25"/>
        <v>0.22104605984482117</v>
      </c>
      <c r="J142" s="3">
        <f t="shared" si="26"/>
        <v>-2.0737370053796136</v>
      </c>
      <c r="K142" s="3">
        <f t="shared" si="27"/>
        <v>12.079559448996495</v>
      </c>
      <c r="L142" s="3" cm="1">
        <f t="array" ref="L142">lmb_2(F142)</f>
        <v>640.97147167038088</v>
      </c>
      <c r="M142" s="3" cm="1">
        <f t="array" ref="M142">lmb_2(G142)</f>
        <v>102.29915309954484</v>
      </c>
      <c r="N142" s="3" cm="1">
        <f t="array" ref="N142">lmb_2(H142)</f>
        <v>0.68228337575654963</v>
      </c>
      <c r="O142" s="3" cm="1">
        <f t="array" ref="O142">lmb_2(I142)</f>
        <v>0.65072074767389931</v>
      </c>
      <c r="P142" s="3" cm="1">
        <f t="array" ref="P142">lmb_2(J142)</f>
        <v>0.11235497698858013</v>
      </c>
      <c r="R142" s="3">
        <f t="shared" si="28"/>
        <v>2.6151905967972691</v>
      </c>
      <c r="S142" s="3">
        <f t="shared" si="29"/>
        <v>151.31820041056289</v>
      </c>
      <c r="T142" s="3">
        <f t="shared" si="30"/>
        <v>2619.1548247886949</v>
      </c>
      <c r="U142" s="3">
        <f t="shared" si="20"/>
        <v>3198.6277525672713</v>
      </c>
      <c r="V142" s="3">
        <f t="shared" si="21"/>
        <v>0</v>
      </c>
      <c r="W142" s="3">
        <f t="shared" si="31"/>
        <v>281.26914727210817</v>
      </c>
      <c r="Y142" s="3">
        <f t="shared" si="32"/>
        <v>6265.0646750844307</v>
      </c>
      <c r="AA142" s="3">
        <f t="shared" si="33"/>
        <v>5766.1735700330728</v>
      </c>
      <c r="AB142" s="3">
        <f t="shared" si="34"/>
        <v>75.935324915569254</v>
      </c>
      <c r="AD142" s="3">
        <f t="shared" si="35"/>
        <v>2.4898955965443308E-5</v>
      </c>
    </row>
    <row r="143" spans="3:30" x14ac:dyDescent="0.3">
      <c r="C143" s="22">
        <v>111</v>
      </c>
      <c r="D143" s="22">
        <v>6273</v>
      </c>
      <c r="F143" s="3">
        <f t="shared" si="22"/>
        <v>659.23751562926839</v>
      </c>
      <c r="G143" s="3">
        <f t="shared" si="23"/>
        <v>108.86246312439134</v>
      </c>
      <c r="H143" s="3">
        <f t="shared" si="24"/>
        <v>0.31592190372688844</v>
      </c>
      <c r="I143" s="3">
        <f t="shared" si="25"/>
        <v>0.2253717676331673</v>
      </c>
      <c r="J143" s="3">
        <f t="shared" si="26"/>
        <v>-2.0735109559707827</v>
      </c>
      <c r="K143" s="3">
        <f t="shared" si="27"/>
        <v>11.373758976556806</v>
      </c>
      <c r="L143" s="3" cm="1">
        <f t="array" ref="L143">lmb_2(F143)</f>
        <v>652.75631175225715</v>
      </c>
      <c r="M143" s="3" cm="1">
        <f t="array" ref="M143">lmb_2(G143)</f>
        <v>104.21599748017495</v>
      </c>
      <c r="N143" s="3" cm="1">
        <f t="array" ref="N143">lmb_2(H143)</f>
        <v>0.68876991212846139</v>
      </c>
      <c r="O143" s="3" cm="1">
        <f t="array" ref="O143">lmb_2(I143)</f>
        <v>0.65242731233857743</v>
      </c>
      <c r="P143" s="3" cm="1">
        <f t="array" ref="P143">lmb_2(J143)</f>
        <v>0.11237781151238947</v>
      </c>
      <c r="R143" s="3">
        <f t="shared" si="28"/>
        <v>2.5446092078935574</v>
      </c>
      <c r="S143" s="3">
        <f t="shared" si="29"/>
        <v>147.15468527592967</v>
      </c>
      <c r="T143" s="3">
        <f t="shared" si="30"/>
        <v>2608.0190403930328</v>
      </c>
      <c r="U143" s="3">
        <f t="shared" si="20"/>
        <v>3215.9386894846671</v>
      </c>
      <c r="V143" s="3">
        <f t="shared" si="21"/>
        <v>0</v>
      </c>
      <c r="W143" s="3">
        <f t="shared" si="31"/>
        <v>283.37159406549097</v>
      </c>
      <c r="Y143" s="3">
        <f t="shared" si="32"/>
        <v>6268.4023774035704</v>
      </c>
      <c r="AA143" s="3">
        <f t="shared" si="33"/>
        <v>21.138133539199814</v>
      </c>
      <c r="AB143" s="3">
        <f t="shared" si="34"/>
        <v>4.5976225964295736</v>
      </c>
      <c r="AD143" s="3">
        <f t="shared" si="35"/>
        <v>1.50754609533192E-6</v>
      </c>
    </row>
    <row r="144" spans="3:30" x14ac:dyDescent="0.3">
      <c r="C144" s="22">
        <v>112</v>
      </c>
      <c r="D144" s="22">
        <v>6192</v>
      </c>
      <c r="F144" s="3">
        <f t="shared" si="22"/>
        <v>671.14738965185541</v>
      </c>
      <c r="G144" s="3">
        <f t="shared" si="23"/>
        <v>110.81538676514228</v>
      </c>
      <c r="H144" s="3">
        <f t="shared" si="24"/>
        <v>0.33201496454462343</v>
      </c>
      <c r="I144" s="3">
        <f t="shared" si="25"/>
        <v>0.22973662209833098</v>
      </c>
      <c r="J144" s="3">
        <f t="shared" si="26"/>
        <v>-2.0732828608659442</v>
      </c>
      <c r="K144" s="3">
        <f t="shared" si="27"/>
        <v>10.709197947409685</v>
      </c>
      <c r="L144" s="3" cm="1">
        <f t="array" ref="L144">lmb_2(F144)</f>
        <v>664.64813187623372</v>
      </c>
      <c r="M144" s="3" cm="1">
        <f t="array" ref="M144">lmb_2(G144)</f>
        <v>106.15052859728534</v>
      </c>
      <c r="N144" s="3" cm="1">
        <f t="array" ref="N144">lmb_2(H144)</f>
        <v>0.69535202106413763</v>
      </c>
      <c r="O144" s="3" cm="1">
        <f t="array" ref="O144">lmb_2(I144)</f>
        <v>0.65415206356061817</v>
      </c>
      <c r="P144" s="3" cm="1">
        <f t="array" ref="P144">lmb_2(J144)</f>
        <v>0.11240085691214356</v>
      </c>
      <c r="R144" s="3">
        <f t="shared" si="28"/>
        <v>2.4765471858470955</v>
      </c>
      <c r="S144" s="3">
        <f t="shared" si="29"/>
        <v>143.14257500171428</v>
      </c>
      <c r="T144" s="3">
        <f t="shared" si="30"/>
        <v>2596.4851443123139</v>
      </c>
      <c r="U144" s="3">
        <f t="shared" si="20"/>
        <v>3232.981025509639</v>
      </c>
      <c r="V144" s="3">
        <f t="shared" si="21"/>
        <v>0</v>
      </c>
      <c r="W144" s="3">
        <f t="shared" si="31"/>
        <v>285.47404085887376</v>
      </c>
      <c r="Y144" s="3">
        <f t="shared" si="32"/>
        <v>6271.2685308157988</v>
      </c>
      <c r="AA144" s="3">
        <f t="shared" si="33"/>
        <v>6283.49997769525</v>
      </c>
      <c r="AB144" s="3">
        <f t="shared" si="34"/>
        <v>-79.26853081579884</v>
      </c>
      <c r="AD144" s="3">
        <f t="shared" si="35"/>
        <v>2.5991903773671572E-5</v>
      </c>
    </row>
    <row r="145" spans="3:30" x14ac:dyDescent="0.3">
      <c r="C145" s="22">
        <v>113</v>
      </c>
      <c r="D145" s="22">
        <v>6270</v>
      </c>
      <c r="F145" s="3">
        <f t="shared" si="22"/>
        <v>683.16407868809767</v>
      </c>
      <c r="G145" s="3">
        <f t="shared" si="23"/>
        <v>112.78582541612414</v>
      </c>
      <c r="H145" s="3">
        <f t="shared" si="24"/>
        <v>0.34825235774637375</v>
      </c>
      <c r="I145" s="3">
        <f t="shared" si="25"/>
        <v>0.23414062324031229</v>
      </c>
      <c r="J145" s="3">
        <f t="shared" si="26"/>
        <v>-2.0730527200650983</v>
      </c>
      <c r="K145" s="3">
        <f t="shared" si="27"/>
        <v>10.083466768830997</v>
      </c>
      <c r="L145" s="3" cm="1">
        <f t="array" ref="L145">lmb_2(F145)</f>
        <v>676.6469290740115</v>
      </c>
      <c r="M145" s="3" cm="1">
        <f t="array" ref="M145">lmb_2(G145)</f>
        <v>108.10274331424094</v>
      </c>
      <c r="N145" s="3" cm="1">
        <f t="array" ref="N145">lmb_2(H145)</f>
        <v>0.70203061811103917</v>
      </c>
      <c r="O145" s="3" cm="1">
        <f t="array" ref="O145">lmb_2(I145)</f>
        <v>0.65589507409592085</v>
      </c>
      <c r="P145" s="3" cm="1">
        <f t="array" ref="P145">lmb_2(J145)</f>
        <v>0.11242411330274608</v>
      </c>
      <c r="R145" s="3">
        <f t="shared" si="28"/>
        <v>2.4108930449756585</v>
      </c>
      <c r="S145" s="3">
        <f t="shared" si="29"/>
        <v>139.27505525099548</v>
      </c>
      <c r="T145" s="3">
        <f t="shared" si="30"/>
        <v>2584.564950078407</v>
      </c>
      <c r="U145" s="3">
        <f t="shared" si="20"/>
        <v>3249.7543954720895</v>
      </c>
      <c r="V145" s="3">
        <f t="shared" si="21"/>
        <v>0</v>
      </c>
      <c r="W145" s="3">
        <f t="shared" si="31"/>
        <v>287.57648765225656</v>
      </c>
      <c r="Y145" s="3">
        <f t="shared" si="32"/>
        <v>6273.6652482675554</v>
      </c>
      <c r="AA145" s="3">
        <f t="shared" si="33"/>
        <v>13.434044862817849</v>
      </c>
      <c r="AB145" s="3">
        <f t="shared" si="34"/>
        <v>-3.6652482675553983</v>
      </c>
      <c r="AD145" s="3">
        <f t="shared" si="35"/>
        <v>1.2018234638193764E-6</v>
      </c>
    </row>
    <row r="146" spans="3:30" x14ac:dyDescent="0.3">
      <c r="C146" s="22">
        <v>114</v>
      </c>
      <c r="D146" s="22">
        <v>6142</v>
      </c>
      <c r="F146" s="3">
        <f t="shared" si="22"/>
        <v>695.28758273799554</v>
      </c>
      <c r="G146" s="3">
        <f t="shared" si="23"/>
        <v>114.773779077337</v>
      </c>
      <c r="H146" s="3">
        <f t="shared" si="24"/>
        <v>0.36463408333213965</v>
      </c>
      <c r="I146" s="3">
        <f t="shared" si="25"/>
        <v>0.23858377105911127</v>
      </c>
      <c r="J146" s="3">
        <f t="shared" si="26"/>
        <v>-2.0728205335682448</v>
      </c>
      <c r="K146" s="3">
        <f t="shared" si="27"/>
        <v>9.4942966389665369</v>
      </c>
      <c r="L146" s="3" cm="1">
        <f t="array" ref="L146">lmb_2(F146)</f>
        <v>688.75270045672778</v>
      </c>
      <c r="M146" s="3" cm="1">
        <f t="array" ref="M146">lmb_2(G146)</f>
        <v>110.07263857876414</v>
      </c>
      <c r="N146" s="3" cm="1">
        <f t="array" ref="N146">lmb_2(H146)</f>
        <v>0.70880662138454886</v>
      </c>
      <c r="O146" s="3" cm="1">
        <f t="array" ref="O146">lmb_2(I146)</f>
        <v>0.65765641727941737</v>
      </c>
      <c r="P146" s="3" cm="1">
        <f t="array" ref="P146">lmb_2(J146)</f>
        <v>0.11244758080015874</v>
      </c>
      <c r="R146" s="3">
        <f t="shared" si="28"/>
        <v>2.3475411704725602</v>
      </c>
      <c r="S146" s="3">
        <f t="shared" si="29"/>
        <v>135.54567578516239</v>
      </c>
      <c r="T146" s="3">
        <f t="shared" si="30"/>
        <v>2572.2702588108259</v>
      </c>
      <c r="U146" s="3">
        <f t="shared" si="20"/>
        <v>3266.2584757141935</v>
      </c>
      <c r="V146" s="3">
        <f t="shared" si="21"/>
        <v>0</v>
      </c>
      <c r="W146" s="3">
        <f t="shared" si="31"/>
        <v>289.67893444563936</v>
      </c>
      <c r="Y146" s="3">
        <f t="shared" si="32"/>
        <v>6275.5951825652601</v>
      </c>
      <c r="AA146" s="3">
        <f t="shared" si="33"/>
        <v>17847.672804645168</v>
      </c>
      <c r="AB146" s="3">
        <f t="shared" si="34"/>
        <v>-133.59518256526007</v>
      </c>
      <c r="AD146" s="3">
        <f t="shared" si="35"/>
        <v>4.3805443271445752E-5</v>
      </c>
    </row>
    <row r="147" spans="3:30" x14ac:dyDescent="0.3">
      <c r="C147" s="22">
        <v>115</v>
      </c>
      <c r="D147" s="22">
        <v>6141</v>
      </c>
      <c r="F147" s="3">
        <f t="shared" si="22"/>
        <v>707.51790180154899</v>
      </c>
      <c r="G147" s="3">
        <f t="shared" si="23"/>
        <v>116.77924774878079</v>
      </c>
      <c r="H147" s="3">
        <f t="shared" si="24"/>
        <v>0.38116014130192144</v>
      </c>
      <c r="I147" s="3">
        <f t="shared" si="25"/>
        <v>0.24306606555472782</v>
      </c>
      <c r="J147" s="3">
        <f t="shared" si="26"/>
        <v>-2.072586301375384</v>
      </c>
      <c r="K147" s="3">
        <f t="shared" si="27"/>
        <v>8.9395513205168804</v>
      </c>
      <c r="L147" s="3" cm="1">
        <f t="array" ref="L147">lmb_2(F147)</f>
        <v>700.96077604040931</v>
      </c>
      <c r="M147" s="3" cm="1">
        <f t="array" ref="M147">lmb_2(G147)</f>
        <v>112.06021141997778</v>
      </c>
      <c r="N147" s="3" cm="1">
        <f t="array" ref="N147">lmb_2(H147)</f>
        <v>0.71568095133130716</v>
      </c>
      <c r="O147" s="3" cm="1">
        <f t="array" ref="O147">lmb_2(I147)</f>
        <v>0.65943616702239971</v>
      </c>
      <c r="P147" s="3" cm="1">
        <f t="array" ref="P147">lmb_2(J147)</f>
        <v>0.11247125952140219</v>
      </c>
      <c r="R147" s="3">
        <f t="shared" si="28"/>
        <v>2.2864218858831569</v>
      </c>
      <c r="S147" s="3">
        <f t="shared" si="29"/>
        <v>131.94832802488443</v>
      </c>
      <c r="T147" s="3">
        <f t="shared" si="30"/>
        <v>2559.6128504635526</v>
      </c>
      <c r="U147" s="3">
        <f t="shared" si="20"/>
        <v>3282.4929839312344</v>
      </c>
      <c r="V147" s="3">
        <f t="shared" si="21"/>
        <v>0</v>
      </c>
      <c r="W147" s="3">
        <f t="shared" si="31"/>
        <v>291.78138123902221</v>
      </c>
      <c r="Y147" s="3">
        <f t="shared" si="32"/>
        <v>6277.0615168650947</v>
      </c>
      <c r="AA147" s="3">
        <f t="shared" si="33"/>
        <v>18512.736371630461</v>
      </c>
      <c r="AB147" s="3">
        <f t="shared" si="34"/>
        <v>-136.06151686509475</v>
      </c>
      <c r="AD147" s="3">
        <f t="shared" si="35"/>
        <v>4.4614146588326604E-5</v>
      </c>
    </row>
    <row r="148" spans="3:30" x14ac:dyDescent="0.3">
      <c r="C148" s="22">
        <v>116</v>
      </c>
      <c r="D148" s="22">
        <v>6275</v>
      </c>
      <c r="F148" s="3">
        <f t="shared" si="22"/>
        <v>719.85503587875803</v>
      </c>
      <c r="G148" s="3">
        <f t="shared" si="23"/>
        <v>118.80223143045552</v>
      </c>
      <c r="H148" s="3">
        <f t="shared" si="24"/>
        <v>0.39783053165571847</v>
      </c>
      <c r="I148" s="3">
        <f t="shared" si="25"/>
        <v>0.24758750672716195</v>
      </c>
      <c r="J148" s="3">
        <f t="shared" si="26"/>
        <v>-2.0723500234865151</v>
      </c>
      <c r="K148" s="3">
        <f t="shared" si="27"/>
        <v>8.4172193950803251</v>
      </c>
      <c r="L148" s="3" cm="1">
        <f t="array" ref="L148">lmb_2(F148)</f>
        <v>713.28055573075653</v>
      </c>
      <c r="M148" s="3" cm="1">
        <f t="array" ref="M148">lmb_2(G148)</f>
        <v>114.06545894557453</v>
      </c>
      <c r="N148" s="3" cm="1">
        <f t="array" ref="N148">lmb_2(H148)</f>
        <v>0.72265453048993333</v>
      </c>
      <c r="O148" s="3" cm="1">
        <f t="array" ref="O148">lmb_2(I148)</f>
        <v>0.66123439780979498</v>
      </c>
      <c r="P148" s="3" cm="1">
        <f t="array" ref="P148">lmb_2(J148)</f>
        <v>0.11249514958455678</v>
      </c>
      <c r="R148" s="3">
        <f t="shared" si="28"/>
        <v>2.2273776960311338</v>
      </c>
      <c r="S148" s="3">
        <f t="shared" si="29"/>
        <v>128.47722417275838</v>
      </c>
      <c r="T148" s="3">
        <f t="shared" si="30"/>
        <v>2546.604475263211</v>
      </c>
      <c r="U148" s="3">
        <f t="shared" si="20"/>
        <v>3298.4576790031306</v>
      </c>
      <c r="V148" s="3">
        <f t="shared" si="21"/>
        <v>0</v>
      </c>
      <c r="W148" s="3">
        <f t="shared" si="31"/>
        <v>293.88382803240501</v>
      </c>
      <c r="Y148" s="3">
        <f t="shared" si="32"/>
        <v>6278.067803562617</v>
      </c>
      <c r="AA148" s="3">
        <f t="shared" si="33"/>
        <v>9.4114186988053916</v>
      </c>
      <c r="AB148" s="3">
        <f t="shared" si="34"/>
        <v>-3.0678035626169731</v>
      </c>
      <c r="AD148" s="3">
        <f t="shared" si="35"/>
        <v>1.0059232103261686E-6</v>
      </c>
    </row>
    <row r="149" spans="3:30" x14ac:dyDescent="0.3">
      <c r="C149" s="22">
        <v>117</v>
      </c>
      <c r="D149" s="22">
        <v>6310</v>
      </c>
      <c r="F149" s="3">
        <f t="shared" si="22"/>
        <v>732.29898496962255</v>
      </c>
      <c r="G149" s="3">
        <f t="shared" si="23"/>
        <v>120.84273012236117</v>
      </c>
      <c r="H149" s="3">
        <f t="shared" si="24"/>
        <v>0.41464525439353095</v>
      </c>
      <c r="I149" s="3">
        <f t="shared" si="25"/>
        <v>0.25214809457641374</v>
      </c>
      <c r="J149" s="3">
        <f t="shared" si="26"/>
        <v>-2.0721116999016393</v>
      </c>
      <c r="K149" s="3">
        <f t="shared" si="27"/>
        <v>7.9254069700692673</v>
      </c>
      <c r="L149" s="3" cm="1">
        <f t="array" ref="L149">lmb_2(F149)</f>
        <v>725.70729984358354</v>
      </c>
      <c r="M149" s="3" cm="1">
        <f t="array" ref="M149">lmb_2(G149)</f>
        <v>116.08837833910607</v>
      </c>
      <c r="N149" s="3" cm="1">
        <f t="array" ref="N149">lmb_2(H149)</f>
        <v>0.72972828324930561</v>
      </c>
      <c r="O149" s="3" cm="1">
        <f t="array" ref="O149">lmb_2(I149)</f>
        <v>0.66305118469739166</v>
      </c>
      <c r="P149" s="3" cm="1">
        <f t="array" ref="P149">lmb_2(J149)</f>
        <v>0.11251925110876303</v>
      </c>
      <c r="R149" s="3">
        <f t="shared" si="28"/>
        <v>2.1703508093905755</v>
      </c>
      <c r="S149" s="3">
        <f t="shared" si="29"/>
        <v>125.12687777686932</v>
      </c>
      <c r="T149" s="3">
        <f t="shared" si="30"/>
        <v>2533.2568453451518</v>
      </c>
      <c r="U149" s="3">
        <f t="shared" si="20"/>
        <v>3314.1523608167313</v>
      </c>
      <c r="V149" s="3">
        <f t="shared" si="21"/>
        <v>0</v>
      </c>
      <c r="W149" s="3">
        <f t="shared" si="31"/>
        <v>295.9862748257878</v>
      </c>
      <c r="Y149" s="3">
        <f t="shared" si="32"/>
        <v>6278.6181165439993</v>
      </c>
      <c r="AA149" s="3">
        <f t="shared" si="33"/>
        <v>984.82260924600735</v>
      </c>
      <c r="AB149" s="3">
        <f t="shared" si="34"/>
        <v>31.381883456000651</v>
      </c>
      <c r="AD149" s="3">
        <f t="shared" si="35"/>
        <v>1.0290021609210579E-5</v>
      </c>
    </row>
    <row r="150" spans="3:30" x14ac:dyDescent="0.3">
      <c r="C150" s="22">
        <v>118</v>
      </c>
      <c r="D150" s="22">
        <v>6203</v>
      </c>
      <c r="F150" s="3">
        <f t="shared" si="22"/>
        <v>744.84974907414221</v>
      </c>
      <c r="G150" s="3">
        <f t="shared" si="23"/>
        <v>122.90074382449785</v>
      </c>
      <c r="H150" s="3">
        <f t="shared" si="24"/>
        <v>0.43160430951535944</v>
      </c>
      <c r="I150" s="3">
        <f t="shared" si="25"/>
        <v>0.25674782910248312</v>
      </c>
      <c r="J150" s="3">
        <f t="shared" si="26"/>
        <v>-2.0718713306207555</v>
      </c>
      <c r="K150" s="3">
        <f t="shared" si="27"/>
        <v>7.4623308117565239</v>
      </c>
      <c r="L150" s="3" cm="1">
        <f t="array" ref="L150">lmb_2(F150)</f>
        <v>738.24100582803578</v>
      </c>
      <c r="M150" s="3" cm="1">
        <f t="array" ref="M150">lmb_2(G150)</f>
        <v>118.12896685738633</v>
      </c>
      <c r="N150" s="3" cm="1">
        <f t="array" ref="N150">lmb_2(H150)</f>
        <v>0.73690313560457532</v>
      </c>
      <c r="O150" s="3" cm="1">
        <f t="array" ref="O150">lmb_2(I150)</f>
        <v>0.66488660330901295</v>
      </c>
      <c r="P150" s="3" cm="1">
        <f t="array" ref="P150">lmb_2(J150)</f>
        <v>0.11254356421422286</v>
      </c>
      <c r="R150" s="3">
        <f t="shared" si="28"/>
        <v>2.1152557475460219</v>
      </c>
      <c r="S150" s="3">
        <f t="shared" si="29"/>
        <v>121.89208562474208</v>
      </c>
      <c r="T150" s="3">
        <f t="shared" si="30"/>
        <v>2519.5816265936578</v>
      </c>
      <c r="U150" s="3">
        <f t="shared" si="20"/>
        <v>3329.5768700789863</v>
      </c>
      <c r="V150" s="3">
        <f t="shared" si="21"/>
        <v>0</v>
      </c>
      <c r="W150" s="3">
        <f t="shared" si="31"/>
        <v>298.0887216191706</v>
      </c>
      <c r="Y150" s="3">
        <f t="shared" si="32"/>
        <v>6278.7168904758582</v>
      </c>
      <c r="AA150" s="3">
        <f t="shared" si="33"/>
        <v>5733.0475033331113</v>
      </c>
      <c r="AB150" s="3">
        <f t="shared" si="34"/>
        <v>-75.716890475858236</v>
      </c>
      <c r="AD150" s="3">
        <f t="shared" si="35"/>
        <v>2.4827331994626721E-5</v>
      </c>
    </row>
    <row r="151" spans="3:30" x14ac:dyDescent="0.3">
      <c r="C151" s="22">
        <v>119</v>
      </c>
      <c r="D151" s="22">
        <v>6197</v>
      </c>
      <c r="F151" s="3">
        <f t="shared" si="22"/>
        <v>757.50732819231757</v>
      </c>
      <c r="G151" s="3">
        <f t="shared" si="23"/>
        <v>124.97627253686544</v>
      </c>
      <c r="H151" s="3">
        <f t="shared" si="24"/>
        <v>0.44870769702120317</v>
      </c>
      <c r="I151" s="3">
        <f t="shared" si="25"/>
        <v>0.26138671030537008</v>
      </c>
      <c r="J151" s="3">
        <f t="shared" si="26"/>
        <v>-2.0716289156438648</v>
      </c>
      <c r="K151" s="3">
        <f t="shared" si="27"/>
        <v>7.026311879553119</v>
      </c>
      <c r="L151" s="3" cm="1">
        <f t="array" ref="L151">lmb_2(F151)</f>
        <v>750.8816711980088</v>
      </c>
      <c r="M151" s="3" cm="1">
        <f t="array" ref="M151">lmb_2(G151)</f>
        <v>120.18722182800272</v>
      </c>
      <c r="N151" s="3" cm="1">
        <f t="array" ref="N151">lmb_2(H151)</f>
        <v>0.74418001491109731</v>
      </c>
      <c r="O151" s="3" cm="1">
        <f t="array" ref="O151">lmb_2(I151)</f>
        <v>0.66674072983363974</v>
      </c>
      <c r="P151" s="3" cm="1">
        <f t="array" ref="P151">lmb_2(J151)</f>
        <v>0.11256808902219992</v>
      </c>
      <c r="R151" s="3">
        <f t="shared" si="28"/>
        <v>2.062011343965537</v>
      </c>
      <c r="S151" s="3">
        <f t="shared" si="29"/>
        <v>118.76791086646557</v>
      </c>
      <c r="T151" s="3">
        <f t="shared" si="30"/>
        <v>2505.5904306920734</v>
      </c>
      <c r="U151" s="3">
        <f t="shared" si="20"/>
        <v>3344.7310881210956</v>
      </c>
      <c r="V151" s="3">
        <f t="shared" si="21"/>
        <v>0</v>
      </c>
      <c r="W151" s="3">
        <f t="shared" si="31"/>
        <v>300.1911684125534</v>
      </c>
      <c r="Y151" s="3">
        <f t="shared" si="32"/>
        <v>6278.3689213157058</v>
      </c>
      <c r="AA151" s="3">
        <f t="shared" si="33"/>
        <v>6620.9013560815292</v>
      </c>
      <c r="AB151" s="3">
        <f t="shared" si="34"/>
        <v>-81.368921315705848</v>
      </c>
      <c r="AD151" s="3">
        <f t="shared" si="35"/>
        <v>2.6680615261053346E-5</v>
      </c>
    </row>
    <row r="152" spans="3:30" x14ac:dyDescent="0.3">
      <c r="C152" s="22">
        <v>120</v>
      </c>
      <c r="D152" s="22">
        <v>6241</v>
      </c>
      <c r="F152" s="3">
        <f t="shared" si="22"/>
        <v>770.27172232414853</v>
      </c>
      <c r="G152" s="3">
        <f t="shared" si="23"/>
        <v>127.06931625946399</v>
      </c>
      <c r="H152" s="3">
        <f t="shared" si="24"/>
        <v>0.46595541691106224</v>
      </c>
      <c r="I152" s="3">
        <f t="shared" si="25"/>
        <v>0.2660647381850747</v>
      </c>
      <c r="J152" s="3">
        <f t="shared" si="26"/>
        <v>-2.0713844549709659</v>
      </c>
      <c r="K152" s="3">
        <f t="shared" si="27"/>
        <v>6.6157692380738293</v>
      </c>
      <c r="L152" s="3" cm="1">
        <f t="array" ref="L152">lmb_2(F152)</f>
        <v>763.62929352997537</v>
      </c>
      <c r="M152" s="3" cm="1">
        <f t="array" ref="M152">lmb_2(G152)</f>
        <v>122.26314064693119</v>
      </c>
      <c r="N152" s="3" cm="1">
        <f t="array" ref="N152">lmb_2(H152)</f>
        <v>0.75155984963646638</v>
      </c>
      <c r="O152" s="3" cm="1">
        <f t="array" ref="O152">lmb_2(I152)</f>
        <v>0.66861364102248122</v>
      </c>
      <c r="P152" s="3" cm="1">
        <f t="array" ref="P152">lmb_2(J152)</f>
        <v>0.11259282565502067</v>
      </c>
      <c r="R152" s="3">
        <f t="shared" si="28"/>
        <v>2.0105404922662231</v>
      </c>
      <c r="S152" s="3">
        <f t="shared" si="29"/>
        <v>115.74966727421723</v>
      </c>
      <c r="T152" s="3">
        <f t="shared" si="30"/>
        <v>2491.2948073882849</v>
      </c>
      <c r="U152" s="3">
        <f t="shared" si="20"/>
        <v>3359.6149366937366</v>
      </c>
      <c r="V152" s="3">
        <f t="shared" si="21"/>
        <v>0</v>
      </c>
      <c r="W152" s="3">
        <f t="shared" si="31"/>
        <v>302.29361520593619</v>
      </c>
      <c r="Y152" s="3">
        <f t="shared" si="32"/>
        <v>6277.5793362925151</v>
      </c>
      <c r="AA152" s="3">
        <f t="shared" si="33"/>
        <v>1338.047843600913</v>
      </c>
      <c r="AB152" s="3">
        <f t="shared" si="34"/>
        <v>-36.579336292515109</v>
      </c>
      <c r="AD152" s="3">
        <f t="shared" si="35"/>
        <v>1.1994250167562456E-5</v>
      </c>
    </row>
    <row r="153" spans="3:30" x14ac:dyDescent="0.3">
      <c r="C153" s="22">
        <v>121</v>
      </c>
      <c r="D153" s="22">
        <v>6423</v>
      </c>
      <c r="F153" s="3">
        <f t="shared" si="22"/>
        <v>783.14293146963496</v>
      </c>
      <c r="G153" s="3">
        <f t="shared" si="23"/>
        <v>129.17987499229343</v>
      </c>
      <c r="H153" s="3">
        <f t="shared" si="24"/>
        <v>0.48334746918493732</v>
      </c>
      <c r="I153" s="3">
        <f t="shared" si="25"/>
        <v>0.27078191274159691</v>
      </c>
      <c r="J153" s="3">
        <f t="shared" si="26"/>
        <v>-2.0711379486020598</v>
      </c>
      <c r="K153" s="3">
        <f t="shared" si="27"/>
        <v>6.2292143249165974</v>
      </c>
      <c r="L153" s="3" cm="1">
        <f t="array" ref="L153">lmb_2(F153)</f>
        <v>776.48387046090431</v>
      </c>
      <c r="M153" s="3" cm="1">
        <f t="array" ref="M153">lmb_2(G153)</f>
        <v>124.35672077624881</v>
      </c>
      <c r="N153" s="3" cm="1">
        <f t="array" ref="N153">lmb_2(H153)</f>
        <v>0.75904356911084936</v>
      </c>
      <c r="O153" s="3" cm="1">
        <f t="array" ref="O153">lmb_2(I153)</f>
        <v>0.67050541418599263</v>
      </c>
      <c r="P153" s="3" cm="1">
        <f t="array" ref="P153">lmb_2(J153)</f>
        <v>0.11261777423607494</v>
      </c>
      <c r="R153" s="3">
        <f t="shared" si="28"/>
        <v>1.9607699111411434</v>
      </c>
      <c r="S153" s="3">
        <f t="shared" si="29"/>
        <v>112.83290455310737</v>
      </c>
      <c r="T153" s="3">
        <f t="shared" si="30"/>
        <v>2476.706236980579</v>
      </c>
      <c r="U153" s="3">
        <f t="shared" si="20"/>
        <v>3374.2283777534731</v>
      </c>
      <c r="V153" s="3">
        <f t="shared" si="21"/>
        <v>0</v>
      </c>
      <c r="W153" s="3">
        <f t="shared" si="31"/>
        <v>304.39606199931904</v>
      </c>
      <c r="Y153" s="3">
        <f t="shared" si="32"/>
        <v>6276.353565522536</v>
      </c>
      <c r="AA153" s="3">
        <f t="shared" si="33"/>
        <v>21505.176744953151</v>
      </c>
      <c r="AB153" s="3">
        <f t="shared" si="34"/>
        <v>146.64643447746403</v>
      </c>
      <c r="AD153" s="3">
        <f t="shared" si="35"/>
        <v>4.8084908026712058E-5</v>
      </c>
    </row>
    <row r="154" spans="3:30" x14ac:dyDescent="0.3">
      <c r="C154" s="22">
        <v>122</v>
      </c>
      <c r="D154" s="22">
        <v>6251</v>
      </c>
      <c r="F154" s="3">
        <f t="shared" si="22"/>
        <v>796.12095562877653</v>
      </c>
      <c r="G154" s="3">
        <f t="shared" si="23"/>
        <v>131.3079487353539</v>
      </c>
      <c r="H154" s="3">
        <f t="shared" si="24"/>
        <v>0.50088385384282774</v>
      </c>
      <c r="I154" s="3">
        <f t="shared" si="25"/>
        <v>0.27553823397493676</v>
      </c>
      <c r="J154" s="3">
        <f t="shared" si="26"/>
        <v>-2.070889396537146</v>
      </c>
      <c r="K154" s="3">
        <f t="shared" si="27"/>
        <v>5.86524555337175</v>
      </c>
      <c r="L154" s="3" cm="1">
        <f t="array" ref="L154">lmb_2(F154)</f>
        <v>789.4453996862652</v>
      </c>
      <c r="M154" s="3" cm="1">
        <f t="array" ref="M154">lmb_2(G154)</f>
        <v>126.46795974194021</v>
      </c>
      <c r="N154" s="3" cm="1">
        <f t="array" ref="N154">lmb_2(H154)</f>
        <v>0.76663210327581188</v>
      </c>
      <c r="O154" s="3" cm="1">
        <f t="array" ref="O154">lmb_2(I154)</f>
        <v>0.67241612719084154</v>
      </c>
      <c r="P154" s="3" cm="1">
        <f t="array" ref="P154">lmb_2(J154)</f>
        <v>0.1126429348898169</v>
      </c>
      <c r="R154" s="3">
        <f t="shared" si="28"/>
        <v>1.9126299247170273</v>
      </c>
      <c r="S154" s="3">
        <f t="shared" si="29"/>
        <v>110.01339462524902</v>
      </c>
      <c r="T154" s="3">
        <f t="shared" si="30"/>
        <v>2461.8361230285086</v>
      </c>
      <c r="U154" s="3">
        <f t="shared" si="20"/>
        <v>3388.5714132404496</v>
      </c>
      <c r="V154" s="3">
        <f t="shared" si="21"/>
        <v>0</v>
      </c>
      <c r="W154" s="3">
        <f t="shared" si="31"/>
        <v>306.49850879270178</v>
      </c>
      <c r="Y154" s="3">
        <f t="shared" si="32"/>
        <v>6274.6973151649981</v>
      </c>
      <c r="AA154" s="3">
        <f t="shared" si="33"/>
        <v>561.562746029251</v>
      </c>
      <c r="AB154" s="3">
        <f t="shared" si="34"/>
        <v>-23.697315164998145</v>
      </c>
      <c r="AD154" s="3">
        <f t="shared" si="35"/>
        <v>7.7702756582469478E-6</v>
      </c>
    </row>
    <row r="155" spans="3:30" x14ac:dyDescent="0.3">
      <c r="C155" s="22">
        <v>123</v>
      </c>
      <c r="D155" s="22">
        <v>6340</v>
      </c>
      <c r="F155" s="3">
        <f t="shared" si="22"/>
        <v>809.20579480157392</v>
      </c>
      <c r="G155" s="3">
        <f t="shared" si="23"/>
        <v>133.45353748864531</v>
      </c>
      <c r="H155" s="3">
        <f t="shared" si="24"/>
        <v>0.51856457088473351</v>
      </c>
      <c r="I155" s="3">
        <f t="shared" si="25"/>
        <v>0.28033370188509421</v>
      </c>
      <c r="J155" s="3">
        <f t="shared" si="26"/>
        <v>-2.0706387987762249</v>
      </c>
      <c r="K155" s="3">
        <f t="shared" si="27"/>
        <v>5.5225432304912179</v>
      </c>
      <c r="L155" s="3" cm="1">
        <f t="array" ref="L155">lmb_2(F155)</f>
        <v>802.51387895811524</v>
      </c>
      <c r="M155" s="3" cm="1">
        <f t="array" ref="M155">lmb_2(G155)</f>
        <v>128.59685513179249</v>
      </c>
      <c r="N155" s="3" cm="1">
        <f t="array" ref="N155">lmb_2(H155)</f>
        <v>0.77432638243184149</v>
      </c>
      <c r="O155" s="3" cm="1">
        <f t="array" ref="O155">lmb_2(I155)</f>
        <v>0.67434585845681982</v>
      </c>
      <c r="P155" s="3" cm="1">
        <f t="array" ref="P155">lmb_2(J155)</f>
        <v>0.11266830774176571</v>
      </c>
      <c r="R155" s="3">
        <f t="shared" si="28"/>
        <v>1.866054257212324</v>
      </c>
      <c r="S155" s="3">
        <f t="shared" si="29"/>
        <v>107.28711881533461</v>
      </c>
      <c r="T155" s="3">
        <f t="shared" si="30"/>
        <v>2446.6957852930013</v>
      </c>
      <c r="U155" s="3">
        <f t="shared" si="20"/>
        <v>3402.6440848475058</v>
      </c>
      <c r="V155" s="3">
        <f t="shared" si="21"/>
        <v>0</v>
      </c>
      <c r="W155" s="3">
        <f t="shared" si="31"/>
        <v>308.60095558608464</v>
      </c>
      <c r="Y155" s="3">
        <f t="shared" si="32"/>
        <v>6272.6165420296302</v>
      </c>
      <c r="AA155" s="3">
        <f t="shared" si="33"/>
        <v>4540.5304080445958</v>
      </c>
      <c r="AB155" s="3">
        <f t="shared" si="34"/>
        <v>67.383457970369818</v>
      </c>
      <c r="AD155" s="3">
        <f t="shared" si="35"/>
        <v>2.2094825493523874E-5</v>
      </c>
    </row>
    <row r="156" spans="3:30" x14ac:dyDescent="0.3">
      <c r="C156" s="22">
        <v>124</v>
      </c>
      <c r="D156" s="22">
        <v>6289</v>
      </c>
      <c r="F156" s="3">
        <f t="shared" si="22"/>
        <v>822.39744898802689</v>
      </c>
      <c r="G156" s="3">
        <f t="shared" si="23"/>
        <v>135.61664125216762</v>
      </c>
      <c r="H156" s="3">
        <f t="shared" si="24"/>
        <v>0.53638962031065529</v>
      </c>
      <c r="I156" s="3">
        <f t="shared" si="25"/>
        <v>0.28516831647206925</v>
      </c>
      <c r="J156" s="3">
        <f t="shared" si="26"/>
        <v>-2.0703861553192962</v>
      </c>
      <c r="K156" s="3">
        <f t="shared" si="27"/>
        <v>5.1998647720915523</v>
      </c>
      <c r="L156" s="3" cm="1">
        <f t="array" ref="L156">lmb_2(F156)</f>
        <v>815.68930608326116</v>
      </c>
      <c r="M156" s="3" cm="1">
        <f t="array" ref="M156">lmb_2(G156)</f>
        <v>130.74340459337537</v>
      </c>
      <c r="N156" s="3" cm="1">
        <f t="array" ref="N156">lmb_2(H156)</f>
        <v>0.78212733698477288</v>
      </c>
      <c r="O156" s="3" cm="1">
        <f t="array" ref="O156">lmb_2(I156)</f>
        <v>0.6762946869537021</v>
      </c>
      <c r="P156" s="3" cm="1">
        <f t="array" ref="P156">lmb_2(J156)</f>
        <v>0.11269389291850644</v>
      </c>
      <c r="R156" s="3">
        <f t="shared" si="28"/>
        <v>1.8209798408564499</v>
      </c>
      <c r="S156" s="3">
        <f t="shared" si="29"/>
        <v>104.65025587179848</v>
      </c>
      <c r="T156" s="3">
        <f t="shared" si="30"/>
        <v>2431.2964529095366</v>
      </c>
      <c r="U156" s="3">
        <f t="shared" si="20"/>
        <v>3416.4464737807912</v>
      </c>
      <c r="V156" s="3">
        <f t="shared" si="21"/>
        <v>0</v>
      </c>
      <c r="W156" s="3">
        <f t="shared" si="31"/>
        <v>310.70340237946743</v>
      </c>
      <c r="Y156" s="3">
        <f t="shared" si="32"/>
        <v>6270.1174295545416</v>
      </c>
      <c r="AA156" s="3">
        <f t="shared" si="33"/>
        <v>356.55146662770056</v>
      </c>
      <c r="AB156" s="3">
        <f t="shared" si="34"/>
        <v>18.882570445458441</v>
      </c>
      <c r="AD156" s="3">
        <f t="shared" si="35"/>
        <v>6.191535896614744E-6</v>
      </c>
    </row>
    <row r="157" spans="3:30" x14ac:dyDescent="0.3">
      <c r="C157" s="22">
        <v>125</v>
      </c>
      <c r="D157" s="22">
        <v>6190</v>
      </c>
      <c r="F157" s="3">
        <f t="shared" si="22"/>
        <v>835.69591818813512</v>
      </c>
      <c r="G157" s="3">
        <f t="shared" si="23"/>
        <v>137.79726002592093</v>
      </c>
      <c r="H157" s="3">
        <f t="shared" si="24"/>
        <v>0.55435900212059241</v>
      </c>
      <c r="I157" s="3">
        <f t="shared" si="25"/>
        <v>0.29004207773586188</v>
      </c>
      <c r="J157" s="3">
        <f t="shared" si="26"/>
        <v>-2.0701314661663601</v>
      </c>
      <c r="K157" s="3">
        <f t="shared" si="27"/>
        <v>4.8960401973410548</v>
      </c>
      <c r="L157" s="3" cm="1">
        <f t="array" ref="L157">lmb_2(F157)</f>
        <v>828.97167892149707</v>
      </c>
      <c r="M157" s="3" cm="1">
        <f t="array" ref="M157">lmb_2(G157)</f>
        <v>132.90760583210189</v>
      </c>
      <c r="N157" s="3" cm="1">
        <f t="array" ref="N157">lmb_2(H157)</f>
        <v>0.79003589719132039</v>
      </c>
      <c r="O157" s="3" cm="1">
        <f t="array" ref="O157">lmb_2(I157)</f>
        <v>0.67826269219805291</v>
      </c>
      <c r="P157" s="3" cm="1">
        <f t="array" ref="P157">lmb_2(J157)</f>
        <v>0.11271969054769077</v>
      </c>
      <c r="R157" s="3">
        <f t="shared" si="28"/>
        <v>1.777346636114298</v>
      </c>
      <c r="S157" s="3">
        <f t="shared" si="29"/>
        <v>102.09917076294408</v>
      </c>
      <c r="T157" s="3">
        <f t="shared" si="30"/>
        <v>2415.6492577978547</v>
      </c>
      <c r="U157" s="3">
        <f t="shared" si="20"/>
        <v>3429.978700512007</v>
      </c>
      <c r="V157" s="3">
        <f t="shared" si="21"/>
        <v>0</v>
      </c>
      <c r="W157" s="3">
        <f t="shared" si="31"/>
        <v>312.80584917285023</v>
      </c>
      <c r="Y157" s="3">
        <f t="shared" si="32"/>
        <v>6267.2063650791106</v>
      </c>
      <c r="AA157" s="3">
        <f t="shared" si="33"/>
        <v>5960.8228087289062</v>
      </c>
      <c r="AB157" s="3">
        <f t="shared" si="34"/>
        <v>-77.206365079110583</v>
      </c>
      <c r="AD157" s="3">
        <f t="shared" si="35"/>
        <v>2.5315726066809354E-5</v>
      </c>
    </row>
    <row r="158" spans="3:30" x14ac:dyDescent="0.3">
      <c r="C158" s="22">
        <v>126</v>
      </c>
      <c r="D158" s="22">
        <v>6155</v>
      </c>
      <c r="F158" s="3">
        <f t="shared" si="22"/>
        <v>849.10120240189872</v>
      </c>
      <c r="G158" s="3">
        <f t="shared" si="23"/>
        <v>139.99539380990515</v>
      </c>
      <c r="H158" s="3">
        <f t="shared" si="24"/>
        <v>0.5724727163145451</v>
      </c>
      <c r="I158" s="3">
        <f t="shared" si="25"/>
        <v>0.29495498567647221</v>
      </c>
      <c r="J158" s="3">
        <f t="shared" si="26"/>
        <v>-2.0698747313174164</v>
      </c>
      <c r="K158" s="3">
        <f t="shared" si="27"/>
        <v>4.6099678865951486</v>
      </c>
      <c r="L158" s="3" cm="1">
        <f t="array" ref="L158">lmb_2(F158)</f>
        <v>842.36099538391295</v>
      </c>
      <c r="M158" s="3" cm="1">
        <f t="array" ref="M158">lmb_2(G158)</f>
        <v>135.08945660936584</v>
      </c>
      <c r="N158" s="3" cm="1">
        <f t="array" ref="N158">lmb_2(H158)</f>
        <v>0.79805299290393827</v>
      </c>
      <c r="O158" s="3" cm="1">
        <f t="array" ref="O158">lmb_2(I158)</f>
        <v>0.68024995424997636</v>
      </c>
      <c r="P158" s="3" cm="1">
        <f t="array" ref="P158">lmb_2(J158)</f>
        <v>0.1127457007580379</v>
      </c>
      <c r="R158" s="3">
        <f t="shared" si="28"/>
        <v>1.7350974633360474</v>
      </c>
      <c r="S158" s="3">
        <f t="shared" si="29"/>
        <v>99.630404192242963</v>
      </c>
      <c r="T158" s="3">
        <f t="shared" si="30"/>
        <v>2399.7652283111825</v>
      </c>
      <c r="U158" s="3">
        <f t="shared" si="20"/>
        <v>3443.2409245224167</v>
      </c>
      <c r="V158" s="3">
        <f t="shared" si="21"/>
        <v>0</v>
      </c>
      <c r="W158" s="3">
        <f t="shared" si="31"/>
        <v>314.90829596623303</v>
      </c>
      <c r="Y158" s="3">
        <f t="shared" si="32"/>
        <v>6263.8899183420053</v>
      </c>
      <c r="AA158" s="3">
        <f t="shared" si="33"/>
        <v>11857.014316528588</v>
      </c>
      <c r="AB158" s="3">
        <f t="shared" si="34"/>
        <v>-108.88991834200533</v>
      </c>
      <c r="AD158" s="3">
        <f t="shared" si="35"/>
        <v>3.5704664263870338E-5</v>
      </c>
    </row>
    <row r="159" spans="3:30" x14ac:dyDescent="0.3">
      <c r="C159" s="22">
        <v>127</v>
      </c>
      <c r="D159" s="22">
        <v>6335</v>
      </c>
      <c r="F159" s="3">
        <f t="shared" si="22"/>
        <v>862.61330162931824</v>
      </c>
      <c r="G159" s="3">
        <f t="shared" si="23"/>
        <v>142.21104260412034</v>
      </c>
      <c r="H159" s="3">
        <f t="shared" si="24"/>
        <v>0.59073076289251336</v>
      </c>
      <c r="I159" s="3">
        <f t="shared" si="25"/>
        <v>0.29990704029390003</v>
      </c>
      <c r="J159" s="3">
        <f t="shared" si="26"/>
        <v>-2.069615950772465</v>
      </c>
      <c r="K159" s="3">
        <f t="shared" si="27"/>
        <v>4.3406105870985217</v>
      </c>
      <c r="L159" s="3" cm="1">
        <f t="array" ref="L159">lmb_2(F159)</f>
        <v>855.8572534312691</v>
      </c>
      <c r="M159" s="3" cm="1">
        <f t="array" ref="M159">lmb_2(G159)</f>
        <v>137.28895474075316</v>
      </c>
      <c r="N159" s="3" cm="1">
        <f t="array" ref="N159">lmb_2(H159)</f>
        <v>0.80617955331521574</v>
      </c>
      <c r="O159" s="3" cm="1">
        <f t="array" ref="O159">lmb_2(I159)</f>
        <v>0.68225655370981431</v>
      </c>
      <c r="P159" s="3" cm="1">
        <f t="array" ref="P159">lmb_2(J159)</f>
        <v>0.11277192367933535</v>
      </c>
      <c r="R159" s="3">
        <f t="shared" si="28"/>
        <v>1.6941778450217013</v>
      </c>
      <c r="S159" s="3">
        <f t="shared" si="29"/>
        <v>97.240662781426366</v>
      </c>
      <c r="T159" s="3">
        <f t="shared" si="30"/>
        <v>2383.6552831276554</v>
      </c>
      <c r="U159" s="3">
        <f t="shared" si="20"/>
        <v>3456.2333440386974</v>
      </c>
      <c r="V159" s="3">
        <f t="shared" si="21"/>
        <v>0</v>
      </c>
      <c r="W159" s="3">
        <f t="shared" si="31"/>
        <v>317.01074275961582</v>
      </c>
      <c r="Y159" s="3">
        <f t="shared" si="32"/>
        <v>6260.1748211395152</v>
      </c>
      <c r="AA159" s="3">
        <f t="shared" si="33"/>
        <v>5598.8073915035429</v>
      </c>
      <c r="AB159" s="3">
        <f t="shared" si="34"/>
        <v>74.825178860484812</v>
      </c>
      <c r="AD159" s="3">
        <f t="shared" si="35"/>
        <v>2.4534942539919786E-5</v>
      </c>
    </row>
    <row r="160" spans="3:30" x14ac:dyDescent="0.3">
      <c r="C160" s="22">
        <v>128</v>
      </c>
      <c r="D160" s="22">
        <v>6142</v>
      </c>
      <c r="F160" s="3">
        <f t="shared" si="22"/>
        <v>876.23221587039291</v>
      </c>
      <c r="G160" s="3">
        <f t="shared" si="23"/>
        <v>144.44420640856649</v>
      </c>
      <c r="H160" s="3">
        <f t="shared" si="24"/>
        <v>0.60913314185449741</v>
      </c>
      <c r="I160" s="3">
        <f t="shared" si="25"/>
        <v>0.3048982415881456</v>
      </c>
      <c r="J160" s="3">
        <f t="shared" si="26"/>
        <v>-2.0693551245315063</v>
      </c>
      <c r="K160" s="3">
        <f t="shared" si="27"/>
        <v>4.0869916520714362</v>
      </c>
      <c r="L160" s="3" cm="1">
        <f t="array" ref="L160">lmb_2(F160)</f>
        <v>869.4604510724331</v>
      </c>
      <c r="M160" s="3" cm="1">
        <f t="array" ref="M160">lmb_2(G160)</f>
        <v>139.50609809432271</v>
      </c>
      <c r="N160" s="3" cm="1">
        <f t="array" ref="N160">lmb_2(H160)</f>
        <v>0.81441650670203014</v>
      </c>
      <c r="O160" s="3" cm="1">
        <f t="array" ref="O160">lmb_2(I160)</f>
        <v>0.68428257171478835</v>
      </c>
      <c r="P160" s="3" cm="1">
        <f t="array" ref="P160">lmb_2(J160)</f>
        <v>0.11279835944243963</v>
      </c>
      <c r="R160" s="3">
        <f t="shared" si="28"/>
        <v>1.6545358579531679</v>
      </c>
      <c r="S160" s="3">
        <f t="shared" si="29"/>
        <v>94.926809874024826</v>
      </c>
      <c r="T160" s="3">
        <f t="shared" si="30"/>
        <v>2367.3302253861502</v>
      </c>
      <c r="U160" s="3">
        <f t="shared" ref="U160:U223" si="36">$I$18*(C160/$I$19)*($O$28+$O$28^2)/(O160+O160^2)</f>
        <v>3468.9561957608148</v>
      </c>
      <c r="V160" s="3">
        <f t="shared" ref="V160:V223" si="37">$J$18*(C160/$J$19)*($P$28+$P$28^2)/(P160+P160^2)</f>
        <v>0</v>
      </c>
      <c r="W160" s="3">
        <f t="shared" si="31"/>
        <v>319.11318955299862</v>
      </c>
      <c r="Y160" s="3">
        <f t="shared" si="32"/>
        <v>6256.0679480840136</v>
      </c>
      <c r="AA160" s="3">
        <f t="shared" si="33"/>
        <v>13011.49678009721</v>
      </c>
      <c r="AB160" s="3">
        <f t="shared" si="34"/>
        <v>-114.06794808401355</v>
      </c>
      <c r="AD160" s="3">
        <f t="shared" si="35"/>
        <v>3.7402524050173616E-5</v>
      </c>
    </row>
    <row r="161" spans="3:30" x14ac:dyDescent="0.3">
      <c r="C161" s="22">
        <v>129</v>
      </c>
      <c r="D161" s="22">
        <v>6193</v>
      </c>
      <c r="F161" s="3">
        <f t="shared" ref="F161:F224" si="38">$F$20/(1-$F$20)-LN((1-$F$20)/$F$20)+(C161/$F$19)^2/((1-$F$20)*(1+0.534156*$F$20^0.7917))</f>
        <v>889.95794512512327</v>
      </c>
      <c r="G161" s="3">
        <f t="shared" ref="G161:G224" si="39">$G$20/(1-$G$20)-LN((1-$G$20)/$G$20)+(C161/$G$19)^2/((1-$G$20)*(1+0.534156*$G$20^0.7917))</f>
        <v>146.6948852232436</v>
      </c>
      <c r="H161" s="3">
        <f t="shared" ref="H161:H224" si="40">$H$20/(1-$H$20)-LN((1-$H$20)/$H$20)+(C161/$H$19)^2/((1-$H$20)*(1+0.534156*$H$20^0.7917))</f>
        <v>0.62767985320049657</v>
      </c>
      <c r="I161" s="3">
        <f t="shared" ref="I161:I224" si="41">$I$20/(1-$I$20)-LN((1-$I$20)/$I$20)+(C161/$I$19)^2/((1-$I$20)*(1+0.534156*$I$20^0.7917))</f>
        <v>0.30992858955920871</v>
      </c>
      <c r="J161" s="3">
        <f t="shared" ref="J161:J224" si="42">$J$20/(1-$J$20)-LN((1-$J$20)/$J$20)+(C161/$J$19)^2/((1-$J$20)*(1+0.534156*$J$20^0.7917))</f>
        <v>-2.0690922525945399</v>
      </c>
      <c r="K161" s="3">
        <f t="shared" ref="K161:K224" si="43">$K$18*EXP(-$K$20*C161)</f>
        <v>3.8481914995436286</v>
      </c>
      <c r="L161" s="3" cm="1">
        <f t="array" ref="L161">lmb_2(F161)</f>
        <v>883.17058636288152</v>
      </c>
      <c r="M161" s="3" cm="1">
        <f t="array" ref="M161">lmb_2(G161)</f>
        <v>141.74088458895423</v>
      </c>
      <c r="N161" s="3" cm="1">
        <f t="array" ref="N161">lmb_2(H161)</f>
        <v>0.82276478016967514</v>
      </c>
      <c r="O161" s="3" cm="1">
        <f t="array" ref="O161">lmb_2(I161)</f>
        <v>0.68632808993558769</v>
      </c>
      <c r="P161" s="3" cm="1">
        <f t="array" ref="P161">lmb_2(J161)</f>
        <v>0.11282500817927742</v>
      </c>
      <c r="R161" s="3">
        <f t="shared" ref="R161:R224" si="44">$F$18*(C161/$F$19)*($L$28+$L$28^2)/(L161+L161^2)</f>
        <v>1.6161219945046814</v>
      </c>
      <c r="S161" s="3">
        <f t="shared" ref="S161:S224" si="45">$G$18*(C161/$G$19)*($M$28+$M$28^2)/(M161+M161^2)</f>
        <v>92.685856915698807</v>
      </c>
      <c r="T161" s="3">
        <f t="shared" ref="T161:T224" si="46">$H$18*(C161/$H$19)*($N$28+$N$28^2)/(N161+N161^2)</f>
        <v>2350.8007370683749</v>
      </c>
      <c r="U161" s="3">
        <f t="shared" si="36"/>
        <v>3481.4097545819768</v>
      </c>
      <c r="V161" s="3">
        <f t="shared" si="37"/>
        <v>0</v>
      </c>
      <c r="W161" s="3">
        <f t="shared" ref="W161:W224" si="47">$F$22+$G$22/$F$21*C161</f>
        <v>321.21563634638142</v>
      </c>
      <c r="Y161" s="3">
        <f t="shared" ref="Y161:Y224" si="48">SUM(R161:W161)+K161</f>
        <v>6251.5762984064813</v>
      </c>
      <c r="AA161" s="3">
        <f t="shared" ref="AA161:AA224" si="49">(D161-Y161)^2</f>
        <v>3431.1827350051472</v>
      </c>
      <c r="AB161" s="3">
        <f t="shared" ref="AB161:AB224" si="50">D161-Y161</f>
        <v>-58.576298406481328</v>
      </c>
      <c r="AD161" s="3">
        <f t="shared" ref="AD161:AD224" si="51">ABS(AB161/$AC$32)</f>
        <v>1.9206985368974267E-5</v>
      </c>
    </row>
    <row r="162" spans="3:30" x14ac:dyDescent="0.3">
      <c r="C162" s="22">
        <v>130</v>
      </c>
      <c r="D162" s="22">
        <v>6187</v>
      </c>
      <c r="F162" s="3">
        <f t="shared" si="38"/>
        <v>903.79048939350889</v>
      </c>
      <c r="G162" s="3">
        <f t="shared" si="39"/>
        <v>148.9630790481516</v>
      </c>
      <c r="H162" s="3">
        <f t="shared" si="40"/>
        <v>0.64637089693051153</v>
      </c>
      <c r="I162" s="3">
        <f t="shared" si="41"/>
        <v>0.31499808420708941</v>
      </c>
      <c r="J162" s="3">
        <f t="shared" si="42"/>
        <v>-2.0688273349615662</v>
      </c>
      <c r="K162" s="3">
        <f t="shared" si="43"/>
        <v>3.6233442780961673</v>
      </c>
      <c r="L162" s="3" cm="1">
        <f t="array" ref="L162">lmb_2(F162)</f>
        <v>896.98765740325507</v>
      </c>
      <c r="M162" s="3" cm="1">
        <f t="array" ref="M162">lmb_2(G162)</f>
        <v>143.99331219275996</v>
      </c>
      <c r="N162" s="3" cm="1">
        <f t="array" ref="N162">lmb_2(H162)</f>
        <v>0.8312252993961885</v>
      </c>
      <c r="O162" s="3" cm="1">
        <f t="array" ref="O162">lmb_2(I162)</f>
        <v>0.68839319057290127</v>
      </c>
      <c r="P162" s="3" cm="1">
        <f t="array" ref="P162">lmb_2(J162)</f>
        <v>0.11285187002284601</v>
      </c>
      <c r="R162" s="3">
        <f t="shared" si="44"/>
        <v>1.5788890324954816</v>
      </c>
      <c r="S162" s="3">
        <f t="shared" si="45"/>
        <v>90.514955371081058</v>
      </c>
      <c r="T162" s="3">
        <f t="shared" si="46"/>
        <v>2334.0773736286678</v>
      </c>
      <c r="U162" s="3">
        <f t="shared" si="36"/>
        <v>3493.5943333008577</v>
      </c>
      <c r="V162" s="3">
        <f t="shared" si="37"/>
        <v>0</v>
      </c>
      <c r="W162" s="3">
        <f t="shared" si="47"/>
        <v>323.31808313976421</v>
      </c>
      <c r="Y162" s="3">
        <f t="shared" si="48"/>
        <v>6246.7069787509618</v>
      </c>
      <c r="AA162" s="3">
        <f t="shared" si="49"/>
        <v>3564.9233115677985</v>
      </c>
      <c r="AB162" s="3">
        <f t="shared" si="50"/>
        <v>-59.706978750961753</v>
      </c>
      <c r="AD162" s="3">
        <f t="shared" si="51"/>
        <v>1.9577731923881521E-5</v>
      </c>
    </row>
    <row r="163" spans="3:30" x14ac:dyDescent="0.3">
      <c r="C163" s="22">
        <v>131</v>
      </c>
      <c r="D163" s="22">
        <v>6152</v>
      </c>
      <c r="F163" s="3">
        <f t="shared" si="38"/>
        <v>917.72984867555022</v>
      </c>
      <c r="G163" s="3">
        <f t="shared" si="39"/>
        <v>151.24878788329062</v>
      </c>
      <c r="H163" s="3">
        <f t="shared" si="40"/>
        <v>0.66520627304454183</v>
      </c>
      <c r="I163" s="3">
        <f t="shared" si="41"/>
        <v>0.32010672553178771</v>
      </c>
      <c r="J163" s="3">
        <f t="shared" si="42"/>
        <v>-2.0685603716325849</v>
      </c>
      <c r="K163" s="3">
        <f t="shared" si="43"/>
        <v>3.4116347274217564</v>
      </c>
      <c r="L163" s="3" cm="1">
        <f t="array" ref="L163">lmb_2(F163)</f>
        <v>910.9116623379731</v>
      </c>
      <c r="M163" s="3" cm="1">
        <f t="array" ref="M163">lmb_2(G163)</f>
        <v>146.26337892155715</v>
      </c>
      <c r="N163" s="3" cm="1">
        <f t="array" ref="N163">lmb_2(H163)</f>
        <v>0.83979898837709877</v>
      </c>
      <c r="O163" s="3" cm="1">
        <f t="array" ref="O163">lmb_2(I163)</f>
        <v>0.69047795635389597</v>
      </c>
      <c r="P163" s="3" cm="1">
        <f t="array" ref="P163">lmb_2(J163)</f>
        <v>0.11287894510721447</v>
      </c>
      <c r="R163" s="3">
        <f t="shared" si="44"/>
        <v>1.5427919129972243</v>
      </c>
      <c r="S163" s="3">
        <f t="shared" si="45"/>
        <v>88.411389139942983</v>
      </c>
      <c r="T163" s="3">
        <f t="shared" si="46"/>
        <v>2317.1705588725704</v>
      </c>
      <c r="U163" s="3">
        <f t="shared" si="36"/>
        <v>3505.5102823261741</v>
      </c>
      <c r="V163" s="3">
        <f t="shared" si="37"/>
        <v>0</v>
      </c>
      <c r="W163" s="3">
        <f t="shared" si="47"/>
        <v>325.42052993314701</v>
      </c>
      <c r="Y163" s="3">
        <f t="shared" si="48"/>
        <v>6241.467186912254</v>
      </c>
      <c r="AA163" s="3">
        <f t="shared" si="49"/>
        <v>8004.3775339921867</v>
      </c>
      <c r="AB163" s="3">
        <f t="shared" si="50"/>
        <v>-89.467186912253965</v>
      </c>
      <c r="AD163" s="3">
        <f t="shared" si="51"/>
        <v>2.9336011266919037E-5</v>
      </c>
    </row>
    <row r="164" spans="3:30" x14ac:dyDescent="0.3">
      <c r="C164" s="22">
        <v>132</v>
      </c>
      <c r="D164" s="22">
        <v>6430</v>
      </c>
      <c r="F164" s="3">
        <f t="shared" si="38"/>
        <v>931.7760229712469</v>
      </c>
      <c r="G164" s="3">
        <f t="shared" si="39"/>
        <v>153.55201172866055</v>
      </c>
      <c r="H164" s="3">
        <f t="shared" si="40"/>
        <v>0.68418598154258792</v>
      </c>
      <c r="I164" s="3">
        <f t="shared" si="41"/>
        <v>0.32525451353330365</v>
      </c>
      <c r="J164" s="3">
        <f t="shared" si="42"/>
        <v>-2.0682913626075958</v>
      </c>
      <c r="K164" s="3">
        <f t="shared" si="43"/>
        <v>3.2122952223203547</v>
      </c>
      <c r="L164" s="3" cm="1">
        <f t="array" ref="L164">lmb_2(F164)</f>
        <v>924.94259935389778</v>
      </c>
      <c r="M164" s="3" cm="1">
        <f t="array" ref="M164">lmb_2(G164)</f>
        <v>148.5510828373985</v>
      </c>
      <c r="N164" s="3" cm="1">
        <f t="array" ref="N164">lmb_2(H164)</f>
        <v>0.84848676917081856</v>
      </c>
      <c r="O164" s="3" cm="1">
        <f t="array" ref="O164">lmb_2(I164)</f>
        <v>0.69258247052863697</v>
      </c>
      <c r="P164" s="3" cm="1">
        <f t="array" ref="P164">lmb_2(J164)</f>
        <v>0.1129062335675243</v>
      </c>
      <c r="R164" s="3">
        <f t="shared" si="44"/>
        <v>1.5077876255532157</v>
      </c>
      <c r="S164" s="3">
        <f t="shared" si="45"/>
        <v>86.372567438332027</v>
      </c>
      <c r="T164" s="3">
        <f t="shared" si="46"/>
        <v>2300.0905800848495</v>
      </c>
      <c r="U164" s="3">
        <f t="shared" si="36"/>
        <v>3517.1579893737717</v>
      </c>
      <c r="V164" s="3">
        <f t="shared" si="37"/>
        <v>0</v>
      </c>
      <c r="W164" s="3">
        <f t="shared" si="47"/>
        <v>327.52297672652981</v>
      </c>
      <c r="Y164" s="3">
        <f t="shared" si="48"/>
        <v>6235.8641964713579</v>
      </c>
      <c r="AA164" s="3">
        <f t="shared" si="49"/>
        <v>37688.710211711528</v>
      </c>
      <c r="AB164" s="3">
        <f t="shared" si="50"/>
        <v>194.1358035286421</v>
      </c>
      <c r="AD164" s="3">
        <f t="shared" si="51"/>
        <v>6.3656523874101829E-5</v>
      </c>
    </row>
    <row r="165" spans="3:30" x14ac:dyDescent="0.3">
      <c r="C165" s="22">
        <v>133</v>
      </c>
      <c r="D165" s="22">
        <v>6122</v>
      </c>
      <c r="F165" s="3">
        <f t="shared" si="38"/>
        <v>945.92901228059918</v>
      </c>
      <c r="G165" s="3">
        <f t="shared" si="39"/>
        <v>155.87275058426147</v>
      </c>
      <c r="H165" s="3">
        <f t="shared" si="40"/>
        <v>0.70331002242464935</v>
      </c>
      <c r="I165" s="3">
        <f t="shared" si="41"/>
        <v>0.33044144821163718</v>
      </c>
      <c r="J165" s="3">
        <f t="shared" si="42"/>
        <v>-2.0680203078865995</v>
      </c>
      <c r="K165" s="3">
        <f t="shared" si="43"/>
        <v>3.0246029894121551</v>
      </c>
      <c r="L165" s="3" cm="1">
        <f t="array" ref="L165">lmb_2(F165)</f>
        <v>939.0804666790508</v>
      </c>
      <c r="M165" s="3" cm="1">
        <f t="array" ref="M165">lmb_2(G165)</f>
        <v>150.85642204715847</v>
      </c>
      <c r="N165" s="3" cm="1">
        <f t="array" ref="N165">lmb_2(H165)</f>
        <v>0.85728956164490622</v>
      </c>
      <c r="O165" s="3" cm="1">
        <f t="array" ref="O165">lmb_2(I165)</f>
        <v>0.69470681686645419</v>
      </c>
      <c r="P165" s="3" cm="1">
        <f t="array" ref="P165">lmb_2(J165)</f>
        <v>0.11293373553999043</v>
      </c>
      <c r="R165" s="3">
        <f t="shared" si="44"/>
        <v>1.4738351003073848</v>
      </c>
      <c r="S165" s="3">
        <f t="shared" si="45"/>
        <v>84.396018112925205</v>
      </c>
      <c r="T165" s="3">
        <f t="shared" si="46"/>
        <v>2282.8475834072706</v>
      </c>
      <c r="U165" s="3">
        <f t="shared" si="36"/>
        <v>3528.5378791563394</v>
      </c>
      <c r="V165" s="3">
        <f t="shared" si="37"/>
        <v>0</v>
      </c>
      <c r="W165" s="3">
        <f t="shared" si="47"/>
        <v>329.6254235199126</v>
      </c>
      <c r="Y165" s="3">
        <f t="shared" si="48"/>
        <v>6229.905342286168</v>
      </c>
      <c r="AA165" s="3">
        <f t="shared" si="49"/>
        <v>11643.562893895072</v>
      </c>
      <c r="AB165" s="3">
        <f t="shared" si="50"/>
        <v>-107.90534228616798</v>
      </c>
      <c r="AD165" s="3">
        <f t="shared" si="51"/>
        <v>3.5381824849063305E-5</v>
      </c>
    </row>
    <row r="166" spans="3:30" x14ac:dyDescent="0.3">
      <c r="C166" s="22">
        <v>134</v>
      </c>
      <c r="D166" s="22">
        <v>6153</v>
      </c>
      <c r="F166" s="3">
        <f t="shared" si="38"/>
        <v>960.18881660360694</v>
      </c>
      <c r="G166" s="3">
        <f t="shared" si="39"/>
        <v>158.21100445009333</v>
      </c>
      <c r="H166" s="3">
        <f t="shared" si="40"/>
        <v>0.72257839569072702</v>
      </c>
      <c r="I166" s="3">
        <f t="shared" si="41"/>
        <v>0.33566752956678847</v>
      </c>
      <c r="J166" s="3">
        <f t="shared" si="42"/>
        <v>-2.0677472074695959</v>
      </c>
      <c r="K166" s="3">
        <f t="shared" si="43"/>
        <v>2.8478774864761283</v>
      </c>
      <c r="L166" s="3" cm="1">
        <f t="array" ref="L166">lmb_2(F166)</f>
        <v>953.32526258137705</v>
      </c>
      <c r="M166" s="3" cm="1">
        <f t="array" ref="M166">lmb_2(G166)</f>
        <v>153.1793947011723</v>
      </c>
      <c r="N166" s="3" cm="1">
        <f t="array" ref="N166">lmb_2(H166)</f>
        <v>0.86620828322342081</v>
      </c>
      <c r="O166" s="3" cm="1">
        <f t="array" ref="O166">lmb_2(I166)</f>
        <v>0.69685107965225168</v>
      </c>
      <c r="P166" s="3" cm="1">
        <f t="array" ref="P166">lmb_2(J166)</f>
        <v>0.11296145116190191</v>
      </c>
      <c r="R166" s="3">
        <f t="shared" si="44"/>
        <v>1.4408951065784543</v>
      </c>
      <c r="S166" s="3">
        <f t="shared" si="45"/>
        <v>82.479381359230189</v>
      </c>
      <c r="T166" s="3">
        <f t="shared" si="46"/>
        <v>2265.4515694660608</v>
      </c>
      <c r="U166" s="3">
        <f t="shared" si="36"/>
        <v>3539.6504130658941</v>
      </c>
      <c r="V166" s="3">
        <f t="shared" si="37"/>
        <v>0</v>
      </c>
      <c r="W166" s="3">
        <f t="shared" si="47"/>
        <v>331.72787031329545</v>
      </c>
      <c r="Y166" s="3">
        <f t="shared" si="48"/>
        <v>6223.5980067975352</v>
      </c>
      <c r="AA166" s="3">
        <f t="shared" si="49"/>
        <v>4984.0785637848212</v>
      </c>
      <c r="AB166" s="3">
        <f t="shared" si="50"/>
        <v>-70.598006797535163</v>
      </c>
      <c r="AD166" s="3">
        <f t="shared" si="51"/>
        <v>2.314886601794845E-5</v>
      </c>
    </row>
    <row r="167" spans="3:30" x14ac:dyDescent="0.3">
      <c r="C167" s="22">
        <v>135</v>
      </c>
      <c r="D167" s="22">
        <v>6246</v>
      </c>
      <c r="F167" s="3">
        <f t="shared" si="38"/>
        <v>974.55543594026994</v>
      </c>
      <c r="G167" s="3">
        <f t="shared" si="39"/>
        <v>160.56677332615607</v>
      </c>
      <c r="H167" s="3">
        <f t="shared" si="40"/>
        <v>0.74199110134081958</v>
      </c>
      <c r="I167" s="3">
        <f t="shared" si="41"/>
        <v>0.34093275759875724</v>
      </c>
      <c r="J167" s="3">
        <f t="shared" si="42"/>
        <v>-2.0674720613565842</v>
      </c>
      <c r="K167" s="3">
        <f t="shared" si="43"/>
        <v>2.6814779349120035</v>
      </c>
      <c r="L167" s="3" cm="1">
        <f t="array" ref="L167">lmb_2(F167)</f>
        <v>967.67698536755472</v>
      </c>
      <c r="M167" s="3" cm="1">
        <f t="array" ref="M167">lmb_2(G167)</f>
        <v>155.51999899192589</v>
      </c>
      <c r="N167" s="3" cm="1">
        <f t="array" ref="N167">lmb_2(H167)</f>
        <v>0.87524384863559379</v>
      </c>
      <c r="O167" s="3" cm="1">
        <f t="array" ref="O167">lmb_2(I167)</f>
        <v>0.6990153436827623</v>
      </c>
      <c r="P167" s="3" cm="1">
        <f t="array" ref="P167">lmb_2(J167)</f>
        <v>0.11298938057162311</v>
      </c>
      <c r="R167" s="3">
        <f t="shared" si="44"/>
        <v>1.4089301574491917</v>
      </c>
      <c r="S167" s="3">
        <f t="shared" si="45"/>
        <v>80.62040381645393</v>
      </c>
      <c r="T167" s="3">
        <f t="shared" si="46"/>
        <v>2247.9123892486191</v>
      </c>
      <c r="U167" s="3">
        <f t="shared" si="36"/>
        <v>3550.4960888491546</v>
      </c>
      <c r="V167" s="3">
        <f t="shared" si="37"/>
        <v>0</v>
      </c>
      <c r="W167" s="3">
        <f t="shared" si="47"/>
        <v>333.83031710667825</v>
      </c>
      <c r="Y167" s="3">
        <f t="shared" si="48"/>
        <v>6216.949607113268</v>
      </c>
      <c r="AA167" s="3">
        <f t="shared" si="49"/>
        <v>843.92532687348739</v>
      </c>
      <c r="AB167" s="3">
        <f t="shared" si="50"/>
        <v>29.05039288673197</v>
      </c>
      <c r="AD167" s="3">
        <f t="shared" si="51"/>
        <v>9.525533130592576E-6</v>
      </c>
    </row>
    <row r="168" spans="3:30" x14ac:dyDescent="0.3">
      <c r="C168" s="22">
        <v>136</v>
      </c>
      <c r="D168" s="22">
        <v>6233</v>
      </c>
      <c r="F168" s="3">
        <f t="shared" si="38"/>
        <v>989.02887029058866</v>
      </c>
      <c r="G168" s="3">
        <f t="shared" si="39"/>
        <v>162.94005721244983</v>
      </c>
      <c r="H168" s="3">
        <f t="shared" si="40"/>
        <v>0.76154813937492793</v>
      </c>
      <c r="I168" s="3">
        <f t="shared" si="41"/>
        <v>0.3462371323075436</v>
      </c>
      <c r="J168" s="3">
        <f t="shared" si="42"/>
        <v>-2.0671948695475653</v>
      </c>
      <c r="K168" s="3">
        <f t="shared" si="43"/>
        <v>2.5248009963788918</v>
      </c>
      <c r="L168" s="3" cm="1">
        <f t="array" ref="L168">lmb_2(F168)</f>
        <v>982.1356333818502</v>
      </c>
      <c r="M168" s="3" cm="1">
        <f t="array" ref="M168">lmb_2(G168)</f>
        <v>157.87823315279459</v>
      </c>
      <c r="N168" s="3" cm="1">
        <f t="array" ref="N168">lmb_2(H168)</f>
        <v>0.88439716966604465</v>
      </c>
      <c r="O168" s="3" cm="1">
        <f t="array" ref="O168">lmb_2(I168)</f>
        <v>0.70119969426274309</v>
      </c>
      <c r="P168" s="3" cm="1">
        <f t="array" ref="P168">lmb_2(J168)</f>
        <v>0.11301752390859422</v>
      </c>
      <c r="R168" s="3">
        <f t="shared" si="44"/>
        <v>1.3779044199723034</v>
      </c>
      <c r="S168" s="3">
        <f t="shared" si="45"/>
        <v>78.816933013872045</v>
      </c>
      <c r="T168" s="3">
        <f t="shared" si="46"/>
        <v>2230.2397402286738</v>
      </c>
      <c r="U168" s="3">
        <f t="shared" si="36"/>
        <v>3561.0754402759821</v>
      </c>
      <c r="V168" s="3">
        <f t="shared" si="37"/>
        <v>0</v>
      </c>
      <c r="W168" s="3">
        <f t="shared" si="47"/>
        <v>335.93276390006105</v>
      </c>
      <c r="Y168" s="3">
        <f t="shared" si="48"/>
        <v>6209.9675828349409</v>
      </c>
      <c r="AA168" s="3">
        <f t="shared" si="49"/>
        <v>530.49224046530844</v>
      </c>
      <c r="AB168" s="3">
        <f t="shared" si="50"/>
        <v>23.032417165059087</v>
      </c>
      <c r="AD168" s="3">
        <f t="shared" si="51"/>
        <v>7.552257679916028E-6</v>
      </c>
    </row>
    <row r="169" spans="3:30" x14ac:dyDescent="0.3">
      <c r="C169" s="22">
        <v>137</v>
      </c>
      <c r="D169" s="22">
        <v>6282</v>
      </c>
      <c r="F169" s="3">
        <f t="shared" si="38"/>
        <v>1003.6091196545628</v>
      </c>
      <c r="G169" s="3">
        <f t="shared" si="39"/>
        <v>165.33085610897453</v>
      </c>
      <c r="H169" s="3">
        <f t="shared" si="40"/>
        <v>0.78124950979305163</v>
      </c>
      <c r="I169" s="3">
        <f t="shared" si="41"/>
        <v>0.35158065369314756</v>
      </c>
      <c r="J169" s="3">
        <f t="shared" si="42"/>
        <v>-2.066915632042539</v>
      </c>
      <c r="K169" s="3">
        <f t="shared" si="43"/>
        <v>2.3772785851862834</v>
      </c>
      <c r="L169" s="3" cm="1">
        <f t="array" ref="L169">lmb_2(F169)</f>
        <v>996.70120500501309</v>
      </c>
      <c r="M169" s="3" cm="1">
        <f t="array" ref="M169">lmb_2(G169)</f>
        <v>160.25409545682746</v>
      </c>
      <c r="N169" s="3" cm="1">
        <f t="array" ref="N169">lmb_2(H169)</f>
        <v>0.8936691549067538</v>
      </c>
      <c r="O169" s="3" cm="1">
        <f t="array" ref="O169">lmb_2(I169)</f>
        <v>0.7034042172011179</v>
      </c>
      <c r="P169" s="3" cm="1">
        <f t="array" ref="P169">lmb_2(J169)</f>
        <v>0.11304588131333222</v>
      </c>
      <c r="R169" s="3">
        <f t="shared" si="44"/>
        <v>1.3477836306236484</v>
      </c>
      <c r="S169" s="3">
        <f t="shared" si="45"/>
        <v>77.066912145382702</v>
      </c>
      <c r="T169" s="3">
        <f t="shared" si="46"/>
        <v>2212.4431627387726</v>
      </c>
      <c r="U169" s="3">
        <f t="shared" si="36"/>
        <v>3571.3890368009766</v>
      </c>
      <c r="V169" s="3">
        <f t="shared" si="37"/>
        <v>0</v>
      </c>
      <c r="W169" s="3">
        <f t="shared" si="47"/>
        <v>338.03521069344384</v>
      </c>
      <c r="Y169" s="3">
        <f t="shared" si="48"/>
        <v>6202.6593845943853</v>
      </c>
      <c r="AA169" s="3">
        <f t="shared" si="49"/>
        <v>6294.9332529416643</v>
      </c>
      <c r="AB169" s="3">
        <f t="shared" si="50"/>
        <v>79.340615405614699</v>
      </c>
      <c r="AD169" s="3">
        <f t="shared" si="51"/>
        <v>2.601554008562003E-5</v>
      </c>
    </row>
    <row r="170" spans="3:30" x14ac:dyDescent="0.3">
      <c r="C170" s="22">
        <v>138</v>
      </c>
      <c r="D170" s="22">
        <v>6079</v>
      </c>
      <c r="F170" s="3">
        <f t="shared" si="38"/>
        <v>1018.2961840321926</v>
      </c>
      <c r="G170" s="3">
        <f t="shared" si="39"/>
        <v>167.73917001573017</v>
      </c>
      <c r="H170" s="3">
        <f t="shared" si="40"/>
        <v>0.80109521259519068</v>
      </c>
      <c r="I170" s="3">
        <f t="shared" si="41"/>
        <v>0.35696332175556916</v>
      </c>
      <c r="J170" s="3">
        <f t="shared" si="42"/>
        <v>-2.0666343488415051</v>
      </c>
      <c r="K170" s="3">
        <f t="shared" si="43"/>
        <v>2.2383758085055803</v>
      </c>
      <c r="L170" s="3" cm="1">
        <f t="array" ref="L170">lmb_2(F170)</f>
        <v>1011.3736986532133</v>
      </c>
      <c r="M170" s="3" cm="1">
        <f t="array" ref="M170">lmb_2(G170)</f>
        <v>162.64758421557664</v>
      </c>
      <c r="N170" s="3" cm="1">
        <f t="array" ref="N170">lmb_2(H170)</f>
        <v>0.90306070951102235</v>
      </c>
      <c r="O170" s="3" cm="1">
        <f t="array" ref="O170">lmb_2(I170)</f>
        <v>0.70562899880705987</v>
      </c>
      <c r="P170" s="3" cm="1">
        <f t="array" ref="P170">lmb_2(J170)</f>
        <v>0.11307445292743219</v>
      </c>
      <c r="R170" s="3">
        <f t="shared" si="44"/>
        <v>1.3185350156602218</v>
      </c>
      <c r="S170" s="3">
        <f t="shared" si="45"/>
        <v>75.368375150628751</v>
      </c>
      <c r="T170" s="3">
        <f t="shared" si="46"/>
        <v>2194.5320365885873</v>
      </c>
      <c r="U170" s="3">
        <f t="shared" si="36"/>
        <v>3581.4374832184099</v>
      </c>
      <c r="V170" s="3">
        <f t="shared" si="37"/>
        <v>0</v>
      </c>
      <c r="W170" s="3">
        <f t="shared" si="47"/>
        <v>340.13765748682664</v>
      </c>
      <c r="Y170" s="3">
        <f t="shared" si="48"/>
        <v>6195.0324632686179</v>
      </c>
      <c r="AA170" s="3">
        <f t="shared" si="49"/>
        <v>13463.532532183162</v>
      </c>
      <c r="AB170" s="3">
        <f t="shared" si="50"/>
        <v>-116.0324632686179</v>
      </c>
      <c r="AD170" s="3">
        <f t="shared" si="51"/>
        <v>3.8046682445878056E-5</v>
      </c>
    </row>
    <row r="171" spans="3:30" x14ac:dyDescent="0.3">
      <c r="C171" s="22">
        <v>139</v>
      </c>
      <c r="D171" s="22">
        <v>6269</v>
      </c>
      <c r="F171" s="3">
        <f t="shared" si="38"/>
        <v>1033.0900634234774</v>
      </c>
      <c r="G171" s="3">
        <f t="shared" si="39"/>
        <v>170.16499893271674</v>
      </c>
      <c r="H171" s="3">
        <f t="shared" si="40"/>
        <v>0.82108524778134573</v>
      </c>
      <c r="I171" s="3">
        <f t="shared" si="41"/>
        <v>0.36238513649480841</v>
      </c>
      <c r="J171" s="3">
        <f t="shared" si="42"/>
        <v>-2.0663510199444635</v>
      </c>
      <c r="K171" s="3">
        <f t="shared" si="43"/>
        <v>2.1075890269336699</v>
      </c>
      <c r="L171" s="3" cm="1">
        <f t="array" ref="L171">lmb_2(F171)</f>
        <v>1026.1531127770149</v>
      </c>
      <c r="M171" s="3" cm="1">
        <f t="array" ref="M171">lmb_2(G171)</f>
        <v>165.0586977779692</v>
      </c>
      <c r="N171" s="3" cm="1">
        <f t="array" ref="N171">lmb_2(H171)</f>
        <v>0.91257273494963065</v>
      </c>
      <c r="O171" s="3" cm="1">
        <f t="array" ref="O171">lmb_2(I171)</f>
        <v>0.70787412588602006</v>
      </c>
      <c r="P171" s="3" cm="1">
        <f t="array" ref="P171">lmb_2(J171)</f>
        <v>0.11310323889356763</v>
      </c>
      <c r="R171" s="3">
        <f t="shared" si="44"/>
        <v>1.2901272160650568</v>
      </c>
      <c r="S171" s="3">
        <f t="shared" si="45"/>
        <v>73.719442082640285</v>
      </c>
      <c r="T171" s="3">
        <f t="shared" si="46"/>
        <v>2176.5155779272427</v>
      </c>
      <c r="U171" s="3">
        <f t="shared" si="36"/>
        <v>3591.2214193106101</v>
      </c>
      <c r="V171" s="3">
        <f t="shared" si="37"/>
        <v>0</v>
      </c>
      <c r="W171" s="3">
        <f t="shared" si="47"/>
        <v>342.24010428020944</v>
      </c>
      <c r="Y171" s="3">
        <f t="shared" si="48"/>
        <v>6187.0942598437014</v>
      </c>
      <c r="AA171" s="3">
        <f t="shared" si="49"/>
        <v>6708.5502705511108</v>
      </c>
      <c r="AB171" s="3">
        <f t="shared" si="50"/>
        <v>81.905740156298634</v>
      </c>
      <c r="AD171" s="3">
        <f t="shared" si="51"/>
        <v>2.6856636482904991E-5</v>
      </c>
    </row>
    <row r="172" spans="3:30" x14ac:dyDescent="0.3">
      <c r="C172" s="22">
        <v>140</v>
      </c>
      <c r="D172" s="22">
        <v>6199</v>
      </c>
      <c r="F172" s="3">
        <f t="shared" si="38"/>
        <v>1047.9907578284183</v>
      </c>
      <c r="G172" s="3">
        <f t="shared" si="39"/>
        <v>172.60834285993428</v>
      </c>
      <c r="H172" s="3">
        <f t="shared" si="40"/>
        <v>0.84121961535151679</v>
      </c>
      <c r="I172" s="3">
        <f t="shared" si="41"/>
        <v>0.36784609791086531</v>
      </c>
      <c r="J172" s="3">
        <f t="shared" si="42"/>
        <v>-2.0660656453514146</v>
      </c>
      <c r="K172" s="3">
        <f t="shared" si="43"/>
        <v>1.9844440283764531</v>
      </c>
      <c r="L172" s="3" cm="1">
        <f t="array" ref="L172">lmb_2(F172)</f>
        <v>1041.0394458603898</v>
      </c>
      <c r="M172" s="3" cm="1">
        <f t="array" ref="M172">lmb_2(G172)</f>
        <v>167.48743452921914</v>
      </c>
      <c r="N172" s="3" cm="1">
        <f t="array" ref="N172">lmb_2(H172)</f>
        <v>0.92220612876941233</v>
      </c>
      <c r="O172" s="3" cm="1">
        <f t="array" ref="O172">lmb_2(I172)</f>
        <v>0.7101396857356973</v>
      </c>
      <c r="P172" s="3" cm="1">
        <f t="array" ref="P172">lmb_2(J172)</f>
        <v>0.11313223935549166</v>
      </c>
      <c r="R172" s="3">
        <f t="shared" si="44"/>
        <v>1.2625302167838861</v>
      </c>
      <c r="S172" s="3">
        <f t="shared" si="45"/>
        <v>72.118314743392659</v>
      </c>
      <c r="T172" s="3">
        <f t="shared" si="46"/>
        <v>2158.4028363475286</v>
      </c>
      <c r="U172" s="3">
        <f t="shared" si="36"/>
        <v>3600.7415194899645</v>
      </c>
      <c r="V172" s="3">
        <f t="shared" si="37"/>
        <v>0</v>
      </c>
      <c r="W172" s="3">
        <f t="shared" si="47"/>
        <v>344.34255107359223</v>
      </c>
      <c r="Y172" s="3">
        <f t="shared" si="48"/>
        <v>6178.8521958996389</v>
      </c>
      <c r="AA172" s="3">
        <f t="shared" si="49"/>
        <v>405.93401006652755</v>
      </c>
      <c r="AB172" s="3">
        <f t="shared" si="50"/>
        <v>20.1478041003611</v>
      </c>
      <c r="AD172" s="3">
        <f t="shared" si="51"/>
        <v>6.6064020619264174E-6</v>
      </c>
    </row>
    <row r="173" spans="3:30" x14ac:dyDescent="0.3">
      <c r="C173" s="22">
        <v>141</v>
      </c>
      <c r="D173" s="22">
        <v>6210</v>
      </c>
      <c r="F173" s="3">
        <f t="shared" si="38"/>
        <v>1062.9982672470144</v>
      </c>
      <c r="G173" s="3">
        <f t="shared" si="39"/>
        <v>175.06920179738279</v>
      </c>
      <c r="H173" s="3">
        <f t="shared" si="40"/>
        <v>0.86149831530570253</v>
      </c>
      <c r="I173" s="3">
        <f t="shared" si="41"/>
        <v>0.37334620600373974</v>
      </c>
      <c r="J173" s="3">
        <f t="shared" si="42"/>
        <v>-2.065778225062358</v>
      </c>
      <c r="K173" s="3">
        <f t="shared" si="43"/>
        <v>1.868494308631121</v>
      </c>
      <c r="L173" s="3" cm="1">
        <f t="array" ref="L173">lmb_2(F173)</f>
        <v>1056.0326964197623</v>
      </c>
      <c r="M173" s="3" cm="1">
        <f t="array" ref="M173">lmb_2(G173)</f>
        <v>169.9337928897788</v>
      </c>
      <c r="N173" s="3" cm="1">
        <f t="array" ref="N173">lmb_2(H173)</f>
        <v>0.93196178435445776</v>
      </c>
      <c r="O173" s="3" cm="1">
        <f t="array" ref="O173">lmb_2(I173)</f>
        <v>0.71242576614195074</v>
      </c>
      <c r="P173" s="3" cm="1">
        <f t="array" ref="P173">lmb_2(J173)</f>
        <v>0.11316145445803798</v>
      </c>
      <c r="R173" s="3">
        <f t="shared" si="44"/>
        <v>1.2357152799794051</v>
      </c>
      <c r="S173" s="3">
        <f t="shared" si="45"/>
        <v>70.563272570003775</v>
      </c>
      <c r="T173" s="3">
        <f t="shared" si="46"/>
        <v>2140.2026922295368</v>
      </c>
      <c r="U173" s="3">
        <f t="shared" si="36"/>
        <v>3609.9984924346782</v>
      </c>
      <c r="V173" s="3">
        <f t="shared" si="37"/>
        <v>0</v>
      </c>
      <c r="W173" s="3">
        <f t="shared" si="47"/>
        <v>346.44499786697503</v>
      </c>
      <c r="Y173" s="3">
        <f t="shared" si="48"/>
        <v>6170.3136646898047</v>
      </c>
      <c r="AA173" s="3">
        <f t="shared" si="49"/>
        <v>1575.0052103532557</v>
      </c>
      <c r="AB173" s="3">
        <f t="shared" si="50"/>
        <v>39.686335310195318</v>
      </c>
      <c r="AD173" s="3">
        <f t="shared" si="51"/>
        <v>1.3013025445233435E-5</v>
      </c>
    </row>
    <row r="174" spans="3:30" x14ac:dyDescent="0.3">
      <c r="C174" s="22">
        <v>142</v>
      </c>
      <c r="D174" s="22">
        <v>6141</v>
      </c>
      <c r="F174" s="3">
        <f t="shared" si="38"/>
        <v>1078.112591679266</v>
      </c>
      <c r="G174" s="3">
        <f t="shared" si="39"/>
        <v>177.54757574506223</v>
      </c>
      <c r="H174" s="3">
        <f t="shared" si="40"/>
        <v>0.88192134764390406</v>
      </c>
      <c r="I174" s="3">
        <f t="shared" si="41"/>
        <v>0.37888546077343177</v>
      </c>
      <c r="J174" s="3">
        <f t="shared" si="42"/>
        <v>-2.0654887590772941</v>
      </c>
      <c r="K174" s="3">
        <f t="shared" si="43"/>
        <v>1.7593194524328453</v>
      </c>
      <c r="L174" s="3" cm="1">
        <f t="array" ref="L174">lmb_2(F174)</f>
        <v>1071.1328630030901</v>
      </c>
      <c r="M174" s="3" cm="1">
        <f t="array" ref="M174">lmb_2(G174)</f>
        <v>172.39777131432729</v>
      </c>
      <c r="N174" s="3" cm="1">
        <f t="array" ref="N174">lmb_2(H174)</f>
        <v>0.9418405906901568</v>
      </c>
      <c r="O174" s="3" cm="1">
        <f t="array" ref="O174">lmb_2(I174)</f>
        <v>0.71473245537465835</v>
      </c>
      <c r="P174" s="3" cm="1">
        <f t="array" ref="P174">lmb_2(J174)</f>
        <v>0.11319088434712156</v>
      </c>
      <c r="R174" s="3">
        <f t="shared" si="44"/>
        <v>1.2096548820482589</v>
      </c>
      <c r="S174" s="3">
        <f t="shared" si="45"/>
        <v>69.052668755521552</v>
      </c>
      <c r="T174" s="3">
        <f t="shared" si="46"/>
        <v>2121.9238543209772</v>
      </c>
      <c r="U174" s="3">
        <f t="shared" si="36"/>
        <v>3618.9930807184187</v>
      </c>
      <c r="V174" s="3">
        <f t="shared" si="37"/>
        <v>0</v>
      </c>
      <c r="W174" s="3">
        <f t="shared" si="47"/>
        <v>348.54744466035783</v>
      </c>
      <c r="Y174" s="3">
        <f t="shared" si="48"/>
        <v>6161.4860227897561</v>
      </c>
      <c r="AA174" s="3">
        <f t="shared" si="49"/>
        <v>419.67712974240771</v>
      </c>
      <c r="AB174" s="3">
        <f t="shared" si="50"/>
        <v>-20.486022789756134</v>
      </c>
      <c r="AD174" s="3">
        <f t="shared" si="51"/>
        <v>6.7173029142412047E-6</v>
      </c>
    </row>
    <row r="175" spans="3:30" x14ac:dyDescent="0.3">
      <c r="C175" s="22">
        <v>143</v>
      </c>
      <c r="D175" s="22">
        <v>6053</v>
      </c>
      <c r="F175" s="3">
        <f t="shared" si="38"/>
        <v>1093.3337311251728</v>
      </c>
      <c r="G175" s="3">
        <f t="shared" si="39"/>
        <v>180.04346470297259</v>
      </c>
      <c r="H175" s="3">
        <f t="shared" si="40"/>
        <v>0.90248871236612116</v>
      </c>
      <c r="I175" s="3">
        <f t="shared" si="41"/>
        <v>0.38446386221994144</v>
      </c>
      <c r="J175" s="3">
        <f t="shared" si="42"/>
        <v>-2.0651972473962226</v>
      </c>
      <c r="K175" s="3">
        <f t="shared" si="43"/>
        <v>1.6565236090958109</v>
      </c>
      <c r="L175" s="3" cm="1">
        <f t="array" ref="L175">lmb_2(F175)</f>
        <v>1086.3399441889783</v>
      </c>
      <c r="M175" s="3" cm="1">
        <f t="array" ref="M175">lmb_2(G175)</f>
        <v>174.87936829079473</v>
      </c>
      <c r="N175" s="3" cm="1">
        <f t="array" ref="N175">lmb_2(H175)</f>
        <v>0.95184343213028189</v>
      </c>
      <c r="O175" s="3" cm="1">
        <f t="array" ref="O175">lmb_2(I175)</f>
        <v>0.71705984218351471</v>
      </c>
      <c r="P175" s="3" cm="1">
        <f t="array" ref="P175">lmb_2(J175)</f>
        <v>0.11322052916973996</v>
      </c>
      <c r="R175" s="3">
        <f t="shared" si="44"/>
        <v>1.1843226541637395</v>
      </c>
      <c r="S175" s="3">
        <f t="shared" si="45"/>
        <v>67.584926589383883</v>
      </c>
      <c r="T175" s="3">
        <f t="shared" si="46"/>
        <v>2103.5748575511439</v>
      </c>
      <c r="U175" s="3">
        <f t="shared" si="36"/>
        <v>3627.726060434024</v>
      </c>
      <c r="V175" s="3">
        <f t="shared" si="37"/>
        <v>0</v>
      </c>
      <c r="W175" s="3">
        <f t="shared" si="47"/>
        <v>350.64989145374062</v>
      </c>
      <c r="Y175" s="3">
        <f t="shared" si="48"/>
        <v>6152.376582291552</v>
      </c>
      <c r="AA175" s="3">
        <f t="shared" si="49"/>
        <v>9875.7051079496141</v>
      </c>
      <c r="AB175" s="3">
        <f t="shared" si="50"/>
        <v>-99.37658229155204</v>
      </c>
      <c r="AD175" s="3">
        <f t="shared" si="51"/>
        <v>3.2585271074098993E-5</v>
      </c>
    </row>
    <row r="176" spans="3:30" x14ac:dyDescent="0.3">
      <c r="C176" s="22">
        <v>144</v>
      </c>
      <c r="D176" s="22">
        <v>6127</v>
      </c>
      <c r="F176" s="3">
        <f t="shared" si="38"/>
        <v>1108.6616855847353</v>
      </c>
      <c r="G176" s="3">
        <f t="shared" si="39"/>
        <v>182.55686867111393</v>
      </c>
      <c r="H176" s="3">
        <f t="shared" si="40"/>
        <v>0.92320040947235404</v>
      </c>
      <c r="I176" s="3">
        <f t="shared" si="41"/>
        <v>0.39008141034326871</v>
      </c>
      <c r="J176" s="3">
        <f t="shared" si="42"/>
        <v>-2.0649036900191433</v>
      </c>
      <c r="K176" s="3">
        <f t="shared" si="43"/>
        <v>1.5597340572215119</v>
      </c>
      <c r="L176" s="3" cm="1">
        <f t="array" ref="L176">lmb_2(F176)</f>
        <v>1101.653938585823</v>
      </c>
      <c r="M176" s="3" cm="1">
        <f t="array" ref="M176">lmb_2(G176)</f>
        <v>177.37858233942092</v>
      </c>
      <c r="N176" s="3" cm="1">
        <f t="array" ref="N176">lmb_2(H176)</f>
        <v>0.96197118816731675</v>
      </c>
      <c r="O176" s="3" cm="1">
        <f t="array" ref="O176">lmb_2(I176)</f>
        <v>0.71940801579377334</v>
      </c>
      <c r="P176" s="3" cm="1">
        <f t="array" ref="P176">lmb_2(J176)</f>
        <v>0.11325038907397383</v>
      </c>
      <c r="R176" s="3">
        <f t="shared" si="44"/>
        <v>1.1596933261236644</v>
      </c>
      <c r="S176" s="3">
        <f t="shared" si="45"/>
        <v>66.158536003677682</v>
      </c>
      <c r="T176" s="3">
        <f t="shared" si="46"/>
        <v>2085.1640610751974</v>
      </c>
      <c r="U176" s="3">
        <f t="shared" si="36"/>
        <v>3636.1982408114063</v>
      </c>
      <c r="V176" s="3">
        <f t="shared" si="37"/>
        <v>0</v>
      </c>
      <c r="W176" s="3">
        <f t="shared" si="47"/>
        <v>352.75233824712348</v>
      </c>
      <c r="Y176" s="3">
        <f t="shared" si="48"/>
        <v>6142.99260352075</v>
      </c>
      <c r="AA176" s="3">
        <f t="shared" si="49"/>
        <v>255.76336737190468</v>
      </c>
      <c r="AB176" s="3">
        <f t="shared" si="50"/>
        <v>-15.992603520749981</v>
      </c>
      <c r="AD176" s="3">
        <f t="shared" si="51"/>
        <v>5.2439247646427518E-6</v>
      </c>
    </row>
    <row r="177" spans="3:30" x14ac:dyDescent="0.3">
      <c r="C177" s="22">
        <v>145</v>
      </c>
      <c r="D177" s="22">
        <v>6185</v>
      </c>
      <c r="F177" s="3">
        <f t="shared" si="38"/>
        <v>1124.0964550579538</v>
      </c>
      <c r="G177" s="3">
        <f t="shared" si="39"/>
        <v>185.08778764948624</v>
      </c>
      <c r="H177" s="3">
        <f t="shared" si="40"/>
        <v>0.94405643896260227</v>
      </c>
      <c r="I177" s="3">
        <f t="shared" si="41"/>
        <v>0.39573810514341362</v>
      </c>
      <c r="J177" s="3">
        <f t="shared" si="42"/>
        <v>-2.0646080869460568</v>
      </c>
      <c r="K177" s="3">
        <f t="shared" si="43"/>
        <v>1.4685998532701692</v>
      </c>
      <c r="L177" s="3" cm="1">
        <f t="array" ref="L177">lmb_2(F177)</f>
        <v>1117.0748448309841</v>
      </c>
      <c r="M177" s="3" cm="1">
        <f t="array" ref="M177">lmb_2(G177)</f>
        <v>179.89541201184636</v>
      </c>
      <c r="N177" s="3" cm="1">
        <f t="array" ref="N177">lmb_2(H177)</f>
        <v>0.97222473320622793</v>
      </c>
      <c r="O177" s="3" cm="1">
        <f t="array" ref="O177">lmb_2(I177)</f>
        <v>0.72177706590193236</v>
      </c>
      <c r="P177" s="3" cm="1">
        <f t="array" ref="P177">lmb_2(J177)</f>
        <v>0.1132804642089881</v>
      </c>
      <c r="R177" s="3">
        <f t="shared" si="44"/>
        <v>1.1357426732981137</v>
      </c>
      <c r="S177" s="3">
        <f t="shared" si="45"/>
        <v>64.772050312288542</v>
      </c>
      <c r="T177" s="3">
        <f t="shared" si="46"/>
        <v>2066.6996465451862</v>
      </c>
      <c r="U177" s="3">
        <f t="shared" si="36"/>
        <v>3644.4104638298031</v>
      </c>
      <c r="V177" s="3">
        <f t="shared" si="37"/>
        <v>0</v>
      </c>
      <c r="W177" s="3">
        <f t="shared" si="47"/>
        <v>354.85478504050627</v>
      </c>
      <c r="Y177" s="3">
        <f t="shared" si="48"/>
        <v>6133.3412882543535</v>
      </c>
      <c r="AA177" s="3">
        <f t="shared" si="49"/>
        <v>2668.6224992197999</v>
      </c>
      <c r="AB177" s="3">
        <f t="shared" si="50"/>
        <v>51.658711745646542</v>
      </c>
      <c r="AD177" s="3">
        <f t="shared" si="51"/>
        <v>1.6938730299982674E-5</v>
      </c>
    </row>
    <row r="178" spans="3:30" x14ac:dyDescent="0.3">
      <c r="C178" s="22">
        <v>146</v>
      </c>
      <c r="D178" s="22">
        <v>6144</v>
      </c>
      <c r="F178" s="3">
        <f t="shared" si="38"/>
        <v>1139.6380395448273</v>
      </c>
      <c r="G178" s="3">
        <f t="shared" si="39"/>
        <v>187.63622163808952</v>
      </c>
      <c r="H178" s="3">
        <f t="shared" si="40"/>
        <v>0.96505680083686629</v>
      </c>
      <c r="I178" s="3">
        <f t="shared" si="41"/>
        <v>0.40143394662037624</v>
      </c>
      <c r="J178" s="3">
        <f t="shared" si="42"/>
        <v>-2.0643104381769626</v>
      </c>
      <c r="K178" s="3">
        <f t="shared" si="43"/>
        <v>1.3827905590952048</v>
      </c>
      <c r="L178" s="3" cm="1">
        <f t="array" ref="L178">lmb_2(F178)</f>
        <v>1132.6026615899868</v>
      </c>
      <c r="M178" s="3" cm="1">
        <f t="array" ref="M178">lmb_2(G178)</f>
        <v>182.42985589023525</v>
      </c>
      <c r="N178" s="3" cm="1">
        <f t="array" ref="N178">lmb_2(H178)</f>
        <v>0.98260493634186696</v>
      </c>
      <c r="O178" s="3" cm="1">
        <f t="array" ref="O178">lmb_2(I178)</f>
        <v>0.72416708267136221</v>
      </c>
      <c r="P178" s="3" cm="1">
        <f t="array" ref="P178">lmb_2(J178)</f>
        <v>0.11331075472503296</v>
      </c>
      <c r="R178" s="3">
        <f t="shared" si="44"/>
        <v>1.1124474664857855</v>
      </c>
      <c r="S178" s="3">
        <f t="shared" si="45"/>
        <v>63.424083130924281</v>
      </c>
      <c r="T178" s="3">
        <f t="shared" si="46"/>
        <v>2048.189616603971</v>
      </c>
      <c r="U178" s="3">
        <f t="shared" si="36"/>
        <v>3652.3636038245254</v>
      </c>
      <c r="V178" s="3">
        <f t="shared" si="37"/>
        <v>0</v>
      </c>
      <c r="W178" s="3">
        <f t="shared" si="47"/>
        <v>356.95723183388907</v>
      </c>
      <c r="Y178" s="3">
        <f t="shared" si="48"/>
        <v>6123.4297734188904</v>
      </c>
      <c r="AA178" s="3">
        <f t="shared" si="49"/>
        <v>423.13422159818947</v>
      </c>
      <c r="AB178" s="3">
        <f t="shared" si="50"/>
        <v>20.570226581109637</v>
      </c>
      <c r="AD178" s="3">
        <f t="shared" si="51"/>
        <v>6.7449130745370267E-6</v>
      </c>
    </row>
    <row r="179" spans="3:30" x14ac:dyDescent="0.3">
      <c r="C179" s="22">
        <v>147</v>
      </c>
      <c r="D179" s="22">
        <v>6179</v>
      </c>
      <c r="F179" s="3">
        <f t="shared" si="38"/>
        <v>1155.286439045356</v>
      </c>
      <c r="G179" s="3">
        <f t="shared" si="39"/>
        <v>190.20217063692371</v>
      </c>
      <c r="H179" s="3">
        <f t="shared" si="40"/>
        <v>0.98620149509514587</v>
      </c>
      <c r="I179" s="3">
        <f t="shared" si="41"/>
        <v>0.40716893477415628</v>
      </c>
      <c r="J179" s="3">
        <f t="shared" si="42"/>
        <v>-2.0640107437118611</v>
      </c>
      <c r="K179" s="3">
        <f t="shared" si="43"/>
        <v>1.3019950438270038</v>
      </c>
      <c r="L179" s="3" cm="1">
        <f t="array" ref="L179">lmb_2(F179)</f>
        <v>1148.2373875557523</v>
      </c>
      <c r="M179" s="3" cm="1">
        <f t="array" ref="M179">lmb_2(G179)</f>
        <v>184.98191258642825</v>
      </c>
      <c r="N179" s="3" cm="1">
        <f t="array" ref="N179">lmb_2(H179)</f>
        <v>0.99311266114019336</v>
      </c>
      <c r="O179" s="3" cm="1">
        <f t="array" ref="O179">lmb_2(I179)</f>
        <v>0.72657815672787618</v>
      </c>
      <c r="P179" s="3" cm="1">
        <f t="array" ref="P179">lmb_2(J179)</f>
        <v>0.11334126077344456</v>
      </c>
      <c r="R179" s="3">
        <f t="shared" si="44"/>
        <v>1.089785424500751</v>
      </c>
      <c r="S179" s="3">
        <f t="shared" si="45"/>
        <v>62.113305466820115</v>
      </c>
      <c r="T179" s="3">
        <f t="shared" si="46"/>
        <v>2029.6417935979655</v>
      </c>
      <c r="U179" s="3">
        <f t="shared" si="36"/>
        <v>3660.058567088372</v>
      </c>
      <c r="V179" s="3">
        <f t="shared" si="37"/>
        <v>0</v>
      </c>
      <c r="W179" s="3">
        <f t="shared" si="47"/>
        <v>359.05967862727186</v>
      </c>
      <c r="Y179" s="3">
        <f t="shared" si="48"/>
        <v>6113.2651252487576</v>
      </c>
      <c r="AA179" s="3">
        <f t="shared" si="49"/>
        <v>4321.0737585615243</v>
      </c>
      <c r="AB179" s="3">
        <f t="shared" si="50"/>
        <v>65.734874751242387</v>
      </c>
      <c r="AD179" s="3">
        <f t="shared" si="51"/>
        <v>2.1554260202941879E-5</v>
      </c>
    </row>
    <row r="180" spans="3:30" x14ac:dyDescent="0.3">
      <c r="C180" s="22">
        <v>148</v>
      </c>
      <c r="D180" s="22">
        <v>6105</v>
      </c>
      <c r="F180" s="3">
        <f t="shared" si="38"/>
        <v>1171.0416535595407</v>
      </c>
      <c r="G180" s="3">
        <f t="shared" si="39"/>
        <v>192.78563464598881</v>
      </c>
      <c r="H180" s="3">
        <f t="shared" si="40"/>
        <v>1.0074905217374408</v>
      </c>
      <c r="I180" s="3">
        <f t="shared" si="41"/>
        <v>0.41294306960475402</v>
      </c>
      <c r="J180" s="3">
        <f t="shared" si="42"/>
        <v>-2.0637090035507519</v>
      </c>
      <c r="K180" s="3">
        <f t="shared" si="43"/>
        <v>1.2259203557618215</v>
      </c>
      <c r="L180" s="3" cm="1">
        <f t="array" ref="L180">lmb_2(F180)</f>
        <v>1163.9790214478533</v>
      </c>
      <c r="M180" s="3" cm="1">
        <f t="array" ref="M180">lmb_2(G180)</f>
        <v>187.55158074112467</v>
      </c>
      <c r="N180" s="3" cm="1">
        <f t="array" ref="N180">lmb_2(H180)</f>
        <v>1.0037487654234987</v>
      </c>
      <c r="O180" s="3" cm="1">
        <f t="array" ref="O180">lmb_2(I180)</f>
        <v>0.72901037915524458</v>
      </c>
      <c r="P180" s="3" cm="1">
        <f t="array" ref="P180">lmb_2(J180)</f>
        <v>0.11337198250664629</v>
      </c>
      <c r="R180" s="3">
        <f t="shared" si="44"/>
        <v>1.0677351693234474</v>
      </c>
      <c r="S180" s="3">
        <f t="shared" si="45"/>
        <v>60.838442967695741</v>
      </c>
      <c r="T180" s="3">
        <f t="shared" si="46"/>
        <v>2011.0638185043965</v>
      </c>
      <c r="U180" s="3">
        <f t="shared" si="36"/>
        <v>3667.4962914678376</v>
      </c>
      <c r="V180" s="3">
        <f t="shared" si="37"/>
        <v>0</v>
      </c>
      <c r="W180" s="3">
        <f t="shared" si="47"/>
        <v>361.16212542065466</v>
      </c>
      <c r="Y180" s="3">
        <f t="shared" si="48"/>
        <v>6102.8543338856698</v>
      </c>
      <c r="AA180" s="3">
        <f t="shared" si="49"/>
        <v>4.6038830741848464</v>
      </c>
      <c r="AB180" s="3">
        <f t="shared" si="50"/>
        <v>2.1456661143301972</v>
      </c>
      <c r="AD180" s="3">
        <f t="shared" si="51"/>
        <v>7.0355721999811404E-7</v>
      </c>
    </row>
    <row r="181" spans="3:30" x14ac:dyDescent="0.3">
      <c r="C181" s="22">
        <v>149</v>
      </c>
      <c r="D181" s="22">
        <v>6082</v>
      </c>
      <c r="F181" s="3">
        <f t="shared" si="38"/>
        <v>1186.9036830873808</v>
      </c>
      <c r="G181" s="3">
        <f t="shared" si="39"/>
        <v>195.3866136652849</v>
      </c>
      <c r="H181" s="3">
        <f t="shared" si="40"/>
        <v>1.0289238807637511</v>
      </c>
      <c r="I181" s="3">
        <f t="shared" si="41"/>
        <v>0.41875635111216936</v>
      </c>
      <c r="J181" s="3">
        <f t="shared" si="42"/>
        <v>-2.0634052176936351</v>
      </c>
      <c r="K181" s="3">
        <f t="shared" si="43"/>
        <v>1.1542906601654306</v>
      </c>
      <c r="L181" s="3" cm="1">
        <f t="array" ref="L181">lmb_2(F181)</f>
        <v>1179.8275620117925</v>
      </c>
      <c r="M181" s="3" cm="1">
        <f t="array" ref="M181">lmb_2(G181)</f>
        <v>190.13885902309207</v>
      </c>
      <c r="N181" s="3" cm="1">
        <f t="array" ref="N181">lmb_2(H181)</f>
        <v>1.0145141010598049</v>
      </c>
      <c r="O181" s="3" cm="1">
        <f t="array" ref="O181">lmb_2(I181)</f>
        <v>0.73146384149065125</v>
      </c>
      <c r="P181" s="3" cm="1">
        <f t="array" ref="P181">lmb_2(J181)</f>
        <v>0.11340292007814957</v>
      </c>
      <c r="R181" s="3">
        <f t="shared" si="44"/>
        <v>1.0462761836609134</v>
      </c>
      <c r="S181" s="3">
        <f t="shared" si="45"/>
        <v>59.598273320241866</v>
      </c>
      <c r="T181" s="3">
        <f t="shared" si="46"/>
        <v>1992.463150068548</v>
      </c>
      <c r="U181" s="3">
        <f t="shared" si="36"/>
        <v>3674.6777459542982</v>
      </c>
      <c r="V181" s="3">
        <f t="shared" si="37"/>
        <v>0</v>
      </c>
      <c r="W181" s="3">
        <f t="shared" si="47"/>
        <v>363.26457221403746</v>
      </c>
      <c r="Y181" s="3">
        <f t="shared" si="48"/>
        <v>6092.204308400952</v>
      </c>
      <c r="AA181" s="3">
        <f t="shared" si="49"/>
        <v>104.12790994173872</v>
      </c>
      <c r="AB181" s="3">
        <f t="shared" si="50"/>
        <v>-10.204308400951959</v>
      </c>
      <c r="AD181" s="3">
        <f t="shared" si="51"/>
        <v>3.3459608662451635E-6</v>
      </c>
    </row>
    <row r="182" spans="3:30" x14ac:dyDescent="0.3">
      <c r="C182" s="22">
        <v>150</v>
      </c>
      <c r="D182" s="22">
        <v>6043</v>
      </c>
      <c r="F182" s="3">
        <f t="shared" si="38"/>
        <v>1202.8725276288765</v>
      </c>
      <c r="G182" s="3">
        <f t="shared" si="39"/>
        <v>198.00510769481198</v>
      </c>
      <c r="H182" s="3">
        <f t="shared" si="40"/>
        <v>1.0505015721740771</v>
      </c>
      <c r="I182" s="3">
        <f t="shared" si="41"/>
        <v>0.42460877929640228</v>
      </c>
      <c r="J182" s="3">
        <f t="shared" si="42"/>
        <v>-2.0630993861405109</v>
      </c>
      <c r="K182" s="3">
        <f t="shared" si="43"/>
        <v>1.0868462391401952</v>
      </c>
      <c r="L182" s="3" cm="1">
        <f t="array" ref="L182">lmb_2(F182)</f>
        <v>1195.7830080183096</v>
      </c>
      <c r="M182" s="3" cm="1">
        <f t="array" ref="M182">lmb_2(G182)</f>
        <v>192.74374612840256</v>
      </c>
      <c r="N182" s="3" cm="1">
        <f t="array" ref="N182">lmb_2(H182)</f>
        <v>1.0254095137566093</v>
      </c>
      <c r="O182" s="3" cm="1">
        <f t="array" ref="O182">lmb_2(I182)</f>
        <v>0.73393863572009332</v>
      </c>
      <c r="P182" s="3" cm="1">
        <f t="array" ref="P182">lmb_2(J182)</f>
        <v>0.11343407364255483</v>
      </c>
      <c r="R182" s="3">
        <f t="shared" si="44"/>
        <v>1.0253887707715894</v>
      </c>
      <c r="S182" s="3">
        <f t="shared" si="45"/>
        <v>58.391623789066436</v>
      </c>
      <c r="T182" s="3">
        <f t="shared" si="46"/>
        <v>1973.8470641462741</v>
      </c>
      <c r="U182" s="3">
        <f t="shared" si="36"/>
        <v>3681.6039302703043</v>
      </c>
      <c r="V182" s="3">
        <f t="shared" si="37"/>
        <v>0</v>
      </c>
      <c r="W182" s="3">
        <f t="shared" si="47"/>
        <v>365.36701900742025</v>
      </c>
      <c r="Y182" s="3">
        <f t="shared" si="48"/>
        <v>6081.3218722229758</v>
      </c>
      <c r="AA182" s="3">
        <f t="shared" si="49"/>
        <v>1468.5658906740841</v>
      </c>
      <c r="AB182" s="3">
        <f t="shared" si="50"/>
        <v>-38.321872222975799</v>
      </c>
      <c r="AD182" s="3">
        <f t="shared" si="51"/>
        <v>1.2565622258864953E-5</v>
      </c>
    </row>
    <row r="183" spans="3:30" x14ac:dyDescent="0.3">
      <c r="C183" s="22">
        <v>151</v>
      </c>
      <c r="D183" s="22">
        <v>5971</v>
      </c>
      <c r="F183" s="3">
        <f t="shared" si="38"/>
        <v>1218.9481871840273</v>
      </c>
      <c r="G183" s="3">
        <f t="shared" si="39"/>
        <v>200.64111673456998</v>
      </c>
      <c r="H183" s="3">
        <f t="shared" si="40"/>
        <v>1.0722235959684188</v>
      </c>
      <c r="I183" s="3">
        <f t="shared" si="41"/>
        <v>0.4305003541574528</v>
      </c>
      <c r="J183" s="3">
        <f t="shared" si="42"/>
        <v>-2.0627915088913791</v>
      </c>
      <c r="K183" s="3">
        <f t="shared" si="43"/>
        <v>1.0233425499292301</v>
      </c>
      <c r="L183" s="3" cm="1">
        <f t="array" ref="L183">lmb_2(F183)</f>
        <v>1211.8453582627071</v>
      </c>
      <c r="M183" s="3" cm="1">
        <f t="array" ref="M183">lmb_2(G183)</f>
        <v>195.36624077969481</v>
      </c>
      <c r="N183" s="3" cm="1">
        <f t="array" ref="N183">lmb_2(H183)</f>
        <v>1.0364358428591338</v>
      </c>
      <c r="O183" s="3" cm="1">
        <f t="array" ref="O183">lmb_2(I183)</f>
        <v>0.73643485427372402</v>
      </c>
      <c r="P183" s="3" cm="1">
        <f t="array" ref="P183">lmb_2(J183)</f>
        <v>0.11346544335555254</v>
      </c>
      <c r="R183" s="3">
        <f t="shared" si="44"/>
        <v>1.0050540164196333</v>
      </c>
      <c r="S183" s="3">
        <f t="shared" si="45"/>
        <v>57.217368887637619</v>
      </c>
      <c r="T183" s="3">
        <f t="shared" si="46"/>
        <v>1955.2226532468662</v>
      </c>
      <c r="U183" s="3">
        <f t="shared" si="36"/>
        <v>3688.2758744511561</v>
      </c>
      <c r="V183" s="3">
        <f t="shared" si="37"/>
        <v>0</v>
      </c>
      <c r="W183" s="3">
        <f t="shared" si="47"/>
        <v>367.46946580080305</v>
      </c>
      <c r="Y183" s="3">
        <f t="shared" si="48"/>
        <v>6070.213758952812</v>
      </c>
      <c r="AA183" s="3">
        <f t="shared" si="49"/>
        <v>9843.3699655466808</v>
      </c>
      <c r="AB183" s="3">
        <f t="shared" si="50"/>
        <v>-99.213758952811986</v>
      </c>
      <c r="AD183" s="3">
        <f t="shared" si="51"/>
        <v>3.2531881809669789E-5</v>
      </c>
    </row>
    <row r="184" spans="3:30" x14ac:dyDescent="0.3">
      <c r="C184" s="22">
        <v>152</v>
      </c>
      <c r="D184" s="22">
        <v>6092</v>
      </c>
      <c r="F184" s="3">
        <f t="shared" si="38"/>
        <v>1235.1306617528337</v>
      </c>
      <c r="G184" s="3">
        <f t="shared" si="39"/>
        <v>203.29464078455891</v>
      </c>
      <c r="H184" s="3">
        <f t="shared" si="40"/>
        <v>1.0940899521467766</v>
      </c>
      <c r="I184" s="3">
        <f t="shared" si="41"/>
        <v>0.43643107569532097</v>
      </c>
      <c r="J184" s="3">
        <f t="shared" si="42"/>
        <v>-2.06248158594624</v>
      </c>
      <c r="K184" s="3">
        <f t="shared" si="43"/>
        <v>0.96354933824321209</v>
      </c>
      <c r="L184" s="3" cm="1">
        <f t="array" ref="L184">lmb_2(F184)</f>
        <v>1228.0146115642021</v>
      </c>
      <c r="M184" s="3" cm="1">
        <f t="array" ref="M184">lmb_2(G184)</f>
        <v>198.00634172546083</v>
      </c>
      <c r="N184" s="3" cm="1">
        <f t="array" ref="N184">lmb_2(H184)</f>
        <v>1.0475939211532392</v>
      </c>
      <c r="O184" s="3" cm="1">
        <f t="array" ref="O184">lmb_2(I184)</f>
        <v>0.738952590021139</v>
      </c>
      <c r="P184" s="3" cm="1">
        <f t="array" ref="P184">lmb_2(J184)</f>
        <v>0.11349702937392417</v>
      </c>
      <c r="R184" s="3">
        <f t="shared" si="44"/>
        <v>0.9852537528325539</v>
      </c>
      <c r="S184" s="3">
        <f t="shared" si="45"/>
        <v>56.074428173322197</v>
      </c>
      <c r="T184" s="3">
        <f t="shared" si="46"/>
        <v>1936.5968262711874</v>
      </c>
      <c r="U184" s="3">
        <f t="shared" si="36"/>
        <v>3694.6946384219036</v>
      </c>
      <c r="V184" s="3">
        <f t="shared" si="37"/>
        <v>0</v>
      </c>
      <c r="W184" s="3">
        <f t="shared" si="47"/>
        <v>369.57191259418585</v>
      </c>
      <c r="Y184" s="3">
        <f t="shared" si="48"/>
        <v>6058.8866085516747</v>
      </c>
      <c r="AA184" s="3">
        <f t="shared" si="49"/>
        <v>1096.4966932100215</v>
      </c>
      <c r="AB184" s="3">
        <f t="shared" si="50"/>
        <v>33.113391448325274</v>
      </c>
      <c r="AD184" s="3">
        <f t="shared" si="51"/>
        <v>1.0857777674028106E-5</v>
      </c>
    </row>
    <row r="185" spans="3:30" x14ac:dyDescent="0.3">
      <c r="C185" s="22">
        <v>153</v>
      </c>
      <c r="D185" s="22">
        <v>6057</v>
      </c>
      <c r="F185" s="3">
        <f t="shared" si="38"/>
        <v>1251.4199513352958</v>
      </c>
      <c r="G185" s="3">
        <f t="shared" si="39"/>
        <v>205.9656798447788</v>
      </c>
      <c r="H185" s="3">
        <f t="shared" si="40"/>
        <v>1.1161006407091492</v>
      </c>
      <c r="I185" s="3">
        <f t="shared" si="41"/>
        <v>0.44240094391000695</v>
      </c>
      <c r="J185" s="3">
        <f t="shared" si="42"/>
        <v>-2.0621696173050932</v>
      </c>
      <c r="K185" s="3">
        <f t="shared" si="43"/>
        <v>0.90724980339490224</v>
      </c>
      <c r="L185" s="3" cm="1">
        <f t="array" ref="L185">lmb_2(F185)</f>
        <v>1244.2907667652973</v>
      </c>
      <c r="M185" s="3" cm="1">
        <f t="array" ref="M185">lmb_2(G185)</f>
        <v>200.66404773935605</v>
      </c>
      <c r="N185" s="3" cm="1">
        <f t="array" ref="N185">lmb_2(H185)</f>
        <v>1.0588845746731474</v>
      </c>
      <c r="O185" s="3" cm="1">
        <f t="array" ref="O185">lmb_2(I185)</f>
        <v>0.74149193626660581</v>
      </c>
      <c r="P185" s="3" cm="1">
        <f t="array" ref="P185">lmb_2(J185)</f>
        <v>0.11352883185554322</v>
      </c>
      <c r="R185" s="3">
        <f t="shared" si="44"/>
        <v>0.96597052454425625</v>
      </c>
      <c r="S185" s="3">
        <f t="shared" si="45"/>
        <v>54.961764159139939</v>
      </c>
      <c r="T185" s="3">
        <f t="shared" si="46"/>
        <v>1917.9763084398285</v>
      </c>
      <c r="U185" s="3">
        <f t="shared" si="36"/>
        <v>3700.8613115699491</v>
      </c>
      <c r="V185" s="3">
        <f t="shared" si="37"/>
        <v>0</v>
      </c>
      <c r="W185" s="3">
        <f t="shared" si="47"/>
        <v>371.67435938756864</v>
      </c>
      <c r="Y185" s="3">
        <f t="shared" si="48"/>
        <v>6047.3469638844253</v>
      </c>
      <c r="AA185" s="3">
        <f t="shared" si="49"/>
        <v>93.181106248588534</v>
      </c>
      <c r="AB185" s="3">
        <f t="shared" si="50"/>
        <v>9.6530361155746505</v>
      </c>
      <c r="AD185" s="3">
        <f t="shared" si="51"/>
        <v>3.1652004049731451E-6</v>
      </c>
    </row>
    <row r="186" spans="3:30" x14ac:dyDescent="0.3">
      <c r="C186" s="22">
        <v>154</v>
      </c>
      <c r="D186" s="22">
        <v>6017</v>
      </c>
      <c r="F186" s="3">
        <f t="shared" si="38"/>
        <v>1267.8160559314133</v>
      </c>
      <c r="G186" s="3">
        <f t="shared" si="39"/>
        <v>208.65423391522967</v>
      </c>
      <c r="H186" s="3">
        <f t="shared" si="40"/>
        <v>1.1382556616555373</v>
      </c>
      <c r="I186" s="3">
        <f t="shared" si="41"/>
        <v>0.44840995880151024</v>
      </c>
      <c r="J186" s="3">
        <f t="shared" si="42"/>
        <v>-2.0618556029679387</v>
      </c>
      <c r="K186" s="3">
        <f t="shared" si="43"/>
        <v>0.85423981221429401</v>
      </c>
      <c r="L186" s="3" cm="1">
        <f t="array" ref="L186">lmb_2(F186)</f>
        <v>1260.673822731171</v>
      </c>
      <c r="M186" s="3" cm="1">
        <f t="array" ref="M186">lmb_2(G186)</f>
        <v>203.33935761953228</v>
      </c>
      <c r="N186" s="3" cm="1">
        <f t="array" ref="N186">lmb_2(H186)</f>
        <v>1.070308622514121</v>
      </c>
      <c r="O186" s="3" cm="1">
        <f t="array" ref="O186">lmb_2(I186)</f>
        <v>0.74405298674423637</v>
      </c>
      <c r="P186" s="3" cm="1">
        <f t="array" ref="P186">lmb_2(J186)</f>
        <v>0.11356085095937617</v>
      </c>
      <c r="R186" s="3">
        <f t="shared" si="44"/>
        <v>0.94718755601323523</v>
      </c>
      <c r="S186" s="3">
        <f t="shared" si="45"/>
        <v>53.878380335336949</v>
      </c>
      <c r="T186" s="3">
        <f t="shared" si="46"/>
        <v>1899.3676414058818</v>
      </c>
      <c r="U186" s="3">
        <f t="shared" si="36"/>
        <v>3706.7770123133855</v>
      </c>
      <c r="V186" s="3">
        <f t="shared" si="37"/>
        <v>0</v>
      </c>
      <c r="W186" s="3">
        <f t="shared" si="47"/>
        <v>373.77680618095144</v>
      </c>
      <c r="Y186" s="3">
        <f t="shared" si="48"/>
        <v>6035.6012676037835</v>
      </c>
      <c r="AA186" s="3">
        <f t="shared" si="49"/>
        <v>346.00715646756652</v>
      </c>
      <c r="AB186" s="3">
        <f t="shared" si="50"/>
        <v>-18.601267603783526</v>
      </c>
      <c r="AD186" s="3">
        <f t="shared" si="51"/>
        <v>6.0992975730728937E-6</v>
      </c>
    </row>
    <row r="187" spans="3:30" x14ac:dyDescent="0.3">
      <c r="C187" s="22">
        <v>155</v>
      </c>
      <c r="D187" s="22">
        <v>6088</v>
      </c>
      <c r="F187" s="3">
        <f t="shared" si="38"/>
        <v>1284.3189755411863</v>
      </c>
      <c r="G187" s="3">
        <f t="shared" si="39"/>
        <v>211.36030299591144</v>
      </c>
      <c r="H187" s="3">
        <f t="shared" si="40"/>
        <v>1.1605550149859414</v>
      </c>
      <c r="I187" s="3">
        <f t="shared" si="41"/>
        <v>0.45445812036983124</v>
      </c>
      <c r="J187" s="3">
        <f t="shared" si="42"/>
        <v>-2.0615395429347769</v>
      </c>
      <c r="K187" s="3">
        <f t="shared" si="43"/>
        <v>0.80432715889416584</v>
      </c>
      <c r="L187" s="3" cm="1">
        <f t="array" ref="L187">lmb_2(F187)</f>
        <v>1277.1637783490912</v>
      </c>
      <c r="M187" s="3" cm="1">
        <f t="array" ref="M187">lmb_2(G187)</f>
        <v>206.0322701879924</v>
      </c>
      <c r="N187" s="3" cm="1">
        <f t="array" ref="N187">lmb_2(H187)</f>
        <v>1.0818668766502222</v>
      </c>
      <c r="O187" s="3" cm="1">
        <f t="array" ref="O187">lmb_2(I187)</f>
        <v>0.74663583561310509</v>
      </c>
      <c r="P187" s="3" cm="1">
        <f t="array" ref="P187">lmb_2(J187)</f>
        <v>0.11359308684548354</v>
      </c>
      <c r="R187" s="3">
        <f t="shared" si="44"/>
        <v>0.9288887209127662</v>
      </c>
      <c r="S187" s="3">
        <f t="shared" si="45"/>
        <v>52.823319294331263</v>
      </c>
      <c r="T187" s="3">
        <f t="shared" si="46"/>
        <v>1880.7771835468295</v>
      </c>
      <c r="U187" s="3">
        <f t="shared" si="36"/>
        <v>3712.4428876652514</v>
      </c>
      <c r="V187" s="3">
        <f t="shared" si="37"/>
        <v>0</v>
      </c>
      <c r="W187" s="3">
        <f t="shared" si="47"/>
        <v>375.87925297433429</v>
      </c>
      <c r="Y187" s="3">
        <f t="shared" si="48"/>
        <v>6023.6558593605532</v>
      </c>
      <c r="AA187" s="3">
        <f t="shared" si="49"/>
        <v>4140.1684346289067</v>
      </c>
      <c r="AB187" s="3">
        <f t="shared" si="50"/>
        <v>64.344140639446778</v>
      </c>
      <c r="AD187" s="3">
        <f t="shared" si="51"/>
        <v>2.109824282963452E-5</v>
      </c>
    </row>
    <row r="188" spans="3:30" x14ac:dyDescent="0.3">
      <c r="C188" s="22">
        <v>156</v>
      </c>
      <c r="D188" s="22">
        <v>5831</v>
      </c>
      <c r="F188" s="3">
        <f t="shared" si="38"/>
        <v>1300.9287101646146</v>
      </c>
      <c r="G188" s="3">
        <f t="shared" si="39"/>
        <v>214.08388708682415</v>
      </c>
      <c r="H188" s="3">
        <f t="shared" si="40"/>
        <v>1.1829987007003604</v>
      </c>
      <c r="I188" s="3">
        <f t="shared" si="41"/>
        <v>0.46054542861496989</v>
      </c>
      <c r="J188" s="3">
        <f t="shared" si="42"/>
        <v>-2.0612214372056075</v>
      </c>
      <c r="K188" s="3">
        <f t="shared" si="43"/>
        <v>0.75733086808235683</v>
      </c>
      <c r="L188" s="3" cm="1">
        <f t="array" ref="L188">lmb_2(F188)</f>
        <v>1293.7606325278446</v>
      </c>
      <c r="M188" s="3" cm="1">
        <f t="array" ref="M188">lmb_2(G188)</f>
        <v>208.74278428996621</v>
      </c>
      <c r="N188" s="3" cm="1">
        <f t="array" ref="N188">lmb_2(H188)</f>
        <v>1.0935601417572882</v>
      </c>
      <c r="O188" s="3" cm="1">
        <f t="array" ref="O188">lmb_2(I188)</f>
        <v>0.7492405774523081</v>
      </c>
      <c r="P188" s="3" cm="1">
        <f t="array" ref="P188">lmb_2(J188)</f>
        <v>0.11362553967502084</v>
      </c>
      <c r="R188" s="3">
        <f t="shared" si="44"/>
        <v>0.91105851299658858</v>
      </c>
      <c r="S188" s="3">
        <f t="shared" si="45"/>
        <v>51.795660953000741</v>
      </c>
      <c r="T188" s="3">
        <f t="shared" si="46"/>
        <v>1862.2111104298772</v>
      </c>
      <c r="U188" s="3">
        <f t="shared" si="36"/>
        <v>3717.8601127938477</v>
      </c>
      <c r="V188" s="3">
        <f t="shared" si="37"/>
        <v>0</v>
      </c>
      <c r="W188" s="3">
        <f t="shared" si="47"/>
        <v>377.98169976771709</v>
      </c>
      <c r="Y188" s="3">
        <f t="shared" si="48"/>
        <v>6011.5169733255216</v>
      </c>
      <c r="AA188" s="3">
        <f t="shared" si="49"/>
        <v>32586.377658607067</v>
      </c>
      <c r="AB188" s="3">
        <f t="shared" si="50"/>
        <v>-180.51697332552158</v>
      </c>
      <c r="AD188" s="3">
        <f t="shared" si="51"/>
        <v>5.9190951969255447E-5</v>
      </c>
    </row>
    <row r="189" spans="3:30" x14ac:dyDescent="0.3">
      <c r="C189" s="22">
        <v>157</v>
      </c>
      <c r="D189" s="22">
        <v>5996</v>
      </c>
      <c r="F189" s="3">
        <f t="shared" si="38"/>
        <v>1317.6452598016986</v>
      </c>
      <c r="G189" s="3">
        <f t="shared" si="39"/>
        <v>216.82498618796785</v>
      </c>
      <c r="H189" s="3">
        <f t="shared" si="40"/>
        <v>1.2055867187987956</v>
      </c>
      <c r="I189" s="3">
        <f t="shared" si="41"/>
        <v>0.46667188353692607</v>
      </c>
      <c r="J189" s="3">
        <f t="shared" si="42"/>
        <v>-2.0609012857804307</v>
      </c>
      <c r="K189" s="3">
        <f t="shared" si="43"/>
        <v>0.71308053869388788</v>
      </c>
      <c r="L189" s="3" cm="1">
        <f t="array" ref="L189">lmb_2(F189)</f>
        <v>1310.4643841971863</v>
      </c>
      <c r="M189" s="3" cm="1">
        <f t="array" ref="M189">lmb_2(G189)</f>
        <v>211.47089879330639</v>
      </c>
      <c r="N189" s="3" cm="1">
        <f t="array" ref="N189">lmb_2(H189)</f>
        <v>1.1053892150412374</v>
      </c>
      <c r="O189" s="3" cm="1">
        <f t="array" ref="O189">lmb_2(I189)</f>
        <v>0.75186730725596873</v>
      </c>
      <c r="P189" s="3" cm="1">
        <f t="array" ref="P189">lmb_2(J189)</f>
        <v>0.11365820961023974</v>
      </c>
      <c r="R189" s="3">
        <f t="shared" si="44"/>
        <v>0.89368201844969608</v>
      </c>
      <c r="S189" s="3">
        <f t="shared" si="45"/>
        <v>50.794520866670716</v>
      </c>
      <c r="T189" s="3">
        <f t="shared" si="46"/>
        <v>1843.675415444992</v>
      </c>
      <c r="U189" s="3">
        <f t="shared" si="36"/>
        <v>3723.0298905792906</v>
      </c>
      <c r="V189" s="3">
        <f t="shared" si="37"/>
        <v>0</v>
      </c>
      <c r="W189" s="3">
        <f t="shared" si="47"/>
        <v>380.08414656109989</v>
      </c>
      <c r="Y189" s="3">
        <f t="shared" si="48"/>
        <v>5999.1907360091973</v>
      </c>
      <c r="AA189" s="3">
        <f t="shared" si="49"/>
        <v>10.180796280388188</v>
      </c>
      <c r="AB189" s="3">
        <f t="shared" si="50"/>
        <v>-3.1907360091972805</v>
      </c>
      <c r="AD189" s="3">
        <f t="shared" si="51"/>
        <v>1.0462323757578121E-6</v>
      </c>
    </row>
    <row r="190" spans="3:30" x14ac:dyDescent="0.3">
      <c r="C190" s="22">
        <v>158</v>
      </c>
      <c r="D190" s="22">
        <v>5914</v>
      </c>
      <c r="F190" s="3">
        <f t="shared" si="38"/>
        <v>1334.468624452438</v>
      </c>
      <c r="G190" s="3">
        <f t="shared" si="39"/>
        <v>219.58360029934249</v>
      </c>
      <c r="H190" s="3">
        <f t="shared" si="40"/>
        <v>1.2283190692812465</v>
      </c>
      <c r="I190" s="3">
        <f t="shared" si="41"/>
        <v>0.4728374851356999</v>
      </c>
      <c r="J190" s="3">
        <f t="shared" si="42"/>
        <v>-2.0605790886592463</v>
      </c>
      <c r="K190" s="3">
        <f t="shared" si="43"/>
        <v>0.67141572606369793</v>
      </c>
      <c r="L190" s="3" cm="1">
        <f t="array" ref="L190">lmb_2(F190)</f>
        <v>1327.2750323073053</v>
      </c>
      <c r="M190" s="3" cm="1">
        <f t="array" ref="M190">lmb_2(G190)</f>
        <v>214.2166125879034</v>
      </c>
      <c r="N190" s="3" cm="1">
        <f t="array" ref="N190">lmb_2(H190)</f>
        <v>1.1173548860718123</v>
      </c>
      <c r="O190" s="3" cm="1">
        <f t="array" ref="O190">lmb_2(I190)</f>
        <v>0.75451612042818716</v>
      </c>
      <c r="P190" s="3" cm="1">
        <f t="array" ref="P190">lmb_2(J190)</f>
        <v>0.11369109681448886</v>
      </c>
      <c r="R190" s="3">
        <f t="shared" si="44"/>
        <v>0.87674488963960073</v>
      </c>
      <c r="S190" s="3">
        <f t="shared" si="45"/>
        <v>49.819048629520374</v>
      </c>
      <c r="T190" s="3">
        <f t="shared" si="46"/>
        <v>1825.1759105998071</v>
      </c>
      <c r="U190" s="3">
        <f t="shared" si="36"/>
        <v>3727.9534511664342</v>
      </c>
      <c r="V190" s="3">
        <f t="shared" si="37"/>
        <v>0</v>
      </c>
      <c r="W190" s="3">
        <f t="shared" si="47"/>
        <v>382.18659335448268</v>
      </c>
      <c r="Y190" s="3">
        <f t="shared" si="48"/>
        <v>5986.683164365948</v>
      </c>
      <c r="AA190" s="3">
        <f t="shared" si="49"/>
        <v>5282.8423822474069</v>
      </c>
      <c r="AB190" s="3">
        <f t="shared" si="50"/>
        <v>-72.68316436594796</v>
      </c>
      <c r="AD190" s="3">
        <f t="shared" si="51"/>
        <v>2.3832582674651348E-5</v>
      </c>
    </row>
    <row r="191" spans="3:30" x14ac:dyDescent="0.3">
      <c r="C191" s="22">
        <v>159</v>
      </c>
      <c r="D191" s="22">
        <v>6052</v>
      </c>
      <c r="F191" s="3">
        <f t="shared" si="38"/>
        <v>1351.3988041168329</v>
      </c>
      <c r="G191" s="3">
        <f t="shared" si="39"/>
        <v>222.35972942094813</v>
      </c>
      <c r="H191" s="3">
        <f t="shared" si="40"/>
        <v>1.2511957521477126</v>
      </c>
      <c r="I191" s="3">
        <f t="shared" si="41"/>
        <v>0.47904223341129148</v>
      </c>
      <c r="J191" s="3">
        <f t="shared" si="42"/>
        <v>-2.0602548458420546</v>
      </c>
      <c r="K191" s="3">
        <f t="shared" si="43"/>
        <v>0.63218536019977034</v>
      </c>
      <c r="L191" s="3" cm="1">
        <f t="array" ref="L191">lmb_2(F191)</f>
        <v>1344.192575828308</v>
      </c>
      <c r="M191" s="3" cm="1">
        <f t="array" ref="M191">lmb_2(G191)</f>
        <v>216.97992458511993</v>
      </c>
      <c r="N191" s="3" cm="1">
        <f t="array" ref="N191">lmb_2(H191)</f>
        <v>1.1294579366218682</v>
      </c>
      <c r="O191" s="3" cm="1">
        <f t="array" ref="O191">lmb_2(I191)</f>
        <v>0.75718711277793305</v>
      </c>
      <c r="P191" s="3" cm="1">
        <f t="array" ref="P191">lmb_2(J191)</f>
        <v>0.11372420145221503</v>
      </c>
      <c r="R191" s="3">
        <f t="shared" si="44"/>
        <v>0.86023332018874143</v>
      </c>
      <c r="S191" s="3">
        <f t="shared" si="45"/>
        <v>48.868426356460738</v>
      </c>
      <c r="T191" s="3">
        <f t="shared" si="46"/>
        <v>1806.7182274704671</v>
      </c>
      <c r="U191" s="3">
        <f t="shared" si="36"/>
        <v>3732.6320515143643</v>
      </c>
      <c r="V191" s="3">
        <f t="shared" si="37"/>
        <v>0</v>
      </c>
      <c r="W191" s="3">
        <f t="shared" si="47"/>
        <v>384.28904014786548</v>
      </c>
      <c r="Y191" s="3">
        <f t="shared" si="48"/>
        <v>5974.0001641695453</v>
      </c>
      <c r="AA191" s="3">
        <f t="shared" si="49"/>
        <v>6083.9743895778829</v>
      </c>
      <c r="AB191" s="3">
        <f t="shared" si="50"/>
        <v>77.999835830454685</v>
      </c>
      <c r="AD191" s="3">
        <f t="shared" si="51"/>
        <v>2.55759026489146E-5</v>
      </c>
    </row>
    <row r="192" spans="3:30" x14ac:dyDescent="0.3">
      <c r="C192" s="22">
        <v>160</v>
      </c>
      <c r="D192" s="22">
        <v>5957</v>
      </c>
      <c r="F192" s="3">
        <f t="shared" si="38"/>
        <v>1368.4357987948831</v>
      </c>
      <c r="G192" s="3">
        <f t="shared" si="39"/>
        <v>225.15337355278467</v>
      </c>
      <c r="H192" s="3">
        <f t="shared" si="40"/>
        <v>1.2742167673981941</v>
      </c>
      <c r="I192" s="3">
        <f t="shared" si="41"/>
        <v>0.48528612836370055</v>
      </c>
      <c r="J192" s="3">
        <f t="shared" si="42"/>
        <v>-2.0599285573288553</v>
      </c>
      <c r="K192" s="3">
        <f t="shared" si="43"/>
        <v>0.59524719802734771</v>
      </c>
      <c r="L192" s="3" cm="1">
        <f t="array" ref="L192">lmb_2(F192)</f>
        <v>1361.2170137497178</v>
      </c>
      <c r="M192" s="3" cm="1">
        <f t="array" ref="M192">lmb_2(G192)</f>
        <v>219.76083371724238</v>
      </c>
      <c r="N192" s="3" cm="1">
        <f t="array" ref="N192">lmb_2(H192)</f>
        <v>1.1416991405122972</v>
      </c>
      <c r="O192" s="3" cm="1">
        <f t="array" ref="O192">lmb_2(I192)</f>
        <v>0.75988038051388429</v>
      </c>
      <c r="P192" s="3" cm="1">
        <f t="array" ref="P192">lmb_2(J192)</f>
        <v>0.11375752368896425</v>
      </c>
      <c r="R192" s="3">
        <f t="shared" si="44"/>
        <v>0.8441340212936872</v>
      </c>
      <c r="S192" s="3">
        <f t="shared" si="45"/>
        <v>47.941867241851128</v>
      </c>
      <c r="T192" s="3">
        <f t="shared" si="46"/>
        <v>1788.3078183024311</v>
      </c>
      <c r="U192" s="3">
        <f t="shared" si="36"/>
        <v>3737.0669749425824</v>
      </c>
      <c r="V192" s="3">
        <f t="shared" si="37"/>
        <v>0</v>
      </c>
      <c r="W192" s="3">
        <f t="shared" si="47"/>
        <v>386.39148694124827</v>
      </c>
      <c r="Y192" s="3">
        <f t="shared" si="48"/>
        <v>5961.1475286474333</v>
      </c>
      <c r="AA192" s="3">
        <f t="shared" si="49"/>
        <v>17.201993881280057</v>
      </c>
      <c r="AB192" s="3">
        <f t="shared" si="50"/>
        <v>-4.1475286474333188</v>
      </c>
      <c r="AD192" s="3">
        <f t="shared" si="51"/>
        <v>1.35996169467477E-6</v>
      </c>
    </row>
    <row r="193" spans="3:30" x14ac:dyDescent="0.3">
      <c r="C193" s="22">
        <v>161</v>
      </c>
      <c r="D193" s="22">
        <v>5905</v>
      </c>
      <c r="F193" s="3">
        <f t="shared" si="38"/>
        <v>1385.579608486589</v>
      </c>
      <c r="G193" s="3">
        <f t="shared" si="39"/>
        <v>227.96453269485212</v>
      </c>
      <c r="H193" s="3">
        <f t="shared" si="40"/>
        <v>1.2973821150326912</v>
      </c>
      <c r="I193" s="3">
        <f t="shared" si="41"/>
        <v>0.49156916999292721</v>
      </c>
      <c r="J193" s="3">
        <f t="shared" si="42"/>
        <v>-2.0596002231196482</v>
      </c>
      <c r="K193" s="3">
        <f t="shared" si="43"/>
        <v>0.56046730763813279</v>
      </c>
      <c r="L193" s="3" cm="1">
        <f t="array" ref="L193">lmb_2(F193)</f>
        <v>1378.3483450799906</v>
      </c>
      <c r="M193" s="3" cm="1">
        <f t="array" ref="M193">lmb_2(G193)</f>
        <v>222.55933893695033</v>
      </c>
      <c r="N193" s="3" cm="1">
        <f t="array" ref="N193">lmb_2(H193)</f>
        <v>1.1540792634626751</v>
      </c>
      <c r="O193" s="3" cm="1">
        <f t="array" ref="O193">lmb_2(I193)</f>
        <v>0.76259602023921225</v>
      </c>
      <c r="P193" s="3" cm="1">
        <f t="array" ref="P193">lmb_2(J193)</f>
        <v>0.11379106369138267</v>
      </c>
      <c r="R193" s="3">
        <f t="shared" si="44"/>
        <v>0.82843419922139783</v>
      </c>
      <c r="S193" s="3">
        <f t="shared" si="45"/>
        <v>47.038614190709914</v>
      </c>
      <c r="T193" s="3">
        <f t="shared" si="46"/>
        <v>1769.9499572551974</v>
      </c>
      <c r="U193" s="3">
        <f t="shared" si="36"/>
        <v>3741.2595306740623</v>
      </c>
      <c r="V193" s="3">
        <f t="shared" si="37"/>
        <v>0</v>
      </c>
      <c r="W193" s="3">
        <f t="shared" si="47"/>
        <v>388.49393373463107</v>
      </c>
      <c r="Y193" s="3">
        <f t="shared" si="48"/>
        <v>5948.1309373614604</v>
      </c>
      <c r="AA193" s="3">
        <f t="shared" si="49"/>
        <v>1860.2777576782191</v>
      </c>
      <c r="AB193" s="3">
        <f t="shared" si="50"/>
        <v>-43.130937361460383</v>
      </c>
      <c r="AD193" s="3">
        <f t="shared" si="51"/>
        <v>1.4142499703601156E-5</v>
      </c>
    </row>
    <row r="194" spans="3:30" x14ac:dyDescent="0.3">
      <c r="C194" s="22">
        <v>162</v>
      </c>
      <c r="D194" s="22">
        <v>6066</v>
      </c>
      <c r="F194" s="3">
        <f t="shared" si="38"/>
        <v>1402.8302331919506</v>
      </c>
      <c r="G194" s="3">
        <f t="shared" si="39"/>
        <v>230.7932068471506</v>
      </c>
      <c r="H194" s="3">
        <f t="shared" si="40"/>
        <v>1.320691795051204</v>
      </c>
      <c r="I194" s="3">
        <f t="shared" si="41"/>
        <v>0.49789135829897146</v>
      </c>
      <c r="J194" s="3">
        <f t="shared" si="42"/>
        <v>-2.0592698432144338</v>
      </c>
      <c r="K194" s="3">
        <f t="shared" si="43"/>
        <v>0.52771958267446639</v>
      </c>
      <c r="L194" s="3" cm="1">
        <f t="array" ref="L194">lmb_2(F194)</f>
        <v>1395.5865688460433</v>
      </c>
      <c r="M194" s="3" cm="1">
        <f t="array" ref="M194">lmb_2(G194)</f>
        <v>225.37543921680239</v>
      </c>
      <c r="N194" s="3" cm="1">
        <f t="array" ref="N194">lmb_2(H194)</f>
        <v>1.1665990629477061</v>
      </c>
      <c r="O194" s="3" cm="1">
        <f t="array" ref="O194">lmb_2(I194)</f>
        <v>0.76533412894630892</v>
      </c>
      <c r="P194" s="3" cm="1">
        <f t="array" ref="P194">lmb_2(J194)</f>
        <v>0.11382482162721776</v>
      </c>
      <c r="R194" s="3">
        <f t="shared" si="44"/>
        <v>0.81312153391711695</v>
      </c>
      <c r="S194" s="3">
        <f t="shared" si="45"/>
        <v>46.157938518347244</v>
      </c>
      <c r="T194" s="3">
        <f t="shared" si="46"/>
        <v>1751.6497417848764</v>
      </c>
      <c r="U194" s="3">
        <f t="shared" si="36"/>
        <v>3745.2110533753489</v>
      </c>
      <c r="V194" s="3">
        <f t="shared" si="37"/>
        <v>0</v>
      </c>
      <c r="W194" s="3">
        <f t="shared" si="47"/>
        <v>390.59638052801387</v>
      </c>
      <c r="Y194" s="3">
        <f t="shared" si="48"/>
        <v>5934.9559553231775</v>
      </c>
      <c r="AA194" s="3">
        <f t="shared" si="49"/>
        <v>17172.541645261059</v>
      </c>
      <c r="AB194" s="3">
        <f t="shared" si="50"/>
        <v>131.04404467682252</v>
      </c>
      <c r="AD194" s="3">
        <f t="shared" si="51"/>
        <v>4.2968933122623609E-5</v>
      </c>
    </row>
    <row r="195" spans="3:30" x14ac:dyDescent="0.3">
      <c r="C195" s="22">
        <v>163</v>
      </c>
      <c r="D195" s="22">
        <v>5800</v>
      </c>
      <c r="F195" s="3">
        <f t="shared" si="38"/>
        <v>1420.1876729109676</v>
      </c>
      <c r="G195" s="3">
        <f t="shared" si="39"/>
        <v>233.63939600967998</v>
      </c>
      <c r="H195" s="3">
        <f t="shared" si="40"/>
        <v>1.3441458074537322</v>
      </c>
      <c r="I195" s="3">
        <f t="shared" si="41"/>
        <v>0.50425269328183342</v>
      </c>
      <c r="J195" s="3">
        <f t="shared" si="42"/>
        <v>-2.0589374176132118</v>
      </c>
      <c r="K195" s="3">
        <f t="shared" si="43"/>
        <v>0.49688528508770663</v>
      </c>
      <c r="L195" s="3" cm="1">
        <f t="array" ref="L195">lmb_2(F195)</f>
        <v>1412.9316840927997</v>
      </c>
      <c r="M195" s="3" cm="1">
        <f t="array" ref="M195">lmb_2(G195)</f>
        <v>228.20913354873773</v>
      </c>
      <c r="N195" s="3" cm="1">
        <f t="array" ref="N195">lmb_2(H195)</f>
        <v>1.1792592880595349</v>
      </c>
      <c r="O195" s="3" cm="1">
        <f t="array" ref="O195">lmb_2(I195)</f>
        <v>0.76809480401146402</v>
      </c>
      <c r="P195" s="3" cm="1">
        <f t="array" ref="P195">lmb_2(J195)</f>
        <v>0.11385879766531934</v>
      </c>
      <c r="R195" s="3">
        <f t="shared" si="44"/>
        <v>0.79818415866248049</v>
      </c>
      <c r="S195" s="3">
        <f t="shared" si="45"/>
        <v>45.299138714599614</v>
      </c>
      <c r="T195" s="3">
        <f t="shared" si="46"/>
        <v>1733.4120941585138</v>
      </c>
      <c r="U195" s="3">
        <f t="shared" si="36"/>
        <v>3748.9229026938274</v>
      </c>
      <c r="V195" s="3">
        <f t="shared" si="37"/>
        <v>0</v>
      </c>
      <c r="W195" s="3">
        <f t="shared" si="47"/>
        <v>392.69882732139666</v>
      </c>
      <c r="Y195" s="3">
        <f t="shared" si="48"/>
        <v>5921.628032332088</v>
      </c>
      <c r="AA195" s="3">
        <f t="shared" si="49"/>
        <v>14793.378248975436</v>
      </c>
      <c r="AB195" s="3">
        <f t="shared" si="50"/>
        <v>-121.62803233208797</v>
      </c>
      <c r="AD195" s="3">
        <f t="shared" si="51"/>
        <v>3.9881452072107342E-5</v>
      </c>
    </row>
    <row r="196" spans="3:30" x14ac:dyDescent="0.3">
      <c r="C196" s="22">
        <v>164</v>
      </c>
      <c r="D196" s="22">
        <v>5905</v>
      </c>
      <c r="F196" s="3">
        <f t="shared" si="38"/>
        <v>1437.6519276436397</v>
      </c>
      <c r="G196" s="3">
        <f t="shared" si="39"/>
        <v>236.50310018244036</v>
      </c>
      <c r="H196" s="3">
        <f t="shared" si="40"/>
        <v>1.3677441522402769</v>
      </c>
      <c r="I196" s="3">
        <f t="shared" si="41"/>
        <v>0.51065317494151286</v>
      </c>
      <c r="J196" s="3">
        <f t="shared" si="42"/>
        <v>-2.0586029463159825</v>
      </c>
      <c r="K196" s="3">
        <f t="shared" si="43"/>
        <v>0.46785261461292638</v>
      </c>
      <c r="L196" s="3" cm="1">
        <f t="array" ref="L196">lmb_2(F196)</f>
        <v>1430.3836898827481</v>
      </c>
      <c r="M196" s="3" cm="1">
        <f t="array" ref="M196">lmb_2(G196)</f>
        <v>231.0604209435937</v>
      </c>
      <c r="N196" s="3" cm="1">
        <f t="array" ref="N196">lmb_2(H196)</f>
        <v>1.1920606793759903</v>
      </c>
      <c r="O196" s="3" cm="1">
        <f t="array" ref="O196">lmb_2(I196)</f>
        <v>0.77087814318948444</v>
      </c>
      <c r="P196" s="3" cm="1">
        <f t="array" ref="P196">lmb_2(J196)</f>
        <v>0.11389299197564057</v>
      </c>
      <c r="R196" s="3">
        <f t="shared" si="44"/>
        <v>0.78361064072618514</v>
      </c>
      <c r="S196" s="3">
        <f t="shared" si="45"/>
        <v>44.461539269080518</v>
      </c>
      <c r="T196" s="3">
        <f t="shared" si="46"/>
        <v>1715.2417630940427</v>
      </c>
      <c r="U196" s="3">
        <f t="shared" si="36"/>
        <v>3752.396462792371</v>
      </c>
      <c r="V196" s="3">
        <f t="shared" si="37"/>
        <v>0</v>
      </c>
      <c r="W196" s="3">
        <f t="shared" si="47"/>
        <v>394.80127411477946</v>
      </c>
      <c r="Y196" s="3">
        <f t="shared" si="48"/>
        <v>5908.1525025256124</v>
      </c>
      <c r="AA196" s="3">
        <f t="shared" si="49"/>
        <v>9.9382721739923259</v>
      </c>
      <c r="AB196" s="3">
        <f t="shared" si="50"/>
        <v>-3.1525025256123627</v>
      </c>
      <c r="AD196" s="3">
        <f t="shared" si="51"/>
        <v>1.0336957358574121E-6</v>
      </c>
    </row>
    <row r="197" spans="3:30" x14ac:dyDescent="0.3">
      <c r="C197" s="22">
        <v>165</v>
      </c>
      <c r="D197" s="22">
        <v>5883</v>
      </c>
      <c r="F197" s="3">
        <f t="shared" si="38"/>
        <v>1455.2229973899675</v>
      </c>
      <c r="G197" s="3">
        <f t="shared" si="39"/>
        <v>239.38431936543159</v>
      </c>
      <c r="H197" s="3">
        <f t="shared" si="40"/>
        <v>1.3914868294108362</v>
      </c>
      <c r="I197" s="3">
        <f t="shared" si="41"/>
        <v>0.5170928032780101</v>
      </c>
      <c r="J197" s="3">
        <f t="shared" si="42"/>
        <v>-2.0582664293227455</v>
      </c>
      <c r="K197" s="3">
        <f t="shared" si="43"/>
        <v>0.44051630339891279</v>
      </c>
      <c r="L197" s="3" cm="1">
        <f t="array" ref="L197">lmb_2(F197)</f>
        <v>1447.9425852955151</v>
      </c>
      <c r="M197" s="3" cm="1">
        <f t="array" ref="M197">lmb_2(G197)</f>
        <v>233.92930043063765</v>
      </c>
      <c r="N197" s="3" cm="1">
        <f t="array" ref="N197">lmb_2(H197)</f>
        <v>1.205003968834802</v>
      </c>
      <c r="O197" s="3" cm="1">
        <f t="array" ref="O197">lmb_2(I197)</f>
        <v>0.77368424460826357</v>
      </c>
      <c r="P197" s="3" cm="1">
        <f t="array" ref="P197">lmb_2(J197)</f>
        <v>0.11392740472923914</v>
      </c>
      <c r="R197" s="3">
        <f t="shared" si="44"/>
        <v>0.76938996295304374</v>
      </c>
      <c r="S197" s="3">
        <f t="shared" si="45"/>
        <v>43.644489554082575</v>
      </c>
      <c r="T197" s="3">
        <f t="shared" si="46"/>
        <v>1697.1433255197605</v>
      </c>
      <c r="U197" s="3">
        <f t="shared" si="36"/>
        <v>3755.6331418814693</v>
      </c>
      <c r="V197" s="3">
        <f t="shared" si="37"/>
        <v>0</v>
      </c>
      <c r="W197" s="3">
        <f t="shared" si="47"/>
        <v>396.90372090816226</v>
      </c>
      <c r="Y197" s="3">
        <f t="shared" si="48"/>
        <v>5894.5345841298267</v>
      </c>
      <c r="AA197" s="3">
        <f t="shared" si="49"/>
        <v>133.04663104805056</v>
      </c>
      <c r="AB197" s="3">
        <f t="shared" si="50"/>
        <v>-11.534584129826726</v>
      </c>
      <c r="AD197" s="3">
        <f t="shared" si="51"/>
        <v>3.7821541245472642E-6</v>
      </c>
    </row>
    <row r="198" spans="3:30" x14ac:dyDescent="0.3">
      <c r="C198" s="22">
        <v>166</v>
      </c>
      <c r="D198" s="22">
        <v>5864</v>
      </c>
      <c r="F198" s="3">
        <f t="shared" si="38"/>
        <v>1472.9008821499508</v>
      </c>
      <c r="G198" s="3">
        <f t="shared" si="39"/>
        <v>242.28305355865388</v>
      </c>
      <c r="H198" s="3">
        <f t="shared" si="40"/>
        <v>1.4153738389654111</v>
      </c>
      <c r="I198" s="3">
        <f t="shared" si="41"/>
        <v>0.52357157829132484</v>
      </c>
      <c r="J198" s="3">
        <f t="shared" si="42"/>
        <v>-2.0579278666335008</v>
      </c>
      <c r="K198" s="3">
        <f t="shared" si="43"/>
        <v>0.41477723432366037</v>
      </c>
      <c r="L198" s="3" cm="1">
        <f t="array" ref="L198">lmb_2(F198)</f>
        <v>1465.608369427448</v>
      </c>
      <c r="M198" s="3" cm="1">
        <f t="array" ref="M198">lmb_2(G198)</f>
        <v>236.81577105711381</v>
      </c>
      <c r="N198" s="3" cm="1">
        <f t="array" ref="N198">lmb_2(H198)</f>
        <v>1.2180898796138486</v>
      </c>
      <c r="O198" s="3" cm="1">
        <f t="array" ref="O198">lmb_2(I198)</f>
        <v>0.77651320676329549</v>
      </c>
      <c r="P198" s="3" cm="1">
        <f t="array" ref="P198">lmb_2(J198)</f>
        <v>0.11396203609827836</v>
      </c>
      <c r="R198" s="3">
        <f t="shared" si="44"/>
        <v>0.75551150624053443</v>
      </c>
      <c r="S198" s="3">
        <f t="shared" si="45"/>
        <v>42.847362761969244</v>
      </c>
      <c r="T198" s="3">
        <f t="shared" si="46"/>
        <v>1679.1211884472145</v>
      </c>
      <c r="U198" s="3">
        <f t="shared" si="36"/>
        <v>3758.6343717490572</v>
      </c>
      <c r="V198" s="3">
        <f t="shared" si="37"/>
        <v>0</v>
      </c>
      <c r="W198" s="3">
        <f t="shared" si="47"/>
        <v>399.00616770154511</v>
      </c>
      <c r="Y198" s="3">
        <f t="shared" si="48"/>
        <v>5880.7793794003501</v>
      </c>
      <c r="AA198" s="3">
        <f t="shared" si="49"/>
        <v>281.54757306089266</v>
      </c>
      <c r="AB198" s="3">
        <f t="shared" si="50"/>
        <v>-16.779379400350081</v>
      </c>
      <c r="AD198" s="3">
        <f t="shared" si="51"/>
        <v>5.5019061192049054E-6</v>
      </c>
    </row>
    <row r="199" spans="3:30" x14ac:dyDescent="0.3">
      <c r="C199" s="22">
        <v>167</v>
      </c>
      <c r="D199" s="22">
        <v>5828</v>
      </c>
      <c r="F199" s="3">
        <f t="shared" si="38"/>
        <v>1490.68558192359</v>
      </c>
      <c r="G199" s="3">
        <f t="shared" si="39"/>
        <v>245.1993027621071</v>
      </c>
      <c r="H199" s="3">
        <f t="shared" si="40"/>
        <v>1.4394051809040016</v>
      </c>
      <c r="I199" s="3">
        <f t="shared" si="41"/>
        <v>0.53008949998145716</v>
      </c>
      <c r="J199" s="3">
        <f t="shared" si="42"/>
        <v>-2.0575872582482488</v>
      </c>
      <c r="K199" s="3">
        <f t="shared" si="43"/>
        <v>0.39054208161143239</v>
      </c>
      <c r="L199" s="3" cm="1">
        <f t="array" ref="L199">lmb_2(F199)</f>
        <v>1483.3810413912145</v>
      </c>
      <c r="M199" s="3" cm="1">
        <f t="array" ref="M199">lmb_2(G199)</f>
        <v>239.719831887803</v>
      </c>
      <c r="N199" s="3" cm="1">
        <f t="array" ref="N199">lmb_2(H199)</f>
        <v>1.2313191260174567</v>
      </c>
      <c r="O199" s="3" cm="1">
        <f t="array" ref="O199">lmb_2(I199)</f>
        <v>0.77936512851213713</v>
      </c>
      <c r="P199" s="3" cm="1">
        <f t="array" ref="P199">lmb_2(J199)</f>
        <v>0.11399688625602807</v>
      </c>
      <c r="R199" s="3">
        <f t="shared" si="44"/>
        <v>0.7419650328549825</v>
      </c>
      <c r="S199" s="3">
        <f t="shared" si="45"/>
        <v>42.069554894087425</v>
      </c>
      <c r="T199" s="3">
        <f t="shared" si="46"/>
        <v>1661.1795909514219</v>
      </c>
      <c r="U199" s="3">
        <f t="shared" si="36"/>
        <v>3761.4016072881627</v>
      </c>
      <c r="V199" s="3">
        <f t="shared" si="37"/>
        <v>0</v>
      </c>
      <c r="W199" s="3">
        <f t="shared" si="47"/>
        <v>401.10861449492791</v>
      </c>
      <c r="Y199" s="3">
        <f t="shared" si="48"/>
        <v>5866.8918747430662</v>
      </c>
      <c r="AA199" s="3">
        <f t="shared" si="49"/>
        <v>1512.5779210303492</v>
      </c>
      <c r="AB199" s="3">
        <f t="shared" si="50"/>
        <v>-38.891874743066182</v>
      </c>
      <c r="AD199" s="3">
        <f t="shared" si="51"/>
        <v>1.2752524305622539E-5</v>
      </c>
    </row>
    <row r="200" spans="3:30" x14ac:dyDescent="0.3">
      <c r="C200" s="22">
        <v>168</v>
      </c>
      <c r="D200" s="22">
        <v>5884</v>
      </c>
      <c r="F200" s="3">
        <f t="shared" si="38"/>
        <v>1508.5770967108842</v>
      </c>
      <c r="G200" s="3">
        <f t="shared" si="39"/>
        <v>248.13306697579122</v>
      </c>
      <c r="H200" s="3">
        <f t="shared" si="40"/>
        <v>1.4635808552266079</v>
      </c>
      <c r="I200" s="3">
        <f t="shared" si="41"/>
        <v>0.53664656834840707</v>
      </c>
      <c r="J200" s="3">
        <f t="shared" si="42"/>
        <v>-2.0572446041669892</v>
      </c>
      <c r="K200" s="3">
        <f t="shared" si="43"/>
        <v>0.36772297244832231</v>
      </c>
      <c r="L200" s="3" cm="1">
        <f t="array" ref="L200">lmb_2(F200)</f>
        <v>1501.2606003154094</v>
      </c>
      <c r="M200" s="3" cm="1">
        <f t="array" ref="M200">lmb_2(G200)</f>
        <v>242.64148200459655</v>
      </c>
      <c r="N200" s="3" cm="1">
        <f t="array" ref="N200">lmb_2(H200)</f>
        <v>1.2446924133687876</v>
      </c>
      <c r="O200" s="3" cm="1">
        <f t="array" ref="O200">lmb_2(I200)</f>
        <v>0.78224010906881836</v>
      </c>
      <c r="P200" s="3" cm="1">
        <f t="array" ref="P200">lmb_2(J200)</f>
        <v>0.1140319553768659</v>
      </c>
      <c r="R200" s="3">
        <f t="shared" si="44"/>
        <v>0.72874067054238478</v>
      </c>
      <c r="S200" s="3">
        <f t="shared" si="45"/>
        <v>41.310483798409173</v>
      </c>
      <c r="T200" s="3">
        <f t="shared" si="46"/>
        <v>1643.3226062523713</v>
      </c>
      <c r="U200" s="3">
        <f t="shared" si="36"/>
        <v>3763.9363260225546</v>
      </c>
      <c r="V200" s="3">
        <f t="shared" si="37"/>
        <v>0</v>
      </c>
      <c r="W200" s="3">
        <f t="shared" si="47"/>
        <v>403.2110612883107</v>
      </c>
      <c r="Y200" s="3">
        <f t="shared" si="48"/>
        <v>5852.8769410046361</v>
      </c>
      <c r="AA200" s="3">
        <f t="shared" si="49"/>
        <v>968.6448012288995</v>
      </c>
      <c r="AB200" s="3">
        <f t="shared" si="50"/>
        <v>31.123058995363863</v>
      </c>
      <c r="AD200" s="3">
        <f t="shared" si="51"/>
        <v>1.0205153876632356E-5</v>
      </c>
    </row>
    <row r="201" spans="3:30" x14ac:dyDescent="0.3">
      <c r="C201" s="22">
        <v>169</v>
      </c>
      <c r="D201" s="22">
        <v>5866</v>
      </c>
      <c r="F201" s="3">
        <f t="shared" si="38"/>
        <v>1526.5754265118337</v>
      </c>
      <c r="G201" s="3">
        <f t="shared" si="39"/>
        <v>251.08434619970632</v>
      </c>
      <c r="H201" s="3">
        <f t="shared" si="40"/>
        <v>1.4879008619332292</v>
      </c>
      <c r="I201" s="3">
        <f t="shared" si="41"/>
        <v>0.54324278339217469</v>
      </c>
      <c r="J201" s="3">
        <f t="shared" si="42"/>
        <v>-2.0568999043897223</v>
      </c>
      <c r="K201" s="3">
        <f t="shared" si="43"/>
        <v>0.34623716836939072</v>
      </c>
      <c r="L201" s="3" cm="1">
        <f t="array" ref="L201">lmb_2(F201)</f>
        <v>1519.2470453441786</v>
      </c>
      <c r="M201" s="3" cm="1">
        <f t="array" ref="M201">lmb_2(G201)</f>
        <v>245.58072050608266</v>
      </c>
      <c r="N201" s="3" cm="1">
        <f t="array" ref="N201">lmb_2(H201)</f>
        <v>1.2582104379083268</v>
      </c>
      <c r="O201" s="3" cm="1">
        <f t="array" ref="O201">lmb_2(I201)</f>
        <v>0.78513824799820042</v>
      </c>
      <c r="P201" s="3" cm="1">
        <f t="array" ref="P201">lmb_2(J201)</f>
        <v>0.11406724363627842</v>
      </c>
      <c r="R201" s="3">
        <f t="shared" si="44"/>
        <v>0.71582889739152966</v>
      </c>
      <c r="S201" s="3">
        <f t="shared" si="45"/>
        <v>40.569588253278667</v>
      </c>
      <c r="T201" s="3">
        <f t="shared" si="46"/>
        <v>1625.5541438917933</v>
      </c>
      <c r="U201" s="3">
        <f t="shared" si="36"/>
        <v>3766.2400276305361</v>
      </c>
      <c r="V201" s="3">
        <f t="shared" si="37"/>
        <v>0</v>
      </c>
      <c r="W201" s="3">
        <f t="shared" si="47"/>
        <v>405.3135080816935</v>
      </c>
      <c r="Y201" s="3">
        <f t="shared" si="48"/>
        <v>5838.7393339230621</v>
      </c>
      <c r="AA201" s="3">
        <f t="shared" si="49"/>
        <v>743.1439149583141</v>
      </c>
      <c r="AB201" s="3">
        <f t="shared" si="50"/>
        <v>27.260666076937923</v>
      </c>
      <c r="AD201" s="3">
        <f t="shared" si="51"/>
        <v>8.9386872972892597E-6</v>
      </c>
    </row>
    <row r="202" spans="3:30" x14ac:dyDescent="0.3">
      <c r="C202" s="22">
        <v>170</v>
      </c>
      <c r="D202" s="22">
        <v>5891</v>
      </c>
      <c r="F202" s="3">
        <f t="shared" si="38"/>
        <v>1544.6805713264391</v>
      </c>
      <c r="G202" s="3">
        <f t="shared" si="39"/>
        <v>254.05314043385232</v>
      </c>
      <c r="H202" s="3">
        <f t="shared" si="40"/>
        <v>1.5123652010238671</v>
      </c>
      <c r="I202" s="3">
        <f t="shared" si="41"/>
        <v>0.54987814511275979</v>
      </c>
      <c r="J202" s="3">
        <f t="shared" si="42"/>
        <v>-2.0565531589164476</v>
      </c>
      <c r="K202" s="3">
        <f t="shared" si="43"/>
        <v>0.32600676526213196</v>
      </c>
      <c r="L202" s="3" cm="1">
        <f t="array" ref="L202">lmb_2(F202)</f>
        <v>1537.3403756368505</v>
      </c>
      <c r="M202" s="3" cm="1">
        <f t="array" ref="M202">lmb_2(G202)</f>
        <v>248.5375465071449</v>
      </c>
      <c r="N202" s="3" cm="1">
        <f t="array" ref="N202">lmb_2(H202)</f>
        <v>1.2718738866984856</v>
      </c>
      <c r="O202" s="3" cm="1">
        <f t="array" ref="O202">lmb_2(I202)</f>
        <v>0.78805964521028271</v>
      </c>
      <c r="P202" s="3" cm="1">
        <f t="array" ref="P202">lmb_2(J202)</f>
        <v>0.11410275121086202</v>
      </c>
      <c r="R202" s="3">
        <f t="shared" si="44"/>
        <v>0.70322052740957597</v>
      </c>
      <c r="S202" s="3">
        <f t="shared" si="45"/>
        <v>39.84632709479596</v>
      </c>
      <c r="T202" s="3">
        <f t="shared" si="46"/>
        <v>1607.8779519992556</v>
      </c>
      <c r="U202" s="3">
        <f t="shared" si="36"/>
        <v>3768.314233467057</v>
      </c>
      <c r="V202" s="3">
        <f t="shared" si="37"/>
        <v>0</v>
      </c>
      <c r="W202" s="3">
        <f t="shared" si="47"/>
        <v>407.4159548750763</v>
      </c>
      <c r="Y202" s="3">
        <f t="shared" si="48"/>
        <v>5824.4836947288559</v>
      </c>
      <c r="AA202" s="3">
        <f t="shared" si="49"/>
        <v>4424.4188669240348</v>
      </c>
      <c r="AB202" s="3">
        <f t="shared" si="50"/>
        <v>66.51630527114412</v>
      </c>
      <c r="AD202" s="3">
        <f t="shared" si="51"/>
        <v>2.1810488830747456E-5</v>
      </c>
    </row>
    <row r="203" spans="3:30" x14ac:dyDescent="0.3">
      <c r="C203" s="22">
        <v>171</v>
      </c>
      <c r="D203" s="22">
        <v>5973</v>
      </c>
      <c r="F203" s="3">
        <f t="shared" si="38"/>
        <v>1562.8925311547</v>
      </c>
      <c r="G203" s="3">
        <f t="shared" si="39"/>
        <v>257.03944967822935</v>
      </c>
      <c r="H203" s="3">
        <f t="shared" si="40"/>
        <v>1.53697387249852</v>
      </c>
      <c r="I203" s="3">
        <f t="shared" si="41"/>
        <v>0.55655265351016281</v>
      </c>
      <c r="J203" s="3">
        <f t="shared" si="42"/>
        <v>-2.0562043677471653</v>
      </c>
      <c r="K203" s="3">
        <f t="shared" si="43"/>
        <v>0.30695841089854109</v>
      </c>
      <c r="L203" s="3" cm="1">
        <f t="array" ref="L203">lmb_2(F203)</f>
        <v>1555.5405903675774</v>
      </c>
      <c r="M203" s="3" cm="1">
        <f t="array" ref="M203">lmb_2(G203)</f>
        <v>251.51195913857327</v>
      </c>
      <c r="N203" s="3" cm="1">
        <f t="array" ref="N203">lmb_2(H203)</f>
        <v>1.2856834375343162</v>
      </c>
      <c r="O203" s="3" cm="1">
        <f t="array" ref="O203">lmb_2(I203)</f>
        <v>0.79100440095446012</v>
      </c>
      <c r="P203" s="3" cm="1">
        <f t="array" ref="P203">lmb_2(J203)</f>
        <v>0.11413847827832439</v>
      </c>
      <c r="R203" s="3">
        <f t="shared" si="44"/>
        <v>0.69090669677257621</v>
      </c>
      <c r="S203" s="3">
        <f t="shared" si="45"/>
        <v>39.140178385514901</v>
      </c>
      <c r="T203" s="3">
        <f t="shared" si="46"/>
        <v>1590.2976196416832</v>
      </c>
      <c r="U203" s="3">
        <f t="shared" si="36"/>
        <v>3770.1604860842876</v>
      </c>
      <c r="V203" s="3">
        <f t="shared" si="37"/>
        <v>0</v>
      </c>
      <c r="W203" s="3">
        <f t="shared" si="47"/>
        <v>409.51840166845909</v>
      </c>
      <c r="Y203" s="3">
        <f t="shared" si="48"/>
        <v>5810.1145508876161</v>
      </c>
      <c r="AA203" s="3">
        <f t="shared" si="49"/>
        <v>26531.669532542994</v>
      </c>
      <c r="AB203" s="3">
        <f t="shared" si="50"/>
        <v>162.88544911238387</v>
      </c>
      <c r="AD203" s="3">
        <f t="shared" si="51"/>
        <v>5.3409630226381698E-5</v>
      </c>
    </row>
    <row r="204" spans="3:30" x14ac:dyDescent="0.3">
      <c r="C204" s="22">
        <v>172</v>
      </c>
      <c r="D204" s="22">
        <v>5952</v>
      </c>
      <c r="F204" s="3">
        <f t="shared" si="38"/>
        <v>1581.2113059966164</v>
      </c>
      <c r="G204" s="3">
        <f t="shared" si="39"/>
        <v>260.04327393283728</v>
      </c>
      <c r="H204" s="3">
        <f t="shared" si="40"/>
        <v>1.5617268763571881</v>
      </c>
      <c r="I204" s="3">
        <f t="shared" si="41"/>
        <v>0.5632663085843832</v>
      </c>
      <c r="J204" s="3">
        <f t="shared" si="42"/>
        <v>-2.0558535308818757</v>
      </c>
      <c r="K204" s="3">
        <f t="shared" si="43"/>
        <v>0.28902303897158521</v>
      </c>
      <c r="L204" s="3" cm="1">
        <f t="array" ref="L204">lmb_2(F204)</f>
        <v>1573.8476887249906</v>
      </c>
      <c r="M204" s="3" cm="1">
        <f t="array" ref="M204">lmb_2(G204)</f>
        <v>254.50395754668594</v>
      </c>
      <c r="N204" s="3" cm="1">
        <f t="array" ref="N204">lmb_2(H204)</f>
        <v>1.2996397588603401</v>
      </c>
      <c r="O204" s="3" cm="1">
        <f t="array" ref="O204">lmb_2(I204)</f>
        <v>0.79397261581372769</v>
      </c>
      <c r="P204" s="3" cm="1">
        <f t="array" ref="P204">lmb_2(J204)</f>
        <v>0.11417442501748519</v>
      </c>
      <c r="R204" s="3">
        <f t="shared" si="44"/>
        <v>0.67887885071560938</v>
      </c>
      <c r="S204" s="3">
        <f t="shared" si="45"/>
        <v>38.45063862226948</v>
      </c>
      <c r="T204" s="3">
        <f t="shared" si="46"/>
        <v>1572.8165792504867</v>
      </c>
      <c r="U204" s="3">
        <f t="shared" si="36"/>
        <v>3771.7803487508399</v>
      </c>
      <c r="V204" s="3">
        <f t="shared" si="37"/>
        <v>0</v>
      </c>
      <c r="W204" s="3">
        <f t="shared" si="47"/>
        <v>411.62084846184189</v>
      </c>
      <c r="Y204" s="3">
        <f t="shared" si="48"/>
        <v>5795.6363169751248</v>
      </c>
      <c r="AA204" s="3">
        <f t="shared" si="49"/>
        <v>24449.601369103635</v>
      </c>
      <c r="AB204" s="3">
        <f t="shared" si="50"/>
        <v>156.36368302487517</v>
      </c>
      <c r="AD204" s="3">
        <f t="shared" si="51"/>
        <v>5.1271163487609556E-5</v>
      </c>
    </row>
    <row r="205" spans="3:30" x14ac:dyDescent="0.3">
      <c r="C205" s="22">
        <v>173</v>
      </c>
      <c r="D205" s="22">
        <v>5735</v>
      </c>
      <c r="F205" s="3">
        <f t="shared" si="38"/>
        <v>1599.6368958521878</v>
      </c>
      <c r="G205" s="3">
        <f t="shared" si="39"/>
        <v>263.06461319767624</v>
      </c>
      <c r="H205" s="3">
        <f t="shared" si="40"/>
        <v>1.5866242125998722</v>
      </c>
      <c r="I205" s="3">
        <f t="shared" si="41"/>
        <v>0.57001911033542119</v>
      </c>
      <c r="J205" s="3">
        <f t="shared" si="42"/>
        <v>-2.0555006483205784</v>
      </c>
      <c r="K205" s="3">
        <f t="shared" si="43"/>
        <v>0.27213561867174585</v>
      </c>
      <c r="L205" s="3" cm="1">
        <f t="array" ref="L205">lmb_2(F205)</f>
        <v>1592.2616699118635</v>
      </c>
      <c r="M205" s="3" cm="1">
        <f t="array" ref="M205">lmb_2(G205)</f>
        <v>257.51354089296296</v>
      </c>
      <c r="N205" s="3" cm="1">
        <f t="array" ref="N205">lmb_2(H205)</f>
        <v>1.3137435096934669</v>
      </c>
      <c r="O205" s="3" cm="1">
        <f t="array" ref="O205">lmb_2(I205)</f>
        <v>0.79696439069883884</v>
      </c>
      <c r="P205" s="3" cm="1">
        <f t="array" ref="P205">lmb_2(J205)</f>
        <v>0.11421059160827758</v>
      </c>
      <c r="R205" s="3">
        <f t="shared" si="44"/>
        <v>0.66712873102924042</v>
      </c>
      <c r="S205" s="3">
        <f t="shared" si="45"/>
        <v>37.777221981069729</v>
      </c>
      <c r="T205" s="3">
        <f t="shared" si="46"/>
        <v>1555.4381091205612</v>
      </c>
      <c r="U205" s="3">
        <f t="shared" si="36"/>
        <v>3773.1754049697442</v>
      </c>
      <c r="V205" s="3">
        <f t="shared" si="37"/>
        <v>0</v>
      </c>
      <c r="W205" s="3">
        <f t="shared" si="47"/>
        <v>413.72329525522468</v>
      </c>
      <c r="Y205" s="3">
        <f t="shared" si="48"/>
        <v>5781.0532956763009</v>
      </c>
      <c r="AA205" s="3">
        <f t="shared" si="49"/>
        <v>2120.9060426487931</v>
      </c>
      <c r="AB205" s="3">
        <f t="shared" si="50"/>
        <v>-46.053295676300877</v>
      </c>
      <c r="AD205" s="3">
        <f t="shared" si="51"/>
        <v>1.5100731871269693E-5</v>
      </c>
    </row>
    <row r="206" spans="3:30" x14ac:dyDescent="0.3">
      <c r="C206" s="22">
        <v>174</v>
      </c>
      <c r="D206" s="22">
        <v>5756</v>
      </c>
      <c r="F206" s="3">
        <f t="shared" si="38"/>
        <v>1618.1693007214151</v>
      </c>
      <c r="G206" s="3">
        <f t="shared" si="39"/>
        <v>266.10346747274599</v>
      </c>
      <c r="H206" s="3">
        <f t="shared" si="40"/>
        <v>1.6116658812265714</v>
      </c>
      <c r="I206" s="3">
        <f t="shared" si="41"/>
        <v>0.57681105876327676</v>
      </c>
      <c r="J206" s="3">
        <f t="shared" si="42"/>
        <v>-2.0551457200632739</v>
      </c>
      <c r="K206" s="3">
        <f t="shared" si="43"/>
        <v>0.25623491889563427</v>
      </c>
      <c r="L206" s="3" cm="1">
        <f t="array" ref="L206">lmb_2(F206)</f>
        <v>1610.7825331447857</v>
      </c>
      <c r="M206" s="3" cm="1">
        <f t="array" ref="M206">lmb_2(G206)</f>
        <v>260.54070835368969</v>
      </c>
      <c r="N206" s="3" cm="1">
        <f t="array" ref="N206">lmb_2(H206)</f>
        <v>1.3279953395519892</v>
      </c>
      <c r="O206" s="3" cm="1">
        <f t="array" ref="O206">lmb_2(I206)</f>
        <v>0.79997982684241176</v>
      </c>
      <c r="P206" s="3" cm="1">
        <f t="array" ref="P206">lmb_2(J206)</f>
        <v>0.11424697823174909</v>
      </c>
      <c r="R206" s="3">
        <f t="shared" si="44"/>
        <v>0.6556483641309292</v>
      </c>
      <c r="S206" s="3">
        <f t="shared" si="45"/>
        <v>37.119459597128674</v>
      </c>
      <c r="T206" s="3">
        <f t="shared" si="46"/>
        <v>1538.1653359755089</v>
      </c>
      <c r="U206" s="3">
        <f t="shared" si="36"/>
        <v>3774.3472579954018</v>
      </c>
      <c r="V206" s="3">
        <f t="shared" si="37"/>
        <v>0</v>
      </c>
      <c r="W206" s="3">
        <f t="shared" si="47"/>
        <v>415.82574204860748</v>
      </c>
      <c r="Y206" s="3">
        <f t="shared" si="48"/>
        <v>5766.3696788996731</v>
      </c>
      <c r="AA206" s="3">
        <f t="shared" si="49"/>
        <v>107.53024048232531</v>
      </c>
      <c r="AB206" s="3">
        <f t="shared" si="50"/>
        <v>-10.36967889967309</v>
      </c>
      <c r="AD206" s="3">
        <f t="shared" si="51"/>
        <v>3.4001853364797885E-6</v>
      </c>
    </row>
    <row r="207" spans="3:30" x14ac:dyDescent="0.3">
      <c r="C207" s="22">
        <v>175</v>
      </c>
      <c r="D207" s="22">
        <v>5835</v>
      </c>
      <c r="F207" s="3">
        <f t="shared" si="38"/>
        <v>1636.8085206042979</v>
      </c>
      <c r="G207" s="3">
        <f t="shared" si="39"/>
        <v>269.15983675804682</v>
      </c>
      <c r="H207" s="3">
        <f t="shared" si="40"/>
        <v>1.6368518822372866</v>
      </c>
      <c r="I207" s="3">
        <f t="shared" si="41"/>
        <v>0.58364215386794993</v>
      </c>
      <c r="J207" s="3">
        <f t="shared" si="42"/>
        <v>-2.0547887461099617</v>
      </c>
      <c r="K207" s="3">
        <f t="shared" si="43"/>
        <v>0.24126328623173701</v>
      </c>
      <c r="L207" s="3" cm="1">
        <f t="array" ref="L207">lmb_2(F207)</f>
        <v>1629.4102776538441</v>
      </c>
      <c r="M207" s="3" cm="1">
        <f t="array" ref="M207">lmb_2(G207)</f>
        <v>263.58545911961215</v>
      </c>
      <c r="N207" s="3" cm="1">
        <f t="array" ref="N207">lmb_2(H207)</f>
        <v>1.3423958883906242</v>
      </c>
      <c r="O207" s="3" cm="1">
        <f t="array" ref="O207">lmb_2(I207)</f>
        <v>0.80301902579298912</v>
      </c>
      <c r="P207" s="3" cm="1">
        <f t="array" ref="P207">lmb_2(J207)</f>
        <v>0.11428358507006295</v>
      </c>
      <c r="R207" s="3">
        <f t="shared" si="44"/>
        <v>0.64443004968181627</v>
      </c>
      <c r="S207" s="3">
        <f t="shared" si="45"/>
        <v>36.476898878192792</v>
      </c>
      <c r="T207" s="3">
        <f t="shared" si="46"/>
        <v>1521.0012375935269</v>
      </c>
      <c r="U207" s="3">
        <f t="shared" si="36"/>
        <v>3775.2975303496073</v>
      </c>
      <c r="V207" s="3">
        <f t="shared" si="37"/>
        <v>0</v>
      </c>
      <c r="W207" s="3">
        <f t="shared" si="47"/>
        <v>417.92818884199028</v>
      </c>
      <c r="Y207" s="3">
        <f t="shared" si="48"/>
        <v>5751.5895489992299</v>
      </c>
      <c r="AA207" s="3">
        <f t="shared" si="49"/>
        <v>6957.3033361518665</v>
      </c>
      <c r="AB207" s="3">
        <f t="shared" si="50"/>
        <v>83.410451000770081</v>
      </c>
      <c r="AD207" s="3">
        <f t="shared" si="51"/>
        <v>2.7350026471014963E-5</v>
      </c>
    </row>
    <row r="208" spans="3:30" x14ac:dyDescent="0.3">
      <c r="C208" s="22">
        <v>176</v>
      </c>
      <c r="D208" s="22">
        <v>5650</v>
      </c>
      <c r="F208" s="3">
        <f t="shared" si="38"/>
        <v>1655.5545555008359</v>
      </c>
      <c r="G208" s="3">
        <f t="shared" si="39"/>
        <v>272.23372105357856</v>
      </c>
      <c r="H208" s="3">
        <f t="shared" si="40"/>
        <v>1.6621822156320178</v>
      </c>
      <c r="I208" s="3">
        <f t="shared" si="41"/>
        <v>0.5905123956494408</v>
      </c>
      <c r="J208" s="3">
        <f t="shared" si="42"/>
        <v>-2.0544297264606421</v>
      </c>
      <c r="K208" s="3">
        <f t="shared" si="43"/>
        <v>0.2271664359183046</v>
      </c>
      <c r="L208" s="3" cm="1">
        <f t="array" ref="L208">lmb_2(F208)</f>
        <v>1648.1449026823152</v>
      </c>
      <c r="M208" s="3" cm="1">
        <f t="array" ref="M208">lmb_2(G208)</f>
        <v>266.64779239560016</v>
      </c>
      <c r="N208" s="3" cm="1">
        <f t="array" ref="N208">lmb_2(H208)</f>
        <v>1.3569457865415611</v>
      </c>
      <c r="O208" s="3" cm="1">
        <f t="array" ref="O208">lmb_2(I208)</f>
        <v>0.80608208940904913</v>
      </c>
      <c r="P208" s="3" cm="1">
        <f t="array" ref="P208">lmb_2(J208)</f>
        <v>0.11432041230649916</v>
      </c>
      <c r="R208" s="3">
        <f t="shared" si="44"/>
        <v>0.63346634972097804</v>
      </c>
      <c r="S208" s="3">
        <f t="shared" si="45"/>
        <v>35.849102849454816</v>
      </c>
      <c r="T208" s="3">
        <f t="shared" si="46"/>
        <v>1503.9486454885164</v>
      </c>
      <c r="U208" s="3">
        <f t="shared" si="36"/>
        <v>3776.0278633368443</v>
      </c>
      <c r="V208" s="3">
        <f t="shared" si="37"/>
        <v>0</v>
      </c>
      <c r="W208" s="3">
        <f t="shared" si="47"/>
        <v>420.03063563537307</v>
      </c>
      <c r="Y208" s="3">
        <f t="shared" si="48"/>
        <v>5736.7168800958279</v>
      </c>
      <c r="AA208" s="3">
        <f t="shared" si="49"/>
        <v>7519.8172935542007</v>
      </c>
      <c r="AB208" s="3">
        <f t="shared" si="50"/>
        <v>-86.716880095827946</v>
      </c>
      <c r="AD208" s="3">
        <f t="shared" si="51"/>
        <v>2.8434194248426113E-5</v>
      </c>
    </row>
    <row r="209" spans="3:30" x14ac:dyDescent="0.3">
      <c r="C209" s="22">
        <v>177</v>
      </c>
      <c r="D209" s="22">
        <v>5732</v>
      </c>
      <c r="F209" s="3">
        <f t="shared" si="38"/>
        <v>1674.4074054110299</v>
      </c>
      <c r="G209" s="3">
        <f t="shared" si="39"/>
        <v>275.32512035934133</v>
      </c>
      <c r="H209" s="3">
        <f t="shared" si="40"/>
        <v>1.6876568814107638</v>
      </c>
      <c r="I209" s="3">
        <f t="shared" si="41"/>
        <v>0.59742178410774949</v>
      </c>
      <c r="J209" s="3">
        <f t="shared" si="42"/>
        <v>-2.0540686611153149</v>
      </c>
      <c r="K209" s="3">
        <f t="shared" si="43"/>
        <v>0.21389325501542825</v>
      </c>
      <c r="L209" s="3" cm="1">
        <f t="array" ref="L209">lmb_2(F209)</f>
        <v>1666.9864074863667</v>
      </c>
      <c r="M209" s="3" cm="1">
        <f t="array" ref="M209">lmb_2(G209)</f>
        <v>269.72770740032217</v>
      </c>
      <c r="N209" s="3" cm="1">
        <f t="array" ref="N209">lmb_2(H209)</f>
        <v>1.371645654661477</v>
      </c>
      <c r="O209" s="3" cm="1">
        <f t="array" ref="O209">lmb_2(I209)</f>
        <v>0.80916911985296902</v>
      </c>
      <c r="P209" s="3" cm="1">
        <f t="array" ref="P209">lmb_2(J209)</f>
        <v>0.1143574601254556</v>
      </c>
      <c r="R209" s="3">
        <f t="shared" si="44"/>
        <v>0.62275007829083828</v>
      </c>
      <c r="S209" s="3">
        <f t="shared" si="45"/>
        <v>35.235649528423842</v>
      </c>
      <c r="T209" s="3">
        <f t="shared" si="46"/>
        <v>1487.0102476410757</v>
      </c>
      <c r="U209" s="3">
        <f t="shared" si="36"/>
        <v>3776.5399165589847</v>
      </c>
      <c r="V209" s="3">
        <f t="shared" si="37"/>
        <v>0</v>
      </c>
      <c r="W209" s="3">
        <f t="shared" si="47"/>
        <v>422.13308242875593</v>
      </c>
      <c r="Y209" s="3">
        <f t="shared" si="48"/>
        <v>5721.7555394905467</v>
      </c>
      <c r="AA209" s="3">
        <f t="shared" si="49"/>
        <v>104.94897112974914</v>
      </c>
      <c r="AB209" s="3">
        <f t="shared" si="50"/>
        <v>10.244460509453347</v>
      </c>
      <c r="AD209" s="3">
        <f t="shared" si="51"/>
        <v>3.359126617265619E-6</v>
      </c>
    </row>
    <row r="210" spans="3:30" x14ac:dyDescent="0.3">
      <c r="C210" s="22">
        <v>178</v>
      </c>
      <c r="D210" s="22">
        <v>5660</v>
      </c>
      <c r="F210" s="3">
        <f t="shared" si="38"/>
        <v>1693.3670703348787</v>
      </c>
      <c r="G210" s="3">
        <f t="shared" si="39"/>
        <v>278.43403467533489</v>
      </c>
      <c r="H210" s="3">
        <f t="shared" si="40"/>
        <v>1.7132758795735252</v>
      </c>
      <c r="I210" s="3">
        <f t="shared" si="41"/>
        <v>0.60437031924287554</v>
      </c>
      <c r="J210" s="3">
        <f t="shared" si="42"/>
        <v>-2.05370555007398</v>
      </c>
      <c r="K210" s="3">
        <f t="shared" si="43"/>
        <v>0.20139561707763959</v>
      </c>
      <c r="L210" s="3" cm="1">
        <f t="array" ref="L210">lmb_2(F210)</f>
        <v>1685.9347913347638</v>
      </c>
      <c r="M210" s="3" cm="1">
        <f t="array" ref="M210">lmb_2(G210)</f>
        <v>272.82520336592802</v>
      </c>
      <c r="N210" s="3" cm="1">
        <f t="array" ref="N210">lmb_2(H210)</f>
        <v>1.3864961036844703</v>
      </c>
      <c r="O210" s="3" cm="1">
        <f t="array" ref="O210">lmb_2(I210)</f>
        <v>0.81228021958494334</v>
      </c>
      <c r="P210" s="3" cm="1">
        <f t="array" ref="P210">lmb_2(J210)</f>
        <v>0.11439472871244927</v>
      </c>
      <c r="R210" s="3">
        <f t="shared" si="44"/>
        <v>0.61227429152889057</v>
      </c>
      <c r="S210" s="3">
        <f t="shared" si="45"/>
        <v>34.636131328222177</v>
      </c>
      <c r="T210" s="3">
        <f t="shared" si="46"/>
        <v>1470.1885912741498</v>
      </c>
      <c r="U210" s="3">
        <f t="shared" si="36"/>
        <v>3776.835367429539</v>
      </c>
      <c r="V210" s="3">
        <f t="shared" si="37"/>
        <v>0</v>
      </c>
      <c r="W210" s="3">
        <f t="shared" si="47"/>
        <v>424.23552922213872</v>
      </c>
      <c r="Y210" s="3">
        <f t="shared" si="48"/>
        <v>5706.7092891626571</v>
      </c>
      <c r="AA210" s="3">
        <f t="shared" si="49"/>
        <v>2181.7576940807176</v>
      </c>
      <c r="AB210" s="3">
        <f t="shared" si="50"/>
        <v>-46.709289162657115</v>
      </c>
      <c r="AD210" s="3">
        <f t="shared" si="51"/>
        <v>1.53158300873972E-5</v>
      </c>
    </row>
    <row r="211" spans="3:30" x14ac:dyDescent="0.3">
      <c r="C211" s="22">
        <v>179</v>
      </c>
      <c r="D211" s="22">
        <v>5661</v>
      </c>
      <c r="F211" s="3">
        <f t="shared" si="38"/>
        <v>1712.4335502723834</v>
      </c>
      <c r="G211" s="3">
        <f t="shared" si="39"/>
        <v>281.56046400155952</v>
      </c>
      <c r="H211" s="3">
        <f t="shared" si="40"/>
        <v>1.7390392101203027</v>
      </c>
      <c r="I211" s="3">
        <f t="shared" si="41"/>
        <v>0.61135800105481919</v>
      </c>
      <c r="J211" s="3">
        <f t="shared" si="42"/>
        <v>-2.0533403933366379</v>
      </c>
      <c r="K211" s="3">
        <f t="shared" si="43"/>
        <v>0.18962820765506422</v>
      </c>
      <c r="L211" s="3" cm="1">
        <f t="array" ref="L211">lmb_2(F211)</f>
        <v>1704.9900535085899</v>
      </c>
      <c r="M211" s="3" cm="1">
        <f t="array" ref="M211">lmb_2(G211)</f>
        <v>275.94027953774201</v>
      </c>
      <c r="N211" s="3" cm="1">
        <f t="array" ref="N211">lmb_2(H211)</f>
        <v>1.4014977347808506</v>
      </c>
      <c r="O211" s="3" cm="1">
        <f t="array" ref="O211">lmb_2(I211)</f>
        <v>0.81541549135685498</v>
      </c>
      <c r="P211" s="3" cm="1">
        <f t="array" ref="P211">lmb_2(J211)</f>
        <v>0.11443221825411744</v>
      </c>
      <c r="R211" s="3">
        <f t="shared" si="44"/>
        <v>0.60203227820227945</v>
      </c>
      <c r="S211" s="3">
        <f t="shared" si="45"/>
        <v>34.050154487862905</v>
      </c>
      <c r="T211" s="3">
        <f t="shared" si="46"/>
        <v>1453.486085668251</v>
      </c>
      <c r="U211" s="3">
        <f t="shared" si="36"/>
        <v>3776.9159106876332</v>
      </c>
      <c r="V211" s="3">
        <f t="shared" si="37"/>
        <v>0</v>
      </c>
      <c r="W211" s="3">
        <f t="shared" si="47"/>
        <v>426.33797601552152</v>
      </c>
      <c r="Y211" s="3">
        <f t="shared" si="48"/>
        <v>5691.5817873451251</v>
      </c>
      <c r="AA211" s="3">
        <f t="shared" si="49"/>
        <v>935.24571722245503</v>
      </c>
      <c r="AB211" s="3">
        <f t="shared" si="50"/>
        <v>-30.581787345125122</v>
      </c>
      <c r="AD211" s="3">
        <f t="shared" si="51"/>
        <v>1.0027672592399726E-5</v>
      </c>
    </row>
    <row r="212" spans="3:30" x14ac:dyDescent="0.3">
      <c r="C212" s="22">
        <v>180</v>
      </c>
      <c r="D212" s="22">
        <v>5760</v>
      </c>
      <c r="F212" s="3">
        <f t="shared" si="38"/>
        <v>1731.606845223544</v>
      </c>
      <c r="G212" s="3">
        <f t="shared" si="39"/>
        <v>284.70440833801507</v>
      </c>
      <c r="H212" s="3">
        <f t="shared" si="40"/>
        <v>1.7649468730510953</v>
      </c>
      <c r="I212" s="3">
        <f t="shared" si="41"/>
        <v>0.61838482954358043</v>
      </c>
      <c r="J212" s="3">
        <f t="shared" si="42"/>
        <v>-2.052973190903288</v>
      </c>
      <c r="K212" s="3">
        <f t="shared" si="43"/>
        <v>0.1785483599904249</v>
      </c>
      <c r="L212" s="3" cm="1">
        <f t="array" ref="L212">lmb_2(F212)</f>
        <v>1724.1521933009685</v>
      </c>
      <c r="M212" s="3" cm="1">
        <f t="array" ref="M212">lmb_2(G212)</f>
        <v>279.07293517396289</v>
      </c>
      <c r="N212" s="3" cm="1">
        <f t="array" ref="N212">lmb_2(H212)</f>
        <v>1.4166511393217269</v>
      </c>
      <c r="O212" s="3" cm="1">
        <f t="array" ref="O212">lmb_2(I212)</f>
        <v>0.81857503820610189</v>
      </c>
      <c r="P212" s="3" cm="1">
        <f t="array" ref="P212">lmb_2(J212)</f>
        <v>0.11446992893821881</v>
      </c>
      <c r="R212" s="3">
        <f t="shared" si="44"/>
        <v>0.59201755066309181</v>
      </c>
      <c r="S212" s="3">
        <f t="shared" si="45"/>
        <v>33.477338528144969</v>
      </c>
      <c r="T212" s="3">
        <f t="shared" si="46"/>
        <v>1436.905005011273</v>
      </c>
      <c r="U212" s="3">
        <f t="shared" si="36"/>
        <v>3776.7832579118458</v>
      </c>
      <c r="V212" s="3">
        <f t="shared" si="37"/>
        <v>0</v>
      </c>
      <c r="W212" s="3">
        <f t="shared" si="47"/>
        <v>428.44042280890432</v>
      </c>
      <c r="Y212" s="3">
        <f t="shared" si="48"/>
        <v>5676.3765901708221</v>
      </c>
      <c r="AA212" s="3">
        <f t="shared" si="49"/>
        <v>6992.8746714586541</v>
      </c>
      <c r="AB212" s="3">
        <f t="shared" si="50"/>
        <v>83.623409829177945</v>
      </c>
      <c r="AD212" s="3">
        <f t="shared" si="51"/>
        <v>2.7419855005980414E-5</v>
      </c>
    </row>
    <row r="213" spans="3:30" x14ac:dyDescent="0.3">
      <c r="C213" s="22">
        <v>181</v>
      </c>
      <c r="D213" s="22">
        <v>5849</v>
      </c>
      <c r="F213" s="3">
        <f t="shared" si="38"/>
        <v>1750.886955188359</v>
      </c>
      <c r="G213" s="3">
        <f t="shared" si="39"/>
        <v>287.86586768470158</v>
      </c>
      <c r="H213" s="3">
        <f t="shared" si="40"/>
        <v>1.7909988683659039</v>
      </c>
      <c r="I213" s="3">
        <f t="shared" si="41"/>
        <v>0.62545080470915937</v>
      </c>
      <c r="J213" s="3">
        <f t="shared" si="42"/>
        <v>-2.0526039427739304</v>
      </c>
      <c r="K213" s="3">
        <f t="shared" si="43"/>
        <v>0.16811590031615761</v>
      </c>
      <c r="L213" s="3" cm="1">
        <f t="array" ref="L213">lmb_2(F213)</f>
        <v>1743.4212100167956</v>
      </c>
      <c r="M213" s="3" cm="1">
        <f t="array" ref="M213">lmb_2(G213)</f>
        <v>282.22316954537399</v>
      </c>
      <c r="N213" s="3" cm="1">
        <f t="array" ref="N213">lmb_2(H213)</f>
        <v>1.431956898849327</v>
      </c>
      <c r="O213" s="3" cm="1">
        <f t="array" ref="O213">lmb_2(I213)</f>
        <v>0.82175896344937882</v>
      </c>
      <c r="P213" s="3" cm="1">
        <f t="array" ref="P213">lmb_2(J213)</f>
        <v>0.11450786095363481</v>
      </c>
      <c r="R213" s="3">
        <f t="shared" si="44"/>
        <v>0.5822238362034331</v>
      </c>
      <c r="S213" s="3">
        <f t="shared" si="45"/>
        <v>32.91731573187672</v>
      </c>
      <c r="T213" s="3">
        <f t="shared" si="46"/>
        <v>1420.4474912780538</v>
      </c>
      <c r="U213" s="3">
        <f t="shared" si="36"/>
        <v>3776.4391370340559</v>
      </c>
      <c r="V213" s="3">
        <f t="shared" si="37"/>
        <v>0</v>
      </c>
      <c r="W213" s="3">
        <f t="shared" si="47"/>
        <v>430.54286960228711</v>
      </c>
      <c r="Y213" s="3">
        <f t="shared" si="48"/>
        <v>5661.0971533827933</v>
      </c>
      <c r="AA213" s="3">
        <f t="shared" si="49"/>
        <v>35307.479766849508</v>
      </c>
      <c r="AB213" s="3">
        <f t="shared" si="50"/>
        <v>187.90284661720671</v>
      </c>
      <c r="AD213" s="3">
        <f t="shared" si="51"/>
        <v>6.1612756762485568E-5</v>
      </c>
    </row>
    <row r="214" spans="3:30" x14ac:dyDescent="0.3">
      <c r="C214" s="22">
        <v>182</v>
      </c>
      <c r="D214" s="22">
        <v>5749</v>
      </c>
      <c r="F214" s="3">
        <f t="shared" si="38"/>
        <v>1770.2738801668308</v>
      </c>
      <c r="G214" s="3">
        <f t="shared" si="39"/>
        <v>291.04484204161906</v>
      </c>
      <c r="H214" s="3">
        <f t="shared" si="40"/>
        <v>1.8171951960647281</v>
      </c>
      <c r="I214" s="3">
        <f t="shared" si="41"/>
        <v>0.6325559265515559</v>
      </c>
      <c r="J214" s="3">
        <f t="shared" si="42"/>
        <v>-2.0522326489485656</v>
      </c>
      <c r="K214" s="3">
        <f t="shared" si="43"/>
        <v>0.15829300219071107</v>
      </c>
      <c r="L214" s="3" cm="1">
        <f t="array" ref="L214">lmb_2(F214)</f>
        <v>1762.7971029724847</v>
      </c>
      <c r="M214" s="3" cm="1">
        <f t="array" ref="M214">lmb_2(G214)</f>
        <v>285.39098193506061</v>
      </c>
      <c r="N214" s="3" cm="1">
        <f t="array" ref="N214">lmb_2(H214)</f>
        <v>1.4474155850529635</v>
      </c>
      <c r="O214" s="3" cm="1">
        <f t="array" ref="O214">lmb_2(I214)</f>
        <v>0.82496737067641535</v>
      </c>
      <c r="P214" s="3" cm="1">
        <f t="array" ref="P214">lmb_2(J214)</f>
        <v>0.11454601449037045</v>
      </c>
      <c r="R214" s="3">
        <f t="shared" si="44"/>
        <v>0.57264506879050947</v>
      </c>
      <c r="S214" s="3">
        <f t="shared" si="45"/>
        <v>32.369730647212606</v>
      </c>
      <c r="T214" s="3">
        <f t="shared" si="46"/>
        <v>1404.115557135013</v>
      </c>
      <c r="U214" s="3">
        <f t="shared" si="36"/>
        <v>3775.8852918534653</v>
      </c>
      <c r="V214" s="3">
        <f t="shared" si="37"/>
        <v>0</v>
      </c>
      <c r="W214" s="3">
        <f t="shared" si="47"/>
        <v>432.64531639566991</v>
      </c>
      <c r="Y214" s="3">
        <f t="shared" si="48"/>
        <v>5645.7468341023423</v>
      </c>
      <c r="AA214" s="3">
        <f t="shared" si="49"/>
        <v>10661.216267889225</v>
      </c>
      <c r="AB214" s="3">
        <f t="shared" si="50"/>
        <v>103.25316589765771</v>
      </c>
      <c r="AD214" s="3">
        <f t="shared" si="51"/>
        <v>3.3856390735628148E-5</v>
      </c>
    </row>
    <row r="215" spans="3:30" x14ac:dyDescent="0.3">
      <c r="C215" s="22">
        <v>183</v>
      </c>
      <c r="D215" s="22">
        <v>5545</v>
      </c>
      <c r="F215" s="3">
        <f t="shared" si="38"/>
        <v>1789.7676201589572</v>
      </c>
      <c r="G215" s="3">
        <f t="shared" si="39"/>
        <v>294.24133140876739</v>
      </c>
      <c r="H215" s="3">
        <f t="shared" si="40"/>
        <v>1.8435358561475679</v>
      </c>
      <c r="I215" s="3">
        <f t="shared" si="41"/>
        <v>0.63970019507076992</v>
      </c>
      <c r="J215" s="3">
        <f t="shared" si="42"/>
        <v>-2.0518593094271935</v>
      </c>
      <c r="K215" s="3">
        <f t="shared" si="43"/>
        <v>0.14904404934588011</v>
      </c>
      <c r="L215" s="3" cm="1">
        <f t="array" ref="L215">lmb_2(F215)</f>
        <v>1782.2798714957057</v>
      </c>
      <c r="M215" s="3" cm="1">
        <f t="array" ref="M215">lmb_2(G215)</f>
        <v>288.57637163813507</v>
      </c>
      <c r="N215" s="3" cm="1">
        <f t="array" ref="N215">lmb_2(H215)</f>
        <v>1.4630277597505796</v>
      </c>
      <c r="O215" s="3" cm="1">
        <f t="array" ref="O215">lmb_2(I215)</f>
        <v>0.82820036374367167</v>
      </c>
      <c r="P215" s="3" cm="1">
        <f t="array" ref="P215">lmb_2(J215)</f>
        <v>0.11458438973955599</v>
      </c>
      <c r="R215" s="3">
        <f t="shared" si="44"/>
        <v>0.56327538116303266</v>
      </c>
      <c r="S215" s="3">
        <f t="shared" si="45"/>
        <v>31.834239612952953</v>
      </c>
      <c r="T215" s="3">
        <f t="shared" si="46"/>
        <v>1387.9110888652724</v>
      </c>
      <c r="U215" s="3">
        <f t="shared" si="36"/>
        <v>3775.123481550922</v>
      </c>
      <c r="V215" s="3">
        <f t="shared" si="37"/>
        <v>0</v>
      </c>
      <c r="W215" s="3">
        <f t="shared" si="47"/>
        <v>434.74776318905271</v>
      </c>
      <c r="Y215" s="3">
        <f t="shared" si="48"/>
        <v>5630.3288926487085</v>
      </c>
      <c r="AA215" s="3">
        <f t="shared" si="49"/>
        <v>7281.0199206548132</v>
      </c>
      <c r="AB215" s="3">
        <f t="shared" si="50"/>
        <v>-85.328892648708461</v>
      </c>
      <c r="AD215" s="3">
        <f t="shared" si="51"/>
        <v>2.7979077497890813E-5</v>
      </c>
    </row>
    <row r="216" spans="3:30" x14ac:dyDescent="0.3">
      <c r="C216" s="22">
        <v>184</v>
      </c>
      <c r="D216" s="22">
        <v>5550</v>
      </c>
      <c r="F216" s="3">
        <f t="shared" si="38"/>
        <v>1809.3681751647391</v>
      </c>
      <c r="G216" s="3">
        <f t="shared" si="39"/>
        <v>297.45533578614675</v>
      </c>
      <c r="H216" s="3">
        <f t="shared" si="40"/>
        <v>1.8700208486144227</v>
      </c>
      <c r="I216" s="3">
        <f t="shared" si="41"/>
        <v>0.64688361026680197</v>
      </c>
      <c r="J216" s="3">
        <f t="shared" si="42"/>
        <v>-2.0514839242098137</v>
      </c>
      <c r="K216" s="3">
        <f t="shared" si="43"/>
        <v>0.14033550654787388</v>
      </c>
      <c r="L216" s="3" cm="1">
        <f t="array" ref="L216">lmb_2(F216)</f>
        <v>1801.8695149251459</v>
      </c>
      <c r="M216" s="3" cm="1">
        <f t="array" ref="M216">lmb_2(G216)</f>
        <v>291.77933796147033</v>
      </c>
      <c r="N216" s="3" cm="1">
        <f t="array" ref="N216">lmb_2(H216)</f>
        <v>1.478793974875777</v>
      </c>
      <c r="O216" s="3" cm="1">
        <f t="array" ref="O216">lmb_2(I216)</f>
        <v>0.8314580467679914</v>
      </c>
      <c r="P216" s="3" cm="1">
        <f t="array" ref="P216">lmb_2(J216)</f>
        <v>0.11462298689344787</v>
      </c>
      <c r="R216" s="3">
        <f t="shared" si="44"/>
        <v>0.5541090972712559</v>
      </c>
      <c r="S216" s="3">
        <f t="shared" si="45"/>
        <v>31.3105103047209</v>
      </c>
      <c r="T216" s="3">
        <f t="shared" si="46"/>
        <v>1371.8358493098754</v>
      </c>
      <c r="U216" s="3">
        <f t="shared" si="36"/>
        <v>3774.1554802037085</v>
      </c>
      <c r="V216" s="3">
        <f t="shared" si="37"/>
        <v>0</v>
      </c>
      <c r="W216" s="3">
        <f t="shared" si="47"/>
        <v>436.8502099824355</v>
      </c>
      <c r="Y216" s="3">
        <f t="shared" si="48"/>
        <v>5614.8464944045591</v>
      </c>
      <c r="AA216" s="3">
        <f t="shared" si="49"/>
        <v>4205.0678365605081</v>
      </c>
      <c r="AB216" s="3">
        <f t="shared" si="50"/>
        <v>-64.846494404559053</v>
      </c>
      <c r="AD216" s="3">
        <f t="shared" si="51"/>
        <v>2.1262963060838018E-5</v>
      </c>
    </row>
    <row r="217" spans="3:30" x14ac:dyDescent="0.3">
      <c r="C217" s="22">
        <v>185</v>
      </c>
      <c r="D217" s="22">
        <v>5622</v>
      </c>
      <c r="F217" s="3">
        <f t="shared" si="38"/>
        <v>1829.0755451841771</v>
      </c>
      <c r="G217" s="3">
        <f t="shared" si="39"/>
        <v>300.68685517375707</v>
      </c>
      <c r="H217" s="3">
        <f t="shared" si="40"/>
        <v>1.8966501734652932</v>
      </c>
      <c r="I217" s="3">
        <f t="shared" si="41"/>
        <v>0.65410617213965117</v>
      </c>
      <c r="J217" s="3">
        <f t="shared" si="42"/>
        <v>-2.0511064932964262</v>
      </c>
      <c r="K217" s="3">
        <f t="shared" si="43"/>
        <v>0.1321357980038855</v>
      </c>
      <c r="L217" s="3" cm="1">
        <f t="array" ref="L217">lmb_2(F217)</f>
        <v>1821.5660326102691</v>
      </c>
      <c r="M217" s="3" cm="1">
        <f t="array" ref="M217">lmb_2(G217)</f>
        <v>294.99988022343956</v>
      </c>
      <c r="N217" s="3" cm="1">
        <f t="array" ref="N217">lmb_2(H217)</f>
        <v>1.4947147724702434</v>
      </c>
      <c r="O217" s="3" cm="1">
        <f t="array" ref="O217">lmb_2(I217)</f>
        <v>0.83474052412021271</v>
      </c>
      <c r="P217" s="3" cm="1">
        <f t="array" ref="P217">lmb_2(J217)</f>
        <v>0.11466180614542988</v>
      </c>
      <c r="R217" s="3">
        <f t="shared" si="44"/>
        <v>0.54514072504393063</v>
      </c>
      <c r="S217" s="3">
        <f t="shared" si="45"/>
        <v>30.798221300989898</v>
      </c>
      <c r="T217" s="3">
        <f t="shared" si="46"/>
        <v>1355.8914808208126</v>
      </c>
      <c r="U217" s="3">
        <f t="shared" si="36"/>
        <v>3772.9830763009368</v>
      </c>
      <c r="V217" s="3">
        <f t="shared" si="37"/>
        <v>0</v>
      </c>
      <c r="W217" s="3">
        <f t="shared" si="47"/>
        <v>438.9526567758183</v>
      </c>
      <c r="Y217" s="3">
        <f t="shared" si="48"/>
        <v>5599.3027117216061</v>
      </c>
      <c r="AA217" s="3">
        <f t="shared" si="49"/>
        <v>515.16689519251702</v>
      </c>
      <c r="AB217" s="3">
        <f t="shared" si="50"/>
        <v>22.697288278393899</v>
      </c>
      <c r="AD217" s="3">
        <f t="shared" si="51"/>
        <v>7.4423699642698189E-6</v>
      </c>
    </row>
    <row r="218" spans="3:30" x14ac:dyDescent="0.3">
      <c r="C218" s="22">
        <v>186</v>
      </c>
      <c r="D218" s="22">
        <v>5672</v>
      </c>
      <c r="F218" s="3">
        <f t="shared" si="38"/>
        <v>1848.8897302172697</v>
      </c>
      <c r="G218" s="3">
        <f t="shared" si="39"/>
        <v>303.93588957159835</v>
      </c>
      <c r="H218" s="3">
        <f t="shared" si="40"/>
        <v>1.9234238307001792</v>
      </c>
      <c r="I218" s="3">
        <f t="shared" si="41"/>
        <v>0.66136788068931818</v>
      </c>
      <c r="J218" s="3">
        <f t="shared" si="42"/>
        <v>-2.0507270166870311</v>
      </c>
      <c r="K218" s="3">
        <f t="shared" si="43"/>
        <v>0.12441519287328319</v>
      </c>
      <c r="L218" s="3" cm="1">
        <f t="array" ref="L218">lmb_2(F218)</f>
        <v>1841.3694239110785</v>
      </c>
      <c r="M218" s="3" cm="1">
        <f t="array" ref="M218">lmb_2(G218)</f>
        <v>298.23799775366422</v>
      </c>
      <c r="N218" s="3" cm="1">
        <f t="array" ref="N218">lmb_2(H218)</f>
        <v>1.5107906846814783</v>
      </c>
      <c r="O218" s="3" cm="1">
        <f t="array" ref="O218">lmb_2(I218)</f>
        <v>0.83804790041874067</v>
      </c>
      <c r="P218" s="3" cm="1">
        <f t="array" ref="P218">lmb_2(J218)</f>
        <v>0.11470084769001462</v>
      </c>
      <c r="R218" s="3">
        <f t="shared" si="44"/>
        <v>0.53636494946635971</v>
      </c>
      <c r="S218" s="3">
        <f t="shared" si="45"/>
        <v>30.297061667990143</v>
      </c>
      <c r="T218" s="3">
        <f t="shared" si="46"/>
        <v>1340.0795082217587</v>
      </c>
      <c r="U218" s="3">
        <f t="shared" si="36"/>
        <v>3771.6080722596853</v>
      </c>
      <c r="V218" s="3">
        <f t="shared" si="37"/>
        <v>0</v>
      </c>
      <c r="W218" s="3">
        <f t="shared" si="47"/>
        <v>441.05510356920109</v>
      </c>
      <c r="Y218" s="3">
        <f t="shared" si="48"/>
        <v>5583.7005258609752</v>
      </c>
      <c r="AA218" s="3">
        <f t="shared" si="49"/>
        <v>7796.7971332283132</v>
      </c>
      <c r="AB218" s="3">
        <f t="shared" si="50"/>
        <v>88.299474139024824</v>
      </c>
      <c r="AD218" s="3">
        <f t="shared" si="51"/>
        <v>2.895312189424241E-5</v>
      </c>
    </row>
    <row r="219" spans="3:30" x14ac:dyDescent="0.3">
      <c r="C219" s="22">
        <v>187</v>
      </c>
      <c r="D219" s="22">
        <v>5682</v>
      </c>
      <c r="F219" s="3">
        <f t="shared" si="38"/>
        <v>1868.810730264019</v>
      </c>
      <c r="G219" s="3">
        <f t="shared" si="39"/>
        <v>307.20243897967049</v>
      </c>
      <c r="H219" s="3">
        <f t="shared" si="40"/>
        <v>1.9503418203190812</v>
      </c>
      <c r="I219" s="3">
        <f t="shared" si="41"/>
        <v>0.66866873591580278</v>
      </c>
      <c r="J219" s="3">
        <f t="shared" si="42"/>
        <v>-2.0503454943816286</v>
      </c>
      <c r="K219" s="3">
        <f t="shared" si="43"/>
        <v>0.11714569746830522</v>
      </c>
      <c r="L219" s="3" cm="1">
        <f t="array" ref="L219">lmb_2(F219)</f>
        <v>1861.2796881978979</v>
      </c>
      <c r="M219" s="3" cm="1">
        <f t="array" ref="M219">lmb_2(G219)</f>
        <v>301.4936898927678</v>
      </c>
      <c r="N219" s="3" cm="1">
        <f t="array" ref="N219">lmb_2(H219)</f>
        <v>1.5270222337657198</v>
      </c>
      <c r="O219" s="3" cm="1">
        <f t="array" ref="O219">lmb_2(I219)</f>
        <v>0.84138028052307801</v>
      </c>
      <c r="P219" s="3" cm="1">
        <f t="array" ref="P219">lmb_2(J219)</f>
        <v>0.11474011172284437</v>
      </c>
      <c r="R219" s="3">
        <f t="shared" si="44"/>
        <v>0.52777662595456398</v>
      </c>
      <c r="S219" s="3">
        <f t="shared" si="45"/>
        <v>29.806730562575918</v>
      </c>
      <c r="T219" s="3">
        <f t="shared" si="46"/>
        <v>1324.4013417725332</v>
      </c>
      <c r="U219" s="3">
        <f t="shared" si="36"/>
        <v>3770.0322839420251</v>
      </c>
      <c r="V219" s="3">
        <f t="shared" si="37"/>
        <v>0</v>
      </c>
      <c r="W219" s="3">
        <f t="shared" si="47"/>
        <v>443.15755036258395</v>
      </c>
      <c r="Y219" s="3">
        <f t="shared" si="48"/>
        <v>5568.0428289631409</v>
      </c>
      <c r="AA219" s="3">
        <f t="shared" si="49"/>
        <v>12986.236830723961</v>
      </c>
      <c r="AB219" s="3">
        <f t="shared" si="50"/>
        <v>113.95717103685911</v>
      </c>
      <c r="AD219" s="3">
        <f t="shared" si="51"/>
        <v>3.7366200602263873E-5</v>
      </c>
    </row>
    <row r="220" spans="3:30" x14ac:dyDescent="0.3">
      <c r="C220" s="22">
        <v>188</v>
      </c>
      <c r="D220" s="22">
        <v>5451</v>
      </c>
      <c r="F220" s="3">
        <f t="shared" si="38"/>
        <v>1888.8385453244227</v>
      </c>
      <c r="G220" s="3">
        <f t="shared" si="39"/>
        <v>310.48650339797365</v>
      </c>
      <c r="H220" s="3">
        <f t="shared" si="40"/>
        <v>1.9774041423219988</v>
      </c>
      <c r="I220" s="3">
        <f t="shared" si="41"/>
        <v>0.67600873781910487</v>
      </c>
      <c r="J220" s="3">
        <f t="shared" si="42"/>
        <v>-2.0499619263802189</v>
      </c>
      <c r="K220" s="3">
        <f t="shared" si="43"/>
        <v>0.1103009537533947</v>
      </c>
      <c r="L220" s="3" cm="1">
        <f t="array" ref="L220">lmb_2(F220)</f>
        <v>1881.2968248511427</v>
      </c>
      <c r="M220" s="3" cm="1">
        <f t="array" ref="M220">lmb_2(G220)</f>
        <v>304.76695599213747</v>
      </c>
      <c r="N220" s="3" cm="1">
        <f t="array" ref="N220">lmb_2(H220)</f>
        <v>1.5434099320959687</v>
      </c>
      <c r="O220" s="3" cm="1">
        <f t="array" ref="O220">lmb_2(I220)</f>
        <v>0.84473776952731738</v>
      </c>
      <c r="P220" s="3" cm="1">
        <f t="array" ref="P220">lmb_2(J220)</f>
        <v>0.11477959844069265</v>
      </c>
      <c r="R220" s="3">
        <f t="shared" si="44"/>
        <v>0.51937077401139842</v>
      </c>
      <c r="S220" s="3">
        <f t="shared" si="45"/>
        <v>29.326936852184105</v>
      </c>
      <c r="T220" s="3">
        <f t="shared" si="46"/>
        <v>1308.8582801334894</v>
      </c>
      <c r="U220" s="3">
        <f t="shared" si="36"/>
        <v>3768.2575401730928</v>
      </c>
      <c r="V220" s="3">
        <f t="shared" si="37"/>
        <v>0</v>
      </c>
      <c r="W220" s="3">
        <f t="shared" si="47"/>
        <v>445.25999715596674</v>
      </c>
      <c r="Y220" s="3">
        <f t="shared" si="48"/>
        <v>5552.3324260424979</v>
      </c>
      <c r="AA220" s="3">
        <f t="shared" si="49"/>
        <v>10268.260567658306</v>
      </c>
      <c r="AB220" s="3">
        <f t="shared" si="50"/>
        <v>-101.3324260424979</v>
      </c>
      <c r="AD220" s="3">
        <f t="shared" si="51"/>
        <v>3.3226586133779523E-5</v>
      </c>
    </row>
    <row r="221" spans="3:30" x14ac:dyDescent="0.3">
      <c r="C221" s="22">
        <v>189</v>
      </c>
      <c r="D221" s="22">
        <v>5582</v>
      </c>
      <c r="F221" s="3">
        <f t="shared" si="38"/>
        <v>1908.973175398482</v>
      </c>
      <c r="G221" s="3">
        <f t="shared" si="39"/>
        <v>313.78808282650778</v>
      </c>
      <c r="H221" s="3">
        <f t="shared" si="40"/>
        <v>2.0046107967089322</v>
      </c>
      <c r="I221" s="3">
        <f t="shared" si="41"/>
        <v>0.68338788639922476</v>
      </c>
      <c r="J221" s="3">
        <f t="shared" si="42"/>
        <v>-2.0495763126828015</v>
      </c>
      <c r="K221" s="3">
        <f t="shared" si="43"/>
        <v>0.10385614377514987</v>
      </c>
      <c r="L221" s="3" cm="1">
        <f t="array" ref="L221">lmb_2(F221)</f>
        <v>1901.4208332611115</v>
      </c>
      <c r="M221" s="3" cm="1">
        <f t="array" ref="M221">lmb_2(G221)</f>
        <v>308.05779541369071</v>
      </c>
      <c r="N221" s="3" cm="1">
        <f t="array" ref="N221">lmb_2(H221)</f>
        <v>1.5599542821750008</v>
      </c>
      <c r="O221" s="3" cm="1">
        <f t="array" ref="O221">lmb_2(I221)</f>
        <v>0.84812047275359714</v>
      </c>
      <c r="P221" s="3" cm="1">
        <f t="array" ref="P221">lmb_2(J221)</f>
        <v>0.11481930804146538</v>
      </c>
      <c r="R221" s="3">
        <f t="shared" si="44"/>
        <v>0.51114257115117079</v>
      </c>
      <c r="S221" s="3">
        <f t="shared" si="45"/>
        <v>28.857398751061474</v>
      </c>
      <c r="T221" s="3">
        <f t="shared" si="46"/>
        <v>1293.4515133261543</v>
      </c>
      <c r="U221" s="3">
        <f t="shared" si="36"/>
        <v>3766.2856822603062</v>
      </c>
      <c r="V221" s="3">
        <f t="shared" si="37"/>
        <v>0</v>
      </c>
      <c r="W221" s="3">
        <f t="shared" si="47"/>
        <v>447.36244394934954</v>
      </c>
      <c r="Y221" s="3">
        <f t="shared" si="48"/>
        <v>5536.572037001798</v>
      </c>
      <c r="AA221" s="3">
        <f t="shared" si="49"/>
        <v>2063.6998221660119</v>
      </c>
      <c r="AB221" s="3">
        <f t="shared" si="50"/>
        <v>45.42796299820202</v>
      </c>
      <c r="AD221" s="3">
        <f t="shared" si="51"/>
        <v>1.4895687238445007E-5</v>
      </c>
    </row>
    <row r="222" spans="3:30" x14ac:dyDescent="0.3">
      <c r="C222" s="22">
        <v>190</v>
      </c>
      <c r="D222" s="22">
        <v>5456</v>
      </c>
      <c r="F222" s="3">
        <f t="shared" si="38"/>
        <v>1929.2146204861976</v>
      </c>
      <c r="G222" s="3">
        <f t="shared" si="39"/>
        <v>317.10717726527281</v>
      </c>
      <c r="H222" s="3">
        <f t="shared" si="40"/>
        <v>2.03196178347988</v>
      </c>
      <c r="I222" s="3">
        <f t="shared" si="41"/>
        <v>0.69080618165616237</v>
      </c>
      <c r="J222" s="3">
        <f t="shared" si="42"/>
        <v>-2.0491886532893764</v>
      </c>
      <c r="K222" s="3">
        <f t="shared" si="43"/>
        <v>9.778789967636739E-2</v>
      </c>
      <c r="L222" s="3" cm="1">
        <f t="array" ref="L222">lmb_2(F222)</f>
        <v>1921.6517128277756</v>
      </c>
      <c r="M222" s="3" cm="1">
        <f t="array" ref="M222">lmb_2(G222)</f>
        <v>311.3662075296495</v>
      </c>
      <c r="N222" s="3" cm="1">
        <f t="array" ref="N222">lmb_2(H222)</f>
        <v>1.5766557766532532</v>
      </c>
      <c r="O222" s="3" cm="1">
        <f t="array" ref="O222">lmb_2(I222)</f>
        <v>0.85152849574551759</v>
      </c>
      <c r="P222" s="3" cm="1">
        <f t="array" ref="P222">lmb_2(J222)</f>
        <v>0.11485924072420202</v>
      </c>
      <c r="R222" s="3">
        <f t="shared" si="44"/>
        <v>0.50308734708005931</v>
      </c>
      <c r="S222" s="3">
        <f t="shared" si="45"/>
        <v>28.397843471981471</v>
      </c>
      <c r="T222" s="3">
        <f t="shared" si="46"/>
        <v>1278.1821256866326</v>
      </c>
      <c r="U222" s="3">
        <f t="shared" si="36"/>
        <v>3764.118563513925</v>
      </c>
      <c r="V222" s="3">
        <f t="shared" si="37"/>
        <v>0</v>
      </c>
      <c r="W222" s="3">
        <f t="shared" si="47"/>
        <v>449.46489074273234</v>
      </c>
      <c r="Y222" s="3">
        <f t="shared" si="48"/>
        <v>5520.7642986620285</v>
      </c>
      <c r="AA222" s="3">
        <f t="shared" si="49"/>
        <v>4194.4143811844297</v>
      </c>
      <c r="AB222" s="3">
        <f t="shared" si="50"/>
        <v>-64.764298662028523</v>
      </c>
      <c r="AD222" s="3">
        <f t="shared" si="51"/>
        <v>2.1236011333482006E-5</v>
      </c>
    </row>
    <row r="223" spans="3:30" x14ac:dyDescent="0.3">
      <c r="C223" s="22">
        <v>191</v>
      </c>
      <c r="D223" s="22">
        <v>5553</v>
      </c>
      <c r="F223" s="3">
        <f t="shared" si="38"/>
        <v>1949.5628805875679</v>
      </c>
      <c r="G223" s="3">
        <f t="shared" si="39"/>
        <v>320.44378671426887</v>
      </c>
      <c r="H223" s="3">
        <f t="shared" si="40"/>
        <v>2.0594571026348438</v>
      </c>
      <c r="I223" s="3">
        <f t="shared" si="41"/>
        <v>0.69826362358991734</v>
      </c>
      <c r="J223" s="3">
        <f t="shared" si="42"/>
        <v>-2.048798948199944</v>
      </c>
      <c r="K223" s="3">
        <f t="shared" si="43"/>
        <v>9.2074218967904242E-2</v>
      </c>
      <c r="L223" s="3" cm="1">
        <f t="array" ref="L223">lmb_2(F223)</f>
        <v>1941.9894629605719</v>
      </c>
      <c r="M223" s="3" cm="1">
        <f t="array" ref="M223">lmb_2(G223)</f>
        <v>314.69219172231976</v>
      </c>
      <c r="N223" s="3" cm="1">
        <f t="array" ref="N223">lmb_2(H223)</f>
        <v>1.5935148983514755</v>
      </c>
      <c r="O223" s="3" cm="1">
        <f t="array" ref="O223">lmb_2(I223)</f>
        <v>0.85496194426152305</v>
      </c>
      <c r="P223" s="3" cm="1">
        <f t="array" ref="P223">lmb_2(J223)</f>
        <v>0.11489939668907681</v>
      </c>
      <c r="R223" s="3">
        <f t="shared" si="44"/>
        <v>0.49520057812026325</v>
      </c>
      <c r="S223" s="3">
        <f t="shared" si="45"/>
        <v>27.948006892712758</v>
      </c>
      <c r="T223" s="3">
        <f t="shared" si="46"/>
        <v>1263.0510988084066</v>
      </c>
      <c r="U223" s="3">
        <f t="shared" si="36"/>
        <v>3761.7580487690248</v>
      </c>
      <c r="V223" s="3">
        <f t="shared" si="37"/>
        <v>0</v>
      </c>
      <c r="W223" s="3">
        <f t="shared" si="47"/>
        <v>451.56733753611513</v>
      </c>
      <c r="Y223" s="3">
        <f t="shared" si="48"/>
        <v>5504.9117668033468</v>
      </c>
      <c r="AA223" s="3">
        <f t="shared" si="49"/>
        <v>2312.4781719756952</v>
      </c>
      <c r="AB223" s="3">
        <f t="shared" si="50"/>
        <v>48.088233196653164</v>
      </c>
      <c r="AD223" s="3">
        <f t="shared" si="51"/>
        <v>1.5767981531003373E-5</v>
      </c>
    </row>
    <row r="224" spans="3:30" x14ac:dyDescent="0.3">
      <c r="C224" s="22">
        <v>192</v>
      </c>
      <c r="D224" s="22">
        <v>5583</v>
      </c>
      <c r="F224" s="3">
        <f t="shared" si="38"/>
        <v>1970.0179557025936</v>
      </c>
      <c r="G224" s="3">
        <f t="shared" si="39"/>
        <v>323.79791117349572</v>
      </c>
      <c r="H224" s="3">
        <f t="shared" si="40"/>
        <v>2.0870967541738237</v>
      </c>
      <c r="I224" s="3">
        <f t="shared" si="41"/>
        <v>0.7057602122004899</v>
      </c>
      <c r="J224" s="3">
        <f t="shared" si="42"/>
        <v>-2.0484071974145039</v>
      </c>
      <c r="K224" s="3">
        <f t="shared" si="43"/>
        <v>8.6694384751147213E-2</v>
      </c>
      <c r="L224" s="3" cm="1">
        <f t="array" ref="L224">lmb_2(F224)</f>
        <v>1962.4340830782103</v>
      </c>
      <c r="M224" s="3" cm="1">
        <f t="array" ref="M224">lmb_2(G224)</f>
        <v>318.03574738387658</v>
      </c>
      <c r="N224" s="3" cm="1">
        <f t="array" ref="N224">lmb_2(H224)</f>
        <v>1.6105321202880196</v>
      </c>
      <c r="O224" s="3" cm="1">
        <f t="array" ref="O224">lmb_2(I224)</f>
        <v>0.85842092426824834</v>
      </c>
      <c r="P224" s="3" cm="1">
        <f t="array" ref="P224">lmb_2(J224)</f>
        <v>0.11493977613740027</v>
      </c>
      <c r="R224" s="3">
        <f t="shared" si="44"/>
        <v>0.48747788186646207</v>
      </c>
      <c r="S224" s="3">
        <f t="shared" si="45"/>
        <v>27.507633236540645</v>
      </c>
      <c r="T224" s="3">
        <f t="shared" si="46"/>
        <v>1248.05931447135</v>
      </c>
      <c r="U224" s="3">
        <f t="shared" ref="U224:U287" si="52">$I$18*(C224/$I$19)*($O$28+$O$28^2)/(O224+O224^2)</f>
        <v>3759.2060139090704</v>
      </c>
      <c r="V224" s="3">
        <f t="shared" ref="V224:V287" si="53">$J$18*(C224/$J$19)*($P$28+$P$28^2)/(P224+P224^2)</f>
        <v>0</v>
      </c>
      <c r="W224" s="3">
        <f t="shared" si="47"/>
        <v>453.66978432949793</v>
      </c>
      <c r="Y224" s="3">
        <f t="shared" si="48"/>
        <v>5489.0169182130767</v>
      </c>
      <c r="AA224" s="3">
        <f t="shared" si="49"/>
        <v>8832.8196621675179</v>
      </c>
      <c r="AB224" s="3">
        <f t="shared" si="50"/>
        <v>93.983081786923321</v>
      </c>
      <c r="AD224" s="3">
        <f t="shared" si="51"/>
        <v>3.0816759097444345E-5</v>
      </c>
    </row>
    <row r="225" spans="3:30" x14ac:dyDescent="0.3">
      <c r="C225" s="22">
        <v>193</v>
      </c>
      <c r="D225" s="22">
        <v>5340</v>
      </c>
      <c r="F225" s="3">
        <f t="shared" ref="F225:F288" si="54">$F$20/(1-$F$20)-LN((1-$F$20)/$F$20)+(C225/$F$19)^2/((1-$F$20)*(1+0.534156*$F$20^0.7917))</f>
        <v>1990.5798458312756</v>
      </c>
      <c r="G225" s="3">
        <f t="shared" ref="G225:G288" si="55">$G$20/(1-$G$20)-LN((1-$G$20)/$G$20)+(C225/$G$19)^2/((1-$G$20)*(1+0.534156*$G$20^0.7917))</f>
        <v>327.16955064295365</v>
      </c>
      <c r="H225" s="3">
        <f t="shared" ref="H225:H288" si="56">$H$20/(1-$H$20)-LN((1-$H$20)/$H$20)+(C225/$H$19)^2/((1-$H$20)*(1+0.534156*$H$20^0.7917))</f>
        <v>2.1148807380968186</v>
      </c>
      <c r="I225" s="3">
        <f t="shared" ref="I225:I288" si="57">$I$20/(1-$I$20)-LN((1-$I$20)/$I$20)+(C225/$I$19)^2/((1-$I$20)*(1+0.534156*$I$20^0.7917))</f>
        <v>0.71329594748788017</v>
      </c>
      <c r="J225" s="3">
        <f t="shared" ref="J225:J288" si="58">$J$20/(1-$J$20)-LN((1-$J$20)/$J$20)+(C225/$J$19)^2/((1-$J$20)*(1+0.534156*$J$20^0.7917))</f>
        <v>-2.0480134009330562</v>
      </c>
      <c r="K225" s="3">
        <f t="shared" ref="K225:K288" si="59">$K$18*EXP(-$K$20*C225)</f>
        <v>8.1628890601829568E-2</v>
      </c>
      <c r="L225" s="3" cm="1">
        <f t="array" ref="L225">lmb_2(F225)</f>
        <v>1982.9855726084782</v>
      </c>
      <c r="M225" s="3" cm="1">
        <f t="array" ref="M225">lmb_2(G225)</f>
        <v>321.39687391615632</v>
      </c>
      <c r="N225" s="3" cm="1">
        <f t="array" ref="N225">lmb_2(H225)</f>
        <v>1.6277079057106525</v>
      </c>
      <c r="O225" s="3" cm="1">
        <f t="array" ref="O225">lmb_2(I225)</f>
        <v>0.86190554193383062</v>
      </c>
      <c r="P225" s="3" cm="1">
        <f t="array" ref="P225">lmb_2(J225)</f>
        <v>0.11498037927162021</v>
      </c>
      <c r="R225" s="3">
        <f t="shared" ref="R225:R288" si="60">$F$18*(C225/$F$19)*($L$28+$L$28^2)/(L225+L225^2)</f>
        <v>0.47991501206375037</v>
      </c>
      <c r="S225" s="3">
        <f t="shared" ref="S225:S288" si="61">$G$18*(C225/$G$19)*($M$28+$M$28^2)/(M225+M225^2)</f>
        <v>27.076474766178599</v>
      </c>
      <c r="T225" s="3">
        <f t="shared" ref="T225:T288" si="62">$H$18*(C225/$H$19)*($N$28+$N$28^2)/(N225+N225^2)</f>
        <v>1233.2075575539122</v>
      </c>
      <c r="U225" s="3">
        <f t="shared" si="52"/>
        <v>3756.4643453911935</v>
      </c>
      <c r="V225" s="3">
        <f t="shared" si="53"/>
        <v>0</v>
      </c>
      <c r="W225" s="3">
        <f t="shared" ref="W225:W288" si="63">$F$22+$G$22/$F$21*C225</f>
        <v>455.77223112288073</v>
      </c>
      <c r="Y225" s="3">
        <f t="shared" ref="Y225:Y288" si="64">SUM(R225:W225)+K225</f>
        <v>5473.0821527368307</v>
      </c>
      <c r="AA225" s="3">
        <f t="shared" ref="AA225:AA288" si="65">(D225-Y225)^2</f>
        <v>17710.85937706914</v>
      </c>
      <c r="AB225" s="3">
        <f t="shared" ref="AB225:AB288" si="66">D225-Y225</f>
        <v>-133.08215273683072</v>
      </c>
      <c r="AD225" s="3">
        <f t="shared" ref="AD225:AD288" si="67">ABS(AB225/$AC$32)</f>
        <v>4.3637222392411862E-5</v>
      </c>
    </row>
    <row r="226" spans="3:30" x14ac:dyDescent="0.3">
      <c r="C226" s="22">
        <v>194</v>
      </c>
      <c r="D226" s="22">
        <v>5519</v>
      </c>
      <c r="F226" s="3">
        <f t="shared" si="54"/>
        <v>2011.2485509736123</v>
      </c>
      <c r="G226" s="3">
        <f t="shared" si="55"/>
        <v>330.55870512264249</v>
      </c>
      <c r="H226" s="3">
        <f t="shared" si="56"/>
        <v>2.1428090544038305</v>
      </c>
      <c r="I226" s="3">
        <f t="shared" si="57"/>
        <v>0.72087082945208802</v>
      </c>
      <c r="J226" s="3">
        <f t="shared" si="58"/>
        <v>-2.0476175587556011</v>
      </c>
      <c r="K226" s="3">
        <f t="shared" si="59"/>
        <v>7.685936984283491E-2</v>
      </c>
      <c r="L226" s="3" cm="1">
        <f t="array" ref="L226">lmb_2(F226)</f>
        <v>2003.6439309880495</v>
      </c>
      <c r="M226" s="3" cm="1">
        <f t="array" ref="M226">lmb_2(G226)</f>
        <v>324.77557073045193</v>
      </c>
      <c r="N226" s="3" cm="1">
        <f t="array" ref="N226">lmb_2(H226)</f>
        <v>1.6450427081327703</v>
      </c>
      <c r="O226" s="3" cm="1">
        <f t="array" ref="O226">lmb_2(I226)</f>
        <v>0.86541590362118781</v>
      </c>
      <c r="P226" s="3" cm="1">
        <f t="array" ref="P226">lmb_2(J226)</f>
        <v>0.11502120629532306</v>
      </c>
      <c r="R226" s="3">
        <f t="shared" si="60"/>
        <v>0.47250785369677384</v>
      </c>
      <c r="S226" s="3">
        <f t="shared" si="61"/>
        <v>26.65429149044261</v>
      </c>
      <c r="T226" s="3">
        <f t="shared" si="62"/>
        <v>1218.4965189255686</v>
      </c>
      <c r="U226" s="3">
        <f t="shared" si="52"/>
        <v>3753.5349397733185</v>
      </c>
      <c r="V226" s="3">
        <f t="shared" si="53"/>
        <v>0</v>
      </c>
      <c r="W226" s="3">
        <f t="shared" si="63"/>
        <v>457.87467791626352</v>
      </c>
      <c r="Y226" s="3">
        <f t="shared" si="64"/>
        <v>5457.1097953291328</v>
      </c>
      <c r="AA226" s="3">
        <f t="shared" si="65"/>
        <v>3830.3974342018328</v>
      </c>
      <c r="AB226" s="3">
        <f t="shared" si="66"/>
        <v>61.890204670867206</v>
      </c>
      <c r="AD226" s="3">
        <f t="shared" si="67"/>
        <v>2.0293604886863929E-5</v>
      </c>
    </row>
    <row r="227" spans="3:30" x14ac:dyDescent="0.3">
      <c r="C227" s="22">
        <v>195</v>
      </c>
      <c r="D227" s="22">
        <v>5514</v>
      </c>
      <c r="F227" s="3">
        <f t="shared" si="54"/>
        <v>2032.0240711296051</v>
      </c>
      <c r="G227" s="3">
        <f t="shared" si="55"/>
        <v>333.9653746125623</v>
      </c>
      <c r="H227" s="3">
        <f t="shared" si="56"/>
        <v>2.1708817030948566</v>
      </c>
      <c r="I227" s="3">
        <f t="shared" si="57"/>
        <v>0.72848485809311336</v>
      </c>
      <c r="J227" s="3">
        <f t="shared" si="58"/>
        <v>-2.0472196708821384</v>
      </c>
      <c r="K227" s="3">
        <f t="shared" si="59"/>
        <v>7.2368528949544195E-2</v>
      </c>
      <c r="L227" s="3" cm="1">
        <f t="array" ref="L227">lmb_2(F227)</f>
        <v>2024.4091576623075</v>
      </c>
      <c r="M227" s="3" cm="1">
        <f t="array" ref="M227">lmb_2(G227)</f>
        <v>328.17183724731603</v>
      </c>
      <c r="N227" s="3" cm="1">
        <f t="array" ref="N227">lmb_2(H227)</f>
        <v>1.6625369713738771</v>
      </c>
      <c r="O227" s="3" cm="1">
        <f t="array" ref="O227">lmb_2(I227)</f>
        <v>0.86895211588126486</v>
      </c>
      <c r="P227" s="3" cm="1">
        <f t="array" ref="P227">lmb_2(J227)</f>
        <v>0.11506225741323524</v>
      </c>
      <c r="R227" s="3">
        <f t="shared" si="60"/>
        <v>0.46525241828031028</v>
      </c>
      <c r="S227" s="3">
        <f t="shared" si="61"/>
        <v>26.240850883092239</v>
      </c>
      <c r="T227" s="3">
        <f t="shared" si="62"/>
        <v>1203.9267983168356</v>
      </c>
      <c r="U227" s="3">
        <f t="shared" si="52"/>
        <v>3750.4197032432699</v>
      </c>
      <c r="V227" s="3">
        <f t="shared" si="53"/>
        <v>0</v>
      </c>
      <c r="W227" s="3">
        <f t="shared" si="63"/>
        <v>459.97712470964632</v>
      </c>
      <c r="Y227" s="3">
        <f t="shared" si="64"/>
        <v>5441.1020981000738</v>
      </c>
      <c r="AA227" s="3">
        <f t="shared" si="65"/>
        <v>5314.1041014112616</v>
      </c>
      <c r="AB227" s="3">
        <f t="shared" si="66"/>
        <v>72.897901899926183</v>
      </c>
      <c r="AD227" s="3">
        <f t="shared" si="67"/>
        <v>2.39029944416201E-5</v>
      </c>
    </row>
    <row r="228" spans="3:30" x14ac:dyDescent="0.3">
      <c r="C228" s="22">
        <v>196</v>
      </c>
      <c r="D228" s="22">
        <v>5417</v>
      </c>
      <c r="F228" s="3">
        <f t="shared" si="54"/>
        <v>2052.9064062992534</v>
      </c>
      <c r="G228" s="3">
        <f t="shared" si="55"/>
        <v>337.38955911271302</v>
      </c>
      <c r="H228" s="3">
        <f t="shared" si="56"/>
        <v>2.1990986841698978</v>
      </c>
      <c r="I228" s="3">
        <f t="shared" si="57"/>
        <v>0.73613803341095674</v>
      </c>
      <c r="J228" s="3">
        <f t="shared" si="58"/>
        <v>-2.0468197373126684</v>
      </c>
      <c r="K228" s="3">
        <f t="shared" si="59"/>
        <v>6.8140084846262189E-2</v>
      </c>
      <c r="L228" s="3" cm="1">
        <f t="array" ref="L228">lmb_2(F228)</f>
        <v>2045.2812520851612</v>
      </c>
      <c r="M228" s="3" cm="1">
        <f t="array" ref="M228">lmb_2(G228)</f>
        <v>331.58567289636727</v>
      </c>
      <c r="N228" s="3" cm="1">
        <f t="array" ref="N228">lmb_2(H228)</f>
        <v>1.6801911296042173</v>
      </c>
      <c r="O228" s="3" cm="1">
        <f t="array" ref="O228">lmb_2(I228)</f>
        <v>0.87251428544624976</v>
      </c>
      <c r="P228" s="3" cm="1">
        <f t="array" ref="P228">lmb_2(J228)</f>
        <v>0.11510353283122439</v>
      </c>
      <c r="R228" s="3">
        <f t="shared" si="60"/>
        <v>0.4581448393420533</v>
      </c>
      <c r="S228" s="3">
        <f t="shared" si="61"/>
        <v>25.835927613274311</v>
      </c>
      <c r="T228" s="3">
        <f t="shared" si="62"/>
        <v>1189.4989071642231</v>
      </c>
      <c r="U228" s="3">
        <f t="shared" si="52"/>
        <v>3747.1205511499556</v>
      </c>
      <c r="V228" s="3">
        <f t="shared" si="53"/>
        <v>0</v>
      </c>
      <c r="W228" s="3">
        <f t="shared" si="63"/>
        <v>462.07957150302911</v>
      </c>
      <c r="Y228" s="3">
        <f t="shared" si="64"/>
        <v>5425.06124235467</v>
      </c>
      <c r="AA228" s="3">
        <f t="shared" si="65"/>
        <v>64.983628300724845</v>
      </c>
      <c r="AB228" s="3">
        <f t="shared" si="66"/>
        <v>-8.0612423546699574</v>
      </c>
      <c r="AD228" s="3">
        <f t="shared" si="67"/>
        <v>2.6432562004424935E-6</v>
      </c>
    </row>
    <row r="229" spans="3:30" x14ac:dyDescent="0.3">
      <c r="C229" s="22">
        <v>197</v>
      </c>
      <c r="D229" s="22">
        <v>5556</v>
      </c>
      <c r="F229" s="3">
        <f t="shared" si="54"/>
        <v>2073.8955564825565</v>
      </c>
      <c r="G229" s="3">
        <f t="shared" si="55"/>
        <v>340.83125862309475</v>
      </c>
      <c r="H229" s="3">
        <f t="shared" si="56"/>
        <v>2.2274599976289551</v>
      </c>
      <c r="I229" s="3">
        <f t="shared" si="57"/>
        <v>0.74383035540561737</v>
      </c>
      <c r="J229" s="3">
        <f t="shared" si="58"/>
        <v>-2.0464177580471907</v>
      </c>
      <c r="K229" s="3">
        <f t="shared" si="59"/>
        <v>6.4158705866371693E-2</v>
      </c>
      <c r="L229" s="3" cm="1">
        <f t="array" ref="L229">lmb_2(F229)</f>
        <v>2066.2602137188733</v>
      </c>
      <c r="M229" s="3" cm="1">
        <f t="array" ref="M229">lmb_2(G229)</f>
        <v>335.01707711610294</v>
      </c>
      <c r="N229" s="3" cm="1">
        <f t="array" ref="N229">lmb_2(H229)</f>
        <v>1.6980056073934167</v>
      </c>
      <c r="O229" s="3" cm="1">
        <f t="array" ref="O229">lmb_2(I229)</f>
        <v>0.87610251922275773</v>
      </c>
      <c r="P229" s="3" cm="1">
        <f t="array" ref="P229">lmb_2(J229)</f>
        <v>0.11514503275630068</v>
      </c>
      <c r="R229" s="3">
        <f t="shared" si="60"/>
        <v>0.45118136808881282</v>
      </c>
      <c r="S229" s="3">
        <f t="shared" si="61"/>
        <v>25.439303287033045</v>
      </c>
      <c r="T229" s="3">
        <f t="shared" si="62"/>
        <v>1175.2132714277272</v>
      </c>
      <c r="U229" s="3">
        <f t="shared" si="52"/>
        <v>3743.6394075368094</v>
      </c>
      <c r="V229" s="3">
        <f t="shared" si="53"/>
        <v>0</v>
      </c>
      <c r="W229" s="3">
        <f t="shared" si="63"/>
        <v>464.18201829641191</v>
      </c>
      <c r="Y229" s="3">
        <f t="shared" si="64"/>
        <v>5408.9893406219362</v>
      </c>
      <c r="AA229" s="3">
        <f t="shared" si="65"/>
        <v>21612.133970773095</v>
      </c>
      <c r="AB229" s="3">
        <f t="shared" si="66"/>
        <v>147.01065937806379</v>
      </c>
      <c r="AD229" s="3">
        <f t="shared" si="67"/>
        <v>4.8204336234488021E-5</v>
      </c>
    </row>
    <row r="230" spans="3:30" x14ac:dyDescent="0.3">
      <c r="C230" s="22">
        <v>198</v>
      </c>
      <c r="D230" s="22">
        <v>5350</v>
      </c>
      <c r="F230" s="3">
        <f t="shared" si="54"/>
        <v>2094.9915216795157</v>
      </c>
      <c r="G230" s="3">
        <f t="shared" si="55"/>
        <v>344.2904731437074</v>
      </c>
      <c r="H230" s="3">
        <f t="shared" si="56"/>
        <v>2.2559656434720283</v>
      </c>
      <c r="I230" s="3">
        <f t="shared" si="57"/>
        <v>0.7515618240770956</v>
      </c>
      <c r="J230" s="3">
        <f t="shared" si="58"/>
        <v>-2.0460137330857058</v>
      </c>
      <c r="K230" s="3">
        <f t="shared" si="59"/>
        <v>6.0409956162145839E-2</v>
      </c>
      <c r="L230" s="3" cm="1">
        <f t="array" ref="L230">lmb_2(F230)</f>
        <v>2087.346042033892</v>
      </c>
      <c r="M230" s="3" cm="1">
        <f t="array" ref="M230">lmb_2(G230)</f>
        <v>338.46604935371545</v>
      </c>
      <c r="N230" s="3" cm="1">
        <f t="array" ref="N230">lmb_2(H230)</f>
        <v>1.7159808197630084</v>
      </c>
      <c r="O230" s="3" cm="1">
        <f t="array" ref="O230">lmb_2(I230)</f>
        <v>0.87971692428498682</v>
      </c>
      <c r="P230" s="3" cm="1">
        <f t="array" ref="P230">lmb_2(J230)</f>
        <v>0.11518675739661803</v>
      </c>
      <c r="R230" s="3">
        <f t="shared" si="60"/>
        <v>0.44435836924779154</v>
      </c>
      <c r="S230" s="3">
        <f t="shared" si="61"/>
        <v>25.050766199378611</v>
      </c>
      <c r="T230" s="3">
        <f t="shared" si="62"/>
        <v>1161.070234378551</v>
      </c>
      <c r="U230" s="3">
        <f t="shared" si="52"/>
        <v>3739.9782046775658</v>
      </c>
      <c r="V230" s="3">
        <f t="shared" si="53"/>
        <v>0</v>
      </c>
      <c r="W230" s="3">
        <f t="shared" si="63"/>
        <v>466.28446508979476</v>
      </c>
      <c r="Y230" s="3">
        <f t="shared" si="64"/>
        <v>5392.8884386707005</v>
      </c>
      <c r="AA230" s="3">
        <f t="shared" si="65"/>
        <v>1839.418171610434</v>
      </c>
      <c r="AB230" s="3">
        <f t="shared" si="66"/>
        <v>-42.888438670700452</v>
      </c>
      <c r="AD230" s="3">
        <f t="shared" si="67"/>
        <v>1.4062985139995581E-5</v>
      </c>
    </row>
    <row r="231" spans="3:30" x14ac:dyDescent="0.3">
      <c r="C231" s="22">
        <v>199</v>
      </c>
      <c r="D231" s="22">
        <v>5403</v>
      </c>
      <c r="F231" s="3">
        <f t="shared" si="54"/>
        <v>2116.1943018901297</v>
      </c>
      <c r="G231" s="3">
        <f t="shared" si="55"/>
        <v>347.76720267455102</v>
      </c>
      <c r="H231" s="3">
        <f t="shared" si="56"/>
        <v>2.2846156216991158</v>
      </c>
      <c r="I231" s="3">
        <f t="shared" si="57"/>
        <v>0.75933243942539153</v>
      </c>
      <c r="J231" s="3">
        <f t="shared" si="58"/>
        <v>-2.0456076624282131</v>
      </c>
      <c r="K231" s="3">
        <f t="shared" si="59"/>
        <v>5.6880243362657477E-2</v>
      </c>
      <c r="L231" s="3" cm="1">
        <f t="array" ref="L231">lmb_2(F231)</f>
        <v>2108.5387365086826</v>
      </c>
      <c r="M231" s="3" cm="1">
        <f t="array" ref="M231">lmb_2(G231)</f>
        <v>341.93258906491405</v>
      </c>
      <c r="N231" s="3" cm="1">
        <f t="array" ref="N231">lmb_2(H231)</f>
        <v>1.7341171722427109</v>
      </c>
      <c r="O231" s="3" cm="1">
        <f t="array" ref="O231">lmb_2(I231)</f>
        <v>0.88335760786784634</v>
      </c>
      <c r="P231" s="3" cm="1">
        <f t="array" ref="P231">lmb_2(J231)</f>
        <v>0.11522870696147558</v>
      </c>
      <c r="R231" s="3">
        <f t="shared" si="60"/>
        <v>0.43767231707502713</v>
      </c>
      <c r="S231" s="3">
        <f t="shared" si="61"/>
        <v>24.670111096431196</v>
      </c>
      <c r="T231" s="3">
        <f t="shared" si="62"/>
        <v>1147.0700593549211</v>
      </c>
      <c r="U231" s="3">
        <f t="shared" si="52"/>
        <v>3736.1388826145071</v>
      </c>
      <c r="V231" s="3">
        <f t="shared" si="53"/>
        <v>0</v>
      </c>
      <c r="W231" s="3">
        <f t="shared" si="63"/>
        <v>468.38691188317756</v>
      </c>
      <c r="Y231" s="3">
        <f t="shared" si="64"/>
        <v>5376.7605175094741</v>
      </c>
      <c r="AA231" s="3">
        <f t="shared" si="65"/>
        <v>688.51044137061615</v>
      </c>
      <c r="AB231" s="3">
        <f t="shared" si="66"/>
        <v>26.239482490525916</v>
      </c>
      <c r="AD231" s="3">
        <f t="shared" si="67"/>
        <v>8.6038443874975775E-6</v>
      </c>
    </row>
    <row r="232" spans="3:30" x14ac:dyDescent="0.3">
      <c r="C232" s="22">
        <v>200</v>
      </c>
      <c r="D232" s="22">
        <v>5377</v>
      </c>
      <c r="F232" s="3">
        <f t="shared" si="54"/>
        <v>2137.5038971144004</v>
      </c>
      <c r="G232" s="3">
        <f t="shared" si="55"/>
        <v>351.26144721562548</v>
      </c>
      <c r="H232" s="3">
        <f t="shared" si="56"/>
        <v>2.3134099323102211</v>
      </c>
      <c r="I232" s="3">
        <f t="shared" si="57"/>
        <v>0.76714220145050505</v>
      </c>
      <c r="J232" s="3">
        <f t="shared" si="58"/>
        <v>-2.0451995460747128</v>
      </c>
      <c r="K232" s="3">
        <f t="shared" si="59"/>
        <v>5.3556769290001353E-2</v>
      </c>
      <c r="L232" s="3" cm="1">
        <f t="array" ref="L232">lmb_2(F232)</f>
        <v>2129.8382966295717</v>
      </c>
      <c r="M232" s="3" cm="1">
        <f t="array" ref="M232">lmb_2(G232)</f>
        <v>345.41669571375121</v>
      </c>
      <c r="N232" s="3" cm="1">
        <f t="array" ref="N232">lmb_2(H232)</f>
        <v>1.7524150609303306</v>
      </c>
      <c r="O232" s="3" cm="1">
        <f t="array" ref="O232">lmb_2(I232)</f>
        <v>0.88702467736005641</v>
      </c>
      <c r="P232" s="3" cm="1">
        <f t="array" ref="P232">lmb_2(J232)</f>
        <v>0.11527088166131889</v>
      </c>
      <c r="R232" s="3">
        <f t="shared" si="60"/>
        <v>0.43111979152346647</v>
      </c>
      <c r="S232" s="3">
        <f t="shared" si="61"/>
        <v>24.297138947182543</v>
      </c>
      <c r="T232" s="3">
        <f t="shared" si="62"/>
        <v>1133.2129324839884</v>
      </c>
      <c r="U232" s="3">
        <f t="shared" si="52"/>
        <v>3732.1233886993159</v>
      </c>
      <c r="V232" s="3">
        <f t="shared" si="53"/>
        <v>0</v>
      </c>
      <c r="W232" s="3">
        <f t="shared" si="63"/>
        <v>470.48935867656036</v>
      </c>
      <c r="Y232" s="3">
        <f t="shared" si="64"/>
        <v>5360.6074953678599</v>
      </c>
      <c r="AA232" s="3">
        <f t="shared" si="65"/>
        <v>268.71420811473519</v>
      </c>
      <c r="AB232" s="3">
        <f t="shared" si="66"/>
        <v>16.392504632140117</v>
      </c>
      <c r="AD232" s="3">
        <f t="shared" si="67"/>
        <v>5.375051090553729E-6</v>
      </c>
    </row>
    <row r="233" spans="3:30" x14ac:dyDescent="0.3">
      <c r="C233" s="22">
        <v>201</v>
      </c>
      <c r="D233" s="22">
        <v>5345</v>
      </c>
      <c r="F233" s="3">
        <f t="shared" si="54"/>
        <v>2158.9203073523254</v>
      </c>
      <c r="G233" s="3">
        <f t="shared" si="55"/>
        <v>354.77320676693097</v>
      </c>
      <c r="H233" s="3">
        <f t="shared" si="56"/>
        <v>2.3423485753053406</v>
      </c>
      <c r="I233" s="3">
        <f t="shared" si="57"/>
        <v>0.77499111015243616</v>
      </c>
      <c r="J233" s="3">
        <f t="shared" si="58"/>
        <v>-2.0447893840252052</v>
      </c>
      <c r="K233" s="3">
        <f t="shared" si="59"/>
        <v>5.0427483555134045E-2</v>
      </c>
      <c r="L233" s="3" cm="1">
        <f t="array" ref="L233">lmb_2(F233)</f>
        <v>2151.2447218905809</v>
      </c>
      <c r="M233" s="3" cm="1">
        <f t="array" ref="M233">lmb_2(G233)</f>
        <v>348.91836877245294</v>
      </c>
      <c r="N233" s="3" cm="1">
        <f t="array" ref="N233">lmb_2(H233)</f>
        <v>1.770874872555136</v>
      </c>
      <c r="O233" s="3" cm="1">
        <f t="array" ref="O233">lmb_2(I233)</f>
        <v>0.89071824029722324</v>
      </c>
      <c r="P233" s="3" cm="1">
        <f t="array" ref="P233">lmb_2(J233)</f>
        <v>0.1153132817077412</v>
      </c>
      <c r="R233" s="3">
        <f t="shared" si="60"/>
        <v>0.42469747456353613</v>
      </c>
      <c r="S233" s="3">
        <f t="shared" si="61"/>
        <v>23.931656724439733</v>
      </c>
      <c r="T233" s="3">
        <f t="shared" si="62"/>
        <v>1119.4989653679713</v>
      </c>
      <c r="U233" s="3">
        <f t="shared" si="52"/>
        <v>3727.9336771366234</v>
      </c>
      <c r="V233" s="3">
        <f t="shared" si="53"/>
        <v>0</v>
      </c>
      <c r="W233" s="3">
        <f t="shared" si="63"/>
        <v>472.59180546994315</v>
      </c>
      <c r="Y233" s="3">
        <f t="shared" si="64"/>
        <v>5344.4312296570961</v>
      </c>
      <c r="AA233" s="3">
        <f t="shared" si="65"/>
        <v>0.32349970296703989</v>
      </c>
      <c r="AB233" s="3">
        <f t="shared" si="66"/>
        <v>0.56877034290391748</v>
      </c>
      <c r="AD233" s="3">
        <f t="shared" si="67"/>
        <v>1.8649801970507006E-7</v>
      </c>
    </row>
    <row r="234" spans="3:30" x14ac:dyDescent="0.3">
      <c r="C234" s="22">
        <v>202</v>
      </c>
      <c r="D234" s="22">
        <v>5395</v>
      </c>
      <c r="F234" s="3">
        <f t="shared" si="54"/>
        <v>2180.4435326039061</v>
      </c>
      <c r="G234" s="3">
        <f t="shared" si="55"/>
        <v>358.30248132846748</v>
      </c>
      <c r="H234" s="3">
        <f t="shared" si="56"/>
        <v>2.3714315506844761</v>
      </c>
      <c r="I234" s="3">
        <f t="shared" si="57"/>
        <v>0.78287916553118519</v>
      </c>
      <c r="J234" s="3">
        <f t="shared" si="58"/>
        <v>-2.0443771762796898</v>
      </c>
      <c r="K234" s="3">
        <f t="shared" si="59"/>
        <v>4.7481039865077533E-2</v>
      </c>
      <c r="L234" s="3" cm="1">
        <f t="array" ref="L234">lmb_2(F234)</f>
        <v>2172.7580117932857</v>
      </c>
      <c r="M234" s="3" cm="1">
        <f t="array" ref="M234">lmb_2(G234)</f>
        <v>352.4376077212537</v>
      </c>
      <c r="N234" s="3" cm="1">
        <f t="array" ref="N234">lmb_2(H234)</f>
        <v>1.7894969845446007</v>
      </c>
      <c r="O234" s="3" cm="1">
        <f t="array" ref="O234">lmb_2(I234)</f>
        <v>0.89443840435488886</v>
      </c>
      <c r="P234" s="3" cm="1">
        <f t="array" ref="P234">lmb_2(J234)</f>
        <v>0.11535590731348493</v>
      </c>
      <c r="R234" s="3">
        <f t="shared" si="60"/>
        <v>0.41840214664939895</v>
      </c>
      <c r="S234" s="3">
        <f t="shared" si="61"/>
        <v>23.573477194537769</v>
      </c>
      <c r="T234" s="3">
        <f t="shared" si="62"/>
        <v>1105.9281977327923</v>
      </c>
      <c r="U234" s="3">
        <f t="shared" si="52"/>
        <v>3723.5717085303954</v>
      </c>
      <c r="V234" s="3">
        <f t="shared" si="53"/>
        <v>0</v>
      </c>
      <c r="W234" s="3">
        <f t="shared" si="63"/>
        <v>474.69425226332595</v>
      </c>
      <c r="Y234" s="3">
        <f t="shared" si="64"/>
        <v>5328.2335189075666</v>
      </c>
      <c r="AA234" s="3">
        <f t="shared" si="65"/>
        <v>4457.7629974662696</v>
      </c>
      <c r="AB234" s="3">
        <f t="shared" si="66"/>
        <v>66.766481092433423</v>
      </c>
      <c r="AD234" s="3">
        <f t="shared" si="67"/>
        <v>2.1892520701485178E-5</v>
      </c>
    </row>
    <row r="235" spans="3:30" x14ac:dyDescent="0.3">
      <c r="C235" s="22">
        <v>203</v>
      </c>
      <c r="D235" s="22">
        <v>5278</v>
      </c>
      <c r="F235" s="3">
        <f t="shared" si="54"/>
        <v>2202.0735728691429</v>
      </c>
      <c r="G235" s="3">
        <f t="shared" si="55"/>
        <v>361.8492709002349</v>
      </c>
      <c r="H235" s="3">
        <f t="shared" si="56"/>
        <v>2.4006588584476258</v>
      </c>
      <c r="I235" s="3">
        <f t="shared" si="57"/>
        <v>0.79080636758675149</v>
      </c>
      <c r="J235" s="3">
        <f t="shared" si="58"/>
        <v>-2.0439629228381668</v>
      </c>
      <c r="K235" s="3">
        <f t="shared" si="59"/>
        <v>4.470675488306327E-2</v>
      </c>
      <c r="L235" s="3" cm="1">
        <f t="array" ref="L235">lmb_2(F235)</f>
        <v>2194.378165846656</v>
      </c>
      <c r="M235" s="3" cm="1">
        <f t="array" ref="M235">lmb_2(G235)</f>
        <v>355.97441204823508</v>
      </c>
      <c r="N235" s="3" cm="1">
        <f t="array" ref="N235">lmb_2(H235)</f>
        <v>1.8082817650943472</v>
      </c>
      <c r="O235" s="3" cm="1">
        <f t="array" ref="O235">lmb_2(I235)</f>
        <v>0.89818527734155584</v>
      </c>
      <c r="P235" s="3" cm="1">
        <f t="array" ref="P235">lmb_2(J235)</f>
        <v>0.11539875869244287</v>
      </c>
      <c r="R235" s="3">
        <f t="shared" si="60"/>
        <v>0.41223068332445545</v>
      </c>
      <c r="S235" s="3">
        <f t="shared" si="61"/>
        <v>23.222418715428162</v>
      </c>
      <c r="T235" s="3">
        <f t="shared" si="62"/>
        <v>1092.50060003764</v>
      </c>
      <c r="U235" s="3">
        <f t="shared" si="52"/>
        <v>3719.0394494332586</v>
      </c>
      <c r="V235" s="3">
        <f t="shared" si="53"/>
        <v>0</v>
      </c>
      <c r="W235" s="3">
        <f t="shared" si="63"/>
        <v>476.79669905670875</v>
      </c>
      <c r="Y235" s="3">
        <f t="shared" si="64"/>
        <v>5312.0161046812427</v>
      </c>
      <c r="AA235" s="3">
        <f t="shared" si="65"/>
        <v>1157.0953776852632</v>
      </c>
      <c r="AB235" s="3">
        <f t="shared" si="66"/>
        <v>-34.016104681242723</v>
      </c>
      <c r="AD235" s="3">
        <f t="shared" si="67"/>
        <v>1.1153774524780056E-5</v>
      </c>
    </row>
    <row r="236" spans="3:30" x14ac:dyDescent="0.3">
      <c r="C236" s="22">
        <v>204</v>
      </c>
      <c r="D236" s="22">
        <v>5401</v>
      </c>
      <c r="F236" s="3">
        <f t="shared" si="54"/>
        <v>2223.8104281480346</v>
      </c>
      <c r="G236" s="3">
        <f t="shared" si="55"/>
        <v>365.41357548223328</v>
      </c>
      <c r="H236" s="3">
        <f t="shared" si="56"/>
        <v>2.4300304985947925</v>
      </c>
      <c r="I236" s="3">
        <f t="shared" si="57"/>
        <v>0.79877271631913549</v>
      </c>
      <c r="J236" s="3">
        <f t="shared" si="58"/>
        <v>-2.0435466237006366</v>
      </c>
      <c r="K236" s="3">
        <f t="shared" si="59"/>
        <v>4.2094569492450211E-2</v>
      </c>
      <c r="L236" s="3" cm="1">
        <f t="array" ref="L236">lmb_2(F236)</f>
        <v>2216.105183566915</v>
      </c>
      <c r="M236" s="3" cm="1">
        <f t="array" ref="M236">lmb_2(G236)</f>
        <v>359.52878124916919</v>
      </c>
      <c r="N236" s="3" cm="1">
        <f t="array" ref="N236">lmb_2(H236)</f>
        <v>1.8272295732411865</v>
      </c>
      <c r="O236" s="3" cm="1">
        <f t="array" ref="O236">lmb_2(I236)</f>
        <v>0.90195896719169277</v>
      </c>
      <c r="P236" s="3" cm="1">
        <f t="array" ref="P236">lmb_2(J236)</f>
        <v>0.11544183605965966</v>
      </c>
      <c r="R236" s="3">
        <f t="shared" si="60"/>
        <v>0.40618005195992973</v>
      </c>
      <c r="S236" s="3">
        <f t="shared" si="61"/>
        <v>22.878305042769998</v>
      </c>
      <c r="T236" s="3">
        <f t="shared" si="62"/>
        <v>1079.2160760439779</v>
      </c>
      <c r="U236" s="3">
        <f t="shared" si="52"/>
        <v>3714.3388718988635</v>
      </c>
      <c r="V236" s="3">
        <f t="shared" si="53"/>
        <v>0</v>
      </c>
      <c r="W236" s="3">
        <f t="shared" si="63"/>
        <v>478.89914585009154</v>
      </c>
      <c r="Y236" s="3">
        <f t="shared" si="64"/>
        <v>5295.780673457155</v>
      </c>
      <c r="AA236" s="3">
        <f t="shared" si="65"/>
        <v>11071.106678129849</v>
      </c>
      <c r="AB236" s="3">
        <f t="shared" si="66"/>
        <v>105.21932654284501</v>
      </c>
      <c r="AD236" s="3">
        <f t="shared" si="67"/>
        <v>3.4501088672720514E-5</v>
      </c>
    </row>
    <row r="237" spans="3:30" x14ac:dyDescent="0.3">
      <c r="C237" s="22">
        <v>205</v>
      </c>
      <c r="D237" s="22">
        <v>5319</v>
      </c>
      <c r="F237" s="3">
        <f t="shared" si="54"/>
        <v>2245.6540984405815</v>
      </c>
      <c r="G237" s="3">
        <f t="shared" si="55"/>
        <v>368.99539507446252</v>
      </c>
      <c r="H237" s="3">
        <f t="shared" si="56"/>
        <v>2.4595464711259742</v>
      </c>
      <c r="I237" s="3">
        <f t="shared" si="57"/>
        <v>0.80677821172833708</v>
      </c>
      <c r="J237" s="3">
        <f t="shared" si="58"/>
        <v>-2.043128278867099</v>
      </c>
      <c r="K237" s="3">
        <f t="shared" si="59"/>
        <v>3.9635012323965491E-2</v>
      </c>
      <c r="L237" s="3" cm="1">
        <f t="array" ref="L237">lmb_2(F237)</f>
        <v>2237.9390644773966</v>
      </c>
      <c r="M237" s="3" cm="1">
        <f t="array" ref="M237">lmb_2(G237)</f>
        <v>363.1007148273651</v>
      </c>
      <c r="N237" s="3" cm="1">
        <f t="array" ref="N237">lmb_2(H237)</f>
        <v>1.8463407589390937</v>
      </c>
      <c r="O237" s="3" cm="1">
        <f t="array" ref="O237">lmb_2(I237)</f>
        <v>0.90575958195871453</v>
      </c>
      <c r="P237" s="3" cm="1">
        <f t="array" ref="P237">lmb_2(J237)</f>
        <v>0.11548513963133294</v>
      </c>
      <c r="R237" s="3">
        <f t="shared" si="60"/>
        <v>0.40024730862071017</v>
      </c>
      <c r="S237" s="3">
        <f t="shared" si="61"/>
        <v>22.540965143668632</v>
      </c>
      <c r="T237" s="3">
        <f t="shared" si="62"/>
        <v>1066.0744653426834</v>
      </c>
      <c r="U237" s="3">
        <f t="shared" si="52"/>
        <v>3709.4719530374327</v>
      </c>
      <c r="V237" s="3">
        <f t="shared" si="53"/>
        <v>0</v>
      </c>
      <c r="W237" s="3">
        <f t="shared" si="63"/>
        <v>481.00159264347434</v>
      </c>
      <c r="Y237" s="3">
        <f t="shared" si="64"/>
        <v>5279.5288584882037</v>
      </c>
      <c r="AA237" s="3">
        <f t="shared" si="65"/>
        <v>1557.9710122442496</v>
      </c>
      <c r="AB237" s="3">
        <f t="shared" si="66"/>
        <v>39.471141511796304</v>
      </c>
      <c r="AD237" s="3">
        <f t="shared" si="67"/>
        <v>1.2942464070585588E-5</v>
      </c>
    </row>
    <row r="238" spans="3:30" x14ac:dyDescent="0.3">
      <c r="C238" s="22">
        <v>206</v>
      </c>
      <c r="D238" s="22">
        <v>5361</v>
      </c>
      <c r="F238" s="3">
        <f t="shared" si="54"/>
        <v>2267.604583746785</v>
      </c>
      <c r="G238" s="3">
        <f t="shared" si="55"/>
        <v>372.59472967692278</v>
      </c>
      <c r="H238" s="3">
        <f t="shared" si="56"/>
        <v>2.489206776041172</v>
      </c>
      <c r="I238" s="3">
        <f t="shared" si="57"/>
        <v>0.81482285381435626</v>
      </c>
      <c r="J238" s="3">
        <f t="shared" si="58"/>
        <v>-2.0427078883375538</v>
      </c>
      <c r="K238" s="3">
        <f t="shared" si="59"/>
        <v>3.7319165414024441E-2</v>
      </c>
      <c r="L238" s="3" cm="1">
        <f t="array" ref="L238">lmb_2(F238)</f>
        <v>2259.8798081084083</v>
      </c>
      <c r="M238" s="3" cm="1">
        <f t="array" ref="M238">lmb_2(G238)</f>
        <v>366.69021229352018</v>
      </c>
      <c r="N238" s="3" cm="1">
        <f t="array" ref="N238">lmb_2(H238)</f>
        <v>1.8656156631380096</v>
      </c>
      <c r="O238" s="3" cm="1">
        <f t="array" ref="O238">lmb_2(I238)</f>
        <v>0.90958722980794482</v>
      </c>
      <c r="P238" s="3" cm="1">
        <f t="array" ref="P238">lmb_2(J238)</f>
        <v>0.11552866962481487</v>
      </c>
      <c r="R238" s="3">
        <f t="shared" si="60"/>
        <v>0.39442959505287517</v>
      </c>
      <c r="S238" s="3">
        <f t="shared" si="61"/>
        <v>22.210233017724239</v>
      </c>
      <c r="T238" s="3">
        <f t="shared" si="62"/>
        <v>1053.0755458380975</v>
      </c>
      <c r="U238" s="3">
        <f t="shared" si="52"/>
        <v>3704.4406745745582</v>
      </c>
      <c r="V238" s="3">
        <f t="shared" si="53"/>
        <v>0</v>
      </c>
      <c r="W238" s="3">
        <f t="shared" si="63"/>
        <v>483.10403943685714</v>
      </c>
      <c r="Y238" s="3">
        <f t="shared" si="64"/>
        <v>5263.2622416277045</v>
      </c>
      <c r="AA238" s="3">
        <f t="shared" si="65"/>
        <v>9552.66941164122</v>
      </c>
      <c r="AB238" s="3">
        <f t="shared" si="66"/>
        <v>97.737758372295502</v>
      </c>
      <c r="AD238" s="3">
        <f t="shared" si="67"/>
        <v>3.2047905827475582E-5</v>
      </c>
    </row>
    <row r="239" spans="3:30" x14ac:dyDescent="0.3">
      <c r="C239" s="22">
        <v>207</v>
      </c>
      <c r="D239" s="22">
        <v>5327</v>
      </c>
      <c r="F239" s="3">
        <f t="shared" si="54"/>
        <v>2289.6618840666429</v>
      </c>
      <c r="G239" s="3">
        <f t="shared" si="55"/>
        <v>376.21157928961395</v>
      </c>
      <c r="H239" s="3">
        <f t="shared" si="56"/>
        <v>2.5190114133403849</v>
      </c>
      <c r="I239" s="3">
        <f t="shared" si="57"/>
        <v>0.82290664257719293</v>
      </c>
      <c r="J239" s="3">
        <f t="shared" si="58"/>
        <v>-2.0422854521120009</v>
      </c>
      <c r="K239" s="3">
        <f t="shared" si="59"/>
        <v>3.5138631869610991E-2</v>
      </c>
      <c r="L239" s="3" cm="1">
        <f t="array" ref="L239">lmb_2(F239)</f>
        <v>2281.9274139970889</v>
      </c>
      <c r="M239" s="3" cm="1">
        <f t="array" ref="M239">lmb_2(G239)</f>
        <v>370.29727316557359</v>
      </c>
      <c r="N239" s="3" cm="1">
        <f t="array" ref="N239">lmb_2(H239)</f>
        <v>1.8850546178653156</v>
      </c>
      <c r="O239" s="3" cm="1">
        <f t="array" ref="O239">lmb_2(I239)</f>
        <v>0.91344201900955824</v>
      </c>
      <c r="P239" s="3" cm="1">
        <f t="array" ref="P239">lmb_2(J239)</f>
        <v>0.11557242625861354</v>
      </c>
      <c r="R239" s="3">
        <f t="shared" si="60"/>
        <v>0.38872413578762322</v>
      </c>
      <c r="S239" s="3">
        <f t="shared" si="61"/>
        <v>21.885947525069348</v>
      </c>
      <c r="T239" s="3">
        <f t="shared" si="62"/>
        <v>1040.2190361878977</v>
      </c>
      <c r="U239" s="3">
        <f t="shared" si="52"/>
        <v>3699.247022413384</v>
      </c>
      <c r="V239" s="3">
        <f t="shared" si="53"/>
        <v>0</v>
      </c>
      <c r="W239" s="3">
        <f t="shared" si="63"/>
        <v>485.20648623023993</v>
      </c>
      <c r="Y239" s="3">
        <f t="shared" si="64"/>
        <v>5246.982355124248</v>
      </c>
      <c r="AA239" s="3">
        <f t="shared" si="65"/>
        <v>6402.8234914619625</v>
      </c>
      <c r="AB239" s="3">
        <f t="shared" si="66"/>
        <v>80.017644875752012</v>
      </c>
      <c r="AD239" s="3">
        <f t="shared" si="67"/>
        <v>2.6237535935153823E-5</v>
      </c>
    </row>
    <row r="240" spans="3:30" x14ac:dyDescent="0.3">
      <c r="C240" s="22">
        <v>208</v>
      </c>
      <c r="D240" s="22">
        <v>5294</v>
      </c>
      <c r="F240" s="3">
        <f t="shared" si="54"/>
        <v>2311.8259994001573</v>
      </c>
      <c r="G240" s="3">
        <f t="shared" si="55"/>
        <v>379.84594391253614</v>
      </c>
      <c r="H240" s="3">
        <f t="shared" si="56"/>
        <v>2.5489603830236129</v>
      </c>
      <c r="I240" s="3">
        <f t="shared" si="57"/>
        <v>0.8310295780168474</v>
      </c>
      <c r="J240" s="3">
        <f t="shared" si="58"/>
        <v>-2.0418609701904407</v>
      </c>
      <c r="K240" s="3">
        <f t="shared" si="59"/>
        <v>3.3085505422477512E-2</v>
      </c>
      <c r="L240" s="3" cm="1">
        <f t="array" ref="L240">lmb_2(F240)</f>
        <v>2304.0818816872884</v>
      </c>
      <c r="M240" s="3" cm="1">
        <f t="array" ref="M240">lmb_2(G240)</f>
        <v>373.92189696856485</v>
      </c>
      <c r="N240" s="3" cm="1">
        <f t="array" ref="N240">lmb_2(H240)</f>
        <v>1.9046579463098643</v>
      </c>
      <c r="O240" s="3" cm="1">
        <f t="array" ref="O240">lmb_2(I240)</f>
        <v>0.91732405793150595</v>
      </c>
      <c r="P240" s="3" cm="1">
        <f t="array" ref="P240">lmb_2(J240)</f>
        <v>0.11561640975239409</v>
      </c>
      <c r="R240" s="3">
        <f t="shared" si="60"/>
        <v>0.38312823535655827</v>
      </c>
      <c r="S240" s="3">
        <f t="shared" si="61"/>
        <v>21.567952221089513</v>
      </c>
      <c r="T240" s="3">
        <f t="shared" si="62"/>
        <v>1027.5045981978244</v>
      </c>
      <c r="U240" s="3">
        <f t="shared" si="52"/>
        <v>3693.8929862002524</v>
      </c>
      <c r="V240" s="3">
        <f t="shared" si="53"/>
        <v>0</v>
      </c>
      <c r="W240" s="3">
        <f t="shared" si="63"/>
        <v>487.30893302362279</v>
      </c>
      <c r="Y240" s="3">
        <f t="shared" si="64"/>
        <v>5230.6906833835683</v>
      </c>
      <c r="AA240" s="3">
        <f t="shared" si="65"/>
        <v>4008.0695704395971</v>
      </c>
      <c r="AB240" s="3">
        <f t="shared" si="66"/>
        <v>63.309316616431715</v>
      </c>
      <c r="AD240" s="3">
        <f t="shared" si="67"/>
        <v>2.0758927263266909E-5</v>
      </c>
    </row>
    <row r="241" spans="3:30" x14ac:dyDescent="0.3">
      <c r="C241" s="22">
        <v>209</v>
      </c>
      <c r="D241" s="22">
        <v>5197</v>
      </c>
      <c r="F241" s="3">
        <f t="shared" si="54"/>
        <v>2334.0969297473262</v>
      </c>
      <c r="G241" s="3">
        <f t="shared" si="55"/>
        <v>383.49782354568919</v>
      </c>
      <c r="H241" s="3">
        <f t="shared" si="56"/>
        <v>2.5790536850908579</v>
      </c>
      <c r="I241" s="3">
        <f t="shared" si="57"/>
        <v>0.83919166013331958</v>
      </c>
      <c r="J241" s="3">
        <f t="shared" si="58"/>
        <v>-2.0414344425728728</v>
      </c>
      <c r="K241" s="3">
        <f t="shared" si="59"/>
        <v>3.1152341762272134E-2</v>
      </c>
      <c r="L241" s="3" cm="1">
        <f t="array" ref="L241">lmb_2(F241)</f>
        <v>2326.3432107294257</v>
      </c>
      <c r="M241" s="3" cm="1">
        <f t="array" ref="M241">lmb_2(G241)</f>
        <v>377.5640832344946</v>
      </c>
      <c r="N241" s="3" cm="1">
        <f t="array" ref="N241">lmb_2(H241)</f>
        <v>1.9244259629084268</v>
      </c>
      <c r="O241" s="3" cm="1">
        <f t="array" ref="O241">lmb_2(I241)</f>
        <v>0.92123345503242249</v>
      </c>
      <c r="P241" s="3" cm="1">
        <f t="array" ref="P241">lmb_2(J241)</f>
        <v>0.11566062032698032</v>
      </c>
      <c r="R241" s="3">
        <f t="shared" si="60"/>
        <v>0.37763927561355004</v>
      </c>
      <c r="S241" s="3">
        <f t="shared" si="61"/>
        <v>21.25609519753667</v>
      </c>
      <c r="T241" s="3">
        <f t="shared" si="62"/>
        <v>1014.9318391703977</v>
      </c>
      <c r="U241" s="3">
        <f t="shared" si="52"/>
        <v>3688.3805588939476</v>
      </c>
      <c r="V241" s="3">
        <f t="shared" si="53"/>
        <v>0</v>
      </c>
      <c r="W241" s="3">
        <f t="shared" si="63"/>
        <v>489.41137981700558</v>
      </c>
      <c r="Y241" s="3">
        <f t="shared" si="64"/>
        <v>5214.3886646962637</v>
      </c>
      <c r="AA241" s="3">
        <f t="shared" si="65"/>
        <v>302.36565991908867</v>
      </c>
      <c r="AB241" s="3">
        <f t="shared" si="66"/>
        <v>-17.388664696263731</v>
      </c>
      <c r="AD241" s="3">
        <f t="shared" si="67"/>
        <v>5.7016888655118965E-6</v>
      </c>
    </row>
    <row r="242" spans="3:30" x14ac:dyDescent="0.3">
      <c r="C242" s="22">
        <v>210</v>
      </c>
      <c r="D242" s="22">
        <v>5342</v>
      </c>
      <c r="F242" s="3">
        <f t="shared" si="54"/>
        <v>2356.4746751081507</v>
      </c>
      <c r="G242" s="3">
        <f t="shared" si="55"/>
        <v>387.16721818907325</v>
      </c>
      <c r="H242" s="3">
        <f t="shared" si="56"/>
        <v>2.609291319542117</v>
      </c>
      <c r="I242" s="3">
        <f t="shared" si="57"/>
        <v>0.84739288892660924</v>
      </c>
      <c r="J242" s="3">
        <f t="shared" si="58"/>
        <v>-2.0410058692592972</v>
      </c>
      <c r="K242" s="3">
        <f t="shared" si="59"/>
        <v>2.9332131544651911E-2</v>
      </c>
      <c r="L242" s="3" cm="1">
        <f t="array" ref="L242">lmb_2(F242)</f>
        <v>2348.7114006803749</v>
      </c>
      <c r="M242" s="3" cm="1">
        <f t="array" ref="M242">lmb_2(G242)</f>
        <v>381.22383150219014</v>
      </c>
      <c r="N242" s="3" cm="1">
        <f t="array" ref="N242">lmb_2(H242)</f>
        <v>1.9443589734344235</v>
      </c>
      <c r="O242" s="3" cm="1">
        <f t="array" ref="O242">lmb_2(I242)</f>
        <v>0.92517031885451917</v>
      </c>
      <c r="P242" s="3" cm="1">
        <f t="array" ref="P242">lmb_2(J242)</f>
        <v>0.11570505820435605</v>
      </c>
      <c r="R242" s="3">
        <f t="shared" si="60"/>
        <v>0.37225471315858633</v>
      </c>
      <c r="S242" s="3">
        <f t="shared" si="61"/>
        <v>20.950228929758072</v>
      </c>
      <c r="T242" s="3">
        <f t="shared" si="62"/>
        <v>1002.5003142068788</v>
      </c>
      <c r="U242" s="3">
        <f t="shared" si="52"/>
        <v>3682.7117363385951</v>
      </c>
      <c r="V242" s="3">
        <f t="shared" si="53"/>
        <v>0</v>
      </c>
      <c r="W242" s="3">
        <f t="shared" si="63"/>
        <v>491.51382661038838</v>
      </c>
      <c r="Y242" s="3">
        <f t="shared" si="64"/>
        <v>5198.0776929303238</v>
      </c>
      <c r="AA242" s="3">
        <f t="shared" si="65"/>
        <v>20713.63047225817</v>
      </c>
      <c r="AB242" s="3">
        <f t="shared" si="66"/>
        <v>143.92230706967621</v>
      </c>
      <c r="AD242" s="3">
        <f t="shared" si="67"/>
        <v>4.7191675154578013E-5</v>
      </c>
    </row>
    <row r="243" spans="3:30" x14ac:dyDescent="0.3">
      <c r="C243" s="22">
        <v>211</v>
      </c>
      <c r="D243" s="22">
        <v>5233</v>
      </c>
      <c r="F243" s="3">
        <f t="shared" si="54"/>
        <v>2378.9592354826314</v>
      </c>
      <c r="G243" s="3">
        <f t="shared" si="55"/>
        <v>390.85412784268817</v>
      </c>
      <c r="H243" s="3">
        <f t="shared" si="56"/>
        <v>2.6396732863773922</v>
      </c>
      <c r="I243" s="3">
        <f t="shared" si="57"/>
        <v>0.8556332643967165</v>
      </c>
      <c r="J243" s="3">
        <f t="shared" si="58"/>
        <v>-2.0405752502497143</v>
      </c>
      <c r="K243" s="3">
        <f t="shared" si="59"/>
        <v>2.7618274976513719E-2</v>
      </c>
      <c r="L243" s="3" cm="1">
        <f t="array" ref="L243">lmb_2(F243)</f>
        <v>2371.1864511033345</v>
      </c>
      <c r="M243" s="3" cm="1">
        <f t="array" ref="M243">lmb_2(G243)</f>
        <v>384.90114131717252</v>
      </c>
      <c r="N243" s="3" cm="1">
        <f t="array" ref="N243">lmb_2(H243)</f>
        <v>1.964457275088825</v>
      </c>
      <c r="O243" s="3" cm="1">
        <f t="array" ref="O243">lmb_2(I243)</f>
        <v>0.92913475801646195</v>
      </c>
      <c r="P243" s="3" cm="1">
        <f t="array" ref="P243">lmb_2(J243)</f>
        <v>0.1157497236076663</v>
      </c>
      <c r="R243" s="3">
        <f t="shared" si="60"/>
        <v>0.36697207685928157</v>
      </c>
      <c r="S243" s="3">
        <f t="shared" si="61"/>
        <v>20.650210129777644</v>
      </c>
      <c r="T243" s="3">
        <f t="shared" si="62"/>
        <v>990.20952846181706</v>
      </c>
      <c r="U243" s="3">
        <f t="shared" si="52"/>
        <v>3676.8885168403426</v>
      </c>
      <c r="V243" s="3">
        <f t="shared" si="53"/>
        <v>0</v>
      </c>
      <c r="W243" s="3">
        <f t="shared" si="63"/>
        <v>493.61627340377117</v>
      </c>
      <c r="Y243" s="3">
        <f t="shared" si="64"/>
        <v>5181.7591191875454</v>
      </c>
      <c r="AA243" s="3">
        <f t="shared" si="65"/>
        <v>2625.6278664361816</v>
      </c>
      <c r="AB243" s="3">
        <f t="shared" si="66"/>
        <v>51.240880812454634</v>
      </c>
      <c r="AD243" s="3">
        <f t="shared" si="67"/>
        <v>1.6801724841480813E-5</v>
      </c>
    </row>
    <row r="244" spans="3:30" x14ac:dyDescent="0.3">
      <c r="C244" s="22">
        <v>212</v>
      </c>
      <c r="D244" s="22">
        <v>5202</v>
      </c>
      <c r="F244" s="3">
        <f t="shared" si="54"/>
        <v>2401.5506108707673</v>
      </c>
      <c r="G244" s="3">
        <f t="shared" si="55"/>
        <v>394.55855250653423</v>
      </c>
      <c r="H244" s="3">
        <f t="shared" si="56"/>
        <v>2.6701995855966842</v>
      </c>
      <c r="I244" s="3">
        <f t="shared" si="57"/>
        <v>0.86391278654364134</v>
      </c>
      <c r="J244" s="3">
        <f t="shared" si="58"/>
        <v>-2.0401425855441238</v>
      </c>
      <c r="K244" s="3">
        <f t="shared" si="59"/>
        <v>2.6004557886192846E-2</v>
      </c>
      <c r="L244" s="3" cm="1">
        <f t="array" ref="L244">lmb_2(F244)</f>
        <v>2393.7683615677097</v>
      </c>
      <c r="M244" s="3" cm="1">
        <f t="array" ref="M244">lmb_2(G244)</f>
        <v>388.59601223152845</v>
      </c>
      <c r="N244" s="3" cm="1">
        <f t="array" ref="N244">lmb_2(H244)</f>
        <v>1.9847211565930765</v>
      </c>
      <c r="O244" s="3" cm="1">
        <f t="array" ref="O244">lmb_2(I244)</f>
        <v>0.93312688120623766</v>
      </c>
      <c r="P244" s="3" cm="1">
        <f t="array" ref="P244">lmb_2(J244)</f>
        <v>0.11579461676121897</v>
      </c>
      <c r="R244" s="3">
        <f t="shared" si="60"/>
        <v>0.36178896546588418</v>
      </c>
      <c r="S244" s="3">
        <f t="shared" si="61"/>
        <v>20.355899604978418</v>
      </c>
      <c r="T244" s="3">
        <f t="shared" si="62"/>
        <v>978.05893934965127</v>
      </c>
      <c r="U244" s="3">
        <f t="shared" si="52"/>
        <v>3670.9129007479</v>
      </c>
      <c r="V244" s="3">
        <f t="shared" si="53"/>
        <v>0</v>
      </c>
      <c r="W244" s="3">
        <f t="shared" si="63"/>
        <v>495.71872019715397</v>
      </c>
      <c r="Y244" s="3">
        <f t="shared" si="64"/>
        <v>5165.4342534230354</v>
      </c>
      <c r="AA244" s="3">
        <f t="shared" si="65"/>
        <v>1337.0538227307952</v>
      </c>
      <c r="AB244" s="3">
        <f t="shared" si="66"/>
        <v>36.565746576964557</v>
      </c>
      <c r="AD244" s="3">
        <f t="shared" si="67"/>
        <v>1.1989794142261289E-5</v>
      </c>
    </row>
    <row r="245" spans="3:30" x14ac:dyDescent="0.3">
      <c r="C245" s="22">
        <v>213</v>
      </c>
      <c r="D245" s="22">
        <v>5165</v>
      </c>
      <c r="F245" s="3">
        <f t="shared" si="54"/>
        <v>2424.248801272558</v>
      </c>
      <c r="G245" s="3">
        <f t="shared" si="55"/>
        <v>398.28049218061108</v>
      </c>
      <c r="H245" s="3">
        <f t="shared" si="56"/>
        <v>2.7008702171999897</v>
      </c>
      <c r="I245" s="3">
        <f t="shared" si="57"/>
        <v>0.87223145536738378</v>
      </c>
      <c r="J245" s="3">
        <f t="shared" si="58"/>
        <v>-2.0397078751425259</v>
      </c>
      <c r="K245" s="3">
        <f t="shared" si="59"/>
        <v>2.4485129191863693E-2</v>
      </c>
      <c r="L245" s="3" cm="1">
        <f t="array" ref="L245">lmb_2(F245)</f>
        <v>2416.4571316489964</v>
      </c>
      <c r="M245" s="3" cm="1">
        <f t="array" ref="M245">lmb_2(G245)</f>
        <v>392.30844380378375</v>
      </c>
      <c r="N245" s="3" cm="1">
        <f t="array" ref="N245">lmb_2(H245)</f>
        <v>2.0051508982839312</v>
      </c>
      <c r="O245" s="3" cm="1">
        <f t="array" ref="O245">lmb_2(I245)</f>
        <v>0.93714679717400629</v>
      </c>
      <c r="P245" s="3" cm="1">
        <f t="array" ref="P245">lmb_2(J245)</f>
        <v>0.11583973789048606</v>
      </c>
      <c r="R245" s="3">
        <f t="shared" si="60"/>
        <v>0.35670304531584046</v>
      </c>
      <c r="S245" s="3">
        <f t="shared" si="61"/>
        <v>20.067162122147234</v>
      </c>
      <c r="T245" s="3">
        <f t="shared" si="62"/>
        <v>966.04795870290843</v>
      </c>
      <c r="U245" s="3">
        <f t="shared" si="52"/>
        <v>3664.7868900370445</v>
      </c>
      <c r="V245" s="3">
        <f t="shared" si="53"/>
        <v>0</v>
      </c>
      <c r="W245" s="3">
        <f t="shared" si="63"/>
        <v>497.82116699053677</v>
      </c>
      <c r="Y245" s="3">
        <f t="shared" si="64"/>
        <v>5149.1043660271444</v>
      </c>
      <c r="AA245" s="3">
        <f t="shared" si="65"/>
        <v>252.67117939900265</v>
      </c>
      <c r="AB245" s="3">
        <f t="shared" si="66"/>
        <v>15.895633972855649</v>
      </c>
      <c r="AD245" s="3">
        <f t="shared" si="67"/>
        <v>5.2121287526326037E-6</v>
      </c>
    </row>
    <row r="246" spans="3:30" x14ac:dyDescent="0.3">
      <c r="C246" s="22">
        <v>214</v>
      </c>
      <c r="D246" s="22">
        <v>5111</v>
      </c>
      <c r="F246" s="3">
        <f t="shared" si="54"/>
        <v>2447.0538066880054</v>
      </c>
      <c r="G246" s="3">
        <f t="shared" si="55"/>
        <v>402.01994686491901</v>
      </c>
      <c r="H246" s="3">
        <f t="shared" si="56"/>
        <v>2.7316851811873111</v>
      </c>
      <c r="I246" s="3">
        <f t="shared" si="57"/>
        <v>0.88058927086794392</v>
      </c>
      <c r="J246" s="3">
        <f t="shared" si="58"/>
        <v>-2.0392711190449204</v>
      </c>
      <c r="K246" s="3">
        <f t="shared" si="59"/>
        <v>2.3054479686446513E-2</v>
      </c>
      <c r="L246" s="3" cm="1">
        <f t="array" ref="L246">lmb_2(F246)</f>
        <v>2439.2527609286681</v>
      </c>
      <c r="M246" s="3" cm="1">
        <f t="array" ref="M246">lmb_2(G246)</f>
        <v>396.03843559878163</v>
      </c>
      <c r="N246" s="3" cm="1">
        <f t="array" ref="N246">lmb_2(H246)</f>
        <v>2.0257467722100753</v>
      </c>
      <c r="O246" s="3" cm="1">
        <f t="array" ref="O246">lmb_2(I246)</f>
        <v>0.94119461472494537</v>
      </c>
      <c r="P246" s="3" cm="1">
        <f t="array" ref="P246">lmb_2(J246)</f>
        <v>0.11588508722210511</v>
      </c>
      <c r="R246" s="3">
        <f t="shared" si="60"/>
        <v>0.35171204812414381</v>
      </c>
      <c r="S246" s="3">
        <f t="shared" si="61"/>
        <v>19.783866276653669</v>
      </c>
      <c r="T246" s="3">
        <f t="shared" si="62"/>
        <v>954.17595488163772</v>
      </c>
      <c r="U246" s="3">
        <f t="shared" si="52"/>
        <v>3658.5124878991578</v>
      </c>
      <c r="V246" s="3">
        <f t="shared" si="53"/>
        <v>0</v>
      </c>
      <c r="W246" s="3">
        <f t="shared" si="63"/>
        <v>499.92361378391956</v>
      </c>
      <c r="Y246" s="3">
        <f t="shared" si="64"/>
        <v>5132.7706893691802</v>
      </c>
      <c r="AA246" s="3">
        <f t="shared" si="65"/>
        <v>473.96291560933656</v>
      </c>
      <c r="AB246" s="3">
        <f t="shared" si="66"/>
        <v>-21.770689369180218</v>
      </c>
      <c r="AD246" s="3">
        <f t="shared" si="67"/>
        <v>7.1385410748327656E-6</v>
      </c>
    </row>
    <row r="247" spans="3:30" x14ac:dyDescent="0.3">
      <c r="C247" s="22">
        <v>215</v>
      </c>
      <c r="D247" s="22">
        <v>5083</v>
      </c>
      <c r="F247" s="3">
        <f t="shared" si="54"/>
        <v>2469.965627117107</v>
      </c>
      <c r="G247" s="3">
        <f t="shared" si="55"/>
        <v>405.77691655945779</v>
      </c>
      <c r="H247" s="3">
        <f t="shared" si="56"/>
        <v>2.7626444775586494</v>
      </c>
      <c r="I247" s="3">
        <f t="shared" si="57"/>
        <v>0.88898623304532176</v>
      </c>
      <c r="J247" s="3">
        <f t="shared" si="58"/>
        <v>-2.0388323172513072</v>
      </c>
      <c r="K247" s="3">
        <f t="shared" si="59"/>
        <v>2.1707422062097727E-2</v>
      </c>
      <c r="L247" s="3" cm="1">
        <f t="array" ref="L247">lmb_2(F247)</f>
        <v>2462.1552489940582</v>
      </c>
      <c r="M247" s="3" cm="1">
        <f t="array" ref="M247">lmb_2(G247)</f>
        <v>399.7859871875616</v>
      </c>
      <c r="N247" s="3" cm="1">
        <f t="array" ref="N247">lmb_2(H247)</f>
        <v>2.0465090422304022</v>
      </c>
      <c r="O247" s="3" cm="1">
        <f t="array" ref="O247">lmb_2(I247)</f>
        <v>0.94527044271208305</v>
      </c>
      <c r="P247" s="3" cm="1">
        <f t="array" ref="P247">lmb_2(J247)</f>
        <v>0.1159306649838808</v>
      </c>
      <c r="R247" s="3">
        <f t="shared" si="60"/>
        <v>0.34681376885588261</v>
      </c>
      <c r="S247" s="3">
        <f t="shared" si="61"/>
        <v>19.505884366546468</v>
      </c>
      <c r="T247" s="3">
        <f t="shared" si="62"/>
        <v>942.44225483383013</v>
      </c>
      <c r="U247" s="3">
        <f t="shared" si="52"/>
        <v>3652.0916983339084</v>
      </c>
      <c r="V247" s="3">
        <f t="shared" si="53"/>
        <v>0</v>
      </c>
      <c r="W247" s="3">
        <f t="shared" si="63"/>
        <v>502.02606057730236</v>
      </c>
      <c r="Y247" s="3">
        <f t="shared" si="64"/>
        <v>5116.4344193025045</v>
      </c>
      <c r="AA247" s="3">
        <f t="shared" si="65"/>
        <v>1117.8603940956832</v>
      </c>
      <c r="AB247" s="3">
        <f t="shared" si="66"/>
        <v>-33.434419302504466</v>
      </c>
      <c r="AD247" s="3">
        <f t="shared" si="67"/>
        <v>1.0963041705146377E-5</v>
      </c>
    </row>
    <row r="248" spans="3:30" x14ac:dyDescent="0.3">
      <c r="C248" s="22">
        <v>216</v>
      </c>
      <c r="D248" s="22">
        <v>5139</v>
      </c>
      <c r="F248" s="3">
        <f t="shared" si="54"/>
        <v>2492.9842625598658</v>
      </c>
      <c r="G248" s="3">
        <f t="shared" si="55"/>
        <v>409.55140126422748</v>
      </c>
      <c r="H248" s="3">
        <f t="shared" si="56"/>
        <v>2.7937481063140019</v>
      </c>
      <c r="I248" s="3">
        <f t="shared" si="57"/>
        <v>0.89742234189951708</v>
      </c>
      <c r="J248" s="3">
        <f t="shared" si="58"/>
        <v>-2.0383914697616867</v>
      </c>
      <c r="K248" s="3">
        <f t="shared" si="59"/>
        <v>2.0439072101855704E-2</v>
      </c>
      <c r="L248" s="3" cm="1">
        <f t="array" ref="L248">lmb_2(F248)</f>
        <v>2485.1645954382602</v>
      </c>
      <c r="M248" s="3" cm="1">
        <f t="array" ref="M248">lmb_2(G248)</f>
        <v>403.55109814724352</v>
      </c>
      <c r="N248" s="3" cm="1">
        <f t="array" ref="N248">lmb_2(H248)</f>
        <v>2.0674379641138354</v>
      </c>
      <c r="O248" s="3" cm="1">
        <f t="array" ref="O248">lmb_2(I248)</f>
        <v>0.9493743900291246</v>
      </c>
      <c r="P248" s="3" cm="1">
        <f t="array" ref="P248">lmb_2(J248)</f>
        <v>0.11597647140478595</v>
      </c>
      <c r="R248" s="3">
        <f t="shared" si="60"/>
        <v>0.34200606367755648</v>
      </c>
      <c r="S248" s="3">
        <f t="shared" si="61"/>
        <v>19.233092271359993</v>
      </c>
      <c r="T248" s="3">
        <f t="shared" si="62"/>
        <v>930.84614610662356</v>
      </c>
      <c r="U248" s="3">
        <f t="shared" si="52"/>
        <v>3645.526525746136</v>
      </c>
      <c r="V248" s="3">
        <f t="shared" si="53"/>
        <v>0</v>
      </c>
      <c r="W248" s="3">
        <f t="shared" si="63"/>
        <v>504.12850737068516</v>
      </c>
      <c r="Y248" s="3">
        <f t="shared" si="64"/>
        <v>5100.0967166305836</v>
      </c>
      <c r="AA248" s="3">
        <f t="shared" si="65"/>
        <v>1513.4654569211095</v>
      </c>
      <c r="AB248" s="3">
        <f t="shared" si="66"/>
        <v>38.903283369416386</v>
      </c>
      <c r="AD248" s="3">
        <f t="shared" si="67"/>
        <v>1.2756265158584394E-5</v>
      </c>
    </row>
    <row r="249" spans="3:30" x14ac:dyDescent="0.3">
      <c r="C249" s="22">
        <v>217</v>
      </c>
      <c r="D249" s="22">
        <v>5059</v>
      </c>
      <c r="F249" s="3">
        <f t="shared" si="54"/>
        <v>2516.1097130162784</v>
      </c>
      <c r="G249" s="3">
        <f t="shared" si="55"/>
        <v>413.34340097922825</v>
      </c>
      <c r="H249" s="3">
        <f t="shared" si="56"/>
        <v>2.8249960674533705</v>
      </c>
      <c r="I249" s="3">
        <f t="shared" si="57"/>
        <v>0.90589759743053</v>
      </c>
      <c r="J249" s="3">
        <f t="shared" si="58"/>
        <v>-2.037948576576059</v>
      </c>
      <c r="K249" s="3">
        <f t="shared" si="59"/>
        <v>1.9244830970245801E-2</v>
      </c>
      <c r="L249" s="3" cm="1">
        <f t="array" ref="L249">lmb_2(F249)</f>
        <v>2508.2807998600106</v>
      </c>
      <c r="M249" s="3" cm="1">
        <f t="array" ref="M249">lmb_2(G249)</f>
        <v>407.33376806091275</v>
      </c>
      <c r="N249" s="3" cm="1">
        <f t="array" ref="N249">lmb_2(H249)</f>
        <v>2.0885337856405779</v>
      </c>
      <c r="O249" s="3" cm="1">
        <f t="array" ref="O249">lmb_2(I249)</f>
        <v>0.95350656560327152</v>
      </c>
      <c r="P249" s="3" cm="1">
        <f t="array" ref="P249">lmb_2(J249)</f>
        <v>0.11602250671496335</v>
      </c>
      <c r="R249" s="3">
        <f t="shared" si="60"/>
        <v>0.33728684798390252</v>
      </c>
      <c r="S249" s="3">
        <f t="shared" si="61"/>
        <v>18.96536933543392</v>
      </c>
      <c r="T249" s="3">
        <f t="shared" si="62"/>
        <v>919.38687880819634</v>
      </c>
      <c r="U249" s="3">
        <f t="shared" si="52"/>
        <v>3638.8189745470445</v>
      </c>
      <c r="V249" s="3">
        <f t="shared" si="53"/>
        <v>0</v>
      </c>
      <c r="W249" s="3">
        <f t="shared" si="63"/>
        <v>506.23095416406795</v>
      </c>
      <c r="Y249" s="3">
        <f t="shared" si="64"/>
        <v>5083.7587085336963</v>
      </c>
      <c r="AA249" s="3">
        <f t="shared" si="65"/>
        <v>612.99364825652776</v>
      </c>
      <c r="AB249" s="3">
        <f t="shared" si="66"/>
        <v>-24.758708533696336</v>
      </c>
      <c r="AD249" s="3">
        <f t="shared" si="67"/>
        <v>8.1183032301130593E-6</v>
      </c>
    </row>
    <row r="250" spans="3:30" x14ac:dyDescent="0.3">
      <c r="C250" s="22">
        <v>218</v>
      </c>
      <c r="D250" s="22">
        <v>5062</v>
      </c>
      <c r="F250" s="3">
        <f t="shared" si="54"/>
        <v>2539.3419784863468</v>
      </c>
      <c r="G250" s="3">
        <f t="shared" si="55"/>
        <v>417.15291570445987</v>
      </c>
      <c r="H250" s="3">
        <f t="shared" si="56"/>
        <v>2.8563883609767551</v>
      </c>
      <c r="I250" s="3">
        <f t="shared" si="57"/>
        <v>0.91441199963836062</v>
      </c>
      <c r="J250" s="3">
        <f t="shared" si="58"/>
        <v>-2.0375036376944231</v>
      </c>
      <c r="K250" s="3">
        <f t="shared" si="59"/>
        <v>1.8120368538633705E-2</v>
      </c>
      <c r="L250" s="3" cm="1">
        <f t="array" ref="L250">lmb_2(F250)</f>
        <v>2531.5038618635954</v>
      </c>
      <c r="M250" s="3" cm="1">
        <f t="array" ref="M250">lmb_2(G250)</f>
        <v>411.13399651750836</v>
      </c>
      <c r="N250" s="3" cm="1">
        <f t="array" ref="N250">lmb_2(H250)</f>
        <v>2.1097967467046641</v>
      </c>
      <c r="O250" s="3" cm="1">
        <f t="array" ref="O250">lmb_2(I250)</f>
        <v>0.957667078388036</v>
      </c>
      <c r="P250" s="3" cm="1">
        <f t="array" ref="P250">lmb_2(J250)</f>
        <v>0.11606877114572724</v>
      </c>
      <c r="R250" s="3">
        <f t="shared" si="60"/>
        <v>0.33265409449710387</v>
      </c>
      <c r="S250" s="3">
        <f t="shared" si="61"/>
        <v>18.702598255557643</v>
      </c>
      <c r="T250" s="3">
        <f t="shared" si="62"/>
        <v>908.06366752033455</v>
      </c>
      <c r="U250" s="3">
        <f t="shared" si="52"/>
        <v>3631.9710487597617</v>
      </c>
      <c r="V250" s="3">
        <f t="shared" si="53"/>
        <v>0</v>
      </c>
      <c r="W250" s="3">
        <f t="shared" si="63"/>
        <v>508.33340095745075</v>
      </c>
      <c r="Y250" s="3">
        <f t="shared" si="64"/>
        <v>5067.4214899561412</v>
      </c>
      <c r="AA250" s="3">
        <f t="shared" si="65"/>
        <v>29.392553344539461</v>
      </c>
      <c r="AB250" s="3">
        <f t="shared" si="66"/>
        <v>-5.4214899561411585</v>
      </c>
      <c r="AD250" s="3">
        <f t="shared" si="67"/>
        <v>1.7776896304209345E-6</v>
      </c>
    </row>
    <row r="251" spans="3:30" x14ac:dyDescent="0.3">
      <c r="C251" s="22">
        <v>219</v>
      </c>
      <c r="D251" s="22">
        <v>5122</v>
      </c>
      <c r="F251" s="3">
        <f t="shared" si="54"/>
        <v>2562.6810589700717</v>
      </c>
      <c r="G251" s="3">
        <f t="shared" si="55"/>
        <v>420.97994543992257</v>
      </c>
      <c r="H251" s="3">
        <f t="shared" si="56"/>
        <v>2.8879249868841548</v>
      </c>
      <c r="I251" s="3">
        <f t="shared" si="57"/>
        <v>0.92296554852300861</v>
      </c>
      <c r="J251" s="3">
        <f t="shared" si="58"/>
        <v>-2.0370566531167804</v>
      </c>
      <c r="K251" s="3">
        <f t="shared" si="59"/>
        <v>1.7061607684866691E-2</v>
      </c>
      <c r="L251" s="3" cm="1">
        <f t="array" ref="L251">lmb_2(F251)</f>
        <v>2554.8337810587414</v>
      </c>
      <c r="M251" s="3" cm="1">
        <f t="array" ref="M251">lmb_2(G251)</f>
        <v>414.95178311171486</v>
      </c>
      <c r="N251" s="3" cm="1">
        <f t="array" ref="N251">lmb_2(H251)</f>
        <v>2.1312270794177097</v>
      </c>
      <c r="O251" s="3" cm="1">
        <f t="array" ref="O251">lmb_2(I251)</f>
        <v>0.96185603735605041</v>
      </c>
      <c r="P251" s="3" cm="1">
        <f t="array" ref="P251">lmb_2(J251)</f>
        <v>0.11611526492956419</v>
      </c>
      <c r="R251" s="3">
        <f t="shared" si="60"/>
        <v>0.32810583143541738</v>
      </c>
      <c r="S251" s="3">
        <f t="shared" si="61"/>
        <v>18.444664972759981</v>
      </c>
      <c r="T251" s="3">
        <f t="shared" si="62"/>
        <v>896.87569316170618</v>
      </c>
      <c r="U251" s="3">
        <f t="shared" si="52"/>
        <v>3624.9847516293626</v>
      </c>
      <c r="V251" s="3">
        <f t="shared" si="53"/>
        <v>0</v>
      </c>
      <c r="W251" s="3">
        <f t="shared" si="63"/>
        <v>510.4358477508336</v>
      </c>
      <c r="Y251" s="3">
        <f t="shared" si="64"/>
        <v>5051.0861249537829</v>
      </c>
      <c r="AA251" s="3">
        <f t="shared" si="65"/>
        <v>5028.7776740704885</v>
      </c>
      <c r="AB251" s="3">
        <f t="shared" si="66"/>
        <v>70.913875046217072</v>
      </c>
      <c r="AD251" s="3">
        <f t="shared" si="67"/>
        <v>2.3252438230532741E-5</v>
      </c>
    </row>
    <row r="252" spans="3:30" x14ac:dyDescent="0.3">
      <c r="C252" s="22">
        <v>220</v>
      </c>
      <c r="D252" s="22">
        <v>5166</v>
      </c>
      <c r="F252" s="3">
        <f t="shared" si="54"/>
        <v>2586.1269544674506</v>
      </c>
      <c r="G252" s="3">
        <f t="shared" si="55"/>
        <v>424.82449018561601</v>
      </c>
      <c r="H252" s="3">
        <f t="shared" si="56"/>
        <v>2.9196059451755696</v>
      </c>
      <c r="I252" s="3">
        <f t="shared" si="57"/>
        <v>0.93155824408447441</v>
      </c>
      <c r="J252" s="3">
        <f t="shared" si="58"/>
        <v>-2.0366076228431296</v>
      </c>
      <c r="K252" s="3">
        <f t="shared" si="59"/>
        <v>1.6064709510276397E-2</v>
      </c>
      <c r="L252" s="3" cm="1">
        <f t="array" ref="L252">lmb_2(F252)</f>
        <v>2578.2705570605162</v>
      </c>
      <c r="M252" s="3" cm="1">
        <f t="array" ref="M252">lmb_2(G252)</f>
        <v>418.78712744385456</v>
      </c>
      <c r="N252" s="3" cm="1">
        <f t="array" ref="N252">lmb_2(H252)</f>
        <v>2.1528250082137506</v>
      </c>
      <c r="O252" s="3" cm="1">
        <f t="array" ref="O252">lmb_2(I252)</f>
        <v>0.96607355149187535</v>
      </c>
      <c r="P252" s="3" cm="1">
        <f t="array" ref="P252">lmb_2(J252)</f>
        <v>0.11616198830013538</v>
      </c>
      <c r="R252" s="3">
        <f t="shared" si="60"/>
        <v>0.32364014074837255</v>
      </c>
      <c r="S252" s="3">
        <f t="shared" si="61"/>
        <v>18.191458568073056</v>
      </c>
      <c r="T252" s="3">
        <f t="shared" si="62"/>
        <v>885.82210480197114</v>
      </c>
      <c r="U252" s="3">
        <f t="shared" si="52"/>
        <v>3617.8620852374029</v>
      </c>
      <c r="V252" s="3">
        <f t="shared" si="53"/>
        <v>0</v>
      </c>
      <c r="W252" s="3">
        <f t="shared" si="63"/>
        <v>512.53829454421634</v>
      </c>
      <c r="Y252" s="3">
        <f t="shared" si="64"/>
        <v>5034.7536480019216</v>
      </c>
      <c r="AA252" s="3">
        <f t="shared" si="65"/>
        <v>17225.604912803487</v>
      </c>
      <c r="AB252" s="3">
        <f t="shared" si="66"/>
        <v>131.24635199807835</v>
      </c>
      <c r="AD252" s="3">
        <f t="shared" si="67"/>
        <v>4.3035269061648521E-5</v>
      </c>
    </row>
    <row r="253" spans="3:30" x14ac:dyDescent="0.3">
      <c r="C253" s="22">
        <v>221</v>
      </c>
      <c r="D253" s="22">
        <v>5086</v>
      </c>
      <c r="F253" s="3">
        <f t="shared" si="54"/>
        <v>2609.6796649784865</v>
      </c>
      <c r="G253" s="3">
        <f t="shared" si="55"/>
        <v>428.68654994154048</v>
      </c>
      <c r="H253" s="3">
        <f t="shared" si="56"/>
        <v>2.9514312358510004</v>
      </c>
      <c r="I253" s="3">
        <f t="shared" si="57"/>
        <v>0.94019008632275791</v>
      </c>
      <c r="J253" s="3">
        <f t="shared" si="58"/>
        <v>-2.0361565468734715</v>
      </c>
      <c r="K253" s="3">
        <f t="shared" si="59"/>
        <v>1.5126059420442088E-2</v>
      </c>
      <c r="L253" s="3" cm="1">
        <f t="array" ref="L253">lmb_2(F253)</f>
        <v>2601.8141894892397</v>
      </c>
      <c r="M253" s="3" cm="1">
        <f t="array" ref="M253">lmb_2(G253)</f>
        <v>422.64002911978469</v>
      </c>
      <c r="N253" s="3" cm="1">
        <f t="array" ref="N253">lmb_2(H253)</f>
        <v>2.1745907499550503</v>
      </c>
      <c r="O253" s="3" cm="1">
        <f t="array" ref="O253">lmb_2(I253)</f>
        <v>0.97031972978480485</v>
      </c>
      <c r="P253" s="3" cm="1">
        <f t="array" ref="P253">lmb_2(J253)</f>
        <v>0.1162089414922772</v>
      </c>
      <c r="R253" s="3">
        <f t="shared" si="60"/>
        <v>0.31925515641583324</v>
      </c>
      <c r="S253" s="3">
        <f t="shared" si="61"/>
        <v>17.942871162106609</v>
      </c>
      <c r="T253" s="3">
        <f t="shared" si="62"/>
        <v>874.90202142690589</v>
      </c>
      <c r="U253" s="3">
        <f t="shared" si="52"/>
        <v>3610.6050501210743</v>
      </c>
      <c r="V253" s="3">
        <f t="shared" si="53"/>
        <v>0</v>
      </c>
      <c r="W253" s="3">
        <f t="shared" si="63"/>
        <v>514.64074133759914</v>
      </c>
      <c r="Y253" s="3">
        <f t="shared" si="64"/>
        <v>5018.4250652635219</v>
      </c>
      <c r="AA253" s="3">
        <f t="shared" si="65"/>
        <v>4566.3718046392742</v>
      </c>
      <c r="AB253" s="3">
        <f t="shared" si="66"/>
        <v>67.574934736478099</v>
      </c>
      <c r="AD253" s="3">
        <f t="shared" si="67"/>
        <v>2.2157610127329503E-5</v>
      </c>
    </row>
    <row r="254" spans="3:30" x14ac:dyDescent="0.3">
      <c r="C254" s="22">
        <v>222</v>
      </c>
      <c r="D254" s="22">
        <v>5128</v>
      </c>
      <c r="F254" s="3">
        <f t="shared" si="54"/>
        <v>2633.3391905031772</v>
      </c>
      <c r="G254" s="3">
        <f t="shared" si="55"/>
        <v>432.56612470769608</v>
      </c>
      <c r="H254" s="3">
        <f t="shared" si="56"/>
        <v>2.9834008589104464</v>
      </c>
      <c r="I254" s="3">
        <f t="shared" si="57"/>
        <v>0.9488610752378589</v>
      </c>
      <c r="J254" s="3">
        <f t="shared" si="58"/>
        <v>-2.0357034252078061</v>
      </c>
      <c r="K254" s="3">
        <f t="shared" si="59"/>
        <v>1.4242254019245462E-2</v>
      </c>
      <c r="L254" s="3" cm="1">
        <f t="array" ref="L254">lmb_2(F254)</f>
        <v>2625.4646779703767</v>
      </c>
      <c r="M254" s="3" cm="1">
        <f t="array" ref="M254">lmb_2(G254)</f>
        <v>426.51048775079516</v>
      </c>
      <c r="N254" s="3" cm="1">
        <f t="array" ref="N254">lmb_2(H254)</f>
        <v>2.1965245140387841</v>
      </c>
      <c r="O254" s="3" cm="1">
        <f t="array" ref="O254">lmb_2(I254)</f>
        <v>0.97459468122167248</v>
      </c>
      <c r="P254" s="3" cm="1">
        <f t="array" ref="P254">lmb_2(J254)</f>
        <v>0.11625612474200343</v>
      </c>
      <c r="R254" s="3">
        <f t="shared" si="60"/>
        <v>0.31494906280833751</v>
      </c>
      <c r="S254" s="3">
        <f t="shared" si="61"/>
        <v>17.698797818277122</v>
      </c>
      <c r="T254" s="3">
        <f t="shared" si="62"/>
        <v>864.11453365478951</v>
      </c>
      <c r="U254" s="3">
        <f t="shared" si="52"/>
        <v>3603.2156448970059</v>
      </c>
      <c r="V254" s="3">
        <f t="shared" si="53"/>
        <v>0</v>
      </c>
      <c r="W254" s="3">
        <f t="shared" si="63"/>
        <v>516.74318813098193</v>
      </c>
      <c r="Y254" s="3">
        <f t="shared" si="64"/>
        <v>5002.101355817882</v>
      </c>
      <c r="AA254" s="3">
        <f t="shared" si="65"/>
        <v>15850.468606895556</v>
      </c>
      <c r="AB254" s="3">
        <f t="shared" si="66"/>
        <v>125.89864418211801</v>
      </c>
      <c r="AD254" s="3">
        <f t="shared" si="67"/>
        <v>4.1281772364640865E-5</v>
      </c>
    </row>
    <row r="255" spans="3:30" x14ac:dyDescent="0.3">
      <c r="C255" s="22">
        <v>223</v>
      </c>
      <c r="D255" s="22">
        <v>4846</v>
      </c>
      <c r="F255" s="3">
        <f t="shared" si="54"/>
        <v>2657.1055310415227</v>
      </c>
      <c r="G255" s="3">
        <f t="shared" si="55"/>
        <v>436.46321448408236</v>
      </c>
      <c r="H255" s="3">
        <f t="shared" si="56"/>
        <v>3.0155148143539083</v>
      </c>
      <c r="I255" s="3">
        <f t="shared" si="57"/>
        <v>0.95757121082977747</v>
      </c>
      <c r="J255" s="3">
        <f t="shared" si="58"/>
        <v>-2.0352482578461326</v>
      </c>
      <c r="K255" s="3">
        <f t="shared" si="59"/>
        <v>1.3410088768696976E-2</v>
      </c>
      <c r="L255" s="3" cm="1">
        <f t="array" ref="L255">lmb_2(F255)</f>
        <v>2649.2220221344546</v>
      </c>
      <c r="M255" s="3" cm="1">
        <f t="array" ref="M255">lmb_2(G255)</f>
        <v>430.39850295350868</v>
      </c>
      <c r="N255" s="3" cm="1">
        <f t="array" ref="N255">lmb_2(H255)</f>
        <v>2.2186265025044887</v>
      </c>
      <c r="O255" s="3" cm="1">
        <f t="array" ref="O255">lmb_2(I255)</f>
        <v>0.97889851477965883</v>
      </c>
      <c r="P255" s="3" cm="1">
        <f t="array" ref="P255">lmb_2(J255)</f>
        <v>0.11630353828650641</v>
      </c>
      <c r="R255" s="3">
        <f t="shared" si="60"/>
        <v>0.3107200931062355</v>
      </c>
      <c r="S255" s="3">
        <f t="shared" si="61"/>
        <v>17.459136449542484</v>
      </c>
      <c r="T255" s="3">
        <f t="shared" si="62"/>
        <v>853.45870540434964</v>
      </c>
      <c r="U255" s="3">
        <f t="shared" si="52"/>
        <v>3595.6958658898152</v>
      </c>
      <c r="V255" s="3">
        <f t="shared" si="53"/>
        <v>0</v>
      </c>
      <c r="W255" s="3">
        <f t="shared" si="63"/>
        <v>518.84563492436473</v>
      </c>
      <c r="Y255" s="3">
        <f t="shared" si="64"/>
        <v>4985.7834728499465</v>
      </c>
      <c r="AA255" s="3">
        <f t="shared" si="65"/>
        <v>19539.419281991737</v>
      </c>
      <c r="AB255" s="3">
        <f t="shared" si="66"/>
        <v>-139.78347284994652</v>
      </c>
      <c r="AD255" s="3">
        <f t="shared" si="67"/>
        <v>4.5834564335602766E-5</v>
      </c>
    </row>
    <row r="256" spans="3:30" x14ac:dyDescent="0.3">
      <c r="C256" s="22">
        <v>224</v>
      </c>
      <c r="D256" s="22">
        <v>4988</v>
      </c>
      <c r="F256" s="3">
        <f t="shared" si="54"/>
        <v>2680.9786865935253</v>
      </c>
      <c r="G256" s="3">
        <f t="shared" si="55"/>
        <v>440.37781927069983</v>
      </c>
      <c r="H256" s="3">
        <f t="shared" si="56"/>
        <v>3.0477731021813863</v>
      </c>
      <c r="I256" s="3">
        <f t="shared" si="57"/>
        <v>0.96632049309851364</v>
      </c>
      <c r="J256" s="3">
        <f t="shared" si="58"/>
        <v>-2.0347910447884523</v>
      </c>
      <c r="K256" s="3">
        <f t="shared" si="59"/>
        <v>1.2626546369790137E-2</v>
      </c>
      <c r="L256" s="3" cm="1">
        <f t="array" ref="L256">lmb_2(F256)</f>
        <v>2673.0862216169689</v>
      </c>
      <c r="M256" s="3" cm="1">
        <f t="array" ref="M256">lmb_2(G256)</f>
        <v>434.3040743497852</v>
      </c>
      <c r="N256" s="3" cm="1">
        <f t="array" ref="N256">lmb_2(H256)</f>
        <v>2.2408969101421805</v>
      </c>
      <c r="O256" s="3" cm="1">
        <f t="array" ref="O256">lmb_2(I256)</f>
        <v>0.98323133941910112</v>
      </c>
      <c r="P256" s="3" cm="1">
        <f t="array" ref="P256">lmb_2(J256)</f>
        <v>0.11635118236415826</v>
      </c>
      <c r="R256" s="3">
        <f t="shared" si="60"/>
        <v>0.30656652777526988</v>
      </c>
      <c r="S256" s="3">
        <f t="shared" si="61"/>
        <v>17.223787728500081</v>
      </c>
      <c r="T256" s="3">
        <f t="shared" si="62"/>
        <v>842.93357551463203</v>
      </c>
      <c r="U256" s="3">
        <f t="shared" si="52"/>
        <v>3588.0477067654506</v>
      </c>
      <c r="V256" s="3">
        <f t="shared" si="53"/>
        <v>0</v>
      </c>
      <c r="W256" s="3">
        <f t="shared" si="63"/>
        <v>520.94808171774753</v>
      </c>
      <c r="Y256" s="3">
        <f t="shared" si="64"/>
        <v>4969.4723448004752</v>
      </c>
      <c r="AA256" s="3">
        <f t="shared" si="65"/>
        <v>343.2740071924789</v>
      </c>
      <c r="AB256" s="3">
        <f t="shared" si="66"/>
        <v>18.527655199524816</v>
      </c>
      <c r="AD256" s="3">
        <f t="shared" si="67"/>
        <v>6.0751602955385448E-6</v>
      </c>
    </row>
    <row r="257" spans="3:30" x14ac:dyDescent="0.3">
      <c r="C257" s="22">
        <v>225</v>
      </c>
      <c r="D257" s="22">
        <v>5036</v>
      </c>
      <c r="F257" s="3">
        <f t="shared" si="54"/>
        <v>2704.9586571591817</v>
      </c>
      <c r="G257" s="3">
        <f t="shared" si="55"/>
        <v>444.30993906754804</v>
      </c>
      <c r="H257" s="3">
        <f t="shared" si="56"/>
        <v>3.0801757223928794</v>
      </c>
      <c r="I257" s="3">
        <f t="shared" si="57"/>
        <v>0.97510892204406752</v>
      </c>
      <c r="J257" s="3">
        <f t="shared" si="58"/>
        <v>-2.0343317860347638</v>
      </c>
      <c r="K257" s="3">
        <f t="shared" si="59"/>
        <v>1.1888785822254614E-2</v>
      </c>
      <c r="L257" s="3" cm="1">
        <f t="array" ref="L257">lmb_2(F257)</f>
        <v>2697.0572760582909</v>
      </c>
      <c r="M257" s="3" cm="1">
        <f t="array" ref="M257">lmb_2(G257)</f>
        <v>438.22720156662496</v>
      </c>
      <c r="N257" s="3" cm="1">
        <f t="array" ref="N257">lmb_2(H257)</f>
        <v>2.2633359246010376</v>
      </c>
      <c r="O257" s="3" cm="1">
        <f t="array" ref="O257">lmb_2(I257)</f>
        <v>0.98759326407630665</v>
      </c>
      <c r="P257" s="3" cm="1">
        <f t="array" ref="P257">lmb_2(J257)</f>
        <v>0.11639905721451295</v>
      </c>
      <c r="R257" s="3">
        <f t="shared" si="60"/>
        <v>0.30248669309633797</v>
      </c>
      <c r="S257" s="3">
        <f t="shared" si="61"/>
        <v>16.992655000712688</v>
      </c>
      <c r="T257" s="3">
        <f t="shared" si="62"/>
        <v>832.53815931720032</v>
      </c>
      <c r="U257" s="3">
        <f t="shared" si="52"/>
        <v>3580.273158169402</v>
      </c>
      <c r="V257" s="3">
        <f t="shared" si="53"/>
        <v>0</v>
      </c>
      <c r="W257" s="3">
        <f t="shared" si="63"/>
        <v>523.05052851113032</v>
      </c>
      <c r="Y257" s="3">
        <f t="shared" si="64"/>
        <v>4953.1688764773644</v>
      </c>
      <c r="AA257" s="3">
        <f t="shared" si="65"/>
        <v>6860.9950240221178</v>
      </c>
      <c r="AB257" s="3">
        <f t="shared" si="66"/>
        <v>82.831123522635608</v>
      </c>
      <c r="AD257" s="3">
        <f t="shared" si="67"/>
        <v>2.7160066799627764E-5</v>
      </c>
    </row>
    <row r="258" spans="3:30" x14ac:dyDescent="0.3">
      <c r="C258" s="22">
        <v>226</v>
      </c>
      <c r="D258" s="22">
        <v>4874</v>
      </c>
      <c r="F258" s="3">
        <f t="shared" si="54"/>
        <v>2729.0454427384943</v>
      </c>
      <c r="G258" s="3">
        <f t="shared" si="55"/>
        <v>448.25957387462728</v>
      </c>
      <c r="H258" s="3">
        <f t="shared" si="56"/>
        <v>3.1127226749883876</v>
      </c>
      <c r="I258" s="3">
        <f t="shared" si="57"/>
        <v>0.98393649766643887</v>
      </c>
      <c r="J258" s="3">
        <f t="shared" si="58"/>
        <v>-2.0338704815850681</v>
      </c>
      <c r="K258" s="3">
        <f t="shared" si="59"/>
        <v>1.1194132123540573E-2</v>
      </c>
      <c r="L258" s="3" cm="1">
        <f t="array" ref="L258">lmb_2(F258)</f>
        <v>2721.1351851035884</v>
      </c>
      <c r="M258" s="3" cm="1">
        <f t="array" ref="M258">lmb_2(G258)</f>
        <v>442.16788423607778</v>
      </c>
      <c r="N258" s="3" cm="1">
        <f t="array" ref="N258">lmb_2(H258)</f>
        <v>2.2859437264985663</v>
      </c>
      <c r="O258" s="3" cm="1">
        <f t="array" ref="O258">lmb_2(I258)</f>
        <v>0.99198439765637192</v>
      </c>
      <c r="P258" s="3" cm="1">
        <f t="array" ref="P258">lmb_2(J258)</f>
        <v>0.11644716307830724</v>
      </c>
      <c r="R258" s="3">
        <f t="shared" si="60"/>
        <v>0.29847895974727806</v>
      </c>
      <c r="S258" s="3">
        <f t="shared" si="61"/>
        <v>16.765644201131817</v>
      </c>
      <c r="T258" s="3">
        <f t="shared" si="62"/>
        <v>822.27145016111535</v>
      </c>
      <c r="U258" s="3">
        <f t="shared" si="52"/>
        <v>3572.3742073698236</v>
      </c>
      <c r="V258" s="3">
        <f t="shared" si="53"/>
        <v>0</v>
      </c>
      <c r="W258" s="3">
        <f t="shared" si="63"/>
        <v>525.15297530451312</v>
      </c>
      <c r="Y258" s="3">
        <f t="shared" si="64"/>
        <v>4936.8739501284554</v>
      </c>
      <c r="AA258" s="3">
        <f t="shared" si="65"/>
        <v>3953.1336047554919</v>
      </c>
      <c r="AB258" s="3">
        <f t="shared" si="66"/>
        <v>-62.873950128455363</v>
      </c>
      <c r="AD258" s="3">
        <f t="shared" si="67"/>
        <v>2.0616171951098221E-5</v>
      </c>
    </row>
    <row r="259" spans="3:30" x14ac:dyDescent="0.3">
      <c r="C259" s="22">
        <v>227</v>
      </c>
      <c r="D259" s="22">
        <v>5057</v>
      </c>
      <c r="F259" s="3">
        <f t="shared" si="54"/>
        <v>2753.2390433314627</v>
      </c>
      <c r="G259" s="3">
        <f t="shared" si="55"/>
        <v>452.22672369193754</v>
      </c>
      <c r="H259" s="3">
        <f t="shared" si="56"/>
        <v>3.1454139599679118</v>
      </c>
      <c r="I259" s="3">
        <f t="shared" si="57"/>
        <v>0.99280321996562815</v>
      </c>
      <c r="J259" s="3">
        <f t="shared" si="58"/>
        <v>-2.0334071314393651</v>
      </c>
      <c r="K259" s="3">
        <f t="shared" si="59"/>
        <v>1.0540066569684352E-2</v>
      </c>
      <c r="L259" s="3" cm="1">
        <f t="array" ref="L259">lmb_2(F259)</f>
        <v>2745.3199484027355</v>
      </c>
      <c r="M259" s="3" cm="1">
        <f t="array" ref="M259">lmb_2(G259)</f>
        <v>446.12612199515104</v>
      </c>
      <c r="N259" s="3" cm="1">
        <f t="array" ref="N259">lmb_2(H259)</f>
        <v>2.3087204895301401</v>
      </c>
      <c r="O259" s="3" cm="1">
        <f t="array" ref="O259">lmb_2(I259)</f>
        <v>0.99640484902600868</v>
      </c>
      <c r="P259" s="3" cm="1">
        <f t="array" ref="P259">lmb_2(J259)</f>
        <v>0.11649550019746253</v>
      </c>
      <c r="R259" s="3">
        <f t="shared" si="60"/>
        <v>0.29454174143462031</v>
      </c>
      <c r="S259" s="3">
        <f t="shared" si="61"/>
        <v>16.542663773495253</v>
      </c>
      <c r="T259" s="3">
        <f t="shared" si="62"/>
        <v>812.13242089120695</v>
      </c>
      <c r="U259" s="3">
        <f t="shared" si="52"/>
        <v>3564.3528379056356</v>
      </c>
      <c r="V259" s="3">
        <f t="shared" si="53"/>
        <v>0</v>
      </c>
      <c r="W259" s="3">
        <f t="shared" si="63"/>
        <v>527.25542209789592</v>
      </c>
      <c r="Y259" s="3">
        <f t="shared" si="64"/>
        <v>4920.5884264762381</v>
      </c>
      <c r="AA259" s="3">
        <f t="shared" si="65"/>
        <v>18608.117391228712</v>
      </c>
      <c r="AB259" s="3">
        <f t="shared" si="66"/>
        <v>136.41157352376194</v>
      </c>
      <c r="AD259" s="3">
        <f t="shared" si="67"/>
        <v>4.4728929073806925E-5</v>
      </c>
    </row>
    <row r="260" spans="3:30" x14ac:dyDescent="0.3">
      <c r="C260" s="22">
        <v>228</v>
      </c>
      <c r="D260" s="22">
        <v>4878</v>
      </c>
      <c r="F260" s="3">
        <f t="shared" si="54"/>
        <v>2777.5394589380858</v>
      </c>
      <c r="G260" s="3">
        <f t="shared" si="55"/>
        <v>456.2113885194787</v>
      </c>
      <c r="H260" s="3">
        <f t="shared" si="56"/>
        <v>3.1782495773314512</v>
      </c>
      <c r="I260" s="3">
        <f t="shared" si="57"/>
        <v>1.0017090889416349</v>
      </c>
      <c r="J260" s="3">
        <f t="shared" si="58"/>
        <v>-2.032941735597654</v>
      </c>
      <c r="K260" s="3">
        <f t="shared" si="59"/>
        <v>9.9242176228879538E-3</v>
      </c>
      <c r="L260" s="3" cm="1">
        <f t="array" ref="L260">lmb_2(F260)</f>
        <v>2769.6115656102293</v>
      </c>
      <c r="M260" s="3" cm="1">
        <f t="array" ref="M260">lmb_2(G260)</f>
        <v>450.10191448572135</v>
      </c>
      <c r="N260" s="3" cm="1">
        <f t="array" ref="N260">lmb_2(H260)</f>
        <v>2.3316663805788349</v>
      </c>
      <c r="O260" s="3" cm="1">
        <f t="array" ref="O260">lmb_2(I260)</f>
        <v>1.0008547270063766</v>
      </c>
      <c r="P260" s="3" cm="1">
        <f t="array" ref="P260">lmb_2(J260)</f>
        <v>0.11654406881508632</v>
      </c>
      <c r="R260" s="3">
        <f t="shared" si="60"/>
        <v>0.29067349357332761</v>
      </c>
      <c r="S260" s="3">
        <f t="shared" si="61"/>
        <v>16.323624592579623</v>
      </c>
      <c r="T260" s="3">
        <f t="shared" si="62"/>
        <v>802.12002528016819</v>
      </c>
      <c r="U260" s="3">
        <f t="shared" si="52"/>
        <v>3556.2110292396669</v>
      </c>
      <c r="V260" s="3">
        <f t="shared" si="53"/>
        <v>0</v>
      </c>
      <c r="W260" s="3">
        <f t="shared" si="63"/>
        <v>529.35786889127871</v>
      </c>
      <c r="Y260" s="3">
        <f t="shared" si="64"/>
        <v>4904.3131457148893</v>
      </c>
      <c r="AA260" s="3">
        <f t="shared" si="65"/>
        <v>692.3816374129965</v>
      </c>
      <c r="AB260" s="3">
        <f t="shared" si="66"/>
        <v>-26.313145714889288</v>
      </c>
      <c r="AD260" s="3">
        <f t="shared" si="67"/>
        <v>8.6279983287855817E-6</v>
      </c>
    </row>
    <row r="261" spans="3:30" x14ac:dyDescent="0.3">
      <c r="C261" s="22">
        <v>229</v>
      </c>
      <c r="D261" s="22">
        <v>4821</v>
      </c>
      <c r="F261" s="3">
        <f t="shared" si="54"/>
        <v>2801.946689558366</v>
      </c>
      <c r="G261" s="3">
        <f t="shared" si="55"/>
        <v>460.21356835725072</v>
      </c>
      <c r="H261" s="3">
        <f t="shared" si="56"/>
        <v>3.2112295270790066</v>
      </c>
      <c r="I261" s="3">
        <f t="shared" si="57"/>
        <v>1.010654104594459</v>
      </c>
      <c r="J261" s="3">
        <f t="shared" si="58"/>
        <v>-2.0324742940599361</v>
      </c>
      <c r="K261" s="3">
        <f t="shared" si="59"/>
        <v>9.3443523126997986E-3</v>
      </c>
      <c r="L261" s="3" cm="1">
        <f t="array" ref="L261">lmb_2(F261)</f>
        <v>2794.0100363851147</v>
      </c>
      <c r="M261" s="3" cm="1">
        <f t="array" ref="M261">lmb_2(G261)</f>
        <v>454.09526135444804</v>
      </c>
      <c r="N261" s="3" cm="1">
        <f t="array" ref="N261">lmb_2(H261)</f>
        <v>2.3547815598254718</v>
      </c>
      <c r="O261" s="3" cm="1">
        <f t="array" ref="O261">lmb_2(I261)</f>
        <v>1.0053341403659273</v>
      </c>
      <c r="P261" s="3" cm="1">
        <f t="array" ref="P261">lmb_2(J261)</f>
        <v>0.11659286917547344</v>
      </c>
      <c r="R261" s="3">
        <f t="shared" si="60"/>
        <v>0.28687271201264042</v>
      </c>
      <c r="S261" s="3">
        <f t="shared" si="61"/>
        <v>16.108439889195058</v>
      </c>
      <c r="T261" s="3">
        <f t="shared" si="62"/>
        <v>792.23319941505633</v>
      </c>
      <c r="U261" s="3">
        <f t="shared" si="52"/>
        <v>3547.9507564168644</v>
      </c>
      <c r="V261" s="3">
        <f t="shared" si="53"/>
        <v>0</v>
      </c>
      <c r="W261" s="3">
        <f t="shared" si="63"/>
        <v>531.46031568466151</v>
      </c>
      <c r="Y261" s="3">
        <f t="shared" si="64"/>
        <v>4888.0489284701025</v>
      </c>
      <c r="AA261" s="3">
        <f t="shared" si="65"/>
        <v>4495.5588089889225</v>
      </c>
      <c r="AB261" s="3">
        <f t="shared" si="66"/>
        <v>-67.04892847010251</v>
      </c>
      <c r="AD261" s="3">
        <f t="shared" si="67"/>
        <v>2.1985134314806212E-5</v>
      </c>
    </row>
    <row r="262" spans="3:30" x14ac:dyDescent="0.3">
      <c r="C262" s="22">
        <v>230</v>
      </c>
      <c r="D262" s="22">
        <v>4925</v>
      </c>
      <c r="F262" s="3">
        <f t="shared" si="54"/>
        <v>2826.4607351922996</v>
      </c>
      <c r="G262" s="3">
        <f t="shared" si="55"/>
        <v>464.23326320525388</v>
      </c>
      <c r="H262" s="3">
        <f t="shared" si="56"/>
        <v>3.2443538092105788</v>
      </c>
      <c r="I262" s="3">
        <f t="shared" si="57"/>
        <v>1.0196382669241011</v>
      </c>
      <c r="J262" s="3">
        <f t="shared" si="58"/>
        <v>-2.03200480682621</v>
      </c>
      <c r="K262" s="3">
        <f t="shared" si="59"/>
        <v>8.7983681396185259E-3</v>
      </c>
      <c r="L262" s="3" cm="1">
        <f t="array" ref="L262">lmb_2(F262)</f>
        <v>2818.5153603908952</v>
      </c>
      <c r="M262" s="3" cm="1">
        <f t="array" ref="M262">lmb_2(G262)</f>
        <v>458.10616225268853</v>
      </c>
      <c r="N262" s="3" cm="1">
        <f t="array" ref="N262">lmb_2(H262)</f>
        <v>2.3780661808587786</v>
      </c>
      <c r="O262" s="3" cm="1">
        <f t="array" ref="O262">lmb_2(I262)</f>
        <v>1.0098431978132576</v>
      </c>
      <c r="P262" s="3" cm="1">
        <f t="array" ref="P262">lmb_2(J262)</f>
        <v>0.11664190152410803</v>
      </c>
      <c r="R262" s="3">
        <f t="shared" si="60"/>
        <v>0.28313793180622648</v>
      </c>
      <c r="S262" s="3">
        <f t="shared" si="61"/>
        <v>15.897025177813539</v>
      </c>
      <c r="T262" s="3">
        <f t="shared" si="62"/>
        <v>782.47086303881304</v>
      </c>
      <c r="U262" s="3">
        <f t="shared" si="52"/>
        <v>3539.5739897276476</v>
      </c>
      <c r="V262" s="3">
        <f t="shared" si="53"/>
        <v>0</v>
      </c>
      <c r="W262" s="3">
        <f t="shared" si="63"/>
        <v>533.56276247804442</v>
      </c>
      <c r="Y262" s="3">
        <f t="shared" si="64"/>
        <v>4871.7965767222649</v>
      </c>
      <c r="AA262" s="3">
        <f t="shared" si="65"/>
        <v>2830.6042484698405</v>
      </c>
      <c r="AB262" s="3">
        <f t="shared" si="66"/>
        <v>53.203423277735055</v>
      </c>
      <c r="AD262" s="3">
        <f t="shared" si="67"/>
        <v>1.7445236388677878E-5</v>
      </c>
    </row>
    <row r="263" spans="3:30" x14ac:dyDescent="0.3">
      <c r="C263" s="22">
        <v>231</v>
      </c>
      <c r="D263" s="22">
        <v>4942</v>
      </c>
      <c r="F263" s="3">
        <f t="shared" si="54"/>
        <v>2851.0815958398898</v>
      </c>
      <c r="G263" s="3">
        <f t="shared" si="55"/>
        <v>468.27047306348777</v>
      </c>
      <c r="H263" s="3">
        <f t="shared" si="56"/>
        <v>3.2776224237261644</v>
      </c>
      <c r="I263" s="3">
        <f t="shared" si="57"/>
        <v>1.0286615759305602</v>
      </c>
      <c r="J263" s="3">
        <f t="shared" si="58"/>
        <v>-2.0315332738964766</v>
      </c>
      <c r="K263" s="3">
        <f t="shared" si="59"/>
        <v>8.2842854517638006E-3</v>
      </c>
      <c r="L263" s="3" cm="1">
        <f t="array" ref="L263">lmb_2(F263)</f>
        <v>2843.1275372954678</v>
      </c>
      <c r="M263" s="3" cm="1">
        <f t="array" ref="M263">lmb_2(G263)</f>
        <v>462.13461683641469</v>
      </c>
      <c r="N263" s="3" cm="1">
        <f t="array" ref="N263">lmb_2(H263)</f>
        <v>2.4015203907855907</v>
      </c>
      <c r="O263" s="3" cm="1">
        <f t="array" ref="O263">lmb_2(I263)</f>
        <v>1.0143820079899744</v>
      </c>
      <c r="P263" s="3" cm="1">
        <f t="array" ref="P263">lmb_2(J263)</f>
        <v>0.1166911661076646</v>
      </c>
      <c r="R263" s="3">
        <f t="shared" si="60"/>
        <v>0.279467726024901</v>
      </c>
      <c r="S263" s="3">
        <f t="shared" si="61"/>
        <v>15.689298186727335</v>
      </c>
      <c r="T263" s="3">
        <f t="shared" si="62"/>
        <v>772.8319208474544</v>
      </c>
      <c r="U263" s="3">
        <f t="shared" si="52"/>
        <v>3531.0826943764419</v>
      </c>
      <c r="V263" s="3">
        <f t="shared" si="53"/>
        <v>0</v>
      </c>
      <c r="W263" s="3">
        <f t="shared" si="63"/>
        <v>535.66520927142722</v>
      </c>
      <c r="Y263" s="3">
        <f t="shared" si="64"/>
        <v>4855.5568746935278</v>
      </c>
      <c r="AA263" s="3">
        <f t="shared" si="65"/>
        <v>7472.4139127504568</v>
      </c>
      <c r="AB263" s="3">
        <f t="shared" si="66"/>
        <v>86.443125306472211</v>
      </c>
      <c r="AD263" s="3">
        <f t="shared" si="67"/>
        <v>2.8344430907674277E-5</v>
      </c>
    </row>
    <row r="264" spans="3:30" x14ac:dyDescent="0.3">
      <c r="C264" s="22">
        <v>232</v>
      </c>
      <c r="D264" s="22">
        <v>4788</v>
      </c>
      <c r="F264" s="3">
        <f t="shared" si="54"/>
        <v>2875.8092715011358</v>
      </c>
      <c r="G264" s="3">
        <f t="shared" si="55"/>
        <v>472.3251979319528</v>
      </c>
      <c r="H264" s="3">
        <f t="shared" si="56"/>
        <v>3.3110353706257669</v>
      </c>
      <c r="I264" s="3">
        <f t="shared" si="57"/>
        <v>1.0377240316138376</v>
      </c>
      <c r="J264" s="3">
        <f t="shared" si="58"/>
        <v>-2.031059695270736</v>
      </c>
      <c r="K264" s="3">
        <f t="shared" si="59"/>
        <v>7.8002402669730703E-3</v>
      </c>
      <c r="L264" s="3" cm="1">
        <f t="array" ref="L264">lmb_2(F264)</f>
        <v>2867.8465667710357</v>
      </c>
      <c r="M264" s="3" cm="1">
        <f t="array" ref="M264">lmb_2(G264)</f>
        <v>466.18062476613301</v>
      </c>
      <c r="N264" s="3" cm="1">
        <f t="array" ref="N264">lmb_2(H264)</f>
        <v>2.4251443303410247</v>
      </c>
      <c r="O264" s="3" cm="1">
        <f t="array" ref="O264">lmb_2(I264)</f>
        <v>1.0189506794635759</v>
      </c>
      <c r="P264" s="3" cm="1">
        <f t="array" ref="P264">lmb_2(J264)</f>
        <v>0.11674066317400988</v>
      </c>
      <c r="R264" s="3">
        <f t="shared" si="60"/>
        <v>0.27586070461027662</v>
      </c>
      <c r="S264" s="3">
        <f t="shared" si="61"/>
        <v>15.485178790638388</v>
      </c>
      <c r="T264" s="3">
        <f t="shared" si="62"/>
        <v>763.31526374359169</v>
      </c>
      <c r="U264" s="3">
        <f t="shared" si="52"/>
        <v>3522.4788301554177</v>
      </c>
      <c r="V264" s="3">
        <f t="shared" si="53"/>
        <v>0</v>
      </c>
      <c r="W264" s="3">
        <f t="shared" si="63"/>
        <v>537.76765606481001</v>
      </c>
      <c r="Y264" s="3">
        <f t="shared" si="64"/>
        <v>4839.3305896993343</v>
      </c>
      <c r="AA264" s="3">
        <f t="shared" si="65"/>
        <v>2634.8294388814015</v>
      </c>
      <c r="AB264" s="3">
        <f t="shared" si="66"/>
        <v>-51.330589699334269</v>
      </c>
      <c r="AD264" s="3">
        <f t="shared" si="67"/>
        <v>1.6831140105412435E-5</v>
      </c>
    </row>
    <row r="265" spans="3:30" x14ac:dyDescent="0.3">
      <c r="C265" s="22">
        <v>233</v>
      </c>
      <c r="D265" s="22">
        <v>4682</v>
      </c>
      <c r="F265" s="3">
        <f t="shared" si="54"/>
        <v>2900.6437621760365</v>
      </c>
      <c r="G265" s="3">
        <f t="shared" si="55"/>
        <v>476.39743781064874</v>
      </c>
      <c r="H265" s="3">
        <f t="shared" si="56"/>
        <v>3.3445926499093837</v>
      </c>
      <c r="I265" s="3">
        <f t="shared" si="57"/>
        <v>1.0468256339739326</v>
      </c>
      <c r="J265" s="3">
        <f t="shared" si="58"/>
        <v>-2.0305840709489877</v>
      </c>
      <c r="K265" s="3">
        <f t="shared" si="59"/>
        <v>7.3444775142983403E-3</v>
      </c>
      <c r="L265" s="3" cm="1">
        <f t="array" ref="L265">lmb_2(F265)</f>
        <v>2892.6724484940401</v>
      </c>
      <c r="M265" s="3" cm="1">
        <f t="array" ref="M265">lmb_2(G265)</f>
        <v>470.24418570680388</v>
      </c>
      <c r="N265" s="3" cm="1">
        <f t="array" ref="N265">lmb_2(H265)</f>
        <v>2.4489381339985243</v>
      </c>
      <c r="O265" s="3" cm="1">
        <f t="array" ref="O265">lmb_2(I265)</f>
        <v>1.023549320720343</v>
      </c>
      <c r="P265" s="3" cm="1">
        <f t="array" ref="P265">lmb_2(J265)</f>
        <v>0.11679039297220443</v>
      </c>
      <c r="R265" s="3">
        <f t="shared" si="60"/>
        <v>0.27231551326775311</v>
      </c>
      <c r="S265" s="3">
        <f t="shared" si="61"/>
        <v>15.284588945584057</v>
      </c>
      <c r="T265" s="3">
        <f t="shared" si="62"/>
        <v>753.91977004700539</v>
      </c>
      <c r="U265" s="3">
        <f t="shared" si="52"/>
        <v>3513.764351123526</v>
      </c>
      <c r="V265" s="3">
        <f t="shared" si="53"/>
        <v>0</v>
      </c>
      <c r="W265" s="3">
        <f t="shared" si="63"/>
        <v>539.87010285819281</v>
      </c>
      <c r="Y265" s="3">
        <f t="shared" si="64"/>
        <v>4823.1184729650904</v>
      </c>
      <c r="AA265" s="3">
        <f t="shared" si="65"/>
        <v>19914.423411998952</v>
      </c>
      <c r="AB265" s="3">
        <f t="shared" si="66"/>
        <v>-141.1184729650904</v>
      </c>
      <c r="AD265" s="3">
        <f t="shared" si="67"/>
        <v>4.6272306705412708E-5</v>
      </c>
    </row>
    <row r="266" spans="3:30" x14ac:dyDescent="0.3">
      <c r="C266" s="22">
        <v>234</v>
      </c>
      <c r="D266" s="22">
        <v>4884</v>
      </c>
      <c r="F266" s="3">
        <f t="shared" si="54"/>
        <v>2925.5850678645938</v>
      </c>
      <c r="G266" s="3">
        <f t="shared" si="55"/>
        <v>480.48719269957542</v>
      </c>
      <c r="H266" s="3">
        <f t="shared" si="56"/>
        <v>3.3782942615770164</v>
      </c>
      <c r="I266" s="3">
        <f t="shared" si="57"/>
        <v>1.0559663830108446</v>
      </c>
      <c r="J266" s="3">
        <f t="shared" si="58"/>
        <v>-2.0301064009312317</v>
      </c>
      <c r="K266" s="3">
        <f t="shared" si="59"/>
        <v>6.9153446703977229E-3</v>
      </c>
      <c r="L266" s="3" cm="1">
        <f t="array" ref="L266">lmb_2(F266)</f>
        <v>2917.6051821450869</v>
      </c>
      <c r="M266" s="3" cm="1">
        <f t="array" ref="M266">lmb_2(G266)</f>
        <v>474.32529932776492</v>
      </c>
      <c r="N266" s="3" cm="1">
        <f t="array" ref="N266">lmb_2(H266)</f>
        <v>2.4729019300797348</v>
      </c>
      <c r="O266" s="3" cm="1">
        <f t="array" ref="O266">lmb_2(I266)</f>
        <v>1.0281780401582503</v>
      </c>
      <c r="P266" s="3" cm="1">
        <f t="array" ref="P266">lmb_2(J266)</f>
        <v>0.11684035575250375</v>
      </c>
      <c r="R266" s="3">
        <f t="shared" si="60"/>
        <v>0.26883083239734029</v>
      </c>
      <c r="S266" s="3">
        <f t="shared" si="61"/>
        <v>15.087452626108249</v>
      </c>
      <c r="T266" s="3">
        <f t="shared" si="62"/>
        <v>744.64430666297426</v>
      </c>
      <c r="U266" s="3">
        <f t="shared" si="52"/>
        <v>3504.9412052908092</v>
      </c>
      <c r="V266" s="3">
        <f t="shared" si="53"/>
        <v>0</v>
      </c>
      <c r="W266" s="3">
        <f t="shared" si="63"/>
        <v>541.9725496515756</v>
      </c>
      <c r="Y266" s="3">
        <f t="shared" si="64"/>
        <v>4806.9212604085351</v>
      </c>
      <c r="AA266" s="3">
        <f t="shared" si="65"/>
        <v>5941.13209700886</v>
      </c>
      <c r="AB266" s="3">
        <f t="shared" si="66"/>
        <v>77.07873959146491</v>
      </c>
      <c r="AD266" s="3">
        <f t="shared" si="67"/>
        <v>2.5273878067864316E-5</v>
      </c>
    </row>
    <row r="267" spans="3:30" x14ac:dyDescent="0.3">
      <c r="C267" s="22">
        <v>235</v>
      </c>
      <c r="D267" s="22">
        <v>4826</v>
      </c>
      <c r="F267" s="3">
        <f t="shared" si="54"/>
        <v>2950.6331885668051</v>
      </c>
      <c r="G267" s="3">
        <f t="shared" si="55"/>
        <v>484.59446259873334</v>
      </c>
      <c r="H267" s="3">
        <f t="shared" si="56"/>
        <v>3.4121402056286652</v>
      </c>
      <c r="I267" s="3">
        <f t="shared" si="57"/>
        <v>1.0651462787245745</v>
      </c>
      <c r="J267" s="3">
        <f t="shared" si="58"/>
        <v>-2.0296266852174685</v>
      </c>
      <c r="K267" s="3">
        <f t="shared" si="59"/>
        <v>6.5112857677483002E-3</v>
      </c>
      <c r="L267" s="3" cm="1">
        <f t="array" ref="L267">lmb_2(F267)</f>
        <v>2942.6447674088718</v>
      </c>
      <c r="M267" s="3" cm="1">
        <f t="array" ref="M267">lmb_2(G267)</f>
        <v>478.42396530265546</v>
      </c>
      <c r="N267" s="3" cm="1">
        <f t="array" ref="N267">lmb_2(H267)</f>
        <v>2.497035840864112</v>
      </c>
      <c r="O267" s="3" cm="1">
        <f t="array" ref="O267">lmb_2(I267)</f>
        <v>1.032836946079895</v>
      </c>
      <c r="P267" s="3" cm="1">
        <f t="array" ref="P267">lmb_2(J267)</f>
        <v>0.11689055176636026</v>
      </c>
      <c r="R267" s="3">
        <f t="shared" si="60"/>
        <v>0.26540537606086284</v>
      </c>
      <c r="S267" s="3">
        <f t="shared" si="61"/>
        <v>14.893695764591305</v>
      </c>
      <c r="T267" s="3">
        <f t="shared" si="62"/>
        <v>735.4877302091237</v>
      </c>
      <c r="U267" s="3">
        <f t="shared" si="52"/>
        <v>3496.0113343080584</v>
      </c>
      <c r="V267" s="3">
        <f t="shared" si="53"/>
        <v>0</v>
      </c>
      <c r="W267" s="3">
        <f t="shared" si="63"/>
        <v>544.0749964449584</v>
      </c>
      <c r="Y267" s="3">
        <f t="shared" si="64"/>
        <v>4790.7396733885607</v>
      </c>
      <c r="AA267" s="3">
        <f t="shared" si="65"/>
        <v>1243.2906327453722</v>
      </c>
      <c r="AB267" s="3">
        <f t="shared" si="66"/>
        <v>35.260326611439268</v>
      </c>
      <c r="AD267" s="3">
        <f t="shared" si="67"/>
        <v>1.1561751011160385E-5</v>
      </c>
    </row>
    <row r="268" spans="3:30" x14ac:dyDescent="0.3">
      <c r="C268" s="22">
        <v>236</v>
      </c>
      <c r="D268" s="22">
        <v>4846</v>
      </c>
      <c r="F268" s="3">
        <f t="shared" si="54"/>
        <v>2975.7881242826725</v>
      </c>
      <c r="G268" s="3">
        <f t="shared" si="55"/>
        <v>488.71924750812212</v>
      </c>
      <c r="H268" s="3">
        <f t="shared" si="56"/>
        <v>3.4461304820643308</v>
      </c>
      <c r="I268" s="3">
        <f t="shared" si="57"/>
        <v>1.0743653211151223</v>
      </c>
      <c r="J268" s="3">
        <f t="shared" si="58"/>
        <v>-2.0291449238076975</v>
      </c>
      <c r="K268" s="3">
        <f t="shared" si="59"/>
        <v>6.1308357529550562E-3</v>
      </c>
      <c r="L268" s="3" cm="1">
        <f t="array" ref="L268">lmb_2(F268)</f>
        <v>2967.7912039741177</v>
      </c>
      <c r="M268" s="3" cm="1">
        <f t="array" ref="M268">lmb_2(G268)</f>
        <v>482.54018330934065</v>
      </c>
      <c r="N268" s="3" cm="1">
        <f t="array" ref="N268">lmb_2(H268)</f>
        <v>2.521339982698215</v>
      </c>
      <c r="O268" s="3" cm="1">
        <f t="array" ref="O268">lmb_2(I268)</f>
        <v>1.0375261466854406</v>
      </c>
      <c r="P268" s="3" cm="1">
        <f t="array" ref="P268">lmb_2(J268)</f>
        <v>0.11694098126642473</v>
      </c>
      <c r="R268" s="3">
        <f t="shared" si="60"/>
        <v>0.26203789098415947</v>
      </c>
      <c r="S268" s="3">
        <f t="shared" si="61"/>
        <v>14.703246192655635</v>
      </c>
      <c r="T268" s="3">
        <f t="shared" si="62"/>
        <v>726.44888810154589</v>
      </c>
      <c r="U268" s="3">
        <f t="shared" si="52"/>
        <v>3486.9766731618656</v>
      </c>
      <c r="V268" s="3">
        <f t="shared" si="53"/>
        <v>0</v>
      </c>
      <c r="W268" s="3">
        <f t="shared" si="63"/>
        <v>546.1774432383412</v>
      </c>
      <c r="Y268" s="3">
        <f t="shared" si="64"/>
        <v>4774.5744194211447</v>
      </c>
      <c r="AA268" s="3">
        <f t="shared" si="65"/>
        <v>5101.6135610265455</v>
      </c>
      <c r="AB268" s="3">
        <f t="shared" si="66"/>
        <v>71.425580578855261</v>
      </c>
      <c r="AD268" s="3">
        <f t="shared" si="67"/>
        <v>2.3420224877111238E-5</v>
      </c>
    </row>
    <row r="269" spans="3:30" x14ac:dyDescent="0.3">
      <c r="C269" s="22">
        <v>237</v>
      </c>
      <c r="D269" s="22">
        <v>4810</v>
      </c>
      <c r="F269" s="3">
        <f t="shared" si="54"/>
        <v>3001.049875012196</v>
      </c>
      <c r="G269" s="3">
        <f t="shared" si="55"/>
        <v>492.86154742774187</v>
      </c>
      <c r="H269" s="3">
        <f t="shared" si="56"/>
        <v>3.4802650908840098</v>
      </c>
      <c r="I269" s="3">
        <f t="shared" si="57"/>
        <v>1.0836235101824871</v>
      </c>
      <c r="J269" s="3">
        <f t="shared" si="58"/>
        <v>-2.0286611167019188</v>
      </c>
      <c r="K269" s="3">
        <f t="shared" si="59"/>
        <v>5.7726151747000036E-3</v>
      </c>
      <c r="L269" s="3" cm="1">
        <f t="array" ref="L269">lmb_2(F269)</f>
        <v>2993.0444915335006</v>
      </c>
      <c r="M269" s="3" cm="1">
        <f t="array" ref="M269">lmb_2(G269)</f>
        <v>486.67395302984056</v>
      </c>
      <c r="N269" s="3" cm="1">
        <f t="array" ref="N269">lmb_2(H269)</f>
        <v>2.5458144661046078</v>
      </c>
      <c r="O269" s="3" cm="1">
        <f t="array" ref="O269">lmb_2(I269)</f>
        <v>1.0422457500655844</v>
      </c>
      <c r="P269" s="3" cm="1">
        <f t="array" ref="P269">lmb_2(J269)</f>
        <v>0.11699164450654778</v>
      </c>
      <c r="R269" s="3">
        <f t="shared" si="60"/>
        <v>0.25872715559295045</v>
      </c>
      <c r="S269" s="3">
        <f t="shared" si="61"/>
        <v>14.516033584567252</v>
      </c>
      <c r="T269" s="3">
        <f t="shared" si="62"/>
        <v>717.52661960097896</v>
      </c>
      <c r="U269" s="3">
        <f t="shared" si="52"/>
        <v>3477.8391498750611</v>
      </c>
      <c r="V269" s="3">
        <f t="shared" si="53"/>
        <v>0</v>
      </c>
      <c r="W269" s="3">
        <f t="shared" si="63"/>
        <v>548.27989003172399</v>
      </c>
      <c r="Y269" s="3">
        <f t="shared" si="64"/>
        <v>4758.4261928630985</v>
      </c>
      <c r="AA269" s="3">
        <f t="shared" si="65"/>
        <v>2659.8575825943071</v>
      </c>
      <c r="AB269" s="3">
        <f t="shared" si="66"/>
        <v>51.573807136901451</v>
      </c>
      <c r="AD269" s="3">
        <f t="shared" si="67"/>
        <v>1.6910890343852141E-5</v>
      </c>
    </row>
    <row r="270" spans="3:30" x14ac:dyDescent="0.3">
      <c r="C270" s="22">
        <v>238</v>
      </c>
      <c r="D270" s="22">
        <v>4751</v>
      </c>
      <c r="F270" s="3">
        <f t="shared" si="54"/>
        <v>3026.4184407553739</v>
      </c>
      <c r="G270" s="3">
        <f t="shared" si="55"/>
        <v>497.02136235759247</v>
      </c>
      <c r="H270" s="3">
        <f t="shared" si="56"/>
        <v>3.5145440320877057</v>
      </c>
      <c r="I270" s="3">
        <f t="shared" si="57"/>
        <v>1.0929208459266699</v>
      </c>
      <c r="J270" s="3">
        <f t="shared" si="58"/>
        <v>-2.0281752639001329</v>
      </c>
      <c r="K270" s="3">
        <f t="shared" si="59"/>
        <v>5.4353251820708224E-3</v>
      </c>
      <c r="L270" s="3" cm="1">
        <f t="array" ref="L270">lmb_2(F270)</f>
        <v>3018.4046297835835</v>
      </c>
      <c r="M270" s="3" cm="1">
        <f t="array" ref="M270">lmb_2(G270)</f>
        <v>490.82527415025788</v>
      </c>
      <c r="N270" s="3" cm="1">
        <f t="array" ref="N270">lmb_2(H270)</f>
        <v>2.5704593958903219</v>
      </c>
      <c r="O270" s="3" cm="1">
        <f t="array" ref="O270">lmb_2(I270)</f>
        <v>1.0469958641945469</v>
      </c>
      <c r="P270" s="3" cm="1">
        <f t="array" ref="P270">lmb_2(J270)</f>
        <v>0.11704254174178146</v>
      </c>
      <c r="R270" s="3">
        <f t="shared" si="60"/>
        <v>0.25547197908109781</v>
      </c>
      <c r="S270" s="3">
        <f t="shared" si="61"/>
        <v>14.331989402557314</v>
      </c>
      <c r="T270" s="3">
        <f t="shared" si="62"/>
        <v>708.71975681983372</v>
      </c>
      <c r="U270" s="3">
        <f t="shared" si="52"/>
        <v>3468.6006852125897</v>
      </c>
      <c r="V270" s="3">
        <f t="shared" si="53"/>
        <v>0</v>
      </c>
      <c r="W270" s="3">
        <f t="shared" si="63"/>
        <v>550.38233682510679</v>
      </c>
      <c r="Y270" s="3">
        <f t="shared" si="64"/>
        <v>4742.2956755643499</v>
      </c>
      <c r="AA270" s="3">
        <f t="shared" si="65"/>
        <v>75.76526388105458</v>
      </c>
      <c r="AB270" s="3">
        <f t="shared" si="66"/>
        <v>8.7043244356500509</v>
      </c>
      <c r="AD270" s="3">
        <f t="shared" si="67"/>
        <v>2.8541208070572998E-6</v>
      </c>
    </row>
    <row r="271" spans="3:30" x14ac:dyDescent="0.3">
      <c r="C271" s="22">
        <v>239</v>
      </c>
      <c r="D271" s="22">
        <v>4619</v>
      </c>
      <c r="F271" s="3">
        <f t="shared" si="54"/>
        <v>3051.893821512208</v>
      </c>
      <c r="G271" s="3">
        <f t="shared" si="55"/>
        <v>501.19869229767397</v>
      </c>
      <c r="H271" s="3">
        <f t="shared" si="56"/>
        <v>3.5489673056754159</v>
      </c>
      <c r="I271" s="3">
        <f t="shared" si="57"/>
        <v>1.1022573283476702</v>
      </c>
      <c r="J271" s="3">
        <f t="shared" si="58"/>
        <v>-2.0276873654023397</v>
      </c>
      <c r="K271" s="3">
        <f t="shared" si="59"/>
        <v>5.117742815133797E-3</v>
      </c>
      <c r="L271" s="3" cm="1">
        <f t="array" ref="L271">lmb_2(F271)</f>
        <v>3043.8716184247542</v>
      </c>
      <c r="M271" s="3" cm="1">
        <f t="array" ref="M271">lmb_2(G271)</f>
        <v>494.99414636070912</v>
      </c>
      <c r="N271" s="3" cm="1">
        <f t="array" ref="N271">lmb_2(H271)</f>
        <v>2.5952748712547988</v>
      </c>
      <c r="O271" s="3" cm="1">
        <f t="array" ref="O271">lmb_2(I271)</f>
        <v>1.0517765969230797</v>
      </c>
      <c r="P271" s="3" cm="1">
        <f t="array" ref="P271">lmb_2(J271)</f>
        <v>0.11709367322838099</v>
      </c>
      <c r="R271" s="3">
        <f t="shared" si="60"/>
        <v>0.25227120051003987</v>
      </c>
      <c r="S271" s="3">
        <f t="shared" si="61"/>
        <v>14.151046843990557</v>
      </c>
      <c r="T271" s="3">
        <f t="shared" si="62"/>
        <v>700.02712569088271</v>
      </c>
      <c r="U271" s="3">
        <f t="shared" si="52"/>
        <v>3459.2631923928689</v>
      </c>
      <c r="V271" s="3">
        <f t="shared" si="53"/>
        <v>0</v>
      </c>
      <c r="W271" s="3">
        <f t="shared" si="63"/>
        <v>552.48478361848959</v>
      </c>
      <c r="Y271" s="3">
        <f t="shared" si="64"/>
        <v>4726.1835374895572</v>
      </c>
      <c r="AA271" s="3">
        <f t="shared" si="65"/>
        <v>11488.310708775321</v>
      </c>
      <c r="AB271" s="3">
        <f t="shared" si="66"/>
        <v>-107.18353748955724</v>
      </c>
      <c r="AD271" s="3">
        <f t="shared" si="67"/>
        <v>3.5145147309769976E-5</v>
      </c>
    </row>
    <row r="272" spans="3:30" x14ac:dyDescent="0.3">
      <c r="C272" s="22">
        <v>240</v>
      </c>
      <c r="D272" s="22">
        <v>4782</v>
      </c>
      <c r="F272" s="3">
        <f t="shared" si="54"/>
        <v>3077.4760172826977</v>
      </c>
      <c r="G272" s="3">
        <f t="shared" si="55"/>
        <v>505.39353724798667</v>
      </c>
      <c r="H272" s="3">
        <f t="shared" si="56"/>
        <v>3.583534911647142</v>
      </c>
      <c r="I272" s="3">
        <f t="shared" si="57"/>
        <v>1.1116329574454884</v>
      </c>
      <c r="J272" s="3">
        <f t="shared" si="58"/>
        <v>-2.0271974212085389</v>
      </c>
      <c r="K272" s="3">
        <f t="shared" si="59"/>
        <v>4.8187165706753254E-3</v>
      </c>
      <c r="L272" s="3" cm="1">
        <f t="array" ref="L272">lmb_2(F272)</f>
        <v>3069.4454571611586</v>
      </c>
      <c r="M272" s="3" cm="1">
        <f t="array" ref="M272">lmb_2(G272)</f>
        <v>499.18056935525618</v>
      </c>
      <c r="N272" s="3" cm="1">
        <f t="array" ref="N272">lmb_2(H272)</f>
        <v>2.6202609858972816</v>
      </c>
      <c r="O272" s="3" cm="1">
        <f t="array" ref="O272">lmb_2(I272)</f>
        <v>1.0565880559715028</v>
      </c>
      <c r="P272" s="3" cm="1">
        <f t="array" ref="P272">lmb_2(J272)</f>
        <v>0.11714503922380616</v>
      </c>
      <c r="R272" s="3">
        <f t="shared" si="60"/>
        <v>0.24912368793823197</v>
      </c>
      <c r="S272" s="3">
        <f t="shared" si="61"/>
        <v>13.973140790310779</v>
      </c>
      <c r="T272" s="3">
        <f t="shared" si="62"/>
        <v>691.44754689842068</v>
      </c>
      <c r="U272" s="3">
        <f t="shared" si="52"/>
        <v>3449.8285768046076</v>
      </c>
      <c r="V272" s="3">
        <f t="shared" si="53"/>
        <v>0</v>
      </c>
      <c r="W272" s="3">
        <f t="shared" si="63"/>
        <v>554.58723041187238</v>
      </c>
      <c r="Y272" s="3">
        <f t="shared" si="64"/>
        <v>4710.0904373097192</v>
      </c>
      <c r="AA272" s="3">
        <f t="shared" si="65"/>
        <v>5170.9852063074295</v>
      </c>
      <c r="AB272" s="3">
        <f t="shared" si="66"/>
        <v>71.909562690280836</v>
      </c>
      <c r="AD272" s="3">
        <f t="shared" si="67"/>
        <v>2.3578921100428207E-5</v>
      </c>
    </row>
    <row r="273" spans="3:30" x14ac:dyDescent="0.3">
      <c r="C273" s="22">
        <v>241</v>
      </c>
      <c r="D273" s="22">
        <v>4685</v>
      </c>
      <c r="F273" s="3">
        <f t="shared" si="54"/>
        <v>3103.1650280668423</v>
      </c>
      <c r="G273" s="3">
        <f t="shared" si="55"/>
        <v>509.60589720853005</v>
      </c>
      <c r="H273" s="3">
        <f t="shared" si="56"/>
        <v>3.618246850002885</v>
      </c>
      <c r="I273" s="3">
        <f t="shared" si="57"/>
        <v>1.1210477332201241</v>
      </c>
      <c r="J273" s="3">
        <f t="shared" si="58"/>
        <v>-2.0267054313187303</v>
      </c>
      <c r="K273" s="3">
        <f t="shared" si="59"/>
        <v>4.5371622270342464E-3</v>
      </c>
      <c r="L273" s="3" cm="1">
        <f t="array" ref="L273">lmb_2(F273)</f>
        <v>3095.126145700639</v>
      </c>
      <c r="M273" s="3" cm="1">
        <f t="array" ref="M273">lmb_2(G273)</f>
        <v>503.38454283183893</v>
      </c>
      <c r="N273" s="3" cm="1">
        <f t="array" ref="N273">lmb_2(H273)</f>
        <v>2.6454178281235845</v>
      </c>
      <c r="O273" s="3" cm="1">
        <f t="array" ref="O273">lmb_2(I273)</f>
        <v>1.0614303489227641</v>
      </c>
      <c r="P273" s="3" cm="1">
        <f t="array" ref="P273">lmb_2(J273)</f>
        <v>0.11719663998672313</v>
      </c>
      <c r="R273" s="3">
        <f t="shared" si="60"/>
        <v>0.24602833757947154</v>
      </c>
      <c r="S273" s="3">
        <f t="shared" si="61"/>
        <v>13.798207757696446</v>
      </c>
      <c r="T273" s="3">
        <f t="shared" si="62"/>
        <v>682.9798367727235</v>
      </c>
      <c r="U273" s="3">
        <f t="shared" si="52"/>
        <v>3440.2987357291609</v>
      </c>
      <c r="V273" s="3">
        <f t="shared" si="53"/>
        <v>0</v>
      </c>
      <c r="W273" s="3">
        <f t="shared" si="63"/>
        <v>556.68967720525529</v>
      </c>
      <c r="Y273" s="3">
        <f t="shared" si="64"/>
        <v>4694.0170229646428</v>
      </c>
      <c r="AA273" s="3">
        <f t="shared" si="65"/>
        <v>81.306703144895991</v>
      </c>
      <c r="AB273" s="3">
        <f t="shared" si="66"/>
        <v>-9.0170229646428197</v>
      </c>
      <c r="AD273" s="3">
        <f t="shared" si="67"/>
        <v>2.9566536784515654E-6</v>
      </c>
    </row>
    <row r="274" spans="3:30" x14ac:dyDescent="0.3">
      <c r="C274" s="22">
        <v>242</v>
      </c>
      <c r="D274" s="22">
        <v>4584</v>
      </c>
      <c r="F274" s="3">
        <f t="shared" si="54"/>
        <v>3128.9608538646435</v>
      </c>
      <c r="G274" s="3">
        <f t="shared" si="55"/>
        <v>513.83577217930451</v>
      </c>
      <c r="H274" s="3">
        <f t="shared" si="56"/>
        <v>3.6531031207426423</v>
      </c>
      <c r="I274" s="3">
        <f t="shared" si="57"/>
        <v>1.1305016556715772</v>
      </c>
      <c r="J274" s="3">
        <f t="shared" si="58"/>
        <v>-2.026211395732914</v>
      </c>
      <c r="K274" s="3">
        <f t="shared" si="59"/>
        <v>4.2720589128862861E-3</v>
      </c>
      <c r="L274" s="3" cm="1">
        <f t="array" ref="L274">lmb_2(F274)</f>
        <v>3120.9136837546735</v>
      </c>
      <c r="M274" s="3" cm="1">
        <f t="array" ref="M274">lmb_2(G274)</f>
        <v>507.60606649221143</v>
      </c>
      <c r="N274" s="3" cm="1">
        <f t="array" ref="N274">lmb_2(H274)</f>
        <v>2.6707454809521889</v>
      </c>
      <c r="O274" s="3" cm="1">
        <f t="array" ref="O274">lmb_2(I274)</f>
        <v>1.0663035832155263</v>
      </c>
      <c r="P274" s="3" cm="1">
        <f t="array" ref="P274">lmb_2(J274)</f>
        <v>0.11724847577700574</v>
      </c>
      <c r="R274" s="3">
        <f t="shared" si="60"/>
        <v>0.24298407298903552</v>
      </c>
      <c r="S274" s="3">
        <f t="shared" si="61"/>
        <v>13.626185849362027</v>
      </c>
      <c r="T274" s="3">
        <f t="shared" si="62"/>
        <v>674.62280814864198</v>
      </c>
      <c r="U274" s="3">
        <f t="shared" si="52"/>
        <v>3430.6755580683944</v>
      </c>
      <c r="V274" s="3">
        <f t="shared" si="53"/>
        <v>0</v>
      </c>
      <c r="W274" s="3">
        <f t="shared" si="63"/>
        <v>558.79212399863809</v>
      </c>
      <c r="Y274" s="3">
        <f t="shared" si="64"/>
        <v>4677.963932196938</v>
      </c>
      <c r="AA274" s="3">
        <f t="shared" si="65"/>
        <v>8829.2205539107617</v>
      </c>
      <c r="AB274" s="3">
        <f t="shared" si="66"/>
        <v>-93.963932196938003</v>
      </c>
      <c r="AD274" s="3">
        <f t="shared" si="67"/>
        <v>3.0810480006674258E-5</v>
      </c>
    </row>
    <row r="275" spans="3:30" x14ac:dyDescent="0.3">
      <c r="C275" s="22">
        <v>243</v>
      </c>
      <c r="D275" s="22">
        <v>4570</v>
      </c>
      <c r="F275" s="3">
        <f t="shared" si="54"/>
        <v>3154.863494676099</v>
      </c>
      <c r="G275" s="3">
        <f t="shared" si="55"/>
        <v>518.08316216031005</v>
      </c>
      <c r="H275" s="3">
        <f t="shared" si="56"/>
        <v>3.6881037238664147</v>
      </c>
      <c r="I275" s="3">
        <f t="shared" si="57"/>
        <v>1.1399947247998483</v>
      </c>
      <c r="J275" s="3">
        <f t="shared" si="58"/>
        <v>-2.0257153144510904</v>
      </c>
      <c r="K275" s="3">
        <f t="shared" si="59"/>
        <v>4.0224454057268171E-3</v>
      </c>
      <c r="L275" s="3" cm="1">
        <f t="array" ref="L275">lmb_2(F275)</f>
        <v>3146.8080710383124</v>
      </c>
      <c r="M275" s="3" cm="1">
        <f t="array" ref="M275">lmb_2(G275)</f>
        <v>511.84514004187679</v>
      </c>
      <c r="N275" s="3" cm="1">
        <f t="array" ref="N275">lmb_2(H275)</f>
        <v>2.6962440222196369</v>
      </c>
      <c r="O275" s="3" cm="1">
        <f t="array" ref="O275">lmb_2(I275)</f>
        <v>1.0712078661372835</v>
      </c>
      <c r="P275" s="3" cm="1">
        <f t="array" ref="P275">lmb_2(J275)</f>
        <v>0.11730054685573739</v>
      </c>
      <c r="R275" s="3">
        <f t="shared" si="60"/>
        <v>0.23998984427659878</v>
      </c>
      <c r="S275" s="3">
        <f t="shared" si="61"/>
        <v>13.457014709443905</v>
      </c>
      <c r="T275" s="3">
        <f t="shared" si="62"/>
        <v>666.37527118915318</v>
      </c>
      <c r="U275" s="3">
        <f t="shared" si="52"/>
        <v>3420.9609240781074</v>
      </c>
      <c r="V275" s="3">
        <f t="shared" si="53"/>
        <v>0</v>
      </c>
      <c r="W275" s="3">
        <f t="shared" si="63"/>
        <v>560.89457079202089</v>
      </c>
      <c r="Y275" s="3">
        <f t="shared" si="64"/>
        <v>4661.9317930584084</v>
      </c>
      <c r="AA275" s="3">
        <f t="shared" si="65"/>
        <v>8451.4545749340268</v>
      </c>
      <c r="AB275" s="3">
        <f t="shared" si="66"/>
        <v>-91.931793058408402</v>
      </c>
      <c r="AD275" s="3">
        <f t="shared" si="67"/>
        <v>3.0144147927603531E-5</v>
      </c>
    </row>
    <row r="276" spans="3:30" x14ac:dyDescent="0.3">
      <c r="C276" s="22">
        <v>244</v>
      </c>
      <c r="D276" s="22">
        <v>4514</v>
      </c>
      <c r="F276" s="3">
        <f t="shared" si="54"/>
        <v>3180.8729505012097</v>
      </c>
      <c r="G276" s="3">
        <f t="shared" si="55"/>
        <v>522.34806715154639</v>
      </c>
      <c r="H276" s="3">
        <f t="shared" si="56"/>
        <v>3.723248659374204</v>
      </c>
      <c r="I276" s="3">
        <f t="shared" si="57"/>
        <v>1.1495269406049369</v>
      </c>
      <c r="J276" s="3">
        <f t="shared" si="58"/>
        <v>-2.0252171874732596</v>
      </c>
      <c r="K276" s="3">
        <f t="shared" si="59"/>
        <v>3.7874166466307473E-3</v>
      </c>
      <c r="L276" s="3" cm="1">
        <f t="array" ref="L276">lmb_2(F276)</f>
        <v>3172.8093072701254</v>
      </c>
      <c r="M276" s="3" cm="1">
        <f t="array" ref="M276">lmb_2(G276)</f>
        <v>516.10176319002471</v>
      </c>
      <c r="N276" s="3" cm="1">
        <f t="array" ref="N276">lmb_2(H276)</f>
        <v>2.7219135246851547</v>
      </c>
      <c r="O276" s="3" cm="1">
        <f t="array" ref="O276">lmb_2(I276)</f>
        <v>1.0761433048175049</v>
      </c>
      <c r="P276" s="3" cm="1">
        <f t="array" ref="P276">lmb_2(J276)</f>
        <v>0.11735285348521246</v>
      </c>
      <c r="R276" s="3">
        <f t="shared" si="60"/>
        <v>0.23704462734494572</v>
      </c>
      <c r="S276" s="3">
        <f t="shared" si="61"/>
        <v>13.2906354784116</v>
      </c>
      <c r="T276" s="3">
        <f t="shared" si="62"/>
        <v>658.23603417471793</v>
      </c>
      <c r="U276" s="3">
        <f t="shared" si="52"/>
        <v>3411.1567051070183</v>
      </c>
      <c r="V276" s="3">
        <f t="shared" si="53"/>
        <v>0</v>
      </c>
      <c r="W276" s="3">
        <f t="shared" si="63"/>
        <v>562.99701758540357</v>
      </c>
      <c r="Y276" s="3">
        <f t="shared" si="64"/>
        <v>4645.9212243895427</v>
      </c>
      <c r="AA276" s="3">
        <f t="shared" si="65"/>
        <v>17403.209444436066</v>
      </c>
      <c r="AB276" s="3">
        <f t="shared" si="66"/>
        <v>-131.92122438954266</v>
      </c>
      <c r="AD276" s="3">
        <f t="shared" si="67"/>
        <v>4.3256557611819952E-5</v>
      </c>
    </row>
    <row r="277" spans="3:30" x14ac:dyDescent="0.3">
      <c r="C277" s="22">
        <v>245</v>
      </c>
      <c r="D277" s="22">
        <v>4620</v>
      </c>
      <c r="F277" s="3">
        <f t="shared" si="54"/>
        <v>3206.9892213399776</v>
      </c>
      <c r="G277" s="3">
        <f t="shared" si="55"/>
        <v>526.63048715301375</v>
      </c>
      <c r="H277" s="3">
        <f t="shared" si="56"/>
        <v>3.7585379272660076</v>
      </c>
      <c r="I277" s="3">
        <f t="shared" si="57"/>
        <v>1.1590983030868429</v>
      </c>
      <c r="J277" s="3">
        <f t="shared" si="58"/>
        <v>-2.0247170147994211</v>
      </c>
      <c r="K277" s="3">
        <f t="shared" si="59"/>
        <v>3.566120458652634E-3</v>
      </c>
      <c r="L277" s="3" cm="1">
        <f t="array" ref="L277">lmb_2(F277)</f>
        <v>3198.9173921721413</v>
      </c>
      <c r="M277" s="3" cm="1">
        <f t="array" ref="M277">lmb_2(G277)</f>
        <v>520.37593564947099</v>
      </c>
      <c r="N277" s="3" cm="1">
        <f t="array" ref="N277">lmb_2(H277)</f>
        <v>2.7477540561344651</v>
      </c>
      <c r="O277" s="3" cm="1">
        <f t="array" ref="O277">lmb_2(I277)</f>
        <v>1.0811100062208103</v>
      </c>
      <c r="P277" s="3" cm="1">
        <f t="array" ref="P277">lmb_2(J277)</f>
        <v>0.11740539592893819</v>
      </c>
      <c r="R277" s="3">
        <f t="shared" si="60"/>
        <v>0.2341474231535304</v>
      </c>
      <c r="S277" s="3">
        <f t="shared" si="61"/>
        <v>13.126990749947831</v>
      </c>
      <c r="T277" s="3">
        <f t="shared" si="62"/>
        <v>650.2039042592836</v>
      </c>
      <c r="U277" s="3">
        <f t="shared" si="52"/>
        <v>3401.2647633413185</v>
      </c>
      <c r="V277" s="3">
        <f t="shared" si="53"/>
        <v>0</v>
      </c>
      <c r="W277" s="3">
        <f t="shared" si="63"/>
        <v>565.09946437878637</v>
      </c>
      <c r="Y277" s="3">
        <f t="shared" si="64"/>
        <v>4629.9328362729484</v>
      </c>
      <c r="AA277" s="3">
        <f t="shared" si="65"/>
        <v>98.661236425199604</v>
      </c>
      <c r="AB277" s="3">
        <f t="shared" si="66"/>
        <v>-9.932836272948407</v>
      </c>
      <c r="AD277" s="3">
        <f t="shared" si="67"/>
        <v>3.2569460030241106E-6</v>
      </c>
    </row>
    <row r="278" spans="3:30" x14ac:dyDescent="0.3">
      <c r="C278" s="22">
        <v>246</v>
      </c>
      <c r="D278" s="22">
        <v>4505</v>
      </c>
      <c r="F278" s="3">
        <f t="shared" si="54"/>
        <v>3233.2123071923993</v>
      </c>
      <c r="G278" s="3">
        <f t="shared" si="55"/>
        <v>530.93042216471201</v>
      </c>
      <c r="H278" s="3">
        <f t="shared" si="56"/>
        <v>3.7939715275418271</v>
      </c>
      <c r="I278" s="3">
        <f t="shared" si="57"/>
        <v>1.1687088122455664</v>
      </c>
      <c r="J278" s="3">
        <f t="shared" si="58"/>
        <v>-2.0242147964295749</v>
      </c>
      <c r="K278" s="3">
        <f t="shared" si="59"/>
        <v>3.3577544569684445E-3</v>
      </c>
      <c r="L278" s="3" cm="1">
        <f t="array" ref="L278">lmb_2(F278)</f>
        <v>3225.1323254697854</v>
      </c>
      <c r="M278" s="3" cm="1">
        <f t="array" ref="M278">lmb_2(G278)</f>
        <v>524.66765713659652</v>
      </c>
      <c r="N278" s="3" cm="1">
        <f t="array" ref="N278">lmb_2(H278)</f>
        <v>2.7737656794827665</v>
      </c>
      <c r="O278" s="3" cm="1">
        <f t="array" ref="O278">lmb_2(I278)</f>
        <v>1.0861080771401797</v>
      </c>
      <c r="P278" s="3" cm="1">
        <f t="array" ref="P278">lmb_2(J278)</f>
        <v>0.11745817445163605</v>
      </c>
      <c r="R278" s="3">
        <f t="shared" si="60"/>
        <v>0.23129725700597345</v>
      </c>
      <c r="S278" s="3">
        <f t="shared" si="61"/>
        <v>12.966024529243343</v>
      </c>
      <c r="T278" s="3">
        <f t="shared" si="62"/>
        <v>642.27768819376126</v>
      </c>
      <c r="U278" s="3">
        <f t="shared" si="52"/>
        <v>3391.2869515548132</v>
      </c>
      <c r="V278" s="3">
        <f t="shared" si="53"/>
        <v>0</v>
      </c>
      <c r="W278" s="3">
        <f t="shared" si="63"/>
        <v>567.20191117216928</v>
      </c>
      <c r="Y278" s="3">
        <f t="shared" si="64"/>
        <v>4613.9672304614505</v>
      </c>
      <c r="AA278" s="3">
        <f t="shared" si="65"/>
        <v>11873.857314438872</v>
      </c>
      <c r="AB278" s="3">
        <f t="shared" si="66"/>
        <v>-108.96723046145053</v>
      </c>
      <c r="AD278" s="3">
        <f t="shared" si="67"/>
        <v>3.5730014666463619E-5</v>
      </c>
    </row>
    <row r="279" spans="3:30" x14ac:dyDescent="0.3">
      <c r="C279" s="22">
        <v>247</v>
      </c>
      <c r="D279" s="22">
        <v>4543</v>
      </c>
      <c r="F279" s="3">
        <f t="shared" si="54"/>
        <v>3259.5422080584772</v>
      </c>
      <c r="G279" s="3">
        <f t="shared" si="55"/>
        <v>535.24787218664108</v>
      </c>
      <c r="H279" s="3">
        <f t="shared" si="56"/>
        <v>3.8295494602016635</v>
      </c>
      <c r="I279" s="3">
        <f t="shared" si="57"/>
        <v>1.1783584680811079</v>
      </c>
      <c r="J279" s="3">
        <f t="shared" si="58"/>
        <v>-2.023710532363721</v>
      </c>
      <c r="K279" s="3">
        <f t="shared" si="59"/>
        <v>3.1615631395556492E-3</v>
      </c>
      <c r="L279" s="3" cm="1">
        <f t="array" ref="L279">lmb_2(F279)</f>
        <v>3251.4541068918365</v>
      </c>
      <c r="M279" s="3" cm="1">
        <f t="array" ref="M279">lmb_2(G279)</f>
        <v>528.97692737128921</v>
      </c>
      <c r="N279" s="3" cm="1">
        <f t="array" ref="N279">lmb_2(H279)</f>
        <v>2.7999484528768166</v>
      </c>
      <c r="O279" s="3" cm="1">
        <f t="array" ref="O279">lmb_2(I279)</f>
        <v>1.091137624190192</v>
      </c>
      <c r="P279" s="3" cm="1">
        <f t="array" ref="P279">lmb_2(J279)</f>
        <v>0.11751118931924349</v>
      </c>
      <c r="R279" s="3">
        <f t="shared" si="60"/>
        <v>0.22849317786062437</v>
      </c>
      <c r="S279" s="3">
        <f t="shared" si="61"/>
        <v>12.807682192654244</v>
      </c>
      <c r="T279" s="3">
        <f t="shared" si="62"/>
        <v>634.45619301782642</v>
      </c>
      <c r="U279" s="3">
        <f t="shared" si="52"/>
        <v>3381.2251128646594</v>
      </c>
      <c r="V279" s="3">
        <f t="shared" si="53"/>
        <v>0</v>
      </c>
      <c r="W279" s="3">
        <f t="shared" si="63"/>
        <v>569.30435796555207</v>
      </c>
      <c r="Y279" s="3">
        <f t="shared" si="64"/>
        <v>4598.0250007816921</v>
      </c>
      <c r="AA279" s="3">
        <f t="shared" si="65"/>
        <v>3027.7507110252209</v>
      </c>
      <c r="AB279" s="3">
        <f t="shared" si="66"/>
        <v>-55.025000781692142</v>
      </c>
      <c r="AD279" s="3">
        <f t="shared" si="67"/>
        <v>1.8042525965157591E-5</v>
      </c>
    </row>
    <row r="280" spans="3:30" x14ac:dyDescent="0.3">
      <c r="C280" s="22">
        <v>248</v>
      </c>
      <c r="D280" s="22">
        <v>4629</v>
      </c>
      <c r="F280" s="3">
        <f t="shared" si="54"/>
        <v>3285.9789239382112</v>
      </c>
      <c r="G280" s="3">
        <f t="shared" si="55"/>
        <v>539.58283721880127</v>
      </c>
      <c r="H280" s="3">
        <f t="shared" si="56"/>
        <v>3.8652717252455142</v>
      </c>
      <c r="I280" s="3">
        <f t="shared" si="57"/>
        <v>1.1880472705934668</v>
      </c>
      <c r="J280" s="3">
        <f t="shared" si="58"/>
        <v>-2.0232042226018598</v>
      </c>
      <c r="K280" s="3">
        <f t="shared" si="59"/>
        <v>2.9768351478629009E-3</v>
      </c>
      <c r="L280" s="3" cm="1">
        <f t="array" ref="L280">lmb_2(F280)</f>
        <v>3277.8827361703625</v>
      </c>
      <c r="M280" s="3" cm="1">
        <f t="array" ref="M280">lmb_2(G280)</f>
        <v>533.30374607688623</v>
      </c>
      <c r="N280" s="3" cm="1">
        <f t="array" ref="N280">lmb_2(H280)</f>
        <v>2.8263024297960948</v>
      </c>
      <c r="O280" s="3" cm="1">
        <f t="array" ref="O280">lmb_2(I280)</f>
        <v>1.0961987538003022</v>
      </c>
      <c r="P280" s="3" cm="1">
        <f t="array" ref="P280">lmb_2(J280)</f>
        <v>0.11756444079891556</v>
      </c>
      <c r="R280" s="3">
        <f t="shared" si="60"/>
        <v>0.22573425766335403</v>
      </c>
      <c r="S280" s="3">
        <f t="shared" si="61"/>
        <v>12.651910448672231</v>
      </c>
      <c r="T280" s="3">
        <f t="shared" si="62"/>
        <v>626.73822672087124</v>
      </c>
      <c r="U280" s="3">
        <f t="shared" si="52"/>
        <v>3371.0810804927028</v>
      </c>
      <c r="V280" s="3">
        <f t="shared" si="53"/>
        <v>0</v>
      </c>
      <c r="W280" s="3">
        <f t="shared" si="63"/>
        <v>571.40680475893487</v>
      </c>
      <c r="Y280" s="3">
        <f t="shared" si="64"/>
        <v>4582.1067335139924</v>
      </c>
      <c r="AA280" s="3">
        <f t="shared" si="65"/>
        <v>2198.9784417277265</v>
      </c>
      <c r="AB280" s="3">
        <f t="shared" si="66"/>
        <v>46.893266486007633</v>
      </c>
      <c r="AD280" s="3">
        <f t="shared" si="67"/>
        <v>1.5376155677336243E-5</v>
      </c>
    </row>
    <row r="281" spans="3:30" x14ac:dyDescent="0.3">
      <c r="C281" s="22">
        <v>249</v>
      </c>
      <c r="D281" s="22">
        <v>4542</v>
      </c>
      <c r="F281" s="3">
        <f t="shared" si="54"/>
        <v>3312.5224548315996</v>
      </c>
      <c r="G281" s="3">
        <f t="shared" si="55"/>
        <v>543.93531726119238</v>
      </c>
      <c r="H281" s="3">
        <f t="shared" si="56"/>
        <v>3.9011383226733809</v>
      </c>
      <c r="I281" s="3">
        <f t="shared" si="57"/>
        <v>1.1977752197826432</v>
      </c>
      <c r="J281" s="3">
        <f t="shared" si="58"/>
        <v>-2.0226958671439914</v>
      </c>
      <c r="K281" s="3">
        <f t="shared" si="59"/>
        <v>2.8029006875369285E-3</v>
      </c>
      <c r="L281" s="3" cm="1">
        <f t="array" ref="L281">lmb_2(F281)</f>
        <v>3304.4182130406703</v>
      </c>
      <c r="M281" s="3" cm="1">
        <f t="array" ref="M281">lmb_2(G281)</f>
        <v>537.64811298011716</v>
      </c>
      <c r="N281" s="3" cm="1">
        <f t="array" ref="N281">lmb_2(H281)</f>
        <v>2.8528276591530166</v>
      </c>
      <c r="O281" s="3" cm="1">
        <f t="array" ref="O281">lmb_2(I281)</f>
        <v>1.101291572208152</v>
      </c>
      <c r="P281" s="3" cm="1">
        <f t="array" ref="P281">lmb_2(J281)</f>
        <v>0.11761792915902652</v>
      </c>
      <c r="R281" s="3">
        <f t="shared" si="60"/>
        <v>0.22301959070177324</v>
      </c>
      <c r="S281" s="3">
        <f t="shared" si="61"/>
        <v>12.498657300159602</v>
      </c>
      <c r="T281" s="3">
        <f t="shared" si="62"/>
        <v>619.12259887293942</v>
      </c>
      <c r="U281" s="3">
        <f t="shared" si="52"/>
        <v>3360.856677532412</v>
      </c>
      <c r="V281" s="3">
        <f t="shared" si="53"/>
        <v>0</v>
      </c>
      <c r="W281" s="3">
        <f t="shared" si="63"/>
        <v>573.50925155231766</v>
      </c>
      <c r="Y281" s="3">
        <f t="shared" si="64"/>
        <v>4566.2130077492175</v>
      </c>
      <c r="AA281" s="3">
        <f t="shared" si="65"/>
        <v>586.26974426366519</v>
      </c>
      <c r="AB281" s="3">
        <f t="shared" si="66"/>
        <v>-24.213007749217468</v>
      </c>
      <c r="AD281" s="3">
        <f t="shared" si="67"/>
        <v>7.9393696465910985E-6</v>
      </c>
    </row>
    <row r="282" spans="3:30" x14ac:dyDescent="0.3">
      <c r="C282" s="22">
        <v>250</v>
      </c>
      <c r="D282" s="22">
        <v>4613</v>
      </c>
      <c r="F282" s="3">
        <f t="shared" si="54"/>
        <v>3339.1728007386441</v>
      </c>
      <c r="G282" s="3">
        <f t="shared" si="55"/>
        <v>548.30531231381451</v>
      </c>
      <c r="H282" s="3">
        <f t="shared" si="56"/>
        <v>3.9371492524852627</v>
      </c>
      <c r="I282" s="3">
        <f t="shared" si="57"/>
        <v>1.2075423156486371</v>
      </c>
      <c r="J282" s="3">
        <f t="shared" si="58"/>
        <v>-2.0221854659901153</v>
      </c>
      <c r="K282" s="3">
        <f t="shared" si="59"/>
        <v>2.6391290998546112E-3</v>
      </c>
      <c r="L282" s="3" cm="1">
        <f t="array" ref="L282">lmb_2(F282)</f>
        <v>3331.060537241256</v>
      </c>
      <c r="M282" s="3" cm="1">
        <f t="array" ref="M282">lmb_2(G282)</f>
        <v>542.01002781104967</v>
      </c>
      <c r="N282" s="3" cm="1">
        <f t="array" ref="N282">lmb_2(H282)</f>
        <v>2.8795241853921496</v>
      </c>
      <c r="O282" s="3" cm="1">
        <f t="array" ref="O282">lmb_2(I282)</f>
        <v>1.1064161854529191</v>
      </c>
      <c r="P282" s="3" cm="1">
        <f t="array" ref="P282">lmb_2(J282)</f>
        <v>0.11767165466917179</v>
      </c>
      <c r="R282" s="3">
        <f t="shared" si="60"/>
        <v>0.22034829298010444</v>
      </c>
      <c r="S282" s="3">
        <f t="shared" si="61"/>
        <v>12.347872007803272</v>
      </c>
      <c r="T282" s="3">
        <f t="shared" si="62"/>
        <v>611.6081212264711</v>
      </c>
      <c r="U282" s="3">
        <f t="shared" si="52"/>
        <v>3350.5537167214238</v>
      </c>
      <c r="V282" s="3">
        <f t="shared" si="53"/>
        <v>0</v>
      </c>
      <c r="W282" s="3">
        <f t="shared" si="63"/>
        <v>575.61169834570046</v>
      </c>
      <c r="Y282" s="3">
        <f t="shared" si="64"/>
        <v>4550.3443957234776</v>
      </c>
      <c r="AA282" s="3">
        <f t="shared" si="65"/>
        <v>3925.7247472561662</v>
      </c>
      <c r="AB282" s="3">
        <f t="shared" si="66"/>
        <v>62.655604276522354</v>
      </c>
      <c r="AD282" s="3">
        <f t="shared" si="67"/>
        <v>2.0544577027937464E-5</v>
      </c>
    </row>
    <row r="283" spans="3:30" x14ac:dyDescent="0.3">
      <c r="C283" s="22">
        <v>251</v>
      </c>
      <c r="D283" s="22">
        <v>4378</v>
      </c>
      <c r="F283" s="3">
        <f t="shared" si="54"/>
        <v>3365.9299616593444</v>
      </c>
      <c r="G283" s="3">
        <f t="shared" si="55"/>
        <v>552.69282237666744</v>
      </c>
      <c r="H283" s="3">
        <f t="shared" si="56"/>
        <v>3.9733045146811605</v>
      </c>
      <c r="I283" s="3">
        <f t="shared" si="57"/>
        <v>1.2173485581914489</v>
      </c>
      <c r="J283" s="3">
        <f t="shared" si="58"/>
        <v>-2.0216730191402315</v>
      </c>
      <c r="K283" s="3">
        <f t="shared" si="59"/>
        <v>2.4849265750546356E-3</v>
      </c>
      <c r="L283" s="3" cm="1">
        <f t="array" ref="L283">lmb_2(F283)</f>
        <v>3357.8097085137524</v>
      </c>
      <c r="M283" s="3" cm="1">
        <f t="array" ref="M283">lmb_2(G283)</f>
        <v>546.38949030303388</v>
      </c>
      <c r="N283" s="3" cm="1">
        <f t="array" ref="N283">lmb_2(H283)</f>
        <v>2.9063920485884198</v>
      </c>
      <c r="O283" s="3" cm="1">
        <f t="array" ref="O283">lmb_2(I283)</f>
        <v>1.1115726993687043</v>
      </c>
      <c r="P283" s="3" cm="1">
        <f t="array" ref="P283">lmb_2(J283)</f>
        <v>0.1177256176001691</v>
      </c>
      <c r="R283" s="3">
        <f t="shared" si="60"/>
        <v>0.21771950161396988</v>
      </c>
      <c r="S283" s="3">
        <f t="shared" si="61"/>
        <v>12.199505054743655</v>
      </c>
      <c r="T283" s="3">
        <f t="shared" si="62"/>
        <v>604.19360828967569</v>
      </c>
      <c r="U283" s="3">
        <f t="shared" si="52"/>
        <v>3340.1740002196857</v>
      </c>
      <c r="V283" s="3">
        <f t="shared" si="53"/>
        <v>0</v>
      </c>
      <c r="W283" s="3">
        <f t="shared" si="63"/>
        <v>577.71414513908326</v>
      </c>
      <c r="Y283" s="3">
        <f t="shared" si="64"/>
        <v>4534.501463131377</v>
      </c>
      <c r="AA283" s="3">
        <f t="shared" si="65"/>
        <v>24492.70796226176</v>
      </c>
      <c r="AB283" s="3">
        <f t="shared" si="66"/>
        <v>-156.50146313137702</v>
      </c>
      <c r="AD283" s="3">
        <f t="shared" si="67"/>
        <v>5.1316341154374242E-5</v>
      </c>
    </row>
    <row r="284" spans="3:30" x14ac:dyDescent="0.3">
      <c r="C284" s="22">
        <v>252</v>
      </c>
      <c r="D284" s="22">
        <v>4631</v>
      </c>
      <c r="F284" s="3">
        <f t="shared" si="54"/>
        <v>3392.7939375936985</v>
      </c>
      <c r="G284" s="3">
        <f t="shared" si="55"/>
        <v>557.09784744975138</v>
      </c>
      <c r="H284" s="3">
        <f t="shared" si="56"/>
        <v>4.0096041092610735</v>
      </c>
      <c r="I284" s="3">
        <f t="shared" si="57"/>
        <v>1.2271939474110787</v>
      </c>
      <c r="J284" s="3">
        <f t="shared" si="58"/>
        <v>-2.0211585265943404</v>
      </c>
      <c r="K284" s="3">
        <f t="shared" si="59"/>
        <v>2.3397339992776108E-3</v>
      </c>
      <c r="L284" s="3" cm="1">
        <f t="array" ref="L284">lmb_2(F284)</f>
        <v>3384.6657266028756</v>
      </c>
      <c r="M284" s="3" cm="1">
        <f t="array" ref="M284">lmb_2(G284)</f>
        <v>550.78650019265137</v>
      </c>
      <c r="N284" s="3" cm="1">
        <f t="array" ref="N284">lmb_2(H284)</f>
        <v>2.9334312845442656</v>
      </c>
      <c r="O284" s="3" cm="1">
        <f t="array" ref="O284">lmb_2(I284)</f>
        <v>1.1167612195779577</v>
      </c>
      <c r="P284" s="3" cm="1">
        <f t="array" ref="P284">lmb_2(J284)</f>
        <v>0.1177798182240606</v>
      </c>
      <c r="R284" s="3">
        <f t="shared" si="60"/>
        <v>0.21513237424438203</v>
      </c>
      <c r="S284" s="3">
        <f t="shared" si="61"/>
        <v>12.05350811233601</v>
      </c>
      <c r="T284" s="3">
        <f t="shared" si="62"/>
        <v>596.87787787234561</v>
      </c>
      <c r="U284" s="3">
        <f t="shared" si="52"/>
        <v>3329.7193193932021</v>
      </c>
      <c r="V284" s="3">
        <f t="shared" si="53"/>
        <v>0</v>
      </c>
      <c r="W284" s="3">
        <f t="shared" si="63"/>
        <v>579.81659193246605</v>
      </c>
      <c r="Y284" s="3">
        <f t="shared" si="64"/>
        <v>4518.6847694185926</v>
      </c>
      <c r="AA284" s="3">
        <f t="shared" si="65"/>
        <v>12614.711020554707</v>
      </c>
      <c r="AB284" s="3">
        <f t="shared" si="66"/>
        <v>112.31523058140738</v>
      </c>
      <c r="AD284" s="3">
        <f t="shared" si="67"/>
        <v>3.6827813453152058E-5</v>
      </c>
    </row>
    <row r="285" spans="3:30" x14ac:dyDescent="0.3">
      <c r="C285" s="22">
        <v>253</v>
      </c>
      <c r="D285" s="22">
        <v>4420</v>
      </c>
      <c r="F285" s="3">
        <f t="shared" si="54"/>
        <v>3419.7647285417106</v>
      </c>
      <c r="G285" s="3">
        <f t="shared" si="55"/>
        <v>561.52038753306647</v>
      </c>
      <c r="H285" s="3">
        <f t="shared" si="56"/>
        <v>4.0460480362250024</v>
      </c>
      <c r="I285" s="3">
        <f t="shared" si="57"/>
        <v>1.2370784833075255</v>
      </c>
      <c r="J285" s="3">
        <f t="shared" si="58"/>
        <v>-2.0206419883524416</v>
      </c>
      <c r="K285" s="3">
        <f t="shared" si="59"/>
        <v>2.2030249273080585E-3</v>
      </c>
      <c r="L285" s="3" cm="1">
        <f t="array" ref="L285">lmb_2(F285)</f>
        <v>3411.6285912563858</v>
      </c>
      <c r="M285" s="3" cm="1">
        <f t="array" ref="M285">lmb_2(G285)</f>
        <v>555.20105721966161</v>
      </c>
      <c r="N285" s="3" cm="1">
        <f t="array" ref="N285">lmb_2(H285)</f>
        <v>2.9606419248857283</v>
      </c>
      <c r="O285" s="3" cm="1">
        <f t="array" ref="O285">lmb_2(I285)</f>
        <v>1.1219818514849464</v>
      </c>
      <c r="P285" s="3" cm="1">
        <f t="array" ref="P285">lmb_2(J285)</f>
        <v>0.11783425681411436</v>
      </c>
      <c r="R285" s="3">
        <f t="shared" si="60"/>
        <v>0.21258608847025423</v>
      </c>
      <c r="S285" s="3">
        <f t="shared" si="61"/>
        <v>11.909834007003772</v>
      </c>
      <c r="T285" s="3">
        <f t="shared" si="62"/>
        <v>589.65975160491291</v>
      </c>
      <c r="U285" s="3">
        <f t="shared" si="52"/>
        <v>3319.1914546033768</v>
      </c>
      <c r="V285" s="3">
        <f t="shared" si="53"/>
        <v>0</v>
      </c>
      <c r="W285" s="3">
        <f t="shared" si="63"/>
        <v>581.91903872584885</v>
      </c>
      <c r="Y285" s="3">
        <f t="shared" si="64"/>
        <v>4502.89486805454</v>
      </c>
      <c r="AA285" s="3">
        <f t="shared" si="65"/>
        <v>6871.5591497795931</v>
      </c>
      <c r="AB285" s="3">
        <f t="shared" si="66"/>
        <v>-82.894868054539984</v>
      </c>
      <c r="AD285" s="3">
        <f t="shared" si="67"/>
        <v>2.7180968432625183E-5</v>
      </c>
    </row>
    <row r="286" spans="3:30" x14ac:dyDescent="0.3">
      <c r="C286" s="22">
        <v>254</v>
      </c>
      <c r="D286" s="22">
        <v>4546</v>
      </c>
      <c r="F286" s="3">
        <f t="shared" si="54"/>
        <v>3446.8423345033766</v>
      </c>
      <c r="G286" s="3">
        <f t="shared" si="55"/>
        <v>565.96044262661212</v>
      </c>
      <c r="H286" s="3">
        <f t="shared" si="56"/>
        <v>4.0826362955729465</v>
      </c>
      <c r="I286" s="3">
        <f t="shared" si="57"/>
        <v>1.2470021658807897</v>
      </c>
      <c r="J286" s="3">
        <f t="shared" si="58"/>
        <v>-2.0201234044145351</v>
      </c>
      <c r="K286" s="3">
        <f t="shared" si="59"/>
        <v>2.0743036737676727E-3</v>
      </c>
      <c r="L286" s="3" cm="1">
        <f t="array" ref="L286">lmb_2(F286)</f>
        <v>3438.6983022250247</v>
      </c>
      <c r="M286" s="3" cm="1">
        <f t="array" ref="M286">lmb_2(G286)</f>
        <v>559.63316112695077</v>
      </c>
      <c r="N286" s="3" cm="1">
        <f t="array" ref="N286">lmb_2(H286)</f>
        <v>2.9880239971574376</v>
      </c>
      <c r="O286" s="3" cm="1">
        <f t="array" ref="O286">lmb_2(I286)</f>
        <v>1.1272347002692646</v>
      </c>
      <c r="P286" s="3" cm="1">
        <f t="array" ref="P286">lmb_2(J286)</f>
        <v>0.11788893364482604</v>
      </c>
      <c r="R286" s="3">
        <f t="shared" si="60"/>
        <v>0.21007984129877752</v>
      </c>
      <c r="S286" s="3">
        <f t="shared" si="61"/>
        <v>11.768436688144732</v>
      </c>
      <c r="T286" s="3">
        <f t="shared" si="62"/>
        <v>582.53805543154681</v>
      </c>
      <c r="U286" s="3">
        <f t="shared" si="52"/>
        <v>3308.5921750019379</v>
      </c>
      <c r="V286" s="3">
        <f t="shared" si="53"/>
        <v>0</v>
      </c>
      <c r="W286" s="3">
        <f t="shared" si="63"/>
        <v>584.02148551923165</v>
      </c>
      <c r="Y286" s="3">
        <f t="shared" si="64"/>
        <v>4487.1323067858339</v>
      </c>
      <c r="AA286" s="3">
        <f t="shared" si="65"/>
        <v>3465.4053043571821</v>
      </c>
      <c r="AB286" s="3">
        <f t="shared" si="66"/>
        <v>58.867693214166138</v>
      </c>
      <c r="AD286" s="3">
        <f t="shared" si="67"/>
        <v>1.9302532816663073E-5</v>
      </c>
    </row>
    <row r="287" spans="3:30" x14ac:dyDescent="0.3">
      <c r="C287" s="22">
        <v>255</v>
      </c>
      <c r="D287" s="22">
        <v>4428</v>
      </c>
      <c r="F287" s="3">
        <f t="shared" si="54"/>
        <v>3474.0267554786988</v>
      </c>
      <c r="G287" s="3">
        <f t="shared" si="55"/>
        <v>570.41801273038891</v>
      </c>
      <c r="H287" s="3">
        <f t="shared" si="56"/>
        <v>4.1193688873049057</v>
      </c>
      <c r="I287" s="3">
        <f t="shared" si="57"/>
        <v>1.2569649951308723</v>
      </c>
      <c r="J287" s="3">
        <f t="shared" si="58"/>
        <v>-2.0196027747806213</v>
      </c>
      <c r="K287" s="3">
        <f t="shared" si="59"/>
        <v>1.953103515838881E-3</v>
      </c>
      <c r="L287" s="3" cm="1">
        <f t="array" ref="L287">lmb_2(F287)</f>
        <v>3465.8748592624829</v>
      </c>
      <c r="M287" s="3" cm="1">
        <f t="array" ref="M287">lmb_2(G287)</f>
        <v>564.08281166048391</v>
      </c>
      <c r="N287" s="3" cm="1">
        <f t="array" ref="N287">lmb_2(H287)</f>
        <v>3.0155775249164889</v>
      </c>
      <c r="O287" s="3" cm="1">
        <f t="array" ref="O287">lmb_2(I287)</f>
        <v>1.1325198708793867</v>
      </c>
      <c r="P287" s="3" cm="1">
        <f t="array" ref="P287">lmb_2(J287)</f>
        <v>0.11794384899192059</v>
      </c>
      <c r="R287" s="3">
        <f t="shared" si="60"/>
        <v>0.2076128486130292</v>
      </c>
      <c r="S287" s="3">
        <f t="shared" si="61"/>
        <v>11.629271197052512</v>
      </c>
      <c r="T287" s="3">
        <f t="shared" si="62"/>
        <v>575.51162007807579</v>
      </c>
      <c r="U287" s="3">
        <f t="shared" si="52"/>
        <v>3297.9232383314493</v>
      </c>
      <c r="V287" s="3">
        <f t="shared" si="53"/>
        <v>0</v>
      </c>
      <c r="W287" s="3">
        <f t="shared" si="63"/>
        <v>586.12393231261444</v>
      </c>
      <c r="Y287" s="3">
        <f t="shared" si="64"/>
        <v>4471.3976278713208</v>
      </c>
      <c r="AA287" s="3">
        <f t="shared" si="65"/>
        <v>1883.3541048576369</v>
      </c>
      <c r="AB287" s="3">
        <f t="shared" si="66"/>
        <v>-43.397627871320765</v>
      </c>
      <c r="AD287" s="3">
        <f t="shared" si="67"/>
        <v>1.4229946689161545E-5</v>
      </c>
    </row>
    <row r="288" spans="3:30" x14ac:dyDescent="0.3">
      <c r="C288" s="22">
        <v>256</v>
      </c>
      <c r="D288" s="22">
        <v>4449</v>
      </c>
      <c r="F288" s="3">
        <f t="shared" si="54"/>
        <v>3501.3179914676753</v>
      </c>
      <c r="G288" s="3">
        <f t="shared" si="55"/>
        <v>574.89309784439672</v>
      </c>
      <c r="H288" s="3">
        <f t="shared" si="56"/>
        <v>4.1562458114208827</v>
      </c>
      <c r="I288" s="3">
        <f t="shared" si="57"/>
        <v>1.266966971057772</v>
      </c>
      <c r="J288" s="3">
        <f t="shared" si="58"/>
        <v>-2.0190800994507003</v>
      </c>
      <c r="K288" s="3">
        <f t="shared" si="59"/>
        <v>1.8389850010020489E-3</v>
      </c>
      <c r="L288" s="3" cm="1">
        <f t="array" ref="L288">lmb_2(F288)</f>
        <v>3493.1582621253433</v>
      </c>
      <c r="M288" s="3" cm="1">
        <f t="array" ref="M288">lmb_2(G288)</f>
        <v>568.55000856925392</v>
      </c>
      <c r="N288" s="3" cm="1">
        <f t="array" ref="N288">lmb_2(H288)</f>
        <v>3.0433025278251815</v>
      </c>
      <c r="O288" s="3" cm="1">
        <f t="array" ref="O288">lmb_2(I288)</f>
        <v>1.1378374680262622</v>
      </c>
      <c r="P288" s="3" cm="1">
        <f t="array" ref="P288">lmb_2(J288)</f>
        <v>0.1179990031323541</v>
      </c>
      <c r="R288" s="3">
        <f t="shared" si="60"/>
        <v>0.20518434465621213</v>
      </c>
      <c r="S288" s="3">
        <f t="shared" si="61"/>
        <v>11.492293636817584</v>
      </c>
      <c r="T288" s="3">
        <f t="shared" si="62"/>
        <v>568.57928149550946</v>
      </c>
      <c r="U288" s="3">
        <f t="shared" ref="U288:U351" si="68">$I$18*(C288/$I$19)*($O$28+$O$28^2)/(O288+O288^2)</f>
        <v>3287.1863907313877</v>
      </c>
      <c r="V288" s="3">
        <f t="shared" ref="V288:V351" si="69">$J$18*(C288/$J$19)*($P$28+$P$28^2)/(P288+P288^2)</f>
        <v>0</v>
      </c>
      <c r="W288" s="3">
        <f t="shared" si="63"/>
        <v>588.22637910599724</v>
      </c>
      <c r="Y288" s="3">
        <f t="shared" si="64"/>
        <v>4455.6913682993691</v>
      </c>
      <c r="AA288" s="3">
        <f t="shared" si="65"/>
        <v>44.774409717801184</v>
      </c>
      <c r="AB288" s="3">
        <f t="shared" si="66"/>
        <v>-6.69136829936906</v>
      </c>
      <c r="AD288" s="3">
        <f t="shared" si="67"/>
        <v>2.1940787745334759E-6</v>
      </c>
    </row>
    <row r="289" spans="3:30" x14ac:dyDescent="0.3">
      <c r="C289" s="22">
        <v>257</v>
      </c>
      <c r="D289" s="22">
        <v>4485</v>
      </c>
      <c r="F289" s="3">
        <f t="shared" ref="F289:F352" si="70">$F$20/(1-$F$20)-LN((1-$F$20)/$F$20)+(C289/$F$19)^2/((1-$F$20)*(1+0.534156*$F$20^0.7917))</f>
        <v>3528.7160424703079</v>
      </c>
      <c r="G289" s="3">
        <f t="shared" ref="G289:G352" si="71">$G$20/(1-$G$20)-LN((1-$G$20)/$G$20)+(C289/$G$19)^2/((1-$G$20)*(1+0.534156*$G$20^0.7917))</f>
        <v>579.38569796863544</v>
      </c>
      <c r="H289" s="3">
        <f t="shared" ref="H289:H352" si="72">$H$20/(1-$H$20)-LN((1-$H$20)/$H$20)+(C289/$H$19)^2/((1-$H$20)*(1+0.534156*$H$20^0.7917))</f>
        <v>4.1932670679208739</v>
      </c>
      <c r="I289" s="3">
        <f t="shared" ref="I289:I352" si="73">$I$20/(1-$I$20)-LN((1-$I$20)/$I$20)+(C289/$I$19)^2/((1-$I$20)*(1+0.534156*$I$20^0.7917))</f>
        <v>1.2770080936614892</v>
      </c>
      <c r="J289" s="3">
        <f t="shared" ref="J289:J352" si="74">$J$20/(1-$J$20)-LN((1-$J$20)/$J$20)+(C289/$J$19)^2/((1-$J$20)*(1+0.534156*$J$20^0.7917))</f>
        <v>-2.0185553784247712</v>
      </c>
      <c r="K289" s="3">
        <f t="shared" ref="K289:K352" si="75">$K$18*EXP(-$K$20*C289)</f>
        <v>1.7315343536504543E-3</v>
      </c>
      <c r="L289" s="3" cm="1">
        <f t="array" ref="L289">lmb_2(F289)</f>
        <v>3520.5485105730431</v>
      </c>
      <c r="M289" s="3" cm="1">
        <f t="array" ref="M289">lmb_2(G289)</f>
        <v>573.03475160523408</v>
      </c>
      <c r="N289" s="3" cm="1">
        <f t="array" ref="N289">lmb_2(H289)</f>
        <v>3.0711990217425904</v>
      </c>
      <c r="O289" s="3" cm="1">
        <f t="array" ref="O289">lmb_2(I289)</f>
        <v>1.1431875961769622</v>
      </c>
      <c r="P289" s="3" cm="1">
        <f t="array" ref="P289">lmb_2(J289)</f>
        <v>0.11805439634431539</v>
      </c>
      <c r="R289" s="3">
        <f t="shared" ref="R289:R352" si="76">$F$18*(C289/$F$19)*($L$28+$L$28^2)/(L289+L289^2)</f>
        <v>0.20279358153193883</v>
      </c>
      <c r="S289" s="3">
        <f t="shared" ref="S289:S352" si="77">$G$18*(C289/$G$19)*($M$28+$M$28^2)/(M289+M289^2)</f>
        <v>11.357461143172968</v>
      </c>
      <c r="T289" s="3">
        <f t="shared" ref="T289:T352" si="78">$H$18*(C289/$H$19)*($N$28+$N$28^2)/(N289+N289^2)</f>
        <v>561.73988127992743</v>
      </c>
      <c r="U289" s="3">
        <f t="shared" si="68"/>
        <v>3276.3833665497582</v>
      </c>
      <c r="V289" s="3">
        <f t="shared" si="69"/>
        <v>0</v>
      </c>
      <c r="W289" s="3">
        <f t="shared" ref="W289:W352" si="79">$F$22+$G$22/$F$21*C289</f>
        <v>590.32882589938004</v>
      </c>
      <c r="Y289" s="3">
        <f t="shared" ref="Y289:Y352" si="80">SUM(R289:W289)+K289</f>
        <v>4440.0140599881242</v>
      </c>
      <c r="AA289" s="3">
        <f t="shared" ref="AA289:AA352" si="81">(D289-Y289)^2</f>
        <v>2023.7347987520841</v>
      </c>
      <c r="AB289" s="3">
        <f t="shared" ref="AB289:AB352" si="82">D289-Y289</f>
        <v>44.985940011875755</v>
      </c>
      <c r="AD289" s="3">
        <f t="shared" ref="AD289:AD352" si="83">ABS(AB289/$AC$32)</f>
        <v>1.4750749281249345E-5</v>
      </c>
    </row>
    <row r="290" spans="3:30" x14ac:dyDescent="0.3">
      <c r="C290" s="22">
        <v>258</v>
      </c>
      <c r="D290" s="22">
        <v>4444</v>
      </c>
      <c r="F290" s="3">
        <f t="shared" si="70"/>
        <v>3556.2209084865967</v>
      </c>
      <c r="G290" s="3">
        <f t="shared" si="71"/>
        <v>583.89581310310518</v>
      </c>
      <c r="H290" s="3">
        <f t="shared" si="72"/>
        <v>4.2304326568048793</v>
      </c>
      <c r="I290" s="3">
        <f t="shared" si="73"/>
        <v>1.2870883629420247</v>
      </c>
      <c r="J290" s="3">
        <f t="shared" si="74"/>
        <v>-2.0180286117028348</v>
      </c>
      <c r="K290" s="3">
        <f t="shared" si="75"/>
        <v>1.6303619748056638E-3</v>
      </c>
      <c r="L290" s="3" cm="1">
        <f t="array" ref="L290">lmb_2(F290)</f>
        <v>3548.045604367825</v>
      </c>
      <c r="M290" s="3" cm="1">
        <f t="array" ref="M290">lmb_2(G290)</f>
        <v>577.53704052333171</v>
      </c>
      <c r="N290" s="3" cm="1">
        <f t="array" ref="N290">lmb_2(H290)</f>
        <v>3.0992670188149862</v>
      </c>
      <c r="O290" s="3" cm="1">
        <f t="array" ref="O290">lmb_2(I290)</f>
        <v>1.1485703595483674</v>
      </c>
      <c r="P290" s="3" cm="1">
        <f t="array" ref="P290">lmb_2(J290)</f>
        <v>0.11811002890722748</v>
      </c>
      <c r="R290" s="3">
        <f t="shared" si="76"/>
        <v>0.20043982872000379</v>
      </c>
      <c r="S290" s="3">
        <f t="shared" si="77"/>
        <v>11.224731856251534</v>
      </c>
      <c r="T290" s="3">
        <f t="shared" si="78"/>
        <v>554.9922670694823</v>
      </c>
      <c r="U290" s="3">
        <f t="shared" si="68"/>
        <v>3265.5158881602733</v>
      </c>
      <c r="V290" s="3">
        <f t="shared" si="69"/>
        <v>0</v>
      </c>
      <c r="W290" s="3">
        <f t="shared" si="79"/>
        <v>592.43127269276283</v>
      </c>
      <c r="Y290" s="3">
        <f t="shared" si="80"/>
        <v>4424.3662299694652</v>
      </c>
      <c r="AA290" s="3">
        <f t="shared" si="81"/>
        <v>385.48492561192779</v>
      </c>
      <c r="AB290" s="3">
        <f t="shared" si="82"/>
        <v>19.633770030534833</v>
      </c>
      <c r="AD290" s="3">
        <f t="shared" si="83"/>
        <v>6.4378518952737741E-6</v>
      </c>
    </row>
    <row r="291" spans="3:30" x14ac:dyDescent="0.3">
      <c r="C291" s="22">
        <v>259</v>
      </c>
      <c r="D291" s="22">
        <v>4419</v>
      </c>
      <c r="F291" s="3">
        <f t="shared" si="70"/>
        <v>3583.8325895165399</v>
      </c>
      <c r="G291" s="3">
        <f t="shared" si="71"/>
        <v>588.42344324780572</v>
      </c>
      <c r="H291" s="3">
        <f t="shared" si="72"/>
        <v>4.2677425780729017</v>
      </c>
      <c r="I291" s="3">
        <f t="shared" si="73"/>
        <v>1.2972077788993768</v>
      </c>
      <c r="J291" s="3">
        <f t="shared" si="74"/>
        <v>-2.0174997992848911</v>
      </c>
      <c r="K291" s="3">
        <f t="shared" si="75"/>
        <v>1.5351010294935284E-3</v>
      </c>
      <c r="L291" s="3" cm="1">
        <f t="array" ref="L291">lmb_2(F291)</f>
        <v>3575.6495432746933</v>
      </c>
      <c r="M291" s="3" cm="1">
        <f t="array" ref="M291">lmb_2(G291)</f>
        <v>582.05687508134145</v>
      </c>
      <c r="N291" s="3" cm="1">
        <f t="array" ref="N291">lmb_2(H291)</f>
        <v>3.1275065275650542</v>
      </c>
      <c r="O291" s="3" cm="1">
        <f t="array" ref="O291">lmb_2(I291)</f>
        <v>1.1539858621009038</v>
      </c>
      <c r="P291" s="3" cm="1">
        <f t="array" ref="P291">lmb_2(J291)</f>
        <v>0.11816590110174982</v>
      </c>
      <c r="R291" s="3">
        <f t="shared" si="76"/>
        <v>0.19812237260710316</v>
      </c>
      <c r="S291" s="3">
        <f t="shared" si="77"/>
        <v>11.094064893222873</v>
      </c>
      <c r="T291" s="3">
        <f t="shared" si="78"/>
        <v>548.33529291926379</v>
      </c>
      <c r="U291" s="3">
        <f t="shared" si="68"/>
        <v>3254.5856657850418</v>
      </c>
      <c r="V291" s="3">
        <f t="shared" si="69"/>
        <v>0</v>
      </c>
      <c r="W291" s="3">
        <f t="shared" si="79"/>
        <v>594.53371948614563</v>
      </c>
      <c r="Y291" s="3">
        <f t="shared" si="80"/>
        <v>4408.7484005573106</v>
      </c>
      <c r="AA291" s="3">
        <f t="shared" si="81"/>
        <v>105.09529113335043</v>
      </c>
      <c r="AB291" s="3">
        <f t="shared" si="82"/>
        <v>10.251599442689439</v>
      </c>
      <c r="AD291" s="3">
        <f t="shared" si="83"/>
        <v>3.3614674511855808E-6</v>
      </c>
    </row>
    <row r="292" spans="3:30" x14ac:dyDescent="0.3">
      <c r="C292" s="22">
        <v>260</v>
      </c>
      <c r="D292" s="22">
        <v>4380</v>
      </c>
      <c r="F292" s="3">
        <f t="shared" si="70"/>
        <v>3611.5510855601392</v>
      </c>
      <c r="G292" s="3">
        <f t="shared" si="71"/>
        <v>592.96858840273717</v>
      </c>
      <c r="H292" s="3">
        <f t="shared" si="72"/>
        <v>4.3051968317249392</v>
      </c>
      <c r="I292" s="3">
        <f t="shared" si="73"/>
        <v>1.3073663415335472</v>
      </c>
      <c r="J292" s="3">
        <f t="shared" si="74"/>
        <v>-2.0169689411709397</v>
      </c>
      <c r="K292" s="3">
        <f t="shared" si="75"/>
        <v>1.4454061166588393E-3</v>
      </c>
      <c r="L292" s="3" cm="1">
        <f t="array" ref="L292">lmb_2(F292)</f>
        <v>3603.3603270613762</v>
      </c>
      <c r="M292" s="3" cm="1">
        <f t="array" ref="M292">lmb_2(G292)</f>
        <v>586.5942550399003</v>
      </c>
      <c r="N292" s="3" cm="1">
        <f t="array" ref="N292">lmb_2(H292)</f>
        <v>3.1559175529799126</v>
      </c>
      <c r="O292" s="3" cm="1">
        <f t="array" ref="O292">lmb_2(I292)</f>
        <v>1.1594342075323341</v>
      </c>
      <c r="P292" s="3" cm="1">
        <f t="array" ref="P292">lmb_2(J292)</f>
        <v>0.11822201320977968</v>
      </c>
      <c r="R292" s="3">
        <f t="shared" si="76"/>
        <v>0.19584051603198704</v>
      </c>
      <c r="S292" s="3">
        <f t="shared" si="77"/>
        <v>10.965420321779147</v>
      </c>
      <c r="T292" s="3">
        <f t="shared" si="78"/>
        <v>541.76781965475038</v>
      </c>
      <c r="U292" s="3">
        <f t="shared" si="68"/>
        <v>3243.5943973227463</v>
      </c>
      <c r="V292" s="3">
        <f t="shared" si="69"/>
        <v>0</v>
      </c>
      <c r="W292" s="3">
        <f t="shared" si="79"/>
        <v>596.63616627952842</v>
      </c>
      <c r="Y292" s="3">
        <f t="shared" si="80"/>
        <v>4393.1610895009526</v>
      </c>
      <c r="AA292" s="3">
        <f t="shared" si="81"/>
        <v>173.21427685208437</v>
      </c>
      <c r="AB292" s="3">
        <f t="shared" si="82"/>
        <v>-13.161089500952585</v>
      </c>
      <c r="AD292" s="3">
        <f t="shared" si="83"/>
        <v>4.3154801576978284E-6</v>
      </c>
    </row>
    <row r="293" spans="3:30" x14ac:dyDescent="0.3">
      <c r="C293" s="22">
        <v>261</v>
      </c>
      <c r="D293" s="22">
        <v>4319</v>
      </c>
      <c r="F293" s="3">
        <f t="shared" si="70"/>
        <v>3639.3763966173942</v>
      </c>
      <c r="G293" s="3">
        <f t="shared" si="71"/>
        <v>597.53124856789975</v>
      </c>
      <c r="H293" s="3">
        <f t="shared" si="72"/>
        <v>4.3427954177609918</v>
      </c>
      <c r="I293" s="3">
        <f t="shared" si="73"/>
        <v>1.3175640508445352</v>
      </c>
      <c r="J293" s="3">
        <f t="shared" si="74"/>
        <v>-2.0164360373609806</v>
      </c>
      <c r="K293" s="3">
        <f t="shared" si="75"/>
        <v>1.3609520167959693E-3</v>
      </c>
      <c r="L293" s="3" cm="1">
        <f t="array" ref="L293">lmb_2(F293)</f>
        <v>3631.1779554982782</v>
      </c>
      <c r="M293" s="3" cm="1">
        <f t="array" ref="M293">lmb_2(G293)</f>
        <v>591.1491801624436</v>
      </c>
      <c r="N293" s="3" cm="1">
        <f t="array" ref="N293">lmb_2(H293)</f>
        <v>3.1845000965979273</v>
      </c>
      <c r="O293" s="3" cm="1">
        <f t="array" ref="O293">lmb_2(I293)</f>
        <v>1.1649154992715895</v>
      </c>
      <c r="P293" s="3" cm="1">
        <f t="array" ref="P293">lmb_2(J293)</f>
        <v>0.11827836551445396</v>
      </c>
      <c r="R293" s="3">
        <f t="shared" si="76"/>
        <v>0.19359357784454587</v>
      </c>
      <c r="S293" s="3">
        <f t="shared" si="77"/>
        <v>10.838759134440242</v>
      </c>
      <c r="T293" s="3">
        <f t="shared" si="78"/>
        <v>535.2887152045621</v>
      </c>
      <c r="U293" s="3">
        <f t="shared" si="68"/>
        <v>3232.5437681823287</v>
      </c>
      <c r="V293" s="3">
        <f t="shared" si="69"/>
        <v>0</v>
      </c>
      <c r="W293" s="3">
        <f t="shared" si="79"/>
        <v>598.73861307291122</v>
      </c>
      <c r="Y293" s="3">
        <f t="shared" si="80"/>
        <v>4377.6048101241031</v>
      </c>
      <c r="AA293" s="3">
        <f t="shared" si="81"/>
        <v>3434.5237696821769</v>
      </c>
      <c r="AB293" s="3">
        <f t="shared" si="82"/>
        <v>-58.604810124103096</v>
      </c>
      <c r="AD293" s="3">
        <f t="shared" si="83"/>
        <v>1.9216334272167252E-5</v>
      </c>
    </row>
    <row r="294" spans="3:30" x14ac:dyDescent="0.3">
      <c r="C294" s="22">
        <v>262</v>
      </c>
      <c r="D294" s="22">
        <v>4225</v>
      </c>
      <c r="F294" s="3">
        <f t="shared" si="70"/>
        <v>3667.3085226883045</v>
      </c>
      <c r="G294" s="3">
        <f t="shared" si="71"/>
        <v>602.11142374329324</v>
      </c>
      <c r="H294" s="3">
        <f t="shared" si="72"/>
        <v>4.3805383361810604</v>
      </c>
      <c r="I294" s="3">
        <f t="shared" si="73"/>
        <v>1.3278009068323406</v>
      </c>
      <c r="J294" s="3">
        <f t="shared" si="74"/>
        <v>-2.0159010878550143</v>
      </c>
      <c r="K294" s="3">
        <f t="shared" si="75"/>
        <v>1.2814325127546101E-3</v>
      </c>
      <c r="L294" s="3" cm="1">
        <f t="array" ref="L294">lmb_2(F294)</f>
        <v>3659.102428358442</v>
      </c>
      <c r="M294" s="3" cm="1">
        <f t="array" ref="M294">lmb_2(G294)</f>
        <v>595.72165021516059</v>
      </c>
      <c r="N294" s="3" cm="1">
        <f t="array" ref="N294">lmb_2(H294)</f>
        <v>3.2132541565943011</v>
      </c>
      <c r="O294" s="3" cm="1">
        <f t="array" ref="O294">lmb_2(I294)</f>
        <v>1.1704298404726601</v>
      </c>
      <c r="P294" s="3" cm="1">
        <f t="array" ref="P294">lmb_2(J294)</f>
        <v>0.11833495830015082</v>
      </c>
      <c r="R294" s="3">
        <f t="shared" si="76"/>
        <v>0.19138089247835188</v>
      </c>
      <c r="S294" s="3">
        <f t="shared" si="77"/>
        <v>10.714043223650009</v>
      </c>
      <c r="T294" s="3">
        <f t="shared" si="78"/>
        <v>528.89685491321904</v>
      </c>
      <c r="U294" s="3">
        <f t="shared" si="68"/>
        <v>3221.4354511221086</v>
      </c>
      <c r="V294" s="3">
        <f t="shared" si="69"/>
        <v>0</v>
      </c>
      <c r="W294" s="3">
        <f t="shared" si="79"/>
        <v>600.84105986629402</v>
      </c>
      <c r="Y294" s="3">
        <f t="shared" si="80"/>
        <v>4362.0800714502629</v>
      </c>
      <c r="AA294" s="3">
        <f t="shared" si="81"/>
        <v>18790.945988809195</v>
      </c>
      <c r="AB294" s="3">
        <f t="shared" si="82"/>
        <v>-137.08007145026295</v>
      </c>
      <c r="AD294" s="3">
        <f t="shared" si="83"/>
        <v>4.4948127456818331E-5</v>
      </c>
    </row>
    <row r="295" spans="3:30" x14ac:dyDescent="0.3">
      <c r="C295" s="22">
        <v>263</v>
      </c>
      <c r="D295" s="22">
        <v>4261</v>
      </c>
      <c r="F295" s="3">
        <f t="shared" si="70"/>
        <v>3695.3474637728705</v>
      </c>
      <c r="G295" s="3">
        <f t="shared" si="71"/>
        <v>606.70911392891765</v>
      </c>
      <c r="H295" s="3">
        <f t="shared" si="72"/>
        <v>4.418425586985145</v>
      </c>
      <c r="I295" s="3">
        <f t="shared" si="73"/>
        <v>1.338076909496964</v>
      </c>
      <c r="J295" s="3">
        <f t="shared" si="74"/>
        <v>-2.0153640926530403</v>
      </c>
      <c r="K295" s="3">
        <f t="shared" si="75"/>
        <v>1.2065592794450197E-3</v>
      </c>
      <c r="L295" s="3" cm="1">
        <f t="array" ref="L295">lmb_2(F295)</f>
        <v>3687.1337454175086</v>
      </c>
      <c r="M295" s="3" cm="1">
        <f t="array" ref="M295">lmb_2(G295)</f>
        <v>600.311664966953</v>
      </c>
      <c r="N295" s="3" cm="1">
        <f t="array" ref="N295">lmb_2(H295)</f>
        <v>3.2421797278654307</v>
      </c>
      <c r="O295" s="3" cm="1">
        <f t="array" ref="O295">lmb_2(I295)</f>
        <v>1.175977334008536</v>
      </c>
      <c r="P295" s="3" cm="1">
        <f t="array" ref="P295">lmb_2(J295)</f>
        <v>0.11839179185249166</v>
      </c>
      <c r="R295" s="3">
        <f t="shared" si="76"/>
        <v>0.1892018095361962</v>
      </c>
      <c r="S295" s="3">
        <f t="shared" si="77"/>
        <v>10.591235357636137</v>
      </c>
      <c r="T295" s="3">
        <f t="shared" si="78"/>
        <v>522.59112183459536</v>
      </c>
      <c r="U295" s="3">
        <f t="shared" si="68"/>
        <v>3210.2711060943493</v>
      </c>
      <c r="V295" s="3">
        <f t="shared" si="69"/>
        <v>0</v>
      </c>
      <c r="W295" s="3">
        <f t="shared" si="79"/>
        <v>602.94350665967681</v>
      </c>
      <c r="Y295" s="3">
        <f t="shared" si="80"/>
        <v>4346.5873783150728</v>
      </c>
      <c r="AA295" s="3">
        <f t="shared" si="81"/>
        <v>7325.1993268473907</v>
      </c>
      <c r="AB295" s="3">
        <f t="shared" si="82"/>
        <v>-85.587378315072783</v>
      </c>
      <c r="AD295" s="3">
        <f t="shared" si="83"/>
        <v>2.8063834140884829E-5</v>
      </c>
    </row>
    <row r="296" spans="3:30" x14ac:dyDescent="0.3">
      <c r="C296" s="22">
        <v>264</v>
      </c>
      <c r="D296" s="22">
        <v>4214</v>
      </c>
      <c r="F296" s="3">
        <f t="shared" si="70"/>
        <v>3723.4932198710912</v>
      </c>
      <c r="G296" s="3">
        <f t="shared" si="71"/>
        <v>611.32431912477296</v>
      </c>
      <c r="H296" s="3">
        <f t="shared" si="72"/>
        <v>4.4564571701732447</v>
      </c>
      <c r="I296" s="3">
        <f t="shared" si="73"/>
        <v>1.3483920588384044</v>
      </c>
      <c r="J296" s="3">
        <f t="shared" si="74"/>
        <v>-2.014825051755059</v>
      </c>
      <c r="K296" s="3">
        <f t="shared" si="75"/>
        <v>1.1360608384170621E-3</v>
      </c>
      <c r="L296" s="3" cm="1">
        <f t="array" ref="L296">lmb_2(F296)</f>
        <v>3715.2719064536759</v>
      </c>
      <c r="M296" s="3" cm="1">
        <f t="array" ref="M296">lmb_2(G296)</f>
        <v>604.91922418939237</v>
      </c>
      <c r="N296" s="3" cm="1">
        <f t="array" ref="N296">lmb_2(H296)</f>
        <v>3.271276802112026</v>
      </c>
      <c r="O296" s="3" cm="1">
        <f t="array" ref="O296">lmb_2(I296)</f>
        <v>1.181558082465199</v>
      </c>
      <c r="P296" s="3" cm="1">
        <f t="array" ref="P296">lmb_2(J296)</f>
        <v>0.11844886645834271</v>
      </c>
      <c r="R296" s="3">
        <f t="shared" si="76"/>
        <v>0.18705569338817871</v>
      </c>
      <c r="S296" s="3">
        <f t="shared" si="77"/>
        <v>10.470299157007529</v>
      </c>
      <c r="T296" s="3">
        <f t="shared" si="78"/>
        <v>516.37040700674186</v>
      </c>
      <c r="U296" s="3">
        <f t="shared" si="68"/>
        <v>3199.0523800952255</v>
      </c>
      <c r="V296" s="3">
        <f t="shared" si="69"/>
        <v>0</v>
      </c>
      <c r="W296" s="3">
        <f t="shared" si="79"/>
        <v>605.04595345305961</v>
      </c>
      <c r="Y296" s="3">
        <f t="shared" si="80"/>
        <v>4331.1272314662619</v>
      </c>
      <c r="AA296" s="3">
        <f t="shared" si="81"/>
        <v>13718.788350951303</v>
      </c>
      <c r="AB296" s="3">
        <f t="shared" si="82"/>
        <v>-117.12723146626195</v>
      </c>
      <c r="AD296" s="3">
        <f t="shared" si="83"/>
        <v>3.8405653519957411E-5</v>
      </c>
    </row>
    <row r="297" spans="3:30" x14ac:dyDescent="0.3">
      <c r="C297" s="22">
        <v>265</v>
      </c>
      <c r="D297" s="22">
        <v>4324</v>
      </c>
      <c r="F297" s="3">
        <f t="shared" si="70"/>
        <v>3751.7457909829677</v>
      </c>
      <c r="G297" s="3">
        <f t="shared" si="71"/>
        <v>615.95703933085929</v>
      </c>
      <c r="H297" s="3">
        <f t="shared" si="72"/>
        <v>4.4946330857453596</v>
      </c>
      <c r="I297" s="3">
        <f t="shared" si="73"/>
        <v>1.3587463548566627</v>
      </c>
      <c r="J297" s="3">
        <f t="shared" si="74"/>
        <v>-2.01428396516107</v>
      </c>
      <c r="K297" s="3">
        <f t="shared" si="75"/>
        <v>1.0696815735224633E-3</v>
      </c>
      <c r="L297" s="3" cm="1">
        <f t="array" ref="L297">lmb_2(F297)</f>
        <v>3743.5169112476624</v>
      </c>
      <c r="M297" s="3" cm="1">
        <f t="array" ref="M297">lmb_2(G297)</f>
        <v>609.5443276566798</v>
      </c>
      <c r="N297" s="3" cm="1">
        <f t="array" ref="N297">lmb_2(H297)</f>
        <v>3.3005453679209906</v>
      </c>
      <c r="O297" s="3" cm="1">
        <f t="array" ref="O297">lmb_2(I297)</f>
        <v>1.1871721881356727</v>
      </c>
      <c r="P297" s="3" cm="1">
        <f t="array" ref="P297">lmb_2(J297)</f>
        <v>0.11850618240581687</v>
      </c>
      <c r="R297" s="3">
        <f t="shared" si="76"/>
        <v>0.18494192278192384</v>
      </c>
      <c r="S297" s="3">
        <f t="shared" si="77"/>
        <v>10.351199072063885</v>
      </c>
      <c r="T297" s="3">
        <f t="shared" si="78"/>
        <v>510.23360970873961</v>
      </c>
      <c r="U297" s="3">
        <f t="shared" si="68"/>
        <v>3187.7809070201656</v>
      </c>
      <c r="V297" s="3">
        <f t="shared" si="69"/>
        <v>0</v>
      </c>
      <c r="W297" s="3">
        <f t="shared" si="79"/>
        <v>607.14840024644241</v>
      </c>
      <c r="Y297" s="3">
        <f t="shared" si="80"/>
        <v>4315.7001276517667</v>
      </c>
      <c r="AA297" s="3">
        <f t="shared" si="81"/>
        <v>68.887880996967638</v>
      </c>
      <c r="AB297" s="3">
        <f t="shared" si="82"/>
        <v>8.2998723482332935</v>
      </c>
      <c r="AD297" s="3">
        <f t="shared" si="83"/>
        <v>2.7215022303155981E-6</v>
      </c>
    </row>
    <row r="298" spans="3:30" x14ac:dyDescent="0.3">
      <c r="C298" s="22">
        <v>266</v>
      </c>
      <c r="D298" s="22">
        <v>4312</v>
      </c>
      <c r="F298" s="3">
        <f t="shared" si="70"/>
        <v>3780.1051771085004</v>
      </c>
      <c r="G298" s="3">
        <f t="shared" si="71"/>
        <v>620.60727454717664</v>
      </c>
      <c r="H298" s="3">
        <f t="shared" si="72"/>
        <v>4.5329533337014905</v>
      </c>
      <c r="I298" s="3">
        <f t="shared" si="73"/>
        <v>1.3691397975517385</v>
      </c>
      <c r="J298" s="3">
        <f t="shared" si="74"/>
        <v>-2.0137408328710733</v>
      </c>
      <c r="K298" s="3">
        <f t="shared" si="75"/>
        <v>1.0071808040912631E-3</v>
      </c>
      <c r="L298" s="3" cm="1">
        <f t="array" ref="L298">lmb_2(F298)</f>
        <v>3771.8687595826677</v>
      </c>
      <c r="M298" s="3" cm="1">
        <f t="array" ref="M298">lmb_2(G298)</f>
        <v>614.18697514560517</v>
      </c>
      <c r="N298" s="3" cm="1">
        <f t="array" ref="N298">lmb_2(H298)</f>
        <v>3.329985410846048</v>
      </c>
      <c r="O298" s="3" cm="1">
        <f t="array" ref="O298">lmb_2(I298)</f>
        <v>1.192819753014124</v>
      </c>
      <c r="P298" s="3" cm="1">
        <f t="array" ref="P298">lmb_2(J298)</f>
        <v>0.1185637399842754</v>
      </c>
      <c r="R298" s="3">
        <f t="shared" si="76"/>
        <v>0.18285989046451301</v>
      </c>
      <c r="S298" s="3">
        <f t="shared" si="77"/>
        <v>10.233900360793157</v>
      </c>
      <c r="T298" s="3">
        <f t="shared" si="78"/>
        <v>504.17963770023226</v>
      </c>
      <c r="U298" s="3">
        <f t="shared" si="68"/>
        <v>3176.4583075245532</v>
      </c>
      <c r="V298" s="3">
        <f t="shared" si="69"/>
        <v>0</v>
      </c>
      <c r="W298" s="3">
        <f t="shared" si="79"/>
        <v>609.2508470398252</v>
      </c>
      <c r="Y298" s="3">
        <f t="shared" si="80"/>
        <v>4300.3065596966726</v>
      </c>
      <c r="AA298" s="3">
        <f t="shared" si="81"/>
        <v>136.73654612748174</v>
      </c>
      <c r="AB298" s="3">
        <f t="shared" si="82"/>
        <v>11.693440303327407</v>
      </c>
      <c r="AD298" s="3">
        <f t="shared" si="83"/>
        <v>3.8342425678801939E-6</v>
      </c>
    </row>
    <row r="299" spans="3:30" x14ac:dyDescent="0.3">
      <c r="C299" s="22">
        <v>267</v>
      </c>
      <c r="D299" s="22">
        <v>4303</v>
      </c>
      <c r="F299" s="3">
        <f t="shared" si="70"/>
        <v>3808.5713782476878</v>
      </c>
      <c r="G299" s="3">
        <f t="shared" si="71"/>
        <v>625.27502477372468</v>
      </c>
      <c r="H299" s="3">
        <f t="shared" si="72"/>
        <v>4.5714179140416373</v>
      </c>
      <c r="I299" s="3">
        <f t="shared" si="73"/>
        <v>1.3795723869236323</v>
      </c>
      <c r="J299" s="3">
        <f t="shared" si="74"/>
        <v>-2.0131956548850694</v>
      </c>
      <c r="K299" s="3">
        <f t="shared" si="75"/>
        <v>9.4833191226194617E-4</v>
      </c>
      <c r="L299" s="3" cm="1">
        <f t="array" ref="L299">lmb_2(F299)</f>
        <v>3800.3274512443327</v>
      </c>
      <c r="M299" s="3" cm="1">
        <f t="array" ref="M299">lmb_2(G299)</f>
        <v>618.84716643550735</v>
      </c>
      <c r="N299" s="3" cm="1">
        <f t="array" ref="N299">lmb_2(H299)</f>
        <v>3.3595969134871191</v>
      </c>
      <c r="O299" s="3" cm="1">
        <f t="array" ref="O299">lmb_2(I299)</f>
        <v>1.1985008787900258</v>
      </c>
      <c r="P299" s="3" cm="1">
        <f t="array" ref="P299">lmb_2(J299)</f>
        <v>0.11862153948432975</v>
      </c>
      <c r="R299" s="3">
        <f t="shared" si="76"/>
        <v>0.18080900281573806</v>
      </c>
      <c r="S299" s="3">
        <f t="shared" si="77"/>
        <v>10.118369067533608</v>
      </c>
      <c r="T299" s="3">
        <f t="shared" si="78"/>
        <v>498.20740744426905</v>
      </c>
      <c r="U299" s="3">
        <f t="shared" si="68"/>
        <v>3165.0861888897284</v>
      </c>
      <c r="V299" s="3">
        <f t="shared" si="69"/>
        <v>0</v>
      </c>
      <c r="W299" s="3">
        <f t="shared" si="79"/>
        <v>611.35329383320811</v>
      </c>
      <c r="Y299" s="3">
        <f t="shared" si="80"/>
        <v>4284.9470165694675</v>
      </c>
      <c r="AA299" s="3">
        <f t="shared" si="81"/>
        <v>325.91021074308276</v>
      </c>
      <c r="AB299" s="3">
        <f t="shared" si="82"/>
        <v>18.052983430532549</v>
      </c>
      <c r="AD299" s="3">
        <f t="shared" si="83"/>
        <v>5.9195169044380449E-6</v>
      </c>
    </row>
    <row r="300" spans="3:30" x14ac:dyDescent="0.3">
      <c r="C300" s="22">
        <v>268</v>
      </c>
      <c r="D300" s="22">
        <v>4323</v>
      </c>
      <c r="F300" s="3">
        <f t="shared" si="70"/>
        <v>3837.1443944005314</v>
      </c>
      <c r="G300" s="3">
        <f t="shared" si="71"/>
        <v>629.96029001050408</v>
      </c>
      <c r="H300" s="3">
        <f t="shared" si="72"/>
        <v>4.6100268267658011</v>
      </c>
      <c r="I300" s="3">
        <f t="shared" si="73"/>
        <v>1.3900441229723435</v>
      </c>
      <c r="J300" s="3">
        <f t="shared" si="74"/>
        <v>-2.0126484312030581</v>
      </c>
      <c r="K300" s="3">
        <f t="shared" si="75"/>
        <v>8.9292152130106695E-4</v>
      </c>
      <c r="L300" s="3" cm="1">
        <f t="array" ref="L300">lmb_2(F300)</f>
        <v>3828.8929860207104</v>
      </c>
      <c r="M300" s="3" cm="1">
        <f t="array" ref="M300">lmb_2(G300)</f>
        <v>623.52490130823719</v>
      </c>
      <c r="N300" s="3" cm="1">
        <f t="array" ref="N300">lmb_2(H300)</f>
        <v>3.3893798555684445</v>
      </c>
      <c r="O300" s="3" cm="1">
        <f t="array" ref="O300">lmb_2(I300)</f>
        <v>1.2042156668423709</v>
      </c>
      <c r="P300" s="3" cm="1">
        <f t="array" ref="P300">lmb_2(J300)</f>
        <v>0.11867958119784329</v>
      </c>
      <c r="R300" s="3">
        <f t="shared" si="76"/>
        <v>0.17878867949229604</v>
      </c>
      <c r="S300" s="3">
        <f t="shared" si="77"/>
        <v>10.004572002277769</v>
      </c>
      <c r="T300" s="3">
        <f t="shared" si="78"/>
        <v>492.31584431407731</v>
      </c>
      <c r="U300" s="3">
        <f t="shared" si="68"/>
        <v>3153.6661448942914</v>
      </c>
      <c r="V300" s="3">
        <f t="shared" si="69"/>
        <v>0</v>
      </c>
      <c r="W300" s="3">
        <f t="shared" si="79"/>
        <v>613.45574062659091</v>
      </c>
      <c r="Y300" s="3">
        <f t="shared" si="80"/>
        <v>4269.6219834382509</v>
      </c>
      <c r="AA300" s="3">
        <f t="shared" si="81"/>
        <v>2849.2126520663574</v>
      </c>
      <c r="AB300" s="3">
        <f t="shared" si="82"/>
        <v>53.378016561749064</v>
      </c>
      <c r="AD300" s="3">
        <f t="shared" si="83"/>
        <v>1.7502484981415981E-5</v>
      </c>
    </row>
    <row r="301" spans="3:30" x14ac:dyDescent="0.3">
      <c r="C301" s="22">
        <v>269</v>
      </c>
      <c r="D301" s="22">
        <v>4216</v>
      </c>
      <c r="F301" s="3">
        <f t="shared" si="70"/>
        <v>3865.8242255670298</v>
      </c>
      <c r="G301" s="3">
        <f t="shared" si="71"/>
        <v>634.66307025751405</v>
      </c>
      <c r="H301" s="3">
        <f t="shared" si="72"/>
        <v>4.6487800718739782</v>
      </c>
      <c r="I301" s="3">
        <f t="shared" si="73"/>
        <v>1.4005550056978717</v>
      </c>
      <c r="J301" s="3">
        <f t="shared" si="74"/>
        <v>-2.0120991618250388</v>
      </c>
      <c r="K301" s="3">
        <f t="shared" si="75"/>
        <v>8.4074872193310541E-4</v>
      </c>
      <c r="L301" s="3" cm="1">
        <f t="array" ref="L301">lmb_2(F301)</f>
        <v>3857.5653637022201</v>
      </c>
      <c r="M301" s="3" cm="1">
        <f t="array" ref="M301">lmb_2(G301)</f>
        <v>628.22017954811724</v>
      </c>
      <c r="N301" s="3" cm="1">
        <f t="array" ref="N301">lmb_2(H301)</f>
        <v>3.4193342140154477</v>
      </c>
      <c r="O301" s="3" cm="1">
        <f t="array" ref="O301">lmb_2(I301)</f>
        <v>1.2099642182339516</v>
      </c>
      <c r="P301" s="3" cm="1">
        <f t="array" ref="P301">lmb_2(J301)</f>
        <v>0.11873786541793338</v>
      </c>
      <c r="R301" s="3">
        <f t="shared" si="76"/>
        <v>0.17679835308256062</v>
      </c>
      <c r="S301" s="3">
        <f t="shared" si="77"/>
        <v>9.8924767205969495</v>
      </c>
      <c r="T301" s="3">
        <f t="shared" si="78"/>
        <v>486.50388278437026</v>
      </c>
      <c r="U301" s="3">
        <f t="shared" si="68"/>
        <v>3142.1997556906335</v>
      </c>
      <c r="V301" s="3">
        <f t="shared" si="69"/>
        <v>0</v>
      </c>
      <c r="W301" s="3">
        <f t="shared" si="79"/>
        <v>615.55818741997371</v>
      </c>
      <c r="Y301" s="3">
        <f t="shared" si="80"/>
        <v>4254.3319417173789</v>
      </c>
      <c r="AA301" s="3">
        <f t="shared" si="81"/>
        <v>1469.3377558245304</v>
      </c>
      <c r="AB301" s="3">
        <f t="shared" si="82"/>
        <v>-38.331941717378868</v>
      </c>
      <c r="AD301" s="3">
        <f t="shared" si="83"/>
        <v>1.2568924014642189E-5</v>
      </c>
    </row>
    <row r="302" spans="3:30" x14ac:dyDescent="0.3">
      <c r="C302" s="22">
        <v>270</v>
      </c>
      <c r="D302" s="22">
        <v>4070</v>
      </c>
      <c r="F302" s="3">
        <f t="shared" si="70"/>
        <v>3894.6108717471834</v>
      </c>
      <c r="G302" s="3">
        <f t="shared" si="71"/>
        <v>639.38336551475504</v>
      </c>
      <c r="H302" s="3">
        <f t="shared" si="72"/>
        <v>4.6876776493661714</v>
      </c>
      <c r="I302" s="3">
        <f t="shared" si="73"/>
        <v>1.4111050351002188</v>
      </c>
      <c r="J302" s="3">
        <f t="shared" si="74"/>
        <v>-2.0115478467510122</v>
      </c>
      <c r="K302" s="3">
        <f t="shared" si="75"/>
        <v>7.9162434387536524E-4</v>
      </c>
      <c r="L302" s="3" cm="1">
        <f t="array" ref="L302">lmb_2(F302)</f>
        <v>3886.3445840816207</v>
      </c>
      <c r="M302" s="3" cm="1">
        <f t="array" ref="M302">lmb_2(G302)</f>
        <v>632.93300094190636</v>
      </c>
      <c r="N302" s="3" cm="1">
        <f t="array" ref="N302">lmb_2(H302)</f>
        <v>3.4494599630303555</v>
      </c>
      <c r="O302" s="3" cm="1">
        <f t="array" ref="O302">lmb_2(I302)</f>
        <v>1.2157466337056928</v>
      </c>
      <c r="P302" s="3" cm="1">
        <f t="array" ref="P302">lmb_2(J302)</f>
        <v>0.11879639243897254</v>
      </c>
      <c r="R302" s="3">
        <f t="shared" si="76"/>
        <v>0.17483746877157469</v>
      </c>
      <c r="S302" s="3">
        <f t="shared" si="77"/>
        <v>9.7820515041651301</v>
      </c>
      <c r="T302" s="3">
        <f t="shared" si="78"/>
        <v>480.77046660777455</v>
      </c>
      <c r="U302" s="3">
        <f t="shared" si="68"/>
        <v>3130.6885876866959</v>
      </c>
      <c r="V302" s="3">
        <f t="shared" si="69"/>
        <v>0</v>
      </c>
      <c r="W302" s="3">
        <f t="shared" si="79"/>
        <v>617.6606342133565</v>
      </c>
      <c r="Y302" s="3">
        <f t="shared" si="80"/>
        <v>4239.0773691051081</v>
      </c>
      <c r="AA302" s="3">
        <f t="shared" si="81"/>
        <v>28587.156743504969</v>
      </c>
      <c r="AB302" s="3">
        <f t="shared" si="82"/>
        <v>-169.07736910510812</v>
      </c>
      <c r="AD302" s="3">
        <f t="shared" si="83"/>
        <v>5.5439941460472152E-5</v>
      </c>
    </row>
    <row r="303" spans="3:30" x14ac:dyDescent="0.3">
      <c r="C303" s="22">
        <v>271</v>
      </c>
      <c r="D303" s="22">
        <v>4165</v>
      </c>
      <c r="F303" s="3">
        <f t="shared" si="70"/>
        <v>3923.5043329409937</v>
      </c>
      <c r="G303" s="3">
        <f t="shared" si="71"/>
        <v>644.12117578222717</v>
      </c>
      <c r="H303" s="3">
        <f t="shared" si="72"/>
        <v>4.7267195592423796</v>
      </c>
      <c r="I303" s="3">
        <f t="shared" si="73"/>
        <v>1.421694211179382</v>
      </c>
      <c r="J303" s="3">
        <f t="shared" si="74"/>
        <v>-2.0109944859809783</v>
      </c>
      <c r="K303" s="3">
        <f t="shared" si="75"/>
        <v>7.453702699365671E-4</v>
      </c>
      <c r="L303" s="3" cm="1">
        <f t="array" ref="L303">lmb_2(F303)</f>
        <v>3915.2306469539731</v>
      </c>
      <c r="M303" s="3" cm="1">
        <f t="array" ref="M303">lmb_2(G303)</f>
        <v>637.66336527876263</v>
      </c>
      <c r="N303" s="3" cm="1">
        <f t="array" ref="N303">lmb_2(H303)</f>
        <v>3.4797570741665482</v>
      </c>
      <c r="O303" s="3" cm="1">
        <f t="array" ref="O303">lmb_2(I303)</f>
        <v>1.2215630136710465</v>
      </c>
      <c r="P303" s="3" cm="1">
        <f t="array" ref="P303">lmb_2(J303)</f>
        <v>0.11885516255659091</v>
      </c>
      <c r="R303" s="3">
        <f t="shared" si="76"/>
        <v>0.17290548401592817</v>
      </c>
      <c r="S303" s="3">
        <f t="shared" si="77"/>
        <v>9.673265341862372</v>
      </c>
      <c r="T303" s="3">
        <f t="shared" si="78"/>
        <v>475.11454897696007</v>
      </c>
      <c r="U303" s="3">
        <f t="shared" si="68"/>
        <v>3119.1341934328998</v>
      </c>
      <c r="V303" s="3">
        <f t="shared" si="69"/>
        <v>0</v>
      </c>
      <c r="W303" s="3">
        <f t="shared" si="79"/>
        <v>619.7630810067393</v>
      </c>
      <c r="Y303" s="3">
        <f t="shared" si="80"/>
        <v>4223.8587396127477</v>
      </c>
      <c r="AA303" s="3">
        <f t="shared" si="81"/>
        <v>3464.3512288012398</v>
      </c>
      <c r="AB303" s="3">
        <f t="shared" si="82"/>
        <v>-58.85873961274774</v>
      </c>
      <c r="AD303" s="3">
        <f t="shared" si="83"/>
        <v>1.9299596958711629E-5</v>
      </c>
    </row>
    <row r="304" spans="3:30" x14ac:dyDescent="0.3">
      <c r="C304" s="22">
        <v>272</v>
      </c>
      <c r="D304" s="22">
        <v>4078</v>
      </c>
      <c r="F304" s="3">
        <f t="shared" si="70"/>
        <v>3952.5046091484583</v>
      </c>
      <c r="G304" s="3">
        <f t="shared" si="71"/>
        <v>648.87650105993009</v>
      </c>
      <c r="H304" s="3">
        <f t="shared" si="72"/>
        <v>4.7659058015026048</v>
      </c>
      <c r="I304" s="3">
        <f t="shared" si="73"/>
        <v>1.432322533935364</v>
      </c>
      <c r="J304" s="3">
        <f t="shared" si="74"/>
        <v>-2.0104390795149367</v>
      </c>
      <c r="K304" s="3">
        <f t="shared" si="75"/>
        <v>7.0181879019221005E-4</v>
      </c>
      <c r="L304" s="3" cm="1">
        <f t="array" ref="L304">lmb_2(F304)</f>
        <v>3944.2235521166026</v>
      </c>
      <c r="M304" s="3" cm="1">
        <f t="array" ref="M304">lmb_2(G304)</f>
        <v>642.41127235020645</v>
      </c>
      <c r="N304" s="3" cm="1">
        <f t="array" ref="N304">lmb_2(H304)</f>
        <v>3.5102255164016682</v>
      </c>
      <c r="O304" s="3" cm="1">
        <f t="array" ref="O304">lmb_2(I304)</f>
        <v>1.2274134582104519</v>
      </c>
      <c r="P304" s="3" cm="1">
        <f t="array" ref="P304">lmb_2(J304)</f>
        <v>0.11891417606767779</v>
      </c>
      <c r="R304" s="3">
        <f t="shared" si="76"/>
        <v>0.17100186822819233</v>
      </c>
      <c r="S304" s="3">
        <f t="shared" si="77"/>
        <v>9.5660879114383874</v>
      </c>
      <c r="T304" s="3">
        <f t="shared" si="78"/>
        <v>469.53509267302638</v>
      </c>
      <c r="U304" s="3">
        <f t="shared" si="68"/>
        <v>3107.5381115141972</v>
      </c>
      <c r="V304" s="3">
        <f t="shared" si="69"/>
        <v>0</v>
      </c>
      <c r="W304" s="3">
        <f t="shared" si="79"/>
        <v>621.86552780012209</v>
      </c>
      <c r="Y304" s="3">
        <f t="shared" si="80"/>
        <v>4208.676523585802</v>
      </c>
      <c r="AA304" s="3">
        <f t="shared" si="81"/>
        <v>17076.353816470662</v>
      </c>
      <c r="AB304" s="3">
        <f t="shared" si="82"/>
        <v>-130.67652358580199</v>
      </c>
      <c r="AD304" s="3">
        <f t="shared" si="83"/>
        <v>4.2848424104299572E-5</v>
      </c>
    </row>
    <row r="305" spans="3:30" x14ac:dyDescent="0.3">
      <c r="C305" s="22">
        <v>273</v>
      </c>
      <c r="D305" s="22">
        <v>4037</v>
      </c>
      <c r="F305" s="3">
        <f t="shared" si="70"/>
        <v>3981.6117003695786</v>
      </c>
      <c r="G305" s="3">
        <f t="shared" si="71"/>
        <v>653.64934134786392</v>
      </c>
      <c r="H305" s="3">
        <f t="shared" si="72"/>
        <v>4.8052363761468442</v>
      </c>
      <c r="I305" s="3">
        <f t="shared" si="73"/>
        <v>1.4429900033681631</v>
      </c>
      <c r="J305" s="3">
        <f t="shared" si="74"/>
        <v>-2.0098816273528874</v>
      </c>
      <c r="K305" s="3">
        <f t="shared" si="75"/>
        <v>6.6081199389502691E-4</v>
      </c>
      <c r="L305" s="3" cm="1">
        <f t="array" ref="L305">lmb_2(F305)</f>
        <v>3973.3232993690713</v>
      </c>
      <c r="M305" s="3" cm="1">
        <f t="array" ref="M305">lmb_2(G305)</f>
        <v>647.17672195008709</v>
      </c>
      <c r="N305" s="3" cm="1">
        <f t="array" ref="N305">lmb_2(H305)</f>
        <v>3.5408652562094702</v>
      </c>
      <c r="O305" s="3" cm="1">
        <f t="array" ref="O305">lmb_2(I305)</f>
        <v>1.2332980670658502</v>
      </c>
      <c r="P305" s="3" cm="1">
        <f t="array" ref="P305">lmb_2(J305)</f>
        <v>0.11897343327038344</v>
      </c>
      <c r="R305" s="3">
        <f t="shared" si="76"/>
        <v>0.16912610247059556</v>
      </c>
      <c r="S305" s="3">
        <f t="shared" si="77"/>
        <v>9.4604895617175515</v>
      </c>
      <c r="T305" s="3">
        <f t="shared" si="78"/>
        <v>464.03107020069569</v>
      </c>
      <c r="U305" s="3">
        <f t="shared" si="68"/>
        <v>3095.9018664472342</v>
      </c>
      <c r="V305" s="3">
        <f t="shared" si="69"/>
        <v>0</v>
      </c>
      <c r="W305" s="3">
        <f t="shared" si="79"/>
        <v>623.96797459350489</v>
      </c>
      <c r="Y305" s="3">
        <f t="shared" si="80"/>
        <v>4193.5311877176164</v>
      </c>
      <c r="AA305" s="3">
        <f t="shared" si="81"/>
        <v>24502.012728287657</v>
      </c>
      <c r="AB305" s="3">
        <f t="shared" si="82"/>
        <v>-156.53118771761638</v>
      </c>
      <c r="AD305" s="3">
        <f t="shared" si="83"/>
        <v>5.1326087753400286E-5</v>
      </c>
    </row>
    <row r="306" spans="3:30" x14ac:dyDescent="0.3">
      <c r="C306" s="22">
        <v>274</v>
      </c>
      <c r="D306" s="22">
        <v>4113</v>
      </c>
      <c r="F306" s="3">
        <f t="shared" si="70"/>
        <v>4010.825606604355</v>
      </c>
      <c r="G306" s="3">
        <f t="shared" si="71"/>
        <v>658.43969664602889</v>
      </c>
      <c r="H306" s="3">
        <f t="shared" si="72"/>
        <v>4.8447112831750996</v>
      </c>
      <c r="I306" s="3">
        <f t="shared" si="73"/>
        <v>1.4536966194777801</v>
      </c>
      <c r="J306" s="3">
        <f t="shared" si="74"/>
        <v>-2.0093221294948309</v>
      </c>
      <c r="K306" s="3">
        <f t="shared" si="75"/>
        <v>6.222011969156992E-4</v>
      </c>
      <c r="L306" s="3" cm="1">
        <f t="array" ref="L306">lmb_2(F306)</f>
        <v>4002.5298885131433</v>
      </c>
      <c r="M306" s="3" cm="1">
        <f t="array" ref="M306">lmb_2(G306)</f>
        <v>651.95971387454722</v>
      </c>
      <c r="N306" s="3" cm="1">
        <f t="array" ref="N306">lmb_2(H306)</f>
        <v>3.5716762576304379</v>
      </c>
      <c r="O306" s="3" cm="1">
        <f t="array" ref="O306">lmb_2(I306)</f>
        <v>1.239216939635269</v>
      </c>
      <c r="P306" s="3" cm="1">
        <f t="array" ref="P306">lmb_2(J306)</f>
        <v>0.11903293446412082</v>
      </c>
      <c r="R306" s="3">
        <f t="shared" si="76"/>
        <v>0.16727767915763808</v>
      </c>
      <c r="S306" s="3">
        <f t="shared" si="77"/>
        <v>9.3564412953275653</v>
      </c>
      <c r="T306" s="3">
        <f t="shared" si="78"/>
        <v>458.60146391084038</v>
      </c>
      <c r="U306" s="3">
        <f t="shared" si="68"/>
        <v>3084.2269685825486</v>
      </c>
      <c r="V306" s="3">
        <f t="shared" si="69"/>
        <v>0</v>
      </c>
      <c r="W306" s="3">
        <f t="shared" si="79"/>
        <v>626.07042138688769</v>
      </c>
      <c r="Y306" s="3">
        <f t="shared" si="80"/>
        <v>4178.4231950559588</v>
      </c>
      <c r="AA306" s="3">
        <f t="shared" si="81"/>
        <v>4280.1944513300305</v>
      </c>
      <c r="AB306" s="3">
        <f t="shared" si="82"/>
        <v>-65.423195055958786</v>
      </c>
      <c r="AD306" s="3">
        <f t="shared" si="83"/>
        <v>2.1452061403939995E-5</v>
      </c>
    </row>
    <row r="307" spans="3:30" x14ac:dyDescent="0.3">
      <c r="C307" s="22">
        <v>275</v>
      </c>
      <c r="D307" s="22">
        <v>4146</v>
      </c>
      <c r="F307" s="3">
        <f t="shared" si="70"/>
        <v>4040.1463278527863</v>
      </c>
      <c r="G307" s="3">
        <f t="shared" si="71"/>
        <v>663.24756695442466</v>
      </c>
      <c r="H307" s="3">
        <f t="shared" si="72"/>
        <v>4.8843305225873701</v>
      </c>
      <c r="I307" s="3">
        <f t="shared" si="73"/>
        <v>1.4644423822642145</v>
      </c>
      <c r="J307" s="3">
        <f t="shared" si="74"/>
        <v>-2.0087605859407667</v>
      </c>
      <c r="K307" s="3">
        <f t="shared" si="75"/>
        <v>5.8584640263782315E-4</v>
      </c>
      <c r="L307" s="3" cm="1">
        <f t="array" ref="L307">lmb_2(F307)</f>
        <v>4031.8433193527499</v>
      </c>
      <c r="M307" s="3" cm="1">
        <f t="array" ref="M307">lmb_2(G307)</f>
        <v>656.76024792198837</v>
      </c>
      <c r="N307" s="3" cm="1">
        <f t="array" ref="N307">lmb_2(H307)</f>
        <v>3.6026584823411469</v>
      </c>
      <c r="O307" s="3" cm="1">
        <f t="array" ref="O307">lmb_2(I307)</f>
        <v>1.2451701749674662</v>
      </c>
      <c r="P307" s="3" cm="1">
        <f t="array" ref="P307">lmb_2(J307)</f>
        <v>0.11909267994956771</v>
      </c>
      <c r="R307" s="3">
        <f t="shared" si="76"/>
        <v>0.16545610176735234</v>
      </c>
      <c r="S307" s="3">
        <f t="shared" si="77"/>
        <v>9.2539147519344347</v>
      </c>
      <c r="T307" s="3">
        <f t="shared" si="78"/>
        <v>453.24526611086736</v>
      </c>
      <c r="U307" s="3">
        <f t="shared" si="68"/>
        <v>3072.5149140117874</v>
      </c>
      <c r="V307" s="3">
        <f t="shared" si="69"/>
        <v>0</v>
      </c>
      <c r="W307" s="3">
        <f t="shared" si="79"/>
        <v>628.17286818027048</v>
      </c>
      <c r="Y307" s="3">
        <f t="shared" si="80"/>
        <v>4163.3530050030295</v>
      </c>
      <c r="AA307" s="3">
        <f t="shared" si="81"/>
        <v>301.12678263516568</v>
      </c>
      <c r="AB307" s="3">
        <f t="shared" si="82"/>
        <v>-17.353005003029466</v>
      </c>
      <c r="AD307" s="3">
        <f t="shared" si="83"/>
        <v>5.6899961634319566E-6</v>
      </c>
    </row>
    <row r="308" spans="3:30" x14ac:dyDescent="0.3">
      <c r="C308" s="22">
        <v>276</v>
      </c>
      <c r="D308" s="22">
        <v>4085</v>
      </c>
      <c r="F308" s="3">
        <f t="shared" si="70"/>
        <v>4069.5738641148741</v>
      </c>
      <c r="G308" s="3">
        <f t="shared" si="71"/>
        <v>668.07295227305144</v>
      </c>
      <c r="H308" s="3">
        <f t="shared" si="72"/>
        <v>4.9240940943836558</v>
      </c>
      <c r="I308" s="3">
        <f t="shared" si="73"/>
        <v>1.4752272917274665</v>
      </c>
      <c r="J308" s="3">
        <f t="shared" si="74"/>
        <v>-2.0081969966906947</v>
      </c>
      <c r="K308" s="3">
        <f t="shared" si="75"/>
        <v>5.516157943524177E-4</v>
      </c>
      <c r="L308" s="3" cm="1">
        <f t="array" ref="L308">lmb_2(F308)</f>
        <v>4061.263591693963</v>
      </c>
      <c r="M308" s="3" cm="1">
        <f t="array" ref="M308">lmb_2(G308)</f>
        <v>661.57832389303917</v>
      </c>
      <c r="N308" s="3" cm="1">
        <f t="array" ref="N308">lmb_2(H308)</f>
        <v>3.6338118897223994</v>
      </c>
      <c r="O308" s="3" cm="1">
        <f t="array" ref="O308">lmb_2(I308)</f>
        <v>1.2511578717566405</v>
      </c>
      <c r="P308" s="3" cm="1">
        <f t="array" ref="P308">lmb_2(J308)</f>
        <v>0.11915267002866828</v>
      </c>
      <c r="R308" s="3">
        <f t="shared" si="76"/>
        <v>0.163660884560928</v>
      </c>
      <c r="S308" s="3">
        <f t="shared" si="77"/>
        <v>9.1528821919670573</v>
      </c>
      <c r="T308" s="3">
        <f t="shared" si="78"/>
        <v>447.96147916345819</v>
      </c>
      <c r="U308" s="3">
        <f t="shared" si="68"/>
        <v>3060.767184479877</v>
      </c>
      <c r="V308" s="3">
        <f t="shared" si="69"/>
        <v>0</v>
      </c>
      <c r="W308" s="3">
        <f t="shared" si="79"/>
        <v>630.27531497365328</v>
      </c>
      <c r="Y308" s="3">
        <f t="shared" si="80"/>
        <v>4148.321073309311</v>
      </c>
      <c r="AA308" s="3">
        <f t="shared" si="81"/>
        <v>4009.5583250431418</v>
      </c>
      <c r="AB308" s="3">
        <f t="shared" si="82"/>
        <v>-63.321073309311032</v>
      </c>
      <c r="AD308" s="3">
        <f t="shared" si="83"/>
        <v>2.0762782246156978E-5</v>
      </c>
    </row>
    <row r="309" spans="3:30" x14ac:dyDescent="0.3">
      <c r="C309" s="22">
        <v>277</v>
      </c>
      <c r="D309" s="22">
        <v>4072</v>
      </c>
      <c r="F309" s="3">
        <f t="shared" si="70"/>
        <v>4099.1082153906164</v>
      </c>
      <c r="G309" s="3">
        <f t="shared" si="71"/>
        <v>672.91585260190914</v>
      </c>
      <c r="H309" s="3">
        <f t="shared" si="72"/>
        <v>4.9640019985639583</v>
      </c>
      <c r="I309" s="3">
        <f t="shared" si="73"/>
        <v>1.4860513478675363</v>
      </c>
      <c r="J309" s="3">
        <f t="shared" si="74"/>
        <v>-2.0076313617446155</v>
      </c>
      <c r="K309" s="3">
        <f t="shared" si="75"/>
        <v>5.1938525731147673E-4</v>
      </c>
      <c r="L309" s="3" cm="1">
        <f t="array" ref="L309">lmb_2(F309)</f>
        <v>4090.790705344958</v>
      </c>
      <c r="M309" s="3" cm="1">
        <f t="array" ref="M309">lmb_2(G309)</f>
        <v>666.41394159052129</v>
      </c>
      <c r="N309" s="3" cm="1">
        <f t="array" ref="N309">lmb_2(H309)</f>
        <v>3.6651364369261286</v>
      </c>
      <c r="O309" s="3" cm="1">
        <f t="array" ref="O309">lmb_2(I309)</f>
        <v>1.2571801283372077</v>
      </c>
      <c r="P309" s="3" cm="1">
        <f t="array" ref="P309">lmb_2(J309)</f>
        <v>0.11921290500463497</v>
      </c>
      <c r="R309" s="3">
        <f t="shared" si="76"/>
        <v>0.16189155231042954</v>
      </c>
      <c r="S309" s="3">
        <f t="shared" si="77"/>
        <v>9.0533164808155444</v>
      </c>
      <c r="T309" s="3">
        <f t="shared" si="78"/>
        <v>442.74911557415521</v>
      </c>
      <c r="U309" s="3">
        <f t="shared" si="68"/>
        <v>3048.9852473021101</v>
      </c>
      <c r="V309" s="3">
        <f t="shared" si="69"/>
        <v>0</v>
      </c>
      <c r="W309" s="3">
        <f t="shared" si="79"/>
        <v>632.37776176703608</v>
      </c>
      <c r="Y309" s="3">
        <f t="shared" si="80"/>
        <v>4133.327852061685</v>
      </c>
      <c r="AA309" s="3">
        <f t="shared" si="81"/>
        <v>3761.105438499922</v>
      </c>
      <c r="AB309" s="3">
        <f t="shared" si="82"/>
        <v>-61.327852061685007</v>
      </c>
      <c r="AD309" s="3">
        <f t="shared" si="83"/>
        <v>2.0109211222009681E-5</v>
      </c>
    </row>
    <row r="310" spans="3:30" x14ac:dyDescent="0.3">
      <c r="C310" s="22">
        <v>278</v>
      </c>
      <c r="D310" s="22">
        <v>4107</v>
      </c>
      <c r="F310" s="3">
        <f t="shared" si="70"/>
        <v>4128.7493816800134</v>
      </c>
      <c r="G310" s="3">
        <f t="shared" si="71"/>
        <v>677.77626794099774</v>
      </c>
      <c r="H310" s="3">
        <f t="shared" si="72"/>
        <v>5.004054235128276</v>
      </c>
      <c r="I310" s="3">
        <f t="shared" si="73"/>
        <v>1.4969145506844233</v>
      </c>
      <c r="J310" s="3">
        <f t="shared" si="74"/>
        <v>-2.0070636811025291</v>
      </c>
      <c r="K310" s="3">
        <f t="shared" si="75"/>
        <v>4.8903792870760919E-4</v>
      </c>
      <c r="L310" s="3" cm="1">
        <f t="array" ref="L310">lmb_2(F310)</f>
        <v>4120.4246601159894</v>
      </c>
      <c r="M310" s="3" cm="1">
        <f t="array" ref="M310">lmb_2(G310)</f>
        <v>671.26710081941815</v>
      </c>
      <c r="N310" s="3" cm="1">
        <f t="array" ref="N310">lmb_2(H310)</f>
        <v>3.6966320789410725</v>
      </c>
      <c r="O310" s="3" cm="1">
        <f t="array" ref="O310">lmb_2(I310)</f>
        <v>1.2632370426786408</v>
      </c>
      <c r="P310" s="3" cm="1">
        <f t="array" ref="P310">lmb_2(J310)</f>
        <v>0.11927338518195049</v>
      </c>
      <c r="R310" s="3">
        <f t="shared" si="76"/>
        <v>0.16014764003434379</v>
      </c>
      <c r="S310" s="3">
        <f t="shared" si="77"/>
        <v>8.9551910734876579</v>
      </c>
      <c r="T310" s="3">
        <f t="shared" si="78"/>
        <v>437.60719806827262</v>
      </c>
      <c r="U310" s="3">
        <f t="shared" si="68"/>
        <v>3037.1705552861099</v>
      </c>
      <c r="V310" s="3">
        <f t="shared" si="69"/>
        <v>0</v>
      </c>
      <c r="W310" s="3">
        <f t="shared" si="79"/>
        <v>634.48020856041887</v>
      </c>
      <c r="Y310" s="3">
        <f t="shared" si="80"/>
        <v>4118.3737896662524</v>
      </c>
      <c r="AA310" s="3">
        <f t="shared" si="81"/>
        <v>129.36309137214937</v>
      </c>
      <c r="AB310" s="3">
        <f t="shared" si="82"/>
        <v>-11.373789666252378</v>
      </c>
      <c r="AD310" s="3">
        <f t="shared" si="83"/>
        <v>3.7294301219506294E-6</v>
      </c>
    </row>
    <row r="311" spans="3:30" x14ac:dyDescent="0.3">
      <c r="C311" s="22">
        <v>279</v>
      </c>
      <c r="D311" s="22">
        <v>4113</v>
      </c>
      <c r="F311" s="3">
        <f t="shared" si="70"/>
        <v>4158.4973629830674</v>
      </c>
      <c r="G311" s="3">
        <f t="shared" si="71"/>
        <v>682.65419829031748</v>
      </c>
      <c r="H311" s="3">
        <f t="shared" si="72"/>
        <v>5.0442508040766088</v>
      </c>
      <c r="I311" s="3">
        <f t="shared" si="73"/>
        <v>1.5078169001781281</v>
      </c>
      <c r="J311" s="3">
        <f t="shared" si="74"/>
        <v>-2.0064939547644345</v>
      </c>
      <c r="K311" s="3">
        <f t="shared" si="75"/>
        <v>4.604637739480635E-4</v>
      </c>
      <c r="L311" s="3" cm="1">
        <f t="array" ref="L311">lmb_2(F311)</f>
        <v>4150.1654558193595</v>
      </c>
      <c r="M311" s="3" cm="1">
        <f t="array" ref="M311">lmb_2(G311)</f>
        <v>676.13780138684331</v>
      </c>
      <c r="N311" s="3" cm="1">
        <f t="array" ref="N311">lmb_2(H311)</f>
        <v>3.728298768657246</v>
      </c>
      <c r="O311" s="3" cm="1">
        <f t="array" ref="O311">lmb_2(I311)</f>
        <v>1.2693287123803794</v>
      </c>
      <c r="P311" s="3" cm="1">
        <f t="array" ref="P311">lmb_2(J311)</f>
        <v>0.11933411086636965</v>
      </c>
      <c r="R311" s="3">
        <f t="shared" si="76"/>
        <v>0.15842869274070664</v>
      </c>
      <c r="S311" s="3">
        <f t="shared" si="77"/>
        <v>8.8584799997085728</v>
      </c>
      <c r="T311" s="3">
        <f t="shared" si="78"/>
        <v>432.5347596575856</v>
      </c>
      <c r="U311" s="3">
        <f t="shared" si="68"/>
        <v>3025.3245466586013</v>
      </c>
      <c r="V311" s="3">
        <f t="shared" si="69"/>
        <v>0</v>
      </c>
      <c r="W311" s="3">
        <f t="shared" si="79"/>
        <v>636.58265535380167</v>
      </c>
      <c r="Y311" s="3">
        <f t="shared" si="80"/>
        <v>4103.459330826212</v>
      </c>
      <c r="AA311" s="3">
        <f t="shared" si="81"/>
        <v>91.024368283669489</v>
      </c>
      <c r="AB311" s="3">
        <f t="shared" si="82"/>
        <v>9.5406691737880465</v>
      </c>
      <c r="AD311" s="3">
        <f t="shared" si="83"/>
        <v>3.1283556355772543E-6</v>
      </c>
    </row>
    <row r="312" spans="3:30" x14ac:dyDescent="0.3">
      <c r="C312" s="22">
        <v>280</v>
      </c>
      <c r="D312" s="22">
        <v>4023</v>
      </c>
      <c r="F312" s="3">
        <f t="shared" si="70"/>
        <v>4188.3521592997768</v>
      </c>
      <c r="G312" s="3">
        <f t="shared" si="71"/>
        <v>687.5496436498679</v>
      </c>
      <c r="H312" s="3">
        <f t="shared" si="72"/>
        <v>5.0845917054089602</v>
      </c>
      <c r="I312" s="3">
        <f t="shared" si="73"/>
        <v>1.5187583963486508</v>
      </c>
      <c r="J312" s="3">
        <f t="shared" si="74"/>
        <v>-2.0059221827303331</v>
      </c>
      <c r="K312" s="3">
        <f t="shared" si="75"/>
        <v>4.3355918768677365E-4</v>
      </c>
      <c r="L312" s="3" cm="1">
        <f t="array" ref="L312">lmb_2(F312)</f>
        <v>4180.0130922693852</v>
      </c>
      <c r="M312" s="3" cm="1">
        <f t="array" ref="M312">lmb_2(G312)</f>
        <v>681.02604310200911</v>
      </c>
      <c r="N312" s="3" cm="1">
        <f t="array" ref="N312">lmb_2(H312)</f>
        <v>3.7601364569291977</v>
      </c>
      <c r="O312" s="3" cm="1">
        <f t="array" ref="O312">lmb_2(I312)</f>
        <v>1.275455234666806</v>
      </c>
      <c r="P312" s="3" cm="1">
        <f t="array" ref="P312">lmb_2(J312)</f>
        <v>0.11939508236492093</v>
      </c>
      <c r="R312" s="3">
        <f t="shared" si="76"/>
        <v>0.15673426517756428</v>
      </c>
      <c r="S312" s="3">
        <f t="shared" si="77"/>
        <v>8.7631578494495592</v>
      </c>
      <c r="T312" s="3">
        <f t="shared" si="78"/>
        <v>427.53084369725389</v>
      </c>
      <c r="U312" s="3">
        <f t="shared" si="68"/>
        <v>3013.4486449969627</v>
      </c>
      <c r="V312" s="3">
        <f t="shared" si="69"/>
        <v>0</v>
      </c>
      <c r="W312" s="3">
        <f t="shared" si="79"/>
        <v>638.68510214718447</v>
      </c>
      <c r="Y312" s="3">
        <f t="shared" si="80"/>
        <v>4088.5849165152154</v>
      </c>
      <c r="AA312" s="3">
        <f t="shared" si="81"/>
        <v>4301.3812743077679</v>
      </c>
      <c r="AB312" s="3">
        <f t="shared" si="82"/>
        <v>-65.584916515215355</v>
      </c>
      <c r="AD312" s="3">
        <f t="shared" si="83"/>
        <v>2.1505089365526696E-5</v>
      </c>
    </row>
    <row r="313" spans="3:30" x14ac:dyDescent="0.3">
      <c r="C313" s="22">
        <v>281</v>
      </c>
      <c r="D313" s="22">
        <v>4039</v>
      </c>
      <c r="F313" s="3">
        <f t="shared" si="70"/>
        <v>4218.3137706301413</v>
      </c>
      <c r="G313" s="3">
        <f t="shared" si="71"/>
        <v>692.46260401964958</v>
      </c>
      <c r="H313" s="3">
        <f t="shared" si="72"/>
        <v>5.1250769391253241</v>
      </c>
      <c r="I313" s="3">
        <f t="shared" si="73"/>
        <v>1.5297390391959906</v>
      </c>
      <c r="J313" s="3">
        <f t="shared" si="74"/>
        <v>-2.0053483650002235</v>
      </c>
      <c r="K313" s="3">
        <f t="shared" si="75"/>
        <v>4.0822661816783195E-4</v>
      </c>
      <c r="L313" s="3" cm="1">
        <f t="array" ref="L313">lmb_2(F313)</f>
        <v>4209.9675692823721</v>
      </c>
      <c r="M313" s="3" cm="1">
        <f t="array" ref="M313">lmb_2(G313)</f>
        <v>685.93182577619712</v>
      </c>
      <c r="N313" s="3" cm="1">
        <f t="array" ref="N313">lmb_2(H313)</f>
        <v>3.7921450926380595</v>
      </c>
      <c r="O313" s="3" cm="1">
        <f t="array" ref="O313">lmb_2(I313)</f>
        <v>1.2816167063822899</v>
      </c>
      <c r="P313" s="3" cm="1">
        <f t="array" ref="P313">lmb_2(J313)</f>
        <v>0.1194562999859089</v>
      </c>
      <c r="R313" s="3">
        <f t="shared" si="76"/>
        <v>0.15506392159053406</v>
      </c>
      <c r="S313" s="3">
        <f t="shared" si="77"/>
        <v>8.6691997588717538</v>
      </c>
      <c r="T313" s="3">
        <f t="shared" si="78"/>
        <v>422.59450393341064</v>
      </c>
      <c r="U313" s="3">
        <f t="shared" si="68"/>
        <v>3001.5442591654873</v>
      </c>
      <c r="V313" s="3">
        <f t="shared" si="69"/>
        <v>0</v>
      </c>
      <c r="W313" s="3">
        <f t="shared" si="79"/>
        <v>640.78754894056726</v>
      </c>
      <c r="Y313" s="3">
        <f t="shared" si="80"/>
        <v>4073.7509839465461</v>
      </c>
      <c r="AA313" s="3">
        <f t="shared" si="81"/>
        <v>1207.6308852531017</v>
      </c>
      <c r="AB313" s="3">
        <f t="shared" si="82"/>
        <v>-34.750983946546057</v>
      </c>
      <c r="AD313" s="3">
        <f t="shared" si="83"/>
        <v>1.139473914153846E-5</v>
      </c>
    </row>
    <row r="314" spans="3:30" x14ac:dyDescent="0.3">
      <c r="C314" s="22">
        <v>282</v>
      </c>
      <c r="D314" s="22">
        <v>4070</v>
      </c>
      <c r="F314" s="3">
        <f t="shared" si="70"/>
        <v>4248.3821969741612</v>
      </c>
      <c r="G314" s="3">
        <f t="shared" si="71"/>
        <v>697.39307939966193</v>
      </c>
      <c r="H314" s="3">
        <f t="shared" si="72"/>
        <v>5.1657065052257032</v>
      </c>
      <c r="I314" s="3">
        <f t="shared" si="73"/>
        <v>1.5407588287201488</v>
      </c>
      <c r="J314" s="3">
        <f t="shared" si="74"/>
        <v>-2.0047725015741067</v>
      </c>
      <c r="K314" s="3">
        <f t="shared" si="75"/>
        <v>3.8437421351831895E-4</v>
      </c>
      <c r="L314" s="3" cm="1">
        <f t="array" ref="L314">lmb_2(F314)</f>
        <v>4240.0288866765868</v>
      </c>
      <c r="M314" s="3" cm="1">
        <f t="array" ref="M314">lmb_2(G314)</f>
        <v>690.85514922272716</v>
      </c>
      <c r="N314" s="3" cm="1">
        <f t="array" ref="N314">lmb_2(H314)</f>
        <v>3.8243246227524335</v>
      </c>
      <c r="O314" s="3" cm="1">
        <f t="array" ref="O314">lmb_2(I314)</f>
        <v>1.2878132239863018</v>
      </c>
      <c r="P314" s="3" cm="1">
        <f t="array" ref="P314">lmb_2(J314)</f>
        <v>0.11951776403891558</v>
      </c>
      <c r="R314" s="3">
        <f t="shared" si="76"/>
        <v>0.15341723548723887</v>
      </c>
      <c r="S314" s="3">
        <f t="shared" si="77"/>
        <v>8.5765813966716831</v>
      </c>
      <c r="T314" s="3">
        <f t="shared" si="78"/>
        <v>417.72480454183375</v>
      </c>
      <c r="U314" s="3">
        <f t="shared" si="68"/>
        <v>2989.6127832563175</v>
      </c>
      <c r="V314" s="3">
        <f t="shared" si="69"/>
        <v>0</v>
      </c>
      <c r="W314" s="3">
        <f t="shared" si="79"/>
        <v>642.88999573395006</v>
      </c>
      <c r="Y314" s="3">
        <f t="shared" si="80"/>
        <v>4058.9579665384736</v>
      </c>
      <c r="AA314" s="3">
        <f t="shared" si="81"/>
        <v>121.92650296546965</v>
      </c>
      <c r="AB314" s="3">
        <f t="shared" si="82"/>
        <v>11.042033461526444</v>
      </c>
      <c r="AD314" s="3">
        <f t="shared" si="83"/>
        <v>3.6206482981825985E-6</v>
      </c>
    </row>
    <row r="315" spans="3:30" x14ac:dyDescent="0.3">
      <c r="C315" s="22">
        <v>283</v>
      </c>
      <c r="D315" s="22">
        <v>4011</v>
      </c>
      <c r="F315" s="3">
        <f t="shared" si="70"/>
        <v>4278.5574383318362</v>
      </c>
      <c r="G315" s="3">
        <f t="shared" si="71"/>
        <v>702.34106978990519</v>
      </c>
      <c r="H315" s="3">
        <f t="shared" si="72"/>
        <v>5.2064804037100991</v>
      </c>
      <c r="I315" s="3">
        <f t="shared" si="73"/>
        <v>1.5518177649211236</v>
      </c>
      <c r="J315" s="3">
        <f t="shared" si="74"/>
        <v>-2.0041945924519826</v>
      </c>
      <c r="K315" s="3">
        <f t="shared" si="75"/>
        <v>3.6191548870800303E-4</v>
      </c>
      <c r="L315" s="3" cm="1">
        <f t="array" ref="L315">lmb_2(F315)</f>
        <v>4270.1970442722286</v>
      </c>
      <c r="M315" s="3" cm="1">
        <f t="array" ref="M315">lmb_2(G315)</f>
        <v>695.79131677211183</v>
      </c>
      <c r="N315" s="3" cm="1">
        <f t="array" ref="N315">lmb_2(H315)</f>
        <v>3.8566749923880725</v>
      </c>
      <c r="O315" s="3" cm="1">
        <f t="array" ref="O315">lmb_2(I315)</f>
        <v>1.2940448835485963</v>
      </c>
      <c r="P315" s="3" cm="1">
        <f t="array" ref="P315">lmb_2(J315)</f>
        <v>0.11957947483480252</v>
      </c>
      <c r="R315" s="3">
        <f t="shared" si="76"/>
        <v>0.15179378940839658</v>
      </c>
      <c r="S315" s="3">
        <f t="shared" si="77"/>
        <v>8.4853934176709434</v>
      </c>
      <c r="T315" s="3">
        <f t="shared" si="78"/>
        <v>412.92082015811513</v>
      </c>
      <c r="U315" s="3">
        <f t="shared" si="68"/>
        <v>2977.6555965349912</v>
      </c>
      <c r="V315" s="3">
        <f t="shared" si="69"/>
        <v>0</v>
      </c>
      <c r="W315" s="3">
        <f t="shared" si="79"/>
        <v>644.99244252733286</v>
      </c>
      <c r="Y315" s="3">
        <f t="shared" si="80"/>
        <v>4044.2064083430073</v>
      </c>
      <c r="AA315" s="3">
        <f t="shared" si="81"/>
        <v>1102.6655550425446</v>
      </c>
      <c r="AB315" s="3">
        <f t="shared" si="82"/>
        <v>-33.206408343007297</v>
      </c>
      <c r="AD315" s="3">
        <f t="shared" si="83"/>
        <v>1.0888277623390344E-5</v>
      </c>
    </row>
    <row r="316" spans="3:30" x14ac:dyDescent="0.3">
      <c r="C316" s="22">
        <v>284</v>
      </c>
      <c r="D316" s="22">
        <v>4029</v>
      </c>
      <c r="F316" s="3">
        <f t="shared" si="70"/>
        <v>4308.8394947031675</v>
      </c>
      <c r="G316" s="3">
        <f t="shared" si="71"/>
        <v>707.3065751903797</v>
      </c>
      <c r="H316" s="3">
        <f t="shared" si="72"/>
        <v>5.2473986345785093</v>
      </c>
      <c r="I316" s="3">
        <f t="shared" si="73"/>
        <v>1.5629158477989167</v>
      </c>
      <c r="J316" s="3">
        <f t="shared" si="74"/>
        <v>-2.0036146376338504</v>
      </c>
      <c r="K316" s="3">
        <f t="shared" si="75"/>
        <v>3.4076901196835918E-4</v>
      </c>
      <c r="L316" s="3" cm="1">
        <f t="array" ref="L316">lmb_2(F316)</f>
        <v>4300.472041891403</v>
      </c>
      <c r="M316" s="3" cm="1">
        <f t="array" ref="M316">lmb_2(G316)</f>
        <v>700.7497493354573</v>
      </c>
      <c r="N316" s="3" cm="1">
        <f t="array" ref="N316">lmb_2(H316)</f>
        <v>3.8891961448664039</v>
      </c>
      <c r="O316" s="3" cm="1">
        <f t="array" ref="O316">lmb_2(I316)</f>
        <v>1.3003117807444668</v>
      </c>
      <c r="P316" s="3" cm="1">
        <f t="array" ref="P316">lmb_2(J316)</f>
        <v>0.11964143268571298</v>
      </c>
      <c r="R316" s="3">
        <f t="shared" si="76"/>
        <v>0.15019317470535359</v>
      </c>
      <c r="S316" s="3">
        <f t="shared" si="77"/>
        <v>8.3953808940701755</v>
      </c>
      <c r="T316" s="3">
        <f t="shared" si="78"/>
        <v>408.18163589971761</v>
      </c>
      <c r="U316" s="3">
        <f t="shared" si="68"/>
        <v>2965.6740633905433</v>
      </c>
      <c r="V316" s="3">
        <f t="shared" si="69"/>
        <v>0</v>
      </c>
      <c r="W316" s="3">
        <f t="shared" si="79"/>
        <v>647.09488932071565</v>
      </c>
      <c r="Y316" s="3">
        <f t="shared" si="80"/>
        <v>4029.4965034487641</v>
      </c>
      <c r="AA316" s="3">
        <f t="shared" si="81"/>
        <v>0.24651567463463317</v>
      </c>
      <c r="AB316" s="3">
        <f t="shared" si="82"/>
        <v>-0.49650344876408781</v>
      </c>
      <c r="AD316" s="3">
        <f t="shared" si="83"/>
        <v>1.6280193073794375E-7</v>
      </c>
    </row>
    <row r="317" spans="3:30" x14ac:dyDescent="0.3">
      <c r="C317" s="22">
        <v>285</v>
      </c>
      <c r="D317" s="22">
        <v>3998</v>
      </c>
      <c r="F317" s="3">
        <f t="shared" si="70"/>
        <v>4339.228366088154</v>
      </c>
      <c r="G317" s="3">
        <f t="shared" si="71"/>
        <v>712.2895956010849</v>
      </c>
      <c r="H317" s="3">
        <f t="shared" si="72"/>
        <v>5.2884611978309355</v>
      </c>
      <c r="I317" s="3">
        <f t="shared" si="73"/>
        <v>1.5740530773535268</v>
      </c>
      <c r="J317" s="3">
        <f t="shared" si="74"/>
        <v>-2.0030326371197114</v>
      </c>
      <c r="K317" s="3">
        <f t="shared" si="75"/>
        <v>3.2085810953391198E-4</v>
      </c>
      <c r="L317" s="3" cm="1">
        <f t="array" ref="L317">lmb_2(F317)</f>
        <v>4330.853879358091</v>
      </c>
      <c r="M317" s="3" cm="1">
        <f t="array" ref="M317">lmb_2(G317)</f>
        <v>705.72572186142145</v>
      </c>
      <c r="N317" s="3" cm="1">
        <f t="array" ref="N317">lmb_2(H317)</f>
        <v>3.921888021771899</v>
      </c>
      <c r="O317" s="3" cm="1">
        <f t="array" ref="O317">lmb_2(I317)</f>
        <v>1.306614010850069</v>
      </c>
      <c r="P317" s="3" cm="1">
        <f t="array" ref="P317">lmb_2(J317)</f>
        <v>0.11970363790507321</v>
      </c>
      <c r="R317" s="3">
        <f t="shared" si="76"/>
        <v>0.14861499132385941</v>
      </c>
      <c r="S317" s="3">
        <f t="shared" si="77"/>
        <v>8.3066382415839186</v>
      </c>
      <c r="T317" s="3">
        <f t="shared" si="78"/>
        <v>403.50634738030317</v>
      </c>
      <c r="U317" s="3">
        <f t="shared" si="68"/>
        <v>2953.6695332901199</v>
      </c>
      <c r="V317" s="3">
        <f t="shared" si="69"/>
        <v>0</v>
      </c>
      <c r="W317" s="3">
        <f t="shared" si="79"/>
        <v>649.19733611409845</v>
      </c>
      <c r="Y317" s="3">
        <f t="shared" si="80"/>
        <v>4014.8287908755392</v>
      </c>
      <c r="AA317" s="3">
        <f t="shared" si="81"/>
        <v>283.20820233263134</v>
      </c>
      <c r="AB317" s="3">
        <f t="shared" si="82"/>
        <v>-16.828790875539198</v>
      </c>
      <c r="AD317" s="3">
        <f t="shared" si="83"/>
        <v>5.5181079876540018E-6</v>
      </c>
    </row>
    <row r="318" spans="3:30" x14ac:dyDescent="0.3">
      <c r="C318" s="22">
        <v>286</v>
      </c>
      <c r="D318" s="22">
        <v>3947</v>
      </c>
      <c r="F318" s="3">
        <f t="shared" si="70"/>
        <v>4369.7240524867948</v>
      </c>
      <c r="G318" s="3">
        <f t="shared" si="71"/>
        <v>717.29013102202111</v>
      </c>
      <c r="H318" s="3">
        <f t="shared" si="72"/>
        <v>5.3296680934673777</v>
      </c>
      <c r="I318" s="3">
        <f t="shared" si="73"/>
        <v>1.5852294535849554</v>
      </c>
      <c r="J318" s="3">
        <f t="shared" si="74"/>
        <v>-2.0024485909095642</v>
      </c>
      <c r="K318" s="3">
        <f t="shared" si="75"/>
        <v>3.0211058763534194E-4</v>
      </c>
      <c r="L318" s="3" cm="1">
        <f t="array" ref="L318">lmb_2(F318)</f>
        <v>4361.3425564981262</v>
      </c>
      <c r="M318" s="3" cm="1">
        <f t="array" ref="M318">lmb_2(G318)</f>
        <v>710.71923417449329</v>
      </c>
      <c r="N318" s="3" cm="1">
        <f t="array" ref="N318">lmb_2(H318)</f>
        <v>3.9547505630082878</v>
      </c>
      <c r="O318" s="3" cm="1">
        <f t="array" ref="O318">lmb_2(I318)</f>
        <v>1.3129516687378187</v>
      </c>
      <c r="P318" s="3" cm="1">
        <f t="array" ref="P318">lmb_2(J318)</f>
        <v>0.119766090807595</v>
      </c>
      <c r="R318" s="3">
        <f t="shared" si="76"/>
        <v>0.14705884759388516</v>
      </c>
      <c r="S318" s="3">
        <f t="shared" si="77"/>
        <v>8.2191431279163734</v>
      </c>
      <c r="T318" s="3">
        <f t="shared" si="78"/>
        <v>398.89406071670402</v>
      </c>
      <c r="U318" s="3">
        <f t="shared" si="68"/>
        <v>2941.6433407380273</v>
      </c>
      <c r="V318" s="3">
        <f t="shared" si="69"/>
        <v>0</v>
      </c>
      <c r="W318" s="3">
        <f t="shared" si="79"/>
        <v>651.29978290748124</v>
      </c>
      <c r="Y318" s="3">
        <f t="shared" si="80"/>
        <v>4000.2036884483105</v>
      </c>
      <c r="AA318" s="3">
        <f t="shared" si="81"/>
        <v>2830.632464504884</v>
      </c>
      <c r="AB318" s="3">
        <f t="shared" si="82"/>
        <v>-53.203688448310459</v>
      </c>
      <c r="AD318" s="3">
        <f t="shared" si="83"/>
        <v>1.7445323337281676E-5</v>
      </c>
    </row>
    <row r="319" spans="3:30" x14ac:dyDescent="0.3">
      <c r="C319" s="22">
        <v>287</v>
      </c>
      <c r="D319" s="22">
        <v>3980</v>
      </c>
      <c r="F319" s="3">
        <f t="shared" si="70"/>
        <v>4400.3265538990936</v>
      </c>
      <c r="G319" s="3">
        <f t="shared" si="71"/>
        <v>722.30818145318847</v>
      </c>
      <c r="H319" s="3">
        <f t="shared" si="72"/>
        <v>5.3710193214878359</v>
      </c>
      <c r="I319" s="3">
        <f t="shared" si="73"/>
        <v>1.5964449764932014</v>
      </c>
      <c r="J319" s="3">
        <f t="shared" si="74"/>
        <v>-2.0018624990034097</v>
      </c>
      <c r="K319" s="3">
        <f t="shared" si="75"/>
        <v>2.8445847073634603E-4</v>
      </c>
      <c r="L319" s="3" cm="1">
        <f t="array" ref="L319">lmb_2(F319)</f>
        <v>4391.9380731391739</v>
      </c>
      <c r="M319" s="3" cm="1">
        <f t="array" ref="M319">lmb_2(G319)</f>
        <v>715.73028610100721</v>
      </c>
      <c r="N319" s="3" cm="1">
        <f t="array" ref="N319">lmb_2(H319)</f>
        <v>3.9877837068536417</v>
      </c>
      <c r="O319" s="3" cm="1">
        <f t="array" ref="O319">lmb_2(I319)</f>
        <v>1.3193248488718587</v>
      </c>
      <c r="P319" s="3" cm="1">
        <f t="array" ref="P319">lmb_2(J319)</f>
        <v>0.1198287917092771</v>
      </c>
      <c r="R319" s="3">
        <f t="shared" si="76"/>
        <v>0.14552436002529692</v>
      </c>
      <c r="S319" s="3">
        <f t="shared" si="77"/>
        <v>8.1328736906990091</v>
      </c>
      <c r="T319" s="3">
        <f t="shared" si="78"/>
        <v>394.34389252889315</v>
      </c>
      <c r="U319" s="3">
        <f t="shared" si="68"/>
        <v>2929.5968052391918</v>
      </c>
      <c r="V319" s="3">
        <f t="shared" si="69"/>
        <v>0</v>
      </c>
      <c r="W319" s="3">
        <f t="shared" si="79"/>
        <v>653.40222970086404</v>
      </c>
      <c r="Y319" s="3">
        <f t="shared" si="80"/>
        <v>3985.6216099781441</v>
      </c>
      <c r="AA319" s="3">
        <f t="shared" si="81"/>
        <v>31.602498746369072</v>
      </c>
      <c r="AB319" s="3">
        <f t="shared" si="82"/>
        <v>-5.6216099781440789</v>
      </c>
      <c r="AD319" s="3">
        <f t="shared" si="83"/>
        <v>1.8433083608496842E-6</v>
      </c>
    </row>
    <row r="320" spans="3:30" x14ac:dyDescent="0.3">
      <c r="C320" s="22">
        <v>288</v>
      </c>
      <c r="D320" s="22">
        <v>3990</v>
      </c>
      <c r="F320" s="3">
        <f t="shared" si="70"/>
        <v>4431.0358703250449</v>
      </c>
      <c r="G320" s="3">
        <f t="shared" si="71"/>
        <v>727.3437468945865</v>
      </c>
      <c r="H320" s="3">
        <f t="shared" si="72"/>
        <v>5.4125148818923092</v>
      </c>
      <c r="I320" s="3">
        <f t="shared" si="73"/>
        <v>1.6076996460782644</v>
      </c>
      <c r="J320" s="3">
        <f t="shared" si="74"/>
        <v>-2.001274361401248</v>
      </c>
      <c r="K320" s="3">
        <f t="shared" si="75"/>
        <v>2.6783775506514137E-4</v>
      </c>
      <c r="L320" s="3" cm="1">
        <f t="array" ref="L320">lmb_2(F320)</f>
        <v>4422.6404291106874</v>
      </c>
      <c r="M320" s="3" cm="1">
        <f t="array" ref="M320">lmb_2(G320)</f>
        <v>720.7588774691161</v>
      </c>
      <c r="N320" s="3" cm="1">
        <f t="array" ref="N320">lmb_2(H320)</f>
        <v>4.0209873900143362</v>
      </c>
      <c r="O320" s="3" cm="1">
        <f t="array" ref="O320">lmb_2(I320)</f>
        <v>1.3257336453036013</v>
      </c>
      <c r="P320" s="3" cm="1">
        <f t="array" ref="P320">lmb_2(J320)</f>
        <v>0.11989174092740749</v>
      </c>
      <c r="R320" s="3">
        <f t="shared" si="76"/>
        <v>0.14401115310920287</v>
      </c>
      <c r="S320" s="3">
        <f t="shared" si="77"/>
        <v>8.0478085259888292</v>
      </c>
      <c r="T320" s="3">
        <f t="shared" si="78"/>
        <v>389.85496993330037</v>
      </c>
      <c r="U320" s="3">
        <f t="shared" si="68"/>
        <v>2917.5312312669357</v>
      </c>
      <c r="V320" s="3">
        <f t="shared" si="69"/>
        <v>0</v>
      </c>
      <c r="W320" s="3">
        <f t="shared" si="79"/>
        <v>655.50467649424695</v>
      </c>
      <c r="Y320" s="3">
        <f t="shared" si="80"/>
        <v>3971.0829652113362</v>
      </c>
      <c r="AA320" s="3">
        <f t="shared" si="81"/>
        <v>357.85420519551803</v>
      </c>
      <c r="AB320" s="3">
        <f t="shared" si="82"/>
        <v>18.917034788663841</v>
      </c>
      <c r="AD320" s="3">
        <f t="shared" si="83"/>
        <v>6.2028366471521692E-6</v>
      </c>
    </row>
    <row r="321" spans="3:30" x14ac:dyDescent="0.3">
      <c r="C321" s="22">
        <v>289</v>
      </c>
      <c r="D321" s="22">
        <v>3996</v>
      </c>
      <c r="F321" s="3">
        <f t="shared" si="70"/>
        <v>4461.8520017646551</v>
      </c>
      <c r="G321" s="3">
        <f t="shared" si="71"/>
        <v>732.39682734621579</v>
      </c>
      <c r="H321" s="3">
        <f t="shared" si="72"/>
        <v>5.4541547746807977</v>
      </c>
      <c r="I321" s="3">
        <f t="shared" si="73"/>
        <v>1.6189934623401459</v>
      </c>
      <c r="J321" s="3">
        <f t="shared" si="74"/>
        <v>-2.0006841781030786</v>
      </c>
      <c r="K321" s="3">
        <f t="shared" si="75"/>
        <v>2.5218817654695569E-4</v>
      </c>
      <c r="L321" s="3" cm="1">
        <f t="array" ref="L321">lmb_2(F321)</f>
        <v>4453.4496242439118</v>
      </c>
      <c r="M321" s="3" cm="1">
        <f t="array" ref="M321">lmb_2(G321)</f>
        <v>725.80500810876822</v>
      </c>
      <c r="N321" s="3" cm="1">
        <f t="array" ref="N321">lmb_2(H321)</f>
        <v>4.0543615476778978</v>
      </c>
      <c r="O321" s="3" cm="1">
        <f t="array" ref="O321">lmb_2(I321)</f>
        <v>1.3321781516673428</v>
      </c>
      <c r="P321" s="3" cm="1">
        <f t="array" ref="P321">lmb_2(J321)</f>
        <v>0.11995493878056518</v>
      </c>
      <c r="R321" s="3">
        <f t="shared" si="76"/>
        <v>0.1425188591247927</v>
      </c>
      <c r="S321" s="3">
        <f t="shared" si="77"/>
        <v>7.9639266770873371</v>
      </c>
      <c r="T321" s="3">
        <f t="shared" si="78"/>
        <v>385.42643052980924</v>
      </c>
      <c r="U321" s="3">
        <f t="shared" si="68"/>
        <v>2905.4479082350372</v>
      </c>
      <c r="V321" s="3">
        <f t="shared" si="69"/>
        <v>0</v>
      </c>
      <c r="W321" s="3">
        <f t="shared" si="79"/>
        <v>657.60712328762975</v>
      </c>
      <c r="Y321" s="3">
        <f t="shared" si="80"/>
        <v>3956.5881597768648</v>
      </c>
      <c r="AA321" s="3">
        <f t="shared" si="81"/>
        <v>1553.2931497739366</v>
      </c>
      <c r="AB321" s="3">
        <f t="shared" si="82"/>
        <v>39.411840223135187</v>
      </c>
      <c r="AD321" s="3">
        <f t="shared" si="83"/>
        <v>1.2923019363175578E-5</v>
      </c>
    </row>
    <row r="322" spans="3:30" x14ac:dyDescent="0.3">
      <c r="C322" s="22">
        <v>290</v>
      </c>
      <c r="D322" s="22">
        <v>3937</v>
      </c>
      <c r="F322" s="3">
        <f t="shared" si="70"/>
        <v>4492.7749482179188</v>
      </c>
      <c r="G322" s="3">
        <f t="shared" si="71"/>
        <v>737.46742280807575</v>
      </c>
      <c r="H322" s="3">
        <f t="shared" si="72"/>
        <v>5.4959389998533021</v>
      </c>
      <c r="I322" s="3">
        <f t="shared" si="73"/>
        <v>1.6303264252788443</v>
      </c>
      <c r="J322" s="3">
        <f t="shared" si="74"/>
        <v>-2.0000919491089015</v>
      </c>
      <c r="K322" s="3">
        <f t="shared" si="75"/>
        <v>2.374529922960655E-4</v>
      </c>
      <c r="L322" s="3" cm="1">
        <f t="array" ref="L322">lmb_2(F322)</f>
        <v>4484.3656583718284</v>
      </c>
      <c r="M322" s="3" cm="1">
        <f t="array" ref="M322">lmb_2(G322)</f>
        <v>730.86867785167954</v>
      </c>
      <c r="N322" s="3" cm="1">
        <f t="array" ref="N322">lmb_2(H322)</f>
        <v>4.0879061135647587</v>
      </c>
      <c r="O322" s="3" cm="1">
        <f t="array" ref="O322">lmb_2(I322)</f>
        <v>1.3386584611759507</v>
      </c>
      <c r="P322" s="3" cm="1">
        <f t="array" ref="P322">lmb_2(J322)</f>
        <v>0.12001838558862205</v>
      </c>
      <c r="R322" s="3">
        <f t="shared" si="76"/>
        <v>0.14104711795150635</v>
      </c>
      <c r="S322" s="3">
        <f t="shared" si="77"/>
        <v>7.8812076236702557</v>
      </c>
      <c r="T322" s="3">
        <f t="shared" si="78"/>
        <v>381.0574223827561</v>
      </c>
      <c r="U322" s="3">
        <f t="shared" si="68"/>
        <v>2893.3481104740067</v>
      </c>
      <c r="V322" s="3">
        <f t="shared" si="69"/>
        <v>0</v>
      </c>
      <c r="W322" s="3">
        <f t="shared" si="79"/>
        <v>659.70957008101254</v>
      </c>
      <c r="Y322" s="3">
        <f t="shared" si="80"/>
        <v>3942.1375951323889</v>
      </c>
      <c r="AA322" s="3">
        <f t="shared" si="81"/>
        <v>26.394883744346366</v>
      </c>
      <c r="AB322" s="3">
        <f t="shared" si="82"/>
        <v>-5.137595132388924</v>
      </c>
      <c r="AD322" s="3">
        <f t="shared" si="83"/>
        <v>1.6846014040482459E-6</v>
      </c>
    </row>
    <row r="323" spans="3:30" x14ac:dyDescent="0.3">
      <c r="C323" s="22">
        <v>291</v>
      </c>
      <c r="D323" s="22">
        <v>3936</v>
      </c>
      <c r="F323" s="3">
        <f t="shared" si="70"/>
        <v>4523.8047096848377</v>
      </c>
      <c r="G323" s="3">
        <f t="shared" si="71"/>
        <v>742.55553328016674</v>
      </c>
      <c r="H323" s="3">
        <f t="shared" si="72"/>
        <v>5.5378675574098217</v>
      </c>
      <c r="I323" s="3">
        <f t="shared" si="73"/>
        <v>1.6416985348943607</v>
      </c>
      <c r="J323" s="3">
        <f t="shared" si="74"/>
        <v>-1.999497674418717</v>
      </c>
      <c r="K323" s="3">
        <f t="shared" si="75"/>
        <v>2.2357877487510697E-4</v>
      </c>
      <c r="L323" s="3" cm="1">
        <f t="array" ref="L323">lmb_2(F323)</f>
        <v>4515.3885313291548</v>
      </c>
      <c r="M323" s="3" cm="1">
        <f t="array" ref="M323">lmb_2(G323)</f>
        <v>735.9498865313119</v>
      </c>
      <c r="N323" s="3" cm="1">
        <f t="array" ref="N323">lmb_2(H323)</f>
        <v>4.1216210199789183</v>
      </c>
      <c r="O323" s="3" cm="1">
        <f t="array" ref="O323">lmb_2(I323)</f>
        <v>1.3451746666166278</v>
      </c>
      <c r="P323" s="3" cm="1">
        <f t="array" ref="P323">lmb_2(J323)</f>
        <v>0.12008208167274492</v>
      </c>
      <c r="R323" s="3">
        <f t="shared" si="76"/>
        <v>0.13959557688635924</v>
      </c>
      <c r="S323" s="3">
        <f t="shared" si="77"/>
        <v>7.7996312712181766</v>
      </c>
      <c r="T323" s="3">
        <f t="shared" si="78"/>
        <v>376.74710399624547</v>
      </c>
      <c r="U323" s="3">
        <f t="shared" si="68"/>
        <v>2881.2330972115101</v>
      </c>
      <c r="V323" s="3">
        <f t="shared" si="69"/>
        <v>0</v>
      </c>
      <c r="W323" s="3">
        <f t="shared" si="79"/>
        <v>661.81201687439534</v>
      </c>
      <c r="Y323" s="3">
        <f t="shared" si="80"/>
        <v>3927.73166850903</v>
      </c>
      <c r="AA323" s="3">
        <f t="shared" si="81"/>
        <v>68.365305644566391</v>
      </c>
      <c r="AB323" s="3">
        <f t="shared" si="82"/>
        <v>8.268331490970013</v>
      </c>
      <c r="AD323" s="3">
        <f t="shared" si="83"/>
        <v>2.7111600816913058E-6</v>
      </c>
    </row>
    <row r="324" spans="3:30" x14ac:dyDescent="0.3">
      <c r="C324" s="22">
        <v>292</v>
      </c>
      <c r="D324" s="22">
        <v>3969</v>
      </c>
      <c r="F324" s="3">
        <f t="shared" si="70"/>
        <v>4554.9412861654127</v>
      </c>
      <c r="G324" s="3">
        <f t="shared" si="71"/>
        <v>747.66115876248887</v>
      </c>
      <c r="H324" s="3">
        <f t="shared" si="72"/>
        <v>5.5799404473503582</v>
      </c>
      <c r="I324" s="3">
        <f t="shared" si="73"/>
        <v>1.6531097911866945</v>
      </c>
      <c r="J324" s="3">
        <f t="shared" si="74"/>
        <v>-1.9989013540325251</v>
      </c>
      <c r="K324" s="3">
        <f t="shared" si="75"/>
        <v>2.1051521857567201E-4</v>
      </c>
      <c r="L324" s="3" cm="1">
        <f t="array" ref="L324">lmb_2(F324)</f>
        <v>4546.5182429523084</v>
      </c>
      <c r="M324" s="3" cm="1">
        <f t="array" ref="M324">lmb_2(G324)</f>
        <v>741.0486339828476</v>
      </c>
      <c r="N324" s="3" cm="1">
        <f t="array" ref="N324">lmb_2(H324)</f>
        <v>4.1555061978575418</v>
      </c>
      <c r="O324" s="3" cm="1">
        <f t="array" ref="O324">lmb_2(I324)</f>
        <v>1.3517268603467474</v>
      </c>
      <c r="P324" s="3" cm="1">
        <f t="array" ref="P324">lmb_2(J324)</f>
        <v>0.12014602735539744</v>
      </c>
      <c r="R324" s="3">
        <f t="shared" si="76"/>
        <v>0.13816389046627148</v>
      </c>
      <c r="S324" s="3">
        <f t="shared" si="77"/>
        <v>7.71917794073895</v>
      </c>
      <c r="T324" s="3">
        <f t="shared" si="78"/>
        <v>372.4946442840797</v>
      </c>
      <c r="U324" s="3">
        <f t="shared" si="68"/>
        <v>2869.1041125569068</v>
      </c>
      <c r="V324" s="3">
        <f t="shared" si="69"/>
        <v>0</v>
      </c>
      <c r="W324" s="3">
        <f t="shared" si="79"/>
        <v>663.91446366777814</v>
      </c>
      <c r="Y324" s="3">
        <f t="shared" si="80"/>
        <v>3913.3707728551885</v>
      </c>
      <c r="AA324" s="3">
        <f t="shared" si="81"/>
        <v>3094.6109127290288</v>
      </c>
      <c r="AB324" s="3">
        <f t="shared" si="82"/>
        <v>55.629227144811466</v>
      </c>
      <c r="AD324" s="3">
        <f t="shared" si="83"/>
        <v>1.8240649903195596E-5</v>
      </c>
    </row>
    <row r="325" spans="3:30" x14ac:dyDescent="0.3">
      <c r="C325" s="22">
        <v>293</v>
      </c>
      <c r="D325" s="22">
        <v>3918</v>
      </c>
      <c r="F325" s="3">
        <f t="shared" si="70"/>
        <v>4586.1846776596421</v>
      </c>
      <c r="G325" s="3">
        <f t="shared" si="71"/>
        <v>752.78429925504156</v>
      </c>
      <c r="H325" s="3">
        <f t="shared" si="72"/>
        <v>5.6221576696749098</v>
      </c>
      <c r="I325" s="3">
        <f t="shared" si="73"/>
        <v>1.6645601941558459</v>
      </c>
      <c r="J325" s="3">
        <f t="shared" si="74"/>
        <v>-1.9983029879503253</v>
      </c>
      <c r="K325" s="3">
        <f t="shared" si="75"/>
        <v>1.9821495701780558E-4</v>
      </c>
      <c r="L325" s="3" cm="1">
        <f t="array" ref="L325">lmb_2(F325)</f>
        <v>4577.7547930793853</v>
      </c>
      <c r="M325" s="3" cm="1">
        <f t="array" ref="M325">lmb_2(G325)</f>
        <v>746.16492004316547</v>
      </c>
      <c r="N325" s="3" cm="1">
        <f t="array" ref="N325">lmb_2(H325)</f>
        <v>4.1895615768194903</v>
      </c>
      <c r="O325" s="3" cm="1">
        <f t="array" ref="O325">lmb_2(I325)</f>
        <v>1.3583151342897675</v>
      </c>
      <c r="P325" s="3" cm="1">
        <f t="array" ref="P325">lmb_2(J325)</f>
        <v>0.12021022296034219</v>
      </c>
      <c r="R325" s="3">
        <f t="shared" si="76"/>
        <v>0.13675172029524424</v>
      </c>
      <c r="S325" s="3">
        <f t="shared" si="77"/>
        <v>7.6398283587726983</v>
      </c>
      <c r="T325" s="3">
        <f t="shared" si="78"/>
        <v>368.29922253459517</v>
      </c>
      <c r="U325" s="3">
        <f t="shared" si="68"/>
        <v>2856.9623854898</v>
      </c>
      <c r="V325" s="3">
        <f t="shared" si="69"/>
        <v>0</v>
      </c>
      <c r="W325" s="3">
        <f t="shared" si="79"/>
        <v>666.01691046116093</v>
      </c>
      <c r="Y325" s="3">
        <f t="shared" si="80"/>
        <v>3899.0552967795811</v>
      </c>
      <c r="AA325" s="3">
        <f t="shared" si="81"/>
        <v>358.90178010974978</v>
      </c>
      <c r="AB325" s="3">
        <f t="shared" si="82"/>
        <v>18.944703220418887</v>
      </c>
      <c r="AD325" s="3">
        <f t="shared" si="83"/>
        <v>6.2119090395422426E-6</v>
      </c>
    </row>
    <row r="326" spans="3:30" x14ac:dyDescent="0.3">
      <c r="C326" s="22">
        <v>294</v>
      </c>
      <c r="D326" s="22">
        <v>3845</v>
      </c>
      <c r="F326" s="3">
        <f t="shared" si="70"/>
        <v>4617.5348841675277</v>
      </c>
      <c r="G326" s="3">
        <f t="shared" si="71"/>
        <v>757.92495475782562</v>
      </c>
      <c r="H326" s="3">
        <f t="shared" si="72"/>
        <v>5.6645192243834765</v>
      </c>
      <c r="I326" s="3">
        <f t="shared" si="73"/>
        <v>1.6760497438018147</v>
      </c>
      <c r="J326" s="3">
        <f t="shared" si="74"/>
        <v>-1.9977025761721183</v>
      </c>
      <c r="K326" s="3">
        <f t="shared" si="75"/>
        <v>1.8663339140703305E-4</v>
      </c>
      <c r="L326" s="3" cm="1">
        <f t="array" ref="L326">lmb_2(F326)</f>
        <v>4609.0981815501427</v>
      </c>
      <c r="M326" s="3" cm="1">
        <f t="array" ref="M326">lmb_2(G326)</f>
        <v>751.29874455081938</v>
      </c>
      <c r="N326" s="3" cm="1">
        <f t="array" ref="N326">lmb_2(H326)</f>
        <v>4.2237870852128152</v>
      </c>
      <c r="O326" s="3" cm="1">
        <f t="array" ref="O326">lmb_2(I326)</f>
        <v>1.3649395799312165</v>
      </c>
      <c r="P326" s="3" cm="1">
        <f t="array" ref="P326">lmb_2(J326)</f>
        <v>0.12027466881264232</v>
      </c>
      <c r="R326" s="3">
        <f t="shared" si="76"/>
        <v>0.1353587348762354</v>
      </c>
      <c r="S326" s="3">
        <f t="shared" si="77"/>
        <v>7.5615636476706909</v>
      </c>
      <c r="T326" s="3">
        <f t="shared" si="78"/>
        <v>364.16002837068379</v>
      </c>
      <c r="U326" s="3">
        <f t="shared" si="68"/>
        <v>2844.8091298525796</v>
      </c>
      <c r="V326" s="3">
        <f t="shared" si="69"/>
        <v>0</v>
      </c>
      <c r="W326" s="3">
        <f t="shared" si="79"/>
        <v>668.11935725454373</v>
      </c>
      <c r="Y326" s="3">
        <f t="shared" si="80"/>
        <v>3884.7856244937457</v>
      </c>
      <c r="AA326" s="3">
        <f t="shared" si="81"/>
        <v>1582.8959163573356</v>
      </c>
      <c r="AB326" s="3">
        <f t="shared" si="82"/>
        <v>-39.785624493745672</v>
      </c>
      <c r="AD326" s="3">
        <f t="shared" si="83"/>
        <v>1.304558205853316E-5</v>
      </c>
    </row>
    <row r="327" spans="3:30" x14ac:dyDescent="0.3">
      <c r="C327" s="22">
        <v>295</v>
      </c>
      <c r="D327" s="22">
        <v>3892</v>
      </c>
      <c r="F327" s="3">
        <f t="shared" si="70"/>
        <v>4648.9919056890703</v>
      </c>
      <c r="G327" s="3">
        <f t="shared" si="71"/>
        <v>763.08312527084036</v>
      </c>
      <c r="H327" s="3">
        <f t="shared" si="72"/>
        <v>5.7070251114760584</v>
      </c>
      <c r="I327" s="3">
        <f t="shared" si="73"/>
        <v>1.687578440124601</v>
      </c>
      <c r="J327" s="3">
        <f t="shared" si="74"/>
        <v>-1.9971001186979038</v>
      </c>
      <c r="K327" s="3">
        <f t="shared" si="75"/>
        <v>1.7572852882621697E-4</v>
      </c>
      <c r="L327" s="3" cm="1">
        <f t="array" ref="L327">lmb_2(F327)</f>
        <v>4640.5484082059711</v>
      </c>
      <c r="M327" s="3" cm="1">
        <f t="array" ref="M327">lmb_2(G327)</f>
        <v>756.45010734601283</v>
      </c>
      <c r="N327" s="3" cm="1">
        <f t="array" ref="N327">lmb_2(H327)</f>
        <v>4.2581826501612134</v>
      </c>
      <c r="O327" s="3" cm="1">
        <f t="array" ref="O327">lmb_2(I327)</f>
        <v>1.3716002883147587</v>
      </c>
      <c r="P327" s="3" cm="1">
        <f t="array" ref="P327">lmb_2(J327)</f>
        <v>0.12033936523866388</v>
      </c>
      <c r="R327" s="3">
        <f t="shared" si="76"/>
        <v>0.13398460944759213</v>
      </c>
      <c r="S327" s="3">
        <f t="shared" si="77"/>
        <v>7.4843653161398347</v>
      </c>
      <c r="T327" s="3">
        <f t="shared" si="78"/>
        <v>360.07626170526947</v>
      </c>
      <c r="U327" s="3">
        <f t="shared" si="68"/>
        <v>2832.6455443468567</v>
      </c>
      <c r="V327" s="3">
        <f t="shared" si="69"/>
        <v>0</v>
      </c>
      <c r="W327" s="3">
        <f t="shared" si="79"/>
        <v>670.22180404792653</v>
      </c>
      <c r="Y327" s="3">
        <f t="shared" si="80"/>
        <v>3870.562135754169</v>
      </c>
      <c r="AA327" s="3">
        <f t="shared" si="81"/>
        <v>459.58202342267708</v>
      </c>
      <c r="AB327" s="3">
        <f t="shared" si="82"/>
        <v>21.437864245830951</v>
      </c>
      <c r="AD327" s="3">
        <f t="shared" si="83"/>
        <v>7.0294087559853683E-6</v>
      </c>
    </row>
    <row r="328" spans="3:30" x14ac:dyDescent="0.3">
      <c r="C328" s="22">
        <v>296</v>
      </c>
      <c r="D328" s="22">
        <v>3802</v>
      </c>
      <c r="F328" s="3">
        <f t="shared" si="70"/>
        <v>4680.5557422242664</v>
      </c>
      <c r="G328" s="3">
        <f t="shared" si="71"/>
        <v>768.258810794086</v>
      </c>
      <c r="H328" s="3">
        <f t="shared" si="72"/>
        <v>5.7496753309526563</v>
      </c>
      <c r="I328" s="3">
        <f t="shared" si="73"/>
        <v>1.6991462831242057</v>
      </c>
      <c r="J328" s="3">
        <f t="shared" si="74"/>
        <v>-1.9964956155276818</v>
      </c>
      <c r="K328" s="3">
        <f t="shared" si="75"/>
        <v>1.6546082997591003E-4</v>
      </c>
      <c r="L328" s="3" cm="1">
        <f t="array" ref="L328">lmb_2(F328)</f>
        <v>4672.1054728898662</v>
      </c>
      <c r="M328" s="3" cm="1">
        <f t="array" ref="M328">lmb_2(G328)</f>
        <v>761.61900827057889</v>
      </c>
      <c r="N328" s="3" cm="1">
        <f t="array" ref="N328">lmb_2(H328)</f>
        <v>4.2927481976094741</v>
      </c>
      <c r="O328" s="3" cm="1">
        <f t="array" ref="O328">lmb_2(I328)</f>
        <v>1.3782973500383333</v>
      </c>
      <c r="P328" s="3" cm="1">
        <f t="array" ref="P328">lmb_2(J328)</f>
        <v>0.12040431256607761</v>
      </c>
      <c r="R328" s="3">
        <f t="shared" si="76"/>
        <v>0.13262902582390151</v>
      </c>
      <c r="S328" s="3">
        <f t="shared" si="77"/>
        <v>7.4082152500444387</v>
      </c>
      <c r="T328" s="3">
        <f t="shared" si="78"/>
        <v>356.04713269249822</v>
      </c>
      <c r="U328" s="3">
        <f t="shared" si="68"/>
        <v>2820.4728125337615</v>
      </c>
      <c r="V328" s="3">
        <f t="shared" si="69"/>
        <v>0</v>
      </c>
      <c r="W328" s="3">
        <f t="shared" si="79"/>
        <v>672.32425084130932</v>
      </c>
      <c r="Y328" s="3">
        <f t="shared" si="80"/>
        <v>3856.3852058042671</v>
      </c>
      <c r="AA328" s="3">
        <f t="shared" si="81"/>
        <v>2957.7506103724895</v>
      </c>
      <c r="AB328" s="3">
        <f t="shared" si="82"/>
        <v>-54.385205804267116</v>
      </c>
      <c r="AD328" s="3">
        <f t="shared" si="83"/>
        <v>1.7832739189535968E-5</v>
      </c>
    </row>
    <row r="329" spans="3:30" x14ac:dyDescent="0.3">
      <c r="C329" s="22">
        <v>297</v>
      </c>
      <c r="D329" s="22">
        <v>3732</v>
      </c>
      <c r="F329" s="3">
        <f t="shared" si="70"/>
        <v>4712.2263937731195</v>
      </c>
      <c r="G329" s="3">
        <f t="shared" si="71"/>
        <v>773.45201132756279</v>
      </c>
      <c r="H329" s="3">
        <f t="shared" si="72"/>
        <v>5.7924698828132692</v>
      </c>
      <c r="I329" s="3">
        <f t="shared" si="73"/>
        <v>1.7107532728006274</v>
      </c>
      <c r="J329" s="3">
        <f t="shared" si="74"/>
        <v>-1.9958890666614522</v>
      </c>
      <c r="K329" s="3">
        <f t="shared" si="75"/>
        <v>1.5579306581113645E-4</v>
      </c>
      <c r="L329" s="3" cm="1">
        <f t="array" ref="L329">lmb_2(F329)</f>
        <v>4703.7693754464244</v>
      </c>
      <c r="M329" s="3" cm="1">
        <f t="array" ref="M329">lmb_2(G329)</f>
        <v>766.80544716795748</v>
      </c>
      <c r="N329" s="3" cm="1">
        <f t="array" ref="N329">lmb_2(H329)</f>
        <v>4.3274836523679108</v>
      </c>
      <c r="O329" s="3" cm="1">
        <f t="array" ref="O329">lmb_2(I329)</f>
        <v>1.385030855250369</v>
      </c>
      <c r="P329" s="3" cm="1">
        <f t="array" ref="P329">lmb_2(J329)</f>
        <v>0.12046951112386094</v>
      </c>
      <c r="R329" s="3">
        <f t="shared" si="76"/>
        <v>0.13129167224112331</v>
      </c>
      <c r="S329" s="3">
        <f t="shared" si="77"/>
        <v>7.333095703457519</v>
      </c>
      <c r="T329" s="3">
        <f t="shared" si="78"/>
        <v>352.07186167489397</v>
      </c>
      <c r="U329" s="3">
        <f t="shared" si="68"/>
        <v>2808.2921028380219</v>
      </c>
      <c r="V329" s="3">
        <f t="shared" si="69"/>
        <v>0</v>
      </c>
      <c r="W329" s="3">
        <f t="shared" si="79"/>
        <v>674.42669763469212</v>
      </c>
      <c r="Y329" s="3">
        <f t="shared" si="80"/>
        <v>3842.2552053163727</v>
      </c>
      <c r="AA329" s="3">
        <f t="shared" si="81"/>
        <v>12156.210299355491</v>
      </c>
      <c r="AB329" s="3">
        <f t="shared" si="82"/>
        <v>-110.25520531637267</v>
      </c>
      <c r="AD329" s="3">
        <f t="shared" si="83"/>
        <v>3.6152337600262364E-5</v>
      </c>
    </row>
    <row r="330" spans="3:30" x14ac:dyDescent="0.3">
      <c r="C330" s="22">
        <v>298</v>
      </c>
      <c r="D330" s="22">
        <v>3792</v>
      </c>
      <c r="F330" s="3">
        <f t="shared" si="70"/>
        <v>4744.003860335627</v>
      </c>
      <c r="G330" s="3">
        <f t="shared" si="71"/>
        <v>778.66272687127037</v>
      </c>
      <c r="H330" s="3">
        <f t="shared" si="72"/>
        <v>5.8354087670578974</v>
      </c>
      <c r="I330" s="3">
        <f t="shared" si="73"/>
        <v>1.722399409153867</v>
      </c>
      <c r="J330" s="3">
        <f t="shared" si="74"/>
        <v>-1.995280472099215</v>
      </c>
      <c r="K330" s="3">
        <f t="shared" si="75"/>
        <v>1.4669018255478869E-4</v>
      </c>
      <c r="L330" s="3" cm="1">
        <f t="array" ref="L330">lmb_2(F330)</f>
        <v>4735.5401157218039</v>
      </c>
      <c r="M330" s="3" cm="1">
        <f t="array" ref="M330">lmb_2(G330)</f>
        <v>772.00942388317253</v>
      </c>
      <c r="N330" s="3" cm="1">
        <f t="array" ref="N330">lmb_2(H330)</f>
        <v>4.3623889381558127</v>
      </c>
      <c r="O330" s="3" cm="1">
        <f t="array" ref="O330">lmb_2(I330)</f>
        <v>1.3918008936460806</v>
      </c>
      <c r="P330" s="3" cm="1">
        <f t="array" ref="P330">lmb_2(J330)</f>
        <v>0.12053496124230002</v>
      </c>
      <c r="R330" s="3">
        <f t="shared" si="76"/>
        <v>0.12997224320588036</v>
      </c>
      <c r="S330" s="3">
        <f t="shared" si="77"/>
        <v>7.2589892899540844</v>
      </c>
      <c r="T330" s="3">
        <f t="shared" si="78"/>
        <v>348.14967912671858</v>
      </c>
      <c r="U330" s="3">
        <f t="shared" si="68"/>
        <v>2796.104568555751</v>
      </c>
      <c r="V330" s="3">
        <f t="shared" si="69"/>
        <v>0</v>
      </c>
      <c r="W330" s="3">
        <f t="shared" si="79"/>
        <v>676.52914442807491</v>
      </c>
      <c r="Y330" s="3">
        <f t="shared" si="80"/>
        <v>3828.1725003338875</v>
      </c>
      <c r="AA330" s="3">
        <f t="shared" si="81"/>
        <v>1308.4497804050882</v>
      </c>
      <c r="AB330" s="3">
        <f t="shared" si="82"/>
        <v>-36.172500333887456</v>
      </c>
      <c r="AD330" s="3">
        <f t="shared" si="83"/>
        <v>1.1860849926893281E-5</v>
      </c>
    </row>
    <row r="331" spans="3:30" x14ac:dyDescent="0.3">
      <c r="C331" s="22">
        <v>299</v>
      </c>
      <c r="D331" s="22">
        <v>3747</v>
      </c>
      <c r="F331" s="3">
        <f t="shared" si="70"/>
        <v>4775.8881419117897</v>
      </c>
      <c r="G331" s="3">
        <f t="shared" si="71"/>
        <v>783.89095742520897</v>
      </c>
      <c r="H331" s="3">
        <f t="shared" si="72"/>
        <v>5.8784919836865415</v>
      </c>
      <c r="I331" s="3">
        <f t="shared" si="73"/>
        <v>1.7340846921839246</v>
      </c>
      <c r="J331" s="3">
        <f t="shared" si="74"/>
        <v>-1.9946698318409704</v>
      </c>
      <c r="K331" s="3">
        <f t="shared" si="75"/>
        <v>1.381191745982001E-4</v>
      </c>
      <c r="L331" s="3" cm="1">
        <f t="array" ref="L331">lmb_2(F331)</f>
        <v>4767.4176935637151</v>
      </c>
      <c r="M331" s="3" cm="1">
        <f t="array" ref="M331">lmb_2(G331)</f>
        <v>777.23093826281217</v>
      </c>
      <c r="N331" s="3" cm="1">
        <f t="array" ref="N331">lmb_2(H331)</f>
        <v>4.3974639776439179</v>
      </c>
      <c r="O331" s="3" cm="1">
        <f t="array" ref="O331">lmb_2(I331)</f>
        <v>1.3986075544638377</v>
      </c>
      <c r="P331" s="3" cm="1">
        <f t="array" ref="P331">lmb_2(J331)</f>
        <v>0.12060066325299167</v>
      </c>
      <c r="R331" s="3">
        <f t="shared" si="76"/>
        <v>0.12867043934877612</v>
      </c>
      <c r="S331" s="3">
        <f t="shared" si="77"/>
        <v>7.1858789741389195</v>
      </c>
      <c r="T331" s="3">
        <f t="shared" si="78"/>
        <v>344.27982559376841</v>
      </c>
      <c r="U331" s="3">
        <f t="shared" si="68"/>
        <v>2783.9113478659042</v>
      </c>
      <c r="V331" s="3">
        <f t="shared" si="69"/>
        <v>0</v>
      </c>
      <c r="W331" s="3">
        <f t="shared" si="79"/>
        <v>678.63159122145771</v>
      </c>
      <c r="Y331" s="3">
        <f t="shared" si="80"/>
        <v>3814.1374522137926</v>
      </c>
      <c r="AA331" s="3">
        <f t="shared" si="81"/>
        <v>4507.4374897592825</v>
      </c>
      <c r="AB331" s="3">
        <f t="shared" si="82"/>
        <v>-67.137452213792585</v>
      </c>
      <c r="AD331" s="3">
        <f t="shared" si="83"/>
        <v>2.201416097398606E-5</v>
      </c>
    </row>
    <row r="332" spans="3:30" x14ac:dyDescent="0.3">
      <c r="C332" s="22">
        <v>300</v>
      </c>
      <c r="D332" s="22">
        <v>3820</v>
      </c>
      <c r="F332" s="3">
        <f t="shared" si="70"/>
        <v>4807.8792385016095</v>
      </c>
      <c r="G332" s="3">
        <f t="shared" si="71"/>
        <v>789.1367029893787</v>
      </c>
      <c r="H332" s="3">
        <f t="shared" si="72"/>
        <v>5.9217195326992016</v>
      </c>
      <c r="I332" s="3">
        <f t="shared" si="73"/>
        <v>1.7458091218907987</v>
      </c>
      <c r="J332" s="3">
        <f t="shared" si="74"/>
        <v>-1.9940571458867182</v>
      </c>
      <c r="K332" s="3">
        <f t="shared" si="75"/>
        <v>1.3004896482805088E-4</v>
      </c>
      <c r="L332" s="3" cm="1">
        <f t="array" ref="L332">lmb_2(F332)</f>
        <v>4799.402108821394</v>
      </c>
      <c r="M332" s="3" cm="1">
        <f t="array" ref="M332">lmb_2(G332)</f>
        <v>782.46999015500739</v>
      </c>
      <c r="N332" s="3" cm="1">
        <f t="array" ref="N332">lmb_2(H332)</f>
        <v>4.432708692495928</v>
      </c>
      <c r="O332" s="3" cm="1">
        <f t="array" ref="O332">lmb_2(I332)</f>
        <v>1.4054509264816102</v>
      </c>
      <c r="P332" s="3" cm="1">
        <f t="array" ref="P332">lmb_2(J332)</f>
        <v>0.1206666174888454</v>
      </c>
      <c r="R332" s="3">
        <f t="shared" si="76"/>
        <v>0.12738596728162255</v>
      </c>
      <c r="S332" s="3">
        <f t="shared" si="77"/>
        <v>7.1137480634019372</v>
      </c>
      <c r="T332" s="3">
        <f t="shared" si="78"/>
        <v>340.46155162982865</v>
      </c>
      <c r="U332" s="3">
        <f t="shared" si="68"/>
        <v>2771.7135638453265</v>
      </c>
      <c r="V332" s="3">
        <f t="shared" si="69"/>
        <v>0</v>
      </c>
      <c r="W332" s="3">
        <f t="shared" si="79"/>
        <v>680.73403801484051</v>
      </c>
      <c r="Y332" s="3">
        <f t="shared" si="80"/>
        <v>3800.1504175696437</v>
      </c>
      <c r="AA332" s="3">
        <f t="shared" si="81"/>
        <v>394.0059226595115</v>
      </c>
      <c r="AB332" s="3">
        <f t="shared" si="82"/>
        <v>19.84958243035635</v>
      </c>
      <c r="AD332" s="3">
        <f t="shared" si="83"/>
        <v>6.5086161073967518E-6</v>
      </c>
    </row>
    <row r="333" spans="3:30" x14ac:dyDescent="0.3">
      <c r="C333" s="22">
        <v>301</v>
      </c>
      <c r="D333" s="22">
        <v>3804</v>
      </c>
      <c r="F333" s="3">
        <f t="shared" si="70"/>
        <v>4839.9771501050827</v>
      </c>
      <c r="G333" s="3">
        <f t="shared" si="71"/>
        <v>794.39996356377912</v>
      </c>
      <c r="H333" s="3">
        <f t="shared" si="72"/>
        <v>5.9650914140958777</v>
      </c>
      <c r="I333" s="3">
        <f t="shared" si="73"/>
        <v>1.7575726982744913</v>
      </c>
      <c r="J333" s="3">
        <f t="shared" si="74"/>
        <v>-1.9934424142364584</v>
      </c>
      <c r="K333" s="3">
        <f t="shared" si="75"/>
        <v>1.2245029194569209E-4</v>
      </c>
      <c r="L333" s="3" cm="1">
        <f t="array" ref="L333">lmb_2(F333)</f>
        <v>4831.4933613455823</v>
      </c>
      <c r="M333" s="3" cm="1">
        <f t="array" ref="M333">lmb_2(G333)</f>
        <v>787.72657940941019</v>
      </c>
      <c r="N333" s="3" cm="1">
        <f t="array" ref="N333">lmb_2(H333)</f>
        <v>4.4681230034090733</v>
      </c>
      <c r="O333" s="3" cm="1">
        <f t="array" ref="O333">lmb_2(I333)</f>
        <v>1.4123310980134987</v>
      </c>
      <c r="P333" s="3" cm="1">
        <f t="array" ref="P333">lmb_2(J333)</f>
        <v>0.12073282428408556</v>
      </c>
      <c r="R333" s="3">
        <f t="shared" si="76"/>
        <v>0.12611853945845969</v>
      </c>
      <c r="S333" s="3">
        <f t="shared" si="77"/>
        <v>7.0425801998941635</v>
      </c>
      <c r="T333" s="3">
        <f t="shared" si="78"/>
        <v>336.6941177300007</v>
      </c>
      <c r="U333" s="3">
        <f t="shared" si="68"/>
        <v>2759.5123244873193</v>
      </c>
      <c r="V333" s="3">
        <f t="shared" si="69"/>
        <v>0</v>
      </c>
      <c r="W333" s="3">
        <f t="shared" si="79"/>
        <v>682.8364848082233</v>
      </c>
      <c r="Y333" s="3">
        <f t="shared" si="80"/>
        <v>3786.211748215188</v>
      </c>
      <c r="AA333" s="3">
        <f t="shared" si="81"/>
        <v>316.42190155986799</v>
      </c>
      <c r="AB333" s="3">
        <f t="shared" si="82"/>
        <v>17.788251784812019</v>
      </c>
      <c r="AD333" s="3">
        <f t="shared" si="83"/>
        <v>5.832712224313428E-6</v>
      </c>
    </row>
    <row r="334" spans="3:30" x14ac:dyDescent="0.3">
      <c r="C334" s="22">
        <v>302</v>
      </c>
      <c r="D334" s="22">
        <v>3646</v>
      </c>
      <c r="F334" s="3">
        <f t="shared" si="70"/>
        <v>4872.181876722213</v>
      </c>
      <c r="G334" s="3">
        <f t="shared" si="71"/>
        <v>799.68073914841068</v>
      </c>
      <c r="H334" s="3">
        <f t="shared" si="72"/>
        <v>6.0086076278765681</v>
      </c>
      <c r="I334" s="3">
        <f t="shared" si="73"/>
        <v>1.7693754213350008</v>
      </c>
      <c r="J334" s="3">
        <f t="shared" si="74"/>
        <v>-1.9928256368901913</v>
      </c>
      <c r="K334" s="3">
        <f t="shared" si="75"/>
        <v>1.1529560437032466E-4</v>
      </c>
      <c r="L334" s="3" cm="1">
        <f t="array" ref="L334">lmb_2(F334)</f>
        <v>4863.6914509885119</v>
      </c>
      <c r="M334" s="3" cm="1">
        <f t="array" ref="M334">lmb_2(G334)</f>
        <v>793.00070587717562</v>
      </c>
      <c r="N334" s="3" cm="1">
        <f t="array" ref="N334">lmb_2(H334)</f>
        <v>4.5037068301537486</v>
      </c>
      <c r="O334" s="3" cm="1">
        <f t="array" ref="O334">lmb_2(I334)</f>
        <v>1.4192481569063331</v>
      </c>
      <c r="P334" s="3" cm="1">
        <f t="array" ref="P334">lmb_2(J334)</f>
        <v>0.12079928397425303</v>
      </c>
      <c r="R334" s="3">
        <f t="shared" si="76"/>
        <v>0.12486787404025403</v>
      </c>
      <c r="S334" s="3">
        <f t="shared" si="77"/>
        <v>6.9723593527177181</v>
      </c>
      <c r="T334" s="3">
        <f t="shared" si="78"/>
        <v>332.97679426110756</v>
      </c>
      <c r="U334" s="3">
        <f t="shared" si="68"/>
        <v>2747.3087227236729</v>
      </c>
      <c r="V334" s="3">
        <f t="shared" si="69"/>
        <v>0</v>
      </c>
      <c r="W334" s="3">
        <f t="shared" si="79"/>
        <v>684.9389316016061</v>
      </c>
      <c r="Y334" s="3">
        <f t="shared" si="80"/>
        <v>3772.321791108749</v>
      </c>
      <c r="AA334" s="3">
        <f t="shared" si="81"/>
        <v>15957.194908922427</v>
      </c>
      <c r="AB334" s="3">
        <f t="shared" si="82"/>
        <v>-126.32179110874904</v>
      </c>
      <c r="AD334" s="3">
        <f t="shared" si="83"/>
        <v>4.1420520920794584E-5</v>
      </c>
    </row>
    <row r="335" spans="3:30" x14ac:dyDescent="0.3">
      <c r="C335" s="22">
        <v>303</v>
      </c>
      <c r="D335" s="22">
        <v>3711</v>
      </c>
      <c r="F335" s="3">
        <f t="shared" si="70"/>
        <v>4904.4934183529986</v>
      </c>
      <c r="G335" s="3">
        <f t="shared" si="71"/>
        <v>804.97902974327303</v>
      </c>
      <c r="H335" s="3">
        <f t="shared" si="72"/>
        <v>6.0522681740412745</v>
      </c>
      <c r="I335" s="3">
        <f t="shared" si="73"/>
        <v>1.7812172910723287</v>
      </c>
      <c r="J335" s="3">
        <f t="shared" si="74"/>
        <v>-1.9922068138479165</v>
      </c>
      <c r="K335" s="3">
        <f t="shared" si="75"/>
        <v>1.0855896034134437E-4</v>
      </c>
      <c r="L335" s="3" cm="1">
        <f t="array" ref="L335">lmb_2(F335)</f>
        <v>4895.9963776038785</v>
      </c>
      <c r="M335" s="3" cm="1">
        <f t="array" ref="M335">lmb_2(G335)</f>
        <v>798.29236941093961</v>
      </c>
      <c r="N335" s="3" cm="1">
        <f t="array" ref="N335">lmb_2(H335)</f>
        <v>4.5394600916122361</v>
      </c>
      <c r="O335" s="3" cm="1">
        <f t="array" ref="O335">lmb_2(I335)</f>
        <v>1.4262021905363567</v>
      </c>
      <c r="P335" s="3" cm="1">
        <f t="array" ref="P335">lmb_2(J335)</f>
        <v>0.12086599689620767</v>
      </c>
      <c r="R335" s="3">
        <f t="shared" si="76"/>
        <v>0.12363369476316732</v>
      </c>
      <c r="S335" s="3">
        <f t="shared" si="77"/>
        <v>6.9030698103234682</v>
      </c>
      <c r="T335" s="3">
        <f t="shared" si="78"/>
        <v>329.30886138937223</v>
      </c>
      <c r="U335" s="3">
        <f t="shared" si="68"/>
        <v>2735.1038364501019</v>
      </c>
      <c r="V335" s="3">
        <f t="shared" si="69"/>
        <v>0</v>
      </c>
      <c r="W335" s="3">
        <f t="shared" si="79"/>
        <v>687.0413783949889</v>
      </c>
      <c r="Y335" s="3">
        <f t="shared" si="80"/>
        <v>3758.4808882985099</v>
      </c>
      <c r="AA335" s="3">
        <f t="shared" si="81"/>
        <v>2254.4347536155701</v>
      </c>
      <c r="AB335" s="3">
        <f t="shared" si="82"/>
        <v>-47.480888298509853</v>
      </c>
      <c r="AD335" s="3">
        <f t="shared" si="83"/>
        <v>1.5568835035067247E-5</v>
      </c>
    </row>
    <row r="336" spans="3:30" x14ac:dyDescent="0.3">
      <c r="C336" s="22">
        <v>304</v>
      </c>
      <c r="D336" s="22">
        <v>3768</v>
      </c>
      <c r="F336" s="3">
        <f t="shared" si="70"/>
        <v>4936.9117749974384</v>
      </c>
      <c r="G336" s="3">
        <f t="shared" si="71"/>
        <v>810.29483534836641</v>
      </c>
      <c r="H336" s="3">
        <f t="shared" si="72"/>
        <v>6.0960730525899995</v>
      </c>
      <c r="I336" s="3">
        <f t="shared" si="73"/>
        <v>1.7930983074864737</v>
      </c>
      <c r="J336" s="3">
        <f t="shared" si="74"/>
        <v>-1.9915859451096343</v>
      </c>
      <c r="K336" s="3">
        <f t="shared" si="75"/>
        <v>1.0221593385763865E-4</v>
      </c>
      <c r="L336" s="3" cm="1">
        <f t="array" ref="L336">lmb_2(F336)</f>
        <v>4928.408141046827</v>
      </c>
      <c r="M336" s="3" cm="1">
        <f t="array" ref="M336">lmb_2(G336)</f>
        <v>803.60156986480104</v>
      </c>
      <c r="N336" s="3" cm="1">
        <f t="array" ref="N336">lmb_2(H336)</f>
        <v>4.5753827058165166</v>
      </c>
      <c r="O336" s="3" cm="1">
        <f t="array" ref="O336">lmb_2(I336)</f>
        <v>1.4331932858059837</v>
      </c>
      <c r="P336" s="3" cm="1">
        <f t="array" ref="P336">lmb_2(J336)</f>
        <v>0.12093296338813</v>
      </c>
      <c r="R336" s="3">
        <f t="shared" si="76"/>
        <v>0.12241573081028925</v>
      </c>
      <c r="S336" s="3">
        <f t="shared" si="77"/>
        <v>6.8346961731100659</v>
      </c>
      <c r="T336" s="3">
        <f t="shared" si="78"/>
        <v>325.68960900556181</v>
      </c>
      <c r="U336" s="3">
        <f t="shared" si="68"/>
        <v>2722.8987285549993</v>
      </c>
      <c r="V336" s="3">
        <f t="shared" si="69"/>
        <v>0</v>
      </c>
      <c r="W336" s="3">
        <f t="shared" si="79"/>
        <v>689.14382518837169</v>
      </c>
      <c r="Y336" s="3">
        <f t="shared" si="80"/>
        <v>3744.6893768687869</v>
      </c>
      <c r="AA336" s="3">
        <f t="shared" si="81"/>
        <v>543.38515076544752</v>
      </c>
      <c r="AB336" s="3">
        <f t="shared" si="82"/>
        <v>23.310623131213106</v>
      </c>
      <c r="AD336" s="3">
        <f t="shared" si="83"/>
        <v>7.6434805476431966E-6</v>
      </c>
    </row>
    <row r="337" spans="3:30" x14ac:dyDescent="0.3">
      <c r="C337" s="22">
        <v>305</v>
      </c>
      <c r="D337" s="22">
        <v>3657</v>
      </c>
      <c r="F337" s="3">
        <f t="shared" si="70"/>
        <v>4969.4369466555354</v>
      </c>
      <c r="G337" s="3">
        <f t="shared" si="71"/>
        <v>815.62815596369069</v>
      </c>
      <c r="H337" s="3">
        <f t="shared" si="72"/>
        <v>6.1400222635227371</v>
      </c>
      <c r="I337" s="3">
        <f t="shared" si="73"/>
        <v>1.8050184705774366</v>
      </c>
      <c r="J337" s="3">
        <f t="shared" si="74"/>
        <v>-1.9909630306753445</v>
      </c>
      <c r="K337" s="3">
        <f t="shared" si="75"/>
        <v>9.6243526112786779E-5</v>
      </c>
      <c r="L337" s="3" cm="1">
        <f t="array" ref="L337">lmb_2(F337)</f>
        <v>4960.9267411739329</v>
      </c>
      <c r="M337" s="3" cm="1">
        <f t="array" ref="M337">lmb_2(G337)</f>
        <v>808.9283070943012</v>
      </c>
      <c r="N337" s="3" cm="1">
        <f t="array" ref="N337">lmb_2(H337)</f>
        <v>4.6114745899851917</v>
      </c>
      <c r="O337" s="3" cm="1">
        <f t="array" ref="O337">lmb_2(I337)</f>
        <v>1.4402215291406386</v>
      </c>
      <c r="P337" s="3" cm="1">
        <f t="array" ref="P337">lmb_2(J337)</f>
        <v>0.12100018378952347</v>
      </c>
      <c r="R337" s="3">
        <f t="shared" si="76"/>
        <v>0.12121371668673227</v>
      </c>
      <c r="S337" s="3">
        <f t="shared" si="77"/>
        <v>6.7672233462184757</v>
      </c>
      <c r="T337" s="3">
        <f t="shared" si="78"/>
        <v>322.11833664777743</v>
      </c>
      <c r="U337" s="3">
        <f t="shared" si="68"/>
        <v>2710.6944469514669</v>
      </c>
      <c r="V337" s="3">
        <f t="shared" si="69"/>
        <v>0</v>
      </c>
      <c r="W337" s="3">
        <f t="shared" si="79"/>
        <v>691.24627198175449</v>
      </c>
      <c r="Y337" s="3">
        <f t="shared" si="80"/>
        <v>3730.9475888874299</v>
      </c>
      <c r="AA337" s="3">
        <f t="shared" si="81"/>
        <v>5468.2459022643461</v>
      </c>
      <c r="AB337" s="3">
        <f t="shared" si="82"/>
        <v>-73.947588887429902</v>
      </c>
      <c r="AD337" s="3">
        <f t="shared" si="83"/>
        <v>2.4247183527640527E-5</v>
      </c>
    </row>
    <row r="338" spans="3:30" x14ac:dyDescent="0.3">
      <c r="C338" s="22">
        <v>306</v>
      </c>
      <c r="D338" s="22">
        <v>3656</v>
      </c>
      <c r="F338" s="3">
        <f t="shared" si="70"/>
        <v>5002.0689333272867</v>
      </c>
      <c r="G338" s="3">
        <f t="shared" si="71"/>
        <v>820.97899158924599</v>
      </c>
      <c r="H338" s="3">
        <f t="shared" si="72"/>
        <v>6.1841158068394897</v>
      </c>
      <c r="I338" s="3">
        <f t="shared" si="73"/>
        <v>1.8169777803452174</v>
      </c>
      <c r="J338" s="3">
        <f t="shared" si="74"/>
        <v>-1.9903380705450471</v>
      </c>
      <c r="K338" s="3">
        <f t="shared" si="75"/>
        <v>9.0620082105041132E-5</v>
      </c>
      <c r="L338" s="3" cm="1">
        <f t="array" ref="L338">lmb_2(F338)</f>
        <v>4993.5521778431785</v>
      </c>
      <c r="M338" s="3" cm="1">
        <f t="array" ref="M338">lmb_2(G338)</f>
        <v>814.27258095640593</v>
      </c>
      <c r="N338" s="3" cm="1">
        <f t="array" ref="N338">lmb_2(H338)</f>
        <v>4.6477356605595528</v>
      </c>
      <c r="O338" s="3" cm="1">
        <f t="array" ref="O338">lmb_2(I338)</f>
        <v>1.4472870064856715</v>
      </c>
      <c r="P338" s="3" cm="1">
        <f t="array" ref="P338">lmb_2(J338)</f>
        <v>0.12106765844121634</v>
      </c>
      <c r="R338" s="3">
        <f t="shared" si="76"/>
        <v>0.12002739209799002</v>
      </c>
      <c r="S338" s="3">
        <f t="shared" si="77"/>
        <v>6.7006365325161106</v>
      </c>
      <c r="T338" s="3">
        <f t="shared" si="78"/>
        <v>318.59435342206007</v>
      </c>
      <c r="U338" s="3">
        <f t="shared" si="68"/>
        <v>2698.4920246125371</v>
      </c>
      <c r="V338" s="3">
        <f t="shared" si="69"/>
        <v>0</v>
      </c>
      <c r="W338" s="3">
        <f t="shared" si="79"/>
        <v>693.34871877513729</v>
      </c>
      <c r="Y338" s="3">
        <f t="shared" si="80"/>
        <v>3717.2558513544309</v>
      </c>
      <c r="AA338" s="3">
        <f t="shared" si="81"/>
        <v>3752.2793251561325</v>
      </c>
      <c r="AB338" s="3">
        <f t="shared" si="82"/>
        <v>-61.255851354430888</v>
      </c>
      <c r="AD338" s="3">
        <f t="shared" si="83"/>
        <v>2.0085602414891329E-5</v>
      </c>
    </row>
    <row r="339" spans="3:30" x14ac:dyDescent="0.3">
      <c r="C339" s="22">
        <v>307</v>
      </c>
      <c r="D339" s="22">
        <v>3702</v>
      </c>
      <c r="F339" s="3">
        <f t="shared" si="70"/>
        <v>5034.8077350126932</v>
      </c>
      <c r="G339" s="3">
        <f t="shared" si="71"/>
        <v>826.34734222503221</v>
      </c>
      <c r="H339" s="3">
        <f t="shared" si="72"/>
        <v>6.2283536825402583</v>
      </c>
      <c r="I339" s="3">
        <f t="shared" si="73"/>
        <v>1.8289762367898148</v>
      </c>
      <c r="J339" s="3">
        <f t="shared" si="74"/>
        <v>-1.9897110647187424</v>
      </c>
      <c r="K339" s="3">
        <f t="shared" si="75"/>
        <v>8.5325212119730974E-5</v>
      </c>
      <c r="L339" s="3" cm="1">
        <f t="array" ref="L339">lmb_2(F339)</f>
        <v>5026.2844509139404</v>
      </c>
      <c r="M339" s="3" cm="1">
        <f t="array" ref="M339">lmb_2(G339)</f>
        <v>819.63439130948575</v>
      </c>
      <c r="N339" s="3" cm="1">
        <f t="array" ref="N339">lmb_2(H339)</f>
        <v>4.684165833238767</v>
      </c>
      <c r="O339" s="3" cm="1">
        <f t="array" ref="O339">lmb_2(I339)</f>
        <v>1.4543898033033524</v>
      </c>
      <c r="P339" s="3" cm="1">
        <f t="array" ref="P339">lmb_2(J339)</f>
        <v>0.12113538768536379</v>
      </c>
      <c r="R339" s="3">
        <f t="shared" si="76"/>
        <v>0.11885650183146269</v>
      </c>
      <c r="S339" s="3">
        <f t="shared" si="77"/>
        <v>6.6349212257650958</v>
      </c>
      <c r="T339" s="3">
        <f t="shared" si="78"/>
        <v>315.11697792098602</v>
      </c>
      <c r="U339" s="3">
        <f t="shared" si="68"/>
        <v>2686.2924796095331</v>
      </c>
      <c r="V339" s="3">
        <f t="shared" si="69"/>
        <v>0</v>
      </c>
      <c r="W339" s="3">
        <f t="shared" si="79"/>
        <v>695.45116556852008</v>
      </c>
      <c r="Y339" s="3">
        <f t="shared" si="80"/>
        <v>3703.6144861518478</v>
      </c>
      <c r="AA339" s="3">
        <f t="shared" si="81"/>
        <v>2.6065655345083618</v>
      </c>
      <c r="AB339" s="3">
        <f t="shared" si="82"/>
        <v>-1.6144861518478137</v>
      </c>
      <c r="AD339" s="3">
        <f t="shared" si="83"/>
        <v>5.2938496867397487E-7</v>
      </c>
    </row>
    <row r="340" spans="3:30" x14ac:dyDescent="0.3">
      <c r="C340" s="22">
        <v>308</v>
      </c>
      <c r="D340" s="22">
        <v>3717</v>
      </c>
      <c r="F340" s="3">
        <f t="shared" si="70"/>
        <v>5067.6533517117568</v>
      </c>
      <c r="G340" s="3">
        <f t="shared" si="71"/>
        <v>831.73320787104944</v>
      </c>
      <c r="H340" s="3">
        <f t="shared" si="72"/>
        <v>6.2727358906250421</v>
      </c>
      <c r="I340" s="3">
        <f t="shared" si="73"/>
        <v>1.8410138399112306</v>
      </c>
      <c r="J340" s="3">
        <f t="shared" si="74"/>
        <v>-1.98908201319643</v>
      </c>
      <c r="K340" s="3">
        <f t="shared" si="75"/>
        <v>8.0339717799395813E-5</v>
      </c>
      <c r="L340" s="3" cm="1">
        <f t="array" ref="L340">lmb_2(F340)</f>
        <v>5059.1235602469687</v>
      </c>
      <c r="M340" s="3" cm="1">
        <f t="array" ref="M340">lmb_2(G340)</f>
        <v>825.01373801329896</v>
      </c>
      <c r="N340" s="3" cm="1">
        <f t="array" ref="N340">lmb_2(H340)</f>
        <v>4.7207650230142262</v>
      </c>
      <c r="O340" s="3" cm="1">
        <f t="array" ref="O340">lmb_2(I340)</f>
        <v>1.4615300045699464</v>
      </c>
      <c r="P340" s="3" cm="1">
        <f t="array" ref="P340">lmb_2(J340)</f>
        <v>0.12120337186545009</v>
      </c>
      <c r="R340" s="3">
        <f t="shared" si="76"/>
        <v>0.11770079564105843</v>
      </c>
      <c r="S340" s="3">
        <f t="shared" si="77"/>
        <v>6.5700632039690756</v>
      </c>
      <c r="T340" s="3">
        <f t="shared" si="78"/>
        <v>311.68553814040666</v>
      </c>
      <c r="U340" s="3">
        <f t="shared" si="68"/>
        <v>2674.0968151534912</v>
      </c>
      <c r="V340" s="3">
        <f t="shared" si="69"/>
        <v>0</v>
      </c>
      <c r="W340" s="3">
        <f t="shared" si="79"/>
        <v>697.55361236190288</v>
      </c>
      <c r="Y340" s="3">
        <f t="shared" si="80"/>
        <v>3690.0238099951284</v>
      </c>
      <c r="AA340" s="3">
        <f t="shared" si="81"/>
        <v>727.71482717893275</v>
      </c>
      <c r="AB340" s="3">
        <f t="shared" si="82"/>
        <v>26.976190004871569</v>
      </c>
      <c r="AD340" s="3">
        <f t="shared" si="83"/>
        <v>8.8454084814090616E-6</v>
      </c>
    </row>
    <row r="341" spans="3:30" x14ac:dyDescent="0.3">
      <c r="C341" s="22">
        <v>309</v>
      </c>
      <c r="D341" s="22">
        <v>3731</v>
      </c>
      <c r="F341" s="3">
        <f t="shared" si="70"/>
        <v>5100.6057834244748</v>
      </c>
      <c r="G341" s="3">
        <f t="shared" si="71"/>
        <v>837.13658852729748</v>
      </c>
      <c r="H341" s="3">
        <f t="shared" si="72"/>
        <v>6.3172624310938428</v>
      </c>
      <c r="I341" s="3">
        <f t="shared" si="73"/>
        <v>1.8530905897094634</v>
      </c>
      <c r="J341" s="3">
        <f t="shared" si="74"/>
        <v>-1.9884509159781101</v>
      </c>
      <c r="K341" s="3">
        <f t="shared" si="75"/>
        <v>7.5645522533591196E-5</v>
      </c>
      <c r="L341" s="3" cm="1">
        <f t="array" ref="L341">lmb_2(F341)</f>
        <v>5092.0695057043667</v>
      </c>
      <c r="M341" s="3" cm="1">
        <f t="array" ref="M341">lmb_2(G341)</f>
        <v>830.41062092897209</v>
      </c>
      <c r="N341" s="3" cm="1">
        <f t="array" ref="N341">lmb_2(H341)</f>
        <v>4.7575331442030748</v>
      </c>
      <c r="O341" s="3" cm="1">
        <f t="array" ref="O341">lmb_2(I341)</f>
        <v>1.4687076947728634</v>
      </c>
      <c r="P341" s="3" cm="1">
        <f t="array" ref="P341">lmb_2(J341)</f>
        <v>0.12127161132629061</v>
      </c>
      <c r="R341" s="3">
        <f t="shared" si="76"/>
        <v>0.11656002813477956</v>
      </c>
      <c r="S341" s="3">
        <f t="shared" si="77"/>
        <v>6.5060485228935363</v>
      </c>
      <c r="T341" s="3">
        <f t="shared" si="78"/>
        <v>308.2993713944872</v>
      </c>
      <c r="U341" s="3">
        <f t="shared" si="68"/>
        <v>2661.9060196395912</v>
      </c>
      <c r="V341" s="3">
        <f t="shared" si="69"/>
        <v>0</v>
      </c>
      <c r="W341" s="3">
        <f t="shared" si="79"/>
        <v>699.65605915528567</v>
      </c>
      <c r="Y341" s="3">
        <f t="shared" si="80"/>
        <v>3676.4841343859148</v>
      </c>
      <c r="AA341" s="3">
        <f t="shared" si="81"/>
        <v>2971.9796036529988</v>
      </c>
      <c r="AB341" s="3">
        <f t="shared" si="82"/>
        <v>54.515865614085214</v>
      </c>
      <c r="AD341" s="3">
        <f t="shared" si="83"/>
        <v>1.787558213324802E-5</v>
      </c>
    </row>
    <row r="342" spans="3:30" x14ac:dyDescent="0.3">
      <c r="C342" s="22">
        <v>310</v>
      </c>
      <c r="D342" s="22">
        <v>3595</v>
      </c>
      <c r="F342" s="3">
        <f t="shared" si="70"/>
        <v>5133.6650301508489</v>
      </c>
      <c r="G342" s="3">
        <f t="shared" si="71"/>
        <v>842.55748419377653</v>
      </c>
      <c r="H342" s="3">
        <f t="shared" si="72"/>
        <v>6.3619333039466586</v>
      </c>
      <c r="I342" s="3">
        <f t="shared" si="73"/>
        <v>1.8652064861845146</v>
      </c>
      <c r="J342" s="3">
        <f t="shared" si="74"/>
        <v>-1.9878177730637827</v>
      </c>
      <c r="K342" s="3">
        <f t="shared" si="75"/>
        <v>7.1225605915970565E-5</v>
      </c>
      <c r="L342" s="3" cm="1">
        <f t="array" ref="L342">lmb_2(F342)</f>
        <v>5125.1222871495793</v>
      </c>
      <c r="M342" s="3" cm="1">
        <f t="array" ref="M342">lmb_2(G342)</f>
        <v>835.82503991898352</v>
      </c>
      <c r="N342" s="3" cm="1">
        <f t="array" ref="N342">lmb_2(H342)</f>
        <v>4.7944701104809067</v>
      </c>
      <c r="O342" s="3" cm="1">
        <f t="array" ref="O342">lmb_2(I342)</f>
        <v>1.4759229579078903</v>
      </c>
      <c r="P342" s="3" cm="1">
        <f t="array" ref="P342">lmb_2(J342)</f>
        <v>0.12134010641403374</v>
      </c>
      <c r="R342" s="3">
        <f t="shared" si="76"/>
        <v>0.11543395866520818</v>
      </c>
      <c r="S342" s="3">
        <f t="shared" si="77"/>
        <v>6.4428635097543614</v>
      </c>
      <c r="T342" s="3">
        <f t="shared" si="78"/>
        <v>304.9578242291895</v>
      </c>
      <c r="U342" s="3">
        <f t="shared" si="68"/>
        <v>2649.7210666945148</v>
      </c>
      <c r="V342" s="3">
        <f t="shared" si="69"/>
        <v>0</v>
      </c>
      <c r="W342" s="3">
        <f t="shared" si="79"/>
        <v>701.75850594866859</v>
      </c>
      <c r="Y342" s="3">
        <f t="shared" si="80"/>
        <v>3662.9957655663984</v>
      </c>
      <c r="AA342" s="3">
        <f t="shared" si="81"/>
        <v>4623.4241349606109</v>
      </c>
      <c r="AB342" s="3">
        <f t="shared" si="82"/>
        <v>-67.995765566398404</v>
      </c>
      <c r="AD342" s="3">
        <f t="shared" si="83"/>
        <v>2.229559924260276E-5</v>
      </c>
    </row>
    <row r="343" spans="3:30" x14ac:dyDescent="0.3">
      <c r="C343" s="22">
        <v>311</v>
      </c>
      <c r="D343" s="22">
        <v>3512</v>
      </c>
      <c r="F343" s="3">
        <f t="shared" si="70"/>
        <v>5166.8310918908774</v>
      </c>
      <c r="G343" s="3">
        <f t="shared" si="71"/>
        <v>847.9958948704865</v>
      </c>
      <c r="H343" s="3">
        <f t="shared" si="72"/>
        <v>6.4067485091834895</v>
      </c>
      <c r="I343" s="3">
        <f t="shared" si="73"/>
        <v>1.8773615293363837</v>
      </c>
      <c r="J343" s="3">
        <f t="shared" si="74"/>
        <v>-1.9871825844534479</v>
      </c>
      <c r="K343" s="3">
        <f t="shared" si="75"/>
        <v>6.7063942030995736E-5</v>
      </c>
      <c r="L343" s="3" cm="1">
        <f t="array" ref="L343">lmb_2(F343)</f>
        <v>5158.2819044473672</v>
      </c>
      <c r="M343" s="3" cm="1">
        <f t="array" ref="M343">lmb_2(G343)</f>
        <v>841.25699484714494</v>
      </c>
      <c r="N343" s="3" cm="1">
        <f t="array" ref="N343">lmb_2(H343)</f>
        <v>4.8315758349136733</v>
      </c>
      <c r="O343" s="3" cm="1">
        <f t="array" ref="O343">lmb_2(I343)</f>
        <v>1.4831758774764994</v>
      </c>
      <c r="P343" s="3" cm="1">
        <f t="array" ref="P343">lmb_2(J343)</f>
        <v>0.12140885747616317</v>
      </c>
      <c r="R343" s="3">
        <f t="shared" si="76"/>
        <v>0.11432235122280708</v>
      </c>
      <c r="S343" s="3">
        <f t="shared" si="77"/>
        <v>6.3804947570698802</v>
      </c>
      <c r="T343" s="3">
        <f t="shared" si="78"/>
        <v>301.66025233434112</v>
      </c>
      <c r="U343" s="3">
        <f t="shared" si="68"/>
        <v>2637.5429152266756</v>
      </c>
      <c r="V343" s="3">
        <f t="shared" si="69"/>
        <v>0</v>
      </c>
      <c r="W343" s="3">
        <f t="shared" si="79"/>
        <v>703.86095274205138</v>
      </c>
      <c r="Y343" s="3">
        <f t="shared" si="80"/>
        <v>3649.5590044753026</v>
      </c>
      <c r="AA343" s="3">
        <f t="shared" si="81"/>
        <v>18922.479712236312</v>
      </c>
      <c r="AB343" s="3">
        <f t="shared" si="82"/>
        <v>-137.55900447530257</v>
      </c>
      <c r="AD343" s="3">
        <f t="shared" si="83"/>
        <v>4.5105168100472882E-5</v>
      </c>
    </row>
    <row r="344" spans="3:30" x14ac:dyDescent="0.3">
      <c r="C344" s="22">
        <v>312</v>
      </c>
      <c r="D344" s="22">
        <v>3637</v>
      </c>
      <c r="F344" s="3">
        <f t="shared" si="70"/>
        <v>5200.103968644562</v>
      </c>
      <c r="G344" s="3">
        <f t="shared" si="71"/>
        <v>853.45182055742737</v>
      </c>
      <c r="H344" s="3">
        <f t="shared" si="72"/>
        <v>6.4517080468043346</v>
      </c>
      <c r="I344" s="3">
        <f t="shared" si="73"/>
        <v>1.8895557191650694</v>
      </c>
      <c r="J344" s="3">
        <f t="shared" si="74"/>
        <v>-1.9865453501471055</v>
      </c>
      <c r="K344" s="3">
        <f t="shared" si="75"/>
        <v>6.3145441346512836E-5</v>
      </c>
      <c r="L344" s="3" cm="1">
        <f t="array" ref="L344">lmb_2(F344)</f>
        <v>5191.5483574638019</v>
      </c>
      <c r="M344" s="3" cm="1">
        <f t="array" ref="M344">lmb_2(G344)</f>
        <v>846.70648557858487</v>
      </c>
      <c r="N344" s="3" cm="1">
        <f t="array" ref="N344">lmb_2(H344)</f>
        <v>4.8688502299887997</v>
      </c>
      <c r="O344" s="3" cm="1">
        <f t="array" ref="O344">lmb_2(I344)</f>
        <v>1.4904665364832355</v>
      </c>
      <c r="P344" s="3" cm="1">
        <f t="array" ref="P344">lmb_2(J344)</f>
        <v>0.12147786486149993</v>
      </c>
      <c r="R344" s="3">
        <f t="shared" si="76"/>
        <v>0.11322497433195383</v>
      </c>
      <c r="S344" s="3">
        <f t="shared" si="77"/>
        <v>6.3189291166715655</v>
      </c>
      <c r="T344" s="3">
        <f t="shared" si="78"/>
        <v>298.40602045442148</v>
      </c>
      <c r="U344" s="3">
        <f t="shared" si="68"/>
        <v>2625.3725094792562</v>
      </c>
      <c r="V344" s="3">
        <f t="shared" si="69"/>
        <v>0</v>
      </c>
      <c r="W344" s="3">
        <f t="shared" si="79"/>
        <v>705.96339953543418</v>
      </c>
      <c r="Y344" s="3">
        <f t="shared" si="80"/>
        <v>3636.1741467055567</v>
      </c>
      <c r="AA344" s="3">
        <f t="shared" si="81"/>
        <v>0.68203366394281439</v>
      </c>
      <c r="AB344" s="3">
        <f t="shared" si="82"/>
        <v>0.82585329444327726</v>
      </c>
      <c r="AD344" s="3">
        <f t="shared" si="83"/>
        <v>2.7079471688733601E-7</v>
      </c>
    </row>
    <row r="345" spans="3:30" x14ac:dyDescent="0.3">
      <c r="C345" s="22">
        <v>313</v>
      </c>
      <c r="D345" s="22">
        <v>3682</v>
      </c>
      <c r="F345" s="3">
        <f t="shared" si="70"/>
        <v>5233.4836604119027</v>
      </c>
      <c r="G345" s="3">
        <f t="shared" si="71"/>
        <v>858.92526125459938</v>
      </c>
      <c r="H345" s="3">
        <f t="shared" si="72"/>
        <v>6.4968119168091976</v>
      </c>
      <c r="I345" s="3">
        <f t="shared" si="73"/>
        <v>1.9017890556705734</v>
      </c>
      <c r="J345" s="3">
        <f t="shared" si="74"/>
        <v>-1.9859060701447555</v>
      </c>
      <c r="K345" s="3">
        <f t="shared" si="75"/>
        <v>5.9455896001505743E-5</v>
      </c>
      <c r="L345" s="3" cm="1">
        <f t="array" ref="L345">lmb_2(F345)</f>
        <v>5224.9216460662374</v>
      </c>
      <c r="M345" s="3" cm="1">
        <f t="array" ref="M345">lmb_2(G345)</f>
        <v>852.17351197973164</v>
      </c>
      <c r="N345" s="3" cm="1">
        <f t="array" ref="N345">lmb_2(H345)</f>
        <v>4.906293207645529</v>
      </c>
      <c r="O345" s="3" cm="1">
        <f t="array" ref="O345">lmb_2(I345)</f>
        <v>1.4977950174331855</v>
      </c>
      <c r="P345" s="3" cm="1">
        <f t="array" ref="P345">lmb_2(J345)</f>
        <v>0.12154712892020447</v>
      </c>
      <c r="R345" s="3">
        <f t="shared" si="76"/>
        <v>0.11214160094963135</v>
      </c>
      <c r="S345" s="3">
        <f t="shared" si="77"/>
        <v>6.2581536938688354</v>
      </c>
      <c r="T345" s="3">
        <f t="shared" si="78"/>
        <v>295.19450229819563</v>
      </c>
      <c r="U345" s="3">
        <f t="shared" si="68"/>
        <v>2613.2107790859686</v>
      </c>
      <c r="V345" s="3">
        <f t="shared" si="69"/>
        <v>0</v>
      </c>
      <c r="W345" s="3">
        <f t="shared" si="79"/>
        <v>708.06584632881697</v>
      </c>
      <c r="Y345" s="3">
        <f t="shared" si="80"/>
        <v>3622.8414824636957</v>
      </c>
      <c r="AA345" s="3">
        <f t="shared" si="81"/>
        <v>3499.7301970932253</v>
      </c>
      <c r="AB345" s="3">
        <f t="shared" si="82"/>
        <v>59.158517536304316</v>
      </c>
      <c r="AD345" s="3">
        <f t="shared" si="83"/>
        <v>1.9397893203922227E-5</v>
      </c>
    </row>
    <row r="346" spans="3:30" x14ac:dyDescent="0.3">
      <c r="C346" s="22">
        <v>314</v>
      </c>
      <c r="D346" s="22">
        <v>3623</v>
      </c>
      <c r="F346" s="3">
        <f t="shared" si="70"/>
        <v>5266.9701671928979</v>
      </c>
      <c r="G346" s="3">
        <f t="shared" si="71"/>
        <v>864.41621696200218</v>
      </c>
      <c r="H346" s="3">
        <f t="shared" si="72"/>
        <v>6.5420601191980756</v>
      </c>
      <c r="I346" s="3">
        <f t="shared" si="73"/>
        <v>1.9140615388528941</v>
      </c>
      <c r="J346" s="3">
        <f t="shared" si="74"/>
        <v>-1.9852647444463982</v>
      </c>
      <c r="K346" s="3">
        <f t="shared" si="75"/>
        <v>5.5981928290649039E-5</v>
      </c>
      <c r="L346" s="3" cm="1">
        <f t="array" ref="L346">lmb_2(F346)</f>
        <v>5258.4017701232979</v>
      </c>
      <c r="M346" s="3" cm="1">
        <f t="array" ref="M346">lmb_2(G346)</f>
        <v>857.65807391829583</v>
      </c>
      <c r="N346" s="3" cm="1">
        <f t="array" ref="N346">lmb_2(H346)</f>
        <v>4.9439046793044996</v>
      </c>
      <c r="O346" s="3" cm="1">
        <f t="array" ref="O346">lmb_2(I346)</f>
        <v>1.5051614023295192</v>
      </c>
      <c r="P346" s="3" cm="1">
        <f t="array" ref="P346">lmb_2(J346)</f>
        <v>0.12161665000377866</v>
      </c>
      <c r="R346" s="3">
        <f t="shared" si="76"/>
        <v>0.11107200836669717</v>
      </c>
      <c r="S346" s="3">
        <f t="shared" si="77"/>
        <v>6.198155841763489</v>
      </c>
      <c r="T346" s="3">
        <f t="shared" si="78"/>
        <v>292.02508044731621</v>
      </c>
      <c r="U346" s="3">
        <f t="shared" si="68"/>
        <v>2601.058639129506</v>
      </c>
      <c r="V346" s="3">
        <f t="shared" si="69"/>
        <v>0</v>
      </c>
      <c r="W346" s="3">
        <f t="shared" si="79"/>
        <v>710.16829312219977</v>
      </c>
      <c r="Y346" s="3">
        <f t="shared" si="80"/>
        <v>3609.5612965310806</v>
      </c>
      <c r="AA346" s="3">
        <f t="shared" si="81"/>
        <v>180.59875092554515</v>
      </c>
      <c r="AB346" s="3">
        <f t="shared" si="82"/>
        <v>13.438703468919357</v>
      </c>
      <c r="AD346" s="3">
        <f t="shared" si="83"/>
        <v>4.4065089110676507E-6</v>
      </c>
    </row>
    <row r="347" spans="3:30" x14ac:dyDescent="0.3">
      <c r="C347" s="22">
        <v>315</v>
      </c>
      <c r="D347" s="22">
        <v>3553</v>
      </c>
      <c r="F347" s="3">
        <f t="shared" si="70"/>
        <v>5300.56348898755</v>
      </c>
      <c r="G347" s="3">
        <f t="shared" si="71"/>
        <v>869.92468767963624</v>
      </c>
      <c r="H347" s="3">
        <f t="shared" si="72"/>
        <v>6.5874526539709688</v>
      </c>
      <c r="I347" s="3">
        <f t="shared" si="73"/>
        <v>1.9263731687120331</v>
      </c>
      <c r="J347" s="3">
        <f t="shared" si="74"/>
        <v>-1.9846213730520332</v>
      </c>
      <c r="K347" s="3">
        <f t="shared" si="75"/>
        <v>5.2710942158873754E-5</v>
      </c>
      <c r="L347" s="3" cm="1">
        <f t="array" ref="L347">lmb_2(F347)</f>
        <v>5291.9887295048684</v>
      </c>
      <c r="M347" s="3" cm="1">
        <f t="array" ref="M347">lmb_2(G347)</f>
        <v>863.16017126325562</v>
      </c>
      <c r="N347" s="3" cm="1">
        <f t="array" ref="N347">lmb_2(H347)</f>
        <v>4.9816845558965923</v>
      </c>
      <c r="O347" s="3" cm="1">
        <f t="array" ref="O347">lmb_2(I347)</f>
        <v>1.5125657726711168</v>
      </c>
      <c r="P347" s="3" cm="1">
        <f t="array" ref="P347">lmb_2(J347)</f>
        <v>0.12168642846506815</v>
      </c>
      <c r="R347" s="3">
        <f t="shared" si="76"/>
        <v>0.11001597811165811</v>
      </c>
      <c r="S347" s="3">
        <f t="shared" si="77"/>
        <v>6.1389231557094668</v>
      </c>
      <c r="T347" s="3">
        <f t="shared" si="78"/>
        <v>288.89714626400951</v>
      </c>
      <c r="U347" s="3">
        <f t="shared" si="68"/>
        <v>2588.9169902025769</v>
      </c>
      <c r="V347" s="3">
        <f t="shared" si="69"/>
        <v>0</v>
      </c>
      <c r="W347" s="3">
        <f t="shared" si="79"/>
        <v>712.27073991558257</v>
      </c>
      <c r="Y347" s="3">
        <f t="shared" si="80"/>
        <v>3596.3338682269323</v>
      </c>
      <c r="AA347" s="3">
        <f t="shared" si="81"/>
        <v>1877.8241355091311</v>
      </c>
      <c r="AB347" s="3">
        <f t="shared" si="82"/>
        <v>-43.333868226932282</v>
      </c>
      <c r="AD347" s="3">
        <f t="shared" si="83"/>
        <v>1.4209040100827773E-5</v>
      </c>
    </row>
    <row r="348" spans="3:30" x14ac:dyDescent="0.3">
      <c r="C348" s="22">
        <v>316</v>
      </c>
      <c r="D348" s="22">
        <v>3631</v>
      </c>
      <c r="F348" s="3">
        <f t="shared" si="70"/>
        <v>5334.2636257958557</v>
      </c>
      <c r="G348" s="3">
        <f t="shared" si="71"/>
        <v>875.45067340750074</v>
      </c>
      <c r="H348" s="3">
        <f t="shared" si="72"/>
        <v>6.6329895211278789</v>
      </c>
      <c r="I348" s="3">
        <f t="shared" si="73"/>
        <v>1.9387239452479892</v>
      </c>
      <c r="J348" s="3">
        <f t="shared" si="74"/>
        <v>-1.9839759559616605</v>
      </c>
      <c r="K348" s="3">
        <f t="shared" si="75"/>
        <v>4.963107753007184E-5</v>
      </c>
      <c r="L348" s="3" cm="1">
        <f t="array" ref="L348">lmb_2(F348)</f>
        <v>5325.6825240820617</v>
      </c>
      <c r="M348" s="3" cm="1">
        <f t="array" ref="M348">lmb_2(G348)</f>
        <v>868.67980388483863</v>
      </c>
      <c r="N348" s="3" cm="1">
        <f t="array" ref="N348">lmb_2(H348)</f>
        <v>5.0196327478910332</v>
      </c>
      <c r="O348" s="3" cm="1">
        <f t="array" ref="O348">lmb_2(I348)</f>
        <v>1.5200082094502665</v>
      </c>
      <c r="P348" s="3" cm="1">
        <f t="array" ref="P348">lmb_2(J348)</f>
        <v>0.12175646465826426</v>
      </c>
      <c r="R348" s="3">
        <f t="shared" si="76"/>
        <v>0.10897329585688038</v>
      </c>
      <c r="S348" s="3">
        <f t="shared" si="77"/>
        <v>6.0804434679138053</v>
      </c>
      <c r="T348" s="3">
        <f t="shared" si="78"/>
        <v>285.81009979795869</v>
      </c>
      <c r="U348" s="3">
        <f t="shared" si="68"/>
        <v>2576.7867184714987</v>
      </c>
      <c r="V348" s="3">
        <f t="shared" si="69"/>
        <v>0</v>
      </c>
      <c r="W348" s="3">
        <f t="shared" si="79"/>
        <v>714.37318670896536</v>
      </c>
      <c r="Y348" s="3">
        <f t="shared" si="80"/>
        <v>3583.1594713732711</v>
      </c>
      <c r="AA348" s="3">
        <f t="shared" si="81"/>
        <v>2288.7161792848656</v>
      </c>
      <c r="AB348" s="3">
        <f t="shared" si="82"/>
        <v>47.840528626728883</v>
      </c>
      <c r="AD348" s="3">
        <f t="shared" si="83"/>
        <v>1.5686759975872854E-5</v>
      </c>
    </row>
    <row r="349" spans="3:30" x14ac:dyDescent="0.3">
      <c r="C349" s="22">
        <v>317</v>
      </c>
      <c r="D349" s="22">
        <v>3576</v>
      </c>
      <c r="F349" s="3">
        <f t="shared" si="70"/>
        <v>5368.0705776178174</v>
      </c>
      <c r="G349" s="3">
        <f t="shared" si="71"/>
        <v>880.99417414559639</v>
      </c>
      <c r="H349" s="3">
        <f t="shared" si="72"/>
        <v>6.6786707206688032</v>
      </c>
      <c r="I349" s="3">
        <f t="shared" si="73"/>
        <v>1.9511138684607636</v>
      </c>
      <c r="J349" s="3">
        <f t="shared" si="74"/>
        <v>-1.9833284931752806</v>
      </c>
      <c r="K349" s="3">
        <f t="shared" si="75"/>
        <v>4.6731167304345389E-5</v>
      </c>
      <c r="L349" s="3" cm="1">
        <f t="array" ref="L349">lmb_2(F349)</f>
        <v>5359.4831537272248</v>
      </c>
      <c r="M349" s="3" cm="1">
        <f t="array" ref="M349">lmb_2(G349)</f>
        <v>874.21697165450826</v>
      </c>
      <c r="N349" s="3" cm="1">
        <f t="array" ref="N349">lmb_2(H349)</f>
        <v>5.0577491653227851</v>
      </c>
      <c r="O349" s="3" cm="1">
        <f t="array" ref="O349">lmb_2(I349)</f>
        <v>1.5274887931504482</v>
      </c>
      <c r="P349" s="3" cm="1">
        <f t="array" ref="P349">lmb_2(J349)</f>
        <v>0.12182675893890607</v>
      </c>
      <c r="R349" s="3">
        <f t="shared" si="76"/>
        <v>0.10794375132716354</v>
      </c>
      <c r="S349" s="3">
        <f t="shared" si="77"/>
        <v>6.0227048421746892</v>
      </c>
      <c r="T349" s="3">
        <f t="shared" si="78"/>
        <v>282.76334969248785</v>
      </c>
      <c r="U349" s="3">
        <f t="shared" si="68"/>
        <v>2564.6686957422544</v>
      </c>
      <c r="V349" s="3">
        <f t="shared" si="69"/>
        <v>0</v>
      </c>
      <c r="W349" s="3">
        <f t="shared" si="79"/>
        <v>716.47563350234816</v>
      </c>
      <c r="Y349" s="3">
        <f t="shared" si="80"/>
        <v>3570.0383742617596</v>
      </c>
      <c r="AA349" s="3">
        <f t="shared" si="81"/>
        <v>35.540981442850395</v>
      </c>
      <c r="AB349" s="3">
        <f t="shared" si="82"/>
        <v>5.9616257382404001</v>
      </c>
      <c r="AD349" s="3">
        <f t="shared" si="83"/>
        <v>1.9547984670368671E-6</v>
      </c>
    </row>
    <row r="350" spans="3:30" x14ac:dyDescent="0.3">
      <c r="C350" s="22">
        <v>318</v>
      </c>
      <c r="D350" s="22">
        <v>3533</v>
      </c>
      <c r="F350" s="3">
        <f t="shared" si="70"/>
        <v>5401.9843444534354</v>
      </c>
      <c r="G350" s="3">
        <f t="shared" si="71"/>
        <v>886.55518989392328</v>
      </c>
      <c r="H350" s="3">
        <f t="shared" si="72"/>
        <v>6.7244962525937435</v>
      </c>
      <c r="I350" s="3">
        <f t="shared" si="73"/>
        <v>1.9635429383503555</v>
      </c>
      <c r="J350" s="3">
        <f t="shared" si="74"/>
        <v>-1.9826789846928932</v>
      </c>
      <c r="K350" s="3">
        <f t="shared" si="75"/>
        <v>4.4000696867875531E-5</v>
      </c>
      <c r="L350" s="3" cm="1">
        <f t="array" ref="L350">lmb_2(F350)</f>
        <v>5393.390618313907</v>
      </c>
      <c r="M350" s="3" cm="1">
        <f t="array" ref="M350">lmb_2(G350)</f>
        <v>879.77167444494671</v>
      </c>
      <c r="N350" s="3" cm="1">
        <f t="array" ref="N350">lmb_2(H350)</f>
        <v>5.0960337178192336</v>
      </c>
      <c r="O350" s="3" cm="1">
        <f t="array" ref="O350">lmb_2(I350)</f>
        <v>1.5350076037441882</v>
      </c>
      <c r="P350" s="3" cm="1">
        <f t="array" ref="P350">lmb_2(J350)</f>
        <v>0.12189731166388289</v>
      </c>
      <c r="R350" s="3">
        <f t="shared" si="76"/>
        <v>0.10692713821061407</v>
      </c>
      <c r="S350" s="3">
        <f t="shared" si="77"/>
        <v>5.9656955687527669</v>
      </c>
      <c r="T350" s="3">
        <f t="shared" si="78"/>
        <v>279.75631309014938</v>
      </c>
      <c r="U350" s="3">
        <f t="shared" si="68"/>
        <v>2552.5637795289599</v>
      </c>
      <c r="V350" s="3">
        <f t="shared" si="69"/>
        <v>0</v>
      </c>
      <c r="W350" s="3">
        <f t="shared" si="79"/>
        <v>718.57808029573096</v>
      </c>
      <c r="Y350" s="3">
        <f t="shared" si="80"/>
        <v>3556.970839622501</v>
      </c>
      <c r="AA350" s="3">
        <f t="shared" si="81"/>
        <v>574.6011522076634</v>
      </c>
      <c r="AB350" s="3">
        <f t="shared" si="82"/>
        <v>-23.970839622500989</v>
      </c>
      <c r="AD350" s="3">
        <f t="shared" si="83"/>
        <v>7.8599634739033311E-6</v>
      </c>
    </row>
    <row r="351" spans="3:30" x14ac:dyDescent="0.3">
      <c r="C351" s="22">
        <v>319</v>
      </c>
      <c r="D351" s="22">
        <v>3608</v>
      </c>
      <c r="F351" s="3">
        <f t="shared" si="70"/>
        <v>5436.0049263027086</v>
      </c>
      <c r="G351" s="3">
        <f t="shared" si="71"/>
        <v>892.13372065248086</v>
      </c>
      <c r="H351" s="3">
        <f t="shared" si="72"/>
        <v>6.7704661169026989</v>
      </c>
      <c r="I351" s="3">
        <f t="shared" si="73"/>
        <v>1.9760111549167645</v>
      </c>
      <c r="J351" s="3">
        <f t="shared" si="74"/>
        <v>-1.982027430514498</v>
      </c>
      <c r="K351" s="3">
        <f t="shared" si="75"/>
        <v>4.1429765968603194E-5</v>
      </c>
      <c r="L351" s="3" cm="1">
        <f t="array" ref="L351">lmb_2(F351)</f>
        <v>5427.404917716849</v>
      </c>
      <c r="M351" s="3" cm="1">
        <f t="array" ref="M351">lmb_2(G351)</f>
        <v>885.3439121300388</v>
      </c>
      <c r="N351" s="3" cm="1">
        <f t="array" ref="N351">lmb_2(H351)</f>
        <v>5.1344863146261837</v>
      </c>
      <c r="O351" s="3" cm="1">
        <f t="array" ref="O351">lmb_2(I351)</f>
        <v>1.5425647206909963</v>
      </c>
      <c r="P351" s="3" cm="1">
        <f t="array" ref="P351">lmb_2(J351)</f>
        <v>0.12196812319143603</v>
      </c>
      <c r="R351" s="3">
        <f t="shared" si="76"/>
        <v>0.10592325407175185</v>
      </c>
      <c r="S351" s="3">
        <f t="shared" si="77"/>
        <v>5.9094041593718911</v>
      </c>
      <c r="T351" s="3">
        <f t="shared" si="78"/>
        <v>276.7884155378099</v>
      </c>
      <c r="U351" s="3">
        <f t="shared" si="68"/>
        <v>2540.4728131246807</v>
      </c>
      <c r="V351" s="3">
        <f t="shared" si="69"/>
        <v>0</v>
      </c>
      <c r="W351" s="3">
        <f t="shared" si="79"/>
        <v>720.68052708911375</v>
      </c>
      <c r="Y351" s="3">
        <f t="shared" si="80"/>
        <v>3543.9571245948141</v>
      </c>
      <c r="AA351" s="3">
        <f t="shared" si="81"/>
        <v>4101.4898901641645</v>
      </c>
      <c r="AB351" s="3">
        <f t="shared" si="82"/>
        <v>64.042875405185896</v>
      </c>
      <c r="AD351" s="3">
        <f t="shared" si="83"/>
        <v>2.099945889988745E-5</v>
      </c>
    </row>
    <row r="352" spans="3:30" x14ac:dyDescent="0.3">
      <c r="C352" s="22">
        <v>320</v>
      </c>
      <c r="D352" s="22">
        <v>3526</v>
      </c>
      <c r="F352" s="3">
        <f t="shared" si="70"/>
        <v>5470.1323231656361</v>
      </c>
      <c r="G352" s="3">
        <f t="shared" si="71"/>
        <v>897.72976642126946</v>
      </c>
      <c r="H352" s="3">
        <f t="shared" si="72"/>
        <v>6.8165803135956695</v>
      </c>
      <c r="I352" s="3">
        <f t="shared" si="73"/>
        <v>1.9885185181599918</v>
      </c>
      <c r="J352" s="3">
        <f t="shared" si="74"/>
        <v>-1.9813738306400954</v>
      </c>
      <c r="K352" s="3">
        <f t="shared" si="75"/>
        <v>3.9009052819487891E-5</v>
      </c>
      <c r="L352" s="3" cm="1">
        <f t="array" ref="L352">lmb_2(F352)</f>
        <v>5461.5260518119703</v>
      </c>
      <c r="M352" s="3" cm="1">
        <f t="array" ref="M352">lmb_2(G352)</f>
        <v>890.93368458485941</v>
      </c>
      <c r="N352" s="3" cm="1">
        <f t="array" ref="N352">lmb_2(H352)</f>
        <v>5.1731068646331781</v>
      </c>
      <c r="O352" s="3" cm="1">
        <f t="array" ref="O352">lmb_2(I352)</f>
        <v>1.5501602229353801</v>
      </c>
      <c r="P352" s="3" cm="1">
        <f t="array" ref="P352">lmb_2(J352)</f>
        <v>0.12203919388116108</v>
      </c>
      <c r="R352" s="3">
        <f t="shared" si="76"/>
        <v>0.10493190026678763</v>
      </c>
      <c r="S352" s="3">
        <f t="shared" si="77"/>
        <v>5.85381934234562</v>
      </c>
      <c r="T352" s="3">
        <f t="shared" si="78"/>
        <v>273.85909089132616</v>
      </c>
      <c r="U352" s="3">
        <f t="shared" ref="U352:U415" si="84">$I$18*(C352/$I$19)*($O$28+$O$28^2)/(O352+O352^2)</f>
        <v>2528.3966256745184</v>
      </c>
      <c r="V352" s="3">
        <f t="shared" ref="V352:V415" si="85">$J$18*(C352/$J$19)*($P$28+$P$28^2)/(P352+P352^2)</f>
        <v>0</v>
      </c>
      <c r="W352" s="3">
        <f t="shared" si="79"/>
        <v>722.78297388249655</v>
      </c>
      <c r="Y352" s="3">
        <f t="shared" si="80"/>
        <v>3530.9974807000062</v>
      </c>
      <c r="AA352" s="3">
        <f t="shared" si="81"/>
        <v>24.974813346934813</v>
      </c>
      <c r="AB352" s="3">
        <f t="shared" si="82"/>
        <v>-4.9974807000062356</v>
      </c>
      <c r="AD352" s="3">
        <f t="shared" si="83"/>
        <v>1.6386583191151312E-6</v>
      </c>
    </row>
    <row r="353" spans="3:30" x14ac:dyDescent="0.3">
      <c r="C353" s="22">
        <v>321</v>
      </c>
      <c r="D353" s="22">
        <v>3513</v>
      </c>
      <c r="F353" s="3">
        <f t="shared" ref="F353:F416" si="86">$F$20/(1-$F$20)-LN((1-$F$20)/$F$20)+(C353/$F$19)^2/((1-$F$20)*(1+0.534156*$F$20^0.7917))</f>
        <v>5504.3665350422207</v>
      </c>
      <c r="G353" s="3">
        <f t="shared" ref="G353:G416" si="87">$G$20/(1-$G$20)-LN((1-$G$20)/$G$20)+(C353/$G$19)^2/((1-$G$20)*(1+0.534156*$G$20^0.7917))</f>
        <v>903.34332720028885</v>
      </c>
      <c r="H353" s="3">
        <f t="shared" ref="H353:H416" si="88">$H$20/(1-$H$20)-LN((1-$H$20)/$H$20)+(C353/$H$19)^2/((1-$H$20)*(1+0.534156*$H$20^0.7917))</f>
        <v>6.8628388426726561</v>
      </c>
      <c r="I353" s="3">
        <f t="shared" ref="I353:I416" si="89">$I$20/(1-$I$20)-LN((1-$I$20)/$I$20)+(C353/$I$19)^2/((1-$I$20)*(1+0.534156*$I$20^0.7917))</f>
        <v>2.0010650280800362</v>
      </c>
      <c r="J353" s="3">
        <f t="shared" ref="J353:J416" si="90">$J$20/(1-$J$20)-LN((1-$J$20)/$J$20)+(C353/$J$19)^2/((1-$J$20)*(1+0.534156*$J$20^0.7917))</f>
        <v>-1.9807181850696853</v>
      </c>
      <c r="K353" s="3">
        <f t="shared" ref="K353:K416" si="91">$K$18*EXP(-$K$20*C353)</f>
        <v>3.6729780299188599E-5</v>
      </c>
      <c r="L353" s="3" cm="1">
        <f t="array" ref="L353">lmb_2(F353)</f>
        <v>5495.7540204763554</v>
      </c>
      <c r="M353" s="3" cm="1">
        <f t="array" ref="M353">lmb_2(G353)</f>
        <v>896.54099168565585</v>
      </c>
      <c r="N353" s="3" cm="1">
        <f t="array" ref="N353">lmb_2(H353)</f>
        <v>5.2118952763981534</v>
      </c>
      <c r="O353" s="3" cm="1">
        <f t="array" ref="O353">lmb_2(I353)</f>
        <v>1.5577941889049332</v>
      </c>
      <c r="P353" s="3" cm="1">
        <f t="array" ref="P353">lmb_2(J353)</f>
        <v>0.12211052409401016</v>
      </c>
      <c r="R353" s="3">
        <f t="shared" ref="R353:R416" si="92">$F$18*(C353/$F$19)*($L$28+$L$28^2)/(L353+L353^2)</f>
        <v>0.10395288186101022</v>
      </c>
      <c r="S353" s="3">
        <f t="shared" ref="S353:S416" si="93">$G$18*(C353/$G$19)*($M$28+$M$28^2)/(M353+M353^2)</f>
        <v>5.7989300578259897</v>
      </c>
      <c r="T353" s="3">
        <f t="shared" ref="T353:T416" si="94">$H$18*(C353/$H$19)*($N$28+$N$28^2)/(N353+N353^2)</f>
        <v>270.96778121989831</v>
      </c>
      <c r="U353" s="3">
        <f t="shared" si="84"/>
        <v>2516.3360322509257</v>
      </c>
      <c r="V353" s="3">
        <f t="shared" si="85"/>
        <v>0</v>
      </c>
      <c r="W353" s="3">
        <f t="shared" ref="W353:W416" si="95">$F$22+$G$22/$F$21*C353</f>
        <v>724.88542067587935</v>
      </c>
      <c r="Y353" s="3">
        <f t="shared" ref="Y353:Y416" si="96">SUM(R353:W353)+K353</f>
        <v>3518.0921538161706</v>
      </c>
      <c r="AA353" s="3">
        <f t="shared" ref="AA353:AA416" si="97">(D353-Y353)^2</f>
        <v>25.930030487540744</v>
      </c>
      <c r="AB353" s="3">
        <f t="shared" ref="AB353:AB416" si="98">D353-Y353</f>
        <v>-5.0921538161705939</v>
      </c>
      <c r="AD353" s="3">
        <f t="shared" ref="AD353:AD416" si="99">ABS(AB353/$AC$32)</f>
        <v>1.6697013383306104E-6</v>
      </c>
    </row>
    <row r="354" spans="3:30" x14ac:dyDescent="0.3">
      <c r="C354" s="22">
        <v>322</v>
      </c>
      <c r="D354" s="22">
        <v>3467</v>
      </c>
      <c r="F354" s="3">
        <f t="shared" si="86"/>
        <v>5538.7075619324596</v>
      </c>
      <c r="G354" s="3">
        <f t="shared" si="87"/>
        <v>908.97440298953927</v>
      </c>
      <c r="H354" s="3">
        <f t="shared" si="88"/>
        <v>6.9092417041336578</v>
      </c>
      <c r="I354" s="3">
        <f t="shared" si="89"/>
        <v>2.0136506846768985</v>
      </c>
      <c r="J354" s="3">
        <f t="shared" si="90"/>
        <v>-1.9800604938032678</v>
      </c>
      <c r="K354" s="3">
        <f t="shared" si="91"/>
        <v>3.4583684127616141E-5</v>
      </c>
      <c r="L354" s="3" cm="1">
        <f t="array" ref="L354">lmb_2(F354)</f>
        <v>5530.0888235882321</v>
      </c>
      <c r="M354" s="3" cm="1">
        <f t="array" ref="M354">lmb_2(G354)</f>
        <v>902.16583330983542</v>
      </c>
      <c r="N354" s="3" cm="1">
        <f t="array" ref="N354">lmb_2(H354)</f>
        <v>5.2508514581714412</v>
      </c>
      <c r="O354" s="3" cm="1">
        <f t="array" ref="O354">lmb_2(I354)</f>
        <v>1.5654666965085053</v>
      </c>
      <c r="P354" s="3" cm="1">
        <f t="array" ref="P354">lmb_2(J354)</f>
        <v>0.12218211419229386</v>
      </c>
      <c r="R354" s="3">
        <f t="shared" si="92"/>
        <v>0.10298600754822529</v>
      </c>
      <c r="S354" s="3">
        <f t="shared" si="93"/>
        <v>5.744725453171017</v>
      </c>
      <c r="T354" s="3">
        <f t="shared" si="94"/>
        <v>268.11393671018249</v>
      </c>
      <c r="U354" s="3">
        <f t="shared" si="84"/>
        <v>2504.2918339311641</v>
      </c>
      <c r="V354" s="3">
        <f t="shared" si="85"/>
        <v>0</v>
      </c>
      <c r="W354" s="3">
        <f t="shared" si="95"/>
        <v>726.98786746926214</v>
      </c>
      <c r="Y354" s="3">
        <f t="shared" si="96"/>
        <v>3505.2413841550124</v>
      </c>
      <c r="AA354" s="3">
        <f t="shared" si="97"/>
        <v>1462.4034620912321</v>
      </c>
      <c r="AB354" s="3">
        <f t="shared" si="98"/>
        <v>-38.241384155012383</v>
      </c>
      <c r="AD354" s="3">
        <f t="shared" si="99"/>
        <v>1.2539230472668043E-5</v>
      </c>
    </row>
    <row r="355" spans="3:30" x14ac:dyDescent="0.3">
      <c r="C355" s="22">
        <v>323</v>
      </c>
      <c r="D355" s="22">
        <v>3487</v>
      </c>
      <c r="F355" s="3">
        <f t="shared" si="86"/>
        <v>5573.1554038363556</v>
      </c>
      <c r="G355" s="3">
        <f t="shared" si="87"/>
        <v>914.62299378902082</v>
      </c>
      <c r="H355" s="3">
        <f t="shared" si="88"/>
        <v>6.9557888979786755</v>
      </c>
      <c r="I355" s="3">
        <f t="shared" si="89"/>
        <v>2.0262754879505787</v>
      </c>
      <c r="J355" s="3">
        <f t="shared" si="90"/>
        <v>-1.9794007568408427</v>
      </c>
      <c r="K355" s="3">
        <f t="shared" si="91"/>
        <v>3.2562982900966338E-5</v>
      </c>
      <c r="L355" s="3" cm="1">
        <f t="array" ref="L355">lmb_2(F355)</f>
        <v>5564.5304610269677</v>
      </c>
      <c r="M355" s="3" cm="1">
        <f t="array" ref="M355">lmb_2(G355)</f>
        <v>907.80820933594964</v>
      </c>
      <c r="N355" s="3" cm="1">
        <f t="array" ref="N355">lmb_2(H355)</f>
        <v>5.2899753179191373</v>
      </c>
      <c r="O355" s="3" cm="1">
        <f t="array" ref="O355">lmb_2(I355)</f>
        <v>1.5731778231344464</v>
      </c>
      <c r="P355" s="3" cm="1">
        <f t="array" ref="P355">lmb_2(J355)</f>
        <v>0.12225396453968358</v>
      </c>
      <c r="R355" s="3">
        <f t="shared" si="92"/>
        <v>0.10203108957218719</v>
      </c>
      <c r="S355" s="3">
        <f t="shared" si="93"/>
        <v>5.6911948784277131</v>
      </c>
      <c r="T355" s="3">
        <f t="shared" si="94"/>
        <v>265.29701557024151</v>
      </c>
      <c r="U355" s="3">
        <f t="shared" si="84"/>
        <v>2492.2648178768468</v>
      </c>
      <c r="V355" s="3">
        <f t="shared" si="85"/>
        <v>0</v>
      </c>
      <c r="W355" s="3">
        <f t="shared" si="95"/>
        <v>729.09031426264494</v>
      </c>
      <c r="Y355" s="3">
        <f t="shared" si="96"/>
        <v>3492.4454062407162</v>
      </c>
      <c r="AA355" s="3">
        <f t="shared" si="97"/>
        <v>29.652449126431353</v>
      </c>
      <c r="AB355" s="3">
        <f t="shared" si="98"/>
        <v>-5.4454062407162382</v>
      </c>
      <c r="AD355" s="3">
        <f t="shared" si="99"/>
        <v>1.7855317054651124E-6</v>
      </c>
    </row>
    <row r="356" spans="3:30" x14ac:dyDescent="0.3">
      <c r="C356" s="22">
        <v>324</v>
      </c>
      <c r="D356" s="22">
        <v>3431</v>
      </c>
      <c r="F356" s="3">
        <f t="shared" si="86"/>
        <v>5607.710060753906</v>
      </c>
      <c r="G356" s="3">
        <f t="shared" si="87"/>
        <v>920.28909959873317</v>
      </c>
      <c r="H356" s="3">
        <f t="shared" si="88"/>
        <v>7.0024804242077092</v>
      </c>
      <c r="I356" s="3">
        <f t="shared" si="89"/>
        <v>2.0389394379010755</v>
      </c>
      <c r="J356" s="3">
        <f t="shared" si="90"/>
        <v>-1.97873897418241</v>
      </c>
      <c r="K356" s="3">
        <f t="shared" si="91"/>
        <v>3.066034987758593E-5</v>
      </c>
      <c r="L356" s="3" cm="1">
        <f t="array" ref="L356">lmb_2(F356)</f>
        <v>5599.0789326730437</v>
      </c>
      <c r="M356" s="3" cm="1">
        <f t="array" ref="M356">lmb_2(G356)</f>
        <v>913.46811964368021</v>
      </c>
      <c r="N356" s="3" cm="1">
        <f t="array" ref="N356">lmb_2(H356)</f>
        <v>5.329266763345843</v>
      </c>
      <c r="O356" s="3" cm="1">
        <f t="array" ref="O356">lmb_2(I356)</f>
        <v>1.5809276456489267</v>
      </c>
      <c r="P356" s="3" cm="1">
        <f t="array" ref="P356">lmb_2(J356)</f>
        <v>0.1223260755012138</v>
      </c>
      <c r="R356" s="3">
        <f t="shared" si="92"/>
        <v>0.1010879436499702</v>
      </c>
      <c r="S356" s="3">
        <f t="shared" si="93"/>
        <v>5.6383278819272986</v>
      </c>
      <c r="T356" s="3">
        <f t="shared" si="94"/>
        <v>262.5164839334077</v>
      </c>
      <c r="U356" s="3">
        <f t="shared" si="84"/>
        <v>2480.2557574155203</v>
      </c>
      <c r="V356" s="3">
        <f t="shared" si="85"/>
        <v>0</v>
      </c>
      <c r="W356" s="3">
        <f t="shared" si="95"/>
        <v>731.19276105602773</v>
      </c>
      <c r="Y356" s="3">
        <f t="shared" si="96"/>
        <v>3479.7044488908828</v>
      </c>
      <c r="AA356" s="3">
        <f t="shared" si="97"/>
        <v>2372.1233417646108</v>
      </c>
      <c r="AB356" s="3">
        <f t="shared" si="98"/>
        <v>-48.704448890882759</v>
      </c>
      <c r="AD356" s="3">
        <f t="shared" si="99"/>
        <v>1.5970036733281067E-5</v>
      </c>
    </row>
    <row r="357" spans="3:30" x14ac:dyDescent="0.3">
      <c r="C357" s="22">
        <v>325</v>
      </c>
      <c r="D357" s="22">
        <v>3440</v>
      </c>
      <c r="F357" s="3">
        <f t="shared" si="86"/>
        <v>5642.3715326851116</v>
      </c>
      <c r="G357" s="3">
        <f t="shared" si="87"/>
        <v>925.97272041867654</v>
      </c>
      <c r="H357" s="3">
        <f t="shared" si="88"/>
        <v>7.0493162828207581</v>
      </c>
      <c r="I357" s="3">
        <f t="shared" si="89"/>
        <v>2.0516425345283906</v>
      </c>
      <c r="J357" s="3">
        <f t="shared" si="90"/>
        <v>-1.9780751458279697</v>
      </c>
      <c r="K357" s="3">
        <f t="shared" si="91"/>
        <v>2.886888641237122E-5</v>
      </c>
      <c r="L357" s="3" cm="1">
        <f t="array" ref="L357">lmb_2(F357)</f>
        <v>5633.7342384080521</v>
      </c>
      <c r="M357" s="3" cm="1">
        <f t="array" ref="M357">lmb_2(G357)</f>
        <v>919.14556411382557</v>
      </c>
      <c r="N357" s="3" cm="1">
        <f t="array" ref="N357">lmb_2(H357)</f>
        <v>5.3687257019167918</v>
      </c>
      <c r="O357" s="3" cm="1">
        <f t="array" ref="O357">lmb_2(I357)</f>
        <v>1.5887162403943378</v>
      </c>
      <c r="P357" s="3" cm="1">
        <f t="array" ref="P357">lmb_2(J357)</f>
        <v>0.12239844744328392</v>
      </c>
      <c r="R357" s="3">
        <f t="shared" si="92"/>
        <v>0.10015638889722403</v>
      </c>
      <c r="S357" s="3">
        <f t="shared" si="93"/>
        <v>5.5861142059895181</v>
      </c>
      <c r="T357" s="3">
        <f t="shared" si="94"/>
        <v>259.77181576212888</v>
      </c>
      <c r="U357" s="3">
        <f t="shared" si="84"/>
        <v>2468.2654121241885</v>
      </c>
      <c r="V357" s="3">
        <f t="shared" si="85"/>
        <v>0</v>
      </c>
      <c r="W357" s="3">
        <f t="shared" si="95"/>
        <v>733.29520784941053</v>
      </c>
      <c r="Y357" s="3">
        <f t="shared" si="96"/>
        <v>3467.018735199501</v>
      </c>
      <c r="AA357" s="3">
        <f t="shared" si="97"/>
        <v>730.01205178075179</v>
      </c>
      <c r="AB357" s="3">
        <f t="shared" si="98"/>
        <v>-27.018735199500952</v>
      </c>
      <c r="AD357" s="3">
        <f t="shared" si="99"/>
        <v>8.8593589178995373E-6</v>
      </c>
    </row>
    <row r="358" spans="3:30" x14ac:dyDescent="0.3">
      <c r="C358" s="22">
        <v>326</v>
      </c>
      <c r="D358" s="22">
        <v>3398</v>
      </c>
      <c r="F358" s="3">
        <f t="shared" si="86"/>
        <v>5677.1398196299742</v>
      </c>
      <c r="G358" s="3">
        <f t="shared" si="87"/>
        <v>931.67385624885071</v>
      </c>
      <c r="H358" s="3">
        <f t="shared" si="88"/>
        <v>7.096296473817822</v>
      </c>
      <c r="I358" s="3">
        <f t="shared" si="89"/>
        <v>2.0643847778325233</v>
      </c>
      <c r="J358" s="3">
        <f t="shared" si="90"/>
        <v>-1.9774092717775222</v>
      </c>
      <c r="K358" s="3">
        <f t="shared" si="91"/>
        <v>2.71820969433768E-5</v>
      </c>
      <c r="L358" s="3" cm="1">
        <f t="array" ref="L358">lmb_2(F358)</f>
        <v>5668.4963781146771</v>
      </c>
      <c r="M358" s="3" cm="1">
        <f t="array" ref="M358">lmb_2(G358)</f>
        <v>924.84054262828647</v>
      </c>
      <c r="N358" s="3" cm="1">
        <f t="array" ref="N358">lmb_2(H358)</f>
        <v>5.4083520408793788</v>
      </c>
      <c r="O358" s="3" cm="1">
        <f t="array" ref="O358">lmb_2(I358)</f>
        <v>1.596543683187762</v>
      </c>
      <c r="P358" s="3" cm="1">
        <f t="array" ref="P358">lmb_2(J358)</f>
        <v>0.12247108073366068</v>
      </c>
      <c r="R358" s="3">
        <f t="shared" si="92"/>
        <v>9.9236247755262519E-2</v>
      </c>
      <c r="S358" s="3">
        <f t="shared" si="93"/>
        <v>5.5345437827330386</v>
      </c>
      <c r="T358" s="3">
        <f t="shared" si="94"/>
        <v>257.06249275186337</v>
      </c>
      <c r="U358" s="3">
        <f t="shared" si="84"/>
        <v>2456.2945279147589</v>
      </c>
      <c r="V358" s="3">
        <f t="shared" si="85"/>
        <v>0</v>
      </c>
      <c r="W358" s="3">
        <f t="shared" si="95"/>
        <v>735.39765464279333</v>
      </c>
      <c r="Y358" s="3">
        <f t="shared" si="96"/>
        <v>3454.3884825220007</v>
      </c>
      <c r="AA358" s="3">
        <f t="shared" si="97"/>
        <v>3179.6609611339768</v>
      </c>
      <c r="AB358" s="3">
        <f t="shared" si="98"/>
        <v>-56.388482522000686</v>
      </c>
      <c r="AD358" s="3">
        <f t="shared" si="99"/>
        <v>1.8489607370937783E-5</v>
      </c>
    </row>
    <row r="359" spans="3:30" x14ac:dyDescent="0.3">
      <c r="C359" s="22">
        <v>327</v>
      </c>
      <c r="D359" s="22">
        <v>3405</v>
      </c>
      <c r="F359" s="3">
        <f t="shared" si="86"/>
        <v>5712.0149215884903</v>
      </c>
      <c r="G359" s="3">
        <f t="shared" si="87"/>
        <v>937.3925070892559</v>
      </c>
      <c r="H359" s="3">
        <f t="shared" si="88"/>
        <v>7.1434209971989029</v>
      </c>
      <c r="I359" s="3">
        <f t="shared" si="89"/>
        <v>2.0771661678134739</v>
      </c>
      <c r="J359" s="3">
        <f t="shared" si="90"/>
        <v>-1.976741352031067</v>
      </c>
      <c r="K359" s="3">
        <f t="shared" si="91"/>
        <v>2.5593865439939765E-5</v>
      </c>
      <c r="L359" s="3" cm="1">
        <f t="array" ref="L359">lmb_2(F359)</f>
        <v>5703.365351676679</v>
      </c>
      <c r="M359" s="3" cm="1">
        <f t="array" ref="M359">lmb_2(G359)</f>
        <v>930.55305507005323</v>
      </c>
      <c r="N359" s="3" cm="1">
        <f t="array" ref="N359">lmb_2(H359)</f>
        <v>5.4481456872841072</v>
      </c>
      <c r="O359" s="3" cm="1">
        <f t="array" ref="O359">lmb_2(I359)</f>
        <v>1.6044100493195252</v>
      </c>
      <c r="P359" s="3" cm="1">
        <f t="array" ref="P359">lmb_2(J359)</f>
        <v>0.12254397574148038</v>
      </c>
      <c r="R359" s="3">
        <f t="shared" si="92"/>
        <v>9.832734591993475E-2</v>
      </c>
      <c r="S359" s="3">
        <f t="shared" si="93"/>
        <v>5.483606729988951</v>
      </c>
      <c r="T359" s="3">
        <f t="shared" si="94"/>
        <v>254.38800423508852</v>
      </c>
      <c r="U359" s="3">
        <f t="shared" si="84"/>
        <v>2444.3438371213033</v>
      </c>
      <c r="V359" s="3">
        <f t="shared" si="85"/>
        <v>0</v>
      </c>
      <c r="W359" s="3">
        <f t="shared" si="95"/>
        <v>737.50010143617612</v>
      </c>
      <c r="Y359" s="3">
        <f t="shared" si="96"/>
        <v>3441.813902462342</v>
      </c>
      <c r="AA359" s="3">
        <f t="shared" si="97"/>
        <v>1355.2634145068273</v>
      </c>
      <c r="AB359" s="3">
        <f t="shared" si="98"/>
        <v>-36.813902462341957</v>
      </c>
      <c r="AD359" s="3">
        <f t="shared" si="99"/>
        <v>1.2071163682319853E-5</v>
      </c>
    </row>
    <row r="360" spans="3:30" x14ac:dyDescent="0.3">
      <c r="C360" s="22">
        <v>328</v>
      </c>
      <c r="D360" s="22">
        <v>3328</v>
      </c>
      <c r="F360" s="3">
        <f t="shared" si="86"/>
        <v>5746.9968385606626</v>
      </c>
      <c r="G360" s="3">
        <f t="shared" si="87"/>
        <v>943.12867293989223</v>
      </c>
      <c r="H360" s="3">
        <f t="shared" si="88"/>
        <v>7.1906898529640007</v>
      </c>
      <c r="I360" s="3">
        <f t="shared" si="89"/>
        <v>2.089986704471241</v>
      </c>
      <c r="J360" s="3">
        <f t="shared" si="90"/>
        <v>-1.9760713865886042</v>
      </c>
      <c r="K360" s="3">
        <f t="shared" si="91"/>
        <v>2.4098433226924084E-5</v>
      </c>
      <c r="L360" s="3" cm="1">
        <f t="array" ref="L360">lmb_2(F360)</f>
        <v>5738.3411589788866</v>
      </c>
      <c r="M360" s="3" cm="1">
        <f t="array" ref="M360">lmb_2(G360)</f>
        <v>936.28310132319177</v>
      </c>
      <c r="N360" s="3" cm="1">
        <f t="array" ref="N360">lmb_2(H360)</f>
        <v>5.4881065480049465</v>
      </c>
      <c r="O360" s="3" cm="1">
        <f t="array" ref="O360">lmb_2(I360)</f>
        <v>1.6123154135518203</v>
      </c>
      <c r="P360" s="3" cm="1">
        <f t="array" ref="P360">lmb_2(J360)</f>
        <v>0.12261713283725102</v>
      </c>
      <c r="R360" s="3">
        <f t="shared" si="92"/>
        <v>9.7429512272229762E-2</v>
      </c>
      <c r="S360" s="3">
        <f t="shared" si="93"/>
        <v>5.4332933473145948</v>
      </c>
      <c r="T360" s="3">
        <f t="shared" si="94"/>
        <v>251.74784708548142</v>
      </c>
      <c r="U360" s="3">
        <f t="shared" si="84"/>
        <v>2432.4140585891137</v>
      </c>
      <c r="V360" s="3">
        <f t="shared" si="85"/>
        <v>0</v>
      </c>
      <c r="W360" s="3">
        <f t="shared" si="95"/>
        <v>739.60254822955892</v>
      </c>
      <c r="Y360" s="3">
        <f t="shared" si="96"/>
        <v>3429.2952008621742</v>
      </c>
      <c r="AA360" s="3">
        <f t="shared" si="97"/>
        <v>10260.71771770821</v>
      </c>
      <c r="AB360" s="3">
        <f t="shared" si="98"/>
        <v>-101.29520086217417</v>
      </c>
      <c r="AD360" s="3">
        <f t="shared" si="99"/>
        <v>3.3214380113370485E-5</v>
      </c>
    </row>
    <row r="361" spans="3:30" x14ac:dyDescent="0.3">
      <c r="C361" s="22">
        <v>329</v>
      </c>
      <c r="D361" s="22">
        <v>3446</v>
      </c>
      <c r="F361" s="3">
        <f t="shared" si="86"/>
        <v>5782.085570546491</v>
      </c>
      <c r="G361" s="3">
        <f t="shared" si="87"/>
        <v>948.88235380075912</v>
      </c>
      <c r="H361" s="3">
        <f t="shared" si="88"/>
        <v>7.2381030411131118</v>
      </c>
      <c r="I361" s="3">
        <f t="shared" si="89"/>
        <v>2.1028463878058266</v>
      </c>
      <c r="J361" s="3">
        <f t="shared" si="90"/>
        <v>-1.975399375450134</v>
      </c>
      <c r="K361" s="3">
        <f t="shared" si="91"/>
        <v>2.2690378104679346E-5</v>
      </c>
      <c r="L361" s="3" cm="1">
        <f t="array" ref="L361">lmb_2(F361)</f>
        <v>5773.4237999071811</v>
      </c>
      <c r="M361" s="3" cm="1">
        <f t="array" ref="M361">lmb_2(G361)</f>
        <v>942.03068127282984</v>
      </c>
      <c r="N361" s="3" cm="1">
        <f t="array" ref="N361">lmb_2(H361)</f>
        <v>5.5282345297591355</v>
      </c>
      <c r="O361" s="3" cm="1">
        <f t="array" ref="O361">lmb_2(I361)</f>
        <v>1.6202598501174068</v>
      </c>
      <c r="P361" s="3" cm="1">
        <f t="array" ref="P361">lmb_2(J361)</f>
        <v>0.12269055239285438</v>
      </c>
      <c r="R361" s="3">
        <f t="shared" si="92"/>
        <v>9.6542578810567325E-2</v>
      </c>
      <c r="S361" s="3">
        <f t="shared" si="93"/>
        <v>5.3835941121048752</v>
      </c>
      <c r="T361" s="3">
        <f t="shared" si="94"/>
        <v>249.14152562232903</v>
      </c>
      <c r="U361" s="3">
        <f t="shared" si="84"/>
        <v>2420.5058977654612</v>
      </c>
      <c r="V361" s="3">
        <f t="shared" si="85"/>
        <v>0</v>
      </c>
      <c r="W361" s="3">
        <f t="shared" si="95"/>
        <v>741.70499502294172</v>
      </c>
      <c r="Y361" s="3">
        <f t="shared" si="96"/>
        <v>3416.8325777920254</v>
      </c>
      <c r="AA361" s="3">
        <f t="shared" si="97"/>
        <v>850.73851825824966</v>
      </c>
      <c r="AB361" s="3">
        <f t="shared" si="98"/>
        <v>29.167422207974596</v>
      </c>
      <c r="AD361" s="3">
        <f t="shared" si="99"/>
        <v>9.5639066796558841E-6</v>
      </c>
    </row>
    <row r="362" spans="3:30" x14ac:dyDescent="0.3">
      <c r="C362" s="22">
        <v>330</v>
      </c>
      <c r="D362" s="22">
        <v>3348</v>
      </c>
      <c r="F362" s="3">
        <f t="shared" si="86"/>
        <v>5817.2811175459738</v>
      </c>
      <c r="G362" s="3">
        <f t="shared" si="87"/>
        <v>954.65354967185715</v>
      </c>
      <c r="H362" s="3">
        <f t="shared" si="88"/>
        <v>7.285660561646238</v>
      </c>
      <c r="I362" s="3">
        <f t="shared" si="89"/>
        <v>2.11574521781723</v>
      </c>
      <c r="J362" s="3">
        <f t="shared" si="90"/>
        <v>-1.9747253186156561</v>
      </c>
      <c r="K362" s="3">
        <f t="shared" si="91"/>
        <v>2.1364594689006163E-5</v>
      </c>
      <c r="L362" s="3" cm="1">
        <f t="array" ref="L362">lmb_2(F362)</f>
        <v>5808.6132743484832</v>
      </c>
      <c r="M362" s="3" cm="1">
        <f t="array" ref="M362">lmb_2(G362)</f>
        <v>947.79579480514622</v>
      </c>
      <c r="N362" s="3" cm="1">
        <f t="array" ref="N362">lmb_2(H362)</f>
        <v>5.568529539126442</v>
      </c>
      <c r="O362" s="3" cm="1">
        <f t="array" ref="O362">lmb_2(I362)</f>
        <v>1.6282434327183857</v>
      </c>
      <c r="P362" s="3" cm="1">
        <f t="array" ref="P362">lmb_2(J362)</f>
        <v>0.12276423478154855</v>
      </c>
      <c r="R362" s="3">
        <f t="shared" si="92"/>
        <v>9.5666380584729233E-2</v>
      </c>
      <c r="S362" s="3">
        <f t="shared" si="93"/>
        <v>5.3344996757984173</v>
      </c>
      <c r="T362" s="3">
        <f t="shared" si="94"/>
        <v>246.56855151521987</v>
      </c>
      <c r="U362" s="3">
        <f t="shared" si="84"/>
        <v>2408.620046792018</v>
      </c>
      <c r="V362" s="3">
        <f t="shared" si="85"/>
        <v>0</v>
      </c>
      <c r="W362" s="3">
        <f t="shared" si="95"/>
        <v>743.80744181632451</v>
      </c>
      <c r="Y362" s="3">
        <f t="shared" si="96"/>
        <v>3404.4262275445403</v>
      </c>
      <c r="AA362" s="3">
        <f t="shared" si="97"/>
        <v>3183.9191549082411</v>
      </c>
      <c r="AB362" s="3">
        <f t="shared" si="98"/>
        <v>-56.426227544540325</v>
      </c>
      <c r="AD362" s="3">
        <f t="shared" si="99"/>
        <v>1.8501983845986438E-5</v>
      </c>
    </row>
    <row r="363" spans="3:30" x14ac:dyDescent="0.3">
      <c r="C363" s="22">
        <v>331</v>
      </c>
      <c r="D363" s="22">
        <v>3375</v>
      </c>
      <c r="F363" s="3">
        <f t="shared" si="86"/>
        <v>5852.5834795591136</v>
      </c>
      <c r="G363" s="3">
        <f t="shared" si="87"/>
        <v>960.44226055318632</v>
      </c>
      <c r="H363" s="3">
        <f t="shared" si="88"/>
        <v>7.3333624145633802</v>
      </c>
      <c r="I363" s="3">
        <f t="shared" si="89"/>
        <v>2.1286831945054505</v>
      </c>
      <c r="J363" s="3">
        <f t="shared" si="90"/>
        <v>-1.9740492160851708</v>
      </c>
      <c r="K363" s="3">
        <f t="shared" si="91"/>
        <v>2.0116275899844053E-5</v>
      </c>
      <c r="L363" s="3" cm="1">
        <f t="array" ref="L363">lmb_2(F363)</f>
        <v>5843.909582190744</v>
      </c>
      <c r="M363" s="3" cm="1">
        <f t="array" ref="M363">lmb_2(G363)</f>
        <v>953.57844180735572</v>
      </c>
      <c r="N363" s="3" cm="1">
        <f t="array" ref="N363">lmb_2(H363)</f>
        <v>5.6089914825678635</v>
      </c>
      <c r="O363" s="3" cm="1">
        <f t="array" ref="O363">lmb_2(I363)</f>
        <v>1.6362662345250463</v>
      </c>
      <c r="P363" s="3" cm="1">
        <f t="array" ref="P363">lmb_2(J363)</f>
        <v>0.1228381803779698</v>
      </c>
      <c r="R363" s="3">
        <f t="shared" si="92"/>
        <v>9.4800755631385805E-2</v>
      </c>
      <c r="S363" s="3">
        <f t="shared" si="93"/>
        <v>5.2860008601760082</v>
      </c>
      <c r="T363" s="3">
        <f t="shared" si="94"/>
        <v>244.02844368906952</v>
      </c>
      <c r="U363" s="3">
        <f t="shared" si="84"/>
        <v>2396.7571845988691</v>
      </c>
      <c r="V363" s="3">
        <f t="shared" si="85"/>
        <v>0</v>
      </c>
      <c r="W363" s="3">
        <f t="shared" si="95"/>
        <v>745.90988860970742</v>
      </c>
      <c r="Y363" s="3">
        <f t="shared" si="96"/>
        <v>3392.0763386297299</v>
      </c>
      <c r="AA363" s="3">
        <f t="shared" si="97"/>
        <v>291.60134099720528</v>
      </c>
      <c r="AB363" s="3">
        <f t="shared" si="98"/>
        <v>-17.076338629729889</v>
      </c>
      <c r="AD363" s="3">
        <f t="shared" si="99"/>
        <v>5.5992781233950641E-6</v>
      </c>
    </row>
    <row r="364" spans="3:30" x14ac:dyDescent="0.3">
      <c r="C364" s="22">
        <v>332</v>
      </c>
      <c r="D364" s="22">
        <v>3395</v>
      </c>
      <c r="F364" s="3">
        <f t="shared" si="86"/>
        <v>5887.9926565859068</v>
      </c>
      <c r="G364" s="3">
        <f t="shared" si="87"/>
        <v>966.24848644474628</v>
      </c>
      <c r="H364" s="3">
        <f t="shared" si="88"/>
        <v>7.3812085998645376</v>
      </c>
      <c r="I364" s="3">
        <f t="shared" si="89"/>
        <v>2.1416603178704889</v>
      </c>
      <c r="J364" s="3">
        <f t="shared" si="90"/>
        <v>-1.973371067858678</v>
      </c>
      <c r="K364" s="3">
        <f t="shared" si="91"/>
        <v>1.8940895531562777E-5</v>
      </c>
      <c r="L364" s="3" cm="1">
        <f t="array" ref="L364">lmb_2(F364)</f>
        <v>5879.3127233229234</v>
      </c>
      <c r="M364" s="3" cm="1">
        <f t="array" ref="M364">lmb_2(G364)</f>
        <v>959.37862216769747</v>
      </c>
      <c r="N364" s="3" cm="1">
        <f t="array" ref="N364">lmb_2(H364)</f>
        <v>5.6496202664438169</v>
      </c>
      <c r="O364" s="3" cm="1">
        <f t="array" ref="O364">lmb_2(I364)</f>
        <v>1.6443283281747905</v>
      </c>
      <c r="P364" s="3" cm="1">
        <f t="array" ref="P364">lmb_2(J364)</f>
        <v>0.12291238955813502</v>
      </c>
      <c r="R364" s="3">
        <f t="shared" si="92"/>
        <v>9.394554491117553E-2</v>
      </c>
      <c r="S364" s="3">
        <f t="shared" si="93"/>
        <v>5.2380886537487328</v>
      </c>
      <c r="T364" s="3">
        <f t="shared" si="94"/>
        <v>241.52072822952488</v>
      </c>
      <c r="U364" s="3">
        <f t="shared" si="84"/>
        <v>2384.917977000061</v>
      </c>
      <c r="V364" s="3">
        <f t="shared" si="85"/>
        <v>0</v>
      </c>
      <c r="W364" s="3">
        <f t="shared" si="95"/>
        <v>748.01233540309022</v>
      </c>
      <c r="Y364" s="3">
        <f t="shared" si="96"/>
        <v>3379.7830937722315</v>
      </c>
      <c r="AA364" s="3">
        <f t="shared" si="97"/>
        <v>231.5542351446999</v>
      </c>
      <c r="AB364" s="3">
        <f t="shared" si="98"/>
        <v>15.216906227768504</v>
      </c>
      <c r="AD364" s="3">
        <f t="shared" si="99"/>
        <v>4.989576044044872E-6</v>
      </c>
    </row>
    <row r="365" spans="3:30" x14ac:dyDescent="0.3">
      <c r="C365" s="22">
        <v>333</v>
      </c>
      <c r="D365" s="22">
        <v>3302</v>
      </c>
      <c r="F365" s="3">
        <f t="shared" si="86"/>
        <v>5923.5086486263572</v>
      </c>
      <c r="G365" s="3">
        <f t="shared" si="87"/>
        <v>972.07222734653726</v>
      </c>
      <c r="H365" s="3">
        <f t="shared" si="88"/>
        <v>7.4291991175497119</v>
      </c>
      <c r="I365" s="3">
        <f t="shared" si="89"/>
        <v>2.1546765879123444</v>
      </c>
      <c r="J365" s="3">
        <f t="shared" si="90"/>
        <v>-1.9726908739361777</v>
      </c>
      <c r="K365" s="3">
        <f t="shared" si="91"/>
        <v>1.7834191841659714E-5</v>
      </c>
      <c r="L365" s="3" cm="1">
        <f t="array" ref="L365">lmb_2(F365)</f>
        <v>5914.8226976349915</v>
      </c>
      <c r="M365" s="3" cm="1">
        <f t="array" ref="M365">lmb_2(G365)</f>
        <v>965.19633577542299</v>
      </c>
      <c r="N365" s="3" cm="1">
        <f t="array" ref="N365">lmb_2(H365)</f>
        <v>5.6904157970317986</v>
      </c>
      <c r="O365" s="3" cm="1">
        <f t="array" ref="O365">lmb_2(I365)</f>
        <v>1.6524297857711256</v>
      </c>
      <c r="P365" s="3" cm="1">
        <f t="array" ref="P365">lmb_2(J365)</f>
        <v>0.12298686269944395</v>
      </c>
      <c r="R365" s="3">
        <f t="shared" si="92"/>
        <v>9.3100592247294306E-2</v>
      </c>
      <c r="S365" s="3">
        <f t="shared" si="93"/>
        <v>5.1907542082334244</v>
      </c>
      <c r="T365" s="3">
        <f t="shared" si="94"/>
        <v>239.04493828879399</v>
      </c>
      <c r="U365" s="3">
        <f t="shared" si="84"/>
        <v>2373.10307679063</v>
      </c>
      <c r="V365" s="3">
        <f t="shared" si="85"/>
        <v>0</v>
      </c>
      <c r="W365" s="3">
        <f t="shared" si="95"/>
        <v>750.11478219647302</v>
      </c>
      <c r="Y365" s="3">
        <f t="shared" si="96"/>
        <v>3367.5466699105696</v>
      </c>
      <c r="AA365" s="3">
        <f t="shared" si="97"/>
        <v>4296.365936365165</v>
      </c>
      <c r="AB365" s="3">
        <f t="shared" si="98"/>
        <v>-65.546669910569562</v>
      </c>
      <c r="AD365" s="3">
        <f t="shared" si="99"/>
        <v>2.1492548423271399E-5</v>
      </c>
    </row>
    <row r="366" spans="3:30" x14ac:dyDescent="0.3">
      <c r="C366" s="22">
        <v>334</v>
      </c>
      <c r="D366" s="22">
        <v>3362</v>
      </c>
      <c r="F366" s="3">
        <f t="shared" si="86"/>
        <v>5959.1314556804637</v>
      </c>
      <c r="G366" s="3">
        <f t="shared" si="87"/>
        <v>977.91348325855915</v>
      </c>
      <c r="H366" s="3">
        <f t="shared" si="88"/>
        <v>7.4773339676188995</v>
      </c>
      <c r="I366" s="3">
        <f t="shared" si="89"/>
        <v>2.1677320046310182</v>
      </c>
      <c r="J366" s="3">
        <f t="shared" si="90"/>
        <v>-1.9720086343176699</v>
      </c>
      <c r="K366" s="3">
        <f t="shared" si="91"/>
        <v>1.679215209835855E-5</v>
      </c>
      <c r="L366" s="3" cm="1">
        <f t="array" ref="L366">lmb_2(F366)</f>
        <v>5950.4395050179046</v>
      </c>
      <c r="M366" s="3" cm="1">
        <f t="array" ref="M366">lmb_2(G366)</f>
        <v>971.03158252078322</v>
      </c>
      <c r="N366" s="3" cm="1">
        <f t="array" ref="N366">lmb_2(H366)</f>
        <v>5.7313779805435434</v>
      </c>
      <c r="O366" s="3" cm="1">
        <f t="array" ref="O366">lmb_2(I366)</f>
        <v>1.6605706788827364</v>
      </c>
      <c r="P366" s="3" cm="1">
        <f t="array" ref="P366">lmb_2(J366)</f>
        <v>0.12306160018068128</v>
      </c>
      <c r="R366" s="3">
        <f t="shared" si="92"/>
        <v>9.2265744265555324E-2</v>
      </c>
      <c r="S366" s="3">
        <f t="shared" si="93"/>
        <v>5.1439888351130403</v>
      </c>
      <c r="T366" s="3">
        <f t="shared" si="94"/>
        <v>236.60061399194151</v>
      </c>
      <c r="U366" s="3">
        <f t="shared" si="84"/>
        <v>2361.313123845041</v>
      </c>
      <c r="V366" s="3">
        <f t="shared" si="85"/>
        <v>0</v>
      </c>
      <c r="W366" s="3">
        <f t="shared" si="95"/>
        <v>752.21722898985581</v>
      </c>
      <c r="Y366" s="3">
        <f t="shared" si="96"/>
        <v>3355.3672381983688</v>
      </c>
      <c r="AA366" s="3">
        <f t="shared" si="97"/>
        <v>43.993529117178021</v>
      </c>
      <c r="AB366" s="3">
        <f t="shared" si="98"/>
        <v>6.6327618016312044</v>
      </c>
      <c r="AD366" s="3">
        <f t="shared" si="99"/>
        <v>2.1748618868980279E-6</v>
      </c>
    </row>
    <row r="367" spans="3:30" x14ac:dyDescent="0.3">
      <c r="C367" s="22">
        <v>335</v>
      </c>
      <c r="D367" s="22">
        <v>3348</v>
      </c>
      <c r="F367" s="3">
        <f t="shared" si="86"/>
        <v>5994.8610777482236</v>
      </c>
      <c r="G367" s="3">
        <f t="shared" si="87"/>
        <v>983.77225418081173</v>
      </c>
      <c r="H367" s="3">
        <f t="shared" si="88"/>
        <v>7.5256131500721049</v>
      </c>
      <c r="I367" s="3">
        <f t="shared" si="89"/>
        <v>2.1808265680265091</v>
      </c>
      <c r="J367" s="3">
        <f t="shared" si="90"/>
        <v>-1.9713243490031545</v>
      </c>
      <c r="K367" s="3">
        <f t="shared" si="91"/>
        <v>1.581099803108127E-5</v>
      </c>
      <c r="L367" s="3" cm="1">
        <f t="array" ref="L367">lmb_2(F367)</f>
        <v>5986.1631453635973</v>
      </c>
      <c r="M367" s="3" cm="1">
        <f t="array" ref="M367">lmb_2(G367)</f>
        <v>976.88436229501701</v>
      </c>
      <c r="N367" s="3" cm="1">
        <f t="array" ref="N367">lmb_2(H367)</f>
        <v>5.7725067231416967</v>
      </c>
      <c r="O367" s="3" cm="1">
        <f t="array" ref="O367">lmb_2(I367)</f>
        <v>1.6687510785426203</v>
      </c>
      <c r="P367" s="3" cm="1">
        <f t="array" ref="P367">lmb_2(J367)</f>
        <v>0.12313660238201912</v>
      </c>
      <c r="R367" s="3">
        <f t="shared" si="92"/>
        <v>9.1440850335878815E-2</v>
      </c>
      <c r="S367" s="3">
        <f t="shared" si="93"/>
        <v>5.0977840022796475</v>
      </c>
      <c r="T367" s="3">
        <f t="shared" si="94"/>
        <v>234.18730234368925</v>
      </c>
      <c r="U367" s="3">
        <f t="shared" si="84"/>
        <v>2349.5487452170014</v>
      </c>
      <c r="V367" s="3">
        <f t="shared" si="85"/>
        <v>0</v>
      </c>
      <c r="W367" s="3">
        <f t="shared" si="95"/>
        <v>754.31967578323861</v>
      </c>
      <c r="Y367" s="3">
        <f t="shared" si="96"/>
        <v>3343.2449640075429</v>
      </c>
      <c r="AA367" s="3">
        <f t="shared" si="97"/>
        <v>22.610367289562706</v>
      </c>
      <c r="AB367" s="3">
        <f t="shared" si="98"/>
        <v>4.7550359924571239</v>
      </c>
      <c r="AD367" s="3">
        <f t="shared" si="99"/>
        <v>1.5591614564358435E-6</v>
      </c>
    </row>
    <row r="368" spans="3:30" x14ac:dyDescent="0.3">
      <c r="C368" s="22">
        <v>336</v>
      </c>
      <c r="D368" s="22">
        <v>3386</v>
      </c>
      <c r="F368" s="3">
        <f t="shared" si="86"/>
        <v>6030.6975148296406</v>
      </c>
      <c r="G368" s="3">
        <f t="shared" si="87"/>
        <v>989.64854011329567</v>
      </c>
      <c r="H368" s="3">
        <f t="shared" si="88"/>
        <v>7.5740366649093245</v>
      </c>
      <c r="I368" s="3">
        <f t="shared" si="89"/>
        <v>2.1939602780988179</v>
      </c>
      <c r="J368" s="3">
        <f t="shared" si="90"/>
        <v>-1.9706380179926317</v>
      </c>
      <c r="K368" s="3">
        <f t="shared" si="91"/>
        <v>1.4887172131039262E-5</v>
      </c>
      <c r="L368" s="3" cm="1">
        <f t="array" ref="L368">lmb_2(F368)</f>
        <v>6021.9936185649767</v>
      </c>
      <c r="M368" s="3" cm="1">
        <f t="array" ref="M368">lmb_2(G368)</f>
        <v>982.75467499034005</v>
      </c>
      <c r="N368" s="3" cm="1">
        <f t="array" ref="N368">lmb_2(H368)</f>
        <v>5.8138019309559841</v>
      </c>
      <c r="O368" s="3" cm="1">
        <f t="array" ref="O368">lmb_2(I368)</f>
        <v>1.6769710552473043</v>
      </c>
      <c r="P368" s="3" cm="1">
        <f t="array" ref="P368">lmb_2(J368)</f>
        <v>0.12321186968501903</v>
      </c>
      <c r="R368" s="3">
        <f t="shared" si="92"/>
        <v>9.062576251517393E-2</v>
      </c>
      <c r="S368" s="3">
        <f t="shared" si="93"/>
        <v>5.0521313307578337</v>
      </c>
      <c r="T368" s="3">
        <f t="shared" si="94"/>
        <v>231.80455713576058</v>
      </c>
      <c r="U368" s="3">
        <f t="shared" si="84"/>
        <v>2337.8105552405623</v>
      </c>
      <c r="V368" s="3">
        <f t="shared" si="85"/>
        <v>0</v>
      </c>
      <c r="W368" s="3">
        <f t="shared" si="95"/>
        <v>756.4221225766214</v>
      </c>
      <c r="Y368" s="3">
        <f t="shared" si="96"/>
        <v>3331.1800069333894</v>
      </c>
      <c r="AA368" s="3">
        <f t="shared" si="97"/>
        <v>3005.2316398232288</v>
      </c>
      <c r="AB368" s="3">
        <f t="shared" si="98"/>
        <v>54.81999306661055</v>
      </c>
      <c r="AD368" s="3">
        <f t="shared" si="99"/>
        <v>1.7975304575427999E-5</v>
      </c>
    </row>
    <row r="369" spans="3:30" x14ac:dyDescent="0.3">
      <c r="C369" s="22">
        <v>337</v>
      </c>
      <c r="D369" s="22">
        <v>3361</v>
      </c>
      <c r="F369" s="3">
        <f t="shared" si="86"/>
        <v>6066.6407669247119</v>
      </c>
      <c r="G369" s="3">
        <f t="shared" si="87"/>
        <v>995.5423410560104</v>
      </c>
      <c r="H369" s="3">
        <f t="shared" si="88"/>
        <v>7.6226045121305583</v>
      </c>
      <c r="I369" s="3">
        <f t="shared" si="89"/>
        <v>2.2071331348479446</v>
      </c>
      <c r="J369" s="3">
        <f t="shared" si="90"/>
        <v>-1.9699496412861013</v>
      </c>
      <c r="K369" s="3">
        <f t="shared" si="91"/>
        <v>1.4017324752271537E-5</v>
      </c>
      <c r="L369" s="3" cm="1">
        <f t="array" ref="L369">lmb_2(F369)</f>
        <v>6057.9309245159002</v>
      </c>
      <c r="M369" s="3" cm="1">
        <f t="array" ref="M369">lmb_2(G369)</f>
        <v>988.64252049993081</v>
      </c>
      <c r="N369" s="3" cm="1">
        <f t="array" ref="N369">lmb_2(H369)</f>
        <v>5.8552635100989248</v>
      </c>
      <c r="O369" s="3" cm="1">
        <f t="array" ref="O369">lmb_2(I369)</f>
        <v>1.6852306789561269</v>
      </c>
      <c r="P369" s="3" cm="1">
        <f t="array" ref="P369">lmb_2(J369)</f>
        <v>0.12328740247263435</v>
      </c>
      <c r="R369" s="3">
        <f t="shared" si="92"/>
        <v>8.9820335491575851E-2</v>
      </c>
      <c r="S369" s="3">
        <f t="shared" si="93"/>
        <v>5.0070225915063604</v>
      </c>
      <c r="T369" s="3">
        <f t="shared" si="94"/>
        <v>229.45193885479961</v>
      </c>
      <c r="U369" s="3">
        <f t="shared" si="84"/>
        <v>2326.0991556324775</v>
      </c>
      <c r="V369" s="3">
        <f t="shared" si="85"/>
        <v>0</v>
      </c>
      <c r="W369" s="3">
        <f t="shared" si="95"/>
        <v>758.5245693700042</v>
      </c>
      <c r="Y369" s="3">
        <f t="shared" si="96"/>
        <v>3319.1725208016037</v>
      </c>
      <c r="AA369" s="3">
        <f t="shared" si="97"/>
        <v>1749.5380160922755</v>
      </c>
      <c r="AB369" s="3">
        <f t="shared" si="98"/>
        <v>41.827479198396304</v>
      </c>
      <c r="AD369" s="3">
        <f t="shared" si="99"/>
        <v>1.3715099841402427E-5</v>
      </c>
    </row>
    <row r="370" spans="3:30" x14ac:dyDescent="0.3">
      <c r="C370" s="22">
        <v>338</v>
      </c>
      <c r="D370" s="22">
        <v>3248</v>
      </c>
      <c r="F370" s="3">
        <f t="shared" si="86"/>
        <v>6102.6908340334385</v>
      </c>
      <c r="G370" s="3">
        <f t="shared" si="87"/>
        <v>1001.453657008956</v>
      </c>
      <c r="H370" s="3">
        <f t="shared" si="88"/>
        <v>7.67131669173581</v>
      </c>
      <c r="I370" s="3">
        <f t="shared" si="89"/>
        <v>2.2203451382738884</v>
      </c>
      <c r="J370" s="3">
        <f t="shared" si="90"/>
        <v>-1.9692592188835634</v>
      </c>
      <c r="K370" s="3">
        <f t="shared" si="91"/>
        <v>1.3198301966360657E-5</v>
      </c>
      <c r="L370" s="3" cm="1">
        <f t="array" ref="L370">lmb_2(F370)</f>
        <v>6093.9750631111719</v>
      </c>
      <c r="M370" s="3" cm="1">
        <f t="array" ref="M370">lmb_2(G370)</f>
        <v>994.54789871792184</v>
      </c>
      <c r="N370" s="3" cm="1">
        <f t="array" ref="N370">lmb_2(H370)</f>
        <v>5.8968913666810767</v>
      </c>
      <c r="O370" s="3" cm="1">
        <f t="array" ref="O370">lmb_2(I370)</f>
        <v>1.6935300190905911</v>
      </c>
      <c r="P370" s="3" cm="1">
        <f t="array" ref="P370">lmb_2(J370)</f>
        <v>0.12336320112921269</v>
      </c>
      <c r="R370" s="3">
        <f t="shared" si="92"/>
        <v>8.9024426530001283E-2</v>
      </c>
      <c r="S370" s="3">
        <f t="shared" si="93"/>
        <v>4.9624497022959408</v>
      </c>
      <c r="T370" s="3">
        <f t="shared" si="94"/>
        <v>227.12901459090045</v>
      </c>
      <c r="U370" s="3">
        <f t="shared" si="84"/>
        <v>2314.4151355957579</v>
      </c>
      <c r="V370" s="3">
        <f t="shared" si="85"/>
        <v>0</v>
      </c>
      <c r="W370" s="3">
        <f t="shared" si="95"/>
        <v>760.627016163387</v>
      </c>
      <c r="Y370" s="3">
        <f t="shared" si="96"/>
        <v>3307.2226536771732</v>
      </c>
      <c r="AA370" s="3">
        <f t="shared" si="97"/>
        <v>3507.3227085663943</v>
      </c>
      <c r="AB370" s="3">
        <f t="shared" si="98"/>
        <v>-59.222653677173184</v>
      </c>
      <c r="AD370" s="3">
        <f t="shared" si="99"/>
        <v>1.9418923244276476E-5</v>
      </c>
    </row>
    <row r="371" spans="3:30" x14ac:dyDescent="0.3">
      <c r="C371" s="22">
        <v>339</v>
      </c>
      <c r="D371" s="22">
        <v>3326</v>
      </c>
      <c r="F371" s="3">
        <f t="shared" si="86"/>
        <v>6138.8477161558221</v>
      </c>
      <c r="G371" s="3">
        <f t="shared" si="87"/>
        <v>1007.3824879721327</v>
      </c>
      <c r="H371" s="3">
        <f t="shared" si="88"/>
        <v>7.7201732037250776</v>
      </c>
      <c r="I371" s="3">
        <f t="shared" si="89"/>
        <v>2.23359628837665</v>
      </c>
      <c r="J371" s="3">
        <f t="shared" si="90"/>
        <v>-1.968566750785018</v>
      </c>
      <c r="K371" s="3">
        <f t="shared" si="91"/>
        <v>1.242713412678908E-5</v>
      </c>
      <c r="L371" s="3" cm="1">
        <f t="array" ref="L371">lmb_2(F371)</f>
        <v>6130.1260342465312</v>
      </c>
      <c r="M371" s="3" cm="1">
        <f t="array" ref="M371">lmb_2(G371)</f>
        <v>1000.470809539387</v>
      </c>
      <c r="N371" s="3" cm="1">
        <f t="array" ref="N371">lmb_2(H371)</f>
        <v>5.9386854068258197</v>
      </c>
      <c r="O371" s="3" cm="1">
        <f t="array" ref="O371">lmb_2(I371)</f>
        <v>1.7018691445337926</v>
      </c>
      <c r="P371" s="3" cm="1">
        <f t="array" ref="P371">lmb_2(J371)</f>
        <v>0.12343926604049782</v>
      </c>
      <c r="R371" s="3">
        <f t="shared" si="92"/>
        <v>8.8237895418988133E-2</v>
      </c>
      <c r="S371" s="3">
        <f t="shared" si="93"/>
        <v>4.9184047246611415</v>
      </c>
      <c r="T371" s="3">
        <f t="shared" si="94"/>
        <v>224.83535794677533</v>
      </c>
      <c r="U371" s="3">
        <f t="shared" si="84"/>
        <v>2302.7590719243467</v>
      </c>
      <c r="V371" s="3">
        <f t="shared" si="85"/>
        <v>0</v>
      </c>
      <c r="W371" s="3">
        <f t="shared" si="95"/>
        <v>762.72946295676979</v>
      </c>
      <c r="Y371" s="3">
        <f t="shared" si="96"/>
        <v>3295.3305478751058</v>
      </c>
      <c r="AA371" s="3">
        <f t="shared" si="97"/>
        <v>940.61529364117598</v>
      </c>
      <c r="AB371" s="3">
        <f t="shared" si="98"/>
        <v>30.669452124894178</v>
      </c>
      <c r="AD371" s="3">
        <f t="shared" si="99"/>
        <v>1.0056417599991608E-5</v>
      </c>
    </row>
    <row r="372" spans="3:30" x14ac:dyDescent="0.3">
      <c r="C372" s="22">
        <v>340</v>
      </c>
      <c r="D372" s="22">
        <v>3232</v>
      </c>
      <c r="F372" s="3">
        <f t="shared" si="86"/>
        <v>6175.1114132918601</v>
      </c>
      <c r="G372" s="3">
        <f t="shared" si="87"/>
        <v>1013.3288339455401</v>
      </c>
      <c r="H372" s="3">
        <f t="shared" si="88"/>
        <v>7.7691740480983613</v>
      </c>
      <c r="I372" s="3">
        <f t="shared" si="89"/>
        <v>2.2468865851562287</v>
      </c>
      <c r="J372" s="3">
        <f t="shared" si="90"/>
        <v>-1.9678722369904649</v>
      </c>
      <c r="K372" s="3">
        <f t="shared" si="91"/>
        <v>1.1701025101472948E-5</v>
      </c>
      <c r="L372" s="3" cm="1">
        <f t="array" ref="L372">lmb_2(F372)</f>
        <v>6166.3838378186356</v>
      </c>
      <c r="M372" s="3" cm="1">
        <f t="array" ref="M372">lmb_2(G372)</f>
        <v>1006.4112528603301</v>
      </c>
      <c r="N372" s="3" cm="1">
        <f t="array" ref="N372">lmb_2(H372)</f>
        <v>5.9806455366837126</v>
      </c>
      <c r="O372" s="3" cm="1">
        <f t="array" ref="O372">lmb_2(I372)</f>
        <v>1.7102481236299107</v>
      </c>
      <c r="P372" s="3" cm="1">
        <f t="array" ref="P372">lmb_2(J372)</f>
        <v>0.12351559759363229</v>
      </c>
      <c r="R372" s="3">
        <f t="shared" si="92"/>
        <v>8.7460604418785032E-2</v>
      </c>
      <c r="S372" s="3">
        <f t="shared" si="93"/>
        <v>4.8748798609244375</v>
      </c>
      <c r="T372" s="3">
        <f t="shared" si="94"/>
        <v>222.57054894758809</v>
      </c>
      <c r="U372" s="3">
        <f t="shared" si="84"/>
        <v>2291.1315291088954</v>
      </c>
      <c r="V372" s="3">
        <f t="shared" si="85"/>
        <v>0</v>
      </c>
      <c r="W372" s="3">
        <f t="shared" si="95"/>
        <v>764.83190975015259</v>
      </c>
      <c r="Y372" s="3">
        <f t="shared" si="96"/>
        <v>3283.4963399730041</v>
      </c>
      <c r="AA372" s="3">
        <f t="shared" si="97"/>
        <v>2651.8730306152165</v>
      </c>
      <c r="AB372" s="3">
        <f t="shared" si="98"/>
        <v>-51.496339973004069</v>
      </c>
      <c r="AD372" s="3">
        <f t="shared" si="99"/>
        <v>1.688548910266705E-5</v>
      </c>
    </row>
    <row r="373" spans="3:30" x14ac:dyDescent="0.3">
      <c r="C373" s="22">
        <v>341</v>
      </c>
      <c r="D373" s="22">
        <v>3287</v>
      </c>
      <c r="F373" s="3">
        <f t="shared" si="86"/>
        <v>6211.4819254415534</v>
      </c>
      <c r="G373" s="3">
        <f t="shared" si="87"/>
        <v>1019.2926949291788</v>
      </c>
      <c r="H373" s="3">
        <f t="shared" si="88"/>
        <v>7.8183192248556592</v>
      </c>
      <c r="I373" s="3">
        <f t="shared" si="89"/>
        <v>2.2602160286126258</v>
      </c>
      <c r="J373" s="3">
        <f t="shared" si="90"/>
        <v>-1.9671756774999043</v>
      </c>
      <c r="K373" s="3">
        <f t="shared" si="91"/>
        <v>1.1017342134431103E-5</v>
      </c>
      <c r="L373" s="3" cm="1">
        <f t="array" ref="L373">lmb_2(F373)</f>
        <v>6202.7484737250561</v>
      </c>
      <c r="M373" s="3" cm="1">
        <f t="array" ref="M373">lmb_2(G373)</f>
        <v>1012.3692285776757</v>
      </c>
      <c r="N373" s="3" cm="1">
        <f t="array" ref="N373">lmb_2(H373)</f>
        <v>6.0227716624464005</v>
      </c>
      <c r="O373" s="3" cm="1">
        <f t="array" ref="O373">lmb_2(I373)</f>
        <v>1.7186670241837758</v>
      </c>
      <c r="P373" s="3" cm="1">
        <f t="array" ref="P373">lmb_2(J373)</f>
        <v>0.12359219617715946</v>
      </c>
      <c r="R373" s="3">
        <f t="shared" si="92"/>
        <v>8.6692418210657873E-2</v>
      </c>
      <c r="S373" s="3">
        <f t="shared" si="93"/>
        <v>4.8318674512904494</v>
      </c>
      <c r="T373" s="3">
        <f t="shared" si="94"/>
        <v>220.33417395148194</v>
      </c>
      <c r="U373" s="3">
        <f t="shared" si="84"/>
        <v>2279.5330594435513</v>
      </c>
      <c r="V373" s="3">
        <f t="shared" si="85"/>
        <v>0</v>
      </c>
      <c r="W373" s="3">
        <f t="shared" si="95"/>
        <v>766.93435654353539</v>
      </c>
      <c r="Y373" s="3">
        <f t="shared" si="96"/>
        <v>3271.7201608254118</v>
      </c>
      <c r="AA373" s="3">
        <f t="shared" si="97"/>
        <v>233.47348520128119</v>
      </c>
      <c r="AB373" s="3">
        <f t="shared" si="98"/>
        <v>15.279839174588233</v>
      </c>
      <c r="AD373" s="3">
        <f t="shared" si="99"/>
        <v>5.0102115608268476E-6</v>
      </c>
    </row>
    <row r="374" spans="3:30" x14ac:dyDescent="0.3">
      <c r="C374" s="22">
        <v>342</v>
      </c>
      <c r="D374" s="22">
        <v>3182</v>
      </c>
      <c r="F374" s="3">
        <f t="shared" si="86"/>
        <v>6247.9592526049037</v>
      </c>
      <c r="G374" s="3">
        <f t="shared" si="87"/>
        <v>1025.2740709230482</v>
      </c>
      <c r="H374" s="3">
        <f t="shared" si="88"/>
        <v>7.8676087339969731</v>
      </c>
      <c r="I374" s="3">
        <f t="shared" si="89"/>
        <v>2.2735846187458408</v>
      </c>
      <c r="J374" s="3">
        <f t="shared" si="90"/>
        <v>-1.9664770723133365</v>
      </c>
      <c r="K374" s="3">
        <f t="shared" si="91"/>
        <v>1.0373606299830185E-5</v>
      </c>
      <c r="L374" s="3" cm="1">
        <f t="array" ref="L374">lmb_2(F374)</f>
        <v>6239.2199418642667</v>
      </c>
      <c r="M374" s="3" cm="1">
        <f t="array" ref="M374">lmb_2(G374)</f>
        <v>1018.3447365892554</v>
      </c>
      <c r="N374" s="3" cm="1">
        <f t="array" ref="N374">lmb_2(H374)</f>
        <v>6.0650636903601178</v>
      </c>
      <c r="O374" s="3" cm="1">
        <f t="array" ref="O374">lmb_2(I374)</f>
        <v>1.7271259134604984</v>
      </c>
      <c r="P374" s="3" cm="1">
        <f t="array" ref="P374">lmb_2(J374)</f>
        <v>0.12366906218102602</v>
      </c>
      <c r="R374" s="3">
        <f t="shared" si="92"/>
        <v>8.5933203847380832E-2</v>
      </c>
      <c r="S374" s="3">
        <f t="shared" si="93"/>
        <v>4.7893599710086017</v>
      </c>
      <c r="T374" s="3">
        <f t="shared" si="94"/>
        <v>218.12582556082199</v>
      </c>
      <c r="U374" s="3">
        <f t="shared" si="84"/>
        <v>2267.9642031337385</v>
      </c>
      <c r="V374" s="3">
        <f t="shared" si="85"/>
        <v>0</v>
      </c>
      <c r="W374" s="3">
        <f t="shared" si="95"/>
        <v>769.03680333691818</v>
      </c>
      <c r="Y374" s="3">
        <f t="shared" si="96"/>
        <v>3260.0021355799408</v>
      </c>
      <c r="AA374" s="3">
        <f t="shared" si="97"/>
        <v>6084.3331550314733</v>
      </c>
      <c r="AB374" s="3">
        <f t="shared" si="98"/>
        <v>-78.002135579940841</v>
      </c>
      <c r="AD374" s="3">
        <f t="shared" si="99"/>
        <v>2.5576656729591163E-5</v>
      </c>
    </row>
    <row r="375" spans="3:30" x14ac:dyDescent="0.3">
      <c r="C375" s="22">
        <v>343</v>
      </c>
      <c r="D375" s="22">
        <v>3247</v>
      </c>
      <c r="F375" s="3">
        <f t="shared" si="86"/>
        <v>6284.5433947819083</v>
      </c>
      <c r="G375" s="3">
        <f t="shared" si="87"/>
        <v>1031.2729619271483</v>
      </c>
      <c r="H375" s="3">
        <f t="shared" si="88"/>
        <v>7.9170425755223013</v>
      </c>
      <c r="I375" s="3">
        <f t="shared" si="89"/>
        <v>2.2869923555558724</v>
      </c>
      <c r="J375" s="3">
        <f t="shared" si="90"/>
        <v>-1.9657764214307609</v>
      </c>
      <c r="K375" s="3">
        <f t="shared" si="91"/>
        <v>9.7674835137933394E-6</v>
      </c>
      <c r="L375" s="3" cm="1">
        <f t="array" ref="L375">lmb_2(F375)</f>
        <v>6275.7982421356264</v>
      </c>
      <c r="M375" s="3" cm="1">
        <f t="array" ref="M375">lmb_2(G375)</f>
        <v>1024.3377767937998</v>
      </c>
      <c r="N375" s="3" cm="1">
        <f t="array" ref="N375">lmb_2(H375)</f>
        <v>6.1075215267387604</v>
      </c>
      <c r="O375" s="3" cm="1">
        <f t="array" ref="O375">lmb_2(I375)</f>
        <v>1.7356248581851696</v>
      </c>
      <c r="P375" s="3" cm="1">
        <f t="array" ref="P375">lmb_2(J375)</f>
        <v>0.12374619599658418</v>
      </c>
      <c r="R375" s="3">
        <f t="shared" si="92"/>
        <v>8.5182830704881932E-2</v>
      </c>
      <c r="S375" s="3">
        <f t="shared" si="93"/>
        <v>4.7473500276022778</v>
      </c>
      <c r="T375" s="3">
        <f t="shared" si="94"/>
        <v>215.94510253417795</v>
      </c>
      <c r="U375" s="3">
        <f t="shared" si="84"/>
        <v>2256.4254884048451</v>
      </c>
      <c r="V375" s="3">
        <f t="shared" si="85"/>
        <v>0</v>
      </c>
      <c r="W375" s="3">
        <f t="shared" si="95"/>
        <v>771.13925013030098</v>
      </c>
      <c r="Y375" s="3">
        <f t="shared" si="96"/>
        <v>3248.3423836951147</v>
      </c>
      <c r="AA375" s="3">
        <f t="shared" si="97"/>
        <v>1.8019939849097335</v>
      </c>
      <c r="AB375" s="3">
        <f t="shared" si="98"/>
        <v>-1.3423836951146768</v>
      </c>
      <c r="AD375" s="3">
        <f t="shared" si="99"/>
        <v>4.4016342263041265E-7</v>
      </c>
    </row>
    <row r="376" spans="3:30" x14ac:dyDescent="0.3">
      <c r="C376" s="22">
        <v>344</v>
      </c>
      <c r="D376" s="22">
        <v>3133</v>
      </c>
      <c r="F376" s="3">
        <f t="shared" si="86"/>
        <v>6321.2343519725691</v>
      </c>
      <c r="G376" s="3">
        <f t="shared" si="87"/>
        <v>1037.2893679414799</v>
      </c>
      <c r="H376" s="3">
        <f t="shared" si="88"/>
        <v>7.9666207494316454</v>
      </c>
      <c r="I376" s="3">
        <f t="shared" si="89"/>
        <v>2.3004392390427224</v>
      </c>
      <c r="J376" s="3">
        <f t="shared" si="90"/>
        <v>-1.9650737248521779</v>
      </c>
      <c r="K376" s="3">
        <f t="shared" si="91"/>
        <v>9.196776071382852E-6</v>
      </c>
      <c r="L376" s="3" cm="1">
        <f t="array" ref="L376">lmb_2(F376)</f>
        <v>6312.4833744393791</v>
      </c>
      <c r="M376" s="3" cm="1">
        <f t="array" ref="M376">lmb_2(G376)</f>
        <v>1030.3483490909275</v>
      </c>
      <c r="N376" s="3" cm="1">
        <f t="array" ref="N376">lmb_2(H376)</f>
        <v>6.1501450779765676</v>
      </c>
      <c r="O376" s="3" cm="1">
        <f t="array" ref="O376">lmb_2(I376)</f>
        <v>1.7441639245426319</v>
      </c>
      <c r="P376" s="3" cm="1">
        <f t="array" ref="P376">lmb_2(J376)</f>
        <v>0.12382359801659396</v>
      </c>
      <c r="R376" s="3">
        <f t="shared" si="92"/>
        <v>8.4441170435011745E-2</v>
      </c>
      <c r="S376" s="3">
        <f t="shared" si="93"/>
        <v>4.7058303581628209</v>
      </c>
      <c r="T376" s="3">
        <f t="shared" si="94"/>
        <v>213.79160969906434</v>
      </c>
      <c r="U376" s="3">
        <f t="shared" si="84"/>
        <v>2244.9174316117897</v>
      </c>
      <c r="V376" s="3">
        <f t="shared" si="85"/>
        <v>0</v>
      </c>
      <c r="W376" s="3">
        <f t="shared" si="95"/>
        <v>773.24169692368378</v>
      </c>
      <c r="Y376" s="3">
        <f t="shared" si="96"/>
        <v>3236.7410189599113</v>
      </c>
      <c r="AA376" s="3">
        <f t="shared" si="97"/>
        <v>10762.199014840686</v>
      </c>
      <c r="AB376" s="3">
        <f t="shared" si="98"/>
        <v>-103.74101895991134</v>
      </c>
      <c r="AD376" s="3">
        <f t="shared" si="99"/>
        <v>3.4016356231636306E-5</v>
      </c>
    </row>
    <row r="377" spans="3:30" x14ac:dyDescent="0.3">
      <c r="C377" s="22">
        <v>345</v>
      </c>
      <c r="D377" s="22">
        <v>3151</v>
      </c>
      <c r="F377" s="3">
        <f t="shared" si="86"/>
        <v>6358.0321241768843</v>
      </c>
      <c r="G377" s="3">
        <f t="shared" si="87"/>
        <v>1043.3232889660421</v>
      </c>
      <c r="H377" s="3">
        <f t="shared" si="88"/>
        <v>8.0163432557250047</v>
      </c>
      <c r="I377" s="3">
        <f t="shared" si="89"/>
        <v>2.313925269206389</v>
      </c>
      <c r="J377" s="3">
        <f t="shared" si="90"/>
        <v>-1.9643689825775874</v>
      </c>
      <c r="K377" s="3">
        <f t="shared" si="91"/>
        <v>8.6594146780711708E-6</v>
      </c>
      <c r="L377" s="3" cm="1">
        <f t="array" ref="L377">lmb_2(F377)</f>
        <v>6349.2753386766335</v>
      </c>
      <c r="M377" s="3" cm="1">
        <f t="array" ref="M377">lmb_2(G377)</f>
        <v>1036.3764533811329</v>
      </c>
      <c r="N377" s="3" cm="1">
        <f t="array" ref="N377">lmb_2(H377)</f>
        <v>6.1929342505603984</v>
      </c>
      <c r="O377" s="3" cm="1">
        <f t="array" ref="O377">lmb_2(I377)</f>
        <v>1.75274317817731</v>
      </c>
      <c r="P377" s="3" cm="1">
        <f t="array" ref="P377">lmb_2(J377)</f>
        <v>0.12390126863522563</v>
      </c>
      <c r="R377" s="3">
        <f t="shared" si="92"/>
        <v>8.3708096919406796E-2</v>
      </c>
      <c r="S377" s="3">
        <f t="shared" si="93"/>
        <v>4.6647938267066422</v>
      </c>
      <c r="T377" s="3">
        <f t="shared" si="94"/>
        <v>211.66495786546054</v>
      </c>
      <c r="U377" s="3">
        <f t="shared" si="84"/>
        <v>2233.440537349411</v>
      </c>
      <c r="V377" s="3">
        <f t="shared" si="85"/>
        <v>0</v>
      </c>
      <c r="W377" s="3">
        <f t="shared" si="95"/>
        <v>775.34414371706657</v>
      </c>
      <c r="Y377" s="3">
        <f t="shared" si="96"/>
        <v>3225.1981495149785</v>
      </c>
      <c r="AA377" s="3">
        <f t="shared" si="97"/>
        <v>5505.3653914470997</v>
      </c>
      <c r="AB377" s="3">
        <f t="shared" si="98"/>
        <v>-74.198149514978468</v>
      </c>
      <c r="AD377" s="3">
        <f t="shared" si="99"/>
        <v>2.4329341575149276E-5</v>
      </c>
    </row>
    <row r="378" spans="3:30" x14ac:dyDescent="0.3">
      <c r="C378" s="22">
        <v>346</v>
      </c>
      <c r="D378" s="22">
        <v>3249</v>
      </c>
      <c r="F378" s="3">
        <f t="shared" si="86"/>
        <v>6394.9367113948547</v>
      </c>
      <c r="G378" s="3">
        <f t="shared" si="87"/>
        <v>1049.3747250008357</v>
      </c>
      <c r="H378" s="3">
        <f t="shared" si="88"/>
        <v>8.0662100944023809</v>
      </c>
      <c r="I378" s="3">
        <f t="shared" si="89"/>
        <v>2.3274504460468743</v>
      </c>
      <c r="J378" s="3">
        <f t="shared" si="90"/>
        <v>-1.9636621946069892</v>
      </c>
      <c r="K378" s="3">
        <f t="shared" si="91"/>
        <v>8.1534509468076473E-6</v>
      </c>
      <c r="L378" s="3" cm="1">
        <f t="array" ref="L378">lmb_2(F378)</f>
        <v>6386.1741347493626</v>
      </c>
      <c r="M378" s="3" cm="1">
        <f t="array" ref="M378">lmb_2(G378)</f>
        <v>1042.4220895657791</v>
      </c>
      <c r="N378" s="3" cm="1">
        <f t="array" ref="N378">lmb_2(H378)</f>
        <v>6.2358889510816331</v>
      </c>
      <c r="O378" s="3" cm="1">
        <f t="array" ref="O378">lmb_2(I378)</f>
        <v>1.7613626841931151</v>
      </c>
      <c r="P378" s="3" cm="1">
        <f t="array" ref="P378">lmb_2(J378)</f>
        <v>0.12397920824806184</v>
      </c>
      <c r="R378" s="3">
        <f t="shared" si="92"/>
        <v>8.2983486224418632E-2</v>
      </c>
      <c r="S378" s="3">
        <f t="shared" si="93"/>
        <v>4.6242334215937477</v>
      </c>
      <c r="T378" s="3">
        <f t="shared" si="94"/>
        <v>209.56476374012374</v>
      </c>
      <c r="U378" s="3">
        <f t="shared" si="84"/>
        <v>2221.9952985636164</v>
      </c>
      <c r="V378" s="3">
        <f t="shared" si="85"/>
        <v>0</v>
      </c>
      <c r="W378" s="3">
        <f t="shared" si="95"/>
        <v>777.44659051044937</v>
      </c>
      <c r="Y378" s="3">
        <f t="shared" si="96"/>
        <v>3213.7138778754584</v>
      </c>
      <c r="AA378" s="3">
        <f t="shared" si="97"/>
        <v>1245.1104145880665</v>
      </c>
      <c r="AB378" s="3">
        <f t="shared" si="98"/>
        <v>35.286122124541635</v>
      </c>
      <c r="AD378" s="3">
        <f t="shared" si="99"/>
        <v>1.1570209279371603E-5</v>
      </c>
    </row>
    <row r="379" spans="3:30" x14ac:dyDescent="0.3">
      <c r="C379" s="22">
        <v>347</v>
      </c>
      <c r="D379" s="22">
        <v>3103</v>
      </c>
      <c r="F379" s="3">
        <f t="shared" si="86"/>
        <v>6431.9481136264822</v>
      </c>
      <c r="G379" s="3">
        <f t="shared" si="87"/>
        <v>1055.4436760458598</v>
      </c>
      <c r="H379" s="3">
        <f t="shared" si="88"/>
        <v>8.1162212654637713</v>
      </c>
      <c r="I379" s="3">
        <f t="shared" si="89"/>
        <v>2.3410147695641763</v>
      </c>
      <c r="J379" s="3">
        <f t="shared" si="90"/>
        <v>-1.9629533609403835</v>
      </c>
      <c r="K379" s="3">
        <f t="shared" si="91"/>
        <v>7.6770503334766101E-6</v>
      </c>
      <c r="L379" s="3" cm="1">
        <f t="array" ref="L379">lmb_2(F379)</f>
        <v>6423.1797625603876</v>
      </c>
      <c r="M379" s="3" cm="1">
        <f t="array" ref="M379">lmb_2(G379)</f>
        <v>1048.4852575470843</v>
      </c>
      <c r="N379" s="3" cm="1">
        <f t="array" ref="N379">lmb_2(H379)</f>
        <v>6.2790090862476902</v>
      </c>
      <c r="O379" s="3" cm="1">
        <f t="array" ref="O379">lmb_2(I379)</f>
        <v>1.7700225071534059</v>
      </c>
      <c r="P379" s="3" cm="1">
        <f t="array" ref="P379">lmb_2(J379)</f>
        <v>0.12405741725210012</v>
      </c>
      <c r="R379" s="3">
        <f t="shared" si="92"/>
        <v>8.2267216557081441E-2</v>
      </c>
      <c r="S379" s="3">
        <f t="shared" si="93"/>
        <v>4.5841422530061697</v>
      </c>
      <c r="T379" s="3">
        <f t="shared" si="94"/>
        <v>207.490649841714</v>
      </c>
      <c r="U379" s="3">
        <f t="shared" si="84"/>
        <v>2210.5821966632739</v>
      </c>
      <c r="V379" s="3">
        <f t="shared" si="85"/>
        <v>0</v>
      </c>
      <c r="W379" s="3">
        <f t="shared" si="95"/>
        <v>779.54903730383216</v>
      </c>
      <c r="Y379" s="3">
        <f t="shared" si="96"/>
        <v>3202.2883009554334</v>
      </c>
      <c r="AA379" s="3">
        <f t="shared" si="97"/>
        <v>9858.1667066167247</v>
      </c>
      <c r="AB379" s="3">
        <f t="shared" si="98"/>
        <v>-99.288300955433442</v>
      </c>
      <c r="AD379" s="3">
        <f t="shared" si="99"/>
        <v>3.2556323899605025E-5</v>
      </c>
    </row>
    <row r="380" spans="3:30" x14ac:dyDescent="0.3">
      <c r="C380" s="22">
        <v>348</v>
      </c>
      <c r="D380" s="22">
        <v>3219</v>
      </c>
      <c r="F380" s="3">
        <f t="shared" si="86"/>
        <v>6469.066330871764</v>
      </c>
      <c r="G380" s="3">
        <f t="shared" si="87"/>
        <v>1061.5301421011147</v>
      </c>
      <c r="H380" s="3">
        <f t="shared" si="88"/>
        <v>8.1663767689091777</v>
      </c>
      <c r="I380" s="3">
        <f t="shared" si="89"/>
        <v>2.3546182397582966</v>
      </c>
      <c r="J380" s="3">
        <f t="shared" si="90"/>
        <v>-1.9622424815777706</v>
      </c>
      <c r="K380" s="3">
        <f t="shared" si="91"/>
        <v>7.2284854851318137E-6</v>
      </c>
      <c r="L380" s="3" cm="1">
        <f t="array" ref="L380">lmb_2(F380)</f>
        <v>6460.2922220133669</v>
      </c>
      <c r="M380" s="3" cm="1">
        <f t="array" ref="M380">lmb_2(G380)</f>
        <v>1054.5659572281152</v>
      </c>
      <c r="N380" s="3" cm="1">
        <f t="array" ref="N380">lmb_2(H380)</f>
        <v>6.3222945628931848</v>
      </c>
      <c r="O380" s="3" cm="1">
        <f t="array" ref="O380">lmb_2(I380)</f>
        <v>1.7787227110810262</v>
      </c>
      <c r="P380" s="3" cm="1">
        <f t="array" ref="P380">lmb_2(J380)</f>
        <v>0.1241358960457552</v>
      </c>
      <c r="R380" s="3">
        <f t="shared" si="92"/>
        <v>8.155916822209118E-2</v>
      </c>
      <c r="S380" s="3">
        <f t="shared" si="93"/>
        <v>4.5445135504846359</v>
      </c>
      <c r="T380" s="3">
        <f t="shared" si="94"/>
        <v>205.44224441674348</v>
      </c>
      <c r="U380" s="3">
        <f t="shared" si="84"/>
        <v>2199.2017016327418</v>
      </c>
      <c r="V380" s="3">
        <f t="shared" si="85"/>
        <v>0</v>
      </c>
      <c r="W380" s="3">
        <f t="shared" si="95"/>
        <v>781.65148409721496</v>
      </c>
      <c r="Y380" s="3">
        <f t="shared" si="96"/>
        <v>3190.9215100938927</v>
      </c>
      <c r="AA380" s="3">
        <f t="shared" si="97"/>
        <v>788.4015954073684</v>
      </c>
      <c r="AB380" s="3">
        <f t="shared" si="98"/>
        <v>28.078489906107279</v>
      </c>
      <c r="AD380" s="3">
        <f t="shared" si="99"/>
        <v>9.2068491775817216E-6</v>
      </c>
    </row>
    <row r="381" spans="3:30" x14ac:dyDescent="0.3">
      <c r="C381" s="22">
        <v>349</v>
      </c>
      <c r="D381" s="22">
        <v>3209</v>
      </c>
      <c r="F381" s="3">
        <f t="shared" si="86"/>
        <v>6506.2913631307028</v>
      </c>
      <c r="G381" s="3">
        <f t="shared" si="87"/>
        <v>1067.6341231666011</v>
      </c>
      <c r="H381" s="3">
        <f t="shared" si="88"/>
        <v>8.2166766047386002</v>
      </c>
      <c r="I381" s="3">
        <f t="shared" si="89"/>
        <v>2.3682608566292349</v>
      </c>
      <c r="J381" s="3">
        <f t="shared" si="90"/>
        <v>-1.96152955651915</v>
      </c>
      <c r="K381" s="3">
        <f t="shared" si="91"/>
        <v>6.8061299768890596E-6</v>
      </c>
      <c r="L381" s="3" cm="1">
        <f t="array" ref="L381">lmb_2(F381)</f>
        <v>6497.5115130127924</v>
      </c>
      <c r="M381" s="3" cm="1">
        <f t="array" ref="M381">lmb_2(G381)</f>
        <v>1060.6641885127758</v>
      </c>
      <c r="N381" s="3" cm="1">
        <f t="array" ref="N381">lmb_2(H381)</f>
        <v>6.3657452879907162</v>
      </c>
      <c r="O381" s="3" cm="1">
        <f t="array" ref="O381">lmb_2(I381)</f>
        <v>1.7874633594583944</v>
      </c>
      <c r="P381" s="3" cm="1">
        <f t="array" ref="P381">lmb_2(J381)</f>
        <v>0.12421464502886123</v>
      </c>
      <c r="R381" s="3">
        <f t="shared" si="92"/>
        <v>8.085922357976992E-2</v>
      </c>
      <c r="S381" s="3">
        <f t="shared" si="93"/>
        <v>4.5053406605220623</v>
      </c>
      <c r="T381" s="3">
        <f t="shared" si="94"/>
        <v>203.41918135636402</v>
      </c>
      <c r="U381" s="3">
        <f t="shared" si="84"/>
        <v>2187.8542721450576</v>
      </c>
      <c r="V381" s="3">
        <f t="shared" si="85"/>
        <v>0</v>
      </c>
      <c r="W381" s="3">
        <f t="shared" si="95"/>
        <v>783.75393089059776</v>
      </c>
      <c r="Y381" s="3">
        <f t="shared" si="96"/>
        <v>3179.6135910822513</v>
      </c>
      <c r="AA381" s="3">
        <f t="shared" si="97"/>
        <v>863.56102908113837</v>
      </c>
      <c r="AB381" s="3">
        <f t="shared" si="98"/>
        <v>29.386408917748668</v>
      </c>
      <c r="AD381" s="3">
        <f t="shared" si="99"/>
        <v>9.6357117381019302E-6</v>
      </c>
    </row>
    <row r="382" spans="3:30" x14ac:dyDescent="0.3">
      <c r="C382" s="22">
        <v>350</v>
      </c>
      <c r="D382" s="22">
        <v>3216</v>
      </c>
      <c r="F382" s="3">
        <f t="shared" si="86"/>
        <v>6543.6232104032952</v>
      </c>
      <c r="G382" s="3">
        <f t="shared" si="87"/>
        <v>1073.7556192423181</v>
      </c>
      <c r="H382" s="3">
        <f t="shared" si="88"/>
        <v>8.2671207729520386</v>
      </c>
      <c r="I382" s="3">
        <f t="shared" si="89"/>
        <v>2.3819426201769893</v>
      </c>
      <c r="J382" s="3">
        <f t="shared" si="90"/>
        <v>-1.9608145857645216</v>
      </c>
      <c r="K382" s="3">
        <f t="shared" si="91"/>
        <v>6.4084524147679261E-6</v>
      </c>
      <c r="L382" s="3" cm="1">
        <f t="array" ref="L382">lmb_2(F382)</f>
        <v>6534.8376354639731</v>
      </c>
      <c r="M382" s="3" cm="1">
        <f t="array" ref="M382">lmb_2(G382)</f>
        <v>1066.7799513057967</v>
      </c>
      <c r="N382" s="3" cm="1">
        <f t="array" ref="N382">lmb_2(H382)</f>
        <v>6.4093611686613166</v>
      </c>
      <c r="O382" s="3" cm="1">
        <f t="array" ref="O382">lmb_2(I382)</f>
        <v>1.7962445152276645</v>
      </c>
      <c r="P382" s="3" cm="1">
        <f t="array" ref="P382">lmb_2(J382)</f>
        <v>0.12429366460267433</v>
      </c>
      <c r="R382" s="3">
        <f t="shared" si="92"/>
        <v>8.0167267004990203E-2</v>
      </c>
      <c r="S382" s="3">
        <f t="shared" si="93"/>
        <v>4.4666170442123478</v>
      </c>
      <c r="T382" s="3">
        <f t="shared" si="94"/>
        <v>201.42110011400331</v>
      </c>
      <c r="U382" s="3">
        <f t="shared" si="84"/>
        <v>2176.5403556756855</v>
      </c>
      <c r="V382" s="3">
        <f t="shared" si="85"/>
        <v>0</v>
      </c>
      <c r="W382" s="3">
        <f t="shared" si="95"/>
        <v>785.85637768398055</v>
      </c>
      <c r="Y382" s="3">
        <f t="shared" si="96"/>
        <v>3168.3646241933393</v>
      </c>
      <c r="AA382" s="3">
        <f t="shared" si="97"/>
        <v>2269.1290282417958</v>
      </c>
      <c r="AB382" s="3">
        <f t="shared" si="98"/>
        <v>47.635375806660704</v>
      </c>
      <c r="AD382" s="3">
        <f t="shared" si="99"/>
        <v>1.5619491006671188E-5</v>
      </c>
    </row>
    <row r="383" spans="3:30" x14ac:dyDescent="0.3">
      <c r="C383" s="22">
        <v>351</v>
      </c>
      <c r="D383" s="22">
        <v>3139</v>
      </c>
      <c r="F383" s="3">
        <f t="shared" si="86"/>
        <v>6581.0618726895455</v>
      </c>
      <c r="G383" s="3">
        <f t="shared" si="87"/>
        <v>1079.8946303282662</v>
      </c>
      <c r="H383" s="3">
        <f t="shared" si="88"/>
        <v>8.3177092735494913</v>
      </c>
      <c r="I383" s="3">
        <f t="shared" si="89"/>
        <v>2.395663530401563</v>
      </c>
      <c r="J383" s="3">
        <f t="shared" si="90"/>
        <v>-1.960097569313886</v>
      </c>
      <c r="K383" s="3">
        <f t="shared" si="91"/>
        <v>6.0340108831004589E-6</v>
      </c>
      <c r="L383" s="3" cm="1">
        <f t="array" ref="L383">lmb_2(F383)</f>
        <v>6572.2705892730337</v>
      </c>
      <c r="M383" s="3" cm="1">
        <f t="array" ref="M383">lmb_2(G383)</f>
        <v>1072.9132455127278</v>
      </c>
      <c r="N383" s="3" cm="1">
        <f t="array" ref="N383">lmb_2(H383)</f>
        <v>6.4531421121845494</v>
      </c>
      <c r="O383" s="3" cm="1">
        <f t="array" ref="O383">lmb_2(I383)</f>
        <v>1.8050662407909506</v>
      </c>
      <c r="P383" s="3" cm="1">
        <f t="array" ref="P383">lmb_2(J383)</f>
        <v>0.12437295516987475</v>
      </c>
      <c r="R383" s="3">
        <f t="shared" si="92"/>
        <v>7.9483184847035274E-2</v>
      </c>
      <c r="S383" s="3">
        <f t="shared" si="93"/>
        <v>4.4283362749530371</v>
      </c>
      <c r="T383" s="3">
        <f t="shared" si="94"/>
        <v>199.44764562386121</v>
      </c>
      <c r="U383" s="3">
        <f t="shared" si="84"/>
        <v>2165.2603886167858</v>
      </c>
      <c r="V383" s="3">
        <f t="shared" si="85"/>
        <v>0</v>
      </c>
      <c r="W383" s="3">
        <f t="shared" si="95"/>
        <v>787.95882447736335</v>
      </c>
      <c r="Y383" s="3">
        <f t="shared" si="96"/>
        <v>3157.1746842118209</v>
      </c>
      <c r="AA383" s="3">
        <f t="shared" si="97"/>
        <v>330.31914619941301</v>
      </c>
      <c r="AB383" s="3">
        <f t="shared" si="98"/>
        <v>-18.174684211820932</v>
      </c>
      <c r="AD383" s="3">
        <f t="shared" si="99"/>
        <v>5.959422210665795E-6</v>
      </c>
    </row>
    <row r="384" spans="3:30" x14ac:dyDescent="0.3">
      <c r="C384" s="22">
        <v>352</v>
      </c>
      <c r="D384" s="22">
        <v>3140</v>
      </c>
      <c r="F384" s="3">
        <f t="shared" si="86"/>
        <v>6618.6073499894474</v>
      </c>
      <c r="G384" s="3">
        <f t="shared" si="87"/>
        <v>1086.051156424445</v>
      </c>
      <c r="H384" s="3">
        <f t="shared" si="88"/>
        <v>8.3684421065309635</v>
      </c>
      <c r="I384" s="3">
        <f t="shared" si="89"/>
        <v>2.4094235873029528</v>
      </c>
      <c r="J384" s="3">
        <f t="shared" si="90"/>
        <v>-1.9593785071672427</v>
      </c>
      <c r="K384" s="3">
        <f t="shared" si="91"/>
        <v>5.6814477163740161E-6</v>
      </c>
      <c r="L384" s="3" cm="1">
        <f t="array" ref="L384">lmb_2(F384)</f>
        <v>6609.8103743468937</v>
      </c>
      <c r="M384" s="3" cm="1">
        <f t="array" ref="M384">lmb_2(G384)</f>
        <v>1079.0640710399273</v>
      </c>
      <c r="N384" s="3" cm="1">
        <f t="array" ref="N384">lmb_2(H384)</f>
        <v>6.4970880260082859</v>
      </c>
      <c r="O384" s="3" cm="1">
        <f t="array" ref="O384">lmb_2(I384)</f>
        <v>1.8139285980106044</v>
      </c>
      <c r="P384" s="3" cm="1">
        <f t="array" ref="P384">lmb_2(J384)</f>
        <v>0.12445251713456934</v>
      </c>
      <c r="R384" s="3">
        <f t="shared" si="92"/>
        <v>7.8806865390370545E-2</v>
      </c>
      <c r="S384" s="3">
        <f t="shared" si="93"/>
        <v>4.3904920362005146</v>
      </c>
      <c r="T384" s="3">
        <f t="shared" si="94"/>
        <v>197.49846822027402</v>
      </c>
      <c r="U384" s="3">
        <f t="shared" si="84"/>
        <v>2154.0147963919985</v>
      </c>
      <c r="V384" s="3">
        <f t="shared" si="85"/>
        <v>0</v>
      </c>
      <c r="W384" s="3">
        <f t="shared" si="95"/>
        <v>790.06127127074615</v>
      </c>
      <c r="Y384" s="3">
        <f t="shared" si="96"/>
        <v>3146.0438404660576</v>
      </c>
      <c r="AA384" s="3">
        <f t="shared" si="97"/>
        <v>36.528007579155897</v>
      </c>
      <c r="AB384" s="3">
        <f t="shared" si="98"/>
        <v>-6.0438404660576452</v>
      </c>
      <c r="AD384" s="3">
        <f t="shared" si="99"/>
        <v>1.9817564196091194E-6</v>
      </c>
    </row>
    <row r="385" spans="3:30" x14ac:dyDescent="0.3">
      <c r="C385" s="22">
        <v>353</v>
      </c>
      <c r="D385" s="22">
        <v>3149</v>
      </c>
      <c r="F385" s="3">
        <f t="shared" si="86"/>
        <v>6656.2596423030072</v>
      </c>
      <c r="G385" s="3">
        <f t="shared" si="87"/>
        <v>1092.225197530855</v>
      </c>
      <c r="H385" s="3">
        <f t="shared" si="88"/>
        <v>8.4193192718964465</v>
      </c>
      <c r="I385" s="3">
        <f t="shared" si="89"/>
        <v>2.4232227908811614</v>
      </c>
      <c r="J385" s="3">
        <f t="shared" si="90"/>
        <v>-1.9586573993245922</v>
      </c>
      <c r="K385" s="3">
        <f t="shared" si="91"/>
        <v>5.3494845765517854E-6</v>
      </c>
      <c r="L385" s="3" cm="1">
        <f t="array" ref="L385">lmb_2(F385)</f>
        <v>6647.4569905932767</v>
      </c>
      <c r="M385" s="3" cm="1">
        <f t="array" ref="M385">lmb_2(G385)</f>
        <v>1085.2324277945534</v>
      </c>
      <c r="N385" s="3" cm="1">
        <f t="array" ref="N385">lmb_2(H385)</f>
        <v>6.5411988177581293</v>
      </c>
      <c r="O385" s="3" cm="1">
        <f t="array" ref="O385">lmb_2(I385)</f>
        <v>1.8228316482095674</v>
      </c>
      <c r="P385" s="3" cm="1">
        <f t="array" ref="P385">lmb_2(J385)</f>
        <v>0.12453235090229392</v>
      </c>
      <c r="R385" s="3">
        <f t="shared" si="92"/>
        <v>7.8138198816303406E-2</v>
      </c>
      <c r="S385" s="3">
        <f t="shared" si="93"/>
        <v>4.3530781192763293</v>
      </c>
      <c r="T385" s="3">
        <f t="shared" si="94"/>
        <v>195.57322355795699</v>
      </c>
      <c r="U385" s="3">
        <f t="shared" si="84"/>
        <v>2142.8039935716301</v>
      </c>
      <c r="V385" s="3">
        <f t="shared" si="85"/>
        <v>0</v>
      </c>
      <c r="W385" s="3">
        <f t="shared" si="95"/>
        <v>792.16371806412906</v>
      </c>
      <c r="Y385" s="3">
        <f t="shared" si="96"/>
        <v>3134.9721568612936</v>
      </c>
      <c r="AA385" s="3">
        <f t="shared" si="97"/>
        <v>196.78038312415308</v>
      </c>
      <c r="AB385" s="3">
        <f t="shared" si="98"/>
        <v>14.02784313870643</v>
      </c>
      <c r="AD385" s="3">
        <f t="shared" si="99"/>
        <v>4.5996859694635189E-6</v>
      </c>
    </row>
    <row r="386" spans="3:30" x14ac:dyDescent="0.3">
      <c r="C386" s="22">
        <v>354</v>
      </c>
      <c r="D386" s="22">
        <v>3201</v>
      </c>
      <c r="F386" s="3">
        <f t="shared" si="86"/>
        <v>6694.0187496302233</v>
      </c>
      <c r="G386" s="3">
        <f t="shared" si="87"/>
        <v>1098.4167536474961</v>
      </c>
      <c r="H386" s="3">
        <f t="shared" si="88"/>
        <v>8.4703407696459472</v>
      </c>
      <c r="I386" s="3">
        <f t="shared" si="89"/>
        <v>2.4370611411361875</v>
      </c>
      <c r="J386" s="3">
        <f t="shared" si="90"/>
        <v>-1.9579342457859339</v>
      </c>
      <c r="K386" s="3">
        <f t="shared" si="91"/>
        <v>5.0369178180221322E-6</v>
      </c>
      <c r="L386" s="3" cm="1">
        <f t="array" ref="L386">lmb_2(F386)</f>
        <v>6685.2104379206812</v>
      </c>
      <c r="M386" s="3" cm="1">
        <f t="array" ref="M386">lmb_2(G386)</f>
        <v>1091.418315684555</v>
      </c>
      <c r="N386" s="3" cm="1">
        <f t="array" ref="N386">lmb_2(H386)</f>
        <v>6.5854743952465657</v>
      </c>
      <c r="O386" s="3" cm="1">
        <f t="array" ref="O386">lmb_2(I386)</f>
        <v>1.8317754521717717</v>
      </c>
      <c r="P386" s="3" cm="1">
        <f t="array" ref="P386">lmb_2(J386)</f>
        <v>0.12461245688001572</v>
      </c>
      <c r="R386" s="3">
        <f t="shared" si="92"/>
        <v>7.7477077165509112E-2</v>
      </c>
      <c r="S386" s="3">
        <f t="shared" si="93"/>
        <v>4.3160884212233714</v>
      </c>
      <c r="T386" s="3">
        <f t="shared" si="94"/>
        <v>193.67157253312786</v>
      </c>
      <c r="U386" s="3">
        <f t="shared" si="84"/>
        <v>2131.6283839882722</v>
      </c>
      <c r="V386" s="3">
        <f t="shared" si="85"/>
        <v>0</v>
      </c>
      <c r="W386" s="3">
        <f t="shared" si="95"/>
        <v>794.26616485751185</v>
      </c>
      <c r="Y386" s="3">
        <f t="shared" si="96"/>
        <v>3123.9596919142182</v>
      </c>
      <c r="AA386" s="3">
        <f t="shared" si="97"/>
        <v>5935.2090699521796</v>
      </c>
      <c r="AB386" s="3">
        <f t="shared" si="98"/>
        <v>77.040308085781817</v>
      </c>
      <c r="AD386" s="3">
        <f t="shared" si="99"/>
        <v>2.5261276497136162E-5</v>
      </c>
    </row>
    <row r="387" spans="3:30" x14ac:dyDescent="0.3">
      <c r="C387" s="22">
        <v>355</v>
      </c>
      <c r="D387" s="22">
        <v>3096</v>
      </c>
      <c r="F387" s="3">
        <f t="shared" si="86"/>
        <v>6731.8846719710928</v>
      </c>
      <c r="G387" s="3">
        <f t="shared" si="87"/>
        <v>1104.6258247743676</v>
      </c>
      <c r="H387" s="3">
        <f t="shared" si="88"/>
        <v>8.5215065997794639</v>
      </c>
      <c r="I387" s="3">
        <f t="shared" si="89"/>
        <v>2.4509386380680303</v>
      </c>
      <c r="J387" s="3">
        <f t="shared" si="90"/>
        <v>-1.9572090465512679</v>
      </c>
      <c r="K387" s="3">
        <f t="shared" si="91"/>
        <v>4.7426141233708139E-6</v>
      </c>
      <c r="L387" s="3" cm="1">
        <f t="array" ref="L387">lmb_2(F387)</f>
        <v>6723.0707162383806</v>
      </c>
      <c r="M387" s="3" cm="1">
        <f t="array" ref="M387">lmb_2(G387)</f>
        <v>1097.6217346186615</v>
      </c>
      <c r="N387" s="3" cm="1">
        <f t="array" ref="N387">lmb_2(H387)</f>
        <v>6.6299146664817536</v>
      </c>
      <c r="O387" s="3" cm="1">
        <f t="array" ref="O387">lmb_2(I387)</f>
        <v>1.8407600701426079</v>
      </c>
      <c r="P387" s="3" cm="1">
        <f t="array" ref="P387">lmb_2(J387)</f>
        <v>0.12469283547613569</v>
      </c>
      <c r="R387" s="3">
        <f t="shared" si="92"/>
        <v>7.6823394301400338E-2</v>
      </c>
      <c r="S387" s="3">
        <f t="shared" si="93"/>
        <v>4.2795169427106474</v>
      </c>
      <c r="T387" s="3">
        <f t="shared" si="94"/>
        <v>191.7931812055225</v>
      </c>
      <c r="U387" s="3">
        <f t="shared" si="84"/>
        <v>2120.488360852743</v>
      </c>
      <c r="V387" s="3">
        <f t="shared" si="85"/>
        <v>0</v>
      </c>
      <c r="W387" s="3">
        <f t="shared" si="95"/>
        <v>796.36861165089465</v>
      </c>
      <c r="Y387" s="3">
        <f t="shared" si="96"/>
        <v>3113.0064987887863</v>
      </c>
      <c r="AA387" s="3">
        <f t="shared" si="97"/>
        <v>289.22100105299</v>
      </c>
      <c r="AB387" s="3">
        <f t="shared" si="98"/>
        <v>-17.006498788786303</v>
      </c>
      <c r="AD387" s="3">
        <f t="shared" si="99"/>
        <v>5.576377857593589E-6</v>
      </c>
    </row>
    <row r="388" spans="3:30" x14ac:dyDescent="0.3">
      <c r="C388" s="22">
        <v>356</v>
      </c>
      <c r="D388" s="22">
        <v>3160</v>
      </c>
      <c r="F388" s="3">
        <f t="shared" si="86"/>
        <v>6769.8574093256184</v>
      </c>
      <c r="G388" s="3">
        <f t="shared" si="87"/>
        <v>1110.8524109114703</v>
      </c>
      <c r="H388" s="3">
        <f t="shared" si="88"/>
        <v>8.5728167622969931</v>
      </c>
      <c r="I388" s="3">
        <f t="shared" si="89"/>
        <v>2.4648552816766918</v>
      </c>
      <c r="J388" s="3">
        <f t="shared" si="90"/>
        <v>-1.9564818016205947</v>
      </c>
      <c r="K388" s="3">
        <f t="shared" si="91"/>
        <v>4.4655063941520686E-6</v>
      </c>
      <c r="L388" s="3" cm="1">
        <f t="array" ref="L388">lmb_2(F388)</f>
        <v>6761.0378254564203</v>
      </c>
      <c r="M388" s="3" cm="1">
        <f t="array" ref="M388">lmb_2(G388)</f>
        <v>1103.8426845063771</v>
      </c>
      <c r="N388" s="3" cm="1">
        <f t="array" ref="N388">lmb_2(H388)</f>
        <v>6.6745195396760471</v>
      </c>
      <c r="O388" s="3" cm="1">
        <f t="array" ref="O388">lmb_2(I388)</f>
        <v>1.8497855618294536</v>
      </c>
      <c r="P388" s="3" cm="1">
        <f t="array" ref="P388">lmb_2(J388)</f>
        <v>0.12477348710049069</v>
      </c>
      <c r="R388" s="3">
        <f t="shared" si="92"/>
        <v>7.6177045874319033E-2</v>
      </c>
      <c r="S388" s="3">
        <f t="shared" si="93"/>
        <v>4.2433577859853369</v>
      </c>
      <c r="T388" s="3">
        <f t="shared" si="94"/>
        <v>189.93772072130341</v>
      </c>
      <c r="U388" s="3">
        <f t="shared" si="84"/>
        <v>2109.3843068703527</v>
      </c>
      <c r="V388" s="3">
        <f t="shared" si="85"/>
        <v>0</v>
      </c>
      <c r="W388" s="3">
        <f t="shared" si="95"/>
        <v>798.47105844427745</v>
      </c>
      <c r="Y388" s="3">
        <f t="shared" si="96"/>
        <v>3102.1126253332995</v>
      </c>
      <c r="AA388" s="3">
        <f t="shared" si="97"/>
        <v>3350.9481458029531</v>
      </c>
      <c r="AB388" s="3">
        <f t="shared" si="98"/>
        <v>57.887374666700453</v>
      </c>
      <c r="AD388" s="3">
        <f t="shared" si="99"/>
        <v>1.8981089425558931E-5</v>
      </c>
    </row>
    <row r="389" spans="3:30" x14ac:dyDescent="0.3">
      <c r="C389" s="22">
        <v>357</v>
      </c>
      <c r="D389" s="22">
        <v>3038</v>
      </c>
      <c r="F389" s="3">
        <f t="shared" si="86"/>
        <v>6807.936961693802</v>
      </c>
      <c r="G389" s="3">
        <f t="shared" si="87"/>
        <v>1117.0965120588041</v>
      </c>
      <c r="H389" s="3">
        <f t="shared" si="88"/>
        <v>8.62427125719854</v>
      </c>
      <c r="I389" s="3">
        <f t="shared" si="89"/>
        <v>2.4788110719621699</v>
      </c>
      <c r="J389" s="3">
        <f t="shared" si="90"/>
        <v>-1.955752510993914</v>
      </c>
      <c r="K389" s="3">
        <f t="shared" si="91"/>
        <v>4.2045898817591579E-6</v>
      </c>
      <c r="L389" s="3" cm="1">
        <f t="array" ref="L389">lmb_2(F389)</f>
        <v>6799.1117654856034</v>
      </c>
      <c r="M389" s="3" cm="1">
        <f t="array" ref="M389">lmb_2(G389)</f>
        <v>1110.0811652579685</v>
      </c>
      <c r="N389" s="3" cm="1">
        <f t="array" ref="N389">lmb_2(H389)</f>
        <v>6.719288923254215</v>
      </c>
      <c r="O389" s="3" cm="1">
        <f t="array" ref="O389">lmb_2(I389)</f>
        <v>1.8588519864022515</v>
      </c>
      <c r="P389" s="3" cm="1">
        <f t="array" ref="P389">lmb_2(J389)</f>
        <v>0.12485441216435633</v>
      </c>
      <c r="R389" s="3">
        <f t="shared" si="92"/>
        <v>7.553792928653047E-2</v>
      </c>
      <c r="S389" s="3">
        <f t="shared" si="93"/>
        <v>4.207605152871067</v>
      </c>
      <c r="T389" s="3">
        <f t="shared" si="94"/>
        <v>188.1048672368664</v>
      </c>
      <c r="U389" s="3">
        <f t="shared" si="84"/>
        <v>2098.3165943574409</v>
      </c>
      <c r="V389" s="3">
        <f t="shared" si="85"/>
        <v>0</v>
      </c>
      <c r="W389" s="3">
        <f t="shared" si="95"/>
        <v>800.57350523766024</v>
      </c>
      <c r="Y389" s="3">
        <f t="shared" si="96"/>
        <v>3091.2781141187152</v>
      </c>
      <c r="AA389" s="3">
        <f t="shared" si="97"/>
        <v>2838.5574440468363</v>
      </c>
      <c r="AB389" s="3">
        <f t="shared" si="98"/>
        <v>-53.278114118715166</v>
      </c>
      <c r="AD389" s="3">
        <f t="shared" si="99"/>
        <v>1.7469727282246235E-5</v>
      </c>
    </row>
    <row r="390" spans="3:30" x14ac:dyDescent="0.3">
      <c r="C390" s="22">
        <v>358</v>
      </c>
      <c r="D390" s="22">
        <v>3109</v>
      </c>
      <c r="F390" s="3">
        <f t="shared" si="86"/>
        <v>6846.1233290756372</v>
      </c>
      <c r="G390" s="3">
        <f t="shared" si="87"/>
        <v>1123.3581282163689</v>
      </c>
      <c r="H390" s="3">
        <f t="shared" si="88"/>
        <v>8.675870084484103</v>
      </c>
      <c r="I390" s="3">
        <f t="shared" si="89"/>
        <v>2.4928060089244664</v>
      </c>
      <c r="J390" s="3">
        <f t="shared" si="90"/>
        <v>-1.9550211746712256</v>
      </c>
      <c r="K390" s="3">
        <f t="shared" si="91"/>
        <v>3.9589185443655344E-6</v>
      </c>
      <c r="L390" s="3" cm="1">
        <f t="array" ref="L390">lmb_2(F390)</f>
        <v>6837.2925362374708</v>
      </c>
      <c r="M390" s="3" cm="1">
        <f t="array" ref="M390">lmb_2(G390)</f>
        <v>1116.3371767844585</v>
      </c>
      <c r="N390" s="3" cm="1">
        <f t="array" ref="N390">lmb_2(H390)</f>
        <v>6.7642227258613605</v>
      </c>
      <c r="O390" s="3" cm="1">
        <f t="array" ref="O390">lmb_2(I390)</f>
        <v>1.8679594024941566</v>
      </c>
      <c r="P390" s="3" cm="1">
        <f t="array" ref="P390">lmb_2(J390)</f>
        <v>0.12493561108044915</v>
      </c>
      <c r="R390" s="3">
        <f t="shared" si="92"/>
        <v>7.4905943657998908E-2</v>
      </c>
      <c r="S390" s="3">
        <f t="shared" si="93"/>
        <v>4.1722533428110973</v>
      </c>
      <c r="T390" s="3">
        <f t="shared" si="94"/>
        <v>186.29430184354993</v>
      </c>
      <c r="U390" s="3">
        <f t="shared" si="84"/>
        <v>2087.2855853581309</v>
      </c>
      <c r="V390" s="3">
        <f t="shared" si="85"/>
        <v>0</v>
      </c>
      <c r="W390" s="3">
        <f t="shared" si="95"/>
        <v>802.67595203104304</v>
      </c>
      <c r="Y390" s="3">
        <f t="shared" si="96"/>
        <v>3080.5030024781113</v>
      </c>
      <c r="AA390" s="3">
        <f t="shared" si="97"/>
        <v>812.07886776253156</v>
      </c>
      <c r="AB390" s="3">
        <f t="shared" si="98"/>
        <v>28.496997521888716</v>
      </c>
      <c r="AD390" s="3">
        <f t="shared" si="99"/>
        <v>9.3440765181920484E-6</v>
      </c>
    </row>
    <row r="391" spans="3:30" x14ac:dyDescent="0.3">
      <c r="C391" s="22">
        <v>359</v>
      </c>
      <c r="D391" s="22">
        <v>3106</v>
      </c>
      <c r="F391" s="3">
        <f t="shared" si="86"/>
        <v>6884.4165114711304</v>
      </c>
      <c r="G391" s="3">
        <f t="shared" si="87"/>
        <v>1129.6372593841647</v>
      </c>
      <c r="H391" s="3">
        <f t="shared" si="88"/>
        <v>8.7276132441536802</v>
      </c>
      <c r="I391" s="3">
        <f t="shared" si="89"/>
        <v>2.5068400925635799</v>
      </c>
      <c r="J391" s="3">
        <f t="shared" si="90"/>
        <v>-1.9542877926525297</v>
      </c>
      <c r="K391" s="3">
        <f t="shared" si="91"/>
        <v>3.7276016167274518E-6</v>
      </c>
      <c r="L391" s="3" cm="1">
        <f t="array" ref="L391">lmb_2(F391)</f>
        <v>6875.5801376243217</v>
      </c>
      <c r="M391" s="3" cm="1">
        <f t="array" ref="M391">lmb_2(G391)</f>
        <v>1122.6107189976174</v>
      </c>
      <c r="N391" s="3" cm="1">
        <f t="array" ref="N391">lmb_2(H391)</f>
        <v>6.8093208563705705</v>
      </c>
      <c r="O391" s="3" cm="1">
        <f t="array" ref="O391">lmb_2(I391)</f>
        <v>1.877107868202232</v>
      </c>
      <c r="P391" s="3" cm="1">
        <f t="array" ref="P391">lmb_2(J391)</f>
        <v>0.12501708426292896</v>
      </c>
      <c r="R391" s="3">
        <f t="shared" si="92"/>
        <v>7.4280989792924815E-2</v>
      </c>
      <c r="S391" s="3">
        <f t="shared" si="93"/>
        <v>4.1372967509553744</v>
      </c>
      <c r="T391" s="3">
        <f t="shared" si="94"/>
        <v>184.50571049324759</v>
      </c>
      <c r="U391" s="3">
        <f t="shared" si="84"/>
        <v>2076.2916317612767</v>
      </c>
      <c r="V391" s="3">
        <f t="shared" si="85"/>
        <v>0</v>
      </c>
      <c r="W391" s="3">
        <f t="shared" si="95"/>
        <v>804.77839882442584</v>
      </c>
      <c r="Y391" s="3">
        <f t="shared" si="96"/>
        <v>3069.7873225473004</v>
      </c>
      <c r="AA391" s="3">
        <f t="shared" si="97"/>
        <v>1311.3580082932585</v>
      </c>
      <c r="AB391" s="3">
        <f t="shared" si="98"/>
        <v>36.212677452699609</v>
      </c>
      <c r="AD391" s="3">
        <f t="shared" si="99"/>
        <v>1.1874023878716553E-5</v>
      </c>
    </row>
    <row r="392" spans="3:30" x14ac:dyDescent="0.3">
      <c r="C392" s="22">
        <v>360</v>
      </c>
      <c r="D392" s="22">
        <v>2997</v>
      </c>
      <c r="F392" s="3">
        <f t="shared" si="86"/>
        <v>6922.8165088802798</v>
      </c>
      <c r="G392" s="3">
        <f t="shared" si="87"/>
        <v>1135.9339055621911</v>
      </c>
      <c r="H392" s="3">
        <f t="shared" si="88"/>
        <v>8.7795007362072734</v>
      </c>
      <c r="I392" s="3">
        <f t="shared" si="89"/>
        <v>2.5209133228795113</v>
      </c>
      <c r="J392" s="3">
        <f t="shared" si="90"/>
        <v>-1.9535523649378264</v>
      </c>
      <c r="K392" s="3">
        <f t="shared" si="91"/>
        <v>3.5098003804106966E-6</v>
      </c>
      <c r="L392" s="3" cm="1">
        <f t="array" ref="L392">lmb_2(F392)</f>
        <v>6913.9745695591755</v>
      </c>
      <c r="M392" s="3" cm="1">
        <f t="array" ref="M392">lmb_2(G392)</f>
        <v>1128.901791809953</v>
      </c>
      <c r="N392" s="3" cm="1">
        <f t="array" ref="N392">lmb_2(H392)</f>
        <v>6.8545832238902928</v>
      </c>
      <c r="O392" s="3" cm="1">
        <f t="array" ref="O392">lmb_2(I392)</f>
        <v>1.8862974410882067</v>
      </c>
      <c r="P392" s="3" cm="1">
        <f t="array" ref="P392">lmb_2(J392)</f>
        <v>0.12509883212740128</v>
      </c>
      <c r="R392" s="3">
        <f t="shared" si="92"/>
        <v>7.3662970147025941E-2</v>
      </c>
      <c r="S392" s="3">
        <f t="shared" si="93"/>
        <v>4.1027298662903195</v>
      </c>
      <c r="T392" s="3">
        <f t="shared" si="94"/>
        <v>182.73878392492551</v>
      </c>
      <c r="U392" s="3">
        <f t="shared" si="84"/>
        <v>2065.3350754175558</v>
      </c>
      <c r="V392" s="3">
        <f t="shared" si="85"/>
        <v>0</v>
      </c>
      <c r="W392" s="3">
        <f t="shared" si="95"/>
        <v>806.88084561780863</v>
      </c>
      <c r="Y392" s="3">
        <f t="shared" si="96"/>
        <v>3059.1311013065279</v>
      </c>
      <c r="AA392" s="3">
        <f t="shared" si="97"/>
        <v>3860.2737495620272</v>
      </c>
      <c r="AB392" s="3">
        <f t="shared" si="98"/>
        <v>-62.131101306527853</v>
      </c>
      <c r="AD392" s="3">
        <f t="shared" si="99"/>
        <v>2.0372594141604155E-5</v>
      </c>
    </row>
    <row r="393" spans="3:30" x14ac:dyDescent="0.3">
      <c r="C393" s="22">
        <v>361</v>
      </c>
      <c r="D393" s="22">
        <v>2982</v>
      </c>
      <c r="F393" s="3">
        <f t="shared" si="86"/>
        <v>6961.3233213030835</v>
      </c>
      <c r="G393" s="3">
        <f t="shared" si="87"/>
        <v>1142.2480667504485</v>
      </c>
      <c r="H393" s="3">
        <f t="shared" si="88"/>
        <v>8.8315325606448827</v>
      </c>
      <c r="I393" s="3">
        <f t="shared" si="89"/>
        <v>2.5350256998722607</v>
      </c>
      <c r="J393" s="3">
        <f t="shared" si="90"/>
        <v>-1.9528148915271155</v>
      </c>
      <c r="K393" s="3">
        <f t="shared" si="91"/>
        <v>3.304725122730788E-6</v>
      </c>
      <c r="L393" s="3" cm="1">
        <f t="array" ref="L393">lmb_2(F393)</f>
        <v>6952.4758319557777</v>
      </c>
      <c r="M393" s="3" cm="1">
        <f t="array" ref="M393">lmb_2(G393)</f>
        <v>1135.2103951347049</v>
      </c>
      <c r="N393" s="3" cm="1">
        <f t="array" ref="N393">lmb_2(H393)</f>
        <v>6.9000097377714411</v>
      </c>
      <c r="O393" s="3" cm="1">
        <f t="array" ref="O393">lmb_2(I393)</f>
        <v>1.8955281781792845</v>
      </c>
      <c r="P393" s="3" cm="1">
        <f t="array" ref="P393">lmb_2(J393)</f>
        <v>0.12518085509091992</v>
      </c>
      <c r="R393" s="3">
        <f t="shared" si="92"/>
        <v>7.3051788795542305E-2</v>
      </c>
      <c r="S393" s="3">
        <f t="shared" si="93"/>
        <v>4.0685472698102751</v>
      </c>
      <c r="T393" s="3">
        <f t="shared" si="94"/>
        <v>180.99321759204656</v>
      </c>
      <c r="U393" s="3">
        <f t="shared" si="84"/>
        <v>2054.4162482566749</v>
      </c>
      <c r="V393" s="3">
        <f t="shared" si="85"/>
        <v>0</v>
      </c>
      <c r="W393" s="3">
        <f t="shared" si="95"/>
        <v>808.98329241119143</v>
      </c>
      <c r="Y393" s="3">
        <f t="shared" si="96"/>
        <v>3048.5343606232436</v>
      </c>
      <c r="AA393" s="3">
        <f t="shared" si="97"/>
        <v>4426.8211435438325</v>
      </c>
      <c r="AB393" s="3">
        <f t="shared" si="98"/>
        <v>-66.534360623243629</v>
      </c>
      <c r="AD393" s="3">
        <f t="shared" si="99"/>
        <v>2.1816409124331055E-5</v>
      </c>
    </row>
    <row r="394" spans="3:30" x14ac:dyDescent="0.3">
      <c r="C394" s="22">
        <v>362</v>
      </c>
      <c r="D394" s="22">
        <v>3024</v>
      </c>
      <c r="F394" s="3">
        <f t="shared" si="86"/>
        <v>6999.9369487395397</v>
      </c>
      <c r="G394" s="3">
        <f t="shared" si="87"/>
        <v>1148.5797429489371</v>
      </c>
      <c r="H394" s="3">
        <f t="shared" si="88"/>
        <v>8.8837087174665079</v>
      </c>
      <c r="I394" s="3">
        <f t="shared" si="89"/>
        <v>2.5491772235418271</v>
      </c>
      <c r="J394" s="3">
        <f t="shared" si="90"/>
        <v>-1.9520753724203972</v>
      </c>
      <c r="K394" s="3">
        <f t="shared" si="91"/>
        <v>3.1116322733801874E-6</v>
      </c>
      <c r="L394" s="3" cm="1">
        <f t="array" ref="L394">lmb_2(F394)</f>
        <v>6991.0839247285921</v>
      </c>
      <c r="M394" s="3" cm="1">
        <f t="array" ref="M394">lmb_2(G394)</f>
        <v>1141.5365288858352</v>
      </c>
      <c r="N394" s="3" cm="1">
        <f t="array" ref="N394">lmb_2(H394)</f>
        <v>6.945600307614237</v>
      </c>
      <c r="O394" s="3" cm="1">
        <f t="array" ref="O394">lmb_2(I394)</f>
        <v>1.9048001359690105</v>
      </c>
      <c r="P394" s="3" cm="1">
        <f t="array" ref="P394">lmb_2(J394)</f>
        <v>0.12526315357198933</v>
      </c>
      <c r="R394" s="3">
        <f t="shared" si="92"/>
        <v>7.2447351401947829E-2</v>
      </c>
      <c r="S394" s="3">
        <f t="shared" si="93"/>
        <v>4.0347436327295769</v>
      </c>
      <c r="T394" s="3">
        <f t="shared" si="94"/>
        <v>179.26871159090064</v>
      </c>
      <c r="U394" s="3">
        <f t="shared" si="84"/>
        <v>2043.5354724046401</v>
      </c>
      <c r="V394" s="3">
        <f t="shared" si="85"/>
        <v>0</v>
      </c>
      <c r="W394" s="3">
        <f t="shared" si="95"/>
        <v>811.08573920457422</v>
      </c>
      <c r="Y394" s="3">
        <f t="shared" si="96"/>
        <v>3037.997117295879</v>
      </c>
      <c r="AA394" s="3">
        <f t="shared" si="97"/>
        <v>195.91929259459448</v>
      </c>
      <c r="AB394" s="3">
        <f t="shared" si="98"/>
        <v>-13.997117295878979</v>
      </c>
      <c r="AD394" s="3">
        <f t="shared" si="99"/>
        <v>4.5896110615282143E-6</v>
      </c>
    </row>
    <row r="395" spans="3:30" x14ac:dyDescent="0.3">
      <c r="C395" s="22">
        <v>363</v>
      </c>
      <c r="D395" s="22">
        <v>3028</v>
      </c>
      <c r="F395" s="3">
        <f t="shared" si="86"/>
        <v>7038.6573911896567</v>
      </c>
      <c r="G395" s="3">
        <f t="shared" si="87"/>
        <v>1154.9289341576564</v>
      </c>
      <c r="H395" s="3">
        <f t="shared" si="88"/>
        <v>8.9360292066721509</v>
      </c>
      <c r="I395" s="3">
        <f t="shared" si="89"/>
        <v>2.5633678938882118</v>
      </c>
      <c r="J395" s="3">
        <f t="shared" si="90"/>
        <v>-1.9513338076176712</v>
      </c>
      <c r="K395" s="3">
        <f t="shared" si="91"/>
        <v>2.929821708360553E-6</v>
      </c>
      <c r="L395" s="3" cm="1">
        <f t="array" ref="L395">lmb_2(F395)</f>
        <v>7029.7988477927984</v>
      </c>
      <c r="M395" s="3" cm="1">
        <f t="array" ref="M395">lmb_2(G395)</f>
        <v>1147.8801929780188</v>
      </c>
      <c r="N395" s="3" cm="1">
        <f t="array" ref="N395">lmb_2(H395)</f>
        <v>6.9913548432748032</v>
      </c>
      <c r="O395" s="3" cm="1">
        <f t="array" ref="O395">lmb_2(I395)</f>
        <v>1.9141133704181932</v>
      </c>
      <c r="P395" s="3" cm="1">
        <f t="array" ref="P395">lmb_2(J395)</f>
        <v>0.12534572799056701</v>
      </c>
      <c r="R395" s="3">
        <f t="shared" si="92"/>
        <v>7.1849565187351069E-2</v>
      </c>
      <c r="S395" s="3">
        <f t="shared" si="93"/>
        <v>4.0013137147342563</v>
      </c>
      <c r="T395" s="3">
        <f t="shared" si="94"/>
        <v>177.56497058984033</v>
      </c>
      <c r="U395" s="3">
        <f t="shared" si="84"/>
        <v>2032.6930603010676</v>
      </c>
      <c r="V395" s="3">
        <f t="shared" si="85"/>
        <v>0</v>
      </c>
      <c r="W395" s="3">
        <f t="shared" si="95"/>
        <v>813.18818599795702</v>
      </c>
      <c r="Y395" s="3">
        <f t="shared" si="96"/>
        <v>3027.5193830986082</v>
      </c>
      <c r="AA395" s="3">
        <f t="shared" si="97"/>
        <v>0.2309926059034943</v>
      </c>
      <c r="AB395" s="3">
        <f t="shared" si="98"/>
        <v>0.48061690139184066</v>
      </c>
      <c r="AD395" s="3">
        <f t="shared" si="99"/>
        <v>1.5759278145328179E-7</v>
      </c>
    </row>
    <row r="396" spans="3:30" x14ac:dyDescent="0.3">
      <c r="C396" s="22">
        <v>364</v>
      </c>
      <c r="D396" s="22">
        <v>3030</v>
      </c>
      <c r="F396" s="3">
        <f t="shared" si="86"/>
        <v>7077.484648653427</v>
      </c>
      <c r="G396" s="3">
        <f t="shared" si="87"/>
        <v>1161.295640376607</v>
      </c>
      <c r="H396" s="3">
        <f t="shared" si="88"/>
        <v>8.9884940282618047</v>
      </c>
      <c r="I396" s="3">
        <f t="shared" si="89"/>
        <v>2.5775977109114132</v>
      </c>
      <c r="J396" s="3">
        <f t="shared" si="90"/>
        <v>-1.9505901971189377</v>
      </c>
      <c r="K396" s="3">
        <f t="shared" si="91"/>
        <v>2.7586342114442873E-6</v>
      </c>
      <c r="L396" s="3" cm="1">
        <f t="array" ref="L396">lmb_2(F396)</f>
        <v>7068.6206010642618</v>
      </c>
      <c r="M396" s="3" cm="1">
        <f t="array" ref="M396">lmb_2(G396)</f>
        <v>1154.2413873266394</v>
      </c>
      <c r="N396" s="3" cm="1">
        <f t="array" ref="N396">lmb_2(H396)</f>
        <v>7.0372732548715042</v>
      </c>
      <c r="O396" s="3" cm="1">
        <f t="array" ref="O396">lmb_2(I396)</f>
        <v>1.9234679369558725</v>
      </c>
      <c r="P396" s="3" cm="1">
        <f t="array" ref="P396">lmb_2(J396)</f>
        <v>0.1254285787680659</v>
      </c>
      <c r="R396" s="3">
        <f t="shared" si="92"/>
        <v>7.1258338900568208E-2</v>
      </c>
      <c r="S396" s="3">
        <f t="shared" si="93"/>
        <v>3.96825236227233</v>
      </c>
      <c r="T396" s="3">
        <f t="shared" si="94"/>
        <v>175.8817037594213</v>
      </c>
      <c r="U396" s="3">
        <f t="shared" si="84"/>
        <v>2021.8893148164923</v>
      </c>
      <c r="V396" s="3">
        <f t="shared" si="85"/>
        <v>0</v>
      </c>
      <c r="W396" s="3">
        <f t="shared" si="95"/>
        <v>815.29063279133982</v>
      </c>
      <c r="Y396" s="3">
        <f t="shared" si="96"/>
        <v>3017.1011648270605</v>
      </c>
      <c r="AA396" s="3">
        <f t="shared" si="97"/>
        <v>166.37994881866044</v>
      </c>
      <c r="AB396" s="3">
        <f t="shared" si="98"/>
        <v>12.898835172939471</v>
      </c>
      <c r="AD396" s="3">
        <f t="shared" si="99"/>
        <v>4.2294877823151478E-6</v>
      </c>
    </row>
    <row r="397" spans="3:30" x14ac:dyDescent="0.3">
      <c r="C397" s="22">
        <v>365</v>
      </c>
      <c r="D397" s="22">
        <v>2883</v>
      </c>
      <c r="F397" s="3">
        <f t="shared" si="86"/>
        <v>7116.4187211308499</v>
      </c>
      <c r="G397" s="3">
        <f t="shared" si="87"/>
        <v>1167.6798616057881</v>
      </c>
      <c r="H397" s="3">
        <f t="shared" si="88"/>
        <v>9.0411031822354762</v>
      </c>
      <c r="I397" s="3">
        <f t="shared" si="89"/>
        <v>2.5918666746114329</v>
      </c>
      <c r="J397" s="3">
        <f t="shared" si="90"/>
        <v>-1.9498445409241969</v>
      </c>
      <c r="K397" s="3">
        <f t="shared" si="91"/>
        <v>2.5974490839612301E-6</v>
      </c>
      <c r="L397" s="3" cm="1">
        <f t="array" ref="L397">lmb_2(F397)</f>
        <v>7107.5491844595481</v>
      </c>
      <c r="M397" s="3" cm="1">
        <f t="array" ref="M397">lmb_2(G397)</f>
        <v>1160.6201118477768</v>
      </c>
      <c r="N397" s="3" cm="1">
        <f t="array" ref="N397">lmb_2(H397)</f>
        <v>7.0833554527910625</v>
      </c>
      <c r="O397" s="3" cm="1">
        <f t="array" ref="O397">lmb_2(I397)</f>
        <v>1.9328638904803526</v>
      </c>
      <c r="P397" s="3" cm="1">
        <f t="array" ref="P397">lmb_2(J397)</f>
        <v>0.125511706327357</v>
      </c>
      <c r="R397" s="3">
        <f t="shared" si="92"/>
        <v>7.0673582788850831E-2</v>
      </c>
      <c r="S397" s="3">
        <f t="shared" si="93"/>
        <v>3.935554506881811</v>
      </c>
      <c r="T397" s="3">
        <f t="shared" si="94"/>
        <v>174.21862470344453</v>
      </c>
      <c r="U397" s="3">
        <f t="shared" si="84"/>
        <v>2011.1245293696295</v>
      </c>
      <c r="V397" s="3">
        <f t="shared" si="85"/>
        <v>0</v>
      </c>
      <c r="W397" s="3">
        <f t="shared" si="95"/>
        <v>817.39307958472261</v>
      </c>
      <c r="Y397" s="3">
        <f t="shared" si="96"/>
        <v>3006.7424643449167</v>
      </c>
      <c r="AA397" s="3">
        <f t="shared" si="97"/>
        <v>15312.19748215298</v>
      </c>
      <c r="AB397" s="3">
        <f t="shared" si="98"/>
        <v>-123.7424643449167</v>
      </c>
      <c r="AD397" s="3">
        <f t="shared" si="99"/>
        <v>4.0574767727737748E-5</v>
      </c>
    </row>
    <row r="398" spans="3:30" x14ac:dyDescent="0.3">
      <c r="C398" s="22">
        <v>366</v>
      </c>
      <c r="D398" s="22">
        <v>2927</v>
      </c>
      <c r="F398" s="3">
        <f t="shared" si="86"/>
        <v>7155.4596086219326</v>
      </c>
      <c r="G398" s="3">
        <f t="shared" si="87"/>
        <v>1174.0815978452003</v>
      </c>
      <c r="H398" s="3">
        <f t="shared" si="88"/>
        <v>9.0938566685931637</v>
      </c>
      <c r="I398" s="3">
        <f t="shared" si="89"/>
        <v>2.6061747849882693</v>
      </c>
      <c r="J398" s="3">
        <f t="shared" si="90"/>
        <v>-1.9490968390334484</v>
      </c>
      <c r="K398" s="3">
        <f t="shared" si="91"/>
        <v>2.4456818942438789E-6</v>
      </c>
      <c r="L398" s="3" cm="1">
        <f t="array" ref="L398">lmb_2(F398)</f>
        <v>7146.5845978959169</v>
      </c>
      <c r="M398" s="3" cm="1">
        <f t="array" ref="M398">lmb_2(G398)</f>
        <v>1167.0163664582046</v>
      </c>
      <c r="N398" s="3" cm="1">
        <f t="array" ref="N398">lmb_2(H398)</f>
        <v>7.1296013476944093</v>
      </c>
      <c r="O398" s="3" cm="1">
        <f t="array" ref="O398">lmb_2(I398)</f>
        <v>1.9423012853602721</v>
      </c>
      <c r="P398" s="3" cm="1">
        <f t="array" ref="P398">lmb_2(J398)</f>
        <v>0.12559511109277183</v>
      </c>
      <c r="R398" s="3">
        <f t="shared" si="92"/>
        <v>7.0095208569253414E-2</v>
      </c>
      <c r="S398" s="3">
        <f t="shared" si="93"/>
        <v>3.9032151635553891</v>
      </c>
      <c r="T398" s="3">
        <f t="shared" si="94"/>
        <v>172.57545139090027</v>
      </c>
      <c r="U398" s="3">
        <f t="shared" si="84"/>
        <v>2000.3989880445827</v>
      </c>
      <c r="V398" s="3">
        <f t="shared" si="85"/>
        <v>0</v>
      </c>
      <c r="W398" s="3">
        <f t="shared" si="95"/>
        <v>819.49552637810541</v>
      </c>
      <c r="Y398" s="3">
        <f t="shared" si="96"/>
        <v>2996.4432786313946</v>
      </c>
      <c r="AA398" s="3">
        <f t="shared" si="97"/>
        <v>4822.3689470775062</v>
      </c>
      <c r="AB398" s="3">
        <f t="shared" si="98"/>
        <v>-69.443278631394605</v>
      </c>
      <c r="AD398" s="3">
        <f t="shared" si="99"/>
        <v>2.2770234257397494E-5</v>
      </c>
    </row>
    <row r="399" spans="3:30" x14ac:dyDescent="0.3">
      <c r="C399" s="22">
        <v>367</v>
      </c>
      <c r="D399" s="22">
        <v>2956</v>
      </c>
      <c r="F399" s="3">
        <f t="shared" si="86"/>
        <v>7194.6073111266705</v>
      </c>
      <c r="G399" s="3">
        <f t="shared" si="87"/>
        <v>1180.5008490948437</v>
      </c>
      <c r="H399" s="3">
        <f t="shared" si="88"/>
        <v>9.1467544873348654</v>
      </c>
      <c r="I399" s="3">
        <f t="shared" si="89"/>
        <v>2.6205220420419244</v>
      </c>
      <c r="J399" s="3">
        <f t="shared" si="90"/>
        <v>-1.9483470914466923</v>
      </c>
      <c r="K399" s="3">
        <f t="shared" si="91"/>
        <v>2.302782358571001E-6</v>
      </c>
      <c r="L399" s="3" cm="1">
        <f t="array" ref="L399">lmb_2(F399)</f>
        <v>7185.7268412912936</v>
      </c>
      <c r="M399" s="3" cm="1">
        <f t="array" ref="M399">lmb_2(G399)</f>
        <v>1173.4301510753783</v>
      </c>
      <c r="N399" s="3" cm="1">
        <f t="array" ref="N399">lmb_2(H399)</f>
        <v>7.1760108505223323</v>
      </c>
      <c r="O399" s="3" cm="1">
        <f t="array" ref="O399">lmb_2(I399)</f>
        <v>1.9517801754357398</v>
      </c>
      <c r="P399" s="3" cm="1">
        <f t="array" ref="P399">lmb_2(J399)</f>
        <v>0.12567879349010461</v>
      </c>
      <c r="R399" s="3">
        <f t="shared" si="92"/>
        <v>6.9523129400624717E-2</v>
      </c>
      <c r="S399" s="3">
        <f t="shared" si="93"/>
        <v>3.8712294291410241</v>
      </c>
      <c r="T399" s="3">
        <f t="shared" si="94"/>
        <v>170.95190608880807</v>
      </c>
      <c r="U399" s="3">
        <f t="shared" si="84"/>
        <v>1989.7129657079231</v>
      </c>
      <c r="V399" s="3">
        <f t="shared" si="85"/>
        <v>0</v>
      </c>
      <c r="W399" s="3">
        <f t="shared" si="95"/>
        <v>821.59797317148821</v>
      </c>
      <c r="Y399" s="3">
        <f t="shared" si="96"/>
        <v>2986.2035998295437</v>
      </c>
      <c r="AA399" s="3">
        <f t="shared" si="97"/>
        <v>912.25744266321169</v>
      </c>
      <c r="AB399" s="3">
        <f t="shared" si="98"/>
        <v>-30.203599829543691</v>
      </c>
      <c r="AD399" s="3">
        <f t="shared" si="99"/>
        <v>9.9036660867633518E-6</v>
      </c>
    </row>
    <row r="400" spans="3:30" x14ac:dyDescent="0.3">
      <c r="C400" s="22">
        <v>368</v>
      </c>
      <c r="D400" s="22">
        <v>2999</v>
      </c>
      <c r="F400" s="3">
        <f t="shared" si="86"/>
        <v>7233.8618286450601</v>
      </c>
      <c r="G400" s="3">
        <f t="shared" si="87"/>
        <v>1186.9376153547178</v>
      </c>
      <c r="H400" s="3">
        <f t="shared" si="88"/>
        <v>9.1997966384605832</v>
      </c>
      <c r="I400" s="3">
        <f t="shared" si="89"/>
        <v>2.6349084457723975</v>
      </c>
      <c r="J400" s="3">
        <f t="shared" si="90"/>
        <v>-1.9475952981639288</v>
      </c>
      <c r="K400" s="3">
        <f t="shared" si="91"/>
        <v>2.1682323459262752E-6</v>
      </c>
      <c r="L400" s="3" cm="1">
        <f t="array" ref="L400">lmb_2(F400)</f>
        <v>7224.9759145642729</v>
      </c>
      <c r="M400" s="3" cm="1">
        <f t="array" ref="M400">lmb_2(G400)</f>
        <v>1179.8614656174293</v>
      </c>
      <c r="N400" s="3" cm="1">
        <f t="array" ref="N400">lmb_2(H400)</f>
        <v>7.2225838725008895</v>
      </c>
      <c r="O400" s="3" cm="1">
        <f t="array" ref="O400">lmb_2(I400)</f>
        <v>1.9613006140195066</v>
      </c>
      <c r="P400" s="3" cm="1">
        <f t="array" ref="P400">lmb_2(J400)</f>
        <v>0.12576275394661512</v>
      </c>
      <c r="R400" s="3">
        <f t="shared" si="92"/>
        <v>6.8957259856207292E-2</v>
      </c>
      <c r="S400" s="3">
        <f t="shared" si="93"/>
        <v>3.8395924807774153</v>
      </c>
      <c r="T400" s="3">
        <f t="shared" si="94"/>
        <v>169.34771529595159</v>
      </c>
      <c r="U400" s="3">
        <f t="shared" si="84"/>
        <v>1979.0667281256549</v>
      </c>
      <c r="V400" s="3">
        <f t="shared" si="85"/>
        <v>0</v>
      </c>
      <c r="W400" s="3">
        <f t="shared" si="95"/>
        <v>823.700419964871</v>
      </c>
      <c r="Y400" s="3">
        <f t="shared" si="96"/>
        <v>2976.0234152953431</v>
      </c>
      <c r="AA400" s="3">
        <f t="shared" si="97"/>
        <v>527.92344469027535</v>
      </c>
      <c r="AB400" s="3">
        <f t="shared" si="98"/>
        <v>22.976584704656943</v>
      </c>
      <c r="AD400" s="3">
        <f t="shared" si="99"/>
        <v>7.5339503904622589E-6</v>
      </c>
    </row>
    <row r="401" spans="3:30" x14ac:dyDescent="0.3">
      <c r="C401" s="22">
        <v>369</v>
      </c>
      <c r="D401" s="22">
        <v>2943</v>
      </c>
      <c r="F401" s="3">
        <f t="shared" si="86"/>
        <v>7273.2231611771076</v>
      </c>
      <c r="G401" s="3">
        <f t="shared" si="87"/>
        <v>1193.3918966248232</v>
      </c>
      <c r="H401" s="3">
        <f t="shared" si="88"/>
        <v>9.2529831219703169</v>
      </c>
      <c r="I401" s="3">
        <f t="shared" si="89"/>
        <v>2.6493339961796867</v>
      </c>
      <c r="J401" s="3">
        <f t="shared" si="90"/>
        <v>-1.9468414591851577</v>
      </c>
      <c r="K401" s="3">
        <f t="shared" si="91"/>
        <v>2.0415439993375332E-6</v>
      </c>
      <c r="L401" s="3" cm="1">
        <f t="array" ref="L401">lmb_2(F401)</f>
        <v>7264.3318176341263</v>
      </c>
      <c r="M401" s="3" cm="1">
        <f t="array" ref="M401">lmb_2(G401)</f>
        <v>1186.310310003159</v>
      </c>
      <c r="N401" s="3" cm="1">
        <f t="array" ref="N401">lmb_2(H401)</f>
        <v>7.269320325146607</v>
      </c>
      <c r="O401" s="3" cm="1">
        <f t="array" ref="O401">lmb_2(I401)</f>
        <v>1.9708626538981964</v>
      </c>
      <c r="P401" s="3" cm="1">
        <f t="array" ref="P401">lmb_2(J401)</f>
        <v>0.12584699289103096</v>
      </c>
      <c r="R401" s="3">
        <f t="shared" si="92"/>
        <v>6.8397515896830144E-2</v>
      </c>
      <c r="S401" s="3">
        <f t="shared" si="93"/>
        <v>3.8082995743636068</v>
      </c>
      <c r="T401" s="3">
        <f t="shared" si="94"/>
        <v>167.76260967750343</v>
      </c>
      <c r="U401" s="3">
        <f t="shared" si="84"/>
        <v>1968.4605320799892</v>
      </c>
      <c r="V401" s="3">
        <f t="shared" si="85"/>
        <v>0</v>
      </c>
      <c r="W401" s="3">
        <f t="shared" si="95"/>
        <v>825.8028667582538</v>
      </c>
      <c r="Y401" s="3">
        <f t="shared" si="96"/>
        <v>2965.9027076475513</v>
      </c>
      <c r="AA401" s="3">
        <f t="shared" si="97"/>
        <v>524.53401758920586</v>
      </c>
      <c r="AB401" s="3">
        <f t="shared" si="98"/>
        <v>-22.902707647551324</v>
      </c>
      <c r="AD401" s="3">
        <f t="shared" si="99"/>
        <v>7.5097263340856701E-6</v>
      </c>
    </row>
    <row r="402" spans="3:30" x14ac:dyDescent="0.3">
      <c r="C402" s="22">
        <v>370</v>
      </c>
      <c r="D402" s="22">
        <v>2923</v>
      </c>
      <c r="F402" s="3">
        <f t="shared" si="86"/>
        <v>7312.6913087228122</v>
      </c>
      <c r="G402" s="3">
        <f t="shared" si="87"/>
        <v>1199.863692905159</v>
      </c>
      <c r="H402" s="3">
        <f t="shared" si="88"/>
        <v>9.3063139378640649</v>
      </c>
      <c r="I402" s="3">
        <f t="shared" si="89"/>
        <v>2.6637986932637943</v>
      </c>
      <c r="J402" s="3">
        <f t="shared" si="90"/>
        <v>-1.9460855745103793</v>
      </c>
      <c r="K402" s="3">
        <f t="shared" si="91"/>
        <v>1.9222579669848761E-6</v>
      </c>
      <c r="L402" s="3" cm="1">
        <f t="array" ref="L402">lmb_2(F402)</f>
        <v>7303.7945504207728</v>
      </c>
      <c r="M402" s="3" cm="1">
        <f t="array" ref="M402">lmb_2(G402)</f>
        <v>1192.7766841520283</v>
      </c>
      <c r="N402" s="3" cm="1">
        <f t="array" ref="N402">lmb_2(H402)</f>
        <v>7.3162201202714634</v>
      </c>
      <c r="O402" s="3" cm="1">
        <f t="array" ref="O402">lmb_2(I402)</f>
        <v>1.9804663473335848</v>
      </c>
      <c r="P402" s="3" cm="1">
        <f t="array" ref="P402">lmb_2(J402)</f>
        <v>0.12593151075355002</v>
      </c>
      <c r="R402" s="3">
        <f t="shared" si="92"/>
        <v>6.7843814844681591E-2</v>
      </c>
      <c r="S402" s="3">
        <f t="shared" si="93"/>
        <v>3.7773460430618497</v>
      </c>
      <c r="T402" s="3">
        <f t="shared" si="94"/>
        <v>166.19632400053621</v>
      </c>
      <c r="U402" s="3">
        <f t="shared" si="84"/>
        <v>1957.8946254859229</v>
      </c>
      <c r="V402" s="3">
        <f t="shared" si="85"/>
        <v>0</v>
      </c>
      <c r="W402" s="3">
        <f t="shared" si="95"/>
        <v>827.9053135516366</v>
      </c>
      <c r="Y402" s="3">
        <f t="shared" si="96"/>
        <v>2955.84145481826</v>
      </c>
      <c r="AA402" s="3">
        <f t="shared" si="97"/>
        <v>1078.5611545798124</v>
      </c>
      <c r="AB402" s="3">
        <f t="shared" si="98"/>
        <v>-32.84145481825999</v>
      </c>
      <c r="AD402" s="3">
        <f t="shared" si="99"/>
        <v>1.0768610502031213E-5</v>
      </c>
    </row>
    <row r="403" spans="3:30" x14ac:dyDescent="0.3">
      <c r="C403" s="22">
        <v>371</v>
      </c>
      <c r="D403" s="22">
        <v>2896</v>
      </c>
      <c r="F403" s="3">
        <f t="shared" si="86"/>
        <v>7352.2662712821684</v>
      </c>
      <c r="G403" s="3">
        <f t="shared" si="87"/>
        <v>1206.353004195726</v>
      </c>
      <c r="H403" s="3">
        <f t="shared" si="88"/>
        <v>9.3597890861418289</v>
      </c>
      <c r="I403" s="3">
        <f t="shared" si="89"/>
        <v>2.6783025370247189</v>
      </c>
      <c r="J403" s="3">
        <f t="shared" si="90"/>
        <v>-1.9453276441395932</v>
      </c>
      <c r="K403" s="3">
        <f t="shared" si="91"/>
        <v>1.8099417366639438E-6</v>
      </c>
      <c r="L403" s="3" cm="1">
        <f t="array" ref="L403">lmb_2(F403)</f>
        <v>7343.3641128447744</v>
      </c>
      <c r="M403" s="3" cm="1">
        <f t="array" ref="M403">lmb_2(G403)</f>
        <v>1199.2605879841544</v>
      </c>
      <c r="N403" s="3" cm="1">
        <f t="array" ref="N403">lmb_2(H403)</f>
        <v>7.3632831699876728</v>
      </c>
      <c r="O403" s="3" cm="1">
        <f t="array" ref="O403">lmb_2(I403)</f>
        <v>1.9901117460639191</v>
      </c>
      <c r="P403" s="3" cm="1">
        <f t="array" ref="P403">lmb_2(J403)</f>
        <v>0.12601630796584315</v>
      </c>
      <c r="R403" s="3">
        <f t="shared" si="92"/>
        <v>6.7296075357646451E-2</v>
      </c>
      <c r="S403" s="3">
        <f t="shared" si="93"/>
        <v>3.7467272958328843</v>
      </c>
      <c r="T403" s="3">
        <f t="shared" si="94"/>
        <v>164.64859707041447</v>
      </c>
      <c r="U403" s="3">
        <f t="shared" si="84"/>
        <v>1947.3692475075904</v>
      </c>
      <c r="V403" s="3">
        <f t="shared" si="85"/>
        <v>0</v>
      </c>
      <c r="W403" s="3">
        <f t="shared" si="95"/>
        <v>830.00776034501939</v>
      </c>
      <c r="Y403" s="3">
        <f t="shared" si="96"/>
        <v>2945.8396301041566</v>
      </c>
      <c r="AA403" s="3">
        <f t="shared" si="97"/>
        <v>2483.988728919157</v>
      </c>
      <c r="AB403" s="3">
        <f t="shared" si="98"/>
        <v>-49.83963010415664</v>
      </c>
      <c r="AD403" s="3">
        <f t="shared" si="99"/>
        <v>1.6342259109013732E-5</v>
      </c>
    </row>
    <row r="404" spans="3:30" x14ac:dyDescent="0.3">
      <c r="C404" s="22">
        <v>372</v>
      </c>
      <c r="D404" s="22">
        <v>2904</v>
      </c>
      <c r="F404" s="3">
        <f t="shared" si="86"/>
        <v>7391.9480488551826</v>
      </c>
      <c r="G404" s="3">
        <f t="shared" si="87"/>
        <v>1212.8598304965242</v>
      </c>
      <c r="H404" s="3">
        <f t="shared" si="88"/>
        <v>9.4134085668036089</v>
      </c>
      <c r="I404" s="3">
        <f t="shared" si="89"/>
        <v>2.6928455274624623</v>
      </c>
      <c r="J404" s="3">
        <f t="shared" si="90"/>
        <v>-1.9445676680727995</v>
      </c>
      <c r="K404" s="3">
        <f t="shared" si="91"/>
        <v>1.7041880675653703E-6</v>
      </c>
      <c r="L404" s="3" cm="1">
        <f t="array" ref="L404">lmb_2(F404)</f>
        <v>7383.0405048273487</v>
      </c>
      <c r="M404" s="3" cm="1">
        <f t="array" ref="M404">lmb_2(G404)</f>
        <v>1205.7620214203005</v>
      </c>
      <c r="N404" s="3" cm="1">
        <f t="array" ref="N404">lmb_2(H404)</f>
        <v>7.4105093867122607</v>
      </c>
      <c r="O404" s="3" cm="1">
        <f t="array" ref="O404">lmb_2(I404)</f>
        <v>1.9997989013052944</v>
      </c>
      <c r="P404" s="3" cm="1">
        <f t="array" ref="P404">lmb_2(J404)</f>
        <v>0.12610138496105655</v>
      </c>
      <c r="R404" s="3">
        <f t="shared" si="92"/>
        <v>6.675421740419471E-2</v>
      </c>
      <c r="S404" s="3">
        <f t="shared" si="93"/>
        <v>3.7164388160029227</v>
      </c>
      <c r="T404" s="3">
        <f t="shared" si="94"/>
        <v>163.11917166806361</v>
      </c>
      <c r="U404" s="3">
        <f t="shared" si="84"/>
        <v>1936.8846286743396</v>
      </c>
      <c r="V404" s="3">
        <f t="shared" si="85"/>
        <v>0</v>
      </c>
      <c r="W404" s="3">
        <f t="shared" si="95"/>
        <v>832.11020713840219</v>
      </c>
      <c r="Y404" s="3">
        <f t="shared" si="96"/>
        <v>2935.8972022184003</v>
      </c>
      <c r="AA404" s="3">
        <f t="shared" si="97"/>
        <v>1017.431509361518</v>
      </c>
      <c r="AB404" s="3">
        <f t="shared" si="98"/>
        <v>-31.897202218400253</v>
      </c>
      <c r="AD404" s="3">
        <f t="shared" si="99"/>
        <v>1.0458993022547136E-5</v>
      </c>
    </row>
    <row r="405" spans="3:30" x14ac:dyDescent="0.3">
      <c r="C405" s="22">
        <v>373</v>
      </c>
      <c r="D405" s="22">
        <v>2958</v>
      </c>
      <c r="F405" s="3">
        <f t="shared" si="86"/>
        <v>7431.736641441853</v>
      </c>
      <c r="G405" s="3">
        <f t="shared" si="87"/>
        <v>1219.3841718075528</v>
      </c>
      <c r="H405" s="3">
        <f t="shared" si="88"/>
        <v>9.467172379849405</v>
      </c>
      <c r="I405" s="3">
        <f t="shared" si="89"/>
        <v>2.7074276645770232</v>
      </c>
      <c r="J405" s="3">
        <f t="shared" si="90"/>
        <v>-1.9438056463099984</v>
      </c>
      <c r="K405" s="3">
        <f t="shared" si="91"/>
        <v>1.6046135136842979E-6</v>
      </c>
      <c r="L405" s="3" cm="1">
        <f t="array" ref="L405">lmb_2(F405)</f>
        <v>7422.8237262903394</v>
      </c>
      <c r="M405" s="3" cm="1">
        <f t="array" ref="M405">lmb_2(G405)</f>
        <v>1212.2809843818698</v>
      </c>
      <c r="N405" s="3" cm="1">
        <f t="array" ref="N405">lmb_2(H405)</f>
        <v>7.4578986831714502</v>
      </c>
      <c r="O405" s="3" cm="1">
        <f t="array" ref="O405">lmb_2(I405)</f>
        <v>2.0095278637530654</v>
      </c>
      <c r="P405" s="3" cm="1">
        <f t="array" ref="P405">lmb_2(J405)</f>
        <v>0.12618674217381415</v>
      </c>
      <c r="R405" s="3">
        <f t="shared" si="92"/>
        <v>6.6218162238808817E-2</v>
      </c>
      <c r="S405" s="3">
        <f t="shared" si="93"/>
        <v>3.6864761598614861</v>
      </c>
      <c r="T405" s="3">
        <f t="shared" si="94"/>
        <v>161.60779448810919</v>
      </c>
      <c r="U405" s="3">
        <f t="shared" si="84"/>
        <v>1926.4409909965302</v>
      </c>
      <c r="V405" s="3">
        <f t="shared" si="85"/>
        <v>0</v>
      </c>
      <c r="W405" s="3">
        <f t="shared" si="95"/>
        <v>834.21265393178498</v>
      </c>
      <c r="Y405" s="3">
        <f t="shared" si="96"/>
        <v>2926.0141353431382</v>
      </c>
      <c r="AA405" s="3">
        <f t="shared" si="97"/>
        <v>1023.095537847084</v>
      </c>
      <c r="AB405" s="3">
        <f t="shared" si="98"/>
        <v>31.98586465686185</v>
      </c>
      <c r="AD405" s="3">
        <f t="shared" si="99"/>
        <v>1.0488065159309555E-5</v>
      </c>
    </row>
    <row r="406" spans="3:30" x14ac:dyDescent="0.3">
      <c r="C406" s="22">
        <v>374</v>
      </c>
      <c r="D406" s="22">
        <v>2864</v>
      </c>
      <c r="F406" s="3">
        <f t="shared" si="86"/>
        <v>7471.6320490421795</v>
      </c>
      <c r="G406" s="3">
        <f t="shared" si="87"/>
        <v>1225.9260281288127</v>
      </c>
      <c r="H406" s="3">
        <f t="shared" si="88"/>
        <v>9.521080525279217</v>
      </c>
      <c r="I406" s="3">
        <f t="shared" si="89"/>
        <v>2.7220489483684007</v>
      </c>
      <c r="J406" s="3">
        <f t="shared" si="90"/>
        <v>-1.9430415788511897</v>
      </c>
      <c r="K406" s="3">
        <f t="shared" si="91"/>
        <v>1.5108570335060765E-6</v>
      </c>
      <c r="L406" s="3" cm="1">
        <f t="array" ref="L406">lmb_2(F406)</f>
        <v>7462.7137771562211</v>
      </c>
      <c r="M406" s="3" cm="1">
        <f t="array" ref="M406">lmb_2(G406)</f>
        <v>1218.8174767908999</v>
      </c>
      <c r="N406" s="3" cm="1">
        <f t="array" ref="N406">lmb_2(H406)</f>
        <v>7.5054509724048488</v>
      </c>
      <c r="O406" s="3" cm="1">
        <f t="array" ref="O406">lmb_2(I406)</f>
        <v>2.019298683583314</v>
      </c>
      <c r="P406" s="3" cm="1">
        <f t="array" ref="P406">lmb_2(J406)</f>
        <v>0.12627238004022043</v>
      </c>
      <c r="R406" s="3">
        <f t="shared" si="92"/>
        <v>6.568783237793574E-2</v>
      </c>
      <c r="S406" s="3">
        <f t="shared" si="93"/>
        <v>3.6568349552894035</v>
      </c>
      <c r="T406" s="3">
        <f t="shared" si="94"/>
        <v>160.11421607788191</v>
      </c>
      <c r="U406" s="3">
        <f t="shared" si="84"/>
        <v>1916.0385480809971</v>
      </c>
      <c r="V406" s="3">
        <f t="shared" si="85"/>
        <v>0</v>
      </c>
      <c r="W406" s="3">
        <f t="shared" si="95"/>
        <v>836.31510072516789</v>
      </c>
      <c r="Y406" s="3">
        <f t="shared" si="96"/>
        <v>2916.1903891825714</v>
      </c>
      <c r="AA406" s="3">
        <f t="shared" si="97"/>
        <v>2723.8367230282638</v>
      </c>
      <c r="AB406" s="3">
        <f t="shared" si="98"/>
        <v>-52.19038918257138</v>
      </c>
      <c r="AD406" s="3">
        <f t="shared" si="99"/>
        <v>1.7113065671623352E-5</v>
      </c>
    </row>
    <row r="407" spans="3:30" x14ac:dyDescent="0.3">
      <c r="C407" s="22">
        <v>375</v>
      </c>
      <c r="D407" s="22">
        <v>2889</v>
      </c>
      <c r="F407" s="3">
        <f t="shared" si="86"/>
        <v>7511.6342716561576</v>
      </c>
      <c r="G407" s="3">
        <f t="shared" si="87"/>
        <v>1232.4853994603036</v>
      </c>
      <c r="H407" s="3">
        <f t="shared" si="88"/>
        <v>9.5751330030930468</v>
      </c>
      <c r="I407" s="3">
        <f t="shared" si="89"/>
        <v>2.7367093788365966</v>
      </c>
      <c r="J407" s="3">
        <f t="shared" si="90"/>
        <v>-1.9422754656963737</v>
      </c>
      <c r="K407" s="3">
        <f t="shared" si="91"/>
        <v>1.4225786809270838E-6</v>
      </c>
      <c r="L407" s="3" cm="1">
        <f t="array" ref="L407">lmb_2(F407)</f>
        <v>7502.7106573480842</v>
      </c>
      <c r="M407" s="3" cm="1">
        <f t="array" ref="M407">lmb_2(G407)</f>
        <v>1225.3714985700542</v>
      </c>
      <c r="N407" s="3" cm="1">
        <f t="array" ref="N407">lmb_2(H407)</f>
        <v>7.5531661677694641</v>
      </c>
      <c r="O407" s="3" cm="1">
        <f t="array" ref="O407">lmb_2(I407)</f>
        <v>2.0291114104543553</v>
      </c>
      <c r="P407" s="3" cm="1">
        <f t="array" ref="P407">lmb_2(J407)</f>
        <v>0.12635829899786266</v>
      </c>
      <c r="R407" s="3">
        <f t="shared" si="92"/>
        <v>6.5163151576451889E-2</v>
      </c>
      <c r="S407" s="3">
        <f t="shared" si="93"/>
        <v>3.62751090041623</v>
      </c>
      <c r="T407" s="3">
        <f t="shared" si="94"/>
        <v>158.63819077728124</v>
      </c>
      <c r="U407" s="3">
        <f t="shared" si="84"/>
        <v>1905.6775052461783</v>
      </c>
      <c r="V407" s="3">
        <f t="shared" si="85"/>
        <v>0</v>
      </c>
      <c r="W407" s="3">
        <f t="shared" si="95"/>
        <v>838.41754751855069</v>
      </c>
      <c r="Y407" s="3">
        <f t="shared" si="96"/>
        <v>2906.4259190165817</v>
      </c>
      <c r="AA407" s="3">
        <f t="shared" si="97"/>
        <v>303.6626535724638</v>
      </c>
      <c r="AB407" s="3">
        <f t="shared" si="98"/>
        <v>-17.425919016581702</v>
      </c>
      <c r="AD407" s="3">
        <f t="shared" si="99"/>
        <v>5.713904440834067E-6</v>
      </c>
    </row>
    <row r="408" spans="3:30" x14ac:dyDescent="0.3">
      <c r="C408" s="22">
        <v>376</v>
      </c>
      <c r="D408" s="22">
        <v>2962</v>
      </c>
      <c r="F408" s="3">
        <f t="shared" si="86"/>
        <v>7551.7433092837946</v>
      </c>
      <c r="G408" s="3">
        <f t="shared" si="87"/>
        <v>1239.0622858020254</v>
      </c>
      <c r="H408" s="3">
        <f t="shared" si="88"/>
        <v>9.6293298132908873</v>
      </c>
      <c r="I408" s="3">
        <f t="shared" si="89"/>
        <v>2.7514089559816091</v>
      </c>
      <c r="J408" s="3">
        <f t="shared" si="90"/>
        <v>-1.94150730684555</v>
      </c>
      <c r="K408" s="3">
        <f t="shared" si="91"/>
        <v>1.3394583726641548E-6</v>
      </c>
      <c r="L408" s="3" cm="1">
        <f t="array" ref="L408">lmb_2(F408)</f>
        <v>7542.8143667896475</v>
      </c>
      <c r="M408" s="3" cm="1">
        <f t="array" ref="M408">lmb_2(G408)</f>
        <v>1231.943049642616</v>
      </c>
      <c r="N408" s="3" cm="1">
        <f t="array" ref="N408">lmb_2(H408)</f>
        <v>7.601044182943518</v>
      </c>
      <c r="O408" s="3" cm="1">
        <f t="array" ref="O408">lmb_2(I408)</f>
        <v>2.0389660935082863</v>
      </c>
      <c r="P408" s="3" cm="1">
        <f t="array" ref="P408">lmb_2(J408)</f>
        <v>0.12644449948581368</v>
      </c>
      <c r="R408" s="3">
        <f t="shared" si="92"/>
        <v>6.464404480462814E-2</v>
      </c>
      <c r="S408" s="3">
        <f t="shared" si="93"/>
        <v>3.5984997623063624</v>
      </c>
      <c r="T408" s="3">
        <f t="shared" si="94"/>
        <v>157.17947665949259</v>
      </c>
      <c r="U408" s="3">
        <f t="shared" si="84"/>
        <v>1895.3580596368565</v>
      </c>
      <c r="V408" s="3">
        <f t="shared" si="85"/>
        <v>0</v>
      </c>
      <c r="W408" s="3">
        <f t="shared" si="95"/>
        <v>840.51999431193349</v>
      </c>
      <c r="Y408" s="3">
        <f t="shared" si="96"/>
        <v>2896.720675754852</v>
      </c>
      <c r="AA408" s="3">
        <f t="shared" si="97"/>
        <v>4261.3901739031699</v>
      </c>
      <c r="AB408" s="3">
        <f t="shared" si="98"/>
        <v>65.279324245148018</v>
      </c>
      <c r="AD408" s="3">
        <f t="shared" si="99"/>
        <v>2.1404886614247938E-5</v>
      </c>
    </row>
    <row r="409" spans="3:30" x14ac:dyDescent="0.3">
      <c r="C409" s="22">
        <v>377</v>
      </c>
      <c r="D409" s="22">
        <v>2973</v>
      </c>
      <c r="F409" s="3">
        <f t="shared" si="86"/>
        <v>7591.9591619250878</v>
      </c>
      <c r="G409" s="3">
        <f t="shared" si="87"/>
        <v>1245.6566871539781</v>
      </c>
      <c r="H409" s="3">
        <f t="shared" si="88"/>
        <v>9.6836709558727474</v>
      </c>
      <c r="I409" s="3">
        <f t="shared" si="89"/>
        <v>2.7661476798034403</v>
      </c>
      <c r="J409" s="3">
        <f t="shared" si="90"/>
        <v>-1.9407371022987188</v>
      </c>
      <c r="K409" s="3">
        <f t="shared" si="91"/>
        <v>1.2611947276834435E-6</v>
      </c>
      <c r="L409" s="3" cm="1">
        <f t="array" ref="L409">lmb_2(F409)</f>
        <v>7583.0249054052265</v>
      </c>
      <c r="M409" s="3" cm="1">
        <f t="array" ref="M409">lmb_2(G409)</f>
        <v>1238.5321299324819</v>
      </c>
      <c r="N409" s="3" cm="1">
        <f t="array" ref="N409">lmb_2(H409)</f>
        <v>7.6490849319301173</v>
      </c>
      <c r="O409" s="3" cm="1">
        <f t="array" ref="O409">lmb_2(I409)</f>
        <v>2.0488627813725864</v>
      </c>
      <c r="P409" s="3" cm="1">
        <f t="array" ref="P409">lmb_2(J409)</f>
        <v>0.12653098194463425</v>
      </c>
      <c r="R409" s="3">
        <f t="shared" si="92"/>
        <v>6.4130438225583702E-2</v>
      </c>
      <c r="S409" s="3">
        <f t="shared" si="93"/>
        <v>3.5697973756731796</v>
      </c>
      <c r="T409" s="3">
        <f t="shared" si="94"/>
        <v>155.73783547255007</v>
      </c>
      <c r="U409" s="3">
        <f t="shared" si="84"/>
        <v>1885.0804003385051</v>
      </c>
      <c r="V409" s="3">
        <f t="shared" si="85"/>
        <v>0</v>
      </c>
      <c r="W409" s="3">
        <f t="shared" si="95"/>
        <v>842.62244110531628</v>
      </c>
      <c r="Y409" s="3">
        <f t="shared" si="96"/>
        <v>2887.074605991465</v>
      </c>
      <c r="AA409" s="3">
        <f t="shared" si="97"/>
        <v>7383.1733355219867</v>
      </c>
      <c r="AB409" s="3">
        <f t="shared" si="98"/>
        <v>85.925394008535022</v>
      </c>
      <c r="AD409" s="3">
        <f t="shared" si="99"/>
        <v>2.8174668431467019E-5</v>
      </c>
    </row>
    <row r="410" spans="3:30" x14ac:dyDescent="0.3">
      <c r="C410" s="22">
        <v>378</v>
      </c>
      <c r="D410" s="22">
        <v>2889</v>
      </c>
      <c r="F410" s="3">
        <f t="shared" si="86"/>
        <v>7632.2818295800316</v>
      </c>
      <c r="G410" s="3">
        <f t="shared" si="87"/>
        <v>1252.2686035161619</v>
      </c>
      <c r="H410" s="3">
        <f t="shared" si="88"/>
        <v>9.7381564308386217</v>
      </c>
      <c r="I410" s="3">
        <f t="shared" si="89"/>
        <v>2.7809255503020887</v>
      </c>
      <c r="J410" s="3">
        <f t="shared" si="90"/>
        <v>-1.9399648520558801</v>
      </c>
      <c r="K410" s="3">
        <f t="shared" si="91"/>
        <v>1.1875039744406694E-6</v>
      </c>
      <c r="L410" s="3" cm="1">
        <f t="array" ref="L410">lmb_2(F410)</f>
        <v>7623.3422731197379</v>
      </c>
      <c r="M410" s="3" cm="1">
        <f t="array" ref="M410">lmb_2(G410)</f>
        <v>1245.1387393641555</v>
      </c>
      <c r="N410" s="3" cm="1">
        <f t="array" ref="N410">lmb_2(H410)</f>
        <v>7.6972883290607106</v>
      </c>
      <c r="O410" s="3" cm="1">
        <f t="array" ref="O410">lmb_2(I410)</f>
        <v>2.0588015221617453</v>
      </c>
      <c r="P410" s="3" cm="1">
        <f t="array" ref="P410">lmb_2(J410)</f>
        <v>0.1266177468163755</v>
      </c>
      <c r="R410" s="3">
        <f t="shared" si="92"/>
        <v>6.3622259173216442E-2</v>
      </c>
      <c r="S410" s="3">
        <f t="shared" si="93"/>
        <v>3.5413996416205289</v>
      </c>
      <c r="T410" s="3">
        <f t="shared" si="94"/>
        <v>154.31303258173975</v>
      </c>
      <c r="U410" s="3">
        <f t="shared" si="84"/>
        <v>1874.8447084912104</v>
      </c>
      <c r="V410" s="3">
        <f t="shared" si="85"/>
        <v>0</v>
      </c>
      <c r="W410" s="3">
        <f t="shared" si="95"/>
        <v>844.72488789869908</v>
      </c>
      <c r="Y410" s="3">
        <f t="shared" si="96"/>
        <v>2877.4876520599469</v>
      </c>
      <c r="AA410" s="3">
        <f t="shared" si="97"/>
        <v>132.53415509284559</v>
      </c>
      <c r="AB410" s="3">
        <f t="shared" si="98"/>
        <v>11.512347940053132</v>
      </c>
      <c r="AD410" s="3">
        <f t="shared" si="99"/>
        <v>3.7748629473431428E-6</v>
      </c>
    </row>
    <row r="411" spans="3:30" x14ac:dyDescent="0.3">
      <c r="C411" s="22">
        <v>379</v>
      </c>
      <c r="D411" s="22">
        <v>2849</v>
      </c>
      <c r="F411" s="3">
        <f t="shared" si="86"/>
        <v>7672.7113122486353</v>
      </c>
      <c r="G411" s="3">
        <f t="shared" si="87"/>
        <v>1258.8980348885761</v>
      </c>
      <c r="H411" s="3">
        <f t="shared" si="88"/>
        <v>9.7927862381885085</v>
      </c>
      <c r="I411" s="3">
        <f t="shared" si="89"/>
        <v>2.7957425674775549</v>
      </c>
      <c r="J411" s="3">
        <f t="shared" si="90"/>
        <v>-1.9391905561170337</v>
      </c>
      <c r="K411" s="3">
        <f t="shared" si="91"/>
        <v>1.1181189219705762E-6</v>
      </c>
      <c r="L411" s="3" cm="1">
        <f t="array" ref="L411">lmb_2(F411)</f>
        <v>7663.7664698587059</v>
      </c>
      <c r="M411" s="3" cm="1">
        <f t="array" ref="M411">lmb_2(G411)</f>
        <v>1251.7628778627402</v>
      </c>
      <c r="N411" s="3" cm="1">
        <f t="array" ref="N411">lmb_2(H411)</f>
        <v>7.7456542889984155</v>
      </c>
      <c r="O411" s="3" cm="1">
        <f t="array" ref="O411">lmb_2(I411)</f>
        <v>2.0687823634789462</v>
      </c>
      <c r="P411" s="3" cm="1">
        <f t="array" ref="P411">lmb_2(J411)</f>
        <v>0.12670479454458192</v>
      </c>
      <c r="R411" s="3">
        <f t="shared" si="92"/>
        <v>6.3119436130598561E-2</v>
      </c>
      <c r="S411" s="3">
        <f t="shared" si="93"/>
        <v>3.5133025264109219</v>
      </c>
      <c r="T411" s="3">
        <f t="shared" si="94"/>
        <v>152.90483691283438</v>
      </c>
      <c r="U411" s="3">
        <f t="shared" si="84"/>
        <v>1864.6511574031401</v>
      </c>
      <c r="V411" s="3">
        <f t="shared" si="85"/>
        <v>0</v>
      </c>
      <c r="W411" s="3">
        <f t="shared" si="95"/>
        <v>846.82733469208188</v>
      </c>
      <c r="Y411" s="3">
        <f t="shared" si="96"/>
        <v>2867.9597520887173</v>
      </c>
      <c r="AA411" s="3">
        <f t="shared" si="97"/>
        <v>359.47219926562087</v>
      </c>
      <c r="AB411" s="3">
        <f t="shared" si="98"/>
        <v>-18.959752088717323</v>
      </c>
      <c r="AD411" s="3">
        <f t="shared" si="99"/>
        <v>6.216843516473883E-6</v>
      </c>
    </row>
    <row r="412" spans="3:30" x14ac:dyDescent="0.3">
      <c r="C412" s="22">
        <v>380</v>
      </c>
      <c r="D412" s="22">
        <v>2818</v>
      </c>
      <c r="F412" s="3">
        <f t="shared" si="86"/>
        <v>7713.2476099308942</v>
      </c>
      <c r="G412" s="3">
        <f t="shared" si="87"/>
        <v>1265.544981271222</v>
      </c>
      <c r="H412" s="3">
        <f t="shared" si="88"/>
        <v>9.847560377922413</v>
      </c>
      <c r="I412" s="3">
        <f t="shared" si="89"/>
        <v>2.8105987313298391</v>
      </c>
      <c r="J412" s="3">
        <f t="shared" si="90"/>
        <v>-1.9384142144821801</v>
      </c>
      <c r="K412" s="3">
        <f t="shared" si="91"/>
        <v>1.0527879910949349E-6</v>
      </c>
      <c r="L412" s="3" cm="1">
        <f t="array" ref="L412">lmb_2(F412)</f>
        <v>7704.2974955482332</v>
      </c>
      <c r="M412" s="3" cm="1">
        <f t="array" ref="M412">lmb_2(G412)</f>
        <v>1258.4045453539343</v>
      </c>
      <c r="N412" s="3" cm="1">
        <f t="array" ref="N412">lmb_2(H412)</f>
        <v>7.7941827267411741</v>
      </c>
      <c r="O412" s="3" cm="1">
        <f t="array" ref="O412">lmb_2(I412)</f>
        <v>2.0788053524177834</v>
      </c>
      <c r="P412" s="3" cm="1">
        <f t="array" ref="P412">lmb_2(J412)</f>
        <v>0.1267921255742934</v>
      </c>
      <c r="R412" s="3">
        <f t="shared" si="92"/>
        <v>6.262189870882727E-2</v>
      </c>
      <c r="S412" s="3">
        <f t="shared" si="93"/>
        <v>3.4855020602597633</v>
      </c>
      <c r="T412" s="3">
        <f t="shared" si="94"/>
        <v>151.51302089615345</v>
      </c>
      <c r="U412" s="3">
        <f t="shared" si="84"/>
        <v>1854.4999126635271</v>
      </c>
      <c r="V412" s="3">
        <f t="shared" si="85"/>
        <v>0</v>
      </c>
      <c r="W412" s="3">
        <f t="shared" si="95"/>
        <v>848.92978148546467</v>
      </c>
      <c r="Y412" s="3">
        <f t="shared" si="96"/>
        <v>2858.4908400569016</v>
      </c>
      <c r="AA412" s="3">
        <f t="shared" si="97"/>
        <v>1639.5081285135841</v>
      </c>
      <c r="AB412" s="3">
        <f t="shared" si="98"/>
        <v>-40.490840056901561</v>
      </c>
      <c r="AD412" s="3">
        <f t="shared" si="99"/>
        <v>1.3276820039969168E-5</v>
      </c>
    </row>
    <row r="413" spans="3:30" x14ac:dyDescent="0.3">
      <c r="C413" s="22">
        <v>381</v>
      </c>
      <c r="D413" s="22">
        <v>2783</v>
      </c>
      <c r="F413" s="3">
        <f t="shared" si="86"/>
        <v>7753.8907226268047</v>
      </c>
      <c r="G413" s="3">
        <f t="shared" si="87"/>
        <v>1272.2094426640983</v>
      </c>
      <c r="H413" s="3">
        <f t="shared" si="88"/>
        <v>9.9024788500403336</v>
      </c>
      <c r="I413" s="3">
        <f t="shared" si="89"/>
        <v>2.8254940418589394</v>
      </c>
      <c r="J413" s="3">
        <f t="shared" si="90"/>
        <v>-1.9376358271513188</v>
      </c>
      <c r="K413" s="3">
        <f t="shared" si="91"/>
        <v>9.9127430223640912E-7</v>
      </c>
      <c r="L413" s="3" cm="1">
        <f t="array" ref="L413">lmb_2(F413)</f>
        <v>7744.9353501150044</v>
      </c>
      <c r="M413" s="3" cm="1">
        <f t="array" ref="M413">lmb_2(G413)</f>
        <v>1265.0637417640221</v>
      </c>
      <c r="N413" s="3" cm="1">
        <f t="array" ref="N413">lmb_2(H413)</f>
        <v>7.8428735576247357</v>
      </c>
      <c r="O413" s="3" cm="1">
        <f t="array" ref="O413">lmb_2(I413)</f>
        <v>2.0888705355640163</v>
      </c>
      <c r="P413" s="3" cm="1">
        <f t="array" ref="P413">lmb_2(J413)</f>
        <v>0.1268797403520481</v>
      </c>
      <c r="R413" s="3">
        <f t="shared" si="92"/>
        <v>6.2129577626318808E-2</v>
      </c>
      <c r="S413" s="3">
        <f t="shared" si="93"/>
        <v>3.4579943361550591</v>
      </c>
      <c r="T413" s="3">
        <f t="shared" si="94"/>
        <v>150.13736041144213</v>
      </c>
      <c r="U413" s="3">
        <f t="shared" si="84"/>
        <v>1844.3911322551755</v>
      </c>
      <c r="V413" s="3">
        <f t="shared" si="85"/>
        <v>0</v>
      </c>
      <c r="W413" s="3">
        <f t="shared" si="95"/>
        <v>851.03222827884747</v>
      </c>
      <c r="Y413" s="3">
        <f t="shared" si="96"/>
        <v>2849.0808458505207</v>
      </c>
      <c r="AA413" s="3">
        <f t="shared" si="97"/>
        <v>4366.6781883202848</v>
      </c>
      <c r="AB413" s="3">
        <f t="shared" si="98"/>
        <v>-66.080845850520745</v>
      </c>
      <c r="AD413" s="3">
        <f t="shared" si="99"/>
        <v>2.1667703046253949E-5</v>
      </c>
    </row>
    <row r="414" spans="3:30" x14ac:dyDescent="0.3">
      <c r="C414" s="22">
        <v>382</v>
      </c>
      <c r="D414" s="22">
        <v>2808</v>
      </c>
      <c r="F414" s="3">
        <f t="shared" si="86"/>
        <v>7794.6406503363751</v>
      </c>
      <c r="G414" s="3">
        <f t="shared" si="87"/>
        <v>1278.8914190672062</v>
      </c>
      <c r="H414" s="3">
        <f t="shared" si="88"/>
        <v>9.9575416545422684</v>
      </c>
      <c r="I414" s="3">
        <f t="shared" si="89"/>
        <v>2.8404284990648589</v>
      </c>
      <c r="J414" s="3">
        <f t="shared" si="90"/>
        <v>-1.93685539412445</v>
      </c>
      <c r="K414" s="3">
        <f t="shared" si="91"/>
        <v>9.3335481653083537E-7</v>
      </c>
      <c r="L414" s="3" cm="1">
        <f t="array" ref="L414">lmb_2(F414)</f>
        <v>7785.6800334862946</v>
      </c>
      <c r="M414" s="3" cm="1">
        <f t="array" ref="M414">lmb_2(G414)</f>
        <v>1271.7404670198719</v>
      </c>
      <c r="N414" s="3" cm="1">
        <f t="array" ref="N414">lmb_2(H414)</f>
        <v>7.8917266973254998</v>
      </c>
      <c r="O414" s="3" cm="1">
        <f t="array" ref="O414">lmb_2(I414)</f>
        <v>2.0989779589973736</v>
      </c>
      <c r="P414" s="3" cm="1">
        <f t="array" ref="P414">lmb_2(J414)</f>
        <v>0.12696763932588501</v>
      </c>
      <c r="R414" s="3">
        <f t="shared" si="92"/>
        <v>6.1642404688535553E-2</v>
      </c>
      <c r="S414" s="3">
        <f t="shared" si="93"/>
        <v>3.4307755087019181</v>
      </c>
      <c r="T414" s="3">
        <f t="shared" si="94"/>
        <v>148.77763473355898</v>
      </c>
      <c r="U414" s="3">
        <f t="shared" si="84"/>
        <v>1834.3249666664215</v>
      </c>
      <c r="V414" s="3">
        <f t="shared" si="85"/>
        <v>0</v>
      </c>
      <c r="W414" s="3">
        <f t="shared" si="95"/>
        <v>853.13467507223027</v>
      </c>
      <c r="Y414" s="3">
        <f t="shared" si="96"/>
        <v>2839.7296953189557</v>
      </c>
      <c r="AA414" s="3">
        <f t="shared" si="97"/>
        <v>1006.7735650337587</v>
      </c>
      <c r="AB414" s="3">
        <f t="shared" si="98"/>
        <v>-31.729695318955692</v>
      </c>
      <c r="AD414" s="3">
        <f t="shared" si="99"/>
        <v>1.0404068033185262E-5</v>
      </c>
    </row>
    <row r="415" spans="3:30" x14ac:dyDescent="0.3">
      <c r="C415" s="22">
        <v>383</v>
      </c>
      <c r="D415" s="22">
        <v>2823</v>
      </c>
      <c r="F415" s="3">
        <f t="shared" si="86"/>
        <v>7835.4973930596007</v>
      </c>
      <c r="G415" s="3">
        <f t="shared" si="87"/>
        <v>1285.5909104805444</v>
      </c>
      <c r="H415" s="3">
        <f t="shared" si="88"/>
        <v>10.012748791428219</v>
      </c>
      <c r="I415" s="3">
        <f t="shared" si="89"/>
        <v>2.8554021029475951</v>
      </c>
      <c r="J415" s="3">
        <f t="shared" si="90"/>
        <v>-1.9360729154015737</v>
      </c>
      <c r="K415" s="3">
        <f t="shared" si="91"/>
        <v>8.7881952712373283E-7</v>
      </c>
      <c r="L415" s="3" cm="1">
        <f t="array" ref="L415">lmb_2(F415)</f>
        <v>7826.5315455899354</v>
      </c>
      <c r="M415" s="3" cm="1">
        <f t="array" ref="M415">lmb_2(G415)</f>
        <v>1278.4347210489243</v>
      </c>
      <c r="N415" s="3" cm="1">
        <f t="array" ref="N415">lmb_2(H415)</f>
        <v>7.9407420618632152</v>
      </c>
      <c r="O415" s="3" cm="1">
        <f t="array" ref="O415">lmb_2(I415)</f>
        <v>2.1091276682933784</v>
      </c>
      <c r="P415" s="3" cm="1">
        <f t="array" ref="P415">lmb_2(J415)</f>
        <v>0.12705582294534634</v>
      </c>
      <c r="R415" s="3">
        <f t="shared" si="92"/>
        <v>6.1160312768136965E-2</v>
      </c>
      <c r="S415" s="3">
        <f t="shared" si="93"/>
        <v>3.4038417929913587</v>
      </c>
      <c r="T415" s="3">
        <f t="shared" si="94"/>
        <v>147.43362647896666</v>
      </c>
      <c r="U415" s="3">
        <f t="shared" si="84"/>
        <v>1824.3015590025755</v>
      </c>
      <c r="V415" s="3">
        <f t="shared" si="85"/>
        <v>0</v>
      </c>
      <c r="W415" s="3">
        <f t="shared" si="95"/>
        <v>855.23712186561306</v>
      </c>
      <c r="Y415" s="3">
        <f t="shared" si="96"/>
        <v>2830.4373103317344</v>
      </c>
      <c r="AA415" s="3">
        <f t="shared" si="97"/>
        <v>55.313584970522541</v>
      </c>
      <c r="AB415" s="3">
        <f t="shared" si="98"/>
        <v>-7.4373103317343521</v>
      </c>
      <c r="AD415" s="3">
        <f t="shared" si="99"/>
        <v>2.4386708380729125E-6</v>
      </c>
    </row>
    <row r="416" spans="3:30" x14ac:dyDescent="0.3">
      <c r="C416" s="22">
        <v>384</v>
      </c>
      <c r="D416" s="22">
        <v>2909</v>
      </c>
      <c r="F416" s="3">
        <f t="shared" si="86"/>
        <v>7876.4609507964778</v>
      </c>
      <c r="G416" s="3">
        <f t="shared" si="87"/>
        <v>1292.3079169041137</v>
      </c>
      <c r="H416" s="3">
        <f t="shared" si="88"/>
        <v>10.068100260698186</v>
      </c>
      <c r="I416" s="3">
        <f t="shared" si="89"/>
        <v>2.8704148535071492</v>
      </c>
      <c r="J416" s="3">
        <f t="shared" si="90"/>
        <v>-1.9352883909826899</v>
      </c>
      <c r="K416" s="3">
        <f t="shared" si="91"/>
        <v>8.2747069771880923E-7</v>
      </c>
      <c r="L416" s="3" cm="1">
        <f t="array" ref="L416">lmb_2(F416)</f>
        <v>7867.4898863543258</v>
      </c>
      <c r="M416" s="3" cm="1">
        <f t="array" ref="M416">lmb_2(G416)</f>
        <v>1285.1465037791918</v>
      </c>
      <c r="N416" s="3" cm="1">
        <f t="array" ref="N416">lmb_2(H416)</f>
        <v>7.989919567603522</v>
      </c>
      <c r="O416" s="3" cm="1">
        <f t="array" ref="O416">lmb_2(I416)</f>
        <v>2.1193197085252291</v>
      </c>
      <c r="P416" s="3" cm="1">
        <f t="array" ref="P416">lmb_2(J416)</f>
        <v>0.12714429166148031</v>
      </c>
      <c r="R416" s="3">
        <f t="shared" si="92"/>
        <v>6.0683235785543015E-2</v>
      </c>
      <c r="S416" s="3">
        <f t="shared" si="93"/>
        <v>3.3771894634927446</v>
      </c>
      <c r="T416" s="3">
        <f t="shared" si="94"/>
        <v>146.10512155301709</v>
      </c>
      <c r="U416" s="3">
        <f t="shared" ref="U416:U479" si="100">$I$18*(C416/$I$19)*($O$28+$O$28^2)/(O416+O416^2)</f>
        <v>1814.3210450967808</v>
      </c>
      <c r="V416" s="3">
        <f t="shared" ref="V416:V479" si="101">$J$18*(C416/$J$19)*($P$28+$P$28^2)/(P416+P416^2)</f>
        <v>0</v>
      </c>
      <c r="W416" s="3">
        <f t="shared" si="95"/>
        <v>857.33956865899586</v>
      </c>
      <c r="Y416" s="3">
        <f t="shared" si="96"/>
        <v>2821.2036088355426</v>
      </c>
      <c r="AA416" s="3">
        <f t="shared" si="97"/>
        <v>7708.2063015024169</v>
      </c>
      <c r="AB416" s="3">
        <f t="shared" si="98"/>
        <v>87.796391164457418</v>
      </c>
      <c r="AD416" s="3">
        <f t="shared" si="99"/>
        <v>2.8788162557535208E-5</v>
      </c>
    </row>
    <row r="417" spans="3:30" x14ac:dyDescent="0.3">
      <c r="C417" s="22">
        <v>385</v>
      </c>
      <c r="D417" s="22">
        <v>2862</v>
      </c>
      <c r="F417" s="3">
        <f t="shared" ref="F417:F480" si="102">$F$20/(1-$F$20)-LN((1-$F$20)/$F$20)+(C417/$F$19)^2/((1-$F$20)*(1+0.534156*$F$20^0.7917))</f>
        <v>7917.531323547013</v>
      </c>
      <c r="G417" s="3">
        <f t="shared" ref="G417:G480" si="103">$G$20/(1-$G$20)-LN((1-$G$20)/$G$20)+(C417/$G$19)^2/((1-$G$20)*(1+0.534156*$G$20^0.7917))</f>
        <v>1299.0424383379141</v>
      </c>
      <c r="H417" s="3">
        <f t="shared" ref="H417:H480" si="104">$H$20/(1-$H$20)-LN((1-$H$20)/$H$20)+(C417/$H$19)^2/((1-$H$20)*(1+0.534156*$H$20^0.7917))</f>
        <v>10.123596062352169</v>
      </c>
      <c r="I417" s="3">
        <f t="shared" ref="I417:I480" si="105">$I$20/(1-$I$20)-LN((1-$I$20)/$I$20)+(C417/$I$19)^2/((1-$I$20)*(1+0.534156*$I$20^0.7917))</f>
        <v>2.8854667507435212</v>
      </c>
      <c r="J417" s="3">
        <f t="shared" ref="J417:J480" si="106">$J$20/(1-$J$20)-LN((1-$J$20)/$J$20)+(C417/$J$19)^2/((1-$J$20)*(1+0.534156*$J$20^0.7917))</f>
        <v>-1.9345018208677984</v>
      </c>
      <c r="K417" s="3">
        <f t="shared" ref="K417:K480" si="107">$K$18*EXP(-$K$20*C417)</f>
        <v>7.7912214561756352E-7</v>
      </c>
      <c r="L417" s="3" cm="1">
        <f t="array" ref="L417">lmb_2(F417)</f>
        <v>7908.5550557084325</v>
      </c>
      <c r="M417" s="3" cm="1">
        <f t="array" ref="M417">lmb_2(G417)</f>
        <v>1291.8758151392499</v>
      </c>
      <c r="N417" s="3" cm="1">
        <f t="array" ref="N417">lmb_2(H417)</f>
        <v>8.0392591312603567</v>
      </c>
      <c r="O417" s="3" cm="1">
        <f t="array" ref="O417">lmb_2(I417)</f>
        <v>2.1295541242657037</v>
      </c>
      <c r="P417" s="3" cm="1">
        <f t="array" ref="P417">lmb_2(J417)</f>
        <v>0.1272330459268437</v>
      </c>
      <c r="R417" s="3">
        <f t="shared" ref="R417:R480" si="108">$F$18*(C417/$F$19)*($L$28+$L$28^2)/(L417+L417^2)</f>
        <v>6.0211108689901413E-2</v>
      </c>
      <c r="S417" s="3">
        <f t="shared" ref="S417:S480" si="109">$G$18*(C417/$G$19)*($M$28+$M$28^2)/(M417+M417^2)</f>
        <v>3.3508148529693789</v>
      </c>
      <c r="T417" s="3">
        <f t="shared" ref="T417:T480" si="110">$H$18*(C417/$H$19)*($N$28+$N$28^2)/(N417+N417^2)</f>
        <v>144.79190909802315</v>
      </c>
      <c r="U417" s="3">
        <f t="shared" si="100"/>
        <v>1804.3835536202994</v>
      </c>
      <c r="V417" s="3">
        <f t="shared" si="101"/>
        <v>0</v>
      </c>
      <c r="W417" s="3">
        <f t="shared" ref="W417:W480" si="111">$F$22+$G$22/$F$21*C417</f>
        <v>859.44201545237866</v>
      </c>
      <c r="Y417" s="3">
        <f t="shared" ref="Y417:Y480" si="112">SUM(R417:W417)+K417</f>
        <v>2812.0285049114827</v>
      </c>
      <c r="AA417" s="3">
        <f t="shared" ref="AA417:AA480" si="113">(D417-Y417)^2</f>
        <v>2497.1503213817045</v>
      </c>
      <c r="AB417" s="3">
        <f t="shared" ref="AB417:AB480" si="114">D417-Y417</f>
        <v>49.971495088517258</v>
      </c>
      <c r="AD417" s="3">
        <f t="shared" ref="AD417:AD480" si="115">ABS(AB417/$AC$32)</f>
        <v>1.6385497225695652E-5</v>
      </c>
    </row>
    <row r="418" spans="3:30" x14ac:dyDescent="0.3">
      <c r="C418" s="22">
        <v>386</v>
      </c>
      <c r="D418" s="22">
        <v>2860</v>
      </c>
      <c r="F418" s="3">
        <f t="shared" si="102"/>
        <v>7958.7085113112062</v>
      </c>
      <c r="G418" s="3">
        <f t="shared" si="103"/>
        <v>1305.7944747819454</v>
      </c>
      <c r="H418" s="3">
        <f t="shared" si="104"/>
        <v>10.179236196390168</v>
      </c>
      <c r="I418" s="3">
        <f t="shared" si="105"/>
        <v>2.9005577946567103</v>
      </c>
      <c r="J418" s="3">
        <f t="shared" si="106"/>
        <v>-1.9337132050568995</v>
      </c>
      <c r="K418" s="3">
        <f t="shared" si="107"/>
        <v>7.3359856665038656E-7</v>
      </c>
      <c r="L418" s="3" cm="1">
        <f t="array" ref="L418">lmb_2(F418)</f>
        <v>7949.7270535817715</v>
      </c>
      <c r="M418" s="3" cm="1">
        <f t="array" ref="M418">lmb_2(G418)</f>
        <v>1298.6226550582307</v>
      </c>
      <c r="N418" s="3" cm="1">
        <f t="array" ref="N418">lmb_2(H418)</f>
        <v>8.0887606698982246</v>
      </c>
      <c r="O418" s="3" cm="1">
        <f t="array" ref="O418">lmb_2(I418)</f>
        <v>2.1398309595891041</v>
      </c>
      <c r="P418" s="3" cm="1">
        <f t="array" ref="P418">lmb_2(J418)</f>
        <v>0.12732208619550434</v>
      </c>
      <c r="R418" s="3">
        <f t="shared" si="108"/>
        <v>5.9743867440449142E-2</v>
      </c>
      <c r="S418" s="3">
        <f t="shared" si="109"/>
        <v>3.3247143514166764</v>
      </c>
      <c r="T418" s="3">
        <f t="shared" si="110"/>
        <v>143.49378144210806</v>
      </c>
      <c r="U418" s="3">
        <f t="shared" si="100"/>
        <v>1794.4892061921907</v>
      </c>
      <c r="V418" s="3">
        <f t="shared" si="101"/>
        <v>0</v>
      </c>
      <c r="W418" s="3">
        <f t="shared" si="111"/>
        <v>861.54446224576145</v>
      </c>
      <c r="Y418" s="3">
        <f t="shared" si="112"/>
        <v>2802.911908832516</v>
      </c>
      <c r="AA418" s="3">
        <f t="shared" si="113"/>
        <v>3259.0501531469627</v>
      </c>
      <c r="AB418" s="3">
        <f t="shared" si="114"/>
        <v>57.088091167483981</v>
      </c>
      <c r="AD418" s="3">
        <f t="shared" si="115"/>
        <v>1.8719006861574061E-5</v>
      </c>
    </row>
    <row r="419" spans="3:30" x14ac:dyDescent="0.3">
      <c r="C419" s="22">
        <v>387</v>
      </c>
      <c r="D419" s="22">
        <v>2836</v>
      </c>
      <c r="F419" s="3">
        <f t="shared" si="102"/>
        <v>7999.9925140890527</v>
      </c>
      <c r="G419" s="3">
        <f t="shared" si="103"/>
        <v>1312.5640262362074</v>
      </c>
      <c r="H419" s="3">
        <f t="shared" si="104"/>
        <v>10.235020662812184</v>
      </c>
      <c r="I419" s="3">
        <f t="shared" si="105"/>
        <v>2.9156879852467177</v>
      </c>
      <c r="J419" s="3">
        <f t="shared" si="106"/>
        <v>-1.932922543549993</v>
      </c>
      <c r="K419" s="3">
        <f t="shared" si="107"/>
        <v>6.9073489955150609E-7</v>
      </c>
      <c r="L419" s="3" cm="1">
        <f t="array" ref="L419">lmb_2(F419)</f>
        <v>7991.0058799043982</v>
      </c>
      <c r="M419" s="3" cm="1">
        <f t="array" ref="M419">lmb_2(G419)</f>
        <v>1305.3870234658184</v>
      </c>
      <c r="N419" s="3" cm="1">
        <f t="array" ref="N419">lmb_2(H419)</f>
        <v>8.1384241009343334</v>
      </c>
      <c r="O419" s="3" cm="1">
        <f t="array" ref="O419">lmb_2(I419)</f>
        <v>2.1501502580732375</v>
      </c>
      <c r="P419" s="3" cm="1">
        <f t="array" ref="P419">lmb_2(J419)</f>
        <v>0.12741141292304373</v>
      </c>
      <c r="R419" s="3">
        <f t="shared" si="108"/>
        <v>5.9281448988258927E-2</v>
      </c>
      <c r="S419" s="3">
        <f t="shared" si="109"/>
        <v>3.2988844050223847</v>
      </c>
      <c r="T419" s="3">
        <f t="shared" si="110"/>
        <v>142.21053404882562</v>
      </c>
      <c r="U419" s="3">
        <f t="shared" si="100"/>
        <v>1784.6381174883688</v>
      </c>
      <c r="V419" s="3">
        <f t="shared" si="101"/>
        <v>0</v>
      </c>
      <c r="W419" s="3">
        <f t="shared" si="111"/>
        <v>863.64690903914425</v>
      </c>
      <c r="Y419" s="3">
        <f t="shared" si="112"/>
        <v>2793.8537271210844</v>
      </c>
      <c r="AA419" s="3">
        <f t="shared" si="113"/>
        <v>1776.3083175840188</v>
      </c>
      <c r="AB419" s="3">
        <f t="shared" si="114"/>
        <v>42.146272878915624</v>
      </c>
      <c r="AD419" s="3">
        <f t="shared" si="115"/>
        <v>1.3819631293952841E-5</v>
      </c>
    </row>
    <row r="420" spans="3:30" x14ac:dyDescent="0.3">
      <c r="C420" s="22">
        <v>388</v>
      </c>
      <c r="D420" s="22">
        <v>2825</v>
      </c>
      <c r="F420" s="3">
        <f t="shared" si="102"/>
        <v>8041.3833318805528</v>
      </c>
      <c r="G420" s="3">
        <f t="shared" si="103"/>
        <v>1319.3510927007007</v>
      </c>
      <c r="H420" s="3">
        <f t="shared" si="104"/>
        <v>10.290949461618213</v>
      </c>
      <c r="I420" s="3">
        <f t="shared" si="105"/>
        <v>2.9308573225135417</v>
      </c>
      <c r="J420" s="3">
        <f t="shared" si="106"/>
        <v>-1.9321298363470794</v>
      </c>
      <c r="K420" s="3">
        <f t="shared" si="107"/>
        <v>6.5037572747304629E-7</v>
      </c>
      <c r="L420" s="3" cm="1">
        <f t="array" ref="L420">lmb_2(F420)</f>
        <v>8032.391534606918</v>
      </c>
      <c r="M420" s="3" cm="1">
        <f t="array" ref="M420">lmb_2(G420)</f>
        <v>1312.1689202922446</v>
      </c>
      <c r="N420" s="3" cm="1">
        <f t="array" ref="N420">lmb_2(H420)</f>
        <v>8.1882493421405957</v>
      </c>
      <c r="O420" s="3" cm="1">
        <f t="array" ref="O420">lmb_2(I420)</f>
        <v>2.1605120628014269</v>
      </c>
      <c r="P420" s="3" cm="1">
        <f t="array" ref="P420">lmb_2(J420)</f>
        <v>0.12750102656655984</v>
      </c>
      <c r="R420" s="3">
        <f t="shared" si="108"/>
        <v>5.8823791258361451E-2</v>
      </c>
      <c r="S420" s="3">
        <f t="shared" si="109"/>
        <v>3.2733215151483313</v>
      </c>
      <c r="T420" s="3">
        <f t="shared" si="110"/>
        <v>140.94196546754134</v>
      </c>
      <c r="U420" s="3">
        <f t="shared" si="100"/>
        <v>1774.8303953500181</v>
      </c>
      <c r="V420" s="3">
        <f t="shared" si="101"/>
        <v>0</v>
      </c>
      <c r="W420" s="3">
        <f t="shared" si="111"/>
        <v>865.74935583252704</v>
      </c>
      <c r="Y420" s="3">
        <f t="shared" si="112"/>
        <v>2784.8538626068689</v>
      </c>
      <c r="AA420" s="3">
        <f t="shared" si="113"/>
        <v>1611.7123475881579</v>
      </c>
      <c r="AB420" s="3">
        <f t="shared" si="114"/>
        <v>40.146137393131085</v>
      </c>
      <c r="AD420" s="3">
        <f t="shared" si="115"/>
        <v>1.3163793112700009E-5</v>
      </c>
    </row>
    <row r="421" spans="3:30" x14ac:dyDescent="0.3">
      <c r="C421" s="22">
        <v>389</v>
      </c>
      <c r="D421" s="22">
        <v>2892</v>
      </c>
      <c r="F421" s="3">
        <f t="shared" si="102"/>
        <v>8082.8809646857108</v>
      </c>
      <c r="G421" s="3">
        <f t="shared" si="103"/>
        <v>1326.1556741754248</v>
      </c>
      <c r="H421" s="3">
        <f t="shared" si="104"/>
        <v>10.347022592808257</v>
      </c>
      <c r="I421" s="3">
        <f t="shared" si="105"/>
        <v>2.9460658064571841</v>
      </c>
      <c r="J421" s="3">
        <f t="shared" si="106"/>
        <v>-1.9313350834481577</v>
      </c>
      <c r="K421" s="3">
        <f t="shared" si="107"/>
        <v>6.1237471446822883E-7</v>
      </c>
      <c r="L421" s="3" cm="1">
        <f t="array" ref="L421">lmb_2(F421)</f>
        <v>8073.8840176204758</v>
      </c>
      <c r="M421" s="3" cm="1">
        <f t="array" ref="M421">lmb_2(G421)</f>
        <v>1318.9683454682793</v>
      </c>
      <c r="N421" s="3" cm="1">
        <f t="array" ref="N421">lmb_2(H421)</f>
        <v>8.2382363116455188</v>
      </c>
      <c r="O421" s="3" cm="1">
        <f t="array" ref="O421">lmb_2(I421)</f>
        <v>2.1709164163645611</v>
      </c>
      <c r="P421" s="3" cm="1">
        <f t="array" ref="P421">lmb_2(J421)</f>
        <v>0.12759092758466953</v>
      </c>
      <c r="R421" s="3">
        <f t="shared" si="108"/>
        <v>5.8370833132235338E-2</v>
      </c>
      <c r="S421" s="3">
        <f t="shared" si="109"/>
        <v>3.2480222373332546</v>
      </c>
      <c r="T421" s="3">
        <f t="shared" si="110"/>
        <v>139.68787728456684</v>
      </c>
      <c r="U421" s="3">
        <f t="shared" si="100"/>
        <v>1765.0661408913493</v>
      </c>
      <c r="V421" s="3">
        <f t="shared" si="101"/>
        <v>0</v>
      </c>
      <c r="W421" s="3">
        <f t="shared" si="111"/>
        <v>867.85180262590984</v>
      </c>
      <c r="Y421" s="3">
        <f t="shared" si="112"/>
        <v>2775.912214484666</v>
      </c>
      <c r="AA421" s="3">
        <f t="shared" si="113"/>
        <v>13476.373945854182</v>
      </c>
      <c r="AB421" s="3">
        <f t="shared" si="114"/>
        <v>116.08778551533396</v>
      </c>
      <c r="AD421" s="3">
        <f t="shared" si="115"/>
        <v>3.8064822437857076E-5</v>
      </c>
    </row>
    <row r="422" spans="3:30" x14ac:dyDescent="0.3">
      <c r="C422" s="22">
        <v>390</v>
      </c>
      <c r="D422" s="22">
        <v>2828</v>
      </c>
      <c r="F422" s="3">
        <f t="shared" si="102"/>
        <v>8124.485412504524</v>
      </c>
      <c r="G422" s="3">
        <f t="shared" si="103"/>
        <v>1332.97777066038</v>
      </c>
      <c r="H422" s="3">
        <f t="shared" si="104"/>
        <v>10.403240056382318</v>
      </c>
      <c r="I422" s="3">
        <f t="shared" si="105"/>
        <v>2.9613134370776431</v>
      </c>
      <c r="J422" s="3">
        <f t="shared" si="106"/>
        <v>-1.9305382848532289</v>
      </c>
      <c r="K422" s="3">
        <f t="shared" si="107"/>
        <v>5.7659407490047513E-7</v>
      </c>
      <c r="L422" s="3" cm="1">
        <f t="array" ref="L422">lmb_2(F422)</f>
        <v>8115.4833288767395</v>
      </c>
      <c r="M422" s="3" cm="1">
        <f t="array" ref="M422">lmb_2(G422)</f>
        <v>1325.785298925229</v>
      </c>
      <c r="N422" s="3" cm="1">
        <f t="array" ref="N422">lmb_2(H422)</f>
        <v>8.2883849279359634</v>
      </c>
      <c r="O422" s="3" cm="1">
        <f t="array" ref="O422">lmb_2(I422)</f>
        <v>2.1813633608631711</v>
      </c>
      <c r="P422" s="3" cm="1">
        <f t="array" ref="P422">lmb_2(J422)</f>
        <v>0.12768111643751126</v>
      </c>
      <c r="R422" s="3">
        <f t="shared" si="108"/>
        <v>5.7922514430655929E-2</v>
      </c>
      <c r="S422" s="3">
        <f t="shared" si="109"/>
        <v>3.2229831803161315</v>
      </c>
      <c r="T422" s="3">
        <f t="shared" si="110"/>
        <v>138.44807407503919</v>
      </c>
      <c r="U422" s="3">
        <f t="shared" si="100"/>
        <v>1755.3454486066798</v>
      </c>
      <c r="V422" s="3">
        <f t="shared" si="101"/>
        <v>0</v>
      </c>
      <c r="W422" s="3">
        <f t="shared" si="111"/>
        <v>869.95424941929264</v>
      </c>
      <c r="Y422" s="3">
        <f t="shared" si="112"/>
        <v>2767.0286783723527</v>
      </c>
      <c r="AA422" s="3">
        <f t="shared" si="113"/>
        <v>3717.5020610220095</v>
      </c>
      <c r="AB422" s="3">
        <f t="shared" si="114"/>
        <v>60.971321627647285</v>
      </c>
      <c r="AD422" s="3">
        <f t="shared" si="115"/>
        <v>1.9992306005796858E-5</v>
      </c>
    </row>
    <row r="423" spans="3:30" x14ac:dyDescent="0.3">
      <c r="C423" s="22">
        <v>391</v>
      </c>
      <c r="D423" s="22">
        <v>2749</v>
      </c>
      <c r="F423" s="3">
        <f t="shared" si="102"/>
        <v>8166.1966753369898</v>
      </c>
      <c r="G423" s="3">
        <f t="shared" si="103"/>
        <v>1339.8173821555661</v>
      </c>
      <c r="H423" s="3">
        <f t="shared" si="104"/>
        <v>10.459601852340393</v>
      </c>
      <c r="I423" s="3">
        <f t="shared" si="105"/>
        <v>2.9766002143749213</v>
      </c>
      <c r="J423" s="3">
        <f t="shared" si="106"/>
        <v>-1.9297394405622923</v>
      </c>
      <c r="K423" s="3">
        <f t="shared" si="107"/>
        <v>5.4290407385457702E-7</v>
      </c>
      <c r="L423" s="3" cm="1">
        <f t="array" ref="L423">lmb_2(F423)</f>
        <v>8157.1894683079017</v>
      </c>
      <c r="M423" s="3" cm="1">
        <f t="array" ref="M423">lmb_2(G423)</f>
        <v>1332.6197805949284</v>
      </c>
      <c r="N423" s="3" cm="1">
        <f t="array" ref="N423">lmb_2(H423)</f>
        <v>8.3386951098587669</v>
      </c>
      <c r="O423" s="3" cm="1">
        <f t="array" ref="O423">lmb_2(I423)</f>
        <v>2.1918529379095451</v>
      </c>
      <c r="P423" s="3" cm="1">
        <f t="array" ref="P423">lmb_2(J423)</f>
        <v>0.12777159358674767</v>
      </c>
      <c r="R423" s="3">
        <f t="shared" si="108"/>
        <v>5.7478775896894582E-2</v>
      </c>
      <c r="S423" s="3">
        <f t="shared" si="109"/>
        <v>3.1982010050796283</v>
      </c>
      <c r="T423" s="3">
        <f t="shared" si="110"/>
        <v>137.22236335553652</v>
      </c>
      <c r="U423" s="3">
        <f t="shared" si="100"/>
        <v>1745.6684064768215</v>
      </c>
      <c r="V423" s="3">
        <f t="shared" si="101"/>
        <v>0</v>
      </c>
      <c r="W423" s="3">
        <f t="shared" si="111"/>
        <v>872.05669621267543</v>
      </c>
      <c r="Y423" s="3">
        <f t="shared" si="112"/>
        <v>2758.2031463689141</v>
      </c>
      <c r="AA423" s="3">
        <f t="shared" si="113"/>
        <v>84.697903087656357</v>
      </c>
      <c r="AB423" s="3">
        <f t="shared" si="114"/>
        <v>-9.2031463689140764</v>
      </c>
      <c r="AD423" s="3">
        <f t="shared" si="115"/>
        <v>3.0176829616243334E-6</v>
      </c>
    </row>
    <row r="424" spans="3:30" x14ac:dyDescent="0.3">
      <c r="C424" s="22">
        <v>392</v>
      </c>
      <c r="D424" s="22">
        <v>2835</v>
      </c>
      <c r="F424" s="3">
        <f t="shared" si="102"/>
        <v>8208.0147531831171</v>
      </c>
      <c r="G424" s="3">
        <f t="shared" si="103"/>
        <v>1346.6745086609828</v>
      </c>
      <c r="H424" s="3">
        <f t="shared" si="104"/>
        <v>10.516107980682483</v>
      </c>
      <c r="I424" s="3">
        <f t="shared" si="105"/>
        <v>2.9919261383490166</v>
      </c>
      <c r="J424" s="3">
        <f t="shared" si="106"/>
        <v>-1.9289385505753485</v>
      </c>
      <c r="K424" s="3">
        <f t="shared" si="107"/>
        <v>5.1118255673850167E-7</v>
      </c>
      <c r="L424" s="3" cm="1">
        <f t="array" ref="L424">lmb_2(F424)</f>
        <v>8199.0024358466908</v>
      </c>
      <c r="M424" s="3" cm="1">
        <f t="array" ref="M424">lmb_2(G424)</f>
        <v>1339.4717904097367</v>
      </c>
      <c r="N424" s="3" cm="1">
        <f t="array" ref="N424">lmb_2(H424)</f>
        <v>8.3891667766222913</v>
      </c>
      <c r="O424" s="3" cm="1">
        <f t="array" ref="O424">lmb_2(I424)</f>
        <v>2.2023851886298633</v>
      </c>
      <c r="P424" s="3" cm="1">
        <f t="array" ref="P424">lmb_2(J424)</f>
        <v>0.12786235949556821</v>
      </c>
      <c r="R424" s="3">
        <f t="shared" si="108"/>
        <v>5.7039559180260456E-2</v>
      </c>
      <c r="S424" s="3">
        <f t="shared" si="109"/>
        <v>3.173672423913136</v>
      </c>
      <c r="T424" s="3">
        <f t="shared" si="110"/>
        <v>136.0105555374202</v>
      </c>
      <c r="U424" s="3">
        <f t="shared" si="100"/>
        <v>1736.035096074771</v>
      </c>
      <c r="V424" s="3">
        <f t="shared" si="101"/>
        <v>0</v>
      </c>
      <c r="W424" s="3">
        <f t="shared" si="111"/>
        <v>874.15914300605823</v>
      </c>
      <c r="Y424" s="3">
        <f t="shared" si="112"/>
        <v>2749.4355071125256</v>
      </c>
      <c r="AA424" s="3">
        <f t="shared" si="113"/>
        <v>7321.2824430906649</v>
      </c>
      <c r="AB424" s="3">
        <f t="shared" si="114"/>
        <v>85.564492887474444</v>
      </c>
      <c r="AD424" s="3">
        <f t="shared" si="115"/>
        <v>2.8056330080624929E-5</v>
      </c>
    </row>
    <row r="425" spans="3:30" x14ac:dyDescent="0.3">
      <c r="C425" s="22">
        <v>393</v>
      </c>
      <c r="D425" s="22">
        <v>2788</v>
      </c>
      <c r="F425" s="3">
        <f t="shared" si="102"/>
        <v>8249.9396460428961</v>
      </c>
      <c r="G425" s="3">
        <f t="shared" si="103"/>
        <v>1353.549150176631</v>
      </c>
      <c r="H425" s="3">
        <f t="shared" si="104"/>
        <v>10.572758441408592</v>
      </c>
      <c r="I425" s="3">
        <f t="shared" si="105"/>
        <v>3.0072912089999289</v>
      </c>
      <c r="J425" s="3">
        <f t="shared" si="106"/>
        <v>-1.9281356148923969</v>
      </c>
      <c r="K425" s="3">
        <f t="shared" si="107"/>
        <v>4.813145063702462E-7</v>
      </c>
      <c r="L425" s="3" cm="1">
        <f t="array" ref="L425">lmb_2(F425)</f>
        <v>8240.9222314263243</v>
      </c>
      <c r="M425" s="3" cm="1">
        <f t="array" ref="M425">lmb_2(G425)</f>
        <v>1346.3413283025325</v>
      </c>
      <c r="N425" s="3" cm="1">
        <f t="array" ref="N425">lmb_2(H425)</f>
        <v>8.439799847797822</v>
      </c>
      <c r="O425" s="3" cm="1">
        <f t="array" ref="O425">lmb_2(I425)</f>
        <v>2.2129601536663777</v>
      </c>
      <c r="P425" s="3" cm="1">
        <f t="array" ref="P425">lmb_2(J425)</f>
        <v>0.12795341462869195</v>
      </c>
      <c r="R425" s="3">
        <f t="shared" si="108"/>
        <v>5.6604806819977808E-2</v>
      </c>
      <c r="S425" s="3">
        <f t="shared" si="109"/>
        <v>3.1493941994949712</v>
      </c>
      <c r="T425" s="3">
        <f t="shared" si="110"/>
        <v>134.81246388089684</v>
      </c>
      <c r="U425" s="3">
        <f t="shared" si="100"/>
        <v>1726.4455926706564</v>
      </c>
      <c r="V425" s="3">
        <f t="shared" si="101"/>
        <v>0</v>
      </c>
      <c r="W425" s="3">
        <f t="shared" si="111"/>
        <v>876.26158979944103</v>
      </c>
      <c r="Y425" s="3">
        <f t="shared" si="112"/>
        <v>2740.7256458386237</v>
      </c>
      <c r="AA425" s="3">
        <f t="shared" si="113"/>
        <v>2234.8645613752387</v>
      </c>
      <c r="AB425" s="3">
        <f t="shared" si="114"/>
        <v>47.274354161376323</v>
      </c>
      <c r="AD425" s="3">
        <f t="shared" si="115"/>
        <v>1.5501113136312398E-5</v>
      </c>
    </row>
    <row r="426" spans="3:30" x14ac:dyDescent="0.3">
      <c r="C426" s="22">
        <v>394</v>
      </c>
      <c r="D426" s="22">
        <v>2591</v>
      </c>
      <c r="F426" s="3">
        <f t="shared" si="102"/>
        <v>8291.9713539163295</v>
      </c>
      <c r="G426" s="3">
        <f t="shared" si="103"/>
        <v>1360.4413067025098</v>
      </c>
      <c r="H426" s="3">
        <f t="shared" si="104"/>
        <v>10.629553234518713</v>
      </c>
      <c r="I426" s="3">
        <f t="shared" si="105"/>
        <v>3.0226954263276591</v>
      </c>
      <c r="J426" s="3">
        <f t="shared" si="106"/>
        <v>-1.9273306335134379</v>
      </c>
      <c r="K426" s="3">
        <f t="shared" si="107"/>
        <v>4.5319162594380674E-7</v>
      </c>
      <c r="L426" s="3" cm="1">
        <f t="array" ref="L426">lmb_2(F426)</f>
        <v>8282.9488549805483</v>
      </c>
      <c r="M426" s="3" cm="1">
        <f t="array" ref="M426">lmb_2(G426)</f>
        <v>1353.2283942067061</v>
      </c>
      <c r="N426" s="3" cm="1">
        <f t="array" ref="N426">lmb_2(H426)</f>
        <v>8.4905942433208637</v>
      </c>
      <c r="O426" s="3" cm="1">
        <f t="array" ref="O426">lmb_2(I426)</f>
        <v>2.2235778731796101</v>
      </c>
      <c r="P426" s="3" cm="1">
        <f t="array" ref="P426">lmb_2(J426)</f>
        <v>0.12804475945236998</v>
      </c>
      <c r="R426" s="3">
        <f t="shared" si="108"/>
        <v>5.617446222938912E-2</v>
      </c>
      <c r="S426" s="3">
        <f t="shared" si="109"/>
        <v>3.1253631439933218</v>
      </c>
      <c r="T426" s="3">
        <f t="shared" si="110"/>
        <v>133.62790444979038</v>
      </c>
      <c r="U426" s="3">
        <f t="shared" si="100"/>
        <v>1716.8999653359645</v>
      </c>
      <c r="V426" s="3">
        <f t="shared" si="101"/>
        <v>0</v>
      </c>
      <c r="W426" s="3">
        <f t="shared" si="111"/>
        <v>878.36403659282382</v>
      </c>
      <c r="Y426" s="3">
        <f t="shared" si="112"/>
        <v>2732.0734444379927</v>
      </c>
      <c r="AA426" s="3">
        <f t="shared" si="113"/>
        <v>19901.716725599428</v>
      </c>
      <c r="AB426" s="3">
        <f t="shared" si="114"/>
        <v>-141.07344443799275</v>
      </c>
      <c r="AD426" s="3">
        <f t="shared" si="115"/>
        <v>4.6257541991958991E-5</v>
      </c>
    </row>
    <row r="427" spans="3:30" x14ac:dyDescent="0.3">
      <c r="C427" s="22">
        <v>395</v>
      </c>
      <c r="D427" s="22">
        <v>2828</v>
      </c>
      <c r="F427" s="3">
        <f t="shared" si="102"/>
        <v>8334.1098768034208</v>
      </c>
      <c r="G427" s="3">
        <f t="shared" si="103"/>
        <v>1367.3509782386197</v>
      </c>
      <c r="H427" s="3">
        <f t="shared" si="104"/>
        <v>10.686492360012851</v>
      </c>
      <c r="I427" s="3">
        <f t="shared" si="105"/>
        <v>3.0381387903322068</v>
      </c>
      <c r="J427" s="3">
        <f t="shared" si="106"/>
        <v>-1.9265236064384712</v>
      </c>
      <c r="K427" s="3">
        <f t="shared" si="107"/>
        <v>4.2671194636216255E-7</v>
      </c>
      <c r="L427" s="3" cm="1">
        <f t="array" ref="L427">lmb_2(F427)</f>
        <v>8325.0823064436117</v>
      </c>
      <c r="M427" s="3" cm="1">
        <f t="array" ref="M427">lmb_2(G427)</f>
        <v>1360.1329880561568</v>
      </c>
      <c r="N427" s="3" cm="1">
        <f t="array" ref="N427">lmb_2(H427)</f>
        <v>8.5415498834923582</v>
      </c>
      <c r="O427" s="3" cm="1">
        <f t="array" ref="O427">lmb_2(I427)</f>
        <v>2.2342383868505822</v>
      </c>
      <c r="P427" s="3" cm="1">
        <f t="array" ref="P427">lmb_2(J427)</f>
        <v>0.12813639443438837</v>
      </c>
      <c r="R427" s="3">
        <f t="shared" si="108"/>
        <v>5.5748469680479036E-2</v>
      </c>
      <c r="S427" s="3">
        <f t="shared" si="109"/>
        <v>3.1015761181854495</v>
      </c>
      <c r="T427" s="3">
        <f t="shared" si="110"/>
        <v>132.45669606701443</v>
      </c>
      <c r="U427" s="3">
        <f t="shared" si="100"/>
        <v>1707.3982770470116</v>
      </c>
      <c r="V427" s="3">
        <f t="shared" si="101"/>
        <v>0</v>
      </c>
      <c r="W427" s="3">
        <f t="shared" si="111"/>
        <v>880.46648338620673</v>
      </c>
      <c r="Y427" s="3">
        <f t="shared" si="112"/>
        <v>2723.4787815148102</v>
      </c>
      <c r="AA427" s="3">
        <f t="shared" si="113"/>
        <v>10924.685113628786</v>
      </c>
      <c r="AB427" s="3">
        <f t="shared" si="114"/>
        <v>104.52121848518982</v>
      </c>
      <c r="AD427" s="3">
        <f t="shared" si="115"/>
        <v>3.4272181220148154E-5</v>
      </c>
    </row>
    <row r="428" spans="3:30" x14ac:dyDescent="0.3">
      <c r="C428" s="22">
        <v>396</v>
      </c>
      <c r="D428" s="22">
        <v>2722</v>
      </c>
      <c r="F428" s="3">
        <f t="shared" si="102"/>
        <v>8376.3552147041664</v>
      </c>
      <c r="G428" s="3">
        <f t="shared" si="103"/>
        <v>1374.2781647849604</v>
      </c>
      <c r="H428" s="3">
        <f t="shared" si="104"/>
        <v>10.743575817891005</v>
      </c>
      <c r="I428" s="3">
        <f t="shared" si="105"/>
        <v>3.053621301013572</v>
      </c>
      <c r="J428" s="3">
        <f t="shared" si="106"/>
        <v>-1.9257145336674972</v>
      </c>
      <c r="K428" s="3">
        <f t="shared" si="107"/>
        <v>4.0177945651352879E-7</v>
      </c>
      <c r="L428" s="3" cm="1">
        <f t="array" ref="L428">lmb_2(F428)</f>
        <v>8367.3225857502512</v>
      </c>
      <c r="M428" s="3" cm="1">
        <f t="array" ref="M428">lmb_2(G428)</f>
        <v>1367.0551097852865</v>
      </c>
      <c r="N428" s="3" cm="1">
        <f t="array" ref="N428">lmb_2(H428)</f>
        <v>8.5926666889797652</v>
      </c>
      <c r="O428" s="3" cm="1">
        <f t="array" ref="O428">lmb_2(I428)</f>
        <v>2.2449417338830742</v>
      </c>
      <c r="P428" s="3" cm="1">
        <f t="array" ref="P428">lmb_2(J428)</f>
        <v>0.12822832004407039</v>
      </c>
      <c r="R428" s="3">
        <f t="shared" si="108"/>
        <v>5.5326774288710322E-2</v>
      </c>
      <c r="S428" s="3">
        <f t="shared" si="109"/>
        <v>3.0780300305948032</v>
      </c>
      <c r="T428" s="3">
        <f t="shared" si="110"/>
        <v>131.29866027073888</v>
      </c>
      <c r="U428" s="3">
        <f t="shared" si="100"/>
        <v>1697.9405847876485</v>
      </c>
      <c r="V428" s="3">
        <f t="shared" si="101"/>
        <v>0</v>
      </c>
      <c r="W428" s="3">
        <f t="shared" si="111"/>
        <v>882.56893017958953</v>
      </c>
      <c r="Y428" s="3">
        <f t="shared" si="112"/>
        <v>2714.9415324446395</v>
      </c>
      <c r="AA428" s="3">
        <f t="shared" si="113"/>
        <v>49.821964230076745</v>
      </c>
      <c r="AB428" s="3">
        <f t="shared" si="114"/>
        <v>7.0584675553604939</v>
      </c>
      <c r="AD428" s="3">
        <f t="shared" si="115"/>
        <v>2.3144494744684625E-6</v>
      </c>
    </row>
    <row r="429" spans="3:30" x14ac:dyDescent="0.3">
      <c r="C429" s="22">
        <v>397</v>
      </c>
      <c r="D429" s="22">
        <v>2771</v>
      </c>
      <c r="F429" s="3">
        <f t="shared" si="102"/>
        <v>8418.7073676185664</v>
      </c>
      <c r="G429" s="3">
        <f t="shared" si="103"/>
        <v>1381.2228663415319</v>
      </c>
      <c r="H429" s="3">
        <f t="shared" si="104"/>
        <v>10.800803608153174</v>
      </c>
      <c r="I429" s="3">
        <f t="shared" si="105"/>
        <v>3.0691429583717547</v>
      </c>
      <c r="J429" s="3">
        <f t="shared" si="106"/>
        <v>-1.9249034152005156</v>
      </c>
      <c r="K429" s="3">
        <f t="shared" si="107"/>
        <v>3.7830375515031654E-7</v>
      </c>
      <c r="L429" s="3" cm="1">
        <f t="array" ref="L429">lmb_2(F429)</f>
        <v>8409.6696928357105</v>
      </c>
      <c r="M429" s="3" cm="1">
        <f t="array" ref="M429">lmb_2(G429)</f>
        <v>1373.9947593289955</v>
      </c>
      <c r="N429" s="3" cm="1">
        <f t="array" ref="N429">lmb_2(H429)</f>
        <v>8.6439445808180668</v>
      </c>
      <c r="O429" s="3" cm="1">
        <f t="array" ref="O429">lmb_2(I429)</f>
        <v>2.2556879530059102</v>
      </c>
      <c r="P429" s="3" cm="1">
        <f t="array" ref="P429">lmb_2(J429)</f>
        <v>0.12832053675227972</v>
      </c>
      <c r="R429" s="3">
        <f t="shared" si="108"/>
        <v>5.4909321998164784E-2</v>
      </c>
      <c r="S429" s="3">
        <f t="shared" si="109"/>
        <v>3.0547218366455673</v>
      </c>
      <c r="T429" s="3">
        <f t="shared" si="110"/>
        <v>130.15362127123907</v>
      </c>
      <c r="U429" s="3">
        <f t="shared" si="100"/>
        <v>1688.5269396511876</v>
      </c>
      <c r="V429" s="3">
        <f t="shared" si="101"/>
        <v>0</v>
      </c>
      <c r="W429" s="3">
        <f t="shared" si="111"/>
        <v>884.67137697297233</v>
      </c>
      <c r="Y429" s="3">
        <f t="shared" si="112"/>
        <v>2706.4615694323466</v>
      </c>
      <c r="AA429" s="3">
        <f t="shared" si="113"/>
        <v>4165.2090201358251</v>
      </c>
      <c r="AB429" s="3">
        <f t="shared" si="114"/>
        <v>64.53843056765345</v>
      </c>
      <c r="AD429" s="3">
        <f t="shared" si="115"/>
        <v>2.1161949890509362E-5</v>
      </c>
    </row>
    <row r="430" spans="3:30" x14ac:dyDescent="0.3">
      <c r="C430" s="22">
        <v>398</v>
      </c>
      <c r="D430" s="22">
        <v>2726</v>
      </c>
      <c r="F430" s="3">
        <f t="shared" si="102"/>
        <v>8461.1663355466226</v>
      </c>
      <c r="G430" s="3">
        <f t="shared" si="103"/>
        <v>1388.1850829083348</v>
      </c>
      <c r="H430" s="3">
        <f t="shared" si="104"/>
        <v>10.858175730799356</v>
      </c>
      <c r="I430" s="3">
        <f t="shared" si="105"/>
        <v>3.0847037624067557</v>
      </c>
      <c r="J430" s="3">
        <f t="shared" si="106"/>
        <v>-1.9240902510375264</v>
      </c>
      <c r="K430" s="3">
        <f t="shared" si="107"/>
        <v>3.561997231085699E-7</v>
      </c>
      <c r="L430" s="3" cm="1">
        <f t="array" ref="L430">lmb_2(F430)</f>
        <v>8452.123627635714</v>
      </c>
      <c r="M430" s="3" cm="1">
        <f t="array" ref="M430">lmb_2(G430)</f>
        <v>1380.9519366226771</v>
      </c>
      <c r="N430" s="3" cm="1">
        <f t="array" ref="N430">lmb_2(H430)</f>
        <v>8.6953834804106513</v>
      </c>
      <c r="O430" s="3" cm="1">
        <f t="array" ref="O430">lmb_2(I430)</f>
        <v>2.2664770824752707</v>
      </c>
      <c r="P430" s="3" cm="1">
        <f t="array" ref="P430">lmb_2(J430)</f>
        <v>0.12841304503142276</v>
      </c>
      <c r="R430" s="3">
        <f t="shared" si="108"/>
        <v>5.4496059566983272E-2</v>
      </c>
      <c r="S430" s="3">
        <f t="shared" si="109"/>
        <v>3.0316485378343114</v>
      </c>
      <c r="T430" s="3">
        <f t="shared" si="110"/>
        <v>129.02140590842174</v>
      </c>
      <c r="U430" s="3">
        <f t="shared" si="100"/>
        <v>1679.1573869415445</v>
      </c>
      <c r="V430" s="3">
        <f t="shared" si="101"/>
        <v>0</v>
      </c>
      <c r="W430" s="3">
        <f t="shared" si="111"/>
        <v>886.77382376635512</v>
      </c>
      <c r="Y430" s="3">
        <f t="shared" si="112"/>
        <v>2698.0387615699224</v>
      </c>
      <c r="AA430" s="3">
        <f t="shared" si="113"/>
        <v>781.83085454365005</v>
      </c>
      <c r="AB430" s="3">
        <f t="shared" si="114"/>
        <v>27.961238430077628</v>
      </c>
      <c r="AD430" s="3">
        <f t="shared" si="115"/>
        <v>9.1684027846573282E-6</v>
      </c>
    </row>
    <row r="431" spans="3:30" x14ac:dyDescent="0.3">
      <c r="C431" s="22">
        <v>399</v>
      </c>
      <c r="D431" s="22">
        <v>2684</v>
      </c>
      <c r="F431" s="3">
        <f t="shared" si="102"/>
        <v>8503.7321184883367</v>
      </c>
      <c r="G431" s="3">
        <f t="shared" si="103"/>
        <v>1395.1648144853684</v>
      </c>
      <c r="H431" s="3">
        <f t="shared" si="104"/>
        <v>10.91569218582956</v>
      </c>
      <c r="I431" s="3">
        <f t="shared" si="105"/>
        <v>3.1003037131185747</v>
      </c>
      <c r="J431" s="3">
        <f t="shared" si="106"/>
        <v>-1.9232750411785298</v>
      </c>
      <c r="K431" s="3">
        <f t="shared" si="107"/>
        <v>3.3538721467939861E-7</v>
      </c>
      <c r="L431" s="3" cm="1">
        <f t="array" ref="L431">lmb_2(F431)</f>
        <v>8494.6843900864787</v>
      </c>
      <c r="M431" s="3" cm="1">
        <f t="array" ref="M431">lmb_2(G431)</f>
        <v>1387.9266416022108</v>
      </c>
      <c r="N431" s="3" cm="1">
        <f t="array" ref="N431">lmb_2(H431)</f>
        <v>8.7469833095301492</v>
      </c>
      <c r="O431" s="3" cm="1">
        <f t="array" ref="O431">lmb_2(I431)</f>
        <v>2.277309160077027</v>
      </c>
      <c r="P431" s="3" cm="1">
        <f t="array" ref="P431">lmb_2(J431)</f>
        <v>0.12850584535545134</v>
      </c>
      <c r="R431" s="3">
        <f t="shared" si="108"/>
        <v>5.4086934553096822E-2</v>
      </c>
      <c r="S431" s="3">
        <f t="shared" si="109"/>
        <v>3.0088071809183101</v>
      </c>
      <c r="T431" s="3">
        <f t="shared" si="110"/>
        <v>127.9018436100154</v>
      </c>
      <c r="U431" s="3">
        <f t="shared" si="100"/>
        <v>1669.8319662735764</v>
      </c>
      <c r="V431" s="3">
        <f t="shared" si="101"/>
        <v>0</v>
      </c>
      <c r="W431" s="3">
        <f t="shared" si="111"/>
        <v>888.87627055973792</v>
      </c>
      <c r="Y431" s="3">
        <f t="shared" si="112"/>
        <v>2689.6729748941884</v>
      </c>
      <c r="AA431" s="3">
        <f t="shared" si="113"/>
        <v>32.182644150092209</v>
      </c>
      <c r="AB431" s="3">
        <f t="shared" si="114"/>
        <v>-5.6729748941884282</v>
      </c>
      <c r="AD431" s="3">
        <f t="shared" si="115"/>
        <v>1.8601507564564583E-6</v>
      </c>
    </row>
    <row r="432" spans="3:30" x14ac:dyDescent="0.3">
      <c r="C432" s="22">
        <v>400</v>
      </c>
      <c r="D432" s="22">
        <v>2714</v>
      </c>
      <c r="F432" s="3">
        <f t="shared" si="102"/>
        <v>8546.4047164437052</v>
      </c>
      <c r="G432" s="3">
        <f t="shared" si="103"/>
        <v>1402.1620610726327</v>
      </c>
      <c r="H432" s="3">
        <f t="shared" si="104"/>
        <v>10.973352973243776</v>
      </c>
      <c r="I432" s="3">
        <f t="shared" si="105"/>
        <v>3.1159428105072098</v>
      </c>
      <c r="J432" s="3">
        <f t="shared" si="106"/>
        <v>-1.9224577856235257</v>
      </c>
      <c r="K432" s="3">
        <f t="shared" si="107"/>
        <v>3.1579076701336922E-7</v>
      </c>
      <c r="L432" s="3" cm="1">
        <f t="array" ref="L432">lmb_2(F432)</f>
        <v>8537.3519801246894</v>
      </c>
      <c r="M432" s="3" cm="1">
        <f t="array" ref="M432">lmb_2(G432)</f>
        <v>1394.9188742039605</v>
      </c>
      <c r="N432" s="3" cm="1">
        <f t="array" ref="N432">lmb_2(H432)</f>
        <v>8.7987439903191067</v>
      </c>
      <c r="O432" s="3" cm="1">
        <f t="array" ref="O432">lmb_2(I432)</f>
        <v>2.2881842231291047</v>
      </c>
      <c r="P432" s="3" cm="1">
        <f t="array" ref="P432">lmb_2(J432)</f>
        <v>0.12859893819986562</v>
      </c>
      <c r="R432" s="3">
        <f t="shared" si="108"/>
        <v>5.3681895300243448E-2</v>
      </c>
      <c r="S432" s="3">
        <f t="shared" si="109"/>
        <v>2.9861948571201657</v>
      </c>
      <c r="T432" s="3">
        <f t="shared" si="110"/>
        <v>126.7947663504209</v>
      </c>
      <c r="U432" s="3">
        <f t="shared" si="100"/>
        <v>1660.5507116726121</v>
      </c>
      <c r="V432" s="3">
        <f t="shared" si="101"/>
        <v>0</v>
      </c>
      <c r="W432" s="3">
        <f t="shared" si="111"/>
        <v>890.97871735312071</v>
      </c>
      <c r="Y432" s="3">
        <f t="shared" si="112"/>
        <v>2681.3640724443649</v>
      </c>
      <c r="AA432" s="3">
        <f t="shared" si="113"/>
        <v>1065.1037674166648</v>
      </c>
      <c r="AB432" s="3">
        <f t="shared" si="114"/>
        <v>32.635927555635135</v>
      </c>
      <c r="AD432" s="3">
        <f t="shared" si="115"/>
        <v>1.0701218754284242E-5</v>
      </c>
    </row>
    <row r="433" spans="3:30" x14ac:dyDescent="0.3">
      <c r="C433" s="22">
        <v>401</v>
      </c>
      <c r="D433" s="22">
        <v>2669</v>
      </c>
      <c r="F433" s="3">
        <f t="shared" si="102"/>
        <v>8589.1841294127244</v>
      </c>
      <c r="G433" s="3">
        <f t="shared" si="103"/>
        <v>1409.1768226701286</v>
      </c>
      <c r="H433" s="3">
        <f t="shared" si="104"/>
        <v>11.031158093042009</v>
      </c>
      <c r="I433" s="3">
        <f t="shared" si="105"/>
        <v>3.1316210545726637</v>
      </c>
      <c r="J433" s="3">
        <f t="shared" si="106"/>
        <v>-1.9216384843725141</v>
      </c>
      <c r="K433" s="3">
        <f t="shared" si="107"/>
        <v>2.9733932650420031E-7</v>
      </c>
      <c r="L433" s="3" cm="1">
        <f t="array" ref="L433">lmb_2(F433)</f>
        <v>8580.1263976875089</v>
      </c>
      <c r="M433" s="3" cm="1">
        <f t="array" ref="M433">lmb_2(G433)</f>
        <v>1401.9286343647686</v>
      </c>
      <c r="N433" s="3" cm="1">
        <f t="array" ref="N433">lmb_2(H433)</f>
        <v>8.8506654452906499</v>
      </c>
      <c r="O433" s="3" cm="1">
        <f t="array" ref="O433">lmb_2(I433)</f>
        <v>2.2991023084838722</v>
      </c>
      <c r="P433" s="3" cm="1">
        <f t="array" ref="P433">lmb_2(J433)</f>
        <v>0.12869232404171657</v>
      </c>
      <c r="R433" s="3">
        <f t="shared" si="108"/>
        <v>5.3280890924263136E-2</v>
      </c>
      <c r="S433" s="3">
        <f t="shared" si="109"/>
        <v>2.9638087013483747</v>
      </c>
      <c r="T433" s="3">
        <f t="shared" si="110"/>
        <v>125.70000861020877</v>
      </c>
      <c r="U433" s="3">
        <f t="shared" si="100"/>
        <v>1651.3136516731522</v>
      </c>
      <c r="V433" s="3">
        <f t="shared" si="101"/>
        <v>0</v>
      </c>
      <c r="W433" s="3">
        <f t="shared" si="111"/>
        <v>893.08116414650351</v>
      </c>
      <c r="Y433" s="3">
        <f t="shared" si="112"/>
        <v>2673.1119143194765</v>
      </c>
      <c r="AA433" s="3">
        <f t="shared" si="113"/>
        <v>16.907839370715514</v>
      </c>
      <c r="AB433" s="3">
        <f t="shared" si="114"/>
        <v>-4.1119143194764547</v>
      </c>
      <c r="AD433" s="3">
        <f t="shared" si="115"/>
        <v>1.3482838677276571E-6</v>
      </c>
    </row>
    <row r="434" spans="3:30" x14ac:dyDescent="0.3">
      <c r="C434" s="22">
        <v>402</v>
      </c>
      <c r="D434" s="22">
        <v>2759</v>
      </c>
      <c r="F434" s="3">
        <f t="shared" si="102"/>
        <v>8632.0703573954052</v>
      </c>
      <c r="G434" s="3">
        <f t="shared" si="103"/>
        <v>1416.2090992778546</v>
      </c>
      <c r="H434" s="3">
        <f t="shared" si="104"/>
        <v>11.089107545224254</v>
      </c>
      <c r="I434" s="3">
        <f t="shared" si="105"/>
        <v>3.1473384453149342</v>
      </c>
      <c r="J434" s="3">
        <f t="shared" si="106"/>
        <v>-1.9208171374254948</v>
      </c>
      <c r="K434" s="3">
        <f t="shared" si="107"/>
        <v>2.7996599115967349E-7</v>
      </c>
      <c r="L434" s="3" cm="1">
        <f t="array" ref="L434">lmb_2(F434)</f>
        <v>8623.0076427125841</v>
      </c>
      <c r="M434" s="3" cm="1">
        <f t="array" ref="M434">lmb_2(G434)</f>
        <v>1408.9559220219489</v>
      </c>
      <c r="N434" s="3" cm="1">
        <f t="array" ref="N434">lmb_2(H434)</f>
        <v>8.9027475973289931</v>
      </c>
      <c r="O434" s="3" cm="1">
        <f t="array" ref="O434">lmb_2(I434)</f>
        <v>2.3100634525305459</v>
      </c>
      <c r="P434" s="3" cm="1">
        <f t="array" ref="P434">lmb_2(J434)</f>
        <v>0.12878600335960882</v>
      </c>
      <c r="R434" s="3">
        <f t="shared" si="108"/>
        <v>5.2883871299665673E-2</v>
      </c>
      <c r="S434" s="3">
        <f t="shared" si="109"/>
        <v>2.9416458914334878</v>
      </c>
      <c r="T434" s="3">
        <f t="shared" si="110"/>
        <v>124.61740733625901</v>
      </c>
      <c r="U434" s="3">
        <f t="shared" si="100"/>
        <v>1642.1208094167489</v>
      </c>
      <c r="V434" s="3">
        <f t="shared" si="101"/>
        <v>0</v>
      </c>
      <c r="W434" s="3">
        <f t="shared" si="111"/>
        <v>895.18361093988631</v>
      </c>
      <c r="Y434" s="3">
        <f t="shared" si="112"/>
        <v>2664.9163577355935</v>
      </c>
      <c r="AA434" s="3">
        <f t="shared" si="113"/>
        <v>8851.7317417368231</v>
      </c>
      <c r="AB434" s="3">
        <f t="shared" si="114"/>
        <v>94.083642264406535</v>
      </c>
      <c r="AD434" s="3">
        <f t="shared" si="115"/>
        <v>3.0849732564055602E-5</v>
      </c>
    </row>
    <row r="435" spans="3:30" x14ac:dyDescent="0.3">
      <c r="C435" s="22">
        <v>403</v>
      </c>
      <c r="D435" s="22">
        <v>2671</v>
      </c>
      <c r="F435" s="3">
        <f t="shared" si="102"/>
        <v>8675.0634003917403</v>
      </c>
      <c r="G435" s="3">
        <f t="shared" si="103"/>
        <v>1423.2588908958123</v>
      </c>
      <c r="H435" s="3">
        <f t="shared" si="104"/>
        <v>11.147201329790517</v>
      </c>
      <c r="I435" s="3">
        <f t="shared" si="105"/>
        <v>3.1630949827340236</v>
      </c>
      <c r="J435" s="3">
        <f t="shared" si="106"/>
        <v>-1.9199937447824682</v>
      </c>
      <c r="K435" s="3">
        <f t="shared" si="107"/>
        <v>2.6360776802563701E-7</v>
      </c>
      <c r="L435" s="3" cm="1">
        <f t="array" ref="L435">lmb_2(F435)</f>
        <v>8665.9957151380095</v>
      </c>
      <c r="M435" s="3" cm="1">
        <f t="array" ref="M435">lmb_2(G435)</f>
        <v>1416.0007371132865</v>
      </c>
      <c r="N435" s="3" cm="1">
        <f t="array" ref="N435">lmb_2(H435)</f>
        <v>8.9549903696899307</v>
      </c>
      <c r="O435" s="3" cm="1">
        <f t="array" ref="O435">lmb_2(I435)</f>
        <v>2.3210676911976265</v>
      </c>
      <c r="P435" s="3" cm="1">
        <f t="array" ref="P435">lmb_2(J435)</f>
        <v>0.12887997663370329</v>
      </c>
      <c r="R435" s="3">
        <f t="shared" si="108"/>
        <v>5.24907870464651E-2</v>
      </c>
      <c r="S435" s="3">
        <f t="shared" si="109"/>
        <v>2.919703647379472</v>
      </c>
      <c r="T435" s="3">
        <f t="shared" si="110"/>
        <v>123.5468019025308</v>
      </c>
      <c r="U435" s="3">
        <f t="shared" si="100"/>
        <v>1632.9722027490343</v>
      </c>
      <c r="V435" s="3">
        <f t="shared" si="101"/>
        <v>0</v>
      </c>
      <c r="W435" s="3">
        <f t="shared" si="111"/>
        <v>897.2860577332691</v>
      </c>
      <c r="Y435" s="3">
        <f t="shared" si="112"/>
        <v>2656.7772570828679</v>
      </c>
      <c r="AA435" s="3">
        <f t="shared" si="113"/>
        <v>202.28641608683157</v>
      </c>
      <c r="AB435" s="3">
        <f t="shared" si="114"/>
        <v>14.222742917132109</v>
      </c>
      <c r="AD435" s="3">
        <f t="shared" si="115"/>
        <v>4.6635929983211863E-6</v>
      </c>
    </row>
    <row r="436" spans="3:30" x14ac:dyDescent="0.3">
      <c r="C436" s="22">
        <v>404</v>
      </c>
      <c r="D436" s="22">
        <v>2692</v>
      </c>
      <c r="F436" s="3">
        <f t="shared" si="102"/>
        <v>8718.1632584017279</v>
      </c>
      <c r="G436" s="3">
        <f t="shared" si="103"/>
        <v>1430.3261975240007</v>
      </c>
      <c r="H436" s="3">
        <f t="shared" si="104"/>
        <v>11.205439446740796</v>
      </c>
      <c r="I436" s="3">
        <f t="shared" si="105"/>
        <v>3.1788906668299304</v>
      </c>
      <c r="J436" s="3">
        <f t="shared" si="106"/>
        <v>-1.9191683064434339</v>
      </c>
      <c r="K436" s="3">
        <f t="shared" si="107"/>
        <v>2.4820534478356066E-7</v>
      </c>
      <c r="L436" s="3" cm="1">
        <f t="array" ref="L436">lmb_2(F436)</f>
        <v>8709.0906149023431</v>
      </c>
      <c r="M436" s="3" cm="1">
        <f t="array" ref="M436">lmb_2(G436)</f>
        <v>1423.063079577028</v>
      </c>
      <c r="N436" s="3" cm="1">
        <f t="array" ref="N436">lmb_2(H436)</f>
        <v>9.0073936860011816</v>
      </c>
      <c r="O436" s="3" cm="1">
        <f t="array" ref="O436">lmb_2(I436)</f>
        <v>2.3321150599553486</v>
      </c>
      <c r="P436" s="3" cm="1">
        <f t="array" ref="P436">lmb_2(J436)</f>
        <v>0.12897424434571989</v>
      </c>
      <c r="R436" s="3">
        <f t="shared" si="108"/>
        <v>5.2101589517274227E-2</v>
      </c>
      <c r="S436" s="3">
        <f t="shared" si="109"/>
        <v>2.8979792306299963</v>
      </c>
      <c r="T436" s="3">
        <f t="shared" si="110"/>
        <v>122.48803407145684</v>
      </c>
      <c r="U436" s="3">
        <f t="shared" si="100"/>
        <v>1623.867844315909</v>
      </c>
      <c r="V436" s="3">
        <f t="shared" si="101"/>
        <v>0</v>
      </c>
      <c r="W436" s="3">
        <f t="shared" si="111"/>
        <v>899.3885045266519</v>
      </c>
      <c r="Y436" s="3">
        <f t="shared" si="112"/>
        <v>2648.6944639823701</v>
      </c>
      <c r="AA436" s="3">
        <f t="shared" si="113"/>
        <v>1875.3694497742447</v>
      </c>
      <c r="AB436" s="3">
        <f t="shared" si="114"/>
        <v>43.305536017629947</v>
      </c>
      <c r="AD436" s="3">
        <f t="shared" si="115"/>
        <v>1.4199750057852293E-5</v>
      </c>
    </row>
    <row r="437" spans="3:30" x14ac:dyDescent="0.3">
      <c r="C437" s="22">
        <v>405</v>
      </c>
      <c r="D437" s="22">
        <v>2663</v>
      </c>
      <c r="F437" s="3">
        <f t="shared" si="102"/>
        <v>8761.3699314253736</v>
      </c>
      <c r="G437" s="3">
        <f t="shared" si="103"/>
        <v>1437.4110191624197</v>
      </c>
      <c r="H437" s="3">
        <f t="shared" si="104"/>
        <v>11.263821896075088</v>
      </c>
      <c r="I437" s="3">
        <f t="shared" si="105"/>
        <v>3.1947254976026538</v>
      </c>
      <c r="J437" s="3">
        <f t="shared" si="106"/>
        <v>-1.9183408224083922</v>
      </c>
      <c r="K437" s="3">
        <f t="shared" si="107"/>
        <v>2.3370287469349076E-7</v>
      </c>
      <c r="L437" s="3" cm="1">
        <f t="array" ref="L437">lmb_2(F437)</f>
        <v>8752.2923419446088</v>
      </c>
      <c r="M437" s="3" cm="1">
        <f t="array" ref="M437">lmb_2(G437)</f>
        <v>1430.1429493518804</v>
      </c>
      <c r="N437" s="3" cm="1">
        <f t="array" ref="N437">lmb_2(H437)</f>
        <v>9.0599574702627077</v>
      </c>
      <c r="O437" s="3" cm="1">
        <f t="array" ref="O437">lmb_2(I437)</f>
        <v>2.3432055938181593</v>
      </c>
      <c r="P437" s="3" cm="1">
        <f t="array" ref="P437">lmb_2(J437)</f>
        <v>0.12906880697894041</v>
      </c>
      <c r="R437" s="3">
        <f t="shared" si="108"/>
        <v>5.1716230784654031E-2</v>
      </c>
      <c r="S437" s="3">
        <f t="shared" si="109"/>
        <v>2.8764699433492531</v>
      </c>
      <c r="T437" s="3">
        <f t="shared" si="110"/>
        <v>121.44094795595161</v>
      </c>
      <c r="U437" s="3">
        <f t="shared" si="100"/>
        <v>1614.8077416588633</v>
      </c>
      <c r="V437" s="3">
        <f t="shared" si="101"/>
        <v>0</v>
      </c>
      <c r="W437" s="3">
        <f t="shared" si="111"/>
        <v>901.4909513200347</v>
      </c>
      <c r="Y437" s="3">
        <f t="shared" si="112"/>
        <v>2640.6678273426865</v>
      </c>
      <c r="AA437" s="3">
        <f t="shared" si="113"/>
        <v>498.72593559606293</v>
      </c>
      <c r="AB437" s="3">
        <f t="shared" si="114"/>
        <v>22.332172657313549</v>
      </c>
      <c r="AD437" s="3">
        <f t="shared" si="115"/>
        <v>7.3226496920291568E-6</v>
      </c>
    </row>
    <row r="438" spans="3:30" x14ac:dyDescent="0.3">
      <c r="C438" s="22">
        <v>406</v>
      </c>
      <c r="D438" s="22">
        <v>2667</v>
      </c>
      <c r="F438" s="3">
        <f t="shared" si="102"/>
        <v>8804.6834194626754</v>
      </c>
      <c r="G438" s="3">
        <f t="shared" si="103"/>
        <v>1444.5133558110704</v>
      </c>
      <c r="H438" s="3">
        <f t="shared" si="104"/>
        <v>11.322348677793396</v>
      </c>
      <c r="I438" s="3">
        <f t="shared" si="105"/>
        <v>3.2105994750521956</v>
      </c>
      <c r="J438" s="3">
        <f t="shared" si="106"/>
        <v>-1.917511292677343</v>
      </c>
      <c r="K438" s="3">
        <f t="shared" si="107"/>
        <v>2.2004777410264246E-7</v>
      </c>
      <c r="L438" s="3" cm="1">
        <f t="array" ref="L438">lmb_2(F438)</f>
        <v>8795.6008962042724</v>
      </c>
      <c r="M438" s="3" cm="1">
        <f t="array" ref="M438">lmb_2(G438)</f>
        <v>1437.2403463770063</v>
      </c>
      <c r="N438" s="3" cm="1">
        <f t="array" ref="N438">lmb_2(H438)</f>
        <v>9.1126816468469318</v>
      </c>
      <c r="O438" s="3" cm="1">
        <f t="array" ref="O438">lmb_2(I438)</f>
        <v>2.3543393273472146</v>
      </c>
      <c r="P438" s="3" cm="1">
        <f t="array" ref="P438">lmb_2(J438)</f>
        <v>0.12916366501821097</v>
      </c>
      <c r="R438" s="3">
        <f t="shared" si="108"/>
        <v>5.1334663628712293E-2</v>
      </c>
      <c r="S438" s="3">
        <f t="shared" si="109"/>
        <v>2.8551731277170149</v>
      </c>
      <c r="T438" s="3">
        <f t="shared" si="110"/>
        <v>120.40538998202555</v>
      </c>
      <c r="U438" s="3">
        <f t="shared" si="100"/>
        <v>1605.7918973094349</v>
      </c>
      <c r="V438" s="3">
        <f t="shared" si="101"/>
        <v>0</v>
      </c>
      <c r="W438" s="3">
        <f t="shared" si="111"/>
        <v>903.59339811341749</v>
      </c>
      <c r="Y438" s="3">
        <f t="shared" si="112"/>
        <v>2632.6971934162716</v>
      </c>
      <c r="AA438" s="3">
        <f t="shared" si="113"/>
        <v>1176.6825395206804</v>
      </c>
      <c r="AB438" s="3">
        <f t="shared" si="114"/>
        <v>34.302806583728398</v>
      </c>
      <c r="AD438" s="3">
        <f t="shared" si="115"/>
        <v>1.1247783183505581E-5</v>
      </c>
    </row>
    <row r="439" spans="3:30" x14ac:dyDescent="0.3">
      <c r="C439" s="22">
        <v>407</v>
      </c>
      <c r="D439" s="22">
        <v>2673</v>
      </c>
      <c r="F439" s="3">
        <f t="shared" si="102"/>
        <v>8848.1037225136279</v>
      </c>
      <c r="G439" s="3">
        <f t="shared" si="103"/>
        <v>1451.6332074699515</v>
      </c>
      <c r="H439" s="3">
        <f t="shared" si="104"/>
        <v>11.381019791895721</v>
      </c>
      <c r="I439" s="3">
        <f t="shared" si="105"/>
        <v>3.2265125991785539</v>
      </c>
      <c r="J439" s="3">
        <f t="shared" si="106"/>
        <v>-1.9166797172502861</v>
      </c>
      <c r="K439" s="3">
        <f t="shared" si="107"/>
        <v>2.0719053178542786E-7</v>
      </c>
      <c r="L439" s="3" cm="1">
        <f t="array" ref="L439">lmb_2(F439)</f>
        <v>8839.0162776212455</v>
      </c>
      <c r="M439" s="3" cm="1">
        <f t="array" ref="M439">lmb_2(G439)</f>
        <v>1444.355270592017</v>
      </c>
      <c r="N439" s="3" cm="1">
        <f t="array" ref="N439">lmb_2(H439)</f>
        <v>9.1655661404988926</v>
      </c>
      <c r="O439" s="3" cm="1">
        <f t="array" ref="O439">lmb_2(I439)</f>
        <v>2.3655162946528914</v>
      </c>
      <c r="P439" s="3" cm="1">
        <f t="array" ref="P439">lmb_2(J439)</f>
        <v>0.12925881894994512</v>
      </c>
      <c r="R439" s="3">
        <f t="shared" si="108"/>
        <v>5.0956841524945659E-2</v>
      </c>
      <c r="S439" s="3">
        <f t="shared" si="109"/>
        <v>2.8340861652376232</v>
      </c>
      <c r="T439" s="3">
        <f t="shared" si="110"/>
        <v>119.3812088519971</v>
      </c>
      <c r="U439" s="3">
        <f t="shared" si="100"/>
        <v>1596.8203088828018</v>
      </c>
      <c r="V439" s="3">
        <f t="shared" si="101"/>
        <v>0</v>
      </c>
      <c r="W439" s="3">
        <f t="shared" si="111"/>
        <v>905.69584490680029</v>
      </c>
      <c r="Y439" s="3">
        <f t="shared" si="112"/>
        <v>2624.7824058555525</v>
      </c>
      <c r="AA439" s="3">
        <f t="shared" si="113"/>
        <v>2324.9363850786581</v>
      </c>
      <c r="AB439" s="3">
        <f t="shared" si="114"/>
        <v>48.217594144447503</v>
      </c>
      <c r="AD439" s="3">
        <f t="shared" si="115"/>
        <v>1.5810398581912954E-5</v>
      </c>
    </row>
    <row r="440" spans="3:30" x14ac:dyDescent="0.3">
      <c r="C440" s="22">
        <v>408</v>
      </c>
      <c r="D440" s="22">
        <v>2590</v>
      </c>
      <c r="F440" s="3">
        <f t="shared" si="102"/>
        <v>8891.630840578242</v>
      </c>
      <c r="G440" s="3">
        <f t="shared" si="103"/>
        <v>1458.7705741390639</v>
      </c>
      <c r="H440" s="3">
        <f t="shared" si="104"/>
        <v>11.439835238382061</v>
      </c>
      <c r="I440" s="3">
        <f t="shared" si="105"/>
        <v>3.2424648699817316</v>
      </c>
      <c r="J440" s="3">
        <f t="shared" si="106"/>
        <v>-1.9158460961272219</v>
      </c>
      <c r="K440" s="3">
        <f t="shared" si="107"/>
        <v>1.9508452942361779E-7</v>
      </c>
      <c r="L440" s="3" cm="1">
        <f t="array" ref="L440">lmb_2(F440)</f>
        <v>8882.538486135898</v>
      </c>
      <c r="M440" s="3" cm="1">
        <f t="array" ref="M440">lmb_2(G440)</f>
        <v>1451.487721936971</v>
      </c>
      <c r="N440" s="3" cm="1">
        <f t="array" ref="N440">lmb_2(H440)</f>
        <v>9.2186108763363119</v>
      </c>
      <c r="O440" s="3" cm="1">
        <f t="array" ref="O440">lmb_2(I440)</f>
        <v>2.3767365293973266</v>
      </c>
      <c r="P440" s="3" cm="1">
        <f t="array" ref="P440">lmb_2(J440)</f>
        <v>0.12935426926212615</v>
      </c>
      <c r="R440" s="3">
        <f t="shared" si="108"/>
        <v>5.0582718632319709E-2</v>
      </c>
      <c r="S440" s="3">
        <f t="shared" si="109"/>
        <v>2.8132064760625686</v>
      </c>
      <c r="T440" s="3">
        <f t="shared" si="110"/>
        <v>118.36825550829403</v>
      </c>
      <c r="U440" s="3">
        <f t="shared" si="100"/>
        <v>1587.8929691704814</v>
      </c>
      <c r="V440" s="3">
        <f t="shared" si="101"/>
        <v>0</v>
      </c>
      <c r="W440" s="3">
        <f t="shared" si="111"/>
        <v>907.79829170018309</v>
      </c>
      <c r="Y440" s="3">
        <f t="shared" si="112"/>
        <v>2616.9233057687379</v>
      </c>
      <c r="AA440" s="3">
        <f t="shared" si="113"/>
        <v>724.86439351695651</v>
      </c>
      <c r="AB440" s="3">
        <f t="shared" si="114"/>
        <v>-26.923305768737919</v>
      </c>
      <c r="AD440" s="3">
        <f t="shared" si="115"/>
        <v>8.8280679054884095E-6</v>
      </c>
    </row>
    <row r="441" spans="3:30" x14ac:dyDescent="0.3">
      <c r="C441" s="22">
        <v>409</v>
      </c>
      <c r="D441" s="22">
        <v>2743</v>
      </c>
      <c r="F441" s="3">
        <f t="shared" si="102"/>
        <v>8935.2647736565104</v>
      </c>
      <c r="G441" s="3">
        <f t="shared" si="103"/>
        <v>1465.9254558184068</v>
      </c>
      <c r="H441" s="3">
        <f t="shared" si="104"/>
        <v>11.498795017252418</v>
      </c>
      <c r="I441" s="3">
        <f t="shared" si="105"/>
        <v>3.2584562874617249</v>
      </c>
      <c r="J441" s="3">
        <f t="shared" si="106"/>
        <v>-1.91501042930815</v>
      </c>
      <c r="K441" s="3">
        <f t="shared" si="107"/>
        <v>1.8368587257572235E-7</v>
      </c>
      <c r="L441" s="3" cm="1">
        <f t="array" ref="L441">lmb_2(F441)</f>
        <v>8926.167521689018</v>
      </c>
      <c r="M441" s="3" cm="1">
        <f t="array" ref="M441">lmb_2(G441)</f>
        <v>1458.6377003523669</v>
      </c>
      <c r="N441" s="3" cm="1">
        <f t="array" ref="N441">lmb_2(H441)</f>
        <v>9.2718157798496179</v>
      </c>
      <c r="O441" s="3" cm="1">
        <f t="array" ref="O441">lmb_2(I441)</f>
        <v>2.3880000647969628</v>
      </c>
      <c r="P441" s="3" cm="1">
        <f t="array" ref="P441">lmb_2(J441)</f>
        <v>0.12945001644431026</v>
      </c>
      <c r="R441" s="3">
        <f t="shared" si="108"/>
        <v>5.0212249781582556E-2</v>
      </c>
      <c r="S441" s="3">
        <f t="shared" si="109"/>
        <v>2.7925315183263888</v>
      </c>
      <c r="T441" s="3">
        <f t="shared" si="110"/>
        <v>117.36638309783494</v>
      </c>
      <c r="U441" s="3">
        <f t="shared" si="100"/>
        <v>1579.0098662321604</v>
      </c>
      <c r="V441" s="3">
        <f t="shared" si="101"/>
        <v>0</v>
      </c>
      <c r="W441" s="3">
        <f t="shared" si="111"/>
        <v>909.90073849356588</v>
      </c>
      <c r="Y441" s="3">
        <f t="shared" si="112"/>
        <v>2609.1197317753554</v>
      </c>
      <c r="AA441" s="3">
        <f t="shared" si="113"/>
        <v>17923.926219902787</v>
      </c>
      <c r="AB441" s="3">
        <f t="shared" si="114"/>
        <v>133.88026822464462</v>
      </c>
      <c r="AD441" s="3">
        <f t="shared" si="115"/>
        <v>4.389892196910442E-5</v>
      </c>
    </row>
    <row r="442" spans="3:30" x14ac:dyDescent="0.3">
      <c r="C442" s="22">
        <v>410</v>
      </c>
      <c r="D442" s="22">
        <v>2633</v>
      </c>
      <c r="F442" s="3">
        <f t="shared" si="102"/>
        <v>8979.0055217484296</v>
      </c>
      <c r="G442" s="3">
        <f t="shared" si="103"/>
        <v>1473.0978525079809</v>
      </c>
      <c r="H442" s="3">
        <f t="shared" si="104"/>
        <v>11.557899128506788</v>
      </c>
      <c r="I442" s="3">
        <f t="shared" si="105"/>
        <v>3.2744868516185379</v>
      </c>
      <c r="J442" s="3">
        <f t="shared" si="106"/>
        <v>-1.9141727167930707</v>
      </c>
      <c r="K442" s="3">
        <f t="shared" si="107"/>
        <v>1.7295323152272337E-7</v>
      </c>
      <c r="L442" s="3" cm="1">
        <f t="array" ref="L442">lmb_2(F442)</f>
        <v>8969.9033842218341</v>
      </c>
      <c r="M442" s="3" cm="1">
        <f t="array" ref="M442">lmb_2(G442)</f>
        <v>1465.8052057791424</v>
      </c>
      <c r="N442" s="3" cm="1">
        <f t="array" ref="N442">lmb_2(H442)</f>
        <v>9.3251807769018829</v>
      </c>
      <c r="O442" s="3" cm="1">
        <f t="array" ref="O442">lmb_2(I442)</f>
        <v>2.3993069336251303</v>
      </c>
      <c r="P442" s="3" cm="1">
        <f t="array" ref="P442">lmb_2(J442)</f>
        <v>0.12954606098762911</v>
      </c>
      <c r="R442" s="3">
        <f t="shared" si="108"/>
        <v>4.9845390463805615E-2</v>
      </c>
      <c r="S442" s="3">
        <f t="shared" si="109"/>
        <v>2.7720587874955771</v>
      </c>
      <c r="T442" s="3">
        <f t="shared" si="110"/>
        <v>116.37544693698385</v>
      </c>
      <c r="U442" s="3">
        <f t="shared" si="100"/>
        <v>1570.1709834866126</v>
      </c>
      <c r="V442" s="3">
        <f t="shared" si="101"/>
        <v>0</v>
      </c>
      <c r="W442" s="3">
        <f t="shared" si="111"/>
        <v>912.00318528694868</v>
      </c>
      <c r="Y442" s="3">
        <f t="shared" si="112"/>
        <v>2601.3715200614579</v>
      </c>
      <c r="AA442" s="3">
        <f t="shared" si="113"/>
        <v>1000.3607432227609</v>
      </c>
      <c r="AB442" s="3">
        <f t="shared" si="114"/>
        <v>31.628479938542114</v>
      </c>
      <c r="AD442" s="3">
        <f t="shared" si="115"/>
        <v>1.0370879825947783E-5</v>
      </c>
    </row>
    <row r="443" spans="3:30" x14ac:dyDescent="0.3">
      <c r="C443" s="22">
        <v>411</v>
      </c>
      <c r="D443" s="22">
        <v>2705</v>
      </c>
      <c r="F443" s="3">
        <f t="shared" si="102"/>
        <v>9022.8530848540086</v>
      </c>
      <c r="G443" s="3">
        <f t="shared" si="103"/>
        <v>1480.287764207786</v>
      </c>
      <c r="H443" s="3">
        <f t="shared" si="104"/>
        <v>11.617147572145178</v>
      </c>
      <c r="I443" s="3">
        <f t="shared" si="105"/>
        <v>3.2905565624521675</v>
      </c>
      <c r="J443" s="3">
        <f t="shared" si="106"/>
        <v>-1.9133329585819838</v>
      </c>
      <c r="K443" s="3">
        <f t="shared" si="107"/>
        <v>1.6284769141307557E-7</v>
      </c>
      <c r="L443" s="3" cm="1">
        <f t="array" ref="L443">lmb_2(F443)</f>
        <v>9013.7460736760167</v>
      </c>
      <c r="M443" s="3" cm="1">
        <f t="array" ref="M443">lmb_2(G443)</f>
        <v>1472.9902381586671</v>
      </c>
      <c r="N443" s="3" cm="1">
        <f t="array" ref="N443">lmb_2(H443)</f>
        <v>9.3787057937287095</v>
      </c>
      <c r="O443" s="3" cm="1">
        <f t="array" ref="O443">lmb_2(I443)</f>
        <v>2.4106571682146214</v>
      </c>
      <c r="P443" s="3" cm="1">
        <f t="array" ref="P443">lmb_2(J443)</f>
        <v>0.12964240338479252</v>
      </c>
      <c r="R443" s="3">
        <f t="shared" si="108"/>
        <v>4.9482096819147621E-2</v>
      </c>
      <c r="S443" s="3">
        <f t="shared" si="109"/>
        <v>2.7517858157302233</v>
      </c>
      <c r="T443" s="3">
        <f t="shared" si="110"/>
        <v>115.39530447706839</v>
      </c>
      <c r="U443" s="3">
        <f t="shared" si="100"/>
        <v>1561.3762998017421</v>
      </c>
      <c r="V443" s="3">
        <f t="shared" si="101"/>
        <v>0</v>
      </c>
      <c r="W443" s="3">
        <f t="shared" si="111"/>
        <v>914.10563208033147</v>
      </c>
      <c r="Y443" s="3">
        <f t="shared" si="112"/>
        <v>2593.6785044345393</v>
      </c>
      <c r="AA443" s="3">
        <f t="shared" si="113"/>
        <v>12392.475374930895</v>
      </c>
      <c r="AB443" s="3">
        <f t="shared" si="114"/>
        <v>111.32149556546074</v>
      </c>
      <c r="AD443" s="3">
        <f t="shared" si="115"/>
        <v>3.6501970843919981E-5</v>
      </c>
    </row>
    <row r="444" spans="3:30" x14ac:dyDescent="0.3">
      <c r="C444" s="22">
        <v>412</v>
      </c>
      <c r="D444" s="22">
        <v>2587</v>
      </c>
      <c r="F444" s="3">
        <f t="shared" si="102"/>
        <v>9066.8074629732437</v>
      </c>
      <c r="G444" s="3">
        <f t="shared" si="103"/>
        <v>1487.4951909178219</v>
      </c>
      <c r="H444" s="3">
        <f t="shared" si="104"/>
        <v>11.676540348167581</v>
      </c>
      <c r="I444" s="3">
        <f t="shared" si="105"/>
        <v>3.3066654199626146</v>
      </c>
      <c r="J444" s="3">
        <f t="shared" si="106"/>
        <v>-1.9124911546748893</v>
      </c>
      <c r="K444" s="3">
        <f t="shared" si="107"/>
        <v>1.5333261116363735E-7</v>
      </c>
      <c r="L444" s="3" cm="1">
        <f t="array" ref="L444">lmb_2(F444)</f>
        <v>9057.6955899936474</v>
      </c>
      <c r="M444" s="3" cm="1">
        <f t="array" ref="M444">lmb_2(G444)</f>
        <v>1480.1927974327386</v>
      </c>
      <c r="N444" s="3" cm="1">
        <f t="array" ref="N444">lmb_2(H444)</f>
        <v>9.4323907569380303</v>
      </c>
      <c r="O444" s="3" cm="1">
        <f t="array" ref="O444">lmb_2(I444)</f>
        <v>2.4220508004603052</v>
      </c>
      <c r="P444" s="3" cm="1">
        <f t="array" ref="P444">lmb_2(J444)</f>
        <v>0.12973904413009138</v>
      </c>
      <c r="R444" s="3">
        <f t="shared" si="108"/>
        <v>4.9122325625836689E-2</v>
      </c>
      <c r="S444" s="3">
        <f t="shared" si="109"/>
        <v>2.7317101712581033</v>
      </c>
      <c r="T444" s="3">
        <f t="shared" si="110"/>
        <v>114.42581527045461</v>
      </c>
      <c r="U444" s="3">
        <f t="shared" si="100"/>
        <v>1552.6257895837045</v>
      </c>
      <c r="V444" s="3">
        <f t="shared" si="101"/>
        <v>0</v>
      </c>
      <c r="W444" s="3">
        <f t="shared" si="111"/>
        <v>916.20807887371427</v>
      </c>
      <c r="Y444" s="3">
        <f t="shared" si="112"/>
        <v>2586.0405163780902</v>
      </c>
      <c r="AA444" s="3">
        <f t="shared" si="113"/>
        <v>0.92060882071322425</v>
      </c>
      <c r="AB444" s="3">
        <f t="shared" si="114"/>
        <v>0.95948362190983971</v>
      </c>
      <c r="AD444" s="3">
        <f t="shared" si="115"/>
        <v>3.1461168406219446E-7</v>
      </c>
    </row>
    <row r="445" spans="3:30" x14ac:dyDescent="0.3">
      <c r="C445" s="22">
        <v>413</v>
      </c>
      <c r="D445" s="22">
        <v>2587</v>
      </c>
      <c r="F445" s="3">
        <f t="shared" si="102"/>
        <v>9110.8686561061331</v>
      </c>
      <c r="G445" s="3">
        <f t="shared" si="103"/>
        <v>1494.7201326380889</v>
      </c>
      <c r="H445" s="3">
        <f t="shared" si="104"/>
        <v>11.736077456573998</v>
      </c>
      <c r="I445" s="3">
        <f t="shared" si="105"/>
        <v>3.3228134241498797</v>
      </c>
      <c r="J445" s="3">
        <f t="shared" si="106"/>
        <v>-1.9116473050717875</v>
      </c>
      <c r="K445" s="3">
        <f t="shared" si="107"/>
        <v>1.4437349060492385E-7</v>
      </c>
      <c r="L445" s="3" cm="1">
        <f t="array" ref="L445">lmb_2(F445)</f>
        <v>9101.7519331172334</v>
      </c>
      <c r="M445" s="3" cm="1">
        <f t="array" ref="M445">lmb_2(G445)</f>
        <v>1487.4128835435804</v>
      </c>
      <c r="N445" s="3" cm="1">
        <f t="array" ref="N445">lmb_2(H445)</f>
        <v>9.4862355935098854</v>
      </c>
      <c r="O445" s="3" cm="1">
        <f t="array" ref="O445">lmb_2(I445)</f>
        <v>2.4334878618217419</v>
      </c>
      <c r="P445" s="3" cm="1">
        <f t="array" ref="P445">lmb_2(J445)</f>
        <v>0.12983598371940036</v>
      </c>
      <c r="R445" s="3">
        <f t="shared" si="108"/>
        <v>4.8766034289365476E-2</v>
      </c>
      <c r="S445" s="3">
        <f t="shared" si="109"/>
        <v>2.711829457760937</v>
      </c>
      <c r="T445" s="3">
        <f t="shared" si="110"/>
        <v>113.46684093716901</v>
      </c>
      <c r="U445" s="3">
        <f t="shared" si="100"/>
        <v>1543.9194228651345</v>
      </c>
      <c r="V445" s="3">
        <f t="shared" si="101"/>
        <v>0</v>
      </c>
      <c r="W445" s="3">
        <f t="shared" si="111"/>
        <v>918.31052566709707</v>
      </c>
      <c r="Y445" s="3">
        <f t="shared" si="112"/>
        <v>2578.4573851058244</v>
      </c>
      <c r="AA445" s="3">
        <f t="shared" si="113"/>
        <v>72.976269230190553</v>
      </c>
      <c r="AB445" s="3">
        <f t="shared" si="114"/>
        <v>8.5426148941755855</v>
      </c>
      <c r="AD445" s="3">
        <f t="shared" si="115"/>
        <v>2.8010967532741415E-6</v>
      </c>
    </row>
    <row r="446" spans="3:30" x14ac:dyDescent="0.3">
      <c r="C446" s="22">
        <v>414</v>
      </c>
      <c r="D446" s="22">
        <v>2661</v>
      </c>
      <c r="F446" s="3">
        <f t="shared" si="102"/>
        <v>9155.0366642526751</v>
      </c>
      <c r="G446" s="3">
        <f t="shared" si="103"/>
        <v>1501.9625893685866</v>
      </c>
      <c r="H446" s="3">
        <f t="shared" si="104"/>
        <v>11.795758897364433</v>
      </c>
      <c r="I446" s="3">
        <f t="shared" si="105"/>
        <v>3.3390005750139613</v>
      </c>
      <c r="J446" s="3">
        <f t="shared" si="106"/>
        <v>-1.910801409772678</v>
      </c>
      <c r="K446" s="3">
        <f t="shared" si="107"/>
        <v>1.3593784538897288E-7</v>
      </c>
      <c r="L446" s="3" cm="1">
        <f t="array" ref="L446">lmb_2(F446)</f>
        <v>9145.9151029896984</v>
      </c>
      <c r="M446" s="3" cm="1">
        <f t="array" ref="M446">lmb_2(G446)</f>
        <v>1494.6504964338353</v>
      </c>
      <c r="N446" s="3" cm="1">
        <f t="array" ref="N446">lmb_2(H446)</f>
        <v>9.5402402307961154</v>
      </c>
      <c r="O446" s="3" cm="1">
        <f t="array" ref="O446">lmb_2(I446)</f>
        <v>2.4449683833258185</v>
      </c>
      <c r="P446" s="3" cm="1">
        <f t="array" ref="P446">lmb_2(J446)</f>
        <v>0.12993322265018079</v>
      </c>
      <c r="R446" s="3">
        <f t="shared" si="108"/>
        <v>4.8413180831894921E-2</v>
      </c>
      <c r="S446" s="3">
        <f t="shared" si="109"/>
        <v>2.6921413137725678</v>
      </c>
      <c r="T446" s="3">
        <f t="shared" si="110"/>
        <v>112.51824513206044</v>
      </c>
      <c r="U446" s="3">
        <f t="shared" si="100"/>
        <v>1535.2571653924583</v>
      </c>
      <c r="V446" s="3">
        <f t="shared" si="101"/>
        <v>0</v>
      </c>
      <c r="W446" s="3">
        <f t="shared" si="111"/>
        <v>920.41297246047986</v>
      </c>
      <c r="Y446" s="3">
        <f t="shared" si="112"/>
        <v>2570.9289376155407</v>
      </c>
      <c r="AA446" s="3">
        <f t="shared" si="113"/>
        <v>8112.7962790651609</v>
      </c>
      <c r="AB446" s="3">
        <f t="shared" si="114"/>
        <v>90.07106238445931</v>
      </c>
      <c r="AD446" s="3">
        <f t="shared" si="115"/>
        <v>2.953402014892185E-5</v>
      </c>
    </row>
    <row r="447" spans="3:30" x14ac:dyDescent="0.3">
      <c r="C447" s="22">
        <v>415</v>
      </c>
      <c r="D447" s="22">
        <v>2556</v>
      </c>
      <c r="F447" s="3">
        <f t="shared" si="102"/>
        <v>9199.3114874128769</v>
      </c>
      <c r="G447" s="3">
        <f t="shared" si="103"/>
        <v>1509.2225611093154</v>
      </c>
      <c r="H447" s="3">
        <f t="shared" si="104"/>
        <v>11.855584670538882</v>
      </c>
      <c r="I447" s="3">
        <f t="shared" si="105"/>
        <v>3.3552268725548617</v>
      </c>
      <c r="J447" s="3">
        <f t="shared" si="106"/>
        <v>-1.909953468777561</v>
      </c>
      <c r="K447" s="3">
        <f t="shared" si="107"/>
        <v>1.2799508920625954E-7</v>
      </c>
      <c r="L447" s="3" cm="1">
        <f t="array" ref="L447">lmb_2(F447)</f>
        <v>9190.18509955439</v>
      </c>
      <c r="M447" s="3" cm="1">
        <f t="array" ref="M447">lmb_2(G447)</f>
        <v>1501.9056360465631</v>
      </c>
      <c r="N447" s="3" cm="1">
        <f t="array" ref="N447">lmb_2(H447)</f>
        <v>9.5944045965199916</v>
      </c>
      <c r="O447" s="3" cm="1">
        <f t="array" ref="O447">lmb_2(I447)</f>
        <v>2.4564923955693994</v>
      </c>
      <c r="P447" s="3" cm="1">
        <f t="array" ref="P447">lmb_2(J447)</f>
        <v>0.13003076142148332</v>
      </c>
      <c r="R447" s="3">
        <f t="shared" si="108"/>
        <v>4.8063723881862197E-2</v>
      </c>
      <c r="S447" s="3">
        <f t="shared" si="109"/>
        <v>2.6726434120887861</v>
      </c>
      <c r="T447" s="3">
        <f t="shared" si="110"/>
        <v>111.57989351249442</v>
      </c>
      <c r="U447" s="3">
        <f t="shared" si="100"/>
        <v>1526.6389787122882</v>
      </c>
      <c r="V447" s="3">
        <f t="shared" si="101"/>
        <v>0</v>
      </c>
      <c r="W447" s="3">
        <f t="shared" si="111"/>
        <v>922.51541925386266</v>
      </c>
      <c r="Y447" s="3">
        <f t="shared" si="112"/>
        <v>2563.4549987426108</v>
      </c>
      <c r="AA447" s="3">
        <f t="shared" si="113"/>
        <v>55.577006252328147</v>
      </c>
      <c r="AB447" s="3">
        <f t="shared" si="114"/>
        <v>-7.4549987426107691</v>
      </c>
      <c r="AD447" s="3">
        <f t="shared" si="115"/>
        <v>2.4444708127750725E-6</v>
      </c>
    </row>
    <row r="448" spans="3:30" x14ac:dyDescent="0.3">
      <c r="C448" s="22">
        <v>416</v>
      </c>
      <c r="D448" s="22">
        <v>2516</v>
      </c>
      <c r="F448" s="3">
        <f t="shared" si="102"/>
        <v>9243.693125586733</v>
      </c>
      <c r="G448" s="3">
        <f t="shared" si="103"/>
        <v>1516.5000478602753</v>
      </c>
      <c r="H448" s="3">
        <f t="shared" si="104"/>
        <v>11.915554776097345</v>
      </c>
      <c r="I448" s="3">
        <f t="shared" si="105"/>
        <v>3.3714923167725792</v>
      </c>
      <c r="J448" s="3">
        <f t="shared" si="106"/>
        <v>-1.9091034820864365</v>
      </c>
      <c r="K448" s="3">
        <f t="shared" si="107"/>
        <v>1.2051642288459638E-7</v>
      </c>
      <c r="L448" s="3" cm="1">
        <f t="array" ref="L448">lmb_2(F448)</f>
        <v>9234.5619227550487</v>
      </c>
      <c r="M448" s="3" cm="1">
        <f t="array" ref="M448">lmb_2(G448)</f>
        <v>1509.178302325236</v>
      </c>
      <c r="N448" s="3" cm="1">
        <f t="array" ref="N448">lmb_2(H448)</f>
        <v>9.6487286187758148</v>
      </c>
      <c r="O448" s="3" cm="1">
        <f t="array" ref="O448">lmb_2(I448)</f>
        <v>2.4680599287219853</v>
      </c>
      <c r="P448" s="3" cm="1">
        <f t="array" ref="P448">lmb_2(J448)</f>
        <v>0.13012860053395064</v>
      </c>
      <c r="R448" s="3">
        <f t="shared" si="108"/>
        <v>4.7717622663788477E-2</v>
      </c>
      <c r="S448" s="3">
        <f t="shared" si="109"/>
        <v>2.6533334591885516</v>
      </c>
      <c r="T448" s="3">
        <f t="shared" si="110"/>
        <v>110.65165370657044</v>
      </c>
      <c r="U448" s="3">
        <f t="shared" si="100"/>
        <v>1518.064820256913</v>
      </c>
      <c r="V448" s="3">
        <f t="shared" si="101"/>
        <v>0</v>
      </c>
      <c r="W448" s="3">
        <f t="shared" si="111"/>
        <v>924.61786604724557</v>
      </c>
      <c r="Y448" s="3">
        <f t="shared" si="112"/>
        <v>2556.0353912130977</v>
      </c>
      <c r="AA448" s="3">
        <f t="shared" si="113"/>
        <v>1602.8325495857791</v>
      </c>
      <c r="AB448" s="3">
        <f t="shared" si="114"/>
        <v>-40.035391213097682</v>
      </c>
      <c r="AD448" s="3">
        <f t="shared" si="115"/>
        <v>1.3127479786022884E-5</v>
      </c>
    </row>
    <row r="449" spans="3:30" x14ac:dyDescent="0.3">
      <c r="C449" s="22">
        <v>417</v>
      </c>
      <c r="D449" s="22">
        <v>2537</v>
      </c>
      <c r="F449" s="3">
        <f t="shared" si="102"/>
        <v>9288.1815787742416</v>
      </c>
      <c r="G449" s="3">
        <f t="shared" si="103"/>
        <v>1523.795049621466</v>
      </c>
      <c r="H449" s="3">
        <f t="shared" si="104"/>
        <v>11.975669214039828</v>
      </c>
      <c r="I449" s="3">
        <f t="shared" si="105"/>
        <v>3.3877969076671151</v>
      </c>
      <c r="J449" s="3">
        <f t="shared" si="106"/>
        <v>-1.9082514496993046</v>
      </c>
      <c r="K449" s="3">
        <f t="shared" si="107"/>
        <v>1.1347472996791011E-7</v>
      </c>
      <c r="L449" s="3" cm="1">
        <f t="array" ref="L449">lmb_2(F449)</f>
        <v>9279.0455725358261</v>
      </c>
      <c r="M449" s="3" cm="1">
        <f t="array" ref="M449">lmb_2(G449)</f>
        <v>1516.4684952137338</v>
      </c>
      <c r="N449" s="3" cm="1">
        <f t="array" ref="N449">lmb_2(H449)</f>
        <v>9.7032122260284535</v>
      </c>
      <c r="O449" s="3" cm="1">
        <f t="array" ref="O449">lmb_2(I449)</f>
        <v>2.4796710125283927</v>
      </c>
      <c r="P449" s="3" cm="1">
        <f t="array" ref="P449">lmb_2(J449)</f>
        <v>0.13022674048982069</v>
      </c>
      <c r="R449" s="3">
        <f t="shared" si="108"/>
        <v>4.7374836988281745E-2</v>
      </c>
      <c r="S449" s="3">
        <f t="shared" si="109"/>
        <v>2.6342091946663695</v>
      </c>
      <c r="T449" s="3">
        <f t="shared" si="110"/>
        <v>109.73339528185572</v>
      </c>
      <c r="U449" s="3">
        <f t="shared" si="100"/>
        <v>1509.5346434288501</v>
      </c>
      <c r="V449" s="3">
        <f t="shared" si="101"/>
        <v>0</v>
      </c>
      <c r="W449" s="3">
        <f t="shared" si="111"/>
        <v>926.72031284062837</v>
      </c>
      <c r="Y449" s="3">
        <f t="shared" si="112"/>
        <v>2548.6699356964637</v>
      </c>
      <c r="AA449" s="3">
        <f t="shared" si="113"/>
        <v>136.18739915959662</v>
      </c>
      <c r="AB449" s="3">
        <f t="shared" si="114"/>
        <v>-11.669935696463654</v>
      </c>
      <c r="AD449" s="3">
        <f t="shared" si="115"/>
        <v>3.8265354806722795E-6</v>
      </c>
    </row>
    <row r="450" spans="3:30" x14ac:dyDescent="0.3">
      <c r="C450" s="22">
        <v>418</v>
      </c>
      <c r="D450" s="22">
        <v>2592</v>
      </c>
      <c r="F450" s="3">
        <f t="shared" si="102"/>
        <v>9332.7768469754083</v>
      </c>
      <c r="G450" s="3">
        <f t="shared" si="103"/>
        <v>1531.1075663928875</v>
      </c>
      <c r="H450" s="3">
        <f t="shared" si="104"/>
        <v>12.035927984366323</v>
      </c>
      <c r="I450" s="3">
        <f t="shared" si="105"/>
        <v>3.4041406452384679</v>
      </c>
      <c r="J450" s="3">
        <f t="shared" si="106"/>
        <v>-1.9073973716161652</v>
      </c>
      <c r="K450" s="3">
        <f t="shared" si="107"/>
        <v>1.0684447839627926E-7</v>
      </c>
      <c r="L450" s="3" cm="1">
        <f t="array" ref="L450">lmb_2(F450)</f>
        <v>9323.6360488412847</v>
      </c>
      <c r="M450" s="3" cm="1">
        <f t="array" ref="M450">lmb_2(G450)</f>
        <v>1523.7762146563412</v>
      </c>
      <c r="N450" s="3" cm="1">
        <f t="array" ref="N450">lmb_2(H450)</f>
        <v>9.7578553471128053</v>
      </c>
      <c r="O450" s="3" cm="1">
        <f t="array" ref="O450">lmb_2(I450)</f>
        <v>2.4913256763114395</v>
      </c>
      <c r="P450" s="3" cm="1">
        <f t="array" ref="P450">lmb_2(J450)</f>
        <v>0.13032518179292893</v>
      </c>
      <c r="R450" s="3">
        <f t="shared" si="108"/>
        <v>4.7035327242230925E-2</v>
      </c>
      <c r="S450" s="3">
        <f t="shared" si="109"/>
        <v>2.615268390675574</v>
      </c>
      <c r="T450" s="3">
        <f t="shared" si="110"/>
        <v>108.82498971462746</v>
      </c>
      <c r="U450" s="3">
        <f t="shared" si="100"/>
        <v>1501.0483976844907</v>
      </c>
      <c r="V450" s="3">
        <f t="shared" si="101"/>
        <v>0</v>
      </c>
      <c r="W450" s="3">
        <f t="shared" si="111"/>
        <v>928.82275963401116</v>
      </c>
      <c r="Y450" s="3">
        <f t="shared" si="112"/>
        <v>2541.3584508578915</v>
      </c>
      <c r="AA450" s="3">
        <f t="shared" si="113"/>
        <v>2564.566499512589</v>
      </c>
      <c r="AB450" s="3">
        <f t="shared" si="114"/>
        <v>50.641549142108488</v>
      </c>
      <c r="AD450" s="3">
        <f t="shared" si="115"/>
        <v>1.6605205857921625E-5</v>
      </c>
    </row>
    <row r="451" spans="3:30" x14ac:dyDescent="0.3">
      <c r="C451" s="22">
        <v>419</v>
      </c>
      <c r="D451" s="22">
        <v>2555</v>
      </c>
      <c r="F451" s="3">
        <f t="shared" si="102"/>
        <v>9377.478930190231</v>
      </c>
      <c r="G451" s="3">
        <f t="shared" si="103"/>
        <v>1538.4375981745404</v>
      </c>
      <c r="H451" s="3">
        <f t="shared" si="104"/>
        <v>12.096331087076834</v>
      </c>
      <c r="I451" s="3">
        <f t="shared" si="105"/>
        <v>3.4205235294866383</v>
      </c>
      <c r="J451" s="3">
        <f t="shared" si="106"/>
        <v>-1.9065412478370181</v>
      </c>
      <c r="K451" s="3">
        <f t="shared" si="107"/>
        <v>1.0060162793074091E-7</v>
      </c>
      <c r="L451" s="3" cm="1">
        <f t="array" ref="L451">lmb_2(F451)</f>
        <v>9368.3333516163766</v>
      </c>
      <c r="M451" s="3" cm="1">
        <f t="array" ref="M451">lmb_2(G451)</f>
        <v>1531.1014605977437</v>
      </c>
      <c r="N451" s="3" cm="1">
        <f t="array" ref="N451">lmb_2(H451)</f>
        <v>9.8126579112332593</v>
      </c>
      <c r="O451" s="3" cm="1">
        <f t="array" ref="O451">lmb_2(I451)</f>
        <v>2.5030239489746462</v>
      </c>
      <c r="P451" s="3" cm="1">
        <f t="array" ref="P451">lmb_2(J451)</f>
        <v>0.13042392494871166</v>
      </c>
      <c r="R451" s="3">
        <f t="shared" si="108"/>
        <v>4.6699054379187296E-2</v>
      </c>
      <c r="S451" s="3">
        <f t="shared" si="109"/>
        <v>2.5965088513822798</v>
      </c>
      <c r="T451" s="3">
        <f t="shared" si="110"/>
        <v>107.92631035961482</v>
      </c>
      <c r="U451" s="3">
        <f t="shared" si="100"/>
        <v>1492.6060286168117</v>
      </c>
      <c r="V451" s="3">
        <f t="shared" si="101"/>
        <v>0</v>
      </c>
      <c r="W451" s="3">
        <f t="shared" si="111"/>
        <v>930.92520642739396</v>
      </c>
      <c r="Y451" s="3">
        <f t="shared" si="112"/>
        <v>2534.1007534101832</v>
      </c>
      <c r="AA451" s="3">
        <f t="shared" si="113"/>
        <v>436.77850802196963</v>
      </c>
      <c r="AB451" s="3">
        <f t="shared" si="114"/>
        <v>20.899246589816812</v>
      </c>
      <c r="AD451" s="3">
        <f t="shared" si="115"/>
        <v>6.8527977081730654E-6</v>
      </c>
    </row>
    <row r="452" spans="3:30" x14ac:dyDescent="0.3">
      <c r="C452" s="22">
        <v>420</v>
      </c>
      <c r="D452" s="22">
        <v>2618</v>
      </c>
      <c r="F452" s="3">
        <f t="shared" si="102"/>
        <v>9422.2878284187063</v>
      </c>
      <c r="G452" s="3">
        <f t="shared" si="103"/>
        <v>1545.7851449664238</v>
      </c>
      <c r="H452" s="3">
        <f t="shared" si="104"/>
        <v>12.156878522171359</v>
      </c>
      <c r="I452" s="3">
        <f t="shared" si="105"/>
        <v>3.4369455604116266</v>
      </c>
      <c r="J452" s="3">
        <f t="shared" si="106"/>
        <v>-1.9056830783618635</v>
      </c>
      <c r="K452" s="3">
        <f t="shared" si="107"/>
        <v>9.4723542987202872E-8</v>
      </c>
      <c r="L452" s="3" cm="1">
        <f t="array" ref="L452">lmb_2(F452)</f>
        <v>9413.1374808064447</v>
      </c>
      <c r="M452" s="3" cm="1">
        <f t="array" ref="M452">lmb_2(G452)</f>
        <v>1538.4442329830229</v>
      </c>
      <c r="N452" s="3" cm="1">
        <f t="array" ref="N452">lmb_2(H452)</f>
        <v>9.867619847963061</v>
      </c>
      <c r="O452" s="3" cm="1">
        <f t="array" ref="O452">lmb_2(I452)</f>
        <v>2.5147658590049482</v>
      </c>
      <c r="P452" s="3" cm="1">
        <f t="array" ref="P452">lmb_2(J452)</f>
        <v>0.13052297046420838</v>
      </c>
      <c r="R452" s="3">
        <f t="shared" si="108"/>
        <v>4.6365979909928738E-2</v>
      </c>
      <c r="S452" s="3">
        <f t="shared" si="109"/>
        <v>2.5779284124297956</v>
      </c>
      <c r="T452" s="3">
        <f t="shared" si="110"/>
        <v>107.03723242023466</v>
      </c>
      <c r="U452" s="3">
        <f t="shared" si="100"/>
        <v>1484.2074780371624</v>
      </c>
      <c r="V452" s="3">
        <f t="shared" si="101"/>
        <v>0</v>
      </c>
      <c r="W452" s="3">
        <f t="shared" si="111"/>
        <v>933.02765322077676</v>
      </c>
      <c r="Y452" s="3">
        <f t="shared" si="112"/>
        <v>2526.8966581652371</v>
      </c>
      <c r="AA452" s="3">
        <f t="shared" si="113"/>
        <v>8299.8188934616574</v>
      </c>
      <c r="AB452" s="3">
        <f t="shared" si="114"/>
        <v>91.103341834762887</v>
      </c>
      <c r="AD452" s="3">
        <f t="shared" si="115"/>
        <v>2.9872501357841664E-5</v>
      </c>
    </row>
    <row r="453" spans="3:30" x14ac:dyDescent="0.3">
      <c r="C453" s="22">
        <v>421</v>
      </c>
      <c r="D453" s="22">
        <v>2508</v>
      </c>
      <c r="F453" s="3">
        <f t="shared" si="102"/>
        <v>9467.2035416608396</v>
      </c>
      <c r="G453" s="3">
        <f t="shared" si="103"/>
        <v>1553.1502067685387</v>
      </c>
      <c r="H453" s="3">
        <f t="shared" si="104"/>
        <v>12.217570289649903</v>
      </c>
      <c r="I453" s="3">
        <f t="shared" si="105"/>
        <v>3.4534067380134315</v>
      </c>
      <c r="J453" s="3">
        <f t="shared" si="106"/>
        <v>-1.9048228631907014</v>
      </c>
      <c r="K453" s="3">
        <f t="shared" si="107"/>
        <v>8.9188910563411704E-8</v>
      </c>
      <c r="L453" s="3" cm="1">
        <f t="array" ref="L453">lmb_2(F453)</f>
        <v>9458.0484363572305</v>
      </c>
      <c r="M453" s="3" cm="1">
        <f t="array" ref="M453">lmb_2(G453)</f>
        <v>1545.8045317576541</v>
      </c>
      <c r="N453" s="3" cm="1">
        <f t="array" ref="N453">lmb_2(H453)</f>
        <v>9.9227410872436668</v>
      </c>
      <c r="O453" s="3" cm="1">
        <f t="array" ref="O453">lmb_2(I453)</f>
        <v>2.5265514344754125</v>
      </c>
      <c r="P453" s="3" cm="1">
        <f t="array" ref="P453">lmb_2(J453)</f>
        <v>0.13062231884806502</v>
      </c>
      <c r="R453" s="3">
        <f t="shared" si="108"/>
        <v>4.6036065893203103E-2</v>
      </c>
      <c r="S453" s="3">
        <f t="shared" si="109"/>
        <v>2.5595249404132332</v>
      </c>
      <c r="T453" s="3">
        <f t="shared" si="110"/>
        <v>106.15763291931209</v>
      </c>
      <c r="U453" s="3">
        <f t="shared" si="100"/>
        <v>1475.8526840561328</v>
      </c>
      <c r="V453" s="3">
        <f t="shared" si="101"/>
        <v>0</v>
      </c>
      <c r="W453" s="3">
        <f t="shared" si="111"/>
        <v>935.13010001415955</v>
      </c>
      <c r="Y453" s="3">
        <f t="shared" si="112"/>
        <v>2519.7459780850995</v>
      </c>
      <c r="AA453" s="3">
        <f t="shared" si="113"/>
        <v>137.96800117563825</v>
      </c>
      <c r="AB453" s="3">
        <f t="shared" si="114"/>
        <v>-11.745978085099523</v>
      </c>
      <c r="AD453" s="3">
        <f t="shared" si="115"/>
        <v>3.8514695424973499E-6</v>
      </c>
    </row>
    <row r="454" spans="3:30" x14ac:dyDescent="0.3">
      <c r="C454" s="22">
        <v>422</v>
      </c>
      <c r="D454" s="22">
        <v>2509</v>
      </c>
      <c r="F454" s="3">
        <f t="shared" si="102"/>
        <v>9512.2260699166291</v>
      </c>
      <c r="G454" s="3">
        <f t="shared" si="103"/>
        <v>1560.5327835808835</v>
      </c>
      <c r="H454" s="3">
        <f t="shared" si="104"/>
        <v>12.278406389512462</v>
      </c>
      <c r="I454" s="3">
        <f t="shared" si="105"/>
        <v>3.4699070622920556</v>
      </c>
      <c r="J454" s="3">
        <f t="shared" si="106"/>
        <v>-1.9039606023235318</v>
      </c>
      <c r="K454" s="3">
        <f t="shared" si="107"/>
        <v>8.3977662961392021E-8</v>
      </c>
      <c r="L454" s="3" cm="1">
        <f t="array" ref="L454">lmb_2(F454)</f>
        <v>9503.0662182148571</v>
      </c>
      <c r="M454" s="3" cm="1">
        <f t="array" ref="M454">lmb_2(G454)</f>
        <v>1553.1823568675002</v>
      </c>
      <c r="N454" s="3" cm="1">
        <f t="array" ref="N454">lmb_2(H454)</f>
        <v>9.9780215593840254</v>
      </c>
      <c r="O454" s="3" cm="1">
        <f t="array" ref="O454">lmb_2(I454)</f>
        <v>2.5383807030479781</v>
      </c>
      <c r="P454" s="3" cm="1">
        <f t="array" ref="P454">lmb_2(J454)</f>
        <v>0.13072197061053645</v>
      </c>
      <c r="R454" s="3">
        <f t="shared" si="108"/>
        <v>4.57092749266471E-2</v>
      </c>
      <c r="S454" s="3">
        <f t="shared" si="109"/>
        <v>2.5412963323641442</v>
      </c>
      <c r="T454" s="3">
        <f t="shared" si="110"/>
        <v>105.28739067027939</v>
      </c>
      <c r="U454" s="3">
        <f t="shared" si="100"/>
        <v>1467.5415811634762</v>
      </c>
      <c r="V454" s="3">
        <f t="shared" si="101"/>
        <v>0</v>
      </c>
      <c r="W454" s="3">
        <f t="shared" si="111"/>
        <v>937.23254680754235</v>
      </c>
      <c r="Y454" s="3">
        <f t="shared" si="112"/>
        <v>2512.6485243325665</v>
      </c>
      <c r="AA454" s="3">
        <f t="shared" si="113"/>
        <v>13.311729805329582</v>
      </c>
      <c r="AB454" s="3">
        <f t="shared" si="114"/>
        <v>-3.6485243325664669</v>
      </c>
      <c r="AD454" s="3">
        <f t="shared" si="115"/>
        <v>1.1963397377495752E-6</v>
      </c>
    </row>
    <row r="455" spans="3:30" x14ac:dyDescent="0.3">
      <c r="C455" s="22">
        <v>423</v>
      </c>
      <c r="D455" s="22">
        <v>2560</v>
      </c>
      <c r="F455" s="3">
        <f t="shared" si="102"/>
        <v>9557.355413186071</v>
      </c>
      <c r="G455" s="3">
        <f t="shared" si="103"/>
        <v>1567.9328754034607</v>
      </c>
      <c r="H455" s="3">
        <f t="shared" si="104"/>
        <v>12.339386821759037</v>
      </c>
      <c r="I455" s="3">
        <f t="shared" si="105"/>
        <v>3.4864465332474972</v>
      </c>
      <c r="J455" s="3">
        <f t="shared" si="106"/>
        <v>-1.9030962957603548</v>
      </c>
      <c r="K455" s="3">
        <f t="shared" si="107"/>
        <v>7.9070905025161544E-8</v>
      </c>
      <c r="L455" s="3" cm="1">
        <f t="array" ref="L455">lmb_2(F455)</f>
        <v>9548.1908263258265</v>
      </c>
      <c r="M455" s="3" cm="1">
        <f t="array" ref="M455">lmb_2(G455)</f>
        <v>1560.5777082588129</v>
      </c>
      <c r="N455" s="3" cm="1">
        <f t="array" ref="N455">lmb_2(H455)</f>
        <v>10.033461195059845</v>
      </c>
      <c r="O455" s="3" cm="1">
        <f t="array" ref="O455">lmb_2(I455)</f>
        <v>2.5502536919761858</v>
      </c>
      <c r="P455" s="3" cm="1">
        <f t="array" ref="P455">lmb_2(J455)</f>
        <v>0.1308219262634896</v>
      </c>
      <c r="R455" s="3">
        <f t="shared" si="108"/>
        <v>4.5385570137876724E-2</v>
      </c>
      <c r="S455" s="3">
        <f t="shared" si="109"/>
        <v>2.523240515244912</v>
      </c>
      <c r="T455" s="3">
        <f t="shared" si="110"/>
        <v>104.42638624884493</v>
      </c>
      <c r="U455" s="3">
        <f t="shared" si="100"/>
        <v>1459.2741003071239</v>
      </c>
      <c r="V455" s="3">
        <f t="shared" si="101"/>
        <v>0</v>
      </c>
      <c r="W455" s="3">
        <f t="shared" si="111"/>
        <v>939.33499360092515</v>
      </c>
      <c r="Y455" s="3">
        <f t="shared" si="112"/>
        <v>2505.6041063213479</v>
      </c>
      <c r="AA455" s="3">
        <f t="shared" si="113"/>
        <v>2958.9132490992238</v>
      </c>
      <c r="AB455" s="3">
        <f t="shared" si="114"/>
        <v>54.395893678652101</v>
      </c>
      <c r="AD455" s="3">
        <f t="shared" si="115"/>
        <v>1.7836243710178655E-5</v>
      </c>
    </row>
    <row r="456" spans="3:30" x14ac:dyDescent="0.3">
      <c r="C456" s="22">
        <v>424</v>
      </c>
      <c r="D456" s="22">
        <v>2587</v>
      </c>
      <c r="F456" s="3">
        <f t="shared" si="102"/>
        <v>9602.5915714691728</v>
      </c>
      <c r="G456" s="3">
        <f t="shared" si="103"/>
        <v>1575.3504822362677</v>
      </c>
      <c r="H456" s="3">
        <f t="shared" si="104"/>
        <v>12.400511586389628</v>
      </c>
      <c r="I456" s="3">
        <f t="shared" si="105"/>
        <v>3.503025150879755</v>
      </c>
      <c r="J456" s="3">
        <f t="shared" si="106"/>
        <v>-1.90222994350117</v>
      </c>
      <c r="K456" s="3">
        <f t="shared" si="107"/>
        <v>7.4450845629896994E-8</v>
      </c>
      <c r="L456" s="3" cm="1">
        <f t="array" ref="L456">lmb_2(F456)</f>
        <v>9593.4222606370331</v>
      </c>
      <c r="M456" s="3" cm="1">
        <f t="array" ref="M456">lmb_2(G456)</f>
        <v>1567.9905858782211</v>
      </c>
      <c r="N456" s="3" cm="1">
        <f t="array" ref="N456">lmb_2(H456)</f>
        <v>10.089059925312794</v>
      </c>
      <c r="O456" s="3" cm="1">
        <f t="array" ref="O456">lmb_2(I456)</f>
        <v>2.5621704281079367</v>
      </c>
      <c r="P456" s="3" cm="1">
        <f t="array" ref="P456">lmb_2(J456)</f>
        <v>0.13092218632040614</v>
      </c>
      <c r="R456" s="3">
        <f t="shared" si="108"/>
        <v>4.5064915175745499E-2</v>
      </c>
      <c r="S456" s="3">
        <f t="shared" si="109"/>
        <v>2.5053554454527647</v>
      </c>
      <c r="T456" s="3">
        <f t="shared" si="110"/>
        <v>103.57450196512582</v>
      </c>
      <c r="U456" s="3">
        <f t="shared" si="100"/>
        <v>1451.0501689712528</v>
      </c>
      <c r="V456" s="3">
        <f t="shared" si="101"/>
        <v>0</v>
      </c>
      <c r="W456" s="3">
        <f t="shared" si="111"/>
        <v>941.43744039430794</v>
      </c>
      <c r="Y456" s="3">
        <f t="shared" si="112"/>
        <v>2498.6125317657657</v>
      </c>
      <c r="AA456" s="3">
        <f t="shared" si="113"/>
        <v>7812.3445408577854</v>
      </c>
      <c r="AB456" s="3">
        <f t="shared" si="114"/>
        <v>88.387468234234348</v>
      </c>
      <c r="AD456" s="3">
        <f t="shared" si="115"/>
        <v>2.898197488333908E-5</v>
      </c>
    </row>
    <row r="457" spans="3:30" x14ac:dyDescent="0.3">
      <c r="C457" s="22">
        <v>425</v>
      </c>
      <c r="D457" s="22">
        <v>2523</v>
      </c>
      <c r="F457" s="3">
        <f t="shared" si="102"/>
        <v>9647.9345447659289</v>
      </c>
      <c r="G457" s="3">
        <f t="shared" si="103"/>
        <v>1582.785604079306</v>
      </c>
      <c r="H457" s="3">
        <f t="shared" si="104"/>
        <v>12.461780683404232</v>
      </c>
      <c r="I457" s="3">
        <f t="shared" si="105"/>
        <v>3.5196429151888315</v>
      </c>
      <c r="J457" s="3">
        <f t="shared" si="106"/>
        <v>-1.901361545545978</v>
      </c>
      <c r="K457" s="3">
        <f t="shared" si="107"/>
        <v>7.0100733174141753E-8</v>
      </c>
      <c r="L457" s="3" cm="1">
        <f t="array" ref="L457">lmb_2(F457)</f>
        <v>9638.7605210957336</v>
      </c>
      <c r="M457" s="3" cm="1">
        <f t="array" ref="M457">lmb_2(G457)</f>
        <v>1575.4209896727361</v>
      </c>
      <c r="N457" s="3" cm="1">
        <f t="array" ref="N457">lmb_2(H457)</f>
        <v>10.144817681549677</v>
      </c>
      <c r="O457" s="3" cm="1">
        <f t="array" ref="O457">lmb_2(I457)</f>
        <v>2.5741309378882482</v>
      </c>
      <c r="P457" s="3" cm="1">
        <f t="array" ref="P457">lmb_2(J457)</f>
        <v>0.1310227512963853</v>
      </c>
      <c r="R457" s="3">
        <f t="shared" si="108"/>
        <v>4.4747274201767454E-2</v>
      </c>
      <c r="S457" s="3">
        <f t="shared" si="109"/>
        <v>2.4876391083331191</v>
      </c>
      <c r="T457" s="3">
        <f t="shared" si="110"/>
        <v>102.73162183623637</v>
      </c>
      <c r="U457" s="3">
        <f t="shared" si="100"/>
        <v>1442.8697112534342</v>
      </c>
      <c r="V457" s="3">
        <f t="shared" si="101"/>
        <v>0</v>
      </c>
      <c r="W457" s="3">
        <f t="shared" si="111"/>
        <v>943.53988718769074</v>
      </c>
      <c r="Y457" s="3">
        <f t="shared" si="112"/>
        <v>2491.6736067299967</v>
      </c>
      <c r="AA457" s="3">
        <f t="shared" si="113"/>
        <v>981.3429153069103</v>
      </c>
      <c r="AB457" s="3">
        <f t="shared" si="114"/>
        <v>31.326393270003337</v>
      </c>
      <c r="AD457" s="3">
        <f t="shared" si="115"/>
        <v>1.0271826550465553E-5</v>
      </c>
    </row>
    <row r="458" spans="3:30" x14ac:dyDescent="0.3">
      <c r="C458" s="22">
        <v>426</v>
      </c>
      <c r="D458" s="22">
        <v>2470</v>
      </c>
      <c r="F458" s="3">
        <f t="shared" si="102"/>
        <v>9693.3843330763357</v>
      </c>
      <c r="G458" s="3">
        <f t="shared" si="103"/>
        <v>1590.2382409325751</v>
      </c>
      <c r="H458" s="3">
        <f t="shared" si="104"/>
        <v>12.523194112802852</v>
      </c>
      <c r="I458" s="3">
        <f t="shared" si="105"/>
        <v>3.5362998261747247</v>
      </c>
      <c r="J458" s="3">
        <f t="shared" si="106"/>
        <v>-1.9004911018947783</v>
      </c>
      <c r="K458" s="3">
        <f t="shared" si="107"/>
        <v>6.6004794841159907E-8</v>
      </c>
      <c r="L458" s="3" cm="1">
        <f t="array" ref="L458">lmb_2(F458)</f>
        <v>9684.2056076495555</v>
      </c>
      <c r="M458" s="3" cm="1">
        <f t="array" ref="M458">lmb_2(G458)</f>
        <v>1582.8689195897414</v>
      </c>
      <c r="N458" s="3" cm="1">
        <f t="array" ref="N458">lmb_2(H458)</f>
        <v>10.200734395541572</v>
      </c>
      <c r="O458" s="3" cm="1">
        <f t="array" ref="O458">lmb_2(I458)</f>
        <v>2.5861352473620154</v>
      </c>
      <c r="P458" s="3" cm="1">
        <f t="array" ref="P458">lmb_2(J458)</f>
        <v>0.13112362170814701</v>
      </c>
      <c r="R458" s="3">
        <f t="shared" si="108"/>
        <v>4.4432611881700779E-2</v>
      </c>
      <c r="S458" s="3">
        <f t="shared" si="109"/>
        <v>2.4700895177021351</v>
      </c>
      <c r="T458" s="3">
        <f t="shared" si="110"/>
        <v>101.89763155932535</v>
      </c>
      <c r="U458" s="3">
        <f t="shared" si="100"/>
        <v>1434.7326479408537</v>
      </c>
      <c r="V458" s="3">
        <f t="shared" si="101"/>
        <v>0</v>
      </c>
      <c r="W458" s="3">
        <f t="shared" si="111"/>
        <v>945.64233398107353</v>
      </c>
      <c r="Y458" s="3">
        <f t="shared" si="112"/>
        <v>2484.787135676841</v>
      </c>
      <c r="AA458" s="3">
        <f t="shared" si="113"/>
        <v>218.65938152530364</v>
      </c>
      <c r="AB458" s="3">
        <f t="shared" si="114"/>
        <v>-14.78713567684099</v>
      </c>
      <c r="AD458" s="3">
        <f t="shared" si="115"/>
        <v>4.8486556221636654E-6</v>
      </c>
    </row>
    <row r="459" spans="3:30" x14ac:dyDescent="0.3">
      <c r="C459" s="22">
        <v>427</v>
      </c>
      <c r="D459" s="22">
        <v>2496</v>
      </c>
      <c r="F459" s="3">
        <f t="shared" si="102"/>
        <v>9738.9409364004023</v>
      </c>
      <c r="G459" s="3">
        <f t="shared" si="103"/>
        <v>1597.7083927960753</v>
      </c>
      <c r="H459" s="3">
        <f t="shared" si="104"/>
        <v>12.584751874585487</v>
      </c>
      <c r="I459" s="3">
        <f t="shared" si="105"/>
        <v>3.5529958838374367</v>
      </c>
      <c r="J459" s="3">
        <f t="shared" si="106"/>
        <v>-1.8996186125475711</v>
      </c>
      <c r="K459" s="3">
        <f t="shared" si="107"/>
        <v>6.2148179409208415E-8</v>
      </c>
      <c r="L459" s="3" cm="1">
        <f t="array" ref="L459">lmb_2(F459)</f>
        <v>9729.7575202465141</v>
      </c>
      <c r="M459" s="3" cm="1">
        <f t="array" ref="M459">lmb_2(G459)</f>
        <v>1590.3343755769929</v>
      </c>
      <c r="N459" s="3" cm="1">
        <f t="array" ref="N459">lmb_2(H459)</f>
        <v>10.25680999942292</v>
      </c>
      <c r="O459" s="3" cm="1">
        <f t="array" ref="O459">lmb_2(I459)</f>
        <v>2.5981833821767899</v>
      </c>
      <c r="P459" s="3" cm="1">
        <f t="array" ref="P459">lmb_2(J459)</f>
        <v>0.13122479807403437</v>
      </c>
      <c r="R459" s="3">
        <f t="shared" si="108"/>
        <v>4.4120893377288986E-2</v>
      </c>
      <c r="S459" s="3">
        <f t="shared" si="109"/>
        <v>2.4527047153782267</v>
      </c>
      <c r="T459" s="3">
        <f t="shared" si="110"/>
        <v>101.07241848505528</v>
      </c>
      <c r="U459" s="3">
        <f t="shared" si="100"/>
        <v>1426.6388965855967</v>
      </c>
      <c r="V459" s="3">
        <f t="shared" si="101"/>
        <v>0</v>
      </c>
      <c r="W459" s="3">
        <f t="shared" si="111"/>
        <v>947.74478077445633</v>
      </c>
      <c r="Y459" s="3">
        <f t="shared" si="112"/>
        <v>2477.9529215160119</v>
      </c>
      <c r="AA459" s="3">
        <f t="shared" si="113"/>
        <v>325.69704180722681</v>
      </c>
      <c r="AB459" s="3">
        <f t="shared" si="114"/>
        <v>18.047078483988116</v>
      </c>
      <c r="AD459" s="3">
        <f t="shared" si="115"/>
        <v>5.9175806909017012E-6</v>
      </c>
    </row>
    <row r="460" spans="3:30" x14ac:dyDescent="0.3">
      <c r="C460" s="22">
        <v>428</v>
      </c>
      <c r="D460" s="22">
        <v>2475</v>
      </c>
      <c r="F460" s="3">
        <f t="shared" si="102"/>
        <v>9784.604354738125</v>
      </c>
      <c r="G460" s="3">
        <f t="shared" si="103"/>
        <v>1605.1960596698068</v>
      </c>
      <c r="H460" s="3">
        <f t="shared" si="104"/>
        <v>12.646453968752137</v>
      </c>
      <c r="I460" s="3">
        <f t="shared" si="105"/>
        <v>3.5697310881769653</v>
      </c>
      <c r="J460" s="3">
        <f t="shared" si="106"/>
        <v>-1.8987440775043565</v>
      </c>
      <c r="K460" s="3">
        <f t="shared" si="107"/>
        <v>5.8516903403366168E-8</v>
      </c>
      <c r="L460" s="3" cm="1">
        <f t="array" ref="L460">lmb_2(F460)</f>
        <v>9775.4162588349682</v>
      </c>
      <c r="M460" s="3" cm="1">
        <f t="array" ref="M460">lmb_2(G460)</f>
        <v>1597.817357582614</v>
      </c>
      <c r="N460" s="3" cm="1">
        <f t="array" ref="N460">lmb_2(H460)</f>
        <v>10.31304442569059</v>
      </c>
      <c r="O460" s="3" cm="1">
        <f t="array" ref="O460">lmb_2(I460)</f>
        <v>2.6102753675855541</v>
      </c>
      <c r="P460" s="3" cm="1">
        <f t="array" ref="P460">lmb_2(J460)</f>
        <v>0.1313262809140168</v>
      </c>
      <c r="R460" s="3">
        <f t="shared" si="108"/>
        <v>4.3812084338156719E-2</v>
      </c>
      <c r="S460" s="3">
        <f t="shared" si="109"/>
        <v>2.4354827707223841</v>
      </c>
      <c r="T460" s="3">
        <f t="shared" si="110"/>
        <v>100.25587159151674</v>
      </c>
      <c r="U460" s="3">
        <f t="shared" si="100"/>
        <v>1418.588371579016</v>
      </c>
      <c r="V460" s="3">
        <f t="shared" si="101"/>
        <v>0</v>
      </c>
      <c r="W460" s="3">
        <f t="shared" si="111"/>
        <v>949.84722756783913</v>
      </c>
      <c r="Y460" s="3">
        <f t="shared" si="112"/>
        <v>2471.1707656519493</v>
      </c>
      <c r="AA460" s="3">
        <f t="shared" si="113"/>
        <v>14.663035692291302</v>
      </c>
      <c r="AB460" s="3">
        <f t="shared" si="114"/>
        <v>3.8292343480507043</v>
      </c>
      <c r="AD460" s="3">
        <f t="shared" si="115"/>
        <v>1.2555939876399851E-6</v>
      </c>
    </row>
    <row r="461" spans="3:30" x14ac:dyDescent="0.3">
      <c r="C461" s="22">
        <v>429</v>
      </c>
      <c r="D461" s="22">
        <v>2536</v>
      </c>
      <c r="F461" s="3">
        <f t="shared" si="102"/>
        <v>9830.3745880895021</v>
      </c>
      <c r="G461" s="3">
        <f t="shared" si="103"/>
        <v>1612.701241553769</v>
      </c>
      <c r="H461" s="3">
        <f t="shared" si="104"/>
        <v>12.708300395302805</v>
      </c>
      <c r="I461" s="3">
        <f t="shared" si="105"/>
        <v>3.5865054391933122</v>
      </c>
      <c r="J461" s="3">
        <f t="shared" si="106"/>
        <v>-1.8978674967651341</v>
      </c>
      <c r="K461" s="3">
        <f t="shared" si="107"/>
        <v>5.5097800393675321E-8</v>
      </c>
      <c r="L461" s="3" cm="1">
        <f t="array" ref="L461">lmb_2(F461)</f>
        <v>9821.1818233636495</v>
      </c>
      <c r="M461" s="3" cm="1">
        <f t="array" ref="M461">lmb_2(G461)</f>
        <v>1605.317865555091</v>
      </c>
      <c r="N461" s="3" cm="1">
        <f t="array" ref="N461">lmb_2(H461)</f>
        <v>10.369437607202901</v>
      </c>
      <c r="O461" s="3" cm="1">
        <f t="array" ref="O461">lmb_2(I461)</f>
        <v>2.6224112284495087</v>
      </c>
      <c r="P461" s="3" cm="1">
        <f t="array" ref="P461">lmb_2(J461)</f>
        <v>0.13142807074969287</v>
      </c>
      <c r="R461" s="3">
        <f t="shared" si="108"/>
        <v>4.3506150893856052E-2</v>
      </c>
      <c r="S461" s="3">
        <f t="shared" si="109"/>
        <v>2.4184217801870975</v>
      </c>
      <c r="T461" s="3">
        <f t="shared" si="110"/>
        <v>99.447881458570322</v>
      </c>
      <c r="U461" s="3">
        <f t="shared" si="100"/>
        <v>1410.5809842251679</v>
      </c>
      <c r="V461" s="3">
        <f t="shared" si="101"/>
        <v>0</v>
      </c>
      <c r="W461" s="3">
        <f t="shared" si="111"/>
        <v>951.94967436122192</v>
      </c>
      <c r="Y461" s="3">
        <f t="shared" si="112"/>
        <v>2464.4404680311386</v>
      </c>
      <c r="AA461" s="3">
        <f t="shared" si="113"/>
        <v>5120.7666156024952</v>
      </c>
      <c r="AB461" s="3">
        <f t="shared" si="114"/>
        <v>71.559531968861393</v>
      </c>
      <c r="AD461" s="3">
        <f t="shared" si="115"/>
        <v>2.3464147119690448E-5</v>
      </c>
    </row>
    <row r="462" spans="3:30" x14ac:dyDescent="0.3">
      <c r="C462" s="22">
        <v>430</v>
      </c>
      <c r="D462" s="22">
        <v>2463</v>
      </c>
      <c r="F462" s="3">
        <f t="shared" si="102"/>
        <v>9876.2516364545318</v>
      </c>
      <c r="G462" s="3">
        <f t="shared" si="103"/>
        <v>1620.2239384479619</v>
      </c>
      <c r="H462" s="3">
        <f t="shared" si="104"/>
        <v>12.770291154237489</v>
      </c>
      <c r="I462" s="3">
        <f t="shared" si="105"/>
        <v>3.6033189368864766</v>
      </c>
      <c r="J462" s="3">
        <f t="shared" si="106"/>
        <v>-1.8969888703299045</v>
      </c>
      <c r="K462" s="3">
        <f t="shared" si="107"/>
        <v>5.1878473255757686E-8</v>
      </c>
      <c r="L462" s="3" cm="1">
        <f t="array" ref="L462">lmb_2(F462)</f>
        <v>9867.0542137816428</v>
      </c>
      <c r="M462" s="3" cm="1">
        <f t="array" ref="M462">lmb_2(G462)</f>
        <v>1612.8358994432724</v>
      </c>
      <c r="N462" s="3" cm="1">
        <f t="array" ref="N462">lmb_2(H462)</f>
        <v>10.425989477178616</v>
      </c>
      <c r="O462" s="3" cm="1">
        <f t="array" ref="O462">lmb_2(I462)</f>
        <v>2.6345909892408619</v>
      </c>
      <c r="P462" s="3" cm="1">
        <f t="array" ref="P462">lmb_2(J462)</f>
        <v>0.13153016810429313</v>
      </c>
      <c r="R462" s="3">
        <f t="shared" si="108"/>
        <v>4.3203059646061026E-2</v>
      </c>
      <c r="S462" s="3">
        <f t="shared" si="109"/>
        <v>2.4015198668736959</v>
      </c>
      <c r="T462" s="3">
        <f t="shared" si="110"/>
        <v>98.648340242610203</v>
      </c>
      <c r="U462" s="3">
        <f t="shared" si="100"/>
        <v>1402.6166428133265</v>
      </c>
      <c r="V462" s="3">
        <f t="shared" si="101"/>
        <v>0</v>
      </c>
      <c r="W462" s="3">
        <f t="shared" si="111"/>
        <v>954.05212115460472</v>
      </c>
      <c r="Y462" s="3">
        <f t="shared" si="112"/>
        <v>2457.7618271889396</v>
      </c>
      <c r="AA462" s="3">
        <f t="shared" si="113"/>
        <v>27.438454398532354</v>
      </c>
      <c r="AB462" s="3">
        <f t="shared" si="114"/>
        <v>5.2381728110603945</v>
      </c>
      <c r="AD462" s="3">
        <f t="shared" si="115"/>
        <v>1.7175805108754294E-6</v>
      </c>
    </row>
    <row r="463" spans="3:30" x14ac:dyDescent="0.3">
      <c r="C463" s="22">
        <v>431</v>
      </c>
      <c r="D463" s="22">
        <v>2534</v>
      </c>
      <c r="F463" s="3">
        <f t="shared" si="102"/>
        <v>9922.2354998332212</v>
      </c>
      <c r="G463" s="3">
        <f t="shared" si="103"/>
        <v>1627.7641503523855</v>
      </c>
      <c r="H463" s="3">
        <f t="shared" si="104"/>
        <v>12.832426245556185</v>
      </c>
      <c r="I463" s="3">
        <f t="shared" si="105"/>
        <v>3.6201715812564581</v>
      </c>
      <c r="J463" s="3">
        <f t="shared" si="106"/>
        <v>-1.8961081981986672</v>
      </c>
      <c r="K463" s="3">
        <f t="shared" si="107"/>
        <v>4.8847249220811342E-8</v>
      </c>
      <c r="L463" s="3" cm="1">
        <f t="array" ref="L463">lmb_2(F463)</f>
        <v>9913.0334300383965</v>
      </c>
      <c r="M463" s="3" cm="1">
        <f t="array" ref="M463">lmb_2(G463)</f>
        <v>1620.3714591963637</v>
      </c>
      <c r="N463" s="3" cm="1">
        <f t="array" ref="N463">lmb_2(H463)</f>
        <v>10.482699969195902</v>
      </c>
      <c r="O463" s="3" cm="1">
        <f t="array" ref="O463">lmb_2(I463)</f>
        <v>2.6468146740456251</v>
      </c>
      <c r="P463" s="3" cm="1">
        <f t="array" ref="P463">lmb_2(J463)</f>
        <v>0.13163257350268304</v>
      </c>
      <c r="R463" s="3">
        <f t="shared" si="108"/>
        <v>4.2902777660906735E-2</v>
      </c>
      <c r="S463" s="3">
        <f t="shared" si="109"/>
        <v>2.3847751800979489</v>
      </c>
      <c r="T463" s="3">
        <f t="shared" si="110"/>
        <v>97.857141651742111</v>
      </c>
      <c r="U463" s="3">
        <f t="shared" si="100"/>
        <v>1394.6952526895761</v>
      </c>
      <c r="V463" s="3">
        <f t="shared" si="101"/>
        <v>0</v>
      </c>
      <c r="W463" s="3">
        <f t="shared" si="111"/>
        <v>956.15456794798752</v>
      </c>
      <c r="Y463" s="3">
        <f t="shared" si="112"/>
        <v>2451.1346402959116</v>
      </c>
      <c r="AA463" s="3">
        <f t="shared" si="113"/>
        <v>6866.6678388879582</v>
      </c>
      <c r="AB463" s="3">
        <f t="shared" si="114"/>
        <v>82.865359704088405</v>
      </c>
      <c r="AD463" s="3">
        <f t="shared" si="115"/>
        <v>2.7171292736638845E-5</v>
      </c>
    </row>
    <row r="464" spans="3:30" x14ac:dyDescent="0.3">
      <c r="C464" s="22">
        <v>432</v>
      </c>
      <c r="D464" s="22">
        <v>2488</v>
      </c>
      <c r="F464" s="3">
        <f t="shared" si="102"/>
        <v>9968.3261782255668</v>
      </c>
      <c r="G464" s="3">
        <f t="shared" si="103"/>
        <v>1635.3218772670407</v>
      </c>
      <c r="H464" s="3">
        <f t="shared" si="104"/>
        <v>12.894705669258899</v>
      </c>
      <c r="I464" s="3">
        <f t="shared" si="105"/>
        <v>3.6370633723032579</v>
      </c>
      <c r="J464" s="3">
        <f t="shared" si="106"/>
        <v>-1.8952254803714224</v>
      </c>
      <c r="K464" s="3">
        <f t="shared" si="107"/>
        <v>4.5993137552004411E-8</v>
      </c>
      <c r="L464" s="3" cm="1">
        <f t="array" ref="L464">lmb_2(F464)</f>
        <v>9959.1194720837029</v>
      </c>
      <c r="M464" s="3" cm="1">
        <f t="array" ref="M464">lmb_2(G464)</f>
        <v>1627.9245447639257</v>
      </c>
      <c r="N464" s="3" cm="1">
        <f t="array" ref="N464">lmb_2(H464)</f>
        <v>10.539569017191267</v>
      </c>
      <c r="O464" s="3" cm="1">
        <f t="array" ref="O464">lmb_2(I464)</f>
        <v>2.6590823065664133</v>
      </c>
      <c r="P464" s="3" cm="1">
        <f t="array" ref="P464">lmb_2(J464)</f>
        <v>0.13173528747136584</v>
      </c>
      <c r="R464" s="3">
        <f t="shared" si="108"/>
        <v>4.2605272461470292E-2</v>
      </c>
      <c r="S464" s="3">
        <f t="shared" si="109"/>
        <v>2.3681858949637351</v>
      </c>
      <c r="T464" s="3">
        <f t="shared" si="110"/>
        <v>97.074180921368992</v>
      </c>
      <c r="U464" s="3">
        <f t="shared" si="100"/>
        <v>1386.816716327485</v>
      </c>
      <c r="V464" s="3">
        <f t="shared" si="101"/>
        <v>0</v>
      </c>
      <c r="W464" s="3">
        <f t="shared" si="111"/>
        <v>958.25701474137031</v>
      </c>
      <c r="Y464" s="3">
        <f t="shared" si="112"/>
        <v>2444.5587032036428</v>
      </c>
      <c r="AA464" s="3">
        <f t="shared" si="113"/>
        <v>1887.1462673491912</v>
      </c>
      <c r="AB464" s="3">
        <f t="shared" si="114"/>
        <v>43.441296796357165</v>
      </c>
      <c r="AD464" s="3">
        <f t="shared" si="115"/>
        <v>1.4244265593344133E-5</v>
      </c>
    </row>
    <row r="465" spans="3:30" x14ac:dyDescent="0.3">
      <c r="C465" s="22">
        <v>433</v>
      </c>
      <c r="D465" s="22">
        <v>2402</v>
      </c>
      <c r="F465" s="3">
        <f t="shared" si="102"/>
        <v>10014.523671631563</v>
      </c>
      <c r="G465" s="3">
        <f t="shared" si="103"/>
        <v>1642.8971191919272</v>
      </c>
      <c r="H465" s="3">
        <f t="shared" si="104"/>
        <v>12.957129425345629</v>
      </c>
      <c r="I465" s="3">
        <f t="shared" si="105"/>
        <v>3.6539943100268744</v>
      </c>
      <c r="J465" s="3">
        <f t="shared" si="106"/>
        <v>-1.8943407168481701</v>
      </c>
      <c r="K465" s="3">
        <f t="shared" si="107"/>
        <v>4.3305789693810365E-8</v>
      </c>
      <c r="L465" s="3" cm="1">
        <f t="array" ref="L465">lmb_2(F465)</f>
        <v>10005.312339867698</v>
      </c>
      <c r="M465" s="3" cm="1">
        <f t="array" ref="M465">lmb_2(G465)</f>
        <v>1635.4951560958682</v>
      </c>
      <c r="N465" s="3" cm="1">
        <f t="array" ref="N465">lmb_2(H465)</f>
        <v>10.596596555458452</v>
      </c>
      <c r="O465" s="3" cm="1">
        <f t="array" ref="O465">lmb_2(I465)</f>
        <v>2.6713939101252469</v>
      </c>
      <c r="P465" s="3" cm="1">
        <f t="array" ref="P465">lmb_2(J465)</f>
        <v>0.1318383105384856</v>
      </c>
      <c r="R465" s="3">
        <f t="shared" si="108"/>
        <v>4.23105120203906E-2</v>
      </c>
      <c r="S465" s="3">
        <f t="shared" si="109"/>
        <v>2.3517502119446334</v>
      </c>
      <c r="T465" s="3">
        <f t="shared" si="110"/>
        <v>96.299354790178469</v>
      </c>
      <c r="U465" s="3">
        <f t="shared" si="100"/>
        <v>1378.9809333978601</v>
      </c>
      <c r="V465" s="3">
        <f t="shared" si="101"/>
        <v>0</v>
      </c>
      <c r="W465" s="3">
        <f t="shared" si="111"/>
        <v>960.35946153475311</v>
      </c>
      <c r="Y465" s="3">
        <f t="shared" si="112"/>
        <v>2438.033810490062</v>
      </c>
      <c r="AA465" s="3">
        <f t="shared" si="113"/>
        <v>1298.435498433704</v>
      </c>
      <c r="AB465" s="3">
        <f t="shared" si="114"/>
        <v>-36.033810490062024</v>
      </c>
      <c r="AD465" s="3">
        <f t="shared" si="115"/>
        <v>1.1815373960100446E-5</v>
      </c>
    </row>
    <row r="466" spans="3:30" x14ac:dyDescent="0.3">
      <c r="C466" s="22">
        <v>434</v>
      </c>
      <c r="D466" s="22">
        <v>2477</v>
      </c>
      <c r="F466" s="3">
        <f t="shared" si="102"/>
        <v>10060.827980051217</v>
      </c>
      <c r="G466" s="3">
        <f t="shared" si="103"/>
        <v>1650.4898761270438</v>
      </c>
      <c r="H466" s="3">
        <f t="shared" si="104"/>
        <v>13.019697513816373</v>
      </c>
      <c r="I466" s="3">
        <f t="shared" si="105"/>
        <v>3.6709643944273096</v>
      </c>
      <c r="J466" s="3">
        <f t="shared" si="106"/>
        <v>-1.8934539076289103</v>
      </c>
      <c r="K466" s="3">
        <f t="shared" si="107"/>
        <v>4.0775461749788838E-8</v>
      </c>
      <c r="L466" s="3" cm="1">
        <f t="array" ref="L466">lmb_2(F466)</f>
        <v>10051.612033340878</v>
      </c>
      <c r="M466" s="3" cm="1">
        <f t="array" ref="M466">lmb_2(G466)</f>
        <v>1643.0832931424486</v>
      </c>
      <c r="N466" s="3" cm="1">
        <f t="array" ref="N466">lmb_2(H466)</f>
        <v>10.653782518647308</v>
      </c>
      <c r="O466" s="3" cm="1">
        <f t="array" ref="O466">lmb_2(I466)</f>
        <v>2.6837495076663611</v>
      </c>
      <c r="P466" s="3" cm="1">
        <f t="array" ref="P466">lmb_2(J466)</f>
        <v>0.1319416432338299</v>
      </c>
      <c r="R466" s="3">
        <f t="shared" si="108"/>
        <v>4.201846475262383E-2</v>
      </c>
      <c r="S466" s="3">
        <f t="shared" si="109"/>
        <v>2.3354663564732432</v>
      </c>
      <c r="T466" s="3">
        <f t="shared" si="110"/>
        <v>95.532561476525004</v>
      </c>
      <c r="U466" s="3">
        <f t="shared" si="100"/>
        <v>1371.1878008375875</v>
      </c>
      <c r="V466" s="3">
        <f t="shared" si="101"/>
        <v>0</v>
      </c>
      <c r="W466" s="3">
        <f t="shared" si="111"/>
        <v>962.46190832813591</v>
      </c>
      <c r="Y466" s="3">
        <f t="shared" si="112"/>
        <v>2431.5597555042496</v>
      </c>
      <c r="AA466" s="3">
        <f t="shared" si="113"/>
        <v>2064.8158198335791</v>
      </c>
      <c r="AB466" s="3">
        <f t="shared" si="114"/>
        <v>45.440244495750449</v>
      </c>
      <c r="AD466" s="3">
        <f t="shared" si="115"/>
        <v>1.4899714303147607E-5</v>
      </c>
    </row>
    <row r="467" spans="3:30" x14ac:dyDescent="0.3">
      <c r="C467" s="22">
        <v>435</v>
      </c>
      <c r="D467" s="22">
        <v>2470</v>
      </c>
      <c r="F467" s="3">
        <f t="shared" si="102"/>
        <v>10107.239103484528</v>
      </c>
      <c r="G467" s="3">
        <f t="shared" si="103"/>
        <v>1658.1001480723917</v>
      </c>
      <c r="H467" s="3">
        <f t="shared" si="104"/>
        <v>13.082409934671137</v>
      </c>
      <c r="I467" s="3">
        <f t="shared" si="105"/>
        <v>3.6879736255045623</v>
      </c>
      <c r="J467" s="3">
        <f t="shared" si="106"/>
        <v>-1.8925650527136428</v>
      </c>
      <c r="K467" s="3">
        <f t="shared" si="107"/>
        <v>3.8392979152765133E-8</v>
      </c>
      <c r="L467" s="3" cm="1">
        <f t="array" ref="L467">lmb_2(F467)</f>
        <v>10098.018552454072</v>
      </c>
      <c r="M467" s="3" cm="1">
        <f t="array" ref="M467">lmb_2(G467)</f>
        <v>1650.6889558542705</v>
      </c>
      <c r="N467" s="3" cm="1">
        <f t="array" ref="N467">lmb_2(H467)</f>
        <v>10.711126841762642</v>
      </c>
      <c r="O467" s="3" cm="1">
        <f t="array" ref="O467">lmb_2(I467)</f>
        <v>2.6961491217590132</v>
      </c>
      <c r="P467" s="3" cm="1">
        <f t="array" ref="P467">lmb_2(J467)</f>
        <v>0.1320452860888329</v>
      </c>
      <c r="R467" s="3">
        <f t="shared" si="108"/>
        <v>4.1729099508332361E-2</v>
      </c>
      <c r="S467" s="3">
        <f t="shared" si="109"/>
        <v>2.3193325785380816</v>
      </c>
      <c r="T467" s="3">
        <f t="shared" si="110"/>
        <v>94.77370065520067</v>
      </c>
      <c r="U467" s="3">
        <f t="shared" si="100"/>
        <v>1363.4372129175629</v>
      </c>
      <c r="V467" s="3">
        <f t="shared" si="101"/>
        <v>0</v>
      </c>
      <c r="W467" s="3">
        <f t="shared" si="111"/>
        <v>964.5643551215187</v>
      </c>
      <c r="Y467" s="3">
        <f t="shared" si="112"/>
        <v>2425.1363304107217</v>
      </c>
      <c r="AA467" s="3">
        <f t="shared" si="113"/>
        <v>2012.7488490159335</v>
      </c>
      <c r="AB467" s="3">
        <f t="shared" si="114"/>
        <v>44.863669589278288</v>
      </c>
      <c r="AD467" s="3">
        <f t="shared" si="115"/>
        <v>1.47106571914148E-5</v>
      </c>
    </row>
    <row r="468" spans="3:30" x14ac:dyDescent="0.3">
      <c r="C468" s="22">
        <v>436</v>
      </c>
      <c r="D468" s="22">
        <v>2375</v>
      </c>
      <c r="F468" s="3">
        <f t="shared" si="102"/>
        <v>10153.757041931491</v>
      </c>
      <c r="G468" s="3">
        <f t="shared" si="103"/>
        <v>1665.7279350279703</v>
      </c>
      <c r="H468" s="3">
        <f t="shared" si="104"/>
        <v>13.145266687909912</v>
      </c>
      <c r="I468" s="3">
        <f t="shared" si="105"/>
        <v>3.7050220032586321</v>
      </c>
      <c r="J468" s="3">
        <f t="shared" si="106"/>
        <v>-1.8916741521023681</v>
      </c>
      <c r="K468" s="3">
        <f t="shared" si="107"/>
        <v>3.6149703399307092E-8</v>
      </c>
      <c r="L468" s="3" cm="1">
        <f t="array" ref="L468">lmb_2(F468)</f>
        <v>10144.531897158446</v>
      </c>
      <c r="M468" s="3" cm="1">
        <f t="array" ref="M468">lmb_2(G468)</f>
        <v>1658.3121441822768</v>
      </c>
      <c r="N468" s="3" cm="1">
        <f t="array" ref="N468">lmb_2(H468)</f>
        <v>10.768629460163027</v>
      </c>
      <c r="O468" s="3" cm="1">
        <f t="array" ref="O468">lmb_2(I468)</f>
        <v>2.708592774600294</v>
      </c>
      <c r="P468" s="3" cm="1">
        <f t="array" ref="P468">lmb_2(J468)</f>
        <v>0.13214923963657821</v>
      </c>
      <c r="R468" s="3">
        <f t="shared" si="108"/>
        <v>4.1442385565903912E-2</v>
      </c>
      <c r="S468" s="3">
        <f t="shared" si="109"/>
        <v>2.3033471522879339</v>
      </c>
      <c r="T468" s="3">
        <f t="shared" si="110"/>
        <v>94.022673434588327</v>
      </c>
      <c r="U468" s="3">
        <f t="shared" si="100"/>
        <v>1355.7290613097123</v>
      </c>
      <c r="V468" s="3">
        <f t="shared" si="101"/>
        <v>0</v>
      </c>
      <c r="W468" s="3">
        <f t="shared" si="111"/>
        <v>966.6668019149015</v>
      </c>
      <c r="Y468" s="3">
        <f t="shared" si="112"/>
        <v>2418.7633262332056</v>
      </c>
      <c r="AA468" s="3">
        <f t="shared" si="113"/>
        <v>1915.2287229939805</v>
      </c>
      <c r="AB468" s="3">
        <f t="shared" si="114"/>
        <v>-43.763326233205589</v>
      </c>
      <c r="AD468" s="3">
        <f t="shared" si="115"/>
        <v>1.4349858040292646E-5</v>
      </c>
    </row>
    <row r="469" spans="3:30" x14ac:dyDescent="0.3">
      <c r="C469" s="22">
        <v>437</v>
      </c>
      <c r="D469" s="22">
        <v>2492</v>
      </c>
      <c r="F469" s="3">
        <f t="shared" si="102"/>
        <v>10200.381795392113</v>
      </c>
      <c r="G469" s="3">
        <f t="shared" si="103"/>
        <v>1673.3732369937798</v>
      </c>
      <c r="H469" s="3">
        <f t="shared" si="104"/>
        <v>13.208267773532704</v>
      </c>
      <c r="I469" s="3">
        <f t="shared" si="105"/>
        <v>3.7221095276895193</v>
      </c>
      <c r="J469" s="3">
        <f t="shared" si="106"/>
        <v>-1.8907812057950857</v>
      </c>
      <c r="K469" s="3">
        <f t="shared" si="107"/>
        <v>3.4037500727883903E-8</v>
      </c>
      <c r="L469" s="3" cm="1">
        <f t="array" ref="L469">lmb_2(F469)</f>
        <v>10191.15206740551</v>
      </c>
      <c r="M469" s="3" cm="1">
        <f t="array" ref="M469">lmb_2(G469)</f>
        <v>1665.9528580777501</v>
      </c>
      <c r="N469" s="3" cm="1">
        <f t="array" ref="N469">lmb_2(H469)</f>
        <v>10.826290309559615</v>
      </c>
      <c r="O469" s="3" cm="1">
        <f t="array" ref="O469">lmb_2(I469)</f>
        <v>2.721080488017944</v>
      </c>
      <c r="P469" s="3" cm="1">
        <f t="array" ref="P469">lmb_2(J469)</f>
        <v>0.132253504411802</v>
      </c>
      <c r="R469" s="3">
        <f t="shared" si="108"/>
        <v>4.1158292625098285E-2</v>
      </c>
      <c r="S469" s="3">
        <f t="shared" si="109"/>
        <v>2.2875083756434402</v>
      </c>
      <c r="T469" s="3">
        <f t="shared" si="110"/>
        <v>93.279382334190643</v>
      </c>
      <c r="U469" s="3">
        <f t="shared" si="100"/>
        <v>1348.0632351531087</v>
      </c>
      <c r="V469" s="3">
        <f t="shared" si="101"/>
        <v>0</v>
      </c>
      <c r="W469" s="3">
        <f t="shared" si="111"/>
        <v>968.76924870828429</v>
      </c>
      <c r="Y469" s="3">
        <f t="shared" si="112"/>
        <v>2412.4405328978896</v>
      </c>
      <c r="AA469" s="3">
        <f t="shared" si="113"/>
        <v>6329.7088055717832</v>
      </c>
      <c r="AB469" s="3">
        <f t="shared" si="114"/>
        <v>79.559467102110375</v>
      </c>
      <c r="AD469" s="3">
        <f t="shared" si="115"/>
        <v>2.608730087363361E-5</v>
      </c>
    </row>
    <row r="470" spans="3:30" x14ac:dyDescent="0.3">
      <c r="C470" s="22">
        <v>438</v>
      </c>
      <c r="D470" s="22">
        <v>2446</v>
      </c>
      <c r="F470" s="3">
        <f t="shared" si="102"/>
        <v>10247.113363866391</v>
      </c>
      <c r="G470" s="3">
        <f t="shared" si="103"/>
        <v>1681.0360539698211</v>
      </c>
      <c r="H470" s="3">
        <f t="shared" si="104"/>
        <v>13.271413191539512</v>
      </c>
      <c r="I470" s="3">
        <f t="shared" si="105"/>
        <v>3.739236198797224</v>
      </c>
      <c r="J470" s="3">
        <f t="shared" si="106"/>
        <v>-1.8898862137917958</v>
      </c>
      <c r="K470" s="3">
        <f t="shared" si="107"/>
        <v>3.2048712627138852E-8</v>
      </c>
      <c r="L470" s="3" cm="1">
        <f t="array" ref="L470">lmb_2(F470)</f>
        <v>10237.879063147098</v>
      </c>
      <c r="M470" s="3" cm="1">
        <f t="array" ref="M470">lmb_2(G470)</f>
        <v>1673.6110974923081</v>
      </c>
      <c r="N470" s="3" cm="1">
        <f t="array" ref="N470">lmb_2(H470)</f>
        <v>10.88410932601489</v>
      </c>
      <c r="O470" s="3" cm="1">
        <f t="array" ref="O470">lmb_2(I470)</f>
        <v>2.7336122834731684</v>
      </c>
      <c r="P470" s="3" cm="1">
        <f t="array" ref="P470">lmb_2(J470)</f>
        <v>0.13235808095089549</v>
      </c>
      <c r="R470" s="3">
        <f t="shared" si="108"/>
        <v>4.0876790800319446E-2</v>
      </c>
      <c r="S470" s="3">
        <f t="shared" si="109"/>
        <v>2.271814569915835</v>
      </c>
      <c r="T470" s="3">
        <f t="shared" si="110"/>
        <v>92.543731262529562</v>
      </c>
      <c r="U470" s="3">
        <f t="shared" si="100"/>
        <v>1340.4396211191827</v>
      </c>
      <c r="V470" s="3">
        <f t="shared" si="101"/>
        <v>0</v>
      </c>
      <c r="W470" s="3">
        <f t="shared" si="111"/>
        <v>970.8716955016672</v>
      </c>
      <c r="Y470" s="3">
        <f t="shared" si="112"/>
        <v>2406.1677392761444</v>
      </c>
      <c r="AA470" s="3">
        <f t="shared" si="113"/>
        <v>1586.6089943732093</v>
      </c>
      <c r="AB470" s="3">
        <f t="shared" si="114"/>
        <v>39.832260723855597</v>
      </c>
      <c r="AD470" s="3">
        <f t="shared" si="115"/>
        <v>1.306087393278526E-5</v>
      </c>
    </row>
    <row r="471" spans="3:30" x14ac:dyDescent="0.3">
      <c r="C471" s="22">
        <v>439</v>
      </c>
      <c r="D471" s="22">
        <v>2348</v>
      </c>
      <c r="F471" s="3">
        <f t="shared" si="102"/>
        <v>10293.951747354318</v>
      </c>
      <c r="G471" s="3">
        <f t="shared" si="103"/>
        <v>1688.7163859560926</v>
      </c>
      <c r="H471" s="3">
        <f t="shared" si="104"/>
        <v>13.334702941930333</v>
      </c>
      <c r="I471" s="3">
        <f t="shared" si="105"/>
        <v>3.7564020165817471</v>
      </c>
      <c r="J471" s="3">
        <f t="shared" si="106"/>
        <v>-1.8889891760924984</v>
      </c>
      <c r="K471" s="3">
        <f t="shared" si="107"/>
        <v>3.0176128067343698E-8</v>
      </c>
      <c r="L471" s="3" cm="1">
        <f t="array" ref="L471">lmb_2(F471)</f>
        <v>10284.712884335375</v>
      </c>
      <c r="M471" s="3" cm="1">
        <f t="array" ref="M471">lmb_2(G471)</f>
        <v>1681.2868623778975</v>
      </c>
      <c r="N471" s="3" cm="1">
        <f t="array" ref="N471">lmb_2(H471)</f>
        <v>10.942086445941419</v>
      </c>
      <c r="O471" s="3" cm="1">
        <f t="array" ref="O471">lmb_2(I471)</f>
        <v>2.7461881820634506</v>
      </c>
      <c r="P471" s="3" cm="1">
        <f t="array" ref="P471">lmb_2(J471)</f>
        <v>0.1324629697919085</v>
      </c>
      <c r="R471" s="3">
        <f t="shared" si="108"/>
        <v>4.0597850614009806E-2</v>
      </c>
      <c r="S471" s="3">
        <f t="shared" si="109"/>
        <v>2.2562640794326456</v>
      </c>
      <c r="T471" s="3">
        <f t="shared" si="110"/>
        <v>91.815625495409478</v>
      </c>
      <c r="U471" s="3">
        <f t="shared" si="100"/>
        <v>1332.8581034760441</v>
      </c>
      <c r="V471" s="3">
        <f t="shared" si="101"/>
        <v>0</v>
      </c>
      <c r="W471" s="3">
        <f t="shared" si="111"/>
        <v>972.97414229505</v>
      </c>
      <c r="Y471" s="3">
        <f t="shared" si="112"/>
        <v>2399.9447332267264</v>
      </c>
      <c r="AA471" s="3">
        <f t="shared" si="113"/>
        <v>2698.2553099957722</v>
      </c>
      <c r="AB471" s="3">
        <f t="shared" si="114"/>
        <v>-51.944733226726385</v>
      </c>
      <c r="AD471" s="3">
        <f t="shared" si="115"/>
        <v>1.7032515850653543E-5</v>
      </c>
    </row>
    <row r="472" spans="3:30" x14ac:dyDescent="0.3">
      <c r="C472" s="22">
        <v>440</v>
      </c>
      <c r="D472" s="22">
        <v>2457</v>
      </c>
      <c r="F472" s="3">
        <f t="shared" si="102"/>
        <v>10340.896945855906</v>
      </c>
      <c r="G472" s="3">
        <f t="shared" si="103"/>
        <v>1696.4142329525948</v>
      </c>
      <c r="H472" s="3">
        <f t="shared" si="104"/>
        <v>13.39813702470517</v>
      </c>
      <c r="I472" s="3">
        <f t="shared" si="105"/>
        <v>3.7736069810430872</v>
      </c>
      <c r="J472" s="3">
        <f t="shared" si="106"/>
        <v>-1.8880900926971933</v>
      </c>
      <c r="K472" s="3">
        <f t="shared" si="107"/>
        <v>2.8412957354350427E-8</v>
      </c>
      <c r="L472" s="3" cm="1">
        <f t="array" ref="L472">lmb_2(F472)</f>
        <v>10331.653530922842</v>
      </c>
      <c r="M472" s="3" cm="1">
        <f t="array" ref="M472">lmb_2(G472)</f>
        <v>1688.9801526867968</v>
      </c>
      <c r="N472" s="3" cm="1">
        <f t="array" ref="N472">lmb_2(H472)</f>
        <v>11.000221606100583</v>
      </c>
      <c r="O472" s="3" cm="1">
        <f t="array" ref="O472">lmb_2(I472)</f>
        <v>2.7588082045253701</v>
      </c>
      <c r="P472" s="3" cm="1">
        <f t="array" ref="P472">lmb_2(J472)</f>
        <v>0.13256817147455188</v>
      </c>
      <c r="R472" s="3">
        <f t="shared" si="108"/>
        <v>4.0321442990164658E-2</v>
      </c>
      <c r="S472" s="3">
        <f t="shared" si="109"/>
        <v>2.2408552711702185</v>
      </c>
      <c r="T472" s="3">
        <f t="shared" si="110"/>
        <v>91.094971654538426</v>
      </c>
      <c r="U472" s="3">
        <f t="shared" si="100"/>
        <v>1325.3185641519028</v>
      </c>
      <c r="V472" s="3">
        <f t="shared" si="101"/>
        <v>0</v>
      </c>
      <c r="W472" s="3">
        <f t="shared" si="111"/>
        <v>975.0765890884328</v>
      </c>
      <c r="Y472" s="3">
        <f t="shared" si="112"/>
        <v>2393.7713016374473</v>
      </c>
      <c r="AA472" s="3">
        <f t="shared" si="113"/>
        <v>3997.8682966226716</v>
      </c>
      <c r="AB472" s="3">
        <f t="shared" si="114"/>
        <v>63.228698362552677</v>
      </c>
      <c r="AD472" s="3">
        <f t="shared" si="115"/>
        <v>2.0732492789514714E-5</v>
      </c>
    </row>
    <row r="473" spans="3:30" x14ac:dyDescent="0.3">
      <c r="C473" s="22">
        <v>441</v>
      </c>
      <c r="D473" s="22">
        <v>2463</v>
      </c>
      <c r="F473" s="3">
        <f t="shared" si="102"/>
        <v>10387.948959371151</v>
      </c>
      <c r="G473" s="3">
        <f t="shared" si="103"/>
        <v>1704.1295949593284</v>
      </c>
      <c r="H473" s="3">
        <f t="shared" si="104"/>
        <v>13.461715439864026</v>
      </c>
      <c r="I473" s="3">
        <f t="shared" si="105"/>
        <v>3.7908510921812457</v>
      </c>
      <c r="J473" s="3">
        <f t="shared" si="106"/>
        <v>-1.887188963605881</v>
      </c>
      <c r="K473" s="3">
        <f t="shared" si="107"/>
        <v>2.6752807511238788E-8</v>
      </c>
      <c r="L473" s="3" cm="1">
        <f t="array" ref="L473">lmb_2(F473)</f>
        <v>10378.701002862317</v>
      </c>
      <c r="M473" s="3" cm="1">
        <f t="array" ref="M473">lmb_2(G473)</f>
        <v>1696.6909683716103</v>
      </c>
      <c r="N473" s="3" cm="1">
        <f t="array" ref="N473">lmb_2(H473)</f>
        <v>11.058514743601283</v>
      </c>
      <c r="O473" s="3" cm="1">
        <f t="array" ref="O473">lmb_2(I473)</f>
        <v>2.7714723712374201</v>
      </c>
      <c r="P473" s="3" cm="1">
        <f t="array" ref="P473">lmb_2(J473)</f>
        <v>0.13267368654020076</v>
      </c>
      <c r="R473" s="3">
        <f t="shared" si="108"/>
        <v>4.0047539247964219E-2</v>
      </c>
      <c r="S473" s="3">
        <f t="shared" si="109"/>
        <v>2.225586534392948</v>
      </c>
      <c r="T473" s="3">
        <f t="shared" si="110"/>
        <v>90.381677686501547</v>
      </c>
      <c r="U473" s="3">
        <f t="shared" si="100"/>
        <v>1317.8208827976021</v>
      </c>
      <c r="V473" s="3">
        <f t="shared" si="101"/>
        <v>0</v>
      </c>
      <c r="W473" s="3">
        <f t="shared" si="111"/>
        <v>977.17903588181559</v>
      </c>
      <c r="Y473" s="3">
        <f t="shared" si="112"/>
        <v>2387.647230466313</v>
      </c>
      <c r="AA473" s="3">
        <f t="shared" si="113"/>
        <v>5678.0398763969515</v>
      </c>
      <c r="AB473" s="3">
        <f t="shared" si="114"/>
        <v>75.352769533687024</v>
      </c>
      <c r="AD473" s="3">
        <f t="shared" si="115"/>
        <v>2.470793787449492E-5</v>
      </c>
    </row>
    <row r="474" spans="3:30" x14ac:dyDescent="0.3">
      <c r="C474" s="22">
        <v>442</v>
      </c>
      <c r="D474" s="22">
        <v>2297</v>
      </c>
      <c r="F474" s="3">
        <f t="shared" si="102"/>
        <v>10435.10778790005</v>
      </c>
      <c r="G474" s="3">
        <f t="shared" si="103"/>
        <v>1711.8624719762927</v>
      </c>
      <c r="H474" s="3">
        <f t="shared" si="104"/>
        <v>13.525438187406895</v>
      </c>
      <c r="I474" s="3">
        <f t="shared" si="105"/>
        <v>3.8081343499962212</v>
      </c>
      <c r="J474" s="3">
        <f t="shared" si="106"/>
        <v>-1.8862857888185609</v>
      </c>
      <c r="K474" s="3">
        <f t="shared" si="107"/>
        <v>2.5189659098397538E-8</v>
      </c>
      <c r="L474" s="3" cm="1">
        <f t="array" ref="L474">lmb_2(F474)</f>
        <v>10425.855300106934</v>
      </c>
      <c r="M474" s="3" cm="1">
        <f t="array" ref="M474">lmb_2(G474)</f>
        <v>1704.4193093852637</v>
      </c>
      <c r="N474" s="3" cm="1">
        <f t="array" ref="N474">lmb_2(H474)</f>
        <v>11.116965795898604</v>
      </c>
      <c r="O474" s="3" cm="1">
        <f t="array" ref="O474">lmb_2(I474)</f>
        <v>2.7841807022228204</v>
      </c>
      <c r="P474" s="3" cm="1">
        <f t="array" ref="P474">lmb_2(J474)</f>
        <v>0.1327795155318974</v>
      </c>
      <c r="R474" s="3">
        <f t="shared" si="108"/>
        <v>3.9776111095520816E-2</v>
      </c>
      <c r="S474" s="3">
        <f t="shared" si="109"/>
        <v>2.2104562802990588</v>
      </c>
      <c r="T474" s="3">
        <f t="shared" si="110"/>
        <v>89.675652842081419</v>
      </c>
      <c r="U474" s="3">
        <f t="shared" si="100"/>
        <v>1310.3649368482697</v>
      </c>
      <c r="V474" s="3">
        <f t="shared" si="101"/>
        <v>0</v>
      </c>
      <c r="W474" s="3">
        <f t="shared" si="111"/>
        <v>979.28148267519839</v>
      </c>
      <c r="Y474" s="3">
        <f t="shared" si="112"/>
        <v>2381.5723047821339</v>
      </c>
      <c r="AA474" s="3">
        <f t="shared" si="113"/>
        <v>7152.474736162143</v>
      </c>
      <c r="AB474" s="3">
        <f t="shared" si="114"/>
        <v>-84.57230478213387</v>
      </c>
      <c r="AD474" s="3">
        <f t="shared" si="115"/>
        <v>2.7730994698551043E-5</v>
      </c>
    </row>
    <row r="475" spans="3:30" x14ac:dyDescent="0.3">
      <c r="C475" s="22">
        <v>443</v>
      </c>
      <c r="D475" s="22">
        <v>2427</v>
      </c>
      <c r="F475" s="3">
        <f t="shared" si="102"/>
        <v>10482.373431442602</v>
      </c>
      <c r="G475" s="3">
        <f t="shared" si="103"/>
        <v>1719.6128640034885</v>
      </c>
      <c r="H475" s="3">
        <f t="shared" si="104"/>
        <v>13.589305267333778</v>
      </c>
      <c r="I475" s="3">
        <f t="shared" si="105"/>
        <v>3.8254567544880143</v>
      </c>
      <c r="J475" s="3">
        <f t="shared" si="106"/>
        <v>-1.8853805683352334</v>
      </c>
      <c r="K475" s="3">
        <f t="shared" si="107"/>
        <v>2.3717844387992627E-8</v>
      </c>
      <c r="L475" s="3" cm="1">
        <f t="array" ref="L475">lmb_2(F475)</f>
        <v>10473.11642261015</v>
      </c>
      <c r="M475" s="3" cm="1">
        <f t="array" ref="M475">lmb_2(G475)</f>
        <v>1712.1651756810043</v>
      </c>
      <c r="N475" s="3" cm="1">
        <f t="array" ref="N475">lmb_2(H475)</f>
        <v>11.175574700792504</v>
      </c>
      <c r="O475" s="3" cm="1">
        <f t="array" ref="O475">lmb_2(I475)</f>
        <v>2.7969332171523358</v>
      </c>
      <c r="P475" s="3" cm="1">
        <f t="array" ref="P475">lmb_2(J475)</f>
        <v>0.13288565899435423</v>
      </c>
      <c r="R475" s="3">
        <f t="shared" si="108"/>
        <v>3.950713062373875E-2</v>
      </c>
      <c r="S475" s="3">
        <f t="shared" si="109"/>
        <v>2.1954629416728038</v>
      </c>
      <c r="T475" s="3">
        <f t="shared" si="110"/>
        <v>88.976807655918321</v>
      </c>
      <c r="U475" s="3">
        <f t="shared" si="100"/>
        <v>1302.9506015840834</v>
      </c>
      <c r="V475" s="3">
        <f t="shared" si="101"/>
        <v>0</v>
      </c>
      <c r="W475" s="3">
        <f t="shared" si="111"/>
        <v>981.38392946858119</v>
      </c>
      <c r="Y475" s="3">
        <f t="shared" si="112"/>
        <v>2375.5463088045972</v>
      </c>
      <c r="AA475" s="3">
        <f t="shared" si="113"/>
        <v>2647.4823376318741</v>
      </c>
      <c r="AB475" s="3">
        <f t="shared" si="114"/>
        <v>51.453691195402826</v>
      </c>
      <c r="AD475" s="3">
        <f t="shared" si="115"/>
        <v>1.6871504701643496E-5</v>
      </c>
    </row>
    <row r="476" spans="3:30" x14ac:dyDescent="0.3">
      <c r="C476" s="22">
        <v>444</v>
      </c>
      <c r="D476" s="22">
        <v>2305</v>
      </c>
      <c r="F476" s="3">
        <f t="shared" si="102"/>
        <v>10529.745889998812</v>
      </c>
      <c r="G476" s="3">
        <f t="shared" si="103"/>
        <v>1727.3807710409151</v>
      </c>
      <c r="H476" s="3">
        <f t="shared" si="104"/>
        <v>13.653316679644679</v>
      </c>
      <c r="I476" s="3">
        <f t="shared" si="105"/>
        <v>3.8428183056566252</v>
      </c>
      <c r="J476" s="3">
        <f t="shared" si="106"/>
        <v>-1.8844733021558984</v>
      </c>
      <c r="K476" s="3">
        <f t="shared" si="107"/>
        <v>2.2332026813686394E-8</v>
      </c>
      <c r="L476" s="3" cm="1">
        <f t="array" ref="L476">lmb_2(F476)</f>
        <v>10520.484370325741</v>
      </c>
      <c r="M476" s="3" cm="1">
        <f t="array" ref="M476">lmb_2(G476)</f>
        <v>1719.9285672123947</v>
      </c>
      <c r="N476" s="3" cm="1">
        <f t="array" ref="N476">lmb_2(H476)</f>
        <v>11.234341396426451</v>
      </c>
      <c r="O476" s="3" cm="1">
        <f t="array" ref="O476">lmb_2(I476)</f>
        <v>2.8097299353470873</v>
      </c>
      <c r="P476" s="3" cm="1">
        <f t="array" ref="P476">lmb_2(J476)</f>
        <v>0.13299211747395676</v>
      </c>
      <c r="R476" s="3">
        <f t="shared" si="108"/>
        <v>3.9240570300284841E-2</v>
      </c>
      <c r="S476" s="3">
        <f t="shared" si="109"/>
        <v>2.1806049725429579</v>
      </c>
      <c r="T476" s="3">
        <f t="shared" si="110"/>
        <v>88.285053926506137</v>
      </c>
      <c r="U476" s="3">
        <f t="shared" si="100"/>
        <v>1295.5777501901669</v>
      </c>
      <c r="V476" s="3">
        <f t="shared" si="101"/>
        <v>0</v>
      </c>
      <c r="W476" s="3">
        <f t="shared" si="111"/>
        <v>983.48637626196398</v>
      </c>
      <c r="Y476" s="3">
        <f t="shared" si="112"/>
        <v>2369.5690259438124</v>
      </c>
      <c r="AA476" s="3">
        <f t="shared" si="113"/>
        <v>4169.1591113327249</v>
      </c>
      <c r="AB476" s="3">
        <f t="shared" si="114"/>
        <v>-64.569025943812449</v>
      </c>
      <c r="AD476" s="3">
        <f t="shared" si="115"/>
        <v>2.1171982018831407E-5</v>
      </c>
    </row>
    <row r="477" spans="3:30" x14ac:dyDescent="0.3">
      <c r="C477" s="22">
        <v>445</v>
      </c>
      <c r="D477" s="22">
        <v>2392</v>
      </c>
      <c r="F477" s="3">
        <f t="shared" si="102"/>
        <v>10577.225163568677</v>
      </c>
      <c r="G477" s="3">
        <f t="shared" si="103"/>
        <v>1735.1661930885721</v>
      </c>
      <c r="H477" s="3">
        <f t="shared" si="104"/>
        <v>13.717472424339595</v>
      </c>
      <c r="I477" s="3">
        <f t="shared" si="105"/>
        <v>3.8602190035020532</v>
      </c>
      <c r="J477" s="3">
        <f t="shared" si="106"/>
        <v>-1.8835639902805559</v>
      </c>
      <c r="K477" s="3">
        <f t="shared" si="107"/>
        <v>2.1027181621095778E-8</v>
      </c>
      <c r="L477" s="3" cm="1">
        <f t="array" ref="L477">lmb_2(F477)</f>
        <v>10567.959143207789</v>
      </c>
      <c r="M477" s="3" cm="1">
        <f t="array" ref="M477">lmb_2(G477)</f>
        <v>1727.7094839333131</v>
      </c>
      <c r="N477" s="3" cm="1">
        <f t="array" ref="N477">lmb_2(H477)</f>
        <v>11.293265821286049</v>
      </c>
      <c r="O477" s="3" cm="1">
        <f t="array" ref="O477">lmb_2(I477)</f>
        <v>2.8225708757813655</v>
      </c>
      <c r="P477" s="3" cm="1">
        <f t="array" ref="P477">lmb_2(J477)</f>
        <v>0.13309889151876658</v>
      </c>
      <c r="R477" s="3">
        <f t="shared" si="108"/>
        <v>3.897640296366732E-2</v>
      </c>
      <c r="S477" s="3">
        <f t="shared" si="109"/>
        <v>2.16588084784747</v>
      </c>
      <c r="T477" s="3">
        <f t="shared" si="110"/>
        <v>87.600304696518052</v>
      </c>
      <c r="U477" s="3">
        <f t="shared" si="100"/>
        <v>1288.2462538156092</v>
      </c>
      <c r="V477" s="3">
        <f t="shared" si="101"/>
        <v>0</v>
      </c>
      <c r="W477" s="3">
        <f t="shared" si="111"/>
        <v>985.58882305534678</v>
      </c>
      <c r="Y477" s="3">
        <f t="shared" si="112"/>
        <v>2363.6402388393121</v>
      </c>
      <c r="AA477" s="3">
        <f t="shared" si="113"/>
        <v>804.27605309126</v>
      </c>
      <c r="AB477" s="3">
        <f t="shared" si="114"/>
        <v>28.359761160687867</v>
      </c>
      <c r="AD477" s="3">
        <f t="shared" si="115"/>
        <v>9.2990771438139591E-6</v>
      </c>
    </row>
    <row r="478" spans="3:30" x14ac:dyDescent="0.3">
      <c r="C478" s="22">
        <v>446</v>
      </c>
      <c r="D478" s="22">
        <v>2305</v>
      </c>
      <c r="F478" s="3">
        <f t="shared" si="102"/>
        <v>10624.811252152194</v>
      </c>
      <c r="G478" s="3">
        <f t="shared" si="103"/>
        <v>1742.9691301464602</v>
      </c>
      <c r="H478" s="3">
        <f t="shared" si="104"/>
        <v>13.781772501418526</v>
      </c>
      <c r="I478" s="3">
        <f t="shared" si="105"/>
        <v>3.8776588480242995</v>
      </c>
      <c r="J478" s="3">
        <f t="shared" si="106"/>
        <v>-1.8826526327092057</v>
      </c>
      <c r="K478" s="3">
        <f t="shared" si="107"/>
        <v>1.9798577648831087E-8</v>
      </c>
      <c r="L478" s="3" cm="1">
        <f t="array" ref="L478">lmb_2(F478)</f>
        <v>10615.540741210683</v>
      </c>
      <c r="M478" s="3" cm="1">
        <f t="array" ref="M478">lmb_2(G478)</f>
        <v>1735.5079257979489</v>
      </c>
      <c r="N478" s="3" cm="1">
        <f t="array" ref="N478">lmb_2(H478)</f>
        <v>11.352347914197646</v>
      </c>
      <c r="O478" s="3" cm="1">
        <f t="array" ref="O478">lmb_2(I478)</f>
        <v>2.8354560570854397</v>
      </c>
      <c r="P478" s="3" cm="1">
        <f t="array" ref="P478">lmb_2(J478)</f>
        <v>0.13320598167852443</v>
      </c>
      <c r="R478" s="3">
        <f t="shared" si="108"/>
        <v>3.871460181742073E-2</v>
      </c>
      <c r="S478" s="3">
        <f t="shared" si="109"/>
        <v>2.1512890631041568</v>
      </c>
      <c r="T478" s="3">
        <f t="shared" si="110"/>
        <v>86.922474233456143</v>
      </c>
      <c r="U478" s="3">
        <f t="shared" si="100"/>
        <v>1280.9559816316248</v>
      </c>
      <c r="V478" s="3">
        <f t="shared" si="101"/>
        <v>0</v>
      </c>
      <c r="W478" s="3">
        <f t="shared" si="111"/>
        <v>987.69126984872958</v>
      </c>
      <c r="Y478" s="3">
        <f t="shared" si="112"/>
        <v>2357.7597293985309</v>
      </c>
      <c r="AA478" s="3">
        <f t="shared" si="113"/>
        <v>2783.5890462062066</v>
      </c>
      <c r="AB478" s="3">
        <f t="shared" si="114"/>
        <v>-52.759729398530908</v>
      </c>
      <c r="AD478" s="3">
        <f t="shared" si="115"/>
        <v>1.7299750550924181E-5</v>
      </c>
    </row>
    <row r="479" spans="3:30" x14ac:dyDescent="0.3">
      <c r="C479" s="22">
        <v>447</v>
      </c>
      <c r="D479" s="22">
        <v>2425</v>
      </c>
      <c r="F479" s="3">
        <f t="shared" si="102"/>
        <v>10672.504155749371</v>
      </c>
      <c r="G479" s="3">
        <f t="shared" si="103"/>
        <v>1750.7895822145795</v>
      </c>
      <c r="H479" s="3">
        <f t="shared" si="104"/>
        <v>13.846216910881477</v>
      </c>
      <c r="I479" s="3">
        <f t="shared" si="105"/>
        <v>3.8951378392233629</v>
      </c>
      <c r="J479" s="3">
        <f t="shared" si="106"/>
        <v>-1.8817392294418482</v>
      </c>
      <c r="K479" s="3">
        <f t="shared" si="107"/>
        <v>1.8641760174056399E-8</v>
      </c>
      <c r="L479" s="3" cm="1">
        <f t="array" ref="L479">lmb_2(F479)</f>
        <v>10663.229164289132</v>
      </c>
      <c r="M479" s="3" cm="1">
        <f t="array" ref="M479">lmb_2(G479)</f>
        <v>1743.3238927608002</v>
      </c>
      <c r="N479" s="3" cm="1">
        <f t="array" ref="N479">lmb_2(H479)</f>
        <v>11.411587614326949</v>
      </c>
      <c r="O479" s="3" cm="1">
        <f t="array" ref="O479">lmb_2(I479)</f>
        <v>2.8483854975483642</v>
      </c>
      <c r="P479" s="3" cm="1">
        <f t="array" ref="P479">lmb_2(J479)</f>
        <v>0.13331338850465299</v>
      </c>
      <c r="R479" s="3">
        <f t="shared" si="108"/>
        <v>3.8455140424394796E-2</v>
      </c>
      <c r="S479" s="3">
        <f t="shared" si="109"/>
        <v>2.1368281340873101</v>
      </c>
      <c r="T479" s="3">
        <f t="shared" si="110"/>
        <v>86.251478010619692</v>
      </c>
      <c r="U479" s="3">
        <f t="shared" si="100"/>
        <v>1273.7068008888484</v>
      </c>
      <c r="V479" s="3">
        <f t="shared" si="101"/>
        <v>0</v>
      </c>
      <c r="W479" s="3">
        <f t="shared" si="111"/>
        <v>989.79371664211237</v>
      </c>
      <c r="Y479" s="3">
        <f t="shared" si="112"/>
        <v>2351.9272788347339</v>
      </c>
      <c r="AA479" s="3">
        <f t="shared" si="113"/>
        <v>5339.6225784967282</v>
      </c>
      <c r="AB479" s="3">
        <f t="shared" si="114"/>
        <v>73.072721165266103</v>
      </c>
      <c r="AD479" s="3">
        <f t="shared" si="115"/>
        <v>2.3960317132929442E-5</v>
      </c>
    </row>
    <row r="480" spans="3:30" x14ac:dyDescent="0.3">
      <c r="C480" s="22">
        <v>448</v>
      </c>
      <c r="D480" s="22">
        <v>2336</v>
      </c>
      <c r="F480" s="3">
        <f t="shared" si="102"/>
        <v>10720.303874360205</v>
      </c>
      <c r="G480" s="3">
        <f t="shared" si="103"/>
        <v>1758.6275492929301</v>
      </c>
      <c r="H480" s="3">
        <f t="shared" si="104"/>
        <v>13.910805652728438</v>
      </c>
      <c r="I480" s="3">
        <f t="shared" si="105"/>
        <v>3.9126559770992442</v>
      </c>
      <c r="J480" s="3">
        <f t="shared" si="106"/>
        <v>-1.8808237804784831</v>
      </c>
      <c r="K480" s="3">
        <f t="shared" si="107"/>
        <v>1.7552534760372175E-8</v>
      </c>
      <c r="L480" s="3" cm="1">
        <f t="array" ref="L480">lmb_2(F480)</f>
        <v>10711.024412398137</v>
      </c>
      <c r="M480" s="3" cm="1">
        <f t="array" ref="M480">lmb_2(G480)</f>
        <v>1751.1573847766713</v>
      </c>
      <c r="N480" s="3" cm="1">
        <f t="array" ref="N480">lmb_2(H480)</f>
        <v>11.470984861177579</v>
      </c>
      <c r="O480" s="3" cm="1">
        <f t="array" ref="O480">lmb_2(I480)</f>
        <v>2.8613592151207841</v>
      </c>
      <c r="P480" s="3" cm="1">
        <f t="array" ref="P480">lmb_2(J480)</f>
        <v>0.1334211125502601</v>
      </c>
      <c r="R480" s="3">
        <f t="shared" si="108"/>
        <v>3.8197992701145378E-2</v>
      </c>
      <c r="S480" s="3">
        <f t="shared" si="109"/>
        <v>2.1224965965101039</v>
      </c>
      <c r="T480" s="3">
        <f t="shared" si="110"/>
        <v>85.587232688387473</v>
      </c>
      <c r="U480" s="3">
        <f t="shared" ref="U480:U531" si="116">$I$18*(C480/$I$19)*($O$28+$O$28^2)/(O480+O480^2)</f>
        <v>1266.4985769737782</v>
      </c>
      <c r="V480" s="3">
        <f t="shared" ref="V480:V531" si="117">$J$18*(C480/$J$19)*($P$28+$P$28^2)/(P480+P480^2)</f>
        <v>0</v>
      </c>
      <c r="W480" s="3">
        <f t="shared" si="111"/>
        <v>991.89616343549517</v>
      </c>
      <c r="Y480" s="3">
        <f t="shared" si="112"/>
        <v>2346.1426677044246</v>
      </c>
      <c r="AA480" s="3">
        <f t="shared" si="113"/>
        <v>102.87370816237858</v>
      </c>
      <c r="AB480" s="3">
        <f t="shared" si="114"/>
        <v>-10.142667704424639</v>
      </c>
      <c r="AD480" s="3">
        <f t="shared" si="115"/>
        <v>3.3257490742995902E-6</v>
      </c>
    </row>
    <row r="481" spans="3:30" x14ac:dyDescent="0.3">
      <c r="C481" s="22">
        <v>449</v>
      </c>
      <c r="D481" s="22">
        <v>2349</v>
      </c>
      <c r="F481" s="3">
        <f t="shared" ref="F481:F531" si="118">$F$20/(1-$F$20)-LN((1-$F$20)/$F$20)+(C481/$F$19)^2/((1-$F$20)*(1+0.534156*$F$20^0.7917))</f>
        <v>10768.210407984687</v>
      </c>
      <c r="G481" s="3">
        <f t="shared" ref="G481:G531" si="119">$G$20/(1-$G$20)-LN((1-$G$20)/$G$20)+(C481/$G$19)^2/((1-$G$20)*(1+0.534156*$G$20^0.7917))</f>
        <v>1766.4830313815112</v>
      </c>
      <c r="H481" s="3">
        <f t="shared" ref="H481:H531" si="120">$H$20/(1-$H$20)-LN((1-$H$20)/$H$20)+(C481/$H$19)^2/((1-$H$20)*(1+0.534156*$H$20^0.7917))</f>
        <v>13.975538726959417</v>
      </c>
      <c r="I481" s="3">
        <f t="shared" ref="I481:I531" si="121">$I$20/(1-$I$20)-LN((1-$I$20)/$I$20)+(C481/$I$19)^2/((1-$I$20)*(1+0.534156*$I$20^0.7917))</f>
        <v>3.9302132616519434</v>
      </c>
      <c r="J481" s="3">
        <f t="shared" ref="J481:J531" si="122">$J$20/(1-$J$20)-LN((1-$J$20)/$J$20)+(C481/$J$19)^2/((1-$J$20)*(1+0.534156*$J$20^0.7917))</f>
        <v>-1.8799062858191105</v>
      </c>
      <c r="K481" s="3">
        <f t="shared" ref="K481:K531" si="123">$K$18*EXP(-$K$20*C481)</f>
        <v>1.6526952049455184E-8</v>
      </c>
      <c r="L481" s="3" cm="1">
        <f t="array" ref="L481">lmb_2(F481)</f>
        <v>10758.926485492995</v>
      </c>
      <c r="M481" s="3" cm="1">
        <f t="array" ref="M481">lmb_2(G481)</f>
        <v>1759.0084018006678</v>
      </c>
      <c r="N481" s="3" cm="1">
        <f t="array" ref="N481">lmb_2(H481)</f>
        <v>11.530539594589658</v>
      </c>
      <c r="O481" s="3" cm="1">
        <f t="array" ref="O481">lmb_2(I481)</f>
        <v>2.8743772274177357</v>
      </c>
      <c r="P481" s="3" cm="1">
        <f t="array" ref="P481">lmb_2(J481)</f>
        <v>0.13352915437014168</v>
      </c>
      <c r="R481" s="3">
        <f t="shared" ref="R481:R531" si="124">$F$18*(C481/$F$19)*($L$28+$L$28^2)/(L481+L481^2)</f>
        <v>3.7943132912425154E-2</v>
      </c>
      <c r="S481" s="3">
        <f t="shared" ref="S481:S531" si="125">$G$18*(C481/$G$19)*($M$28+$M$28^2)/(M481+M481^2)</f>
        <v>2.1082930057126803</v>
      </c>
      <c r="T481" s="3">
        <f t="shared" ref="T481:T531" si="126">$H$18*(C481/$H$19)*($N$28+$N$28^2)/(N481+N481^2)</f>
        <v>84.929656095807957</v>
      </c>
      <c r="U481" s="3">
        <f t="shared" si="116"/>
        <v>1259.331173464366</v>
      </c>
      <c r="V481" s="3">
        <f t="shared" si="117"/>
        <v>0</v>
      </c>
      <c r="W481" s="3">
        <f t="shared" ref="W481:W531" si="127">$F$22+$G$22/$F$21*C481</f>
        <v>993.99861022887796</v>
      </c>
      <c r="Y481" s="3">
        <f t="shared" ref="Y481:Y531" si="128">SUM(R481:W481)+K481</f>
        <v>2340.4056759442037</v>
      </c>
      <c r="AA481" s="3">
        <f t="shared" ref="AA481:AA531" si="129">(D481-Y481)^2</f>
        <v>73.862405976038588</v>
      </c>
      <c r="AB481" s="3">
        <f t="shared" ref="AB481:AB531" si="130">D481-Y481</f>
        <v>8.5943240557962781</v>
      </c>
      <c r="AD481" s="3">
        <f t="shared" ref="AD481:AD531" si="131">ABS(AB481/$AC$32)</f>
        <v>2.8180520259306445E-6</v>
      </c>
    </row>
    <row r="482" spans="3:30" x14ac:dyDescent="0.3">
      <c r="C482" s="22">
        <v>450</v>
      </c>
      <c r="D482" s="22">
        <v>2268</v>
      </c>
      <c r="F482" s="3">
        <f t="shared" si="118"/>
        <v>10816.22375662283</v>
      </c>
      <c r="G482" s="3">
        <f t="shared" si="119"/>
        <v>1774.3560284803229</v>
      </c>
      <c r="H482" s="3">
        <f t="shared" si="120"/>
        <v>14.040416133574411</v>
      </c>
      <c r="I482" s="3">
        <f t="shared" si="121"/>
        <v>3.9478096928814597</v>
      </c>
      <c r="J482" s="3">
        <f t="shared" si="122"/>
        <v>-1.8789867454637303</v>
      </c>
      <c r="K482" s="3">
        <f t="shared" si="123"/>
        <v>1.55612934413126E-8</v>
      </c>
      <c r="L482" s="3" cm="1">
        <f t="array" ref="L482">lmb_2(F482)</f>
        <v>10806.935383529324</v>
      </c>
      <c r="M482" s="3" cm="1">
        <f t="array" ref="M482">lmb_2(G482)</f>
        <v>1766.8769437881972</v>
      </c>
      <c r="N482" s="3" cm="1">
        <f t="array" ref="N482">lmb_2(H482)</f>
        <v>11.590251754738356</v>
      </c>
      <c r="O482" s="3" cm="1">
        <f t="array" ref="O482">lmb_2(I482)</f>
        <v>2.8874395517214415</v>
      </c>
      <c r="P482" s="3" cm="1">
        <f t="array" ref="P482">lmb_2(J482)</f>
        <v>0.13363751452078476</v>
      </c>
      <c r="R482" s="3">
        <f t="shared" si="124"/>
        <v>3.7690535665771997E-2</v>
      </c>
      <c r="S482" s="3">
        <f t="shared" si="125"/>
        <v>2.0942159363557962</v>
      </c>
      <c r="T482" s="3">
        <f t="shared" si="126"/>
        <v>84.278667212493048</v>
      </c>
      <c r="U482" s="3">
        <f t="shared" si="116"/>
        <v>1252.2044521847715</v>
      </c>
      <c r="V482" s="3">
        <f t="shared" si="117"/>
        <v>0</v>
      </c>
      <c r="W482" s="3">
        <f t="shared" si="127"/>
        <v>996.10105702226076</v>
      </c>
      <c r="Y482" s="3">
        <f t="shared" si="128"/>
        <v>2334.7160829071086</v>
      </c>
      <c r="AA482" s="3">
        <f t="shared" si="129"/>
        <v>4451.0357184681825</v>
      </c>
      <c r="AB482" s="3">
        <f t="shared" si="130"/>
        <v>-66.716082907108557</v>
      </c>
      <c r="AD482" s="3">
        <f t="shared" si="131"/>
        <v>2.1875995293863134E-5</v>
      </c>
    </row>
    <row r="483" spans="3:30" x14ac:dyDescent="0.3">
      <c r="C483" s="22">
        <v>451</v>
      </c>
      <c r="D483" s="22">
        <v>2378</v>
      </c>
      <c r="F483" s="3">
        <f t="shared" si="118"/>
        <v>10864.343920274629</v>
      </c>
      <c r="G483" s="3">
        <f t="shared" si="119"/>
        <v>1782.2465405893661</v>
      </c>
      <c r="H483" s="3">
        <f t="shared" si="120"/>
        <v>14.10543787257342</v>
      </c>
      <c r="I483" s="3">
        <f t="shared" si="121"/>
        <v>3.9654452707877943</v>
      </c>
      <c r="J483" s="3">
        <f t="shared" si="122"/>
        <v>-1.8780651594123428</v>
      </c>
      <c r="K483" s="3">
        <f t="shared" si="123"/>
        <v>1.4652057611229122E-8</v>
      </c>
      <c r="L483" s="3" cm="1">
        <f t="array" ref="L483">lmb_2(F483)</f>
        <v>10855.051106463014</v>
      </c>
      <c r="M483" s="3" cm="1">
        <f t="array" ref="M483">lmb_2(G483)</f>
        <v>1774.7630106949657</v>
      </c>
      <c r="N483" s="3" cm="1">
        <f t="array" ref="N483">lmb_2(H483)</f>
        <v>11.650121282132428</v>
      </c>
      <c r="O483" s="3" cm="1">
        <f t="array" ref="O483">lmb_2(I483)</f>
        <v>2.9005462049841064</v>
      </c>
      <c r="P483" s="3" cm="1">
        <f t="array" ref="P483">lmb_2(J483)</f>
        <v>0.1337461935603704</v>
      </c>
      <c r="R483" s="3">
        <f t="shared" si="124"/>
        <v>3.7440175906193716E-2</v>
      </c>
      <c r="S483" s="3">
        <f t="shared" si="125"/>
        <v>2.0802639821199254</v>
      </c>
      <c r="T483" s="3">
        <f t="shared" si="126"/>
        <v>83.634186150809697</v>
      </c>
      <c r="U483" s="3">
        <f t="shared" si="116"/>
        <v>1245.1182732592683</v>
      </c>
      <c r="V483" s="3">
        <f t="shared" si="117"/>
        <v>0</v>
      </c>
      <c r="W483" s="3">
        <f t="shared" si="127"/>
        <v>998.20350381564356</v>
      </c>
      <c r="Y483" s="3">
        <f t="shared" si="128"/>
        <v>2329.0736673983997</v>
      </c>
      <c r="AA483" s="3">
        <f t="shared" si="129"/>
        <v>2393.7860218424144</v>
      </c>
      <c r="AB483" s="3">
        <f t="shared" si="130"/>
        <v>48.926332601600279</v>
      </c>
      <c r="AD483" s="3">
        <f t="shared" si="131"/>
        <v>1.6042791709291868E-5</v>
      </c>
    </row>
    <row r="484" spans="3:30" x14ac:dyDescent="0.3">
      <c r="C484" s="22">
        <v>452</v>
      </c>
      <c r="D484" s="22">
        <v>2348</v>
      </c>
      <c r="F484" s="3">
        <f t="shared" si="118"/>
        <v>10912.570898940081</v>
      </c>
      <c r="G484" s="3">
        <f t="shared" si="119"/>
        <v>1790.1545677086399</v>
      </c>
      <c r="H484" s="3">
        <f t="shared" si="120"/>
        <v>14.170603943956444</v>
      </c>
      <c r="I484" s="3">
        <f t="shared" si="121"/>
        <v>3.9831199953709451</v>
      </c>
      <c r="J484" s="3">
        <f t="shared" si="122"/>
        <v>-1.8771415276649475</v>
      </c>
      <c r="K484" s="3">
        <f t="shared" si="123"/>
        <v>1.3795947814519758E-8</v>
      </c>
      <c r="L484" s="3" cm="1">
        <f t="array" ref="L484">lmb_2(F484)</f>
        <v>10903.273654250259</v>
      </c>
      <c r="M484" s="3" cm="1">
        <f t="array" ref="M484">lmb_2(G484)</f>
        <v>1782.6666024769725</v>
      </c>
      <c r="N484" s="3" cm="1">
        <f t="array" ref="N484">lmb_2(H484)</f>
        <v>11.710148117612745</v>
      </c>
      <c r="O484" s="3" cm="1">
        <f t="array" ref="O484">lmb_2(I484)</f>
        <v>2.9136972038307012</v>
      </c>
      <c r="P484" s="3" cm="1">
        <f t="array" ref="P484">lmb_2(J484)</f>
        <v>0.13385519204877688</v>
      </c>
      <c r="R484" s="3">
        <f t="shared" si="124"/>
        <v>3.7192028910946334E-2</v>
      </c>
      <c r="S484" s="3">
        <f t="shared" si="125"/>
        <v>2.0664357554097221</v>
      </c>
      <c r="T484" s="3">
        <f t="shared" si="126"/>
        <v>82.996134138365136</v>
      </c>
      <c r="U484" s="3">
        <f t="shared" si="116"/>
        <v>1238.0724951653301</v>
      </c>
      <c r="V484" s="3">
        <f t="shared" si="117"/>
        <v>0</v>
      </c>
      <c r="W484" s="3">
        <f t="shared" si="127"/>
        <v>1000.3059506090264</v>
      </c>
      <c r="Y484" s="3">
        <f t="shared" si="128"/>
        <v>2323.4782077108384</v>
      </c>
      <c r="AA484" s="3">
        <f t="shared" si="129"/>
        <v>601.31829707278371</v>
      </c>
      <c r="AB484" s="3">
        <f t="shared" si="130"/>
        <v>24.521792289161567</v>
      </c>
      <c r="AD484" s="3">
        <f t="shared" si="131"/>
        <v>8.0406191331960013E-6</v>
      </c>
    </row>
    <row r="485" spans="3:30" x14ac:dyDescent="0.3">
      <c r="C485" s="22">
        <v>453</v>
      </c>
      <c r="D485" s="22">
        <v>2378</v>
      </c>
      <c r="F485" s="3">
        <f t="shared" si="118"/>
        <v>10960.90469261919</v>
      </c>
      <c r="G485" s="3">
        <f t="shared" si="119"/>
        <v>1798.0801098381446</v>
      </c>
      <c r="H485" s="3">
        <f t="shared" si="120"/>
        <v>14.235914347723485</v>
      </c>
      <c r="I485" s="3">
        <f t="shared" si="121"/>
        <v>4.0008338666309156</v>
      </c>
      <c r="J485" s="3">
        <f t="shared" si="122"/>
        <v>-1.8762158502215447</v>
      </c>
      <c r="K485" s="3">
        <f t="shared" si="123"/>
        <v>1.2989859933057305E-8</v>
      </c>
      <c r="L485" s="3" cm="1">
        <f t="array" ref="L485">lmb_2(F485)</f>
        <v>10951.603026847546</v>
      </c>
      <c r="M485" s="3" cm="1">
        <f t="array" ref="M485">lmb_2(G485)</f>
        <v>1790.5877190905103</v>
      </c>
      <c r="N485" s="3" cm="1">
        <f t="array" ref="N485">lmb_2(H485)</f>
        <v>11.77033220235081</v>
      </c>
      <c r="O485" s="3" cm="1">
        <f t="array" ref="O485">lmb_2(I485)</f>
        <v>2.9268925645617547</v>
      </c>
      <c r="P485" s="3" cm="1">
        <f t="array" ref="P485">lmb_2(J485)</f>
        <v>0.1339645105475826</v>
      </c>
      <c r="R485" s="3">
        <f t="shared" si="124"/>
        <v>3.6946070284404768E-2</v>
      </c>
      <c r="S485" s="3">
        <f t="shared" si="125"/>
        <v>2.0527298870636979</v>
      </c>
      <c r="T485" s="3">
        <f t="shared" si="126"/>
        <v>82.364433500779981</v>
      </c>
      <c r="U485" s="3">
        <f t="shared" si="116"/>
        <v>1231.0669747858767</v>
      </c>
      <c r="V485" s="3">
        <f t="shared" si="117"/>
        <v>0</v>
      </c>
      <c r="W485" s="3">
        <f t="shared" si="127"/>
        <v>1002.4083974024092</v>
      </c>
      <c r="Y485" s="3">
        <f t="shared" si="128"/>
        <v>2317.9294816594038</v>
      </c>
      <c r="AA485" s="3">
        <f t="shared" si="129"/>
        <v>3608.4671737079057</v>
      </c>
      <c r="AB485" s="3">
        <f t="shared" si="130"/>
        <v>60.070518340596209</v>
      </c>
      <c r="AD485" s="3">
        <f t="shared" si="131"/>
        <v>1.9696935420331535E-5</v>
      </c>
    </row>
    <row r="486" spans="3:30" x14ac:dyDescent="0.3">
      <c r="C486" s="22">
        <v>454</v>
      </c>
      <c r="D486" s="22">
        <v>2378</v>
      </c>
      <c r="F486" s="3">
        <f t="shared" si="118"/>
        <v>11009.345301311954</v>
      </c>
      <c r="G486" s="3">
        <f t="shared" si="119"/>
        <v>1806.0231669778809</v>
      </c>
      <c r="H486" s="3">
        <f t="shared" si="120"/>
        <v>14.30136908387454</v>
      </c>
      <c r="I486" s="3">
        <f t="shared" si="121"/>
        <v>4.0185868845677026</v>
      </c>
      <c r="J486" s="3">
        <f t="shared" si="122"/>
        <v>-1.8752881270821344</v>
      </c>
      <c r="K486" s="3">
        <f t="shared" si="123"/>
        <v>1.223087122023315E-8</v>
      </c>
      <c r="L486" s="3" cm="1">
        <f t="array" ref="L486">lmb_2(F486)</f>
        <v>11000.039224211643</v>
      </c>
      <c r="M486" s="3" cm="1">
        <f t="array" ref="M486">lmb_2(G486)</f>
        <v>1798.5263604921627</v>
      </c>
      <c r="N486" s="3" cm="1">
        <f t="array" ref="N486">lmb_2(H486)</f>
        <v>11.830673477847258</v>
      </c>
      <c r="O486" s="3" cm="1">
        <f t="array" ref="O486">lmb_2(I486)</f>
        <v>2.94013230315612</v>
      </c>
      <c r="P486" s="3" cm="1">
        <f t="array" ref="P486">lmb_2(J486)</f>
        <v>0.13407414962006919</v>
      </c>
      <c r="R486" s="3">
        <f t="shared" si="124"/>
        <v>3.6702275953023764E-2</v>
      </c>
      <c r="S486" s="3">
        <f t="shared" si="125"/>
        <v>2.0391450260690469</v>
      </c>
      <c r="T486" s="3">
        <f t="shared" si="126"/>
        <v>81.739007644745271</v>
      </c>
      <c r="U486" s="3">
        <f t="shared" si="116"/>
        <v>1224.1015674607202</v>
      </c>
      <c r="V486" s="3">
        <f t="shared" si="117"/>
        <v>0</v>
      </c>
      <c r="W486" s="3">
        <f t="shared" si="127"/>
        <v>1004.5108441957919</v>
      </c>
      <c r="Y486" s="3">
        <f t="shared" si="128"/>
        <v>2312.4272666155102</v>
      </c>
      <c r="AA486" s="3">
        <f t="shared" si="129"/>
        <v>4299.7833635133784</v>
      </c>
      <c r="AB486" s="3">
        <f t="shared" si="130"/>
        <v>65.572733384489766</v>
      </c>
      <c r="AD486" s="3">
        <f t="shared" si="131"/>
        <v>2.15010945549982E-5</v>
      </c>
    </row>
    <row r="487" spans="3:30" x14ac:dyDescent="0.3">
      <c r="C487" s="22">
        <v>455</v>
      </c>
      <c r="D487" s="22">
        <v>2340</v>
      </c>
      <c r="F487" s="3">
        <f t="shared" si="118"/>
        <v>11057.892725018375</v>
      </c>
      <c r="G487" s="3">
        <f t="shared" si="119"/>
        <v>1813.9837391278477</v>
      </c>
      <c r="H487" s="3">
        <f t="shared" si="120"/>
        <v>14.366968152409612</v>
      </c>
      <c r="I487" s="3">
        <f t="shared" si="121"/>
        <v>4.0363790491813063</v>
      </c>
      <c r="J487" s="3">
        <f t="shared" si="122"/>
        <v>-1.8743583582467167</v>
      </c>
      <c r="K487" s="3">
        <f t="shared" si="123"/>
        <v>1.1516229703542183E-8</v>
      </c>
      <c r="L487" s="3" cm="1">
        <f t="array" ref="L487">lmb_2(F487)</f>
        <v>11048.582246299609</v>
      </c>
      <c r="M487" s="3" cm="1">
        <f t="array" ref="M487">lmb_2(G487)</f>
        <v>1806.4825266387982</v>
      </c>
      <c r="N487" s="3" cm="1">
        <f t="array" ref="N487">lmb_2(H487)</f>
        <v>11.891171885930365</v>
      </c>
      <c r="O487" s="3" cm="1">
        <f t="array" ref="O487">lmb_2(I487)</f>
        <v>2.9534164352737573</v>
      </c>
      <c r="P487" s="3" cm="1">
        <f t="array" ref="P487">lmb_2(J487)</f>
        <v>0.13418410983122453</v>
      </c>
      <c r="R487" s="3">
        <f t="shared" si="124"/>
        <v>3.6460622160387299E-2</v>
      </c>
      <c r="S487" s="3">
        <f t="shared" si="125"/>
        <v>2.0256798392815081</v>
      </c>
      <c r="T487" s="3">
        <f t="shared" si="126"/>
        <v>81.119781041357768</v>
      </c>
      <c r="U487" s="3">
        <f t="shared" si="116"/>
        <v>1217.1761270371776</v>
      </c>
      <c r="V487" s="3">
        <f t="shared" si="117"/>
        <v>0</v>
      </c>
      <c r="W487" s="3">
        <f t="shared" si="127"/>
        <v>1006.6132909891747</v>
      </c>
      <c r="Y487" s="3">
        <f t="shared" si="128"/>
        <v>2306.9713395406679</v>
      </c>
      <c r="AA487" s="3">
        <f t="shared" si="129"/>
        <v>1090.8924117378451</v>
      </c>
      <c r="AB487" s="3">
        <f t="shared" si="130"/>
        <v>33.028660459332059</v>
      </c>
      <c r="AD487" s="3">
        <f t="shared" si="131"/>
        <v>1.0829994647272163E-5</v>
      </c>
    </row>
    <row r="488" spans="3:30" x14ac:dyDescent="0.3">
      <c r="C488" s="22">
        <v>456</v>
      </c>
      <c r="D488" s="22">
        <v>2276</v>
      </c>
      <c r="F488" s="3">
        <f t="shared" si="118"/>
        <v>11106.546963738447</v>
      </c>
      <c r="G488" s="3">
        <f t="shared" si="119"/>
        <v>1821.9618262880456</v>
      </c>
      <c r="H488" s="3">
        <f t="shared" si="120"/>
        <v>14.432711553328698</v>
      </c>
      <c r="I488" s="3">
        <f t="shared" si="121"/>
        <v>4.0542103604717292</v>
      </c>
      <c r="J488" s="3">
        <f t="shared" si="122"/>
        <v>-1.8734265437152915</v>
      </c>
      <c r="K488" s="3">
        <f t="shared" si="123"/>
        <v>1.0843344206367923E-8</v>
      </c>
      <c r="L488" s="3" cm="1">
        <f t="array" ref="L488">lmb_2(F488)</f>
        <v>11097.23209306878</v>
      </c>
      <c r="M488" s="3" cm="1">
        <f t="array" ref="M488">lmb_2(G488)</f>
        <v>1814.4562174875721</v>
      </c>
      <c r="N488" s="3" cm="1">
        <f t="array" ref="N488">lmb_2(H488)</f>
        <v>11.951827368754518</v>
      </c>
      <c r="O488" s="3" cm="1">
        <f t="array" ref="O488">lmb_2(I488)</f>
        <v>2.9667449762584974</v>
      </c>
      <c r="P488" s="3" cm="1">
        <f t="array" ref="P488">lmb_2(J488)</f>
        <v>0.13429439174774579</v>
      </c>
      <c r="R488" s="3">
        <f t="shared" si="124"/>
        <v>3.6221085462344892E-2</v>
      </c>
      <c r="S488" s="3">
        <f t="shared" si="125"/>
        <v>2.0123330111501487</v>
      </c>
      <c r="T488" s="3">
        <f t="shared" si="126"/>
        <v>80.506679209729882</v>
      </c>
      <c r="U488" s="3">
        <f t="shared" si="116"/>
        <v>1210.290505919889</v>
      </c>
      <c r="V488" s="3">
        <f t="shared" si="117"/>
        <v>0</v>
      </c>
      <c r="W488" s="3">
        <f t="shared" si="127"/>
        <v>1008.7157377825575</v>
      </c>
      <c r="Y488" s="3">
        <f t="shared" si="128"/>
        <v>2301.5614770196325</v>
      </c>
      <c r="AA488" s="3">
        <f t="shared" si="129"/>
        <v>653.38910742520284</v>
      </c>
      <c r="AB488" s="3">
        <f t="shared" si="130"/>
        <v>-25.561477019632548</v>
      </c>
      <c r="AD488" s="3">
        <f t="shared" si="131"/>
        <v>8.3815285103630049E-6</v>
      </c>
    </row>
    <row r="489" spans="3:30" x14ac:dyDescent="0.3">
      <c r="C489" s="22">
        <v>457</v>
      </c>
      <c r="D489" s="22">
        <v>2338</v>
      </c>
      <c r="F489" s="3">
        <f t="shared" si="118"/>
        <v>11155.30801747218</v>
      </c>
      <c r="G489" s="3">
        <f t="shared" si="119"/>
        <v>1829.9574284584742</v>
      </c>
      <c r="H489" s="3">
        <f t="shared" si="120"/>
        <v>14.498599286631801</v>
      </c>
      <c r="I489" s="3">
        <f t="shared" si="121"/>
        <v>4.0720808184389687</v>
      </c>
      <c r="J489" s="3">
        <f t="shared" si="122"/>
        <v>-1.8724926834878588</v>
      </c>
      <c r="K489" s="3">
        <f t="shared" si="123"/>
        <v>1.0209774952787533E-8</v>
      </c>
      <c r="L489" s="3" cm="1">
        <f t="array" ref="L489">lmb_2(F489)</f>
        <v>11145.988764476786</v>
      </c>
      <c r="M489" s="3" cm="1">
        <f t="array" ref="M489">lmb_2(G489)</f>
        <v>1822.4474329959212</v>
      </c>
      <c r="N489" s="3" cm="1">
        <f t="array" ref="N489">lmb_2(H489)</f>
        <v>12.012639868798706</v>
      </c>
      <c r="O489" s="3" cm="1">
        <f t="array" ref="O489">lmb_2(I489)</f>
        <v>2.9801179411407999</v>
      </c>
      <c r="P489" s="3" cm="1">
        <f t="array" ref="P489">lmb_2(J489)</f>
        <v>0.13440499593804248</v>
      </c>
      <c r="R489" s="3">
        <f t="shared" si="124"/>
        <v>3.598364272223277E-2</v>
      </c>
      <c r="S489" s="3">
        <f t="shared" si="125"/>
        <v>1.9991032434469878</v>
      </c>
      <c r="T489" s="3">
        <f t="shared" si="126"/>
        <v>79.899628700868661</v>
      </c>
      <c r="U489" s="3">
        <f t="shared" si="116"/>
        <v>1203.4445551198357</v>
      </c>
      <c r="V489" s="3">
        <f t="shared" si="117"/>
        <v>0</v>
      </c>
      <c r="W489" s="3">
        <f t="shared" si="127"/>
        <v>1010.8181845759403</v>
      </c>
      <c r="Y489" s="3">
        <f t="shared" si="128"/>
        <v>2296.1974552930242</v>
      </c>
      <c r="AA489" s="3">
        <f t="shared" si="129"/>
        <v>1747.4527439787123</v>
      </c>
      <c r="AB489" s="3">
        <f t="shared" si="130"/>
        <v>41.802544706975823</v>
      </c>
      <c r="AD489" s="3">
        <f t="shared" si="131"/>
        <v>1.3706923899512541E-5</v>
      </c>
    </row>
    <row r="490" spans="3:30" x14ac:dyDescent="0.3">
      <c r="C490" s="22">
        <v>458</v>
      </c>
      <c r="D490" s="22">
        <v>2241</v>
      </c>
      <c r="F490" s="3">
        <f t="shared" si="118"/>
        <v>11204.175886219567</v>
      </c>
      <c r="G490" s="3">
        <f t="shared" si="119"/>
        <v>1837.9705456391337</v>
      </c>
      <c r="H490" s="3">
        <f t="shared" si="120"/>
        <v>14.564631352318919</v>
      </c>
      <c r="I490" s="3">
        <f t="shared" si="121"/>
        <v>4.0899904230830257</v>
      </c>
      <c r="J490" s="3">
        <f t="shared" si="122"/>
        <v>-1.8715567775644184</v>
      </c>
      <c r="K490" s="3">
        <f t="shared" si="123"/>
        <v>9.6132247213319493E-9</v>
      </c>
      <c r="L490" s="3" cm="1">
        <f t="array" ref="L490">lmb_2(F490)</f>
        <v>11194.852260481517</v>
      </c>
      <c r="M490" s="3" cm="1">
        <f t="array" ref="M490">lmb_2(G490)</f>
        <v>1830.4561731215622</v>
      </c>
      <c r="N490" s="3" cm="1">
        <f t="array" ref="N490">lmb_2(H490)</f>
        <v>12.07360932886497</v>
      </c>
      <c r="O490" s="3" cm="1">
        <f t="array" ref="O490">lmb_2(I490)</f>
        <v>2.9935353446405104</v>
      </c>
      <c r="P490" s="3" cm="1">
        <f t="array" ref="P490">lmb_2(J490)</f>
        <v>0.13451592297223963</v>
      </c>
      <c r="R490" s="3">
        <f t="shared" si="124"/>
        <v>3.5748271106178779E-2</v>
      </c>
      <c r="S490" s="3">
        <f t="shared" si="125"/>
        <v>1.9859892550013643</v>
      </c>
      <c r="T490" s="3">
        <f t="shared" si="126"/>
        <v>79.298557081820164</v>
      </c>
      <c r="U490" s="3">
        <f t="shared" si="116"/>
        <v>1196.6381243025592</v>
      </c>
      <c r="V490" s="3">
        <f t="shared" si="117"/>
        <v>0</v>
      </c>
      <c r="W490" s="3">
        <f t="shared" si="127"/>
        <v>1012.9206313693231</v>
      </c>
      <c r="Y490" s="3">
        <f t="shared" si="128"/>
        <v>2290.8790502894235</v>
      </c>
      <c r="AA490" s="3">
        <f t="shared" si="129"/>
        <v>2487.9196577748389</v>
      </c>
      <c r="AB490" s="3">
        <f t="shared" si="130"/>
        <v>-49.879050289423503</v>
      </c>
      <c r="AD490" s="3">
        <f t="shared" si="131"/>
        <v>1.6355184864690689E-5</v>
      </c>
    </row>
    <row r="491" spans="3:30" x14ac:dyDescent="0.3">
      <c r="C491" s="22">
        <v>459</v>
      </c>
      <c r="D491" s="22">
        <v>2342</v>
      </c>
      <c r="F491" s="3">
        <f t="shared" si="118"/>
        <v>11253.150569980606</v>
      </c>
      <c r="G491" s="3">
        <f t="shared" si="119"/>
        <v>1846.0011778300247</v>
      </c>
      <c r="H491" s="3">
        <f t="shared" si="120"/>
        <v>14.630807750390057</v>
      </c>
      <c r="I491" s="3">
        <f t="shared" si="121"/>
        <v>4.1079391744039011</v>
      </c>
      <c r="J491" s="3">
        <f t="shared" si="122"/>
        <v>-1.8706188259449705</v>
      </c>
      <c r="K491" s="3">
        <f t="shared" si="123"/>
        <v>9.0515305156257427E-9</v>
      </c>
      <c r="L491" s="3" cm="1">
        <f t="array" ref="L491">lmb_2(F491)</f>
        <v>11243.822581041148</v>
      </c>
      <c r="M491" s="3" cm="1">
        <f t="array" ref="M491">lmb_2(G491)</f>
        <v>1838.4824378224905</v>
      </c>
      <c r="N491" s="3" cm="1">
        <f t="array" ref="N491">lmb_2(H491)</f>
        <v>12.134735692076886</v>
      </c>
      <c r="O491" s="3" cm="1">
        <f t="array" ref="O491">lmb_2(I491)</f>
        <v>3.0069972011696064</v>
      </c>
      <c r="P491" s="3" cm="1">
        <f t="array" ref="P491">lmb_2(J491)</f>
        <v>0.13462717342218056</v>
      </c>
      <c r="R491" s="3">
        <f t="shared" si="124"/>
        <v>3.5514948078488685E-2</v>
      </c>
      <c r="S491" s="3">
        <f t="shared" si="125"/>
        <v>1.9729897814389405</v>
      </c>
      <c r="T491" s="3">
        <f t="shared" si="126"/>
        <v>78.703392920073824</v>
      </c>
      <c r="U491" s="3">
        <f t="shared" si="116"/>
        <v>1189.8710618355942</v>
      </c>
      <c r="V491" s="3">
        <f t="shared" si="117"/>
        <v>0</v>
      </c>
      <c r="W491" s="3">
        <f t="shared" si="127"/>
        <v>1015.023078162706</v>
      </c>
      <c r="Y491" s="3">
        <f t="shared" si="128"/>
        <v>2285.6060376569435</v>
      </c>
      <c r="AA491" s="3">
        <f t="shared" si="129"/>
        <v>3180.2789887500749</v>
      </c>
      <c r="AB491" s="3">
        <f t="shared" si="130"/>
        <v>56.393962343056501</v>
      </c>
      <c r="AD491" s="3">
        <f t="shared" si="131"/>
        <v>1.8491404187153673E-5</v>
      </c>
    </row>
    <row r="492" spans="3:30" x14ac:dyDescent="0.3">
      <c r="C492" s="22">
        <v>460</v>
      </c>
      <c r="D492" s="22">
        <v>2193</v>
      </c>
      <c r="F492" s="3">
        <f t="shared" si="118"/>
        <v>11302.232068755302</v>
      </c>
      <c r="G492" s="3">
        <f t="shared" si="119"/>
        <v>1854.0493250311463</v>
      </c>
      <c r="H492" s="3">
        <f t="shared" si="120"/>
        <v>14.697128480845207</v>
      </c>
      <c r="I492" s="3">
        <f t="shared" si="121"/>
        <v>4.125927072401594</v>
      </c>
      <c r="J492" s="3">
        <f t="shared" si="122"/>
        <v>-1.8696788286295154</v>
      </c>
      <c r="K492" s="3">
        <f t="shared" si="123"/>
        <v>8.5226557217058668E-9</v>
      </c>
      <c r="L492" s="3" cm="1">
        <f t="array" ref="L492">lmb_2(F492)</f>
        <v>11292.899726114128</v>
      </c>
      <c r="M492" s="3" cm="1">
        <f t="array" ref="M492">lmb_2(G492)</f>
        <v>1846.5262270569735</v>
      </c>
      <c r="N492" s="3" cm="1">
        <f t="array" ref="N492">lmb_2(H492)</f>
        <v>12.196018901877993</v>
      </c>
      <c r="O492" s="3" cm="1">
        <f t="array" ref="O492">lmb_2(I492)</f>
        <v>3.0205035248349366</v>
      </c>
      <c r="P492" s="3" cm="1">
        <f t="array" ref="P492">lmb_2(J492)</f>
        <v>0.13473874786143031</v>
      </c>
      <c r="R492" s="3">
        <f t="shared" si="124"/>
        <v>3.5283651397112883E-2</v>
      </c>
      <c r="S492" s="3">
        <f t="shared" si="125"/>
        <v>1.9601035749252784</v>
      </c>
      <c r="T492" s="3">
        <f t="shared" si="126"/>
        <v>78.114065768223554</v>
      </c>
      <c r="U492" s="3">
        <f t="shared" si="116"/>
        <v>1183.1432148351287</v>
      </c>
      <c r="V492" s="3">
        <f t="shared" si="117"/>
        <v>0</v>
      </c>
      <c r="W492" s="3">
        <f t="shared" si="127"/>
        <v>1017.1255249560888</v>
      </c>
      <c r="Y492" s="3">
        <f t="shared" si="128"/>
        <v>2280.3781927942864</v>
      </c>
      <c r="AA492" s="3">
        <f t="shared" si="129"/>
        <v>7634.948575995485</v>
      </c>
      <c r="AB492" s="3">
        <f t="shared" si="130"/>
        <v>-87.378192794286406</v>
      </c>
      <c r="AD492" s="3">
        <f t="shared" si="131"/>
        <v>2.8651036617595058E-5</v>
      </c>
    </row>
    <row r="493" spans="3:30" x14ac:dyDescent="0.3">
      <c r="C493" s="22">
        <v>461</v>
      </c>
      <c r="D493" s="22">
        <v>2222</v>
      </c>
      <c r="F493" s="3">
        <f t="shared" si="118"/>
        <v>11351.420382543656</v>
      </c>
      <c r="G493" s="3">
        <f t="shared" si="119"/>
        <v>1862.1149872424985</v>
      </c>
      <c r="H493" s="3">
        <f t="shared" si="120"/>
        <v>14.763593543684369</v>
      </c>
      <c r="I493" s="3">
        <f t="shared" si="121"/>
        <v>4.1439541170761043</v>
      </c>
      <c r="J493" s="3">
        <f t="shared" si="122"/>
        <v>-1.8687367856180526</v>
      </c>
      <c r="K493" s="3">
        <f t="shared" si="123"/>
        <v>8.0246827235829479E-9</v>
      </c>
      <c r="L493" s="3" cm="1">
        <f t="array" ref="L493">lmb_2(F493)</f>
        <v>11342.083695659181</v>
      </c>
      <c r="M493" s="3" cm="1">
        <f t="array" ref="M493">lmb_2(G493)</f>
        <v>1854.5875407835538</v>
      </c>
      <c r="N493" s="3" cm="1">
        <f t="array" ref="N493">lmb_2(H493)</f>
        <v>12.257458902030258</v>
      </c>
      <c r="O493" s="3" cm="1">
        <f t="array" ref="O493">lmb_2(I493)</f>
        <v>3.0340543294409552</v>
      </c>
      <c r="P493" s="3" cm="1">
        <f t="array" ref="P493">lmb_2(J493)</f>
        <v>0.13485064686527856</v>
      </c>
      <c r="R493" s="3">
        <f t="shared" si="124"/>
        <v>3.5054359109191614E-2</v>
      </c>
      <c r="S493" s="3">
        <f t="shared" si="125"/>
        <v>1.9473294039138602</v>
      </c>
      <c r="T493" s="3">
        <f t="shared" si="126"/>
        <v>77.530506148880363</v>
      </c>
      <c r="U493" s="3">
        <f t="shared" si="116"/>
        <v>1176.4544292118792</v>
      </c>
      <c r="V493" s="3">
        <f t="shared" si="117"/>
        <v>0</v>
      </c>
      <c r="W493" s="3">
        <f t="shared" si="127"/>
        <v>1019.2279717494716</v>
      </c>
      <c r="Y493" s="3">
        <f t="shared" si="128"/>
        <v>2275.1952908812787</v>
      </c>
      <c r="AA493" s="3">
        <f t="shared" si="129"/>
        <v>2829.7389719438479</v>
      </c>
      <c r="AB493" s="3">
        <f t="shared" si="130"/>
        <v>-53.195290881278652</v>
      </c>
      <c r="AD493" s="3">
        <f t="shared" si="131"/>
        <v>1.7442569801269624E-5</v>
      </c>
    </row>
    <row r="494" spans="3:30" x14ac:dyDescent="0.3">
      <c r="C494" s="22">
        <v>462</v>
      </c>
      <c r="D494" s="22">
        <v>2233</v>
      </c>
      <c r="F494" s="3">
        <f t="shared" si="118"/>
        <v>11400.715511345663</v>
      </c>
      <c r="G494" s="3">
        <f t="shared" si="119"/>
        <v>1870.1981644640819</v>
      </c>
      <c r="H494" s="3">
        <f t="shared" si="120"/>
        <v>14.830202938907551</v>
      </c>
      <c r="I494" s="3">
        <f t="shared" si="121"/>
        <v>4.1620203084274312</v>
      </c>
      <c r="J494" s="3">
        <f t="shared" si="122"/>
        <v>-1.867792696910582</v>
      </c>
      <c r="K494" s="3">
        <f t="shared" si="123"/>
        <v>7.5558059502703261E-9</v>
      </c>
      <c r="L494" s="3" cm="1">
        <f t="array" ref="L494">lmb_2(F494)</f>
        <v>11391.374489635287</v>
      </c>
      <c r="M494" s="3" cm="1">
        <f t="array" ref="M494">lmb_2(G494)</f>
        <v>1862.6663789610434</v>
      </c>
      <c r="N494" s="3" cm="1">
        <f t="array" ref="N494">lmb_2(H494)</f>
        <v>12.31905563661252</v>
      </c>
      <c r="O494" s="3" cm="1">
        <f t="array" ref="O494">lmb_2(I494)</f>
        <v>3.0476496284924433</v>
      </c>
      <c r="P494" s="3" cm="1">
        <f t="array" ref="P494">lmb_2(J494)</f>
        <v>0.13496287101074264</v>
      </c>
      <c r="R494" s="3">
        <f t="shared" si="124"/>
        <v>3.4827049546677424E-2</v>
      </c>
      <c r="S494" s="3">
        <f t="shared" si="125"/>
        <v>1.9346660528985047</v>
      </c>
      <c r="T494" s="3">
        <f t="shared" si="126"/>
        <v>76.952645539832261</v>
      </c>
      <c r="U494" s="3">
        <f t="shared" si="116"/>
        <v>1169.804549716212</v>
      </c>
      <c r="V494" s="3">
        <f t="shared" si="117"/>
        <v>0</v>
      </c>
      <c r="W494" s="3">
        <f t="shared" si="127"/>
        <v>1021.3304185428544</v>
      </c>
      <c r="Y494" s="3">
        <f t="shared" si="128"/>
        <v>2270.0571069088996</v>
      </c>
      <c r="AA494" s="3">
        <f t="shared" si="129"/>
        <v>1373.2291724576176</v>
      </c>
      <c r="AB494" s="3">
        <f t="shared" si="130"/>
        <v>-37.057106908899641</v>
      </c>
      <c r="AD494" s="3">
        <f t="shared" si="131"/>
        <v>1.2150909661048102E-5</v>
      </c>
    </row>
    <row r="495" spans="3:30" x14ac:dyDescent="0.3">
      <c r="C495" s="22">
        <v>463</v>
      </c>
      <c r="D495" s="22">
        <v>2261</v>
      </c>
      <c r="F495" s="3">
        <f t="shared" si="118"/>
        <v>11450.117455161326</v>
      </c>
      <c r="G495" s="3">
        <f t="shared" si="119"/>
        <v>1878.2988566958961</v>
      </c>
      <c r="H495" s="3">
        <f t="shared" si="120"/>
        <v>14.896956666514745</v>
      </c>
      <c r="I495" s="3">
        <f t="shared" si="121"/>
        <v>4.1801256464555774</v>
      </c>
      <c r="J495" s="3">
        <f t="shared" si="122"/>
        <v>-1.8668465625071042</v>
      </c>
      <c r="K495" s="3">
        <f t="shared" si="123"/>
        <v>7.1143253290704821E-9</v>
      </c>
      <c r="L495" s="3" cm="1">
        <f t="array" ref="L495">lmb_2(F495)</f>
        <v>11440.7721080017</v>
      </c>
      <c r="M495" s="3" cm="1">
        <f t="array" ref="M495">lmb_2(G495)</f>
        <v>1870.7627415485219</v>
      </c>
      <c r="N495" s="3" cm="1">
        <f t="array" ref="N495">lmb_2(H495)</f>
        <v>12.380809050018895</v>
      </c>
      <c r="O495" s="3" cm="1">
        <f t="array" ref="O495">lmb_2(I495)</f>
        <v>3.0612894351972315</v>
      </c>
      <c r="P495" s="3" cm="1">
        <f t="array" ref="P495">lmb_2(J495)</f>
        <v>0.13507542087657073</v>
      </c>
      <c r="R495" s="3">
        <f t="shared" si="124"/>
        <v>3.4601701322032927E-2</v>
      </c>
      <c r="S495" s="3">
        <f t="shared" si="125"/>
        <v>1.92211232217007</v>
      </c>
      <c r="T495" s="3">
        <f t="shared" si="126"/>
        <v>76.380416359448503</v>
      </c>
      <c r="U495" s="3">
        <f t="shared" si="116"/>
        <v>1163.1934199824923</v>
      </c>
      <c r="V495" s="3">
        <f t="shared" si="117"/>
        <v>0</v>
      </c>
      <c r="W495" s="3">
        <f t="shared" si="127"/>
        <v>1023.4328653362372</v>
      </c>
      <c r="Y495" s="3">
        <f t="shared" si="128"/>
        <v>2264.9634157087844</v>
      </c>
      <c r="AA495" s="3">
        <f t="shared" si="129"/>
        <v>15.708664080638917</v>
      </c>
      <c r="AB495" s="3">
        <f t="shared" si="130"/>
        <v>-3.963415708784396</v>
      </c>
      <c r="AD495" s="3">
        <f t="shared" si="131"/>
        <v>1.299591636902778E-6</v>
      </c>
    </row>
    <row r="496" spans="3:30" x14ac:dyDescent="0.3">
      <c r="C496" s="22">
        <v>464</v>
      </c>
      <c r="D496" s="22">
        <v>2259</v>
      </c>
      <c r="F496" s="3">
        <f t="shared" si="118"/>
        <v>11499.626213990647</v>
      </c>
      <c r="G496" s="3">
        <f t="shared" si="119"/>
        <v>1886.417063937942</v>
      </c>
      <c r="H496" s="3">
        <f t="shared" si="120"/>
        <v>14.963854726505959</v>
      </c>
      <c r="I496" s="3">
        <f t="shared" si="121"/>
        <v>4.1982701311605402</v>
      </c>
      <c r="J496" s="3">
        <f t="shared" si="122"/>
        <v>-1.8658983824076187</v>
      </c>
      <c r="K496" s="3">
        <f t="shared" si="123"/>
        <v>6.6986401213814943E-9</v>
      </c>
      <c r="L496" s="3" cm="1">
        <f t="array" ref="L496">lmb_2(F496)</f>
        <v>11490.276550717943</v>
      </c>
      <c r="M496" s="3" cm="1">
        <f t="array" ref="M496">lmb_2(G496)</f>
        <v>1878.8766285053355</v>
      </c>
      <c r="N496" s="3" cm="1">
        <f t="array" ref="N496">lmb_2(H496)</f>
        <v>12.442719086957242</v>
      </c>
      <c r="O496" s="3" cm="1">
        <f t="array" ref="O496">lmb_2(I496)</f>
        <v>3.0749737624689</v>
      </c>
      <c r="P496" s="3" cm="1">
        <f t="array" ref="P496">lmb_2(J496)</f>
        <v>0.13518829704324492</v>
      </c>
      <c r="R496" s="3">
        <f t="shared" si="124"/>
        <v>3.4378293324002794E-2</v>
      </c>
      <c r="S496" s="3">
        <f t="shared" si="125"/>
        <v>1.9096670275773646</v>
      </c>
      <c r="T496" s="3">
        <f t="shared" si="126"/>
        <v>75.813751952322065</v>
      </c>
      <c r="U496" s="3">
        <f t="shared" si="116"/>
        <v>1156.6208825726944</v>
      </c>
      <c r="V496" s="3">
        <f t="shared" si="117"/>
        <v>0</v>
      </c>
      <c r="W496" s="3">
        <f t="shared" si="127"/>
        <v>1025.53531212962</v>
      </c>
      <c r="Y496" s="3">
        <f t="shared" si="128"/>
        <v>2259.9139919822364</v>
      </c>
      <c r="AA496" s="3">
        <f t="shared" si="129"/>
        <v>0.83538134359249516</v>
      </c>
      <c r="AB496" s="3">
        <f t="shared" si="130"/>
        <v>-0.91399198223643907</v>
      </c>
      <c r="AD496" s="3">
        <f t="shared" si="131"/>
        <v>2.99695117440754E-7</v>
      </c>
    </row>
    <row r="497" spans="3:30" x14ac:dyDescent="0.3">
      <c r="C497" s="22">
        <v>465</v>
      </c>
      <c r="D497" s="22">
        <v>2254</v>
      </c>
      <c r="F497" s="3">
        <f t="shared" si="118"/>
        <v>11549.241787833618</v>
      </c>
      <c r="G497" s="3">
        <f t="shared" si="119"/>
        <v>1894.5527861902183</v>
      </c>
      <c r="H497" s="3">
        <f t="shared" si="120"/>
        <v>15.030897118881185</v>
      </c>
      <c r="I497" s="3">
        <f t="shared" si="121"/>
        <v>4.2164537625423213</v>
      </c>
      <c r="J497" s="3">
        <f t="shared" si="122"/>
        <v>-1.8649481566121258</v>
      </c>
      <c r="K497" s="3">
        <f t="shared" si="123"/>
        <v>6.3072431186731469E-9</v>
      </c>
      <c r="L497" s="3" cm="1">
        <f t="array" ref="L497">lmb_2(F497)</f>
        <v>11539.887817743785</v>
      </c>
      <c r="M497" s="3" cm="1">
        <f t="array" ref="M497">lmb_2(G497)</f>
        <v>1887.0080397910913</v>
      </c>
      <c r="N497" s="3" cm="1">
        <f t="array" ref="N497">lmb_2(H497)</f>
        <v>12.504785692447552</v>
      </c>
      <c r="O497" s="3" cm="1">
        <f t="array" ref="O497">lmb_2(I497)</f>
        <v>3.0887026229294867</v>
      </c>
      <c r="P497" s="3" cm="1">
        <f t="array" ref="P497">lmb_2(J497)</f>
        <v>0.13530150009298433</v>
      </c>
      <c r="R497" s="3">
        <f t="shared" si="124"/>
        <v>3.4156804713458694E-2</v>
      </c>
      <c r="S497" s="3">
        <f t="shared" si="125"/>
        <v>1.8973290002921941</v>
      </c>
      <c r="T497" s="3">
        <f t="shared" si="126"/>
        <v>75.252586575148356</v>
      </c>
      <c r="U497" s="3">
        <f t="shared" si="116"/>
        <v>1150.086779019254</v>
      </c>
      <c r="V497" s="3">
        <f t="shared" si="117"/>
        <v>0</v>
      </c>
      <c r="W497" s="3">
        <f t="shared" si="127"/>
        <v>1027.6377589230028</v>
      </c>
      <c r="Y497" s="3">
        <f t="shared" si="128"/>
        <v>2254.9086103287182</v>
      </c>
      <c r="AA497" s="3">
        <f t="shared" si="129"/>
        <v>0.82557272945333837</v>
      </c>
      <c r="AB497" s="3">
        <f t="shared" si="130"/>
        <v>-0.9086103287181686</v>
      </c>
      <c r="AD497" s="3">
        <f t="shared" si="131"/>
        <v>2.9793049005393922E-7</v>
      </c>
    </row>
    <row r="498" spans="3:30" x14ac:dyDescent="0.3">
      <c r="C498" s="22">
        <v>466</v>
      </c>
      <c r="D498" s="22">
        <v>2187</v>
      </c>
      <c r="F498" s="3">
        <f t="shared" si="118"/>
        <v>11598.96417669025</v>
      </c>
      <c r="G498" s="3">
        <f t="shared" si="119"/>
        <v>1902.7060234527257</v>
      </c>
      <c r="H498" s="3">
        <f t="shared" si="120"/>
        <v>15.098083843640426</v>
      </c>
      <c r="I498" s="3">
        <f t="shared" si="121"/>
        <v>4.2346765406009199</v>
      </c>
      <c r="J498" s="3">
        <f t="shared" si="122"/>
        <v>-1.8639958851206253</v>
      </c>
      <c r="K498" s="3">
        <f t="shared" si="123"/>
        <v>5.938715177588235E-9</v>
      </c>
      <c r="L498" s="3" cm="1">
        <f t="array" ref="L498">lmb_2(F498)</f>
        <v>11589.605909039274</v>
      </c>
      <c r="M498" s="3" cm="1">
        <f t="array" ref="M498">lmb_2(G498)</f>
        <v>1895.1569753656597</v>
      </c>
      <c r="N498" s="3" cm="1">
        <f t="array" ref="N498">lmb_2(H498)</f>
        <v>12.567008811820397</v>
      </c>
      <c r="O498" s="3" cm="1">
        <f t="array" ref="O498">lmb_2(I498)</f>
        <v>3.1024760289121707</v>
      </c>
      <c r="P498" s="3" cm="1">
        <f t="array" ref="P498">lmb_2(J498)</f>
        <v>0.13541503060974819</v>
      </c>
      <c r="R498" s="3">
        <f t="shared" si="124"/>
        <v>3.3937214919314958E-2</v>
      </c>
      <c r="S498" s="3">
        <f t="shared" si="125"/>
        <v>1.8850970865784413</v>
      </c>
      <c r="T498" s="3">
        <f t="shared" si="126"/>
        <v>74.696855382834343</v>
      </c>
      <c r="U498" s="3">
        <f t="shared" si="116"/>
        <v>1143.5909498671929</v>
      </c>
      <c r="V498" s="3">
        <f t="shared" si="117"/>
        <v>0</v>
      </c>
      <c r="W498" s="3">
        <f t="shared" si="127"/>
        <v>1029.7402057163856</v>
      </c>
      <c r="Y498" s="3">
        <f t="shared" si="128"/>
        <v>2249.9470452738492</v>
      </c>
      <c r="AA498" s="3">
        <f t="shared" si="129"/>
        <v>3962.3305087080207</v>
      </c>
      <c r="AB498" s="3">
        <f t="shared" si="130"/>
        <v>-62.947045273849199</v>
      </c>
      <c r="AD498" s="3">
        <f t="shared" si="131"/>
        <v>2.0640139621065688E-5</v>
      </c>
    </row>
    <row r="499" spans="3:30" x14ac:dyDescent="0.3">
      <c r="C499" s="22">
        <v>467</v>
      </c>
      <c r="D499" s="22">
        <v>2186</v>
      </c>
      <c r="F499" s="3">
        <f t="shared" si="118"/>
        <v>11648.793380560535</v>
      </c>
      <c r="G499" s="3">
        <f t="shared" si="119"/>
        <v>1910.8767757254634</v>
      </c>
      <c r="H499" s="3">
        <f t="shared" si="120"/>
        <v>15.165414900783684</v>
      </c>
      <c r="I499" s="3">
        <f t="shared" si="121"/>
        <v>4.2529384653363351</v>
      </c>
      <c r="J499" s="3">
        <f t="shared" si="122"/>
        <v>-1.8630415679331174</v>
      </c>
      <c r="K499" s="3">
        <f t="shared" si="123"/>
        <v>5.5917200743541724E-9</v>
      </c>
      <c r="L499" s="3" cm="1">
        <f t="array" ref="L499">lmb_2(F499)</f>
        <v>11639.430824564699</v>
      </c>
      <c r="M499" s="3" cm="1">
        <f t="array" ref="M499">lmb_2(G499)</f>
        <v>1903.3234351891681</v>
      </c>
      <c r="N499" s="3" cm="1">
        <f t="array" ref="N499">lmb_2(H499)</f>
        <v>12.629388390715329</v>
      </c>
      <c r="O499" s="3" cm="1">
        <f t="array" ref="O499">lmb_2(I499)</f>
        <v>3.1162939924639579</v>
      </c>
      <c r="P499" s="3" cm="1">
        <f t="array" ref="P499">lmb_2(J499)</f>
        <v>0.135528889179239</v>
      </c>
      <c r="R499" s="3">
        <f t="shared" si="124"/>
        <v>3.3719503634514723E-2</v>
      </c>
      <c r="S499" s="3">
        <f t="shared" si="125"/>
        <v>1.8729701475651346</v>
      </c>
      <c r="T499" s="3">
        <f t="shared" si="126"/>
        <v>74.146494414835843</v>
      </c>
      <c r="U499" s="3">
        <f t="shared" si="116"/>
        <v>1137.1332347155055</v>
      </c>
      <c r="V499" s="3">
        <f t="shared" si="117"/>
        <v>0</v>
      </c>
      <c r="W499" s="3">
        <f t="shared" si="127"/>
        <v>1031.8426525097684</v>
      </c>
      <c r="Y499" s="3">
        <f t="shared" si="128"/>
        <v>2245.0290712969008</v>
      </c>
      <c r="AA499" s="3">
        <f t="shared" si="129"/>
        <v>3484.4312581746026</v>
      </c>
      <c r="AB499" s="3">
        <f t="shared" si="130"/>
        <v>-59.029071296900838</v>
      </c>
      <c r="AD499" s="3">
        <f t="shared" si="131"/>
        <v>1.9355448186160294E-5</v>
      </c>
    </row>
    <row r="500" spans="3:30" x14ac:dyDescent="0.3">
      <c r="C500" s="22">
        <v>468</v>
      </c>
      <c r="D500" s="22">
        <v>2256</v>
      </c>
      <c r="F500" s="3">
        <f t="shared" si="118"/>
        <v>11698.729399444479</v>
      </c>
      <c r="G500" s="3">
        <f t="shared" si="119"/>
        <v>1919.0650430084324</v>
      </c>
      <c r="H500" s="3">
        <f t="shared" si="120"/>
        <v>15.232890290310959</v>
      </c>
      <c r="I500" s="3">
        <f t="shared" si="121"/>
        <v>4.2712395367485687</v>
      </c>
      <c r="J500" s="3">
        <f t="shared" si="122"/>
        <v>-1.8620852050496017</v>
      </c>
      <c r="K500" s="3">
        <f t="shared" si="123"/>
        <v>5.2649996598478683E-9</v>
      </c>
      <c r="L500" s="3" cm="1">
        <f t="array" ref="L500">lmb_2(F500)</f>
        <v>11689.362564280616</v>
      </c>
      <c r="M500" s="3" cm="1">
        <f t="array" ref="M500">lmb_2(G500)</f>
        <v>1911.5074192220025</v>
      </c>
      <c r="N500" s="3" cm="1">
        <f t="array" ref="N500">lmb_2(H500)</f>
        <v>12.691924375079294</v>
      </c>
      <c r="O500" s="3" cm="1">
        <f t="array" ref="O500">lmb_2(I500)</f>
        <v>3.1301565253483545</v>
      </c>
      <c r="P500" s="3" cm="1">
        <f t="array" ref="P500">lmb_2(J500)</f>
        <v>0.13564307638890563</v>
      </c>
      <c r="R500" s="3">
        <f t="shared" si="124"/>
        <v>3.3503650812084194E-2</v>
      </c>
      <c r="S500" s="3">
        <f t="shared" si="125"/>
        <v>1.8609470590233883</v>
      </c>
      <c r="T500" s="3">
        <f t="shared" si="126"/>
        <v>73.601440581717952</v>
      </c>
      <c r="U500" s="3">
        <f t="shared" si="116"/>
        <v>1130.7134722578253</v>
      </c>
      <c r="V500" s="3">
        <f t="shared" si="117"/>
        <v>0</v>
      </c>
      <c r="W500" s="3">
        <f t="shared" si="127"/>
        <v>1033.9450993031512</v>
      </c>
      <c r="Y500" s="3">
        <f t="shared" si="128"/>
        <v>2240.1544628577949</v>
      </c>
      <c r="AA500" s="3">
        <f t="shared" si="129"/>
        <v>251.08104732500146</v>
      </c>
      <c r="AB500" s="3">
        <f t="shared" si="130"/>
        <v>15.845537142205103</v>
      </c>
      <c r="AD500" s="3">
        <f t="shared" si="131"/>
        <v>5.195702158267424E-6</v>
      </c>
    </row>
    <row r="501" spans="3:30" x14ac:dyDescent="0.3">
      <c r="C501" s="22">
        <v>469</v>
      </c>
      <c r="D501" s="22">
        <v>2254</v>
      </c>
      <c r="F501" s="3">
        <f t="shared" si="118"/>
        <v>11748.772233342072</v>
      </c>
      <c r="G501" s="3">
        <f t="shared" si="119"/>
        <v>1927.2708253016335</v>
      </c>
      <c r="H501" s="3">
        <f t="shared" si="120"/>
        <v>15.300510012222247</v>
      </c>
      <c r="I501" s="3">
        <f t="shared" si="121"/>
        <v>4.2895797548376189</v>
      </c>
      <c r="J501" s="3">
        <f t="shared" si="122"/>
        <v>-1.8611267964700788</v>
      </c>
      <c r="K501" s="3">
        <f t="shared" si="123"/>
        <v>4.9573692977468622E-9</v>
      </c>
      <c r="L501" s="3" cm="1">
        <f t="array" ref="L501">lmb_2(F501)</f>
        <v>11739.401128147818</v>
      </c>
      <c r="M501" s="3" cm="1">
        <f t="array" ref="M501">lmb_2(G501)</f>
        <v>1919.7089274248026</v>
      </c>
      <c r="N501" s="3" cm="1">
        <f t="array" ref="N501">lmb_2(H501)</f>
        <v>12.754616711165047</v>
      </c>
      <c r="O501" s="3" cm="1">
        <f t="array" ref="O501">lmb_2(I501)</f>
        <v>3.1440636390480248</v>
      </c>
      <c r="P501" s="3" cm="1">
        <f t="array" ref="P501">lmb_2(J501)</f>
        <v>0.13575759282794639</v>
      </c>
      <c r="R501" s="3">
        <f t="shared" si="124"/>
        <v>3.3289636661254479E-2</v>
      </c>
      <c r="S501" s="3">
        <f t="shared" si="125"/>
        <v>1.8490267111471796</v>
      </c>
      <c r="T501" s="3">
        <f t="shared" si="126"/>
        <v>73.061631651935173</v>
      </c>
      <c r="U501" s="3">
        <f t="shared" si="116"/>
        <v>1124.3315003223749</v>
      </c>
      <c r="V501" s="3">
        <f t="shared" si="117"/>
        <v>0</v>
      </c>
      <c r="W501" s="3">
        <f t="shared" si="127"/>
        <v>1036.047546096534</v>
      </c>
      <c r="Y501" s="3">
        <f t="shared" si="128"/>
        <v>2235.3229944236095</v>
      </c>
      <c r="AA501" s="3">
        <f t="shared" si="129"/>
        <v>348.83053730052023</v>
      </c>
      <c r="AB501" s="3">
        <f t="shared" si="130"/>
        <v>18.677005576390457</v>
      </c>
      <c r="AD501" s="3">
        <f t="shared" si="131"/>
        <v>6.1241318178324793E-6</v>
      </c>
    </row>
    <row r="502" spans="3:30" x14ac:dyDescent="0.3">
      <c r="C502" s="22">
        <v>470</v>
      </c>
      <c r="D502" s="22">
        <v>2232</v>
      </c>
      <c r="F502" s="3">
        <f t="shared" si="118"/>
        <v>11798.921882253324</v>
      </c>
      <c r="G502" s="3">
        <f t="shared" si="119"/>
        <v>1935.4941226050641</v>
      </c>
      <c r="H502" s="3">
        <f t="shared" si="120"/>
        <v>15.368274066517552</v>
      </c>
      <c r="I502" s="3">
        <f t="shared" si="121"/>
        <v>4.3079591196034883</v>
      </c>
      <c r="J502" s="3">
        <f t="shared" si="122"/>
        <v>-1.8601663421945482</v>
      </c>
      <c r="K502" s="3">
        <f t="shared" si="123"/>
        <v>4.6677135692261984E-9</v>
      </c>
      <c r="L502" s="3" cm="1">
        <f t="array" ref="L502">lmb_2(F502)</f>
        <v>11789.546516127368</v>
      </c>
      <c r="M502" s="3" cm="1">
        <f t="array" ref="M502">lmb_2(G502)</f>
        <v>1927.9279597584571</v>
      </c>
      <c r="N502" s="3" cm="1">
        <f t="array" ref="N502">lmb_2(H502)</f>
        <v>12.817465345529548</v>
      </c>
      <c r="O502" s="3" cm="1">
        <f t="array" ref="O502">lmb_2(I502)</f>
        <v>3.1580153447674508</v>
      </c>
      <c r="P502" s="3" cm="1">
        <f t="array" ref="P502">lmb_2(J502)</f>
        <v>0.13587243908731225</v>
      </c>
      <c r="R502" s="3">
        <f t="shared" si="124"/>
        <v>3.3077441643649105E-2</v>
      </c>
      <c r="S502" s="3">
        <f t="shared" si="125"/>
        <v>1.8372080083378652</v>
      </c>
      <c r="T502" s="3">
        <f t="shared" si="126"/>
        <v>72.527006238828051</v>
      </c>
      <c r="U502" s="3">
        <f t="shared" si="116"/>
        <v>1117.9871559112041</v>
      </c>
      <c r="V502" s="3">
        <f t="shared" si="117"/>
        <v>0</v>
      </c>
      <c r="W502" s="3">
        <f t="shared" si="127"/>
        <v>1038.1499928899168</v>
      </c>
      <c r="Y502" s="3">
        <f t="shared" si="128"/>
        <v>2230.5344404945981</v>
      </c>
      <c r="AA502" s="3">
        <f t="shared" si="129"/>
        <v>2.1478646638737748</v>
      </c>
      <c r="AB502" s="3">
        <f t="shared" si="130"/>
        <v>1.4655595054018704</v>
      </c>
      <c r="AD502" s="3">
        <f t="shared" si="131"/>
        <v>4.8055238626174893E-7</v>
      </c>
    </row>
    <row r="503" spans="3:30" x14ac:dyDescent="0.3">
      <c r="C503" s="22">
        <v>471</v>
      </c>
      <c r="D503" s="22">
        <v>2133</v>
      </c>
      <c r="F503" s="3">
        <f t="shared" si="118"/>
        <v>11849.178346178234</v>
      </c>
      <c r="G503" s="3">
        <f t="shared" si="119"/>
        <v>1943.7349349187264</v>
      </c>
      <c r="H503" s="3">
        <f t="shared" si="120"/>
        <v>15.436182453196876</v>
      </c>
      <c r="I503" s="3">
        <f t="shared" si="121"/>
        <v>4.3263776310461743</v>
      </c>
      <c r="J503" s="3">
        <f t="shared" si="122"/>
        <v>-1.8592038422230104</v>
      </c>
      <c r="K503" s="3">
        <f t="shared" si="123"/>
        <v>4.3949822286269607E-9</v>
      </c>
      <c r="L503" s="3" cm="1">
        <f t="array" ref="L503">lmb_2(F503)</f>
        <v>11839.798728180567</v>
      </c>
      <c r="M503" s="3" cm="1">
        <f t="array" ref="M503">lmb_2(G503)</f>
        <v>1936.1645161841095</v>
      </c>
      <c r="N503" s="3" cm="1">
        <f t="array" ref="N503">lmb_2(H503)</f>
        <v>12.880470225032386</v>
      </c>
      <c r="O503" s="3" cm="1">
        <f t="array" ref="O503">lmb_2(I503)</f>
        <v>3.1720116534355656</v>
      </c>
      <c r="P503" s="3" cm="1">
        <f t="array" ref="P503">lmb_2(J503)</f>
        <v>0.13598761575970994</v>
      </c>
      <c r="R503" s="3">
        <f t="shared" si="124"/>
        <v>3.2867046469536462E-2</v>
      </c>
      <c r="S503" s="3">
        <f t="shared" si="125"/>
        <v>1.8254898689923551</v>
      </c>
      <c r="T503" s="3">
        <f t="shared" si="126"/>
        <v>71.997503787831519</v>
      </c>
      <c r="U503" s="3">
        <f t="shared" si="116"/>
        <v>1111.680275238733</v>
      </c>
      <c r="V503" s="3">
        <f t="shared" si="117"/>
        <v>0</v>
      </c>
      <c r="W503" s="3">
        <f t="shared" si="127"/>
        <v>1040.2524396832996</v>
      </c>
      <c r="Y503" s="3">
        <f t="shared" si="128"/>
        <v>2225.7885756297214</v>
      </c>
      <c r="AA503" s="3">
        <f t="shared" si="129"/>
        <v>8609.7197673925348</v>
      </c>
      <c r="AB503" s="3">
        <f t="shared" si="130"/>
        <v>-92.788575629721436</v>
      </c>
      <c r="AD503" s="3">
        <f t="shared" si="131"/>
        <v>3.0425084257813513E-5</v>
      </c>
    </row>
    <row r="504" spans="3:30" x14ac:dyDescent="0.3">
      <c r="C504" s="22">
        <v>472</v>
      </c>
      <c r="D504" s="22">
        <v>2234</v>
      </c>
      <c r="F504" s="3">
        <f t="shared" si="118"/>
        <v>11899.541625116794</v>
      </c>
      <c r="G504" s="3">
        <f t="shared" si="119"/>
        <v>1951.9932622426193</v>
      </c>
      <c r="H504" s="3">
        <f t="shared" si="120"/>
        <v>15.504235172260215</v>
      </c>
      <c r="I504" s="3">
        <f t="shared" si="121"/>
        <v>4.3448352891656787</v>
      </c>
      <c r="J504" s="3">
        <f t="shared" si="122"/>
        <v>-1.8582392965554648</v>
      </c>
      <c r="K504" s="3">
        <f t="shared" si="123"/>
        <v>4.1381863954323453E-9</v>
      </c>
      <c r="L504" s="3" cm="1">
        <f t="array" ref="L504">lmb_2(F504)</f>
        <v>11890.157764268957</v>
      </c>
      <c r="M504" s="3" cm="1">
        <f t="array" ref="M504">lmb_2(G504)</f>
        <v>1944.4185966631476</v>
      </c>
      <c r="N504" s="3" cm="1">
        <f t="array" ref="N504">lmb_2(H504)</f>
        <v>12.943631296834152</v>
      </c>
      <c r="O504" s="3" cm="1">
        <f t="array" ref="O504">lmb_2(I504)</f>
        <v>3.1860525757083948</v>
      </c>
      <c r="P504" s="3" cm="1">
        <f t="array" ref="P504">lmb_2(J504)</f>
        <v>0.13610312343960518</v>
      </c>
      <c r="R504" s="3">
        <f t="shared" si="124"/>
        <v>3.2658432094145651E-2</v>
      </c>
      <c r="S504" s="3">
        <f t="shared" si="125"/>
        <v>1.8138712252949161</v>
      </c>
      <c r="T504" s="3">
        <f t="shared" si="126"/>
        <v>71.473064563892734</v>
      </c>
      <c r="U504" s="3">
        <f t="shared" si="116"/>
        <v>1105.410693769591</v>
      </c>
      <c r="V504" s="3">
        <f t="shared" si="117"/>
        <v>0</v>
      </c>
      <c r="W504" s="3">
        <f t="shared" si="127"/>
        <v>1042.3548864766824</v>
      </c>
      <c r="Y504" s="3">
        <f t="shared" si="128"/>
        <v>2221.0851744716933</v>
      </c>
      <c r="AA504" s="3">
        <f t="shared" si="129"/>
        <v>166.79271842660151</v>
      </c>
      <c r="AB504" s="3">
        <f t="shared" si="130"/>
        <v>12.914825528306665</v>
      </c>
      <c r="AD504" s="3">
        <f t="shared" si="131"/>
        <v>4.2347309699172591E-6</v>
      </c>
    </row>
    <row r="505" spans="3:30" x14ac:dyDescent="0.3">
      <c r="C505" s="22">
        <v>473</v>
      </c>
      <c r="D505" s="22">
        <v>2188</v>
      </c>
      <c r="F505" s="3">
        <f t="shared" si="118"/>
        <v>11950.011719069013</v>
      </c>
      <c r="G505" s="3">
        <f t="shared" si="119"/>
        <v>1960.2691045767431</v>
      </c>
      <c r="H505" s="3">
        <f t="shared" si="120"/>
        <v>15.572432223707564</v>
      </c>
      <c r="I505" s="3">
        <f t="shared" si="121"/>
        <v>4.3633320939620006</v>
      </c>
      <c r="J505" s="3">
        <f t="shared" si="122"/>
        <v>-1.8572727051919116</v>
      </c>
      <c r="K505" s="3">
        <f t="shared" si="123"/>
        <v>3.896394968743992E-9</v>
      </c>
      <c r="L505" s="3" cm="1">
        <f t="array" ref="L505">lmb_2(F505)</f>
        <v>11940.623624354339</v>
      </c>
      <c r="M505" s="3" cm="1">
        <f t="array" ref="M505">lmb_2(G505)</f>
        <v>1952.690201157207</v>
      </c>
      <c r="N505" s="3" cm="1">
        <f t="array" ref="N505">lmb_2(H505)</f>
        <v>13.006948508394858</v>
      </c>
      <c r="O505" s="3" cm="1">
        <f t="array" ref="O505">lmb_2(I505)</f>
        <v>3.2001381219716727</v>
      </c>
      <c r="P505" s="3" cm="1">
        <f t="array" ref="P505">lmb_2(J505)</f>
        <v>0.13621896272322567</v>
      </c>
      <c r="R505" s="3">
        <f t="shared" si="124"/>
        <v>3.2451579714044429E-2</v>
      </c>
      <c r="S505" s="3">
        <f t="shared" si="125"/>
        <v>1.8023510230124817</v>
      </c>
      <c r="T505" s="3">
        <f t="shared" si="126"/>
        <v>70.953629639093663</v>
      </c>
      <c r="U505" s="3">
        <f t="shared" si="116"/>
        <v>1099.178246255779</v>
      </c>
      <c r="V505" s="3">
        <f t="shared" si="117"/>
        <v>0</v>
      </c>
      <c r="W505" s="3">
        <f t="shared" si="127"/>
        <v>1044.4573332700652</v>
      </c>
      <c r="Y505" s="3">
        <f t="shared" si="128"/>
        <v>2216.4240117715608</v>
      </c>
      <c r="AA505" s="3">
        <f t="shared" si="129"/>
        <v>807.92444518982688</v>
      </c>
      <c r="AB505" s="3">
        <f t="shared" si="130"/>
        <v>-28.424011771560799</v>
      </c>
      <c r="AD505" s="3">
        <f t="shared" si="131"/>
        <v>9.3201447185251585E-6</v>
      </c>
    </row>
    <row r="506" spans="3:30" x14ac:dyDescent="0.3">
      <c r="C506" s="22">
        <v>474</v>
      </c>
      <c r="D506" s="22">
        <v>2188</v>
      </c>
      <c r="F506" s="3">
        <f t="shared" si="118"/>
        <v>12000.588628034888</v>
      </c>
      <c r="G506" s="3">
        <f t="shared" si="119"/>
        <v>1968.5624619210982</v>
      </c>
      <c r="H506" s="3">
        <f t="shared" si="120"/>
        <v>15.640773607538931</v>
      </c>
      <c r="I506" s="3">
        <f t="shared" si="121"/>
        <v>4.3818680454351391</v>
      </c>
      <c r="J506" s="3">
        <f t="shared" si="122"/>
        <v>-1.856304068132351</v>
      </c>
      <c r="K506" s="3">
        <f t="shared" si="123"/>
        <v>3.6687312512580371E-9</v>
      </c>
      <c r="L506" s="3" cm="1">
        <f t="array" ref="L506">lmb_2(F506)</f>
        <v>11991.196308398745</v>
      </c>
      <c r="M506" s="3" cm="1">
        <f t="array" ref="M506">lmb_2(G506)</f>
        <v>1960.9793296281664</v>
      </c>
      <c r="N506" s="3" cm="1">
        <f t="array" ref="N506">lmb_2(H506)</f>
        <v>13.070421807472348</v>
      </c>
      <c r="O506" s="3" cm="1">
        <f t="array" ref="O506">lmb_2(I506)</f>
        <v>3.2142683023434535</v>
      </c>
      <c r="P506" s="3" cm="1">
        <f t="array" ref="P506">lmb_2(J506)</f>
        <v>0.1363351342085643</v>
      </c>
      <c r="R506" s="3">
        <f t="shared" si="124"/>
        <v>3.2246470763578505E-2</v>
      </c>
      <c r="S506" s="3">
        <f t="shared" si="125"/>
        <v>1.7909282212934508</v>
      </c>
      <c r="T506" s="3">
        <f t="shared" si="126"/>
        <v>70.439140880475563</v>
      </c>
      <c r="U506" s="3">
        <f t="shared" si="116"/>
        <v>1092.9827667731454</v>
      </c>
      <c r="V506" s="3">
        <f t="shared" si="117"/>
        <v>0</v>
      </c>
      <c r="W506" s="3">
        <f t="shared" si="127"/>
        <v>1046.559780063448</v>
      </c>
      <c r="Y506" s="3">
        <f t="shared" si="128"/>
        <v>2211.804862412795</v>
      </c>
      <c r="AA506" s="3">
        <f t="shared" si="129"/>
        <v>566.67147449210233</v>
      </c>
      <c r="AB506" s="3">
        <f t="shared" si="130"/>
        <v>-23.804862412795046</v>
      </c>
      <c r="AD506" s="3">
        <f t="shared" si="131"/>
        <v>7.8055400650309726E-6</v>
      </c>
    </row>
    <row r="507" spans="3:30" x14ac:dyDescent="0.3">
      <c r="C507" s="22">
        <v>475</v>
      </c>
      <c r="D507" s="22">
        <v>2190</v>
      </c>
      <c r="F507" s="3">
        <f t="shared" si="118"/>
        <v>12051.272352014415</v>
      </c>
      <c r="G507" s="3">
        <f t="shared" si="119"/>
        <v>1976.8733342756839</v>
      </c>
      <c r="H507" s="3">
        <f t="shared" si="120"/>
        <v>15.709259323754312</v>
      </c>
      <c r="I507" s="3">
        <f t="shared" si="121"/>
        <v>4.4004431435850959</v>
      </c>
      <c r="J507" s="3">
        <f t="shared" si="122"/>
        <v>-1.8553333853767828</v>
      </c>
      <c r="K507" s="3">
        <f t="shared" si="123"/>
        <v>3.4543697704999545E-9</v>
      </c>
      <c r="L507" s="3" cm="1">
        <f t="array" ref="L507">lmb_2(F507)</f>
        <v>12041.875816364447</v>
      </c>
      <c r="M507" s="3" cm="1">
        <f t="array" ref="M507">lmb_2(G507)</f>
        <v>1969.2859820381452</v>
      </c>
      <c r="N507" s="3" cm="1">
        <f t="array" ref="N507">lmb_2(H507)</f>
        <v>13.134051142120668</v>
      </c>
      <c r="O507" s="3" cm="1">
        <f t="array" ref="O507">lmb_2(I507)</f>
        <v>3.2284431266767157</v>
      </c>
      <c r="P507" s="3" cm="1">
        <f t="array" ref="P507">lmb_2(J507)</f>
        <v>0.13645163849538242</v>
      </c>
      <c r="R507" s="3">
        <f t="shared" si="124"/>
        <v>3.2043086911370568E-2</v>
      </c>
      <c r="S507" s="3">
        <f t="shared" si="125"/>
        <v>1.7796017924698704</v>
      </c>
      <c r="T507" s="3">
        <f t="shared" si="126"/>
        <v>69.929540938062033</v>
      </c>
      <c r="U507" s="3">
        <f t="shared" si="116"/>
        <v>1086.8240887571908</v>
      </c>
      <c r="V507" s="3">
        <f t="shared" si="117"/>
        <v>0</v>
      </c>
      <c r="W507" s="3">
        <f t="shared" si="127"/>
        <v>1048.6622268568308</v>
      </c>
      <c r="Y507" s="3">
        <f t="shared" si="128"/>
        <v>2207.2275014349188</v>
      </c>
      <c r="AA507" s="3">
        <f t="shared" si="129"/>
        <v>296.78680569013102</v>
      </c>
      <c r="AB507" s="3">
        <f t="shared" si="130"/>
        <v>-17.22750143491885</v>
      </c>
      <c r="AD507" s="3">
        <f t="shared" si="131"/>
        <v>5.6488439352777114E-6</v>
      </c>
    </row>
    <row r="508" spans="3:30" x14ac:dyDescent="0.3">
      <c r="C508" s="22">
        <v>476</v>
      </c>
      <c r="D508" s="22">
        <v>2184</v>
      </c>
      <c r="F508" s="3">
        <f t="shared" si="118"/>
        <v>12102.062891007599</v>
      </c>
      <c r="G508" s="3">
        <f t="shared" si="119"/>
        <v>1985.2017216405006</v>
      </c>
      <c r="H508" s="3">
        <f t="shared" si="120"/>
        <v>15.777889372353714</v>
      </c>
      <c r="I508" s="3">
        <f t="shared" si="121"/>
        <v>4.4190573884118702</v>
      </c>
      <c r="J508" s="3">
        <f t="shared" si="122"/>
        <v>-1.8543606569252071</v>
      </c>
      <c r="K508" s="3">
        <f t="shared" si="123"/>
        <v>3.2525332857924934E-9</v>
      </c>
      <c r="L508" s="3" cm="1">
        <f t="array" ref="L508">lmb_2(F508)</f>
        <v>12092.662148213964</v>
      </c>
      <c r="M508" s="3" cm="1">
        <f t="array" ref="M508">lmb_2(G508)</f>
        <v>1977.610158349504</v>
      </c>
      <c r="N508" s="3" cm="1">
        <f t="array" ref="N508">lmb_2(H508)</f>
        <v>13.197836460688494</v>
      </c>
      <c r="O508" s="3" cm="1">
        <f t="array" ref="O508">lmb_2(I508)</f>
        <v>3.2426626045619455</v>
      </c>
      <c r="P508" s="3" cm="1">
        <f t="array" ref="P508">lmb_2(J508)</f>
        <v>0.13656847618521284</v>
      </c>
      <c r="R508" s="3">
        <f t="shared" si="124"/>
        <v>3.1841410056878142E-2</v>
      </c>
      <c r="S508" s="3">
        <f t="shared" si="125"/>
        <v>1.7683707218629632</v>
      </c>
      <c r="T508" s="3">
        <f t="shared" si="126"/>
        <v>69.42477323307665</v>
      </c>
      <c r="U508" s="3">
        <f t="shared" si="116"/>
        <v>1080.7020450382124</v>
      </c>
      <c r="V508" s="3">
        <f t="shared" si="117"/>
        <v>0</v>
      </c>
      <c r="W508" s="3">
        <f t="shared" si="127"/>
        <v>1050.7646736502136</v>
      </c>
      <c r="Y508" s="3">
        <f t="shared" si="128"/>
        <v>2202.691704056675</v>
      </c>
      <c r="AA508" s="3">
        <f t="shared" si="129"/>
        <v>349.37980054232094</v>
      </c>
      <c r="AB508" s="3">
        <f t="shared" si="130"/>
        <v>-18.691704056675007</v>
      </c>
      <c r="AD508" s="3">
        <f t="shared" si="131"/>
        <v>6.1289514036282987E-6</v>
      </c>
    </row>
    <row r="509" spans="3:30" x14ac:dyDescent="0.3">
      <c r="C509" s="22">
        <v>477</v>
      </c>
      <c r="D509" s="22">
        <v>2118</v>
      </c>
      <c r="F509" s="3">
        <f t="shared" si="118"/>
        <v>12152.960245014441</v>
      </c>
      <c r="G509" s="3">
        <f t="shared" si="119"/>
        <v>1993.5476240155483</v>
      </c>
      <c r="H509" s="3">
        <f t="shared" si="120"/>
        <v>15.846663753337124</v>
      </c>
      <c r="I509" s="3">
        <f t="shared" si="121"/>
        <v>4.4377107799154629</v>
      </c>
      <c r="J509" s="3">
        <f t="shared" si="122"/>
        <v>-1.8533858827776239</v>
      </c>
      <c r="K509" s="3">
        <f t="shared" si="123"/>
        <v>3.0624899701044476E-9</v>
      </c>
      <c r="L509" s="3" cm="1">
        <f t="array" ref="L509">lmb_2(F509)</f>
        <v>12143.555303910041</v>
      </c>
      <c r="M509" s="3" cm="1">
        <f t="array" ref="M509">lmb_2(G509)</f>
        <v>1985.9518585248397</v>
      </c>
      <c r="N509" s="3" cm="1">
        <f t="array" ref="N509">lmb_2(H509)</f>
        <v>13.261777711817491</v>
      </c>
      <c r="O509" s="3" cm="1">
        <f t="array" ref="O509">lmb_2(I509)</f>
        <v>3.256926745329717</v>
      </c>
      <c r="P509" s="3" cm="1">
        <f t="array" ref="P509">lmb_2(J509)</f>
        <v>0.1366856478813632</v>
      </c>
      <c r="R509" s="3">
        <f t="shared" si="124"/>
        <v>3.1641422327009207E-2</v>
      </c>
      <c r="S509" s="3">
        <f t="shared" si="125"/>
        <v>1.7572340075919253</v>
      </c>
      <c r="T509" s="3">
        <f t="shared" si="126"/>
        <v>68.924781946352866</v>
      </c>
      <c r="U509" s="3">
        <f t="shared" si="116"/>
        <v>1074.616467875788</v>
      </c>
      <c r="V509" s="3">
        <f t="shared" si="117"/>
        <v>0</v>
      </c>
      <c r="W509" s="3">
        <f t="shared" si="127"/>
        <v>1052.8671204435964</v>
      </c>
      <c r="Y509" s="3">
        <f t="shared" si="128"/>
        <v>2198.1972456987187</v>
      </c>
      <c r="AA509" s="3">
        <f t="shared" si="129"/>
        <v>6431.5982176606531</v>
      </c>
      <c r="AB509" s="3">
        <f t="shared" si="130"/>
        <v>-80.197245698718689</v>
      </c>
      <c r="AD509" s="3">
        <f t="shared" si="131"/>
        <v>2.6296426484280688E-5</v>
      </c>
    </row>
    <row r="510" spans="3:30" x14ac:dyDescent="0.3">
      <c r="C510" s="22">
        <v>478</v>
      </c>
      <c r="D510" s="22">
        <v>2224</v>
      </c>
      <c r="F510" s="3">
        <f t="shared" si="118"/>
        <v>12203.964414034936</v>
      </c>
      <c r="G510" s="3">
        <f t="shared" si="119"/>
        <v>2001.9110414008267</v>
      </c>
      <c r="H510" s="3">
        <f t="shared" si="120"/>
        <v>15.915582466704555</v>
      </c>
      <c r="I510" s="3">
        <f t="shared" si="121"/>
        <v>4.4564033180958713</v>
      </c>
      <c r="J510" s="3">
        <f t="shared" si="122"/>
        <v>-1.8524090629340333</v>
      </c>
      <c r="K510" s="3">
        <f t="shared" si="123"/>
        <v>2.8835507565621051E-9</v>
      </c>
      <c r="L510" s="3" cm="1">
        <f t="array" ref="L510">lmb_2(F510)</f>
        <v>12194.555283415664</v>
      </c>
      <c r="M510" s="3" cm="1">
        <f t="array" ref="M510">lmb_2(G510)</f>
        <v>1994.3110825269848</v>
      </c>
      <c r="N510" s="3" cm="1">
        <f t="array" ref="N510">lmb_2(H510)</f>
        <v>13.325874844440763</v>
      </c>
      <c r="O510" s="3" cm="1">
        <f t="array" ref="O510">lmb_2(I510)</f>
        <v>3.2712355580532551</v>
      </c>
      <c r="P510" s="3" cm="1">
        <f t="array" ref="P510">lmb_2(J510)</f>
        <v>0.13680315418891895</v>
      </c>
      <c r="R510" s="3">
        <f t="shared" si="124"/>
        <v>3.1443106072794297E-2</v>
      </c>
      <c r="S510" s="3">
        <f t="shared" si="125"/>
        <v>1.7461906603859347</v>
      </c>
      <c r="T510" s="3">
        <f t="shared" si="126"/>
        <v>68.429512006931517</v>
      </c>
      <c r="U510" s="3">
        <f t="shared" si="116"/>
        <v>1068.5671889926102</v>
      </c>
      <c r="V510" s="3">
        <f t="shared" si="117"/>
        <v>0</v>
      </c>
      <c r="W510" s="3">
        <f t="shared" si="127"/>
        <v>1054.9695672369792</v>
      </c>
      <c r="Y510" s="3">
        <f t="shared" si="128"/>
        <v>2193.7439020058632</v>
      </c>
      <c r="AA510" s="3">
        <f t="shared" si="129"/>
        <v>915.43146583080772</v>
      </c>
      <c r="AB510" s="3">
        <f t="shared" si="130"/>
        <v>30.25609799413678</v>
      </c>
      <c r="AD510" s="3">
        <f t="shared" si="131"/>
        <v>9.9208800710311924E-6</v>
      </c>
    </row>
    <row r="511" spans="3:30" x14ac:dyDescent="0.3">
      <c r="C511" s="22">
        <v>479</v>
      </c>
      <c r="D511" s="22">
        <v>2075</v>
      </c>
      <c r="F511" s="3">
        <f t="shared" si="118"/>
        <v>12255.075398069086</v>
      </c>
      <c r="G511" s="3">
        <f t="shared" si="119"/>
        <v>2010.2919737963364</v>
      </c>
      <c r="H511" s="3">
        <f t="shared" si="120"/>
        <v>15.984645512456</v>
      </c>
      <c r="I511" s="3">
        <f t="shared" si="121"/>
        <v>4.475135002953099</v>
      </c>
      <c r="J511" s="3">
        <f t="shared" si="122"/>
        <v>-1.8514301973944352</v>
      </c>
      <c r="K511" s="3">
        <f t="shared" si="123"/>
        <v>2.7150668400021819E-9</v>
      </c>
      <c r="L511" s="3" cm="1">
        <f t="array" ref="L511">lmb_2(F511)</f>
        <v>12245.662086694048</v>
      </c>
      <c r="M511" s="3" cm="1">
        <f t="array" ref="M511">lmb_2(G511)</f>
        <v>2002.6878303190072</v>
      </c>
      <c r="N511" s="3" cm="1">
        <f t="array" ref="N511">lmb_2(H511)</f>
        <v>13.390127807781205</v>
      </c>
      <c r="O511" s="3" cm="1">
        <f t="array" ref="O511">lmb_2(I511)</f>
        <v>3.2855890515509967</v>
      </c>
      <c r="P511" s="3" cm="1">
        <f t="array" ref="P511">lmb_2(J511)</f>
        <v>0.13692099571474661</v>
      </c>
      <c r="R511" s="3">
        <f t="shared" si="124"/>
        <v>3.1246443866114214E-2</v>
      </c>
      <c r="S511" s="3">
        <f t="shared" si="125"/>
        <v>1.7352397033993066</v>
      </c>
      <c r="T511" s="3">
        <f t="shared" si="126"/>
        <v>67.938909080844425</v>
      </c>
      <c r="U511" s="3">
        <f t="shared" si="116"/>
        <v>1062.5540396076779</v>
      </c>
      <c r="V511" s="3">
        <f t="shared" si="117"/>
        <v>0</v>
      </c>
      <c r="W511" s="3">
        <f t="shared" si="127"/>
        <v>1057.072014030362</v>
      </c>
      <c r="Y511" s="3">
        <f t="shared" si="128"/>
        <v>2189.3314488688648</v>
      </c>
      <c r="AA511" s="3">
        <f t="shared" si="129"/>
        <v>13071.680200453835</v>
      </c>
      <c r="AB511" s="3">
        <f t="shared" si="130"/>
        <v>-114.33144886886475</v>
      </c>
      <c r="AD511" s="3">
        <f t="shared" si="131"/>
        <v>3.7488925134861999E-5</v>
      </c>
    </row>
    <row r="512" spans="3:30" x14ac:dyDescent="0.3">
      <c r="C512" s="22">
        <v>480</v>
      </c>
      <c r="D512" s="22">
        <v>2158</v>
      </c>
      <c r="F512" s="3">
        <f t="shared" si="118"/>
        <v>12306.293197116895</v>
      </c>
      <c r="G512" s="3">
        <f t="shared" si="119"/>
        <v>2018.6904212020775</v>
      </c>
      <c r="H512" s="3">
        <f t="shared" si="120"/>
        <v>16.053852890591461</v>
      </c>
      <c r="I512" s="3">
        <f t="shared" si="121"/>
        <v>4.4939058344871441</v>
      </c>
      <c r="J512" s="3">
        <f t="shared" si="122"/>
        <v>-1.8504492861588293</v>
      </c>
      <c r="K512" s="3">
        <f t="shared" si="123"/>
        <v>2.5564273245074288E-9</v>
      </c>
      <c r="L512" s="3" cm="1">
        <f t="array" ref="L512">lmb_2(F512)</f>
        <v>12296.875713708643</v>
      </c>
      <c r="M512" s="3" cm="1">
        <f t="array" ref="M512">lmb_2(G512)</f>
        <v>2011.0821018642043</v>
      </c>
      <c r="N512" s="3" cm="1">
        <f t="array" ref="N512">lmb_2(H512)</f>
        <v>13.454536551349927</v>
      </c>
      <c r="O512" s="3" cm="1">
        <f t="array" ref="O512">lmb_2(I512)</f>
        <v>3.2999872343891239</v>
      </c>
      <c r="P512" s="3" cm="1">
        <f t="array" ref="P512">lmb_2(J512)</f>
        <v>0.13703917306749719</v>
      </c>
      <c r="R512" s="3">
        <f t="shared" si="124"/>
        <v>3.1051418496482172E-2</v>
      </c>
      <c r="S512" s="3">
        <f t="shared" si="125"/>
        <v>1.7243801720297489</v>
      </c>
      <c r="T512" s="3">
        <f t="shared" si="126"/>
        <v>67.452919560079451</v>
      </c>
      <c r="U512" s="3">
        <f t="shared" si="116"/>
        <v>1056.5768504688579</v>
      </c>
      <c r="V512" s="3">
        <f t="shared" si="117"/>
        <v>0</v>
      </c>
      <c r="W512" s="3">
        <f t="shared" si="127"/>
        <v>1059.1744608237448</v>
      </c>
      <c r="Y512" s="3">
        <f t="shared" si="128"/>
        <v>2184.9596624457649</v>
      </c>
      <c r="AA512" s="3">
        <f t="shared" si="129"/>
        <v>726.82339918958814</v>
      </c>
      <c r="AB512" s="3">
        <f t="shared" si="130"/>
        <v>-26.959662445764934</v>
      </c>
      <c r="AD512" s="3">
        <f t="shared" si="131"/>
        <v>8.8399891463779693E-6</v>
      </c>
    </row>
    <row r="513" spans="3:30" x14ac:dyDescent="0.3">
      <c r="C513" s="22">
        <v>481</v>
      </c>
      <c r="D513" s="22">
        <v>2182</v>
      </c>
      <c r="F513" s="3">
        <f t="shared" si="118"/>
        <v>12357.617811178357</v>
      </c>
      <c r="G513" s="3">
        <f t="shared" si="119"/>
        <v>2027.106383618049</v>
      </c>
      <c r="H513" s="3">
        <f t="shared" si="120"/>
        <v>16.123204601110938</v>
      </c>
      <c r="I513" s="3">
        <f t="shared" si="121"/>
        <v>4.5127158126980067</v>
      </c>
      <c r="J513" s="3">
        <f t="shared" si="122"/>
        <v>-1.8494663292272162</v>
      </c>
      <c r="K513" s="3">
        <f t="shared" si="123"/>
        <v>2.4070570083950337E-9</v>
      </c>
      <c r="L513" s="3" cm="1">
        <f t="array" ref="L513">lmb_2(F513)</f>
        <v>12348.196164423118</v>
      </c>
      <c r="M513" s="3" cm="1">
        <f t="array" ref="M513">lmb_2(G513)</f>
        <v>2019.4938971261035</v>
      </c>
      <c r="N513" s="3" cm="1">
        <f t="array" ref="N513">lmb_2(H513)</f>
        <v>13.519101024944648</v>
      </c>
      <c r="O513" s="3" cm="1">
        <f t="array" ref="O513">lmb_2(I513)</f>
        <v>3.3144301148840993</v>
      </c>
      <c r="P513" s="3" cm="1">
        <f t="array" ref="P513">lmb_2(J513)</f>
        <v>0.13715768685760887</v>
      </c>
      <c r="R513" s="3">
        <f t="shared" si="124"/>
        <v>3.0858012967879565E-2</v>
      </c>
      <c r="S513" s="3">
        <f t="shared" si="125"/>
        <v>1.7136111137396419</v>
      </c>
      <c r="T513" s="3">
        <f t="shared" si="126"/>
        <v>66.971490551724798</v>
      </c>
      <c r="U513" s="3">
        <f t="shared" si="116"/>
        <v>1050.6354518848143</v>
      </c>
      <c r="V513" s="3">
        <f t="shared" si="117"/>
        <v>0</v>
      </c>
      <c r="W513" s="3">
        <f t="shared" si="127"/>
        <v>1061.2769076171276</v>
      </c>
      <c r="Y513" s="3">
        <f t="shared" si="128"/>
        <v>2180.6283191827811</v>
      </c>
      <c r="AA513" s="3">
        <f t="shared" si="129"/>
        <v>1.8815082643263925</v>
      </c>
      <c r="AB513" s="3">
        <f t="shared" si="130"/>
        <v>1.3716808172189303</v>
      </c>
      <c r="AD513" s="3">
        <f t="shared" si="131"/>
        <v>4.4976985750112803E-7</v>
      </c>
    </row>
    <row r="514" spans="3:30" x14ac:dyDescent="0.3">
      <c r="C514" s="22">
        <v>482</v>
      </c>
      <c r="D514" s="22">
        <v>2188</v>
      </c>
      <c r="F514" s="3">
        <f t="shared" si="118"/>
        <v>12409.049240253473</v>
      </c>
      <c r="G514" s="3">
        <f t="shared" si="119"/>
        <v>2035.539861044251</v>
      </c>
      <c r="H514" s="3">
        <f t="shared" si="120"/>
        <v>16.192700644014433</v>
      </c>
      <c r="I514" s="3">
        <f t="shared" si="121"/>
        <v>4.5315649375856868</v>
      </c>
      <c r="J514" s="3">
        <f t="shared" si="122"/>
        <v>-1.8484813265995954</v>
      </c>
      <c r="K514" s="3">
        <f t="shared" si="123"/>
        <v>2.2664142986267056E-9</v>
      </c>
      <c r="L514" s="3" cm="1">
        <f t="array" ref="L514">lmb_2(F514)</f>
        <v>12399.623438801375</v>
      </c>
      <c r="M514" s="3" cm="1">
        <f t="array" ref="M514">lmb_2(G514)</f>
        <v>2027.9232160684605</v>
      </c>
      <c r="N514" s="3" cm="1">
        <f t="array" ref="N514">lmb_2(H514)</f>
        <v>13.583821178648101</v>
      </c>
      <c r="O514" s="3" cm="1">
        <f t="array" ref="O514">lmb_2(I514)</f>
        <v>3.328917701105182</v>
      </c>
      <c r="P514" s="3" cm="1">
        <f t="array" ref="P514">lmb_2(J514)</f>
        <v>0.13727653769731071</v>
      </c>
      <c r="R514" s="3">
        <f t="shared" si="124"/>
        <v>3.0666210495643983E-2</v>
      </c>
      <c r="S514" s="3">
        <f t="shared" si="125"/>
        <v>1.7029315878802962</v>
      </c>
      <c r="T514" s="3">
        <f t="shared" si="126"/>
        <v>66.494569867289314</v>
      </c>
      <c r="U514" s="3">
        <f t="shared" si="116"/>
        <v>1044.7296737563197</v>
      </c>
      <c r="V514" s="3">
        <f t="shared" si="117"/>
        <v>0</v>
      </c>
      <c r="W514" s="3">
        <f t="shared" si="127"/>
        <v>1063.3793544105106</v>
      </c>
      <c r="Y514" s="3">
        <f t="shared" si="128"/>
        <v>2176.337195834762</v>
      </c>
      <c r="AA514" s="3">
        <f t="shared" si="129"/>
        <v>136.02100099669187</v>
      </c>
      <c r="AB514" s="3">
        <f t="shared" si="130"/>
        <v>11.662804165237958</v>
      </c>
      <c r="AD514" s="3">
        <f t="shared" si="131"/>
        <v>3.8241970738484166E-6</v>
      </c>
    </row>
    <row r="515" spans="3:30" x14ac:dyDescent="0.3">
      <c r="C515" s="22">
        <v>483</v>
      </c>
      <c r="D515" s="22">
        <v>2147</v>
      </c>
      <c r="F515" s="3">
        <f t="shared" si="118"/>
        <v>12460.587484342248</v>
      </c>
      <c r="G515" s="3">
        <f t="shared" si="119"/>
        <v>2043.9908534806843</v>
      </c>
      <c r="H515" s="3">
        <f t="shared" si="120"/>
        <v>16.262341019301942</v>
      </c>
      <c r="I515" s="3">
        <f t="shared" si="121"/>
        <v>4.5504532091501844</v>
      </c>
      <c r="J515" s="3">
        <f t="shared" si="122"/>
        <v>-1.8474942782759669</v>
      </c>
      <c r="K515" s="3">
        <f t="shared" si="123"/>
        <v>2.133989247078349E-9</v>
      </c>
      <c r="L515" s="3" cm="1">
        <f t="array" ref="L515">lmb_2(F515)</f>
        <v>12451.157536807545</v>
      </c>
      <c r="M515" s="3" cm="1">
        <f t="array" ref="M515">lmb_2(G515)</f>
        <v>2036.3700586552575</v>
      </c>
      <c r="N515" s="3" cm="1">
        <f t="array" ref="N515">lmb_2(H515)</f>
        <v>13.648696962826424</v>
      </c>
      <c r="O515" s="3" cm="1">
        <f t="array" ref="O515">lmb_2(I515)</f>
        <v>3.3434500008769352</v>
      </c>
      <c r="P515" s="3" cm="1">
        <f t="array" ref="P515">lmb_2(J515)</f>
        <v>0.13739572620062562</v>
      </c>
      <c r="R515" s="3">
        <f t="shared" si="124"/>
        <v>3.0475994503408873E-2</v>
      </c>
      <c r="S515" s="3">
        <f t="shared" si="125"/>
        <v>1.6923406655191322</v>
      </c>
      <c r="T515" s="3">
        <f t="shared" si="126"/>
        <v>66.022106012195593</v>
      </c>
      <c r="U515" s="3">
        <f t="shared" si="116"/>
        <v>1038.8593456069541</v>
      </c>
      <c r="V515" s="3">
        <f t="shared" si="117"/>
        <v>0</v>
      </c>
      <c r="W515" s="3">
        <f t="shared" si="127"/>
        <v>1065.4818012038932</v>
      </c>
      <c r="Y515" s="3">
        <f t="shared" si="128"/>
        <v>2172.0860694851995</v>
      </c>
      <c r="AA515" s="3">
        <f t="shared" si="129"/>
        <v>629.31088221625544</v>
      </c>
      <c r="AB515" s="3">
        <f t="shared" si="130"/>
        <v>-25.086069485199459</v>
      </c>
      <c r="AD515" s="3">
        <f t="shared" si="131"/>
        <v>8.2256438640715594E-6</v>
      </c>
    </row>
    <row r="516" spans="3:30" x14ac:dyDescent="0.3">
      <c r="C516" s="22">
        <v>484</v>
      </c>
      <c r="D516" s="22">
        <v>2147</v>
      </c>
      <c r="F516" s="3">
        <f t="shared" si="118"/>
        <v>12512.232543444678</v>
      </c>
      <c r="G516" s="3">
        <f t="shared" si="119"/>
        <v>2052.4593609273484</v>
      </c>
      <c r="H516" s="3">
        <f t="shared" si="120"/>
        <v>16.332125726973462</v>
      </c>
      <c r="I516" s="3">
        <f t="shared" si="121"/>
        <v>4.5693806273914994</v>
      </c>
      <c r="J516" s="3">
        <f t="shared" si="122"/>
        <v>-1.8465051842563311</v>
      </c>
      <c r="K516" s="3">
        <f t="shared" si="123"/>
        <v>2.0093017015491751E-9</v>
      </c>
      <c r="L516" s="3" cm="1">
        <f t="array" ref="L516">lmb_2(F516)</f>
        <v>12502.79845840597</v>
      </c>
      <c r="M516" s="3" cm="1">
        <f t="array" ref="M516">lmb_2(G516)</f>
        <v>2044.8344248506999</v>
      </c>
      <c r="N516" s="3" cm="1">
        <f t="array" ref="N516">lmb_2(H516)</f>
        <v>13.713728328127576</v>
      </c>
      <c r="O516" s="3" cm="1">
        <f t="array" ref="O516">lmb_2(I516)</f>
        <v>3.358027021781715</v>
      </c>
      <c r="P516" s="3" cm="1">
        <f t="array" ref="P516">lmb_2(J516)</f>
        <v>0.13751525298337353</v>
      </c>
      <c r="R516" s="3">
        <f t="shared" si="124"/>
        <v>3.0287348620093808E-2</v>
      </c>
      <c r="S516" s="3">
        <f t="shared" si="125"/>
        <v>1.6818374292697262</v>
      </c>
      <c r="T516" s="3">
        <f t="shared" si="126"/>
        <v>65.554048175443228</v>
      </c>
      <c r="U516" s="3">
        <f t="shared" si="116"/>
        <v>1033.0242966132018</v>
      </c>
      <c r="V516" s="3">
        <f t="shared" si="117"/>
        <v>0</v>
      </c>
      <c r="W516" s="3">
        <f t="shared" si="127"/>
        <v>1067.5842479972762</v>
      </c>
      <c r="Y516" s="3">
        <f t="shared" si="128"/>
        <v>2167.8747175658204</v>
      </c>
      <c r="AA516" s="3">
        <f t="shared" si="129"/>
        <v>435.75383345277271</v>
      </c>
      <c r="AB516" s="3">
        <f t="shared" si="130"/>
        <v>-20.874717565820447</v>
      </c>
      <c r="AD516" s="3">
        <f t="shared" si="131"/>
        <v>6.8447547177856553E-6</v>
      </c>
    </row>
    <row r="517" spans="3:30" x14ac:dyDescent="0.3">
      <c r="C517" s="22">
        <v>485</v>
      </c>
      <c r="D517" s="22">
        <v>2128</v>
      </c>
      <c r="F517" s="3">
        <f t="shared" si="118"/>
        <v>12563.984417560758</v>
      </c>
      <c r="G517" s="3">
        <f t="shared" si="119"/>
        <v>2060.9453833842445</v>
      </c>
      <c r="H517" s="3">
        <f t="shared" si="120"/>
        <v>16.402054767029</v>
      </c>
      <c r="I517" s="3">
        <f t="shared" si="121"/>
        <v>4.5883471923096328</v>
      </c>
      <c r="J517" s="3">
        <f t="shared" si="122"/>
        <v>-1.8455140445406879</v>
      </c>
      <c r="K517" s="3">
        <f t="shared" si="123"/>
        <v>1.8918995648060928E-9</v>
      </c>
      <c r="L517" s="3" cm="1">
        <f t="array" ref="L517">lmb_2(F517)</f>
        <v>12554.54620356122</v>
      </c>
      <c r="M517" s="3" cm="1">
        <f t="array" ref="M517">lmb_2(G517)</f>
        <v>2053.3163146192164</v>
      </c>
      <c r="N517" s="3" cm="1">
        <f t="array" ref="N517">lmb_2(H517)</f>
        <v>13.778915225479752</v>
      </c>
      <c r="O517" s="3" cm="1">
        <f t="array" ref="O517">lmb_2(I517)</f>
        <v>3.3726487711621558</v>
      </c>
      <c r="P517" s="3" cm="1">
        <f t="array" ref="P517">lmb_2(J517)</f>
        <v>0.13763511866317482</v>
      </c>
      <c r="R517" s="3">
        <f t="shared" si="124"/>
        <v>3.010025667694418E-2</v>
      </c>
      <c r="S517" s="3">
        <f t="shared" si="125"/>
        <v>1.6714209731246668</v>
      </c>
      <c r="T517" s="3">
        <f t="shared" si="126"/>
        <v>65.090346219439155</v>
      </c>
      <c r="U517" s="3">
        <f t="shared" si="116"/>
        <v>1027.2243556339454</v>
      </c>
      <c r="V517" s="3">
        <f t="shared" si="117"/>
        <v>0</v>
      </c>
      <c r="W517" s="3">
        <f t="shared" si="127"/>
        <v>1069.6866947906587</v>
      </c>
      <c r="Y517" s="3">
        <f t="shared" si="128"/>
        <v>2163.7029178757366</v>
      </c>
      <c r="AA517" s="3">
        <f t="shared" si="129"/>
        <v>1274.6983448415922</v>
      </c>
      <c r="AB517" s="3">
        <f t="shared" si="130"/>
        <v>-35.702917875736603</v>
      </c>
      <c r="AD517" s="3">
        <f t="shared" si="131"/>
        <v>1.1706875304928564E-5</v>
      </c>
    </row>
    <row r="518" spans="3:30" x14ac:dyDescent="0.3">
      <c r="C518" s="22">
        <v>486</v>
      </c>
      <c r="D518" s="22">
        <v>2164</v>
      </c>
      <c r="F518" s="3">
        <f t="shared" si="118"/>
        <v>12615.8431066905</v>
      </c>
      <c r="G518" s="3">
        <f t="shared" si="119"/>
        <v>2069.4489208513705</v>
      </c>
      <c r="H518" s="3">
        <f t="shared" si="120"/>
        <v>16.472128139468552</v>
      </c>
      <c r="I518" s="3">
        <f t="shared" si="121"/>
        <v>4.6073529039045829</v>
      </c>
      <c r="J518" s="3">
        <f t="shared" si="122"/>
        <v>-1.844520859129037</v>
      </c>
      <c r="K518" s="3">
        <f t="shared" si="123"/>
        <v>1.7813571553509605E-9</v>
      </c>
      <c r="L518" s="3" cm="1">
        <f t="array" ref="L518">lmb_2(F518)</f>
        <v>12606.400772238088</v>
      </c>
      <c r="M518" s="3" cm="1">
        <f t="array" ref="M518">lmb_2(G518)</f>
        <v>2061.8157279254533</v>
      </c>
      <c r="N518" s="3" cm="1">
        <f t="array" ref="N518">lmb_2(H518)</f>
        <v>13.844257606089771</v>
      </c>
      <c r="O518" s="3" cm="1">
        <f t="array" ref="O518">lmb_2(I518)</f>
        <v>3.3873152561236304</v>
      </c>
      <c r="P518" s="3" cm="1">
        <f t="array" ref="P518">lmb_2(J518)</f>
        <v>0.1377553238594533</v>
      </c>
      <c r="R518" s="3">
        <f t="shared" si="124"/>
        <v>2.9914702704619676E-2</v>
      </c>
      <c r="S518" s="3">
        <f t="shared" si="125"/>
        <v>1.6610904022911785</v>
      </c>
      <c r="T518" s="3">
        <f t="shared" si="126"/>
        <v>64.630950669992259</v>
      </c>
      <c r="U518" s="3">
        <f t="shared" si="116"/>
        <v>1021.4593512393772</v>
      </c>
      <c r="V518" s="3">
        <f t="shared" si="117"/>
        <v>0</v>
      </c>
      <c r="W518" s="3">
        <f t="shared" si="127"/>
        <v>1071.7891415840418</v>
      </c>
      <c r="Y518" s="3">
        <f t="shared" si="128"/>
        <v>2159.5704486001882</v>
      </c>
      <c r="AA518" s="3">
        <f t="shared" si="129"/>
        <v>19.620925603574424</v>
      </c>
      <c r="AB518" s="3">
        <f t="shared" si="130"/>
        <v>4.4295513998117713</v>
      </c>
      <c r="AD518" s="3">
        <f t="shared" si="131"/>
        <v>1.4524360746887081E-6</v>
      </c>
    </row>
    <row r="519" spans="3:30" x14ac:dyDescent="0.3">
      <c r="C519" s="22">
        <v>487</v>
      </c>
      <c r="D519" s="22">
        <v>2150</v>
      </c>
      <c r="F519" s="3">
        <f t="shared" si="118"/>
        <v>12667.808610833896</v>
      </c>
      <c r="G519" s="3">
        <f t="shared" si="119"/>
        <v>2077.9699733287275</v>
      </c>
      <c r="H519" s="3">
        <f t="shared" si="120"/>
        <v>16.542345844292125</v>
      </c>
      <c r="I519" s="3">
        <f t="shared" si="121"/>
        <v>4.6263977621763512</v>
      </c>
      <c r="J519" s="3">
        <f t="shared" si="122"/>
        <v>-1.8435256280213785</v>
      </c>
      <c r="K519" s="3">
        <f t="shared" si="123"/>
        <v>1.677273663967094E-9</v>
      </c>
      <c r="L519" s="3" cm="1">
        <f t="array" ref="L519">lmb_2(F519)</f>
        <v>12658.362164401578</v>
      </c>
      <c r="M519" s="3" cm="1">
        <f t="array" ref="M519">lmb_2(G519)</f>
        <v>2070.3326647342783</v>
      </c>
      <c r="N519" s="3" cm="1">
        <f t="array" ref="N519">lmb_2(H519)</f>
        <v>13.909755421441513</v>
      </c>
      <c r="O519" s="3" cm="1">
        <f t="array" ref="O519">lmb_2(I519)</f>
        <v>3.4020264835367113</v>
      </c>
      <c r="P519" s="3" cm="1">
        <f t="array" ref="P519">lmb_2(J519)</f>
        <v>0.13787586919343961</v>
      </c>
      <c r="R519" s="3">
        <f t="shared" si="124"/>
        <v>2.9730670930330591E-2</v>
      </c>
      <c r="S519" s="3">
        <f t="shared" si="125"/>
        <v>1.6508448330294403</v>
      </c>
      <c r="T519" s="3">
        <f t="shared" si="126"/>
        <v>64.175812706469571</v>
      </c>
      <c r="U519" s="3">
        <f t="shared" si="116"/>
        <v>1015.7291117393205</v>
      </c>
      <c r="V519" s="3">
        <f t="shared" si="117"/>
        <v>0</v>
      </c>
      <c r="W519" s="3">
        <f t="shared" si="127"/>
        <v>1073.8915883774243</v>
      </c>
      <c r="Y519" s="3">
        <f t="shared" si="128"/>
        <v>2155.4770883288511</v>
      </c>
      <c r="AA519" s="3">
        <f t="shared" si="129"/>
        <v>29.998496562036891</v>
      </c>
      <c r="AB519" s="3">
        <f t="shared" si="130"/>
        <v>-5.4770883288510959</v>
      </c>
      <c r="AD519" s="3">
        <f t="shared" si="131"/>
        <v>1.7959201632512641E-6</v>
      </c>
    </row>
    <row r="520" spans="3:30" x14ac:dyDescent="0.3">
      <c r="C520" s="22">
        <v>488</v>
      </c>
      <c r="D520" s="22">
        <v>2172</v>
      </c>
      <c r="F520" s="3">
        <f t="shared" si="118"/>
        <v>12719.880929990943</v>
      </c>
      <c r="G520" s="3">
        <f t="shared" si="119"/>
        <v>2086.5085408163159</v>
      </c>
      <c r="H520" s="3">
        <f t="shared" si="120"/>
        <v>16.612707881499709</v>
      </c>
      <c r="I520" s="3">
        <f t="shared" si="121"/>
        <v>4.6454817671249371</v>
      </c>
      <c r="J520" s="3">
        <f t="shared" si="122"/>
        <v>-1.8425283512177129</v>
      </c>
      <c r="K520" s="3">
        <f t="shared" si="123"/>
        <v>1.5792717004487167E-9</v>
      </c>
      <c r="L520" s="3" cm="1">
        <f t="array" ref="L520">lmb_2(F520)</f>
        <v>12710.430380016905</v>
      </c>
      <c r="M520" s="3" cm="1">
        <f t="array" ref="M520">lmb_2(G520)</f>
        <v>2078.867125010775</v>
      </c>
      <c r="N520" s="3" cm="1">
        <f t="array" ref="N520">lmb_2(H520)</f>
        <v>13.975408623294294</v>
      </c>
      <c r="O520" s="3" cm="1">
        <f t="array" ref="O520">lmb_2(I520)</f>
        <v>3.4167824600396082</v>
      </c>
      <c r="P520" s="3" cm="1">
        <f t="array" ref="P520">lmb_2(J520)</f>
        <v>0.13799675528817432</v>
      </c>
      <c r="R520" s="3">
        <f t="shared" si="124"/>
        <v>2.9548145775021028E-2</v>
      </c>
      <c r="S520" s="3">
        <f t="shared" si="125"/>
        <v>1.6406833924935764</v>
      </c>
      <c r="T520" s="3">
        <f t="shared" si="126"/>
        <v>63.724884152111422</v>
      </c>
      <c r="U520" s="3">
        <f t="shared" si="116"/>
        <v>1010.0334652109811</v>
      </c>
      <c r="V520" s="3">
        <f t="shared" si="117"/>
        <v>0</v>
      </c>
      <c r="W520" s="3">
        <f t="shared" si="127"/>
        <v>1075.9940351708071</v>
      </c>
      <c r="Y520" s="3">
        <f t="shared" si="128"/>
        <v>2151.4226160737476</v>
      </c>
      <c r="AA520" s="3">
        <f t="shared" si="129"/>
        <v>423.42872924839162</v>
      </c>
      <c r="AB520" s="3">
        <f t="shared" si="130"/>
        <v>20.577383926252423</v>
      </c>
      <c r="AD520" s="3">
        <f t="shared" si="131"/>
        <v>6.7472599456637109E-6</v>
      </c>
    </row>
    <row r="521" spans="3:30" x14ac:dyDescent="0.3">
      <c r="C521" s="22">
        <v>489</v>
      </c>
      <c r="D521" s="22">
        <v>2065</v>
      </c>
      <c r="F521" s="3">
        <f t="shared" si="118"/>
        <v>12772.060064161651</v>
      </c>
      <c r="G521" s="3">
        <f t="shared" si="119"/>
        <v>2095.0646233141347</v>
      </c>
      <c r="H521" s="3">
        <f t="shared" si="120"/>
        <v>16.683214251091311</v>
      </c>
      <c r="I521" s="3">
        <f t="shared" si="121"/>
        <v>4.6646049187503404</v>
      </c>
      <c r="J521" s="3">
        <f t="shared" si="122"/>
        <v>-1.8415290287180393</v>
      </c>
      <c r="K521" s="3">
        <f t="shared" si="123"/>
        <v>1.4869959252440229E-9</v>
      </c>
      <c r="L521" s="3" cm="1">
        <f t="array" ref="L521">lmb_2(F521)</f>
        <v>12762.605419049514</v>
      </c>
      <c r="M521" s="3" cm="1">
        <f t="array" ref="M521">lmb_2(G521)</f>
        <v>2087.4191087202407</v>
      </c>
      <c r="N521" s="3" cm="1">
        <f t="array" ref="N521">lmb_2(H521)</f>
        <v>14.041217163681333</v>
      </c>
      <c r="O521" s="3" cm="1">
        <f t="array" ref="O521">lmb_2(I521)</f>
        <v>3.4315831920405939</v>
      </c>
      <c r="P521" s="3" cm="1">
        <f t="array" ref="P521">lmb_2(J521)</f>
        <v>0.13811798276851142</v>
      </c>
      <c r="R521" s="3">
        <f t="shared" si="124"/>
        <v>2.9367111850597989E-2</v>
      </c>
      <c r="S521" s="3">
        <f t="shared" si="125"/>
        <v>1.6306052185752544</v>
      </c>
      <c r="T521" s="3">
        <f t="shared" si="126"/>
        <v>63.278117464502103</v>
      </c>
      <c r="U521" s="3">
        <f t="shared" si="116"/>
        <v>1004.3722395261324</v>
      </c>
      <c r="V521" s="3">
        <f t="shared" si="117"/>
        <v>0</v>
      </c>
      <c r="W521" s="3">
        <f t="shared" si="127"/>
        <v>1078.0964819641899</v>
      </c>
      <c r="Y521" s="3">
        <f t="shared" si="128"/>
        <v>2147.4068112867371</v>
      </c>
      <c r="AA521" s="3">
        <f t="shared" si="129"/>
        <v>6790.8825464479078</v>
      </c>
      <c r="AB521" s="3">
        <f t="shared" si="130"/>
        <v>-82.406811286737138</v>
      </c>
      <c r="AD521" s="3">
        <f t="shared" si="131"/>
        <v>2.7020936142203414E-5</v>
      </c>
    </row>
    <row r="522" spans="3:30" x14ac:dyDescent="0.3">
      <c r="C522" s="22">
        <v>490</v>
      </c>
      <c r="D522" s="22">
        <v>2092</v>
      </c>
      <c r="F522" s="3">
        <f t="shared" si="118"/>
        <v>12824.346013346014</v>
      </c>
      <c r="G522" s="3">
        <f t="shared" si="119"/>
        <v>2103.6382208221853</v>
      </c>
      <c r="H522" s="3">
        <f t="shared" si="120"/>
        <v>16.753864953066923</v>
      </c>
      <c r="I522" s="3">
        <f t="shared" si="121"/>
        <v>4.6837672170525613</v>
      </c>
      <c r="J522" s="3">
        <f t="shared" si="122"/>
        <v>-1.8405276605223584</v>
      </c>
      <c r="K522" s="3">
        <f t="shared" si="123"/>
        <v>1.4001117610504098E-9</v>
      </c>
      <c r="L522" s="3" cm="1">
        <f t="array" ref="L522">lmb_2(F522)</f>
        <v>12814.887281465048</v>
      </c>
      <c r="M522" s="3" cm="1">
        <f t="array" ref="M522">lmb_2(G522)</f>
        <v>2095.9886158281888</v>
      </c>
      <c r="N522" s="3" cm="1">
        <f t="array" ref="N522">lmb_2(H522)</f>
        <v>14.107180994908134</v>
      </c>
      <c r="O522" s="3" cm="1">
        <f t="array" ref="O522">lmb_2(I522)</f>
        <v>3.4464286857204232</v>
      </c>
      <c r="P522" s="3" cm="1">
        <f t="array" ref="P522">lmb_2(J522)</f>
        <v>0.13823955226112122</v>
      </c>
      <c r="R522" s="3">
        <f t="shared" si="124"/>
        <v>2.9187553957205903E-2</v>
      </c>
      <c r="S522" s="3">
        <f t="shared" si="125"/>
        <v>1.6206094597498373</v>
      </c>
      <c r="T522" s="3">
        <f t="shared" si="126"/>
        <v>62.835465726194542</v>
      </c>
      <c r="U522" s="3">
        <f t="shared" si="116"/>
        <v>998.74526237773227</v>
      </c>
      <c r="V522" s="3">
        <f t="shared" si="117"/>
        <v>0</v>
      </c>
      <c r="W522" s="3">
        <f t="shared" si="127"/>
        <v>1080.1989287575727</v>
      </c>
      <c r="Y522" s="3">
        <f t="shared" si="128"/>
        <v>2143.4294538766067</v>
      </c>
      <c r="AA522" s="3">
        <f t="shared" si="129"/>
        <v>2644.9887260460114</v>
      </c>
      <c r="AB522" s="3">
        <f t="shared" si="130"/>
        <v>-51.429453876606658</v>
      </c>
      <c r="AD522" s="3">
        <f t="shared" si="131"/>
        <v>1.686355736048051E-5</v>
      </c>
    </row>
    <row r="523" spans="3:30" x14ac:dyDescent="0.3">
      <c r="C523" s="22">
        <v>491</v>
      </c>
      <c r="D523" s="22">
        <v>2047</v>
      </c>
      <c r="F523" s="3">
        <f t="shared" si="118"/>
        <v>12876.738777544029</v>
      </c>
      <c r="G523" s="3">
        <f t="shared" si="119"/>
        <v>2112.2293333404664</v>
      </c>
      <c r="H523" s="3">
        <f t="shared" si="120"/>
        <v>16.824659987426557</v>
      </c>
      <c r="I523" s="3">
        <f t="shared" si="121"/>
        <v>4.7029686620315996</v>
      </c>
      <c r="J523" s="3">
        <f t="shared" si="122"/>
        <v>-1.83952424663067</v>
      </c>
      <c r="K523" s="3">
        <f t="shared" si="123"/>
        <v>1.3183041796903264E-9</v>
      </c>
      <c r="L523" s="3" cm="1">
        <f t="array" ref="L523">lmb_2(F523)</f>
        <v>12867.275967229358</v>
      </c>
      <c r="M523" s="3" cm="1">
        <f t="array" ref="M523">lmb_2(G523)</f>
        <v>2104.5756463003408</v>
      </c>
      <c r="N523" s="3" cm="1">
        <f t="array" ref="N523">lmb_2(H523)</f>
        <v>14.173300069550935</v>
      </c>
      <c r="O523" s="3" cm="1">
        <f t="array" ref="O523">lmb_2(I523)</f>
        <v>3.4613189470347301</v>
      </c>
      <c r="P523" s="3" cm="1">
        <f t="array" ref="P523">lmb_2(J523)</f>
        <v>0.13836146439449387</v>
      </c>
      <c r="R523" s="3">
        <f t="shared" si="124"/>
        <v>2.900945708054543E-2</v>
      </c>
      <c r="S523" s="3">
        <f t="shared" si="125"/>
        <v>1.6106952749250623</v>
      </c>
      <c r="T523" s="3">
        <f t="shared" si="126"/>
        <v>62.396882635485476</v>
      </c>
      <c r="U523" s="3">
        <f t="shared" si="116"/>
        <v>993.15236130599635</v>
      </c>
      <c r="V523" s="3">
        <f t="shared" si="117"/>
        <v>0</v>
      </c>
      <c r="W523" s="3">
        <f t="shared" si="127"/>
        <v>1082.3013755509558</v>
      </c>
      <c r="Y523" s="3">
        <f t="shared" si="128"/>
        <v>2139.4903242257615</v>
      </c>
      <c r="AA523" s="3">
        <f t="shared" si="129"/>
        <v>8554.4600753864797</v>
      </c>
      <c r="AB523" s="3">
        <f t="shared" si="130"/>
        <v>-92.490324225761469</v>
      </c>
      <c r="AD523" s="3">
        <f t="shared" si="131"/>
        <v>3.0327288553612763E-5</v>
      </c>
    </row>
    <row r="524" spans="3:30" x14ac:dyDescent="0.3">
      <c r="C524" s="22">
        <v>492</v>
      </c>
      <c r="D524" s="22">
        <v>2121</v>
      </c>
      <c r="F524" s="3">
        <f t="shared" si="118"/>
        <v>12929.238356755701</v>
      </c>
      <c r="G524" s="3">
        <f t="shared" si="119"/>
        <v>2120.8379608689784</v>
      </c>
      <c r="H524" s="3">
        <f t="shared" si="120"/>
        <v>16.895599354170201</v>
      </c>
      <c r="I524" s="3">
        <f t="shared" si="121"/>
        <v>4.7222092536874563</v>
      </c>
      <c r="J524" s="3">
        <f t="shared" si="122"/>
        <v>-1.838518787042974</v>
      </c>
      <c r="K524" s="3">
        <f t="shared" si="123"/>
        <v>1.2412765598691461E-9</v>
      </c>
      <c r="L524" s="3" cm="1">
        <f t="array" ref="L524">lmb_2(F524)</f>
        <v>12919.771476308515</v>
      </c>
      <c r="M524" s="3" cm="1">
        <f t="array" ref="M524">lmb_2(G524)</f>
        <v>2113.1802001026299</v>
      </c>
      <c r="N524" s="3" cm="1">
        <f t="array" ref="N524">lmb_2(H524)</f>
        <v>14.239574340455114</v>
      </c>
      <c r="O524" s="3" cm="1">
        <f t="array" ref="O524">lmb_2(I524)</f>
        <v>3.4762539817164173</v>
      </c>
      <c r="P524" s="3" cm="1">
        <f t="array" ref="P524">lmb_2(J524)</f>
        <v>0.13848371979894253</v>
      </c>
      <c r="R524" s="3">
        <f t="shared" si="124"/>
        <v>2.8832806389235712E-2</v>
      </c>
      <c r="S524" s="3">
        <f t="shared" si="125"/>
        <v>1.6008618332921773</v>
      </c>
      <c r="T524" s="3">
        <f t="shared" si="126"/>
        <v>61.962322497339102</v>
      </c>
      <c r="U524" s="3">
        <f t="shared" si="116"/>
        <v>987.59336372391999</v>
      </c>
      <c r="V524" s="3">
        <f t="shared" si="117"/>
        <v>0</v>
      </c>
      <c r="W524" s="3">
        <f t="shared" si="127"/>
        <v>1084.4038223443386</v>
      </c>
      <c r="Y524" s="3">
        <f t="shared" si="128"/>
        <v>2135.5892032065203</v>
      </c>
      <c r="AA524" s="3">
        <f t="shared" si="129"/>
        <v>212.84485020114289</v>
      </c>
      <c r="AB524" s="3">
        <f t="shared" si="130"/>
        <v>-14.589203206520324</v>
      </c>
      <c r="AD524" s="3">
        <f t="shared" si="131"/>
        <v>4.7837541831018678E-6</v>
      </c>
    </row>
    <row r="525" spans="3:30" x14ac:dyDescent="0.3">
      <c r="C525" s="22">
        <v>493</v>
      </c>
      <c r="D525" s="22">
        <v>2102</v>
      </c>
      <c r="F525" s="3">
        <f t="shared" si="118"/>
        <v>12981.84475098103</v>
      </c>
      <c r="G525" s="3">
        <f t="shared" si="119"/>
        <v>2129.4641034077208</v>
      </c>
      <c r="H525" s="3">
        <f t="shared" si="120"/>
        <v>16.966683053297867</v>
      </c>
      <c r="I525" s="3">
        <f t="shared" si="121"/>
        <v>4.7414889920201295</v>
      </c>
      <c r="J525" s="3">
        <f t="shared" si="122"/>
        <v>-1.8375112817592705</v>
      </c>
      <c r="K525" s="3">
        <f t="shared" si="123"/>
        <v>1.16874961167347E-9</v>
      </c>
      <c r="L525" s="3" cm="1">
        <f t="array" ref="L525">lmb_2(F525)</f>
        <v>12972.373808668792</v>
      </c>
      <c r="M525" s="3" cm="1">
        <f t="array" ref="M525">lmb_2(G525)</f>
        <v>2121.8022772011959</v>
      </c>
      <c r="N525" s="3" cm="1">
        <f t="array" ref="N525">lmb_2(H525)</f>
        <v>14.306003760733642</v>
      </c>
      <c r="O525" s="3" cm="1">
        <f t="array" ref="O525">lmb_2(I525)</f>
        <v>3.4912337952780268</v>
      </c>
      <c r="P525" s="3" cm="1">
        <f t="array" ref="P525">lmb_2(J525)</f>
        <v>0.13860631910660659</v>
      </c>
      <c r="R525" s="3">
        <f t="shared" si="124"/>
        <v>2.8657587232219572E-2</v>
      </c>
      <c r="S525" s="3">
        <f t="shared" si="125"/>
        <v>1.5911083141795093</v>
      </c>
      <c r="T525" s="3">
        <f t="shared" si="126"/>
        <v>61.531740214456192</v>
      </c>
      <c r="U525" s="3">
        <f t="shared" si="116"/>
        <v>982.06809694226354</v>
      </c>
      <c r="V525" s="3">
        <f t="shared" si="117"/>
        <v>0</v>
      </c>
      <c r="W525" s="3">
        <f t="shared" si="127"/>
        <v>1086.5062691377213</v>
      </c>
      <c r="Y525" s="3">
        <f t="shared" si="128"/>
        <v>2131.7258721970215</v>
      </c>
      <c r="AA525" s="3">
        <f t="shared" si="129"/>
        <v>883.62747787365845</v>
      </c>
      <c r="AB525" s="3">
        <f t="shared" si="130"/>
        <v>-29.725872197021545</v>
      </c>
      <c r="AD525" s="3">
        <f t="shared" si="131"/>
        <v>9.7470206875519828E-6</v>
      </c>
    </row>
    <row r="526" spans="3:30" x14ac:dyDescent="0.3">
      <c r="C526" s="22">
        <v>494</v>
      </c>
      <c r="D526" s="22">
        <v>2052</v>
      </c>
      <c r="F526" s="3">
        <f t="shared" si="118"/>
        <v>13034.557960220012</v>
      </c>
      <c r="G526" s="3">
        <f t="shared" si="119"/>
        <v>2138.1077609566946</v>
      </c>
      <c r="H526" s="3">
        <f t="shared" si="120"/>
        <v>17.037911084809547</v>
      </c>
      <c r="I526" s="3">
        <f t="shared" si="121"/>
        <v>4.7608078770296212</v>
      </c>
      <c r="J526" s="3">
        <f t="shared" si="122"/>
        <v>-1.8365017307795595</v>
      </c>
      <c r="K526" s="3">
        <f t="shared" si="123"/>
        <v>1.100460363910269E-9</v>
      </c>
      <c r="L526" s="3" cm="1">
        <f t="array" ref="L526">lmb_2(F526)</f>
        <v>13025.082964276664</v>
      </c>
      <c r="M526" s="3" cm="1">
        <f t="array" ref="M526">lmb_2(G526)</f>
        <v>2130.4418775623872</v>
      </c>
      <c r="N526" s="3" cm="1">
        <f t="array" ref="N526">lmb_2(H526)</f>
        <v>14.372588283765495</v>
      </c>
      <c r="O526" s="3" cm="1">
        <f t="array" ref="O526">lmb_2(I526)</f>
        <v>3.5062583930141042</v>
      </c>
      <c r="P526" s="3" cm="1">
        <f t="array" ref="P526">lmb_2(J526)</f>
        <v>0.13872926295145502</v>
      </c>
      <c r="R526" s="3">
        <f t="shared" si="124"/>
        <v>2.8483785136210617E-2</v>
      </c>
      <c r="S526" s="3">
        <f t="shared" si="125"/>
        <v>1.5814339069084005</v>
      </c>
      <c r="T526" s="3">
        <f t="shared" si="126"/>
        <v>61.105091278486867</v>
      </c>
      <c r="U526" s="3">
        <f t="shared" si="116"/>
        <v>976.57638819400552</v>
      </c>
      <c r="V526" s="3">
        <f t="shared" si="117"/>
        <v>0</v>
      </c>
      <c r="W526" s="3">
        <f t="shared" si="127"/>
        <v>1088.6087159311041</v>
      </c>
      <c r="Y526" s="3">
        <f t="shared" si="128"/>
        <v>2127.9001130967417</v>
      </c>
      <c r="AA526" s="3">
        <f t="shared" si="129"/>
        <v>5760.8271680981861</v>
      </c>
      <c r="AB526" s="3">
        <f t="shared" si="130"/>
        <v>-75.900113096741734</v>
      </c>
      <c r="AD526" s="3">
        <f t="shared" si="131"/>
        <v>2.4887410119983053E-5</v>
      </c>
    </row>
    <row r="527" spans="3:30" x14ac:dyDescent="0.3">
      <c r="C527" s="22">
        <v>495</v>
      </c>
      <c r="D527" s="22">
        <v>2126</v>
      </c>
      <c r="F527" s="3">
        <f t="shared" si="118"/>
        <v>13087.377984472654</v>
      </c>
      <c r="G527" s="3">
        <f t="shared" si="119"/>
        <v>2146.7689335159002</v>
      </c>
      <c r="H527" s="3">
        <f t="shared" si="120"/>
        <v>17.109283448705241</v>
      </c>
      <c r="I527" s="3">
        <f t="shared" si="121"/>
        <v>4.7801659087159294</v>
      </c>
      <c r="J527" s="3">
        <f t="shared" si="122"/>
        <v>-1.835490134103841</v>
      </c>
      <c r="K527" s="3">
        <f t="shared" si="123"/>
        <v>1.0361612106151094E-9</v>
      </c>
      <c r="L527" s="3" cm="1">
        <f t="array" ref="L527">lmb_2(F527)</f>
        <v>13077.898943098817</v>
      </c>
      <c r="M527" s="3" cm="1">
        <f t="array" ref="M527">lmb_2(G527)</f>
        <v>2139.0990011527556</v>
      </c>
      <c r="N527" s="3" cm="1">
        <f t="array" ref="N527">lmb_2(H527)</f>
        <v>14.439327863194114</v>
      </c>
      <c r="O527" s="3" cm="1">
        <f t="array" ref="O527">lmb_2(I527)</f>
        <v>3.5213277800035381</v>
      </c>
      <c r="P527" s="3" cm="1">
        <f t="array" ref="P527">lmb_2(J527)</f>
        <v>0.13885255196928956</v>
      </c>
      <c r="R527" s="3">
        <f t="shared" si="124"/>
        <v>2.8311385803181516E-2</v>
      </c>
      <c r="S527" s="3">
        <f t="shared" si="125"/>
        <v>1.571837810651495</v>
      </c>
      <c r="T527" s="3">
        <f t="shared" si="126"/>
        <v>60.682331761383793</v>
      </c>
      <c r="U527" s="3">
        <f t="shared" si="116"/>
        <v>971.11806465827465</v>
      </c>
      <c r="V527" s="3">
        <f t="shared" si="117"/>
        <v>0</v>
      </c>
      <c r="W527" s="3">
        <f t="shared" si="127"/>
        <v>1090.7111627244869</v>
      </c>
      <c r="Y527" s="3">
        <f t="shared" si="128"/>
        <v>2124.1117083416361</v>
      </c>
      <c r="AA527" s="3">
        <f t="shared" si="129"/>
        <v>3.5656453870465703</v>
      </c>
      <c r="AB527" s="3">
        <f t="shared" si="130"/>
        <v>1.8882916583638689</v>
      </c>
      <c r="AD527" s="3">
        <f t="shared" si="131"/>
        <v>6.1916493942433843E-7</v>
      </c>
    </row>
    <row r="528" spans="3:30" x14ac:dyDescent="0.3">
      <c r="C528" s="22">
        <v>496</v>
      </c>
      <c r="D528" s="22">
        <v>2038</v>
      </c>
      <c r="F528" s="3">
        <f t="shared" si="118"/>
        <v>13140.304823738948</v>
      </c>
      <c r="G528" s="3">
        <f t="shared" si="119"/>
        <v>2155.4476210853354</v>
      </c>
      <c r="H528" s="3">
        <f t="shared" si="120"/>
        <v>17.18080014498495</v>
      </c>
      <c r="I528" s="3">
        <f t="shared" si="121"/>
        <v>4.7995630870790569</v>
      </c>
      <c r="J528" s="3">
        <f t="shared" si="122"/>
        <v>-1.834476491732115</v>
      </c>
      <c r="K528" s="3">
        <f t="shared" si="123"/>
        <v>9.7561901327226025E-10</v>
      </c>
      <c r="L528" s="3" cm="1">
        <f t="array" ref="L528">lmb_2(F528)</f>
        <v>13130.821745102126</v>
      </c>
      <c r="M528" s="3" cm="1">
        <f t="array" ref="M528">lmb_2(G528)</f>
        <v>2147.7736479390542</v>
      </c>
      <c r="N528" s="3" cm="1">
        <f t="array" ref="N528">lmb_2(H528)</f>
        <v>14.506222452925835</v>
      </c>
      <c r="O528" s="3" cm="1">
        <f t="array" ref="O528">lmb_2(I528)</f>
        <v>3.5364419611119002</v>
      </c>
      <c r="P528" s="3" cm="1">
        <f t="array" ref="P528">lmb_2(J528)</f>
        <v>0.13897618679774806</v>
      </c>
      <c r="R528" s="3">
        <f t="shared" si="124"/>
        <v>2.8140375107892905E-2</v>
      </c>
      <c r="S528" s="3">
        <f t="shared" si="125"/>
        <v>1.5623192342933088</v>
      </c>
      <c r="T528" s="3">
        <f t="shared" si="126"/>
        <v>60.263418306894238</v>
      </c>
      <c r="U528" s="3">
        <f t="shared" si="116"/>
        <v>965.69295348375908</v>
      </c>
      <c r="V528" s="3">
        <f t="shared" si="117"/>
        <v>0</v>
      </c>
      <c r="W528" s="3">
        <f t="shared" si="127"/>
        <v>1092.8136095178697</v>
      </c>
      <c r="Y528" s="3">
        <f t="shared" si="128"/>
        <v>2120.3604409188997</v>
      </c>
      <c r="AA528" s="3">
        <f t="shared" si="129"/>
        <v>6783.2422283555698</v>
      </c>
      <c r="AB528" s="3">
        <f t="shared" si="130"/>
        <v>-82.360440918899712</v>
      </c>
      <c r="AD528" s="3">
        <f t="shared" si="131"/>
        <v>2.7005731443360429E-5</v>
      </c>
    </row>
    <row r="529" spans="3:30" x14ac:dyDescent="0.3">
      <c r="C529" s="22">
        <v>497</v>
      </c>
      <c r="D529" s="22">
        <v>2050</v>
      </c>
      <c r="F529" s="3">
        <f t="shared" si="118"/>
        <v>13193.338478018899</v>
      </c>
      <c r="G529" s="3">
        <f t="shared" si="119"/>
        <v>2164.1438236650024</v>
      </c>
      <c r="H529" s="3">
        <f t="shared" si="120"/>
        <v>17.252461173648676</v>
      </c>
      <c r="I529" s="3">
        <f t="shared" si="121"/>
        <v>4.8189994121190018</v>
      </c>
      <c r="J529" s="3">
        <f t="shared" si="122"/>
        <v>-1.8334608036643814</v>
      </c>
      <c r="K529" s="3">
        <f t="shared" si="123"/>
        <v>9.186142554914697E-10</v>
      </c>
      <c r="L529" s="3" cm="1">
        <f t="array" ref="L529">lmb_2(F529)</f>
        <v>13183.85137025368</v>
      </c>
      <c r="M529" s="3" cm="1">
        <f t="array" ref="M529">lmb_2(G529)</f>
        <v>2156.4658178882405</v>
      </c>
      <c r="N529" s="3" cm="1">
        <f t="array" ref="N529">lmb_2(H529)</f>
        <v>14.573272007128349</v>
      </c>
      <c r="O529" s="3" cm="1">
        <f t="array" ref="O529">lmb_2(I529)</f>
        <v>3.5516009409937532</v>
      </c>
      <c r="P529" s="3" cm="1">
        <f t="array" ref="P529">lmb_2(J529)</f>
        <v>0.13910016807630779</v>
      </c>
      <c r="R529" s="3">
        <f t="shared" si="124"/>
        <v>2.7970739095461862E-2</v>
      </c>
      <c r="S529" s="3">
        <f t="shared" si="125"/>
        <v>1.5528773962930469</v>
      </c>
      <c r="T529" s="3">
        <f t="shared" si="126"/>
        <v>59.848308122187909</v>
      </c>
      <c r="U529" s="3">
        <f t="shared" si="116"/>
        <v>960.30088181161489</v>
      </c>
      <c r="V529" s="3">
        <f t="shared" si="117"/>
        <v>0</v>
      </c>
      <c r="W529" s="3">
        <f t="shared" si="127"/>
        <v>1094.9160563112525</v>
      </c>
      <c r="Y529" s="3">
        <f t="shared" si="128"/>
        <v>2116.6460943813627</v>
      </c>
      <c r="AA529" s="3">
        <f t="shared" si="129"/>
        <v>4441.7018962895008</v>
      </c>
      <c r="AB529" s="3">
        <f t="shared" si="130"/>
        <v>-66.646094381362673</v>
      </c>
      <c r="AD529" s="3">
        <f t="shared" si="131"/>
        <v>2.1853046274779187E-5</v>
      </c>
    </row>
    <row r="530" spans="3:30" x14ac:dyDescent="0.3">
      <c r="C530" s="22">
        <v>498</v>
      </c>
      <c r="D530" s="22">
        <v>1991</v>
      </c>
      <c r="F530" s="3">
        <f t="shared" si="118"/>
        <v>13246.478947312502</v>
      </c>
      <c r="G530" s="3">
        <f t="shared" si="119"/>
        <v>2172.8575412548998</v>
      </c>
      <c r="H530" s="3">
        <f t="shared" si="120"/>
        <v>17.324266534696417</v>
      </c>
      <c r="I530" s="3">
        <f t="shared" si="121"/>
        <v>4.8384748838357625</v>
      </c>
      <c r="J530" s="3">
        <f t="shared" si="122"/>
        <v>-1.8324430699006402</v>
      </c>
      <c r="K530" s="3">
        <f t="shared" si="123"/>
        <v>8.6494024707640487E-10</v>
      </c>
      <c r="L530" s="3" cm="1">
        <f t="array" ref="L530">lmb_2(F530)</f>
        <v>13236.987818520756</v>
      </c>
      <c r="M530" s="3" cm="1">
        <f t="array" ref="M530">lmb_2(G530)</f>
        <v>2165.1755109674691</v>
      </c>
      <c r="N530" s="3" cm="1">
        <f t="array" ref="N530">lmb_2(H530)</f>
        <v>14.640476480229136</v>
      </c>
      <c r="O530" s="3" cm="1">
        <f t="array" ref="O530">lmb_2(I530)</f>
        <v>3.5668047240949594</v>
      </c>
      <c r="P530" s="3" cm="1">
        <f t="array" ref="P530">lmb_2(J530)</f>
        <v>0.13922449644628865</v>
      </c>
      <c r="R530" s="3">
        <f t="shared" si="124"/>
        <v>2.7802463978969506E-2</v>
      </c>
      <c r="S530" s="3">
        <f t="shared" si="125"/>
        <v>1.5435115245496478</v>
      </c>
      <c r="T530" s="3">
        <f t="shared" si="126"/>
        <v>59.436958969618878</v>
      </c>
      <c r="U530" s="3">
        <f t="shared" si="116"/>
        <v>954.94167679786358</v>
      </c>
      <c r="V530" s="3">
        <f t="shared" si="117"/>
        <v>0</v>
      </c>
      <c r="W530" s="3">
        <f t="shared" si="127"/>
        <v>1097.0185031046353</v>
      </c>
      <c r="Y530" s="3">
        <f t="shared" si="128"/>
        <v>2112.9684528615112</v>
      </c>
      <c r="AA530" s="3">
        <f t="shared" si="129"/>
        <v>14876.303493430678</v>
      </c>
      <c r="AB530" s="3">
        <f t="shared" si="130"/>
        <v>-121.9684528615112</v>
      </c>
      <c r="AD530" s="3">
        <f t="shared" si="131"/>
        <v>3.99930749008931E-5</v>
      </c>
    </row>
    <row r="531" spans="3:30" x14ac:dyDescent="0.3">
      <c r="C531" s="22">
        <v>499</v>
      </c>
      <c r="D531" s="22">
        <v>2037</v>
      </c>
      <c r="F531" s="3">
        <f t="shared" si="118"/>
        <v>13299.726231619763</v>
      </c>
      <c r="G531" s="3">
        <f t="shared" si="119"/>
        <v>2181.5887738550282</v>
      </c>
      <c r="H531" s="3">
        <f t="shared" si="120"/>
        <v>17.396216228128171</v>
      </c>
      <c r="I531" s="3">
        <f t="shared" si="121"/>
        <v>4.8579895022293424</v>
      </c>
      <c r="J531" s="3">
        <f t="shared" si="122"/>
        <v>-1.8314232904408916</v>
      </c>
      <c r="K531" s="3">
        <f t="shared" si="123"/>
        <v>8.1440237459883346E-10</v>
      </c>
      <c r="L531" s="3" cm="1">
        <f t="array" ref="L531">lmb_2(F531)</f>
        <v>13290.231089870838</v>
      </c>
      <c r="M531" s="3" cm="1">
        <f t="array" ref="M531">lmb_2(G531)</f>
        <v>2173.902727144095</v>
      </c>
      <c r="N531" s="3" cm="1">
        <f t="array" ref="N531">lmb_2(H531)</f>
        <v>14.707835826913943</v>
      </c>
      <c r="O531" s="3" cm="1">
        <f t="array" ref="O531">lmb_2(I531)</f>
        <v>3.5820533146549742</v>
      </c>
      <c r="P531" s="3" cm="1">
        <f t="array" ref="P531">lmb_2(J531)</f>
        <v>0.13934917255085655</v>
      </c>
      <c r="R531" s="3">
        <f t="shared" si="124"/>
        <v>2.7635536137106922E-2</v>
      </c>
      <c r="S531" s="3">
        <f t="shared" si="125"/>
        <v>1.5342208562689759</v>
      </c>
      <c r="T531" s="3">
        <f t="shared" si="126"/>
        <v>59.02932915861885</v>
      </c>
      <c r="U531" s="3">
        <f t="shared" si="116"/>
        <v>949.61516563529688</v>
      </c>
      <c r="V531" s="3">
        <f t="shared" si="117"/>
        <v>0</v>
      </c>
      <c r="W531" s="3">
        <f t="shared" si="127"/>
        <v>1099.1209498980181</v>
      </c>
      <c r="Y531" s="3">
        <f t="shared" si="128"/>
        <v>2109.3273010851544</v>
      </c>
      <c r="AA531" s="3">
        <f t="shared" si="129"/>
        <v>5231.2384822625818</v>
      </c>
      <c r="AB531" s="3">
        <f t="shared" si="130"/>
        <v>-72.327301085154431</v>
      </c>
      <c r="AD531" s="3">
        <f t="shared" si="131"/>
        <v>2.3715896215904402E-5</v>
      </c>
    </row>
    <row r="532" spans="3:30" x14ac:dyDescent="0.3">
      <c r="C532" s="22"/>
      <c r="D532" s="22"/>
    </row>
    <row r="533" spans="3:30" x14ac:dyDescent="0.3">
      <c r="C533" s="22"/>
      <c r="D533" s="22"/>
    </row>
    <row r="534" spans="3:30" x14ac:dyDescent="0.3">
      <c r="C534" s="22"/>
      <c r="D534" s="22"/>
    </row>
    <row r="535" spans="3:30" x14ac:dyDescent="0.3">
      <c r="C535" s="22"/>
      <c r="D535" s="22"/>
    </row>
    <row r="536" spans="3:30" x14ac:dyDescent="0.3">
      <c r="C536" s="22"/>
      <c r="D536" s="22"/>
    </row>
    <row r="537" spans="3:30" x14ac:dyDescent="0.3">
      <c r="C537" s="22"/>
      <c r="D537" s="22"/>
    </row>
    <row r="538" spans="3:30" x14ac:dyDescent="0.3">
      <c r="C538" s="22"/>
      <c r="D538" s="22"/>
    </row>
    <row r="539" spans="3:30" x14ac:dyDescent="0.3">
      <c r="C539" s="22"/>
      <c r="D539" s="22"/>
    </row>
    <row r="540" spans="3:30" x14ac:dyDescent="0.3">
      <c r="C540" s="22"/>
      <c r="D540" s="22"/>
    </row>
    <row r="541" spans="3:30" x14ac:dyDescent="0.3">
      <c r="C541" s="22"/>
      <c r="D541" s="22"/>
    </row>
    <row r="542" spans="3:30" x14ac:dyDescent="0.3">
      <c r="C542" s="22"/>
      <c r="D542" s="22"/>
    </row>
    <row r="543" spans="3:30" x14ac:dyDescent="0.3">
      <c r="C543" s="22"/>
      <c r="D543" s="22"/>
    </row>
    <row r="544" spans="3:30" x14ac:dyDescent="0.3">
      <c r="C544" s="22"/>
      <c r="D544" s="22"/>
    </row>
    <row r="545" spans="3:4" x14ac:dyDescent="0.3">
      <c r="C545" s="22"/>
      <c r="D545" s="22"/>
    </row>
    <row r="546" spans="3:4" x14ac:dyDescent="0.3">
      <c r="C546" s="22"/>
      <c r="D546" s="22"/>
    </row>
    <row r="547" spans="3:4" x14ac:dyDescent="0.3">
      <c r="C547" s="22"/>
      <c r="D547" s="22"/>
    </row>
    <row r="548" spans="3:4" x14ac:dyDescent="0.3">
      <c r="C548" s="22"/>
      <c r="D548" s="22"/>
    </row>
    <row r="549" spans="3:4" x14ac:dyDescent="0.3">
      <c r="C549" s="22"/>
      <c r="D549" s="22"/>
    </row>
    <row r="550" spans="3:4" x14ac:dyDescent="0.3">
      <c r="C550" s="22"/>
      <c r="D550" s="22"/>
    </row>
    <row r="551" spans="3:4" x14ac:dyDescent="0.3">
      <c r="C551" s="22"/>
      <c r="D551" s="22"/>
    </row>
    <row r="552" spans="3:4" x14ac:dyDescent="0.3">
      <c r="C552" s="22"/>
      <c r="D552" s="22"/>
    </row>
    <row r="553" spans="3:4" x14ac:dyDescent="0.3">
      <c r="C553" s="22"/>
      <c r="D553" s="22"/>
    </row>
    <row r="554" spans="3:4" x14ac:dyDescent="0.3">
      <c r="C554" s="22"/>
      <c r="D554" s="22"/>
    </row>
    <row r="555" spans="3:4" x14ac:dyDescent="0.3">
      <c r="C555" s="22"/>
      <c r="D555" s="22"/>
    </row>
    <row r="556" spans="3:4" x14ac:dyDescent="0.3">
      <c r="C556" s="22"/>
      <c r="D556" s="22"/>
    </row>
    <row r="557" spans="3:4" x14ac:dyDescent="0.3">
      <c r="C557" s="22"/>
      <c r="D557" s="22"/>
    </row>
    <row r="558" spans="3:4" x14ac:dyDescent="0.3">
      <c r="C558" s="22"/>
      <c r="D558" s="22"/>
    </row>
    <row r="559" spans="3:4" x14ac:dyDescent="0.3">
      <c r="C559" s="22"/>
      <c r="D559" s="22"/>
    </row>
    <row r="560" spans="3:4" x14ac:dyDescent="0.3">
      <c r="C560" s="22"/>
      <c r="D560" s="22"/>
    </row>
    <row r="561" spans="3:4" x14ac:dyDescent="0.3">
      <c r="C561" s="22"/>
      <c r="D561" s="22"/>
    </row>
    <row r="562" spans="3:4" x14ac:dyDescent="0.3">
      <c r="C562" s="22"/>
      <c r="D562" s="22"/>
    </row>
    <row r="563" spans="3:4" x14ac:dyDescent="0.3">
      <c r="C563" s="22"/>
      <c r="D563" s="22"/>
    </row>
    <row r="564" spans="3:4" x14ac:dyDescent="0.3">
      <c r="C564" s="22"/>
      <c r="D564" s="22"/>
    </row>
    <row r="565" spans="3:4" x14ac:dyDescent="0.3">
      <c r="C565" s="22"/>
      <c r="D565" s="22"/>
    </row>
    <row r="566" spans="3:4" x14ac:dyDescent="0.3">
      <c r="C566" s="22"/>
      <c r="D566" s="22"/>
    </row>
    <row r="567" spans="3:4" x14ac:dyDescent="0.3">
      <c r="C567" s="22"/>
      <c r="D567" s="22"/>
    </row>
    <row r="568" spans="3:4" x14ac:dyDescent="0.3">
      <c r="C568" s="22"/>
      <c r="D568" s="22"/>
    </row>
    <row r="569" spans="3:4" x14ac:dyDescent="0.3">
      <c r="C569" s="22"/>
      <c r="D569" s="22"/>
    </row>
    <row r="570" spans="3:4" x14ac:dyDescent="0.3">
      <c r="C570" s="22"/>
      <c r="D570" s="22"/>
    </row>
    <row r="571" spans="3:4" x14ac:dyDescent="0.3">
      <c r="C571" s="22"/>
      <c r="D571" s="22"/>
    </row>
    <row r="572" spans="3:4" x14ac:dyDescent="0.3">
      <c r="C572" s="22"/>
      <c r="D572" s="22"/>
    </row>
    <row r="573" spans="3:4" x14ac:dyDescent="0.3">
      <c r="C573" s="22"/>
      <c r="D573" s="22"/>
    </row>
    <row r="574" spans="3:4" x14ac:dyDescent="0.3">
      <c r="C574" s="22"/>
      <c r="D574" s="22"/>
    </row>
    <row r="575" spans="3:4" x14ac:dyDescent="0.3">
      <c r="C575" s="22"/>
      <c r="D575" s="22"/>
    </row>
    <row r="576" spans="3:4" x14ac:dyDescent="0.3">
      <c r="C576" s="22"/>
      <c r="D576" s="22"/>
    </row>
    <row r="577" spans="3:4" x14ac:dyDescent="0.3">
      <c r="C577" s="22"/>
      <c r="D577" s="22"/>
    </row>
    <row r="578" spans="3:4" x14ac:dyDescent="0.3">
      <c r="C578" s="22"/>
      <c r="D578" s="22"/>
    </row>
    <row r="579" spans="3:4" x14ac:dyDescent="0.3">
      <c r="C579" s="22"/>
      <c r="D579" s="22"/>
    </row>
    <row r="580" spans="3:4" x14ac:dyDescent="0.3">
      <c r="C580" s="22"/>
      <c r="D580" s="22"/>
    </row>
    <row r="581" spans="3:4" x14ac:dyDescent="0.3">
      <c r="C581" s="22"/>
      <c r="D581" s="22"/>
    </row>
    <row r="582" spans="3:4" x14ac:dyDescent="0.3">
      <c r="C582" s="22"/>
      <c r="D582" s="22"/>
    </row>
    <row r="583" spans="3:4" x14ac:dyDescent="0.3">
      <c r="C583" s="22"/>
      <c r="D583" s="22"/>
    </row>
    <row r="584" spans="3:4" x14ac:dyDescent="0.3">
      <c r="C584" s="22"/>
      <c r="D584" s="22"/>
    </row>
    <row r="585" spans="3:4" x14ac:dyDescent="0.3">
      <c r="C585" s="22"/>
      <c r="D585" s="22"/>
    </row>
    <row r="586" spans="3:4" x14ac:dyDescent="0.3">
      <c r="C586" s="22"/>
      <c r="D586" s="22"/>
    </row>
    <row r="587" spans="3:4" x14ac:dyDescent="0.3">
      <c r="C587" s="22"/>
      <c r="D587" s="22"/>
    </row>
    <row r="588" spans="3:4" x14ac:dyDescent="0.3">
      <c r="C588" s="22"/>
      <c r="D588" s="22"/>
    </row>
    <row r="589" spans="3:4" x14ac:dyDescent="0.3">
      <c r="C589" s="22"/>
      <c r="D589" s="22"/>
    </row>
    <row r="590" spans="3:4" x14ac:dyDescent="0.3">
      <c r="C590" s="22"/>
      <c r="D590" s="22"/>
    </row>
    <row r="591" spans="3:4" x14ac:dyDescent="0.3">
      <c r="C591" s="22"/>
      <c r="D591" s="22"/>
    </row>
    <row r="592" spans="3:4" x14ac:dyDescent="0.3">
      <c r="C592" s="22"/>
      <c r="D592" s="22"/>
    </row>
    <row r="593" spans="3:4" x14ac:dyDescent="0.3">
      <c r="C593" s="22"/>
      <c r="D593" s="22"/>
    </row>
    <row r="594" spans="3:4" x14ac:dyDescent="0.3">
      <c r="C594" s="22"/>
      <c r="D594" s="22"/>
    </row>
    <row r="595" spans="3:4" x14ac:dyDescent="0.3">
      <c r="C595" s="22"/>
      <c r="D595" s="22"/>
    </row>
    <row r="596" spans="3:4" x14ac:dyDescent="0.3">
      <c r="C596" s="22"/>
      <c r="D596" s="22"/>
    </row>
    <row r="597" spans="3:4" x14ac:dyDescent="0.3">
      <c r="C597" s="22"/>
      <c r="D597" s="22"/>
    </row>
    <row r="598" spans="3:4" x14ac:dyDescent="0.3">
      <c r="C598" s="22"/>
      <c r="D598" s="22"/>
    </row>
    <row r="599" spans="3:4" x14ac:dyDescent="0.3">
      <c r="C599" s="22"/>
      <c r="D599" s="22"/>
    </row>
    <row r="600" spans="3:4" x14ac:dyDescent="0.3">
      <c r="C600" s="22"/>
      <c r="D600" s="22"/>
    </row>
    <row r="601" spans="3:4" x14ac:dyDescent="0.3">
      <c r="C601" s="22"/>
      <c r="D601" s="22"/>
    </row>
    <row r="602" spans="3:4" x14ac:dyDescent="0.3">
      <c r="C602" s="22"/>
      <c r="D602" s="22"/>
    </row>
    <row r="603" spans="3:4" x14ac:dyDescent="0.3">
      <c r="C603" s="22"/>
      <c r="D603" s="22"/>
    </row>
    <row r="604" spans="3:4" x14ac:dyDescent="0.3">
      <c r="C604" s="22"/>
      <c r="D604" s="22"/>
    </row>
    <row r="605" spans="3:4" x14ac:dyDescent="0.3">
      <c r="C605" s="22"/>
      <c r="D605" s="22"/>
    </row>
    <row r="606" spans="3:4" x14ac:dyDescent="0.3">
      <c r="C606" s="22"/>
      <c r="D606" s="22"/>
    </row>
    <row r="607" spans="3:4" x14ac:dyDescent="0.3">
      <c r="C607" s="22"/>
      <c r="D607" s="22"/>
    </row>
    <row r="608" spans="3:4" x14ac:dyDescent="0.3">
      <c r="C608" s="22"/>
      <c r="D608" s="22"/>
    </row>
    <row r="609" spans="3:4" x14ac:dyDescent="0.3">
      <c r="C609" s="22"/>
      <c r="D609" s="22"/>
    </row>
    <row r="610" spans="3:4" x14ac:dyDescent="0.3">
      <c r="C610" s="22"/>
      <c r="D610" s="22"/>
    </row>
    <row r="611" spans="3:4" x14ac:dyDescent="0.3">
      <c r="C611" s="22"/>
      <c r="D611" s="22"/>
    </row>
    <row r="612" spans="3:4" x14ac:dyDescent="0.3">
      <c r="C612" s="22"/>
      <c r="D612" s="22"/>
    </row>
    <row r="613" spans="3:4" x14ac:dyDescent="0.3">
      <c r="C613" s="22"/>
      <c r="D613" s="22"/>
    </row>
    <row r="614" spans="3:4" x14ac:dyDescent="0.3">
      <c r="C614" s="22"/>
      <c r="D614" s="22"/>
    </row>
    <row r="615" spans="3:4" x14ac:dyDescent="0.3">
      <c r="C615" s="22"/>
      <c r="D615" s="22"/>
    </row>
    <row r="616" spans="3:4" x14ac:dyDescent="0.3">
      <c r="C616" s="22"/>
      <c r="D616" s="22"/>
    </row>
    <row r="617" spans="3:4" x14ac:dyDescent="0.3">
      <c r="C617" s="22"/>
      <c r="D617" s="22"/>
    </row>
    <row r="618" spans="3:4" x14ac:dyDescent="0.3">
      <c r="C618" s="22"/>
      <c r="D618" s="22"/>
    </row>
    <row r="619" spans="3:4" x14ac:dyDescent="0.3">
      <c r="C619" s="22"/>
      <c r="D619" s="22"/>
    </row>
    <row r="620" spans="3:4" x14ac:dyDescent="0.3">
      <c r="C620" s="22"/>
      <c r="D620" s="22"/>
    </row>
    <row r="621" spans="3:4" x14ac:dyDescent="0.3">
      <c r="C621" s="22"/>
      <c r="D621" s="22"/>
    </row>
    <row r="622" spans="3:4" x14ac:dyDescent="0.3">
      <c r="C622" s="22"/>
      <c r="D622" s="22"/>
    </row>
    <row r="623" spans="3:4" x14ac:dyDescent="0.3">
      <c r="C623" s="22"/>
      <c r="D623" s="22"/>
    </row>
    <row r="624" spans="3:4" x14ac:dyDescent="0.3">
      <c r="C624" s="22"/>
      <c r="D624" s="22"/>
    </row>
    <row r="625" spans="3:4" x14ac:dyDescent="0.3">
      <c r="C625" s="22"/>
      <c r="D625" s="22"/>
    </row>
    <row r="626" spans="3:4" x14ac:dyDescent="0.3">
      <c r="C626" s="22"/>
      <c r="D626" s="22"/>
    </row>
    <row r="627" spans="3:4" x14ac:dyDescent="0.3">
      <c r="C627" s="22"/>
      <c r="D627" s="22"/>
    </row>
    <row r="628" spans="3:4" x14ac:dyDescent="0.3">
      <c r="C628" s="22"/>
      <c r="D628" s="22"/>
    </row>
    <row r="629" spans="3:4" x14ac:dyDescent="0.3">
      <c r="C629" s="22"/>
      <c r="D629" s="22"/>
    </row>
    <row r="630" spans="3:4" x14ac:dyDescent="0.3">
      <c r="C630" s="22"/>
      <c r="D630" s="22"/>
    </row>
    <row r="631" spans="3:4" x14ac:dyDescent="0.3">
      <c r="C631" s="22"/>
      <c r="D631" s="22"/>
    </row>
    <row r="632" spans="3:4" x14ac:dyDescent="0.3">
      <c r="C632" s="22"/>
      <c r="D632" s="22"/>
    </row>
    <row r="633" spans="3:4" x14ac:dyDescent="0.3">
      <c r="C633" s="22"/>
      <c r="D633" s="22"/>
    </row>
    <row r="634" spans="3:4" x14ac:dyDescent="0.3">
      <c r="C634" s="22"/>
      <c r="D634" s="22"/>
    </row>
    <row r="635" spans="3:4" x14ac:dyDescent="0.3">
      <c r="C635" s="22"/>
      <c r="D635" s="22"/>
    </row>
    <row r="636" spans="3:4" x14ac:dyDescent="0.3">
      <c r="C636" s="22"/>
      <c r="D636" s="22"/>
    </row>
    <row r="637" spans="3:4" x14ac:dyDescent="0.3">
      <c r="C637" s="22"/>
      <c r="D637" s="22"/>
    </row>
    <row r="638" spans="3:4" x14ac:dyDescent="0.3">
      <c r="C638" s="22"/>
      <c r="D638" s="22"/>
    </row>
    <row r="639" spans="3:4" x14ac:dyDescent="0.3">
      <c r="C639" s="22"/>
      <c r="D639" s="22"/>
    </row>
    <row r="640" spans="3:4" x14ac:dyDescent="0.3">
      <c r="C640" s="22"/>
      <c r="D640" s="22"/>
    </row>
    <row r="641" spans="3:4" x14ac:dyDescent="0.3">
      <c r="C641" s="22"/>
      <c r="D641" s="22"/>
    </row>
    <row r="642" spans="3:4" x14ac:dyDescent="0.3">
      <c r="C642" s="22"/>
      <c r="D642" s="22"/>
    </row>
    <row r="643" spans="3:4" x14ac:dyDescent="0.3">
      <c r="C643" s="22"/>
      <c r="D643" s="22"/>
    </row>
    <row r="644" spans="3:4" x14ac:dyDescent="0.3">
      <c r="C644" s="22"/>
      <c r="D644" s="22"/>
    </row>
    <row r="645" spans="3:4" x14ac:dyDescent="0.3">
      <c r="C645" s="22"/>
      <c r="D645" s="22"/>
    </row>
    <row r="646" spans="3:4" x14ac:dyDescent="0.3">
      <c r="C646" s="22"/>
      <c r="D646" s="22"/>
    </row>
    <row r="647" spans="3:4" x14ac:dyDescent="0.3">
      <c r="C647" s="22"/>
      <c r="D647" s="22"/>
    </row>
    <row r="648" spans="3:4" x14ac:dyDescent="0.3">
      <c r="C648" s="22"/>
      <c r="D648" s="22"/>
    </row>
    <row r="649" spans="3:4" x14ac:dyDescent="0.3">
      <c r="C649" s="22"/>
      <c r="D649" s="22"/>
    </row>
    <row r="650" spans="3:4" x14ac:dyDescent="0.3">
      <c r="C650" s="22"/>
      <c r="D650" s="22"/>
    </row>
    <row r="651" spans="3:4" x14ac:dyDescent="0.3">
      <c r="C651" s="22"/>
      <c r="D651" s="22"/>
    </row>
    <row r="652" spans="3:4" x14ac:dyDescent="0.3">
      <c r="C652" s="22"/>
      <c r="D652" s="22"/>
    </row>
    <row r="653" spans="3:4" x14ac:dyDescent="0.3">
      <c r="C653" s="22"/>
      <c r="D653" s="22"/>
    </row>
    <row r="654" spans="3:4" x14ac:dyDescent="0.3">
      <c r="C654" s="22"/>
      <c r="D654" s="22"/>
    </row>
    <row r="655" spans="3:4" x14ac:dyDescent="0.3">
      <c r="C655" s="22"/>
      <c r="D655" s="22"/>
    </row>
    <row r="656" spans="3:4" x14ac:dyDescent="0.3">
      <c r="C656" s="22"/>
      <c r="D656" s="22"/>
    </row>
    <row r="657" spans="3:4" x14ac:dyDescent="0.3">
      <c r="C657" s="22"/>
      <c r="D657" s="22"/>
    </row>
    <row r="658" spans="3:4" x14ac:dyDescent="0.3">
      <c r="C658" s="22"/>
      <c r="D658" s="22"/>
    </row>
    <row r="659" spans="3:4" x14ac:dyDescent="0.3">
      <c r="C659" s="22"/>
      <c r="D659" s="22"/>
    </row>
    <row r="660" spans="3:4" x14ac:dyDescent="0.3">
      <c r="C660" s="22"/>
      <c r="D660" s="22"/>
    </row>
    <row r="661" spans="3:4" x14ac:dyDescent="0.3">
      <c r="C661" s="22"/>
      <c r="D661" s="22"/>
    </row>
    <row r="662" spans="3:4" x14ac:dyDescent="0.3">
      <c r="C662" s="22"/>
      <c r="D662" s="22"/>
    </row>
    <row r="663" spans="3:4" x14ac:dyDescent="0.3">
      <c r="C663" s="22"/>
      <c r="D663" s="22"/>
    </row>
    <row r="664" spans="3:4" x14ac:dyDescent="0.3">
      <c r="C664" s="22"/>
      <c r="D664" s="22"/>
    </row>
    <row r="665" spans="3:4" x14ac:dyDescent="0.3">
      <c r="C665" s="22"/>
      <c r="D665" s="22"/>
    </row>
    <row r="666" spans="3:4" x14ac:dyDescent="0.3">
      <c r="C666" s="22"/>
      <c r="D666" s="22"/>
    </row>
    <row r="667" spans="3:4" x14ac:dyDescent="0.3">
      <c r="C667" s="22"/>
      <c r="D667" s="22"/>
    </row>
    <row r="668" spans="3:4" x14ac:dyDescent="0.3">
      <c r="C668" s="22"/>
      <c r="D668" s="22"/>
    </row>
    <row r="669" spans="3:4" x14ac:dyDescent="0.3">
      <c r="C669" s="22"/>
      <c r="D669" s="22"/>
    </row>
    <row r="670" spans="3:4" x14ac:dyDescent="0.3">
      <c r="C670" s="22"/>
      <c r="D670" s="22"/>
    </row>
    <row r="671" spans="3:4" x14ac:dyDescent="0.3">
      <c r="C671" s="22"/>
      <c r="D671" s="22"/>
    </row>
    <row r="672" spans="3:4" x14ac:dyDescent="0.3">
      <c r="C672" s="22"/>
      <c r="D672" s="22"/>
    </row>
    <row r="673" spans="3:4" x14ac:dyDescent="0.3">
      <c r="C673" s="22"/>
      <c r="D673" s="22"/>
    </row>
    <row r="674" spans="3:4" x14ac:dyDescent="0.3">
      <c r="C674" s="22"/>
      <c r="D674" s="22"/>
    </row>
    <row r="675" spans="3:4" x14ac:dyDescent="0.3">
      <c r="C675" s="22"/>
      <c r="D675" s="22"/>
    </row>
    <row r="676" spans="3:4" x14ac:dyDescent="0.3">
      <c r="C676" s="22"/>
      <c r="D676" s="22"/>
    </row>
    <row r="677" spans="3:4" x14ac:dyDescent="0.3">
      <c r="C677" s="22"/>
      <c r="D677" s="22"/>
    </row>
    <row r="678" spans="3:4" x14ac:dyDescent="0.3">
      <c r="C678" s="22"/>
      <c r="D678" s="22"/>
    </row>
    <row r="679" spans="3:4" x14ac:dyDescent="0.3">
      <c r="C679" s="22"/>
      <c r="D679" s="22"/>
    </row>
    <row r="680" spans="3:4" x14ac:dyDescent="0.3">
      <c r="C680" s="22"/>
      <c r="D680" s="22"/>
    </row>
    <row r="681" spans="3:4" x14ac:dyDescent="0.3">
      <c r="C681" s="22"/>
      <c r="D681" s="22"/>
    </row>
    <row r="682" spans="3:4" x14ac:dyDescent="0.3">
      <c r="C682" s="22"/>
      <c r="D682" s="22"/>
    </row>
    <row r="683" spans="3:4" x14ac:dyDescent="0.3">
      <c r="C683" s="22"/>
      <c r="D683" s="22"/>
    </row>
    <row r="684" spans="3:4" x14ac:dyDescent="0.3">
      <c r="C684" s="22"/>
      <c r="D684" s="22"/>
    </row>
    <row r="685" spans="3:4" x14ac:dyDescent="0.3">
      <c r="C685" s="22"/>
      <c r="D685" s="22"/>
    </row>
    <row r="686" spans="3:4" x14ac:dyDescent="0.3">
      <c r="C686" s="22"/>
      <c r="D686" s="22"/>
    </row>
    <row r="687" spans="3:4" x14ac:dyDescent="0.3">
      <c r="C687" s="22"/>
      <c r="D687" s="22"/>
    </row>
    <row r="688" spans="3:4" x14ac:dyDescent="0.3">
      <c r="C688" s="22"/>
      <c r="D688" s="22"/>
    </row>
    <row r="689" spans="3:4" x14ac:dyDescent="0.3">
      <c r="C689" s="22"/>
      <c r="D689" s="22"/>
    </row>
    <row r="690" spans="3:4" x14ac:dyDescent="0.3">
      <c r="C690" s="22"/>
      <c r="D690" s="22"/>
    </row>
    <row r="691" spans="3:4" x14ac:dyDescent="0.3">
      <c r="C691" s="22"/>
      <c r="D691" s="22"/>
    </row>
    <row r="692" spans="3:4" x14ac:dyDescent="0.3">
      <c r="C692" s="22"/>
      <c r="D692" s="22"/>
    </row>
    <row r="693" spans="3:4" x14ac:dyDescent="0.3">
      <c r="C693" s="22"/>
      <c r="D693" s="22"/>
    </row>
    <row r="694" spans="3:4" x14ac:dyDescent="0.3">
      <c r="C694" s="22"/>
      <c r="D694" s="22"/>
    </row>
    <row r="695" spans="3:4" x14ac:dyDescent="0.3">
      <c r="C695" s="22"/>
      <c r="D695" s="22"/>
    </row>
    <row r="696" spans="3:4" x14ac:dyDescent="0.3">
      <c r="C696" s="22"/>
      <c r="D696" s="22"/>
    </row>
    <row r="697" spans="3:4" x14ac:dyDescent="0.3">
      <c r="C697" s="22"/>
      <c r="D697" s="22"/>
    </row>
    <row r="698" spans="3:4" x14ac:dyDescent="0.3">
      <c r="C698" s="22"/>
      <c r="D698" s="22"/>
    </row>
    <row r="699" spans="3:4" x14ac:dyDescent="0.3">
      <c r="C699" s="22"/>
      <c r="D699" s="22"/>
    </row>
    <row r="700" spans="3:4" x14ac:dyDescent="0.3">
      <c r="C700" s="22"/>
      <c r="D700" s="22"/>
    </row>
    <row r="701" spans="3:4" x14ac:dyDescent="0.3">
      <c r="C701" s="22"/>
      <c r="D701" s="22"/>
    </row>
    <row r="702" spans="3:4" x14ac:dyDescent="0.3">
      <c r="C702" s="22"/>
      <c r="D702" s="22"/>
    </row>
    <row r="703" spans="3:4" x14ac:dyDescent="0.3">
      <c r="C703" s="22"/>
      <c r="D703" s="22"/>
    </row>
    <row r="704" spans="3:4" x14ac:dyDescent="0.3">
      <c r="C704" s="22"/>
      <c r="D704" s="22"/>
    </row>
    <row r="705" spans="3:4" x14ac:dyDescent="0.3">
      <c r="C705" s="22"/>
      <c r="D705" s="22"/>
    </row>
    <row r="706" spans="3:4" x14ac:dyDescent="0.3">
      <c r="C706" s="22"/>
      <c r="D706" s="22"/>
    </row>
    <row r="707" spans="3:4" x14ac:dyDescent="0.3">
      <c r="C707" s="22"/>
      <c r="D707" s="22"/>
    </row>
    <row r="708" spans="3:4" x14ac:dyDescent="0.3">
      <c r="C708" s="22"/>
      <c r="D708" s="22"/>
    </row>
    <row r="709" spans="3:4" x14ac:dyDescent="0.3">
      <c r="C709" s="22"/>
      <c r="D709" s="22"/>
    </row>
    <row r="710" spans="3:4" x14ac:dyDescent="0.3">
      <c r="C710" s="22"/>
      <c r="D710" s="22"/>
    </row>
    <row r="711" spans="3:4" x14ac:dyDescent="0.3">
      <c r="C711" s="22"/>
      <c r="D711" s="22"/>
    </row>
    <row r="712" spans="3:4" x14ac:dyDescent="0.3">
      <c r="C712" s="22"/>
      <c r="D712" s="22"/>
    </row>
    <row r="713" spans="3:4" x14ac:dyDescent="0.3">
      <c r="C713" s="22"/>
      <c r="D713" s="22"/>
    </row>
    <row r="714" spans="3:4" x14ac:dyDescent="0.3">
      <c r="C714" s="22"/>
      <c r="D714" s="22"/>
    </row>
    <row r="715" spans="3:4" x14ac:dyDescent="0.3">
      <c r="C715" s="22"/>
      <c r="D715" s="22"/>
    </row>
    <row r="716" spans="3:4" x14ac:dyDescent="0.3">
      <c r="C716" s="22"/>
      <c r="D716" s="22"/>
    </row>
    <row r="717" spans="3:4" x14ac:dyDescent="0.3">
      <c r="C717" s="22"/>
      <c r="D717" s="22"/>
    </row>
    <row r="718" spans="3:4" x14ac:dyDescent="0.3">
      <c r="C718" s="22"/>
      <c r="D718" s="22"/>
    </row>
    <row r="719" spans="3:4" x14ac:dyDescent="0.3">
      <c r="C719" s="22"/>
      <c r="D719" s="22"/>
    </row>
    <row r="720" spans="3:4" x14ac:dyDescent="0.3">
      <c r="C720" s="22"/>
      <c r="D720" s="22"/>
    </row>
    <row r="721" spans="3:4" x14ac:dyDescent="0.3">
      <c r="C721" s="22"/>
      <c r="D721" s="22"/>
    </row>
    <row r="722" spans="3:4" x14ac:dyDescent="0.3">
      <c r="C722" s="22"/>
      <c r="D722" s="22"/>
    </row>
    <row r="723" spans="3:4" x14ac:dyDescent="0.3">
      <c r="C723" s="22"/>
      <c r="D723" s="22"/>
    </row>
    <row r="724" spans="3:4" x14ac:dyDescent="0.3">
      <c r="C724" s="22"/>
      <c r="D724" s="22"/>
    </row>
    <row r="725" spans="3:4" x14ac:dyDescent="0.3">
      <c r="C725" s="22"/>
      <c r="D725" s="22"/>
    </row>
    <row r="726" spans="3:4" x14ac:dyDescent="0.3">
      <c r="C726" s="22"/>
      <c r="D726" s="22"/>
    </row>
    <row r="727" spans="3:4" x14ac:dyDescent="0.3">
      <c r="C727" s="22"/>
      <c r="D727" s="22"/>
    </row>
    <row r="728" spans="3:4" x14ac:dyDescent="0.3">
      <c r="C728" s="22"/>
      <c r="D728" s="22"/>
    </row>
    <row r="729" spans="3:4" x14ac:dyDescent="0.3">
      <c r="C729" s="22"/>
      <c r="D729" s="22"/>
    </row>
    <row r="730" spans="3:4" x14ac:dyDescent="0.3">
      <c r="C730" s="22"/>
      <c r="D730" s="22"/>
    </row>
    <row r="731" spans="3:4" x14ac:dyDescent="0.3">
      <c r="C731" s="22"/>
      <c r="D731" s="22"/>
    </row>
    <row r="732" spans="3:4" x14ac:dyDescent="0.3">
      <c r="C732" s="22"/>
      <c r="D732" s="22"/>
    </row>
    <row r="733" spans="3:4" x14ac:dyDescent="0.3">
      <c r="C733" s="22"/>
      <c r="D733" s="22"/>
    </row>
    <row r="734" spans="3:4" x14ac:dyDescent="0.3">
      <c r="C734" s="22"/>
      <c r="D734" s="22"/>
    </row>
    <row r="735" spans="3:4" x14ac:dyDescent="0.3">
      <c r="C735" s="22"/>
      <c r="D735" s="22"/>
    </row>
    <row r="736" spans="3:4" x14ac:dyDescent="0.3">
      <c r="C736" s="22"/>
      <c r="D736" s="22"/>
    </row>
    <row r="737" spans="3:4" x14ac:dyDescent="0.3">
      <c r="C737" s="22"/>
      <c r="D737" s="22"/>
    </row>
    <row r="738" spans="3:4" x14ac:dyDescent="0.3">
      <c r="C738" s="22"/>
      <c r="D738" s="22"/>
    </row>
    <row r="739" spans="3:4" x14ac:dyDescent="0.3">
      <c r="C739" s="22"/>
      <c r="D739" s="22"/>
    </row>
    <row r="740" spans="3:4" x14ac:dyDescent="0.3">
      <c r="C740" s="22"/>
      <c r="D740" s="22"/>
    </row>
    <row r="741" spans="3:4" x14ac:dyDescent="0.3">
      <c r="C741" s="22"/>
      <c r="D741" s="22"/>
    </row>
    <row r="742" spans="3:4" x14ac:dyDescent="0.3">
      <c r="C742" s="22"/>
      <c r="D742" s="22"/>
    </row>
    <row r="743" spans="3:4" x14ac:dyDescent="0.3">
      <c r="C743" s="22"/>
      <c r="D743" s="22"/>
    </row>
    <row r="744" spans="3:4" x14ac:dyDescent="0.3">
      <c r="C744" s="22"/>
      <c r="D744" s="22"/>
    </row>
    <row r="745" spans="3:4" x14ac:dyDescent="0.3">
      <c r="C745" s="22"/>
      <c r="D745" s="22"/>
    </row>
    <row r="746" spans="3:4" x14ac:dyDescent="0.3">
      <c r="C746" s="22"/>
      <c r="D746" s="22"/>
    </row>
    <row r="747" spans="3:4" x14ac:dyDescent="0.3">
      <c r="C747" s="22"/>
      <c r="D747" s="22"/>
    </row>
    <row r="748" spans="3:4" x14ac:dyDescent="0.3">
      <c r="C748" s="22"/>
      <c r="D748" s="22"/>
    </row>
    <row r="749" spans="3:4" x14ac:dyDescent="0.3">
      <c r="C749" s="22"/>
      <c r="D749" s="22"/>
    </row>
    <row r="750" spans="3:4" x14ac:dyDescent="0.3">
      <c r="C750" s="22"/>
      <c r="D750" s="22"/>
    </row>
    <row r="751" spans="3:4" x14ac:dyDescent="0.3">
      <c r="C751" s="22"/>
      <c r="D751" s="22"/>
    </row>
    <row r="752" spans="3:4" x14ac:dyDescent="0.3">
      <c r="C752" s="22"/>
      <c r="D752" s="22"/>
    </row>
    <row r="753" spans="3:4" x14ac:dyDescent="0.3">
      <c r="C753" s="22"/>
      <c r="D753" s="22"/>
    </row>
    <row r="754" spans="3:4" x14ac:dyDescent="0.3">
      <c r="C754" s="22"/>
      <c r="D754" s="22"/>
    </row>
    <row r="755" spans="3:4" x14ac:dyDescent="0.3">
      <c r="C755" s="22"/>
      <c r="D755" s="22"/>
    </row>
    <row r="756" spans="3:4" x14ac:dyDescent="0.3">
      <c r="C756" s="22"/>
      <c r="D756" s="22"/>
    </row>
    <row r="757" spans="3:4" x14ac:dyDescent="0.3">
      <c r="C757" s="22"/>
      <c r="D757" s="22"/>
    </row>
    <row r="758" spans="3:4" x14ac:dyDescent="0.3">
      <c r="C758" s="22"/>
      <c r="D758" s="22"/>
    </row>
    <row r="759" spans="3:4" x14ac:dyDescent="0.3">
      <c r="C759" s="22"/>
      <c r="D759" s="22"/>
    </row>
    <row r="760" spans="3:4" x14ac:dyDescent="0.3">
      <c r="C760" s="22"/>
      <c r="D760" s="22"/>
    </row>
    <row r="761" spans="3:4" x14ac:dyDescent="0.3">
      <c r="C761" s="22"/>
      <c r="D761" s="22"/>
    </row>
    <row r="762" spans="3:4" x14ac:dyDescent="0.3">
      <c r="C762" s="22"/>
      <c r="D762" s="22"/>
    </row>
    <row r="763" spans="3:4" x14ac:dyDescent="0.3">
      <c r="C763" s="22"/>
      <c r="D763" s="22"/>
    </row>
    <row r="764" spans="3:4" x14ac:dyDescent="0.3">
      <c r="C764" s="22"/>
      <c r="D764" s="22"/>
    </row>
    <row r="765" spans="3:4" x14ac:dyDescent="0.3">
      <c r="C765" s="22"/>
      <c r="D765" s="22"/>
    </row>
    <row r="766" spans="3:4" x14ac:dyDescent="0.3">
      <c r="C766" s="22"/>
      <c r="D766" s="22"/>
    </row>
    <row r="767" spans="3:4" x14ac:dyDescent="0.3">
      <c r="C767" s="22"/>
      <c r="D767" s="22"/>
    </row>
    <row r="768" spans="3:4" x14ac:dyDescent="0.3">
      <c r="C768" s="22"/>
      <c r="D768" s="22"/>
    </row>
    <row r="769" spans="3:4" x14ac:dyDescent="0.3">
      <c r="C769" s="22"/>
      <c r="D769" s="22"/>
    </row>
    <row r="770" spans="3:4" x14ac:dyDescent="0.3">
      <c r="C770" s="22"/>
      <c r="D770" s="22"/>
    </row>
    <row r="771" spans="3:4" x14ac:dyDescent="0.3">
      <c r="C771" s="22"/>
      <c r="D771" s="22"/>
    </row>
    <row r="772" spans="3:4" x14ac:dyDescent="0.3">
      <c r="C772" s="22"/>
      <c r="D772" s="22"/>
    </row>
    <row r="773" spans="3:4" x14ac:dyDescent="0.3">
      <c r="C773" s="22"/>
      <c r="D773" s="22"/>
    </row>
    <row r="774" spans="3:4" x14ac:dyDescent="0.3">
      <c r="C774" s="22"/>
      <c r="D774" s="22"/>
    </row>
    <row r="775" spans="3:4" x14ac:dyDescent="0.3">
      <c r="C775" s="22"/>
      <c r="D775" s="22"/>
    </row>
    <row r="776" spans="3:4" x14ac:dyDescent="0.3">
      <c r="C776" s="22"/>
      <c r="D776" s="22"/>
    </row>
    <row r="777" spans="3:4" x14ac:dyDescent="0.3">
      <c r="C777" s="22"/>
      <c r="D777" s="22"/>
    </row>
    <row r="778" spans="3:4" x14ac:dyDescent="0.3">
      <c r="C778" s="22"/>
      <c r="D778" s="22"/>
    </row>
    <row r="779" spans="3:4" x14ac:dyDescent="0.3">
      <c r="C779" s="22"/>
      <c r="D779" s="22"/>
    </row>
    <row r="780" spans="3:4" x14ac:dyDescent="0.3">
      <c r="C780" s="22"/>
      <c r="D780" s="22"/>
    </row>
    <row r="781" spans="3:4" x14ac:dyDescent="0.3">
      <c r="C781" s="22"/>
      <c r="D781" s="22"/>
    </row>
    <row r="782" spans="3:4" x14ac:dyDescent="0.3">
      <c r="C782" s="22"/>
      <c r="D782" s="22"/>
    </row>
    <row r="783" spans="3:4" x14ac:dyDescent="0.3">
      <c r="C783" s="22"/>
      <c r="D783" s="22"/>
    </row>
    <row r="784" spans="3:4" x14ac:dyDescent="0.3">
      <c r="C784" s="22"/>
      <c r="D784" s="22"/>
    </row>
    <row r="785" spans="3:4" x14ac:dyDescent="0.3">
      <c r="C785" s="22"/>
      <c r="D785" s="22"/>
    </row>
    <row r="786" spans="3:4" x14ac:dyDescent="0.3">
      <c r="C786" s="22"/>
      <c r="D786" s="22"/>
    </row>
    <row r="787" spans="3:4" x14ac:dyDescent="0.3">
      <c r="C787" s="22"/>
      <c r="D787" s="22"/>
    </row>
    <row r="788" spans="3:4" x14ac:dyDescent="0.3">
      <c r="C788" s="22"/>
      <c r="D788" s="22"/>
    </row>
    <row r="789" spans="3:4" x14ac:dyDescent="0.3">
      <c r="C789" s="22"/>
      <c r="D789" s="22"/>
    </row>
    <row r="790" spans="3:4" x14ac:dyDescent="0.3">
      <c r="C790" s="22"/>
      <c r="D790" s="22"/>
    </row>
    <row r="791" spans="3:4" x14ac:dyDescent="0.3">
      <c r="C791" s="22"/>
      <c r="D791" s="22"/>
    </row>
    <row r="792" spans="3:4" x14ac:dyDescent="0.3">
      <c r="C792" s="22"/>
      <c r="D792" s="22"/>
    </row>
    <row r="793" spans="3:4" x14ac:dyDescent="0.3">
      <c r="C793" s="22"/>
      <c r="D793" s="22"/>
    </row>
    <row r="794" spans="3:4" x14ac:dyDescent="0.3">
      <c r="C794" s="22"/>
      <c r="D794" s="22"/>
    </row>
    <row r="795" spans="3:4" x14ac:dyDescent="0.3">
      <c r="C795" s="22"/>
      <c r="D795" s="22"/>
    </row>
    <row r="796" spans="3:4" x14ac:dyDescent="0.3">
      <c r="C796" s="22"/>
      <c r="D796" s="22"/>
    </row>
    <row r="797" spans="3:4" x14ac:dyDescent="0.3">
      <c r="C797" s="22"/>
      <c r="D797" s="22"/>
    </row>
    <row r="798" spans="3:4" x14ac:dyDescent="0.3">
      <c r="C798" s="22"/>
      <c r="D798" s="22"/>
    </row>
    <row r="799" spans="3:4" x14ac:dyDescent="0.3">
      <c r="C799" s="22"/>
      <c r="D799" s="22"/>
    </row>
    <row r="800" spans="3:4" x14ac:dyDescent="0.3">
      <c r="C800" s="22"/>
      <c r="D800" s="22"/>
    </row>
    <row r="801" spans="3:4" x14ac:dyDescent="0.3">
      <c r="C801" s="22"/>
      <c r="D801" s="22"/>
    </row>
    <row r="802" spans="3:4" x14ac:dyDescent="0.3">
      <c r="C802" s="22"/>
      <c r="D802" s="22"/>
    </row>
    <row r="803" spans="3:4" x14ac:dyDescent="0.3">
      <c r="C803" s="22"/>
      <c r="D803" s="22"/>
    </row>
    <row r="804" spans="3:4" x14ac:dyDescent="0.3">
      <c r="C804" s="22"/>
      <c r="D804" s="22"/>
    </row>
    <row r="805" spans="3:4" x14ac:dyDescent="0.3">
      <c r="C805" s="22"/>
      <c r="D805" s="22"/>
    </row>
    <row r="806" spans="3:4" x14ac:dyDescent="0.3">
      <c r="C806" s="22"/>
      <c r="D806" s="22"/>
    </row>
    <row r="807" spans="3:4" x14ac:dyDescent="0.3">
      <c r="C807" s="22"/>
      <c r="D807" s="22"/>
    </row>
    <row r="808" spans="3:4" x14ac:dyDescent="0.3">
      <c r="C808" s="22"/>
      <c r="D808" s="22"/>
    </row>
    <row r="809" spans="3:4" x14ac:dyDescent="0.3">
      <c r="C809" s="22"/>
      <c r="D809" s="22"/>
    </row>
    <row r="810" spans="3:4" x14ac:dyDescent="0.3">
      <c r="C810" s="22"/>
      <c r="D810" s="22"/>
    </row>
    <row r="811" spans="3:4" x14ac:dyDescent="0.3">
      <c r="C811" s="22"/>
      <c r="D811" s="22"/>
    </row>
    <row r="812" spans="3:4" x14ac:dyDescent="0.3">
      <c r="C812" s="22"/>
      <c r="D812" s="22"/>
    </row>
    <row r="813" spans="3:4" x14ac:dyDescent="0.3">
      <c r="C813" s="22"/>
      <c r="D813" s="22"/>
    </row>
    <row r="814" spans="3:4" x14ac:dyDescent="0.3">
      <c r="C814" s="22"/>
      <c r="D814" s="22"/>
    </row>
    <row r="815" spans="3:4" x14ac:dyDescent="0.3">
      <c r="C815" s="22"/>
      <c r="D815" s="22"/>
    </row>
    <row r="816" spans="3:4" x14ac:dyDescent="0.3">
      <c r="C816" s="22"/>
      <c r="D816" s="22"/>
    </row>
    <row r="817" spans="3:4" x14ac:dyDescent="0.3">
      <c r="C817" s="22"/>
      <c r="D817" s="22"/>
    </row>
    <row r="818" spans="3:4" x14ac:dyDescent="0.3">
      <c r="C818" s="22"/>
      <c r="D818" s="22"/>
    </row>
    <row r="819" spans="3:4" x14ac:dyDescent="0.3">
      <c r="C819" s="22"/>
      <c r="D819" s="22"/>
    </row>
    <row r="820" spans="3:4" x14ac:dyDescent="0.3">
      <c r="C820" s="22"/>
      <c r="D820" s="22"/>
    </row>
    <row r="821" spans="3:4" x14ac:dyDescent="0.3">
      <c r="C821" s="22"/>
      <c r="D821" s="22"/>
    </row>
    <row r="822" spans="3:4" x14ac:dyDescent="0.3">
      <c r="C822" s="22"/>
      <c r="D822" s="22"/>
    </row>
    <row r="823" spans="3:4" x14ac:dyDescent="0.3">
      <c r="C823" s="22"/>
      <c r="D823" s="22"/>
    </row>
    <row r="824" spans="3:4" x14ac:dyDescent="0.3">
      <c r="C824" s="22"/>
      <c r="D824" s="22"/>
    </row>
    <row r="825" spans="3:4" x14ac:dyDescent="0.3">
      <c r="C825" s="22"/>
      <c r="D825" s="22"/>
    </row>
    <row r="826" spans="3:4" x14ac:dyDescent="0.3">
      <c r="C826" s="22"/>
      <c r="D826" s="22"/>
    </row>
    <row r="827" spans="3:4" x14ac:dyDescent="0.3">
      <c r="C827" s="22"/>
      <c r="D827" s="22"/>
    </row>
    <row r="828" spans="3:4" x14ac:dyDescent="0.3">
      <c r="C828" s="22"/>
      <c r="D828" s="22"/>
    </row>
    <row r="829" spans="3:4" x14ac:dyDescent="0.3">
      <c r="C829" s="22"/>
      <c r="D829" s="22"/>
    </row>
    <row r="830" spans="3:4" x14ac:dyDescent="0.3">
      <c r="C830" s="22"/>
      <c r="D830" s="22"/>
    </row>
    <row r="831" spans="3:4" x14ac:dyDescent="0.3">
      <c r="C831" s="22"/>
      <c r="D831" s="22"/>
    </row>
    <row r="832" spans="3:4" x14ac:dyDescent="0.3">
      <c r="C832" s="22"/>
      <c r="D832" s="22"/>
    </row>
    <row r="833" spans="3:4" x14ac:dyDescent="0.3">
      <c r="C833" s="22"/>
      <c r="D833" s="22"/>
    </row>
    <row r="834" spans="3:4" x14ac:dyDescent="0.3">
      <c r="C834" s="22"/>
      <c r="D834" s="22"/>
    </row>
    <row r="835" spans="3:4" x14ac:dyDescent="0.3">
      <c r="C835" s="22"/>
      <c r="D835" s="22"/>
    </row>
    <row r="836" spans="3:4" x14ac:dyDescent="0.3">
      <c r="C836" s="22"/>
      <c r="D836" s="22"/>
    </row>
    <row r="837" spans="3:4" x14ac:dyDescent="0.3">
      <c r="C837" s="22"/>
      <c r="D837" s="22"/>
    </row>
    <row r="838" spans="3:4" x14ac:dyDescent="0.3">
      <c r="C838" s="22"/>
      <c r="D838" s="22"/>
    </row>
    <row r="839" spans="3:4" x14ac:dyDescent="0.3">
      <c r="C839" s="22"/>
      <c r="D839" s="22"/>
    </row>
    <row r="840" spans="3:4" x14ac:dyDescent="0.3">
      <c r="C840" s="22"/>
      <c r="D840" s="22"/>
    </row>
    <row r="841" spans="3:4" x14ac:dyDescent="0.3">
      <c r="C841" s="22"/>
      <c r="D841" s="22"/>
    </row>
    <row r="842" spans="3:4" x14ac:dyDescent="0.3">
      <c r="C842" s="22"/>
      <c r="D842" s="22"/>
    </row>
    <row r="843" spans="3:4" x14ac:dyDescent="0.3">
      <c r="C843" s="22"/>
      <c r="D843" s="22"/>
    </row>
    <row r="844" spans="3:4" x14ac:dyDescent="0.3">
      <c r="C844" s="22"/>
      <c r="D844" s="22"/>
    </row>
    <row r="845" spans="3:4" x14ac:dyDescent="0.3">
      <c r="C845" s="22"/>
      <c r="D845" s="22"/>
    </row>
    <row r="846" spans="3:4" x14ac:dyDescent="0.3">
      <c r="C846" s="22"/>
      <c r="D846" s="22"/>
    </row>
    <row r="847" spans="3:4" x14ac:dyDescent="0.3">
      <c r="C847" s="22"/>
      <c r="D847" s="22"/>
    </row>
    <row r="848" spans="3:4" x14ac:dyDescent="0.3">
      <c r="C848" s="22"/>
      <c r="D848" s="22"/>
    </row>
    <row r="849" spans="3:4" x14ac:dyDescent="0.3">
      <c r="C849" s="22"/>
      <c r="D849" s="22"/>
    </row>
    <row r="850" spans="3:4" x14ac:dyDescent="0.3">
      <c r="C850" s="22"/>
      <c r="D850" s="22"/>
    </row>
    <row r="851" spans="3:4" x14ac:dyDescent="0.3">
      <c r="C851" s="22"/>
      <c r="D851" s="22"/>
    </row>
    <row r="852" spans="3:4" x14ac:dyDescent="0.3">
      <c r="C852" s="22"/>
      <c r="D852" s="22"/>
    </row>
    <row r="853" spans="3:4" x14ac:dyDescent="0.3">
      <c r="C853" s="22"/>
      <c r="D853" s="22"/>
    </row>
    <row r="854" spans="3:4" x14ac:dyDescent="0.3">
      <c r="C854" s="22"/>
      <c r="D854" s="22"/>
    </row>
    <row r="855" spans="3:4" x14ac:dyDescent="0.3">
      <c r="C855" s="22"/>
      <c r="D855" s="22"/>
    </row>
    <row r="856" spans="3:4" x14ac:dyDescent="0.3">
      <c r="C856" s="22"/>
      <c r="D856" s="22"/>
    </row>
    <row r="857" spans="3:4" x14ac:dyDescent="0.3">
      <c r="C857" s="22"/>
      <c r="D857" s="22"/>
    </row>
    <row r="858" spans="3:4" x14ac:dyDescent="0.3">
      <c r="C858" s="22"/>
      <c r="D858" s="22"/>
    </row>
    <row r="859" spans="3:4" x14ac:dyDescent="0.3">
      <c r="C859" s="22"/>
      <c r="D859" s="22"/>
    </row>
    <row r="860" spans="3:4" x14ac:dyDescent="0.3">
      <c r="C860" s="22"/>
      <c r="D860" s="22"/>
    </row>
    <row r="861" spans="3:4" x14ac:dyDescent="0.3">
      <c r="C861" s="22"/>
      <c r="D861" s="22"/>
    </row>
    <row r="862" spans="3:4" x14ac:dyDescent="0.3">
      <c r="C862" s="22"/>
      <c r="D862" s="22"/>
    </row>
    <row r="863" spans="3:4" x14ac:dyDescent="0.3">
      <c r="C863" s="22"/>
      <c r="D863" s="22"/>
    </row>
    <row r="864" spans="3:4" x14ac:dyDescent="0.3">
      <c r="C864" s="22"/>
      <c r="D864" s="22"/>
    </row>
    <row r="865" spans="3:4" x14ac:dyDescent="0.3">
      <c r="C865" s="22"/>
      <c r="D865" s="22"/>
    </row>
    <row r="866" spans="3:4" x14ac:dyDescent="0.3">
      <c r="C866" s="22"/>
      <c r="D866" s="22"/>
    </row>
    <row r="867" spans="3:4" x14ac:dyDescent="0.3">
      <c r="C867" s="22"/>
      <c r="D867" s="22"/>
    </row>
    <row r="868" spans="3:4" x14ac:dyDescent="0.3">
      <c r="C868" s="22"/>
      <c r="D868" s="22"/>
    </row>
    <row r="869" spans="3:4" x14ac:dyDescent="0.3">
      <c r="C869" s="22"/>
      <c r="D869" s="22"/>
    </row>
    <row r="870" spans="3:4" x14ac:dyDescent="0.3">
      <c r="C870" s="22"/>
      <c r="D870" s="22"/>
    </row>
    <row r="871" spans="3:4" x14ac:dyDescent="0.3">
      <c r="C871" s="22"/>
      <c r="D871" s="22"/>
    </row>
    <row r="872" spans="3:4" x14ac:dyDescent="0.3">
      <c r="C872" s="22"/>
      <c r="D872" s="22"/>
    </row>
    <row r="873" spans="3:4" x14ac:dyDescent="0.3">
      <c r="C873" s="22"/>
      <c r="D873" s="22"/>
    </row>
    <row r="874" spans="3:4" x14ac:dyDescent="0.3">
      <c r="C874" s="22"/>
      <c r="D874" s="22"/>
    </row>
    <row r="875" spans="3:4" x14ac:dyDescent="0.3">
      <c r="C875" s="22"/>
      <c r="D875" s="22"/>
    </row>
    <row r="876" spans="3:4" x14ac:dyDescent="0.3">
      <c r="C876" s="22"/>
      <c r="D876" s="22"/>
    </row>
    <row r="877" spans="3:4" x14ac:dyDescent="0.3">
      <c r="C877" s="22"/>
      <c r="D877" s="22"/>
    </row>
    <row r="878" spans="3:4" x14ac:dyDescent="0.3">
      <c r="C878" s="22"/>
      <c r="D878" s="22"/>
    </row>
    <row r="879" spans="3:4" x14ac:dyDescent="0.3">
      <c r="C879" s="22"/>
      <c r="D879" s="22"/>
    </row>
    <row r="880" spans="3:4" x14ac:dyDescent="0.3">
      <c r="C880" s="22"/>
      <c r="D880" s="22"/>
    </row>
    <row r="881" spans="3:4" x14ac:dyDescent="0.3">
      <c r="C881" s="22"/>
      <c r="D881" s="22"/>
    </row>
    <row r="882" spans="3:4" x14ac:dyDescent="0.3">
      <c r="C882" s="22"/>
      <c r="D882" s="22"/>
    </row>
    <row r="883" spans="3:4" x14ac:dyDescent="0.3">
      <c r="C883" s="22"/>
      <c r="D883" s="22"/>
    </row>
    <row r="884" spans="3:4" x14ac:dyDescent="0.3">
      <c r="C884" s="22"/>
      <c r="D884" s="22"/>
    </row>
    <row r="885" spans="3:4" x14ac:dyDescent="0.3">
      <c r="C885" s="22"/>
      <c r="D885" s="22"/>
    </row>
    <row r="886" spans="3:4" x14ac:dyDescent="0.3">
      <c r="C886" s="22"/>
      <c r="D886" s="22"/>
    </row>
    <row r="887" spans="3:4" x14ac:dyDescent="0.3">
      <c r="C887" s="22"/>
      <c r="D887" s="22"/>
    </row>
    <row r="888" spans="3:4" x14ac:dyDescent="0.3">
      <c r="C888" s="22"/>
      <c r="D888" s="22"/>
    </row>
    <row r="889" spans="3:4" x14ac:dyDescent="0.3">
      <c r="C889" s="22"/>
      <c r="D889" s="22"/>
    </row>
    <row r="890" spans="3:4" x14ac:dyDescent="0.3">
      <c r="C890" s="22"/>
      <c r="D890" s="22"/>
    </row>
    <row r="891" spans="3:4" x14ac:dyDescent="0.3">
      <c r="C891" s="22"/>
      <c r="D891" s="22"/>
    </row>
    <row r="892" spans="3:4" x14ac:dyDescent="0.3">
      <c r="C892" s="22"/>
      <c r="D892" s="22"/>
    </row>
    <row r="893" spans="3:4" x14ac:dyDescent="0.3">
      <c r="C893" s="22"/>
      <c r="D893" s="22"/>
    </row>
    <row r="894" spans="3:4" x14ac:dyDescent="0.3">
      <c r="C894" s="22"/>
      <c r="D894" s="22"/>
    </row>
    <row r="895" spans="3:4" x14ac:dyDescent="0.3">
      <c r="C895" s="22"/>
      <c r="D895" s="22"/>
    </row>
    <row r="896" spans="3:4" x14ac:dyDescent="0.3">
      <c r="C896" s="22"/>
      <c r="D896" s="22"/>
    </row>
    <row r="897" spans="3:4" x14ac:dyDescent="0.3">
      <c r="C897" s="22"/>
      <c r="D897" s="22"/>
    </row>
    <row r="898" spans="3:4" x14ac:dyDescent="0.3">
      <c r="C898" s="22"/>
      <c r="D898" s="22"/>
    </row>
    <row r="899" spans="3:4" x14ac:dyDescent="0.3">
      <c r="C899" s="22"/>
      <c r="D899" s="22"/>
    </row>
    <row r="900" spans="3:4" x14ac:dyDescent="0.3">
      <c r="C900" s="22"/>
      <c r="D900" s="22"/>
    </row>
    <row r="901" spans="3:4" x14ac:dyDescent="0.3">
      <c r="C901" s="22"/>
      <c r="D901" s="22"/>
    </row>
    <row r="902" spans="3:4" x14ac:dyDescent="0.3">
      <c r="C902" s="22"/>
      <c r="D902" s="22"/>
    </row>
    <row r="903" spans="3:4" x14ac:dyDescent="0.3">
      <c r="C903" s="22"/>
      <c r="D903" s="22"/>
    </row>
    <row r="904" spans="3:4" x14ac:dyDescent="0.3">
      <c r="C904" s="22"/>
      <c r="D904" s="22"/>
    </row>
    <row r="905" spans="3:4" x14ac:dyDescent="0.3">
      <c r="C905" s="22"/>
      <c r="D905" s="22"/>
    </row>
    <row r="906" spans="3:4" x14ac:dyDescent="0.3">
      <c r="C906" s="22"/>
      <c r="D906" s="22"/>
    </row>
    <row r="907" spans="3:4" x14ac:dyDescent="0.3">
      <c r="C907" s="22"/>
      <c r="D907" s="22"/>
    </row>
    <row r="908" spans="3:4" x14ac:dyDescent="0.3">
      <c r="C908" s="22"/>
      <c r="D908" s="22"/>
    </row>
    <row r="909" spans="3:4" x14ac:dyDescent="0.3">
      <c r="C909" s="22"/>
      <c r="D909" s="22"/>
    </row>
    <row r="910" spans="3:4" x14ac:dyDescent="0.3">
      <c r="C910" s="22"/>
      <c r="D910" s="22"/>
    </row>
    <row r="911" spans="3:4" x14ac:dyDescent="0.3">
      <c r="C911" s="22"/>
      <c r="D911" s="22"/>
    </row>
    <row r="912" spans="3:4" x14ac:dyDescent="0.3">
      <c r="C912" s="22"/>
      <c r="D912" s="22"/>
    </row>
    <row r="913" spans="3:4" x14ac:dyDescent="0.3">
      <c r="C913" s="22"/>
      <c r="D913" s="22"/>
    </row>
    <row r="914" spans="3:4" x14ac:dyDescent="0.3">
      <c r="C914" s="22"/>
      <c r="D914" s="22"/>
    </row>
    <row r="915" spans="3:4" x14ac:dyDescent="0.3">
      <c r="C915" s="22"/>
      <c r="D915" s="22"/>
    </row>
    <row r="916" spans="3:4" x14ac:dyDescent="0.3">
      <c r="C916" s="22"/>
      <c r="D916" s="22"/>
    </row>
    <row r="917" spans="3:4" x14ac:dyDescent="0.3">
      <c r="C917" s="22"/>
      <c r="D917" s="22"/>
    </row>
    <row r="918" spans="3:4" x14ac:dyDescent="0.3">
      <c r="C918" s="22"/>
      <c r="D918" s="22"/>
    </row>
    <row r="919" spans="3:4" x14ac:dyDescent="0.3">
      <c r="C919" s="22"/>
      <c r="D919" s="22"/>
    </row>
    <row r="920" spans="3:4" x14ac:dyDescent="0.3">
      <c r="C920" s="22"/>
      <c r="D920" s="22"/>
    </row>
    <row r="921" spans="3:4" x14ac:dyDescent="0.3">
      <c r="C921" s="22"/>
      <c r="D921" s="22"/>
    </row>
    <row r="922" spans="3:4" x14ac:dyDescent="0.3">
      <c r="C922" s="22"/>
      <c r="D922" s="22"/>
    </row>
    <row r="923" spans="3:4" x14ac:dyDescent="0.3">
      <c r="C923" s="22"/>
      <c r="D923" s="22"/>
    </row>
    <row r="924" spans="3:4" x14ac:dyDescent="0.3">
      <c r="C924" s="22"/>
      <c r="D924" s="22"/>
    </row>
    <row r="925" spans="3:4" x14ac:dyDescent="0.3">
      <c r="C925" s="22"/>
      <c r="D925" s="22"/>
    </row>
    <row r="926" spans="3:4" x14ac:dyDescent="0.3">
      <c r="C926" s="22"/>
      <c r="D926" s="22"/>
    </row>
    <row r="927" spans="3:4" x14ac:dyDescent="0.3">
      <c r="C927" s="22"/>
      <c r="D927" s="22"/>
    </row>
    <row r="928" spans="3:4" x14ac:dyDescent="0.3">
      <c r="C928" s="22"/>
      <c r="D928" s="22"/>
    </row>
    <row r="929" spans="3:4" x14ac:dyDescent="0.3">
      <c r="C929" s="22"/>
      <c r="D929" s="22"/>
    </row>
    <row r="930" spans="3:4" x14ac:dyDescent="0.3">
      <c r="C930" s="22"/>
      <c r="D930" s="22"/>
    </row>
    <row r="931" spans="3:4" x14ac:dyDescent="0.3">
      <c r="C931" s="22"/>
      <c r="D931" s="22"/>
    </row>
    <row r="932" spans="3:4" x14ac:dyDescent="0.3">
      <c r="C932" s="22"/>
      <c r="D932" s="22"/>
    </row>
    <row r="933" spans="3:4" x14ac:dyDescent="0.3">
      <c r="C933" s="22"/>
      <c r="D933" s="22"/>
    </row>
    <row r="934" spans="3:4" x14ac:dyDescent="0.3">
      <c r="C934" s="22"/>
      <c r="D934" s="22"/>
    </row>
    <row r="935" spans="3:4" x14ac:dyDescent="0.3">
      <c r="C935" s="22"/>
      <c r="D935" s="22"/>
    </row>
    <row r="936" spans="3:4" x14ac:dyDescent="0.3">
      <c r="C936" s="22"/>
      <c r="D936" s="22"/>
    </row>
    <row r="937" spans="3:4" x14ac:dyDescent="0.3">
      <c r="C937" s="22"/>
      <c r="D937" s="22"/>
    </row>
    <row r="938" spans="3:4" x14ac:dyDescent="0.3">
      <c r="C938" s="22"/>
      <c r="D938" s="22"/>
    </row>
    <row r="939" spans="3:4" x14ac:dyDescent="0.3">
      <c r="C939" s="22"/>
      <c r="D939" s="22"/>
    </row>
    <row r="940" spans="3:4" x14ac:dyDescent="0.3">
      <c r="C940" s="22"/>
      <c r="D940" s="22"/>
    </row>
    <row r="941" spans="3:4" x14ac:dyDescent="0.3">
      <c r="C941" s="22"/>
      <c r="D941" s="22"/>
    </row>
    <row r="942" spans="3:4" x14ac:dyDescent="0.3">
      <c r="C942" s="22"/>
      <c r="D942" s="22"/>
    </row>
    <row r="943" spans="3:4" x14ac:dyDescent="0.3">
      <c r="C943" s="22"/>
      <c r="D943" s="22"/>
    </row>
    <row r="944" spans="3:4" x14ac:dyDescent="0.3">
      <c r="C944" s="22"/>
      <c r="D944" s="22"/>
    </row>
    <row r="945" spans="3:4" x14ac:dyDescent="0.3">
      <c r="C945" s="22"/>
      <c r="D945" s="22"/>
    </row>
    <row r="946" spans="3:4" x14ac:dyDescent="0.3">
      <c r="C946" s="22"/>
      <c r="D946" s="22"/>
    </row>
    <row r="947" spans="3:4" x14ac:dyDescent="0.3">
      <c r="C947" s="22"/>
      <c r="D947" s="22"/>
    </row>
    <row r="948" spans="3:4" x14ac:dyDescent="0.3">
      <c r="C948" s="22"/>
      <c r="D948" s="22"/>
    </row>
    <row r="949" spans="3:4" x14ac:dyDescent="0.3">
      <c r="C949" s="22"/>
      <c r="D949" s="22"/>
    </row>
    <row r="950" spans="3:4" x14ac:dyDescent="0.3">
      <c r="C950" s="22"/>
      <c r="D950" s="22"/>
    </row>
    <row r="951" spans="3:4" x14ac:dyDescent="0.3">
      <c r="C951" s="22"/>
      <c r="D951" s="22"/>
    </row>
    <row r="952" spans="3:4" x14ac:dyDescent="0.3">
      <c r="C952" s="22"/>
      <c r="D952" s="22"/>
    </row>
    <row r="953" spans="3:4" x14ac:dyDescent="0.3">
      <c r="C953" s="22"/>
      <c r="D953" s="22"/>
    </row>
    <row r="954" spans="3:4" x14ac:dyDescent="0.3">
      <c r="C954" s="22"/>
      <c r="D954" s="22"/>
    </row>
    <row r="955" spans="3:4" x14ac:dyDescent="0.3">
      <c r="C955" s="22"/>
      <c r="D955" s="22"/>
    </row>
    <row r="956" spans="3:4" x14ac:dyDescent="0.3">
      <c r="C956" s="22"/>
      <c r="D956" s="22"/>
    </row>
    <row r="957" spans="3:4" x14ac:dyDescent="0.3">
      <c r="C957" s="22"/>
      <c r="D957" s="22"/>
    </row>
    <row r="958" spans="3:4" x14ac:dyDescent="0.3">
      <c r="C958" s="22"/>
      <c r="D958" s="22"/>
    </row>
    <row r="959" spans="3:4" x14ac:dyDescent="0.3">
      <c r="C959" s="22"/>
      <c r="D959" s="22"/>
    </row>
    <row r="960" spans="3:4" x14ac:dyDescent="0.3">
      <c r="C960" s="22"/>
      <c r="D960" s="22"/>
    </row>
    <row r="961" spans="3:4" x14ac:dyDescent="0.3">
      <c r="C961" s="22"/>
      <c r="D961" s="22"/>
    </row>
    <row r="962" spans="3:4" x14ac:dyDescent="0.3">
      <c r="C962" s="22"/>
      <c r="D962" s="22"/>
    </row>
    <row r="963" spans="3:4" x14ac:dyDescent="0.3">
      <c r="C963" s="22"/>
      <c r="D963" s="22"/>
    </row>
    <row r="964" spans="3:4" x14ac:dyDescent="0.3">
      <c r="C964" s="22"/>
      <c r="D964" s="22"/>
    </row>
    <row r="965" spans="3:4" x14ac:dyDescent="0.3">
      <c r="C965" s="22"/>
      <c r="D965" s="22"/>
    </row>
    <row r="966" spans="3:4" x14ac:dyDescent="0.3">
      <c r="C966" s="22"/>
      <c r="D966" s="22"/>
    </row>
    <row r="967" spans="3:4" x14ac:dyDescent="0.3">
      <c r="C967" s="22"/>
      <c r="D967" s="22"/>
    </row>
    <row r="968" spans="3:4" x14ac:dyDescent="0.3">
      <c r="C968" s="22"/>
      <c r="D968" s="22"/>
    </row>
    <row r="969" spans="3:4" x14ac:dyDescent="0.3">
      <c r="C969" s="22"/>
      <c r="D969" s="22"/>
    </row>
    <row r="970" spans="3:4" x14ac:dyDescent="0.3">
      <c r="C970" s="22"/>
      <c r="D970" s="22"/>
    </row>
    <row r="971" spans="3:4" x14ac:dyDescent="0.3">
      <c r="C971" s="22"/>
      <c r="D971" s="22"/>
    </row>
    <row r="972" spans="3:4" x14ac:dyDescent="0.3">
      <c r="C972" s="22"/>
      <c r="D972" s="22"/>
    </row>
    <row r="973" spans="3:4" x14ac:dyDescent="0.3">
      <c r="C973" s="22"/>
      <c r="D973" s="22"/>
    </row>
    <row r="974" spans="3:4" x14ac:dyDescent="0.3">
      <c r="C974" s="22"/>
      <c r="D974" s="22"/>
    </row>
    <row r="975" spans="3:4" x14ac:dyDescent="0.3">
      <c r="C975" s="22"/>
      <c r="D975" s="22"/>
    </row>
    <row r="976" spans="3:4" x14ac:dyDescent="0.3">
      <c r="C976" s="22"/>
      <c r="D976" s="22"/>
    </row>
    <row r="977" spans="3:4" x14ac:dyDescent="0.3">
      <c r="C977" s="22"/>
      <c r="D977" s="22"/>
    </row>
    <row r="978" spans="3:4" x14ac:dyDescent="0.3">
      <c r="C978" s="22"/>
      <c r="D978" s="22"/>
    </row>
    <row r="979" spans="3:4" x14ac:dyDescent="0.3">
      <c r="C979" s="22"/>
      <c r="D979" s="22"/>
    </row>
    <row r="980" spans="3:4" x14ac:dyDescent="0.3">
      <c r="C980" s="22"/>
      <c r="D980" s="22"/>
    </row>
    <row r="981" spans="3:4" x14ac:dyDescent="0.3">
      <c r="C981" s="22"/>
      <c r="D981" s="22"/>
    </row>
    <row r="982" spans="3:4" x14ac:dyDescent="0.3">
      <c r="C982" s="22"/>
      <c r="D982" s="22"/>
    </row>
    <row r="983" spans="3:4" x14ac:dyDescent="0.3">
      <c r="C983" s="22"/>
      <c r="D983" s="22"/>
    </row>
    <row r="984" spans="3:4" x14ac:dyDescent="0.3">
      <c r="C984" s="22"/>
      <c r="D984" s="22"/>
    </row>
    <row r="985" spans="3:4" x14ac:dyDescent="0.3">
      <c r="C985" s="22"/>
      <c r="D985" s="22"/>
    </row>
    <row r="986" spans="3:4" x14ac:dyDescent="0.3">
      <c r="C986" s="22"/>
      <c r="D986" s="22"/>
    </row>
    <row r="987" spans="3:4" x14ac:dyDescent="0.3">
      <c r="C987" s="22"/>
      <c r="D987" s="22"/>
    </row>
    <row r="988" spans="3:4" x14ac:dyDescent="0.3">
      <c r="C988" s="22"/>
      <c r="D988" s="22"/>
    </row>
    <row r="989" spans="3:4" x14ac:dyDescent="0.3">
      <c r="C989" s="22"/>
      <c r="D989" s="22"/>
    </row>
    <row r="990" spans="3:4" x14ac:dyDescent="0.3">
      <c r="C990" s="22"/>
      <c r="D990" s="22"/>
    </row>
    <row r="991" spans="3:4" x14ac:dyDescent="0.3">
      <c r="C991" s="22"/>
      <c r="D991" s="22"/>
    </row>
    <row r="992" spans="3:4" x14ac:dyDescent="0.3">
      <c r="C992" s="22"/>
      <c r="D992" s="22"/>
    </row>
    <row r="993" spans="3:4" x14ac:dyDescent="0.3">
      <c r="C993" s="22"/>
      <c r="D993" s="22"/>
    </row>
    <row r="994" spans="3:4" x14ac:dyDescent="0.3">
      <c r="C994" s="22"/>
      <c r="D994" s="22"/>
    </row>
    <row r="995" spans="3:4" x14ac:dyDescent="0.3">
      <c r="C995" s="22"/>
      <c r="D995" s="22"/>
    </row>
    <row r="996" spans="3:4" x14ac:dyDescent="0.3">
      <c r="C996" s="22"/>
      <c r="D996" s="22"/>
    </row>
    <row r="997" spans="3:4" x14ac:dyDescent="0.3">
      <c r="C997" s="22"/>
      <c r="D997" s="22"/>
    </row>
    <row r="998" spans="3:4" x14ac:dyDescent="0.3">
      <c r="C998" s="22"/>
      <c r="D998" s="22"/>
    </row>
    <row r="999" spans="3:4" x14ac:dyDescent="0.3">
      <c r="C999" s="22"/>
      <c r="D999" s="22"/>
    </row>
    <row r="1000" spans="3:4" x14ac:dyDescent="0.3">
      <c r="C1000" s="22"/>
      <c r="D1000" s="22"/>
    </row>
    <row r="1001" spans="3:4" x14ac:dyDescent="0.3">
      <c r="C1001" s="22"/>
      <c r="D1001" s="22"/>
    </row>
    <row r="1002" spans="3:4" x14ac:dyDescent="0.3">
      <c r="C1002" s="22"/>
      <c r="D1002" s="22"/>
    </row>
    <row r="1003" spans="3:4" x14ac:dyDescent="0.3">
      <c r="C1003" s="22"/>
      <c r="D1003" s="22"/>
    </row>
    <row r="1004" spans="3:4" x14ac:dyDescent="0.3">
      <c r="C1004" s="22"/>
      <c r="D1004" s="22"/>
    </row>
    <row r="1005" spans="3:4" x14ac:dyDescent="0.3">
      <c r="C1005" s="22"/>
      <c r="D1005" s="22"/>
    </row>
    <row r="1006" spans="3:4" x14ac:dyDescent="0.3">
      <c r="C1006" s="22"/>
      <c r="D1006" s="22"/>
    </row>
    <row r="1007" spans="3:4" x14ac:dyDescent="0.3">
      <c r="C1007" s="22"/>
      <c r="D1007" s="22"/>
    </row>
    <row r="1008" spans="3:4" x14ac:dyDescent="0.3">
      <c r="C1008" s="22"/>
      <c r="D1008" s="22"/>
    </row>
    <row r="1009" spans="3:4" x14ac:dyDescent="0.3">
      <c r="C1009" s="22"/>
      <c r="D1009" s="22"/>
    </row>
    <row r="1010" spans="3:4" x14ac:dyDescent="0.3">
      <c r="C1010" s="22"/>
      <c r="D1010" s="22"/>
    </row>
    <row r="1011" spans="3:4" x14ac:dyDescent="0.3">
      <c r="C1011" s="22"/>
      <c r="D1011" s="22"/>
    </row>
    <row r="1012" spans="3:4" x14ac:dyDescent="0.3">
      <c r="C1012" s="22"/>
      <c r="D1012" s="22"/>
    </row>
    <row r="1013" spans="3:4" x14ac:dyDescent="0.3">
      <c r="C1013" s="22"/>
      <c r="D1013" s="22"/>
    </row>
    <row r="1014" spans="3:4" x14ac:dyDescent="0.3">
      <c r="C1014" s="22"/>
      <c r="D1014" s="22"/>
    </row>
    <row r="1015" spans="3:4" x14ac:dyDescent="0.3">
      <c r="C1015" s="22"/>
      <c r="D1015" s="22"/>
    </row>
    <row r="1016" spans="3:4" x14ac:dyDescent="0.3">
      <c r="C1016" s="22"/>
      <c r="D1016" s="22"/>
    </row>
    <row r="1017" spans="3:4" x14ac:dyDescent="0.3">
      <c r="C1017" s="22"/>
      <c r="D1017" s="22"/>
    </row>
    <row r="1018" spans="3:4" x14ac:dyDescent="0.3">
      <c r="C1018" s="22"/>
      <c r="D1018" s="22"/>
    </row>
    <row r="1019" spans="3:4" x14ac:dyDescent="0.3">
      <c r="C1019" s="22"/>
      <c r="D1019" s="22"/>
    </row>
    <row r="1020" spans="3:4" x14ac:dyDescent="0.3">
      <c r="C1020" s="22"/>
      <c r="D1020" s="22"/>
    </row>
    <row r="1021" spans="3:4" x14ac:dyDescent="0.3">
      <c r="C1021" s="22"/>
      <c r="D1021" s="22"/>
    </row>
    <row r="1022" spans="3:4" x14ac:dyDescent="0.3">
      <c r="C1022" s="22"/>
      <c r="D1022" s="22"/>
    </row>
    <row r="1023" spans="3:4" x14ac:dyDescent="0.3">
      <c r="C1023" s="22"/>
      <c r="D1023" s="22"/>
    </row>
    <row r="1024" spans="3:4" x14ac:dyDescent="0.3">
      <c r="C1024" s="22"/>
      <c r="D1024" s="22"/>
    </row>
    <row r="1025" spans="3:4" x14ac:dyDescent="0.3">
      <c r="C1025" s="22"/>
      <c r="D1025" s="22"/>
    </row>
    <row r="1026" spans="3:4" x14ac:dyDescent="0.3">
      <c r="C1026" s="22"/>
      <c r="D1026" s="22"/>
    </row>
    <row r="1027" spans="3:4" x14ac:dyDescent="0.3">
      <c r="C1027" s="22"/>
      <c r="D1027" s="22"/>
    </row>
    <row r="1028" spans="3:4" x14ac:dyDescent="0.3">
      <c r="C1028" s="22"/>
      <c r="D1028" s="22"/>
    </row>
    <row r="1029" spans="3:4" x14ac:dyDescent="0.3">
      <c r="C1029" s="22"/>
      <c r="D1029" s="22"/>
    </row>
    <row r="1030" spans="3:4" x14ac:dyDescent="0.3">
      <c r="C1030" s="22"/>
      <c r="D1030" s="22"/>
    </row>
    <row r="1031" spans="3:4" x14ac:dyDescent="0.3">
      <c r="C1031" s="22"/>
      <c r="D1031" s="22"/>
    </row>
    <row r="1032" spans="3:4" x14ac:dyDescent="0.3">
      <c r="C1032" s="21"/>
      <c r="D1032" s="21"/>
    </row>
    <row r="1033" spans="3:4" x14ac:dyDescent="0.3">
      <c r="C1033" s="21"/>
      <c r="D1033" s="21"/>
    </row>
    <row r="1034" spans="3:4" x14ac:dyDescent="0.3">
      <c r="C1034" s="21"/>
      <c r="D1034" s="21"/>
    </row>
    <row r="1035" spans="3:4" x14ac:dyDescent="0.3">
      <c r="C1035" s="21"/>
      <c r="D1035" s="21"/>
    </row>
    <row r="1036" spans="3:4" x14ac:dyDescent="0.3">
      <c r="C1036" s="21"/>
      <c r="D1036" s="21"/>
    </row>
    <row r="1037" spans="3:4" x14ac:dyDescent="0.3">
      <c r="C1037" s="21"/>
      <c r="D1037" s="21"/>
    </row>
    <row r="1038" spans="3:4" x14ac:dyDescent="0.3">
      <c r="C1038" s="21"/>
      <c r="D1038" s="21"/>
    </row>
    <row r="1039" spans="3:4" x14ac:dyDescent="0.3">
      <c r="C1039" s="21"/>
      <c r="D1039" s="21"/>
    </row>
    <row r="1040" spans="3:4" x14ac:dyDescent="0.3">
      <c r="C1040" s="21"/>
      <c r="D1040" s="21"/>
    </row>
    <row r="1041" spans="3:4" x14ac:dyDescent="0.3">
      <c r="C1041" s="21"/>
      <c r="D1041" s="21"/>
    </row>
    <row r="1042" spans="3:4" x14ac:dyDescent="0.3">
      <c r="C1042" s="21"/>
      <c r="D1042" s="21"/>
    </row>
    <row r="1043" spans="3:4" x14ac:dyDescent="0.3">
      <c r="C1043" s="21"/>
      <c r="D1043" s="21"/>
    </row>
    <row r="1044" spans="3:4" x14ac:dyDescent="0.3">
      <c r="C1044" s="21"/>
      <c r="D1044" s="21"/>
    </row>
    <row r="1045" spans="3:4" x14ac:dyDescent="0.3">
      <c r="C1045" s="21"/>
      <c r="D1045" s="21"/>
    </row>
    <row r="1046" spans="3:4" x14ac:dyDescent="0.3">
      <c r="C1046" s="21"/>
      <c r="D1046" s="21"/>
    </row>
    <row r="1047" spans="3:4" x14ac:dyDescent="0.3">
      <c r="C1047" s="21"/>
      <c r="D1047" s="21"/>
    </row>
    <row r="1048" spans="3:4" x14ac:dyDescent="0.3">
      <c r="C1048" s="21"/>
      <c r="D1048" s="21"/>
    </row>
    <row r="1049" spans="3:4" x14ac:dyDescent="0.3">
      <c r="C1049" s="21"/>
      <c r="D1049" s="21"/>
    </row>
    <row r="1050" spans="3:4" x14ac:dyDescent="0.3">
      <c r="C1050" s="21"/>
      <c r="D1050" s="21"/>
    </row>
    <row r="1051" spans="3:4" x14ac:dyDescent="0.3">
      <c r="C1051" s="21"/>
      <c r="D1051" s="21"/>
    </row>
    <row r="1052" spans="3:4" x14ac:dyDescent="0.3">
      <c r="C1052" s="21"/>
      <c r="D1052" s="21"/>
    </row>
    <row r="1053" spans="3:4" x14ac:dyDescent="0.3">
      <c r="C1053" s="21"/>
      <c r="D1053" s="21"/>
    </row>
    <row r="1054" spans="3:4" x14ac:dyDescent="0.3">
      <c r="C1054" s="21"/>
      <c r="D1054" s="21"/>
    </row>
    <row r="1055" spans="3:4" x14ac:dyDescent="0.3">
      <c r="C1055" s="21"/>
      <c r="D1055" s="21"/>
    </row>
    <row r="1056" spans="3:4" x14ac:dyDescent="0.3">
      <c r="C1056" s="21"/>
      <c r="D1056" s="21"/>
    </row>
    <row r="1057" spans="3:4" x14ac:dyDescent="0.3">
      <c r="C1057" s="21"/>
      <c r="D1057" s="21"/>
    </row>
    <row r="1058" spans="3:4" x14ac:dyDescent="0.3">
      <c r="C1058" s="21"/>
      <c r="D1058" s="21"/>
    </row>
    <row r="1059" spans="3:4" x14ac:dyDescent="0.3">
      <c r="C1059" s="21"/>
      <c r="D1059" s="21"/>
    </row>
    <row r="1060" spans="3:4" x14ac:dyDescent="0.3">
      <c r="C1060" s="21"/>
      <c r="D1060" s="21"/>
    </row>
    <row r="1061" spans="3:4" x14ac:dyDescent="0.3">
      <c r="C1061" s="21"/>
      <c r="D1061" s="21"/>
    </row>
    <row r="1062" spans="3:4" x14ac:dyDescent="0.3">
      <c r="C1062" s="21"/>
      <c r="D1062" s="21"/>
    </row>
    <row r="1063" spans="3:4" x14ac:dyDescent="0.3">
      <c r="C1063" s="21"/>
      <c r="D1063" s="21"/>
    </row>
    <row r="1064" spans="3:4" x14ac:dyDescent="0.3">
      <c r="C1064" s="21"/>
      <c r="D1064" s="21"/>
    </row>
    <row r="1065" spans="3:4" x14ac:dyDescent="0.3">
      <c r="C1065" s="21"/>
      <c r="D1065" s="21"/>
    </row>
    <row r="1066" spans="3:4" x14ac:dyDescent="0.3">
      <c r="C1066" s="21"/>
      <c r="D1066" s="21"/>
    </row>
    <row r="1067" spans="3:4" x14ac:dyDescent="0.3">
      <c r="C1067" s="21"/>
      <c r="D1067" s="21"/>
    </row>
    <row r="1068" spans="3:4" x14ac:dyDescent="0.3">
      <c r="C1068" s="21"/>
      <c r="D1068" s="21"/>
    </row>
    <row r="1069" spans="3:4" x14ac:dyDescent="0.3">
      <c r="C1069" s="21"/>
      <c r="D1069" s="21"/>
    </row>
    <row r="1070" spans="3:4" x14ac:dyDescent="0.3">
      <c r="C1070" s="21"/>
      <c r="D1070" s="21"/>
    </row>
    <row r="1071" spans="3:4" x14ac:dyDescent="0.3">
      <c r="C1071" s="21"/>
      <c r="D1071" s="21"/>
    </row>
    <row r="1072" spans="3:4" x14ac:dyDescent="0.3">
      <c r="C1072" s="21"/>
      <c r="D1072" s="21"/>
    </row>
    <row r="1073" spans="3:4" x14ac:dyDescent="0.3">
      <c r="C1073" s="21"/>
      <c r="D1073" s="21"/>
    </row>
    <row r="1074" spans="3:4" x14ac:dyDescent="0.3">
      <c r="C1074" s="21"/>
      <c r="D1074" s="21"/>
    </row>
    <row r="1075" spans="3:4" x14ac:dyDescent="0.3">
      <c r="C1075" s="21"/>
      <c r="D1075" s="21"/>
    </row>
    <row r="1076" spans="3:4" x14ac:dyDescent="0.3">
      <c r="C1076" s="21"/>
      <c r="D1076" s="21"/>
    </row>
    <row r="1077" spans="3:4" x14ac:dyDescent="0.3">
      <c r="C1077" s="21"/>
      <c r="D1077" s="21"/>
    </row>
    <row r="1078" spans="3:4" x14ac:dyDescent="0.3">
      <c r="C1078" s="21"/>
      <c r="D1078" s="21"/>
    </row>
    <row r="1079" spans="3:4" x14ac:dyDescent="0.3">
      <c r="C1079" s="21"/>
      <c r="D1079" s="21"/>
    </row>
    <row r="1080" spans="3:4" x14ac:dyDescent="0.3">
      <c r="C1080" s="21"/>
      <c r="D1080" s="21"/>
    </row>
    <row r="1081" spans="3:4" x14ac:dyDescent="0.3">
      <c r="C1081" s="21"/>
      <c r="D1081" s="21"/>
    </row>
    <row r="1082" spans="3:4" x14ac:dyDescent="0.3">
      <c r="C1082" s="21"/>
      <c r="D1082" s="21"/>
    </row>
    <row r="1083" spans="3:4" x14ac:dyDescent="0.3">
      <c r="C1083" s="21"/>
      <c r="D1083" s="21"/>
    </row>
    <row r="1084" spans="3:4" x14ac:dyDescent="0.3">
      <c r="C1084" s="21"/>
      <c r="D1084" s="21"/>
    </row>
    <row r="1085" spans="3:4" x14ac:dyDescent="0.3">
      <c r="C1085" s="21"/>
      <c r="D1085" s="21"/>
    </row>
    <row r="1086" spans="3:4" x14ac:dyDescent="0.3">
      <c r="C1086" s="21"/>
      <c r="D1086" s="21"/>
    </row>
    <row r="1087" spans="3:4" x14ac:dyDescent="0.3">
      <c r="C1087" s="21"/>
      <c r="D1087" s="21"/>
    </row>
    <row r="1088" spans="3:4" x14ac:dyDescent="0.3">
      <c r="C1088" s="21"/>
      <c r="D1088" s="21"/>
    </row>
    <row r="1089" spans="3:4" x14ac:dyDescent="0.3">
      <c r="C1089" s="21"/>
      <c r="D1089" s="21"/>
    </row>
    <row r="1090" spans="3:4" x14ac:dyDescent="0.3">
      <c r="C1090" s="21"/>
      <c r="D1090" s="21"/>
    </row>
    <row r="1091" spans="3:4" x14ac:dyDescent="0.3">
      <c r="C1091" s="21"/>
      <c r="D1091" s="21"/>
    </row>
    <row r="1092" spans="3:4" x14ac:dyDescent="0.3">
      <c r="C1092" s="21"/>
      <c r="D1092" s="21"/>
    </row>
    <row r="1093" spans="3:4" x14ac:dyDescent="0.3">
      <c r="C1093" s="21"/>
      <c r="D1093" s="21"/>
    </row>
    <row r="1094" spans="3:4" x14ac:dyDescent="0.3">
      <c r="C1094" s="21"/>
      <c r="D1094" s="21"/>
    </row>
    <row r="1095" spans="3:4" x14ac:dyDescent="0.3">
      <c r="C1095" s="21"/>
      <c r="D1095" s="21"/>
    </row>
    <row r="1096" spans="3:4" x14ac:dyDescent="0.3">
      <c r="C1096" s="21"/>
      <c r="D1096" s="21"/>
    </row>
    <row r="1097" spans="3:4" x14ac:dyDescent="0.3">
      <c r="C1097" s="21"/>
      <c r="D1097" s="21"/>
    </row>
    <row r="1098" spans="3:4" x14ac:dyDescent="0.3">
      <c r="C1098" s="21"/>
      <c r="D1098" s="21"/>
    </row>
    <row r="1099" spans="3:4" x14ac:dyDescent="0.3">
      <c r="C1099" s="21"/>
      <c r="D1099" s="21"/>
    </row>
    <row r="1100" spans="3:4" x14ac:dyDescent="0.3">
      <c r="C1100" s="21"/>
      <c r="D1100" s="21"/>
    </row>
    <row r="1101" spans="3:4" x14ac:dyDescent="0.3">
      <c r="C1101" s="21"/>
      <c r="D1101" s="21"/>
    </row>
    <row r="1102" spans="3:4" x14ac:dyDescent="0.3">
      <c r="C1102" s="21"/>
      <c r="D1102" s="21"/>
    </row>
    <row r="1103" spans="3:4" x14ac:dyDescent="0.3">
      <c r="C1103" s="21"/>
      <c r="D1103" s="21"/>
    </row>
    <row r="1104" spans="3:4" x14ac:dyDescent="0.3">
      <c r="C1104" s="21"/>
      <c r="D1104" s="21"/>
    </row>
    <row r="1105" spans="3:4" x14ac:dyDescent="0.3">
      <c r="C1105" s="21"/>
      <c r="D1105" s="21"/>
    </row>
    <row r="1106" spans="3:4" x14ac:dyDescent="0.3">
      <c r="C1106" s="21"/>
      <c r="D1106" s="21"/>
    </row>
    <row r="1107" spans="3:4" x14ac:dyDescent="0.3">
      <c r="C1107" s="21"/>
      <c r="D1107" s="21"/>
    </row>
    <row r="1108" spans="3:4" x14ac:dyDescent="0.3">
      <c r="C1108" s="21"/>
      <c r="D1108" s="21"/>
    </row>
    <row r="1109" spans="3:4" x14ac:dyDescent="0.3">
      <c r="C1109" s="21"/>
      <c r="D1109" s="21"/>
    </row>
    <row r="1110" spans="3:4" x14ac:dyDescent="0.3">
      <c r="C1110" s="21"/>
      <c r="D1110" s="21"/>
    </row>
    <row r="1111" spans="3:4" x14ac:dyDescent="0.3">
      <c r="C1111" s="21"/>
      <c r="D1111" s="21"/>
    </row>
    <row r="1112" spans="3:4" x14ac:dyDescent="0.3">
      <c r="C1112" s="21"/>
      <c r="D1112" s="21"/>
    </row>
    <row r="1113" spans="3:4" x14ac:dyDescent="0.3">
      <c r="C1113" s="21"/>
      <c r="D1113" s="21"/>
    </row>
    <row r="1114" spans="3:4" x14ac:dyDescent="0.3">
      <c r="C1114" s="21"/>
      <c r="D1114" s="21"/>
    </row>
    <row r="1115" spans="3:4" x14ac:dyDescent="0.3">
      <c r="C1115" s="21"/>
      <c r="D1115" s="21"/>
    </row>
    <row r="1116" spans="3:4" x14ac:dyDescent="0.3">
      <c r="C1116" s="21"/>
      <c r="D1116" s="21"/>
    </row>
    <row r="1117" spans="3:4" x14ac:dyDescent="0.3">
      <c r="C1117" s="21"/>
      <c r="D1117" s="21"/>
    </row>
    <row r="1118" spans="3:4" x14ac:dyDescent="0.3">
      <c r="C1118" s="21"/>
      <c r="D1118" s="21"/>
    </row>
    <row r="1119" spans="3:4" x14ac:dyDescent="0.3">
      <c r="C1119" s="21"/>
      <c r="D1119" s="21"/>
    </row>
    <row r="1120" spans="3:4" x14ac:dyDescent="0.3">
      <c r="C1120" s="21"/>
      <c r="D1120" s="21"/>
    </row>
    <row r="1121" spans="3:4" x14ac:dyDescent="0.3">
      <c r="C1121" s="21"/>
      <c r="D1121" s="21"/>
    </row>
    <row r="1122" spans="3:4" x14ac:dyDescent="0.3">
      <c r="C1122" s="21"/>
      <c r="D1122" s="21"/>
    </row>
    <row r="1123" spans="3:4" x14ac:dyDescent="0.3">
      <c r="C1123" s="21"/>
      <c r="D1123" s="21"/>
    </row>
    <row r="1124" spans="3:4" x14ac:dyDescent="0.3">
      <c r="C1124" s="21"/>
      <c r="D1124" s="21"/>
    </row>
    <row r="1125" spans="3:4" x14ac:dyDescent="0.3">
      <c r="C1125" s="21"/>
      <c r="D1125" s="21"/>
    </row>
    <row r="1126" spans="3:4" x14ac:dyDescent="0.3">
      <c r="C1126" s="21"/>
      <c r="D1126" s="21"/>
    </row>
    <row r="1127" spans="3:4" x14ac:dyDescent="0.3">
      <c r="C1127" s="21"/>
      <c r="D1127" s="21"/>
    </row>
    <row r="1128" spans="3:4" x14ac:dyDescent="0.3">
      <c r="C1128" s="21"/>
      <c r="D1128" s="21"/>
    </row>
    <row r="1129" spans="3:4" x14ac:dyDescent="0.3">
      <c r="C1129" s="21"/>
      <c r="D1129" s="21"/>
    </row>
    <row r="1130" spans="3:4" x14ac:dyDescent="0.3">
      <c r="C1130" s="21"/>
      <c r="D1130" s="21"/>
    </row>
    <row r="1131" spans="3:4" x14ac:dyDescent="0.3">
      <c r="C1131" s="21"/>
      <c r="D1131" s="21"/>
    </row>
    <row r="1132" spans="3:4" x14ac:dyDescent="0.3">
      <c r="C1132" s="21"/>
      <c r="D1132" s="21"/>
    </row>
    <row r="1133" spans="3:4" x14ac:dyDescent="0.3">
      <c r="C1133" s="21"/>
      <c r="D1133" s="21"/>
    </row>
    <row r="1134" spans="3:4" x14ac:dyDescent="0.3">
      <c r="C1134" s="21"/>
      <c r="D1134" s="21"/>
    </row>
    <row r="1135" spans="3:4" x14ac:dyDescent="0.3">
      <c r="C1135" s="21"/>
      <c r="D1135" s="21"/>
    </row>
    <row r="1136" spans="3:4" x14ac:dyDescent="0.3">
      <c r="C1136" s="21"/>
      <c r="D1136" s="21"/>
    </row>
    <row r="1137" spans="3:4" x14ac:dyDescent="0.3">
      <c r="C1137" s="21"/>
      <c r="D1137" s="21"/>
    </row>
    <row r="1138" spans="3:4" x14ac:dyDescent="0.3">
      <c r="C1138" s="21"/>
      <c r="D1138" s="21"/>
    </row>
    <row r="1139" spans="3:4" x14ac:dyDescent="0.3">
      <c r="C1139" s="21"/>
      <c r="D1139" s="21"/>
    </row>
    <row r="1140" spans="3:4" x14ac:dyDescent="0.3">
      <c r="C1140" s="21"/>
      <c r="D1140" s="21"/>
    </row>
    <row r="1141" spans="3:4" x14ac:dyDescent="0.3">
      <c r="C1141" s="21"/>
      <c r="D1141" s="21"/>
    </row>
    <row r="1142" spans="3:4" x14ac:dyDescent="0.3">
      <c r="C1142" s="21"/>
      <c r="D1142" s="21"/>
    </row>
    <row r="1143" spans="3:4" x14ac:dyDescent="0.3">
      <c r="C1143" s="21"/>
      <c r="D1143" s="21"/>
    </row>
    <row r="1144" spans="3:4" x14ac:dyDescent="0.3">
      <c r="C1144" s="21"/>
      <c r="D1144" s="21"/>
    </row>
    <row r="1145" spans="3:4" x14ac:dyDescent="0.3">
      <c r="C1145" s="21"/>
      <c r="D1145" s="21"/>
    </row>
    <row r="1146" spans="3:4" x14ac:dyDescent="0.3">
      <c r="C1146" s="21"/>
      <c r="D1146" s="21"/>
    </row>
    <row r="1147" spans="3:4" x14ac:dyDescent="0.3">
      <c r="C1147" s="21"/>
      <c r="D1147" s="21"/>
    </row>
    <row r="1148" spans="3:4" x14ac:dyDescent="0.3">
      <c r="C1148" s="21"/>
      <c r="D1148" s="21"/>
    </row>
    <row r="1149" spans="3:4" x14ac:dyDescent="0.3">
      <c r="C1149" s="21"/>
      <c r="D1149" s="21"/>
    </row>
    <row r="1150" spans="3:4" x14ac:dyDescent="0.3">
      <c r="C1150" s="21"/>
      <c r="D1150" s="21"/>
    </row>
    <row r="1151" spans="3:4" x14ac:dyDescent="0.3">
      <c r="C1151" s="21"/>
      <c r="D1151" s="21"/>
    </row>
    <row r="1152" spans="3:4" x14ac:dyDescent="0.3">
      <c r="C1152" s="21"/>
      <c r="D1152" s="21"/>
    </row>
    <row r="1153" spans="3:4" x14ac:dyDescent="0.3">
      <c r="C1153" s="21"/>
      <c r="D1153" s="21"/>
    </row>
    <row r="1154" spans="3:4" x14ac:dyDescent="0.3">
      <c r="C1154" s="21"/>
      <c r="D1154" s="21"/>
    </row>
    <row r="1155" spans="3:4" x14ac:dyDescent="0.3">
      <c r="C1155" s="21"/>
      <c r="D1155" s="21"/>
    </row>
    <row r="1156" spans="3:4" x14ac:dyDescent="0.3">
      <c r="C1156" s="21"/>
      <c r="D1156" s="21"/>
    </row>
    <row r="1157" spans="3:4" x14ac:dyDescent="0.3">
      <c r="C1157" s="21"/>
      <c r="D1157" s="21"/>
    </row>
    <row r="1158" spans="3:4" x14ac:dyDescent="0.3">
      <c r="C1158" s="21"/>
      <c r="D1158" s="21"/>
    </row>
    <row r="1159" spans="3:4" x14ac:dyDescent="0.3">
      <c r="C1159" s="21"/>
      <c r="D1159" s="21"/>
    </row>
    <row r="1160" spans="3:4" x14ac:dyDescent="0.3">
      <c r="C1160" s="21"/>
      <c r="D1160" s="21"/>
    </row>
    <row r="1161" spans="3:4" x14ac:dyDescent="0.3">
      <c r="C1161" s="21"/>
      <c r="D1161" s="21"/>
    </row>
    <row r="1162" spans="3:4" x14ac:dyDescent="0.3">
      <c r="C1162" s="21"/>
      <c r="D1162" s="21"/>
    </row>
    <row r="1163" spans="3:4" x14ac:dyDescent="0.3">
      <c r="C1163" s="21"/>
      <c r="D1163" s="21"/>
    </row>
    <row r="1164" spans="3:4" x14ac:dyDescent="0.3">
      <c r="C1164" s="21"/>
      <c r="D1164" s="21"/>
    </row>
    <row r="1165" spans="3:4" x14ac:dyDescent="0.3">
      <c r="C1165" s="21"/>
      <c r="D1165" s="21"/>
    </row>
    <row r="1166" spans="3:4" x14ac:dyDescent="0.3">
      <c r="C1166" s="21"/>
      <c r="D1166" s="21"/>
    </row>
    <row r="1167" spans="3:4" x14ac:dyDescent="0.3">
      <c r="C1167" s="21"/>
      <c r="D1167" s="21"/>
    </row>
    <row r="1168" spans="3:4" x14ac:dyDescent="0.3">
      <c r="C1168" s="21"/>
      <c r="D1168" s="21"/>
    </row>
    <row r="1169" spans="3:4" x14ac:dyDescent="0.3">
      <c r="C1169" s="21"/>
      <c r="D1169" s="21"/>
    </row>
    <row r="1170" spans="3:4" x14ac:dyDescent="0.3">
      <c r="C1170" s="21"/>
      <c r="D1170" s="21"/>
    </row>
    <row r="1171" spans="3:4" x14ac:dyDescent="0.3">
      <c r="C1171" s="21"/>
      <c r="D1171" s="21"/>
    </row>
    <row r="1172" spans="3:4" x14ac:dyDescent="0.3">
      <c r="C1172" s="21"/>
      <c r="D1172" s="21"/>
    </row>
    <row r="1173" spans="3:4" x14ac:dyDescent="0.3">
      <c r="C1173" s="21"/>
      <c r="D1173" s="21"/>
    </row>
    <row r="1174" spans="3:4" x14ac:dyDescent="0.3">
      <c r="C1174" s="21"/>
      <c r="D1174" s="21"/>
    </row>
    <row r="1175" spans="3:4" x14ac:dyDescent="0.3">
      <c r="C1175" s="21"/>
      <c r="D1175" s="21"/>
    </row>
    <row r="1176" spans="3:4" x14ac:dyDescent="0.3">
      <c r="C1176" s="21"/>
      <c r="D1176" s="21"/>
    </row>
    <row r="1177" spans="3:4" x14ac:dyDescent="0.3">
      <c r="C1177" s="21"/>
      <c r="D1177" s="21"/>
    </row>
    <row r="1178" spans="3:4" x14ac:dyDescent="0.3">
      <c r="C1178" s="21"/>
      <c r="D1178" s="21"/>
    </row>
    <row r="1179" spans="3:4" x14ac:dyDescent="0.3">
      <c r="C1179" s="21"/>
      <c r="D1179" s="21"/>
    </row>
    <row r="1180" spans="3:4" x14ac:dyDescent="0.3">
      <c r="C1180" s="21"/>
      <c r="D1180" s="21"/>
    </row>
    <row r="1181" spans="3:4" x14ac:dyDescent="0.3">
      <c r="C1181" s="21"/>
      <c r="D1181" s="21"/>
    </row>
    <row r="1182" spans="3:4" x14ac:dyDescent="0.3">
      <c r="C1182" s="21"/>
      <c r="D1182" s="21"/>
    </row>
    <row r="1183" spans="3:4" x14ac:dyDescent="0.3">
      <c r="C1183" s="21"/>
      <c r="D1183" s="21"/>
    </row>
    <row r="1184" spans="3:4" x14ac:dyDescent="0.3">
      <c r="C1184" s="21"/>
      <c r="D1184" s="21"/>
    </row>
    <row r="1185" spans="3:4" x14ac:dyDescent="0.3">
      <c r="C1185" s="21"/>
      <c r="D1185" s="21"/>
    </row>
    <row r="1186" spans="3:4" x14ac:dyDescent="0.3">
      <c r="C1186" s="21"/>
      <c r="D1186" s="21"/>
    </row>
    <row r="1187" spans="3:4" x14ac:dyDescent="0.3">
      <c r="C1187" s="21"/>
      <c r="D1187" s="21"/>
    </row>
    <row r="1188" spans="3:4" x14ac:dyDescent="0.3">
      <c r="C1188" s="21"/>
      <c r="D1188" s="21"/>
    </row>
    <row r="1189" spans="3:4" x14ac:dyDescent="0.3">
      <c r="C1189" s="21"/>
      <c r="D1189" s="21"/>
    </row>
    <row r="1190" spans="3:4" x14ac:dyDescent="0.3">
      <c r="C1190" s="21"/>
      <c r="D1190" s="21"/>
    </row>
    <row r="1191" spans="3:4" x14ac:dyDescent="0.3">
      <c r="C1191" s="21"/>
      <c r="D1191" s="21"/>
    </row>
    <row r="1192" spans="3:4" x14ac:dyDescent="0.3">
      <c r="C1192" s="21"/>
      <c r="D1192" s="21"/>
    </row>
    <row r="1193" spans="3:4" x14ac:dyDescent="0.3">
      <c r="C1193" s="21"/>
      <c r="D1193" s="21"/>
    </row>
    <row r="1194" spans="3:4" x14ac:dyDescent="0.3">
      <c r="C1194" s="21"/>
      <c r="D1194" s="21"/>
    </row>
    <row r="1195" spans="3:4" x14ac:dyDescent="0.3">
      <c r="C1195" s="21"/>
      <c r="D1195" s="21"/>
    </row>
    <row r="1196" spans="3:4" x14ac:dyDescent="0.3">
      <c r="C1196" s="21"/>
      <c r="D1196" s="21"/>
    </row>
    <row r="1197" spans="3:4" x14ac:dyDescent="0.3">
      <c r="C1197" s="21"/>
      <c r="D1197" s="21"/>
    </row>
    <row r="1198" spans="3:4" x14ac:dyDescent="0.3">
      <c r="C1198" s="21"/>
      <c r="D1198" s="21"/>
    </row>
    <row r="1199" spans="3:4" x14ac:dyDescent="0.3">
      <c r="C1199" s="21"/>
      <c r="D1199" s="21"/>
    </row>
    <row r="1200" spans="3:4" x14ac:dyDescent="0.3">
      <c r="C1200" s="21"/>
      <c r="D1200" s="21"/>
    </row>
    <row r="1201" spans="3:4" x14ac:dyDescent="0.3">
      <c r="C1201" s="21"/>
      <c r="D1201" s="21"/>
    </row>
    <row r="1202" spans="3:4" x14ac:dyDescent="0.3">
      <c r="C1202" s="21"/>
      <c r="D1202" s="21"/>
    </row>
    <row r="1203" spans="3:4" x14ac:dyDescent="0.3">
      <c r="C1203" s="21"/>
      <c r="D1203" s="21"/>
    </row>
    <row r="1204" spans="3:4" x14ac:dyDescent="0.3">
      <c r="C1204" s="21"/>
      <c r="D1204" s="21"/>
    </row>
    <row r="1205" spans="3:4" x14ac:dyDescent="0.3">
      <c r="C1205" s="21"/>
      <c r="D1205" s="21"/>
    </row>
    <row r="1206" spans="3:4" x14ac:dyDescent="0.3">
      <c r="C1206" s="21"/>
      <c r="D1206" s="21"/>
    </row>
    <row r="1207" spans="3:4" x14ac:dyDescent="0.3">
      <c r="C1207" s="21"/>
      <c r="D1207" s="21"/>
    </row>
    <row r="1208" spans="3:4" x14ac:dyDescent="0.3">
      <c r="C1208" s="21"/>
      <c r="D1208" s="21"/>
    </row>
    <row r="1209" spans="3:4" x14ac:dyDescent="0.3">
      <c r="C1209" s="21"/>
      <c r="D1209" s="21"/>
    </row>
    <row r="1210" spans="3:4" x14ac:dyDescent="0.3">
      <c r="C1210" s="21"/>
      <c r="D1210" s="21"/>
    </row>
    <row r="1211" spans="3:4" x14ac:dyDescent="0.3">
      <c r="C1211" s="21"/>
      <c r="D1211" s="21"/>
    </row>
    <row r="1212" spans="3:4" x14ac:dyDescent="0.3">
      <c r="C1212" s="21"/>
      <c r="D1212" s="21"/>
    </row>
    <row r="1213" spans="3:4" x14ac:dyDescent="0.3">
      <c r="C1213" s="21"/>
      <c r="D1213" s="21"/>
    </row>
    <row r="1214" spans="3:4" x14ac:dyDescent="0.3">
      <c r="C1214" s="21"/>
      <c r="D1214" s="21"/>
    </row>
    <row r="1215" spans="3:4" x14ac:dyDescent="0.3">
      <c r="C1215" s="21"/>
      <c r="D1215" s="21"/>
    </row>
    <row r="1216" spans="3:4" x14ac:dyDescent="0.3">
      <c r="C1216" s="21"/>
      <c r="D1216" s="21"/>
    </row>
    <row r="1217" spans="3:4" x14ac:dyDescent="0.3">
      <c r="C1217" s="21"/>
      <c r="D1217" s="21"/>
    </row>
    <row r="1218" spans="3:4" x14ac:dyDescent="0.3">
      <c r="C1218" s="21"/>
      <c r="D1218" s="21"/>
    </row>
    <row r="1219" spans="3:4" x14ac:dyDescent="0.3">
      <c r="C1219" s="21"/>
      <c r="D1219" s="21"/>
    </row>
    <row r="1220" spans="3:4" x14ac:dyDescent="0.3">
      <c r="C1220" s="21"/>
      <c r="D1220" s="21"/>
    </row>
    <row r="1221" spans="3:4" x14ac:dyDescent="0.3">
      <c r="C1221" s="21"/>
      <c r="D1221" s="21"/>
    </row>
    <row r="1222" spans="3:4" x14ac:dyDescent="0.3">
      <c r="C1222" s="21"/>
      <c r="D1222" s="21"/>
    </row>
    <row r="1223" spans="3:4" x14ac:dyDescent="0.3">
      <c r="C1223" s="21"/>
      <c r="D1223" s="21"/>
    </row>
    <row r="1224" spans="3:4" x14ac:dyDescent="0.3">
      <c r="C1224" s="21"/>
      <c r="D1224" s="21"/>
    </row>
    <row r="1225" spans="3:4" x14ac:dyDescent="0.3">
      <c r="C1225" s="21"/>
      <c r="D1225" s="21"/>
    </row>
    <row r="1226" spans="3:4" x14ac:dyDescent="0.3">
      <c r="C1226" s="21"/>
      <c r="D1226" s="21"/>
    </row>
    <row r="1227" spans="3:4" x14ac:dyDescent="0.3">
      <c r="C1227" s="21"/>
      <c r="D1227" s="21"/>
    </row>
    <row r="1228" spans="3:4" x14ac:dyDescent="0.3">
      <c r="C1228" s="21"/>
      <c r="D1228" s="21"/>
    </row>
    <row r="1229" spans="3:4" x14ac:dyDescent="0.3">
      <c r="C1229" s="21"/>
      <c r="D1229" s="21"/>
    </row>
    <row r="1230" spans="3:4" x14ac:dyDescent="0.3">
      <c r="C1230" s="21"/>
      <c r="D1230" s="21"/>
    </row>
    <row r="1231" spans="3:4" x14ac:dyDescent="0.3">
      <c r="C1231" s="21"/>
      <c r="D1231" s="21"/>
    </row>
    <row r="1232" spans="3:4" x14ac:dyDescent="0.3">
      <c r="C1232" s="21"/>
      <c r="D1232" s="21"/>
    </row>
    <row r="1233" spans="3:4" x14ac:dyDescent="0.3">
      <c r="C1233" s="21"/>
      <c r="D1233" s="21"/>
    </row>
    <row r="1234" spans="3:4" x14ac:dyDescent="0.3">
      <c r="C1234" s="21"/>
      <c r="D1234" s="21"/>
    </row>
    <row r="1235" spans="3:4" x14ac:dyDescent="0.3">
      <c r="C1235" s="21"/>
      <c r="D1235" s="21"/>
    </row>
    <row r="1236" spans="3:4" x14ac:dyDescent="0.3">
      <c r="C1236" s="21"/>
      <c r="D1236" s="21"/>
    </row>
    <row r="1237" spans="3:4" x14ac:dyDescent="0.3">
      <c r="C1237" s="21"/>
      <c r="D1237" s="21"/>
    </row>
    <row r="1238" spans="3:4" x14ac:dyDescent="0.3">
      <c r="C1238" s="21"/>
      <c r="D1238" s="21"/>
    </row>
    <row r="1239" spans="3:4" x14ac:dyDescent="0.3">
      <c r="C1239" s="21"/>
      <c r="D1239" s="21"/>
    </row>
    <row r="1240" spans="3:4" x14ac:dyDescent="0.3">
      <c r="C1240" s="21"/>
      <c r="D1240" s="21"/>
    </row>
    <row r="1241" spans="3:4" x14ac:dyDescent="0.3">
      <c r="C1241" s="21"/>
      <c r="D1241" s="21"/>
    </row>
    <row r="1242" spans="3:4" x14ac:dyDescent="0.3">
      <c r="C1242" s="21"/>
      <c r="D1242" s="21"/>
    </row>
    <row r="1243" spans="3:4" x14ac:dyDescent="0.3">
      <c r="C1243" s="21"/>
      <c r="D1243" s="21"/>
    </row>
    <row r="1244" spans="3:4" x14ac:dyDescent="0.3">
      <c r="C1244" s="21"/>
      <c r="D1244" s="21"/>
    </row>
    <row r="1245" spans="3:4" x14ac:dyDescent="0.3">
      <c r="C1245" s="21"/>
      <c r="D1245" s="21"/>
    </row>
    <row r="1246" spans="3:4" x14ac:dyDescent="0.3">
      <c r="C1246" s="21"/>
      <c r="D1246" s="21"/>
    </row>
    <row r="1247" spans="3:4" x14ac:dyDescent="0.3">
      <c r="C1247" s="21"/>
      <c r="D1247" s="21"/>
    </row>
    <row r="1248" spans="3:4" x14ac:dyDescent="0.3">
      <c r="C1248" s="21"/>
      <c r="D1248" s="21"/>
    </row>
    <row r="1249" spans="3:4" x14ac:dyDescent="0.3">
      <c r="C1249" s="21"/>
      <c r="D1249" s="21"/>
    </row>
    <row r="1250" spans="3:4" x14ac:dyDescent="0.3">
      <c r="C1250" s="21"/>
      <c r="D1250" s="21"/>
    </row>
    <row r="1251" spans="3:4" x14ac:dyDescent="0.3">
      <c r="C1251" s="21"/>
      <c r="D1251" s="21"/>
    </row>
    <row r="1252" spans="3:4" x14ac:dyDescent="0.3">
      <c r="C1252" s="21"/>
      <c r="D1252" s="21"/>
    </row>
    <row r="1253" spans="3:4" x14ac:dyDescent="0.3">
      <c r="C1253" s="21"/>
      <c r="D1253" s="21"/>
    </row>
    <row r="1254" spans="3:4" x14ac:dyDescent="0.3">
      <c r="C1254" s="21"/>
      <c r="D1254" s="21"/>
    </row>
    <row r="1255" spans="3:4" x14ac:dyDescent="0.3">
      <c r="C1255" s="21"/>
      <c r="D1255" s="21"/>
    </row>
    <row r="1256" spans="3:4" x14ac:dyDescent="0.3">
      <c r="C1256" s="21"/>
      <c r="D1256" s="21"/>
    </row>
    <row r="1257" spans="3:4" x14ac:dyDescent="0.3">
      <c r="C1257" s="21"/>
      <c r="D1257" s="21"/>
    </row>
    <row r="1258" spans="3:4" x14ac:dyDescent="0.3">
      <c r="C1258" s="21"/>
      <c r="D1258" s="21"/>
    </row>
    <row r="1259" spans="3:4" x14ac:dyDescent="0.3">
      <c r="C1259" s="21"/>
      <c r="D1259" s="21"/>
    </row>
    <row r="1260" spans="3:4" x14ac:dyDescent="0.3">
      <c r="C1260" s="21"/>
      <c r="D1260" s="21"/>
    </row>
    <row r="1261" spans="3:4" x14ac:dyDescent="0.3">
      <c r="C1261" s="21"/>
      <c r="D1261" s="21"/>
    </row>
    <row r="1262" spans="3:4" x14ac:dyDescent="0.3">
      <c r="C1262" s="21"/>
      <c r="D1262" s="21"/>
    </row>
    <row r="1263" spans="3:4" x14ac:dyDescent="0.3">
      <c r="C1263" s="21"/>
      <c r="D1263" s="21"/>
    </row>
    <row r="1264" spans="3:4" x14ac:dyDescent="0.3">
      <c r="C1264" s="21"/>
      <c r="D1264" s="21"/>
    </row>
    <row r="1265" spans="3:4" x14ac:dyDescent="0.3">
      <c r="C1265" s="21"/>
      <c r="D1265" s="21"/>
    </row>
    <row r="1266" spans="3:4" x14ac:dyDescent="0.3">
      <c r="C1266" s="21"/>
      <c r="D1266" s="21"/>
    </row>
    <row r="1267" spans="3:4" x14ac:dyDescent="0.3">
      <c r="C1267" s="21"/>
      <c r="D1267" s="21"/>
    </row>
    <row r="1268" spans="3:4" x14ac:dyDescent="0.3">
      <c r="C1268" s="21"/>
      <c r="D1268" s="21"/>
    </row>
    <row r="1269" spans="3:4" x14ac:dyDescent="0.3">
      <c r="C1269" s="21"/>
      <c r="D1269" s="21"/>
    </row>
    <row r="1270" spans="3:4" x14ac:dyDescent="0.3">
      <c r="C1270" s="21"/>
      <c r="D1270" s="21"/>
    </row>
    <row r="1271" spans="3:4" x14ac:dyDescent="0.3">
      <c r="C1271" s="21"/>
      <c r="D1271" s="21"/>
    </row>
    <row r="1272" spans="3:4" x14ac:dyDescent="0.3">
      <c r="C1272" s="21"/>
      <c r="D1272" s="21"/>
    </row>
    <row r="1273" spans="3:4" x14ac:dyDescent="0.3">
      <c r="C1273" s="21"/>
      <c r="D1273" s="21"/>
    </row>
    <row r="1274" spans="3:4" x14ac:dyDescent="0.3">
      <c r="C1274" s="21"/>
      <c r="D1274" s="21"/>
    </row>
    <row r="1275" spans="3:4" x14ac:dyDescent="0.3">
      <c r="C1275" s="21"/>
      <c r="D1275" s="21"/>
    </row>
    <row r="1276" spans="3:4" x14ac:dyDescent="0.3">
      <c r="C1276" s="21"/>
      <c r="D1276" s="21"/>
    </row>
    <row r="1277" spans="3:4" x14ac:dyDescent="0.3">
      <c r="C1277" s="21"/>
      <c r="D1277" s="21"/>
    </row>
    <row r="1278" spans="3:4" x14ac:dyDescent="0.3">
      <c r="C1278" s="21"/>
      <c r="D1278" s="21"/>
    </row>
    <row r="1279" spans="3:4" x14ac:dyDescent="0.3">
      <c r="C1279" s="21"/>
      <c r="D1279" s="21"/>
    </row>
    <row r="1280" spans="3:4" x14ac:dyDescent="0.3">
      <c r="C1280" s="21"/>
      <c r="D1280" s="21"/>
    </row>
    <row r="1281" spans="3:4" x14ac:dyDescent="0.3">
      <c r="C1281" s="21"/>
      <c r="D1281" s="21"/>
    </row>
    <row r="1282" spans="3:4" x14ac:dyDescent="0.3">
      <c r="C1282" s="21"/>
      <c r="D1282" s="21"/>
    </row>
    <row r="1283" spans="3:4" x14ac:dyDescent="0.3">
      <c r="C1283" s="21"/>
      <c r="D1283" s="21"/>
    </row>
    <row r="1284" spans="3:4" x14ac:dyDescent="0.3">
      <c r="C1284" s="21"/>
      <c r="D1284" s="21"/>
    </row>
    <row r="1285" spans="3:4" x14ac:dyDescent="0.3">
      <c r="C1285" s="21"/>
      <c r="D1285" s="21"/>
    </row>
    <row r="1286" spans="3:4" x14ac:dyDescent="0.3">
      <c r="C1286" s="21"/>
      <c r="D1286" s="21"/>
    </row>
    <row r="1287" spans="3:4" x14ac:dyDescent="0.3">
      <c r="C1287" s="21"/>
      <c r="D1287" s="21"/>
    </row>
    <row r="1288" spans="3:4" x14ac:dyDescent="0.3">
      <c r="C1288" s="21"/>
      <c r="D1288" s="21"/>
    </row>
    <row r="1289" spans="3:4" x14ac:dyDescent="0.3">
      <c r="C1289" s="21"/>
      <c r="D1289" s="21"/>
    </row>
    <row r="1290" spans="3:4" x14ac:dyDescent="0.3">
      <c r="C1290" s="21"/>
      <c r="D1290" s="21"/>
    </row>
    <row r="1291" spans="3:4" x14ac:dyDescent="0.3">
      <c r="C1291" s="21"/>
      <c r="D1291" s="21"/>
    </row>
    <row r="1292" spans="3:4" x14ac:dyDescent="0.3">
      <c r="C1292" s="21"/>
      <c r="D1292" s="21"/>
    </row>
    <row r="1293" spans="3:4" x14ac:dyDescent="0.3">
      <c r="C1293" s="21"/>
      <c r="D1293" s="21"/>
    </row>
    <row r="1294" spans="3:4" x14ac:dyDescent="0.3">
      <c r="C1294" s="21"/>
      <c r="D1294" s="21"/>
    </row>
    <row r="1295" spans="3:4" x14ac:dyDescent="0.3">
      <c r="C1295" s="21"/>
      <c r="D1295" s="21"/>
    </row>
    <row r="1296" spans="3:4" x14ac:dyDescent="0.3">
      <c r="C1296" s="21"/>
      <c r="D1296" s="21"/>
    </row>
    <row r="1297" spans="3:4" x14ac:dyDescent="0.3">
      <c r="C1297" s="21"/>
      <c r="D1297" s="21"/>
    </row>
    <row r="1298" spans="3:4" x14ac:dyDescent="0.3">
      <c r="C1298" s="21"/>
      <c r="D1298" s="21"/>
    </row>
    <row r="1299" spans="3:4" x14ac:dyDescent="0.3">
      <c r="C1299" s="21"/>
      <c r="D1299" s="21"/>
    </row>
    <row r="1300" spans="3:4" x14ac:dyDescent="0.3">
      <c r="C1300" s="21"/>
      <c r="D1300" s="21"/>
    </row>
    <row r="1301" spans="3:4" x14ac:dyDescent="0.3">
      <c r="C1301" s="21"/>
      <c r="D1301" s="21"/>
    </row>
    <row r="1302" spans="3:4" x14ac:dyDescent="0.3">
      <c r="C1302" s="21"/>
      <c r="D1302" s="21"/>
    </row>
    <row r="1303" spans="3:4" x14ac:dyDescent="0.3">
      <c r="C1303" s="21"/>
      <c r="D1303" s="21"/>
    </row>
    <row r="1304" spans="3:4" x14ac:dyDescent="0.3">
      <c r="C1304" s="21"/>
      <c r="D1304" s="21"/>
    </row>
    <row r="1305" spans="3:4" x14ac:dyDescent="0.3">
      <c r="C1305" s="21"/>
      <c r="D1305" s="21"/>
    </row>
    <row r="1306" spans="3:4" x14ac:dyDescent="0.3">
      <c r="C1306" s="21"/>
      <c r="D1306" s="21"/>
    </row>
    <row r="1307" spans="3:4" x14ac:dyDescent="0.3">
      <c r="C1307" s="21"/>
      <c r="D1307" s="21"/>
    </row>
    <row r="1308" spans="3:4" x14ac:dyDescent="0.3">
      <c r="C1308" s="21"/>
      <c r="D1308" s="21"/>
    </row>
    <row r="1309" spans="3:4" x14ac:dyDescent="0.3">
      <c r="C1309" s="21"/>
      <c r="D1309" s="21"/>
    </row>
    <row r="1310" spans="3:4" x14ac:dyDescent="0.3">
      <c r="C1310" s="21"/>
      <c r="D1310" s="21"/>
    </row>
    <row r="1311" spans="3:4" x14ac:dyDescent="0.3">
      <c r="C1311" s="21"/>
      <c r="D1311" s="21"/>
    </row>
    <row r="1312" spans="3:4" x14ac:dyDescent="0.3">
      <c r="C1312" s="21"/>
      <c r="D1312" s="21"/>
    </row>
    <row r="1313" spans="3:4" x14ac:dyDescent="0.3">
      <c r="C1313" s="21"/>
      <c r="D1313" s="21"/>
    </row>
    <row r="1314" spans="3:4" x14ac:dyDescent="0.3">
      <c r="C1314" s="21"/>
      <c r="D1314" s="21"/>
    </row>
    <row r="1315" spans="3:4" x14ac:dyDescent="0.3">
      <c r="C1315" s="21"/>
      <c r="D1315" s="21"/>
    </row>
    <row r="1316" spans="3:4" x14ac:dyDescent="0.3">
      <c r="C1316" s="21"/>
      <c r="D1316" s="21"/>
    </row>
    <row r="1317" spans="3:4" x14ac:dyDescent="0.3">
      <c r="C1317" s="21"/>
      <c r="D1317" s="21"/>
    </row>
    <row r="1318" spans="3:4" x14ac:dyDescent="0.3">
      <c r="C1318" s="21"/>
      <c r="D1318" s="21"/>
    </row>
    <row r="1319" spans="3:4" x14ac:dyDescent="0.3">
      <c r="C1319" s="21"/>
      <c r="D1319" s="21"/>
    </row>
    <row r="1320" spans="3:4" x14ac:dyDescent="0.3">
      <c r="C1320" s="21"/>
      <c r="D1320" s="21"/>
    </row>
    <row r="1321" spans="3:4" x14ac:dyDescent="0.3">
      <c r="C1321" s="21"/>
      <c r="D1321" s="21"/>
    </row>
    <row r="1322" spans="3:4" x14ac:dyDescent="0.3">
      <c r="C1322" s="21"/>
      <c r="D1322" s="21"/>
    </row>
    <row r="1323" spans="3:4" x14ac:dyDescent="0.3">
      <c r="C1323" s="21"/>
      <c r="D1323" s="21"/>
    </row>
    <row r="1324" spans="3:4" x14ac:dyDescent="0.3">
      <c r="C1324" s="21"/>
      <c r="D1324" s="21"/>
    </row>
    <row r="1325" spans="3:4" x14ac:dyDescent="0.3">
      <c r="C1325" s="21"/>
      <c r="D1325" s="21"/>
    </row>
    <row r="1326" spans="3:4" x14ac:dyDescent="0.3">
      <c r="C1326" s="21"/>
      <c r="D1326" s="21"/>
    </row>
    <row r="1327" spans="3:4" x14ac:dyDescent="0.3">
      <c r="C1327" s="21"/>
      <c r="D1327" s="21"/>
    </row>
    <row r="1328" spans="3:4" x14ac:dyDescent="0.3">
      <c r="C1328" s="21"/>
      <c r="D1328" s="21"/>
    </row>
    <row r="1329" spans="3:4" x14ac:dyDescent="0.3">
      <c r="C1329" s="21"/>
      <c r="D1329" s="21"/>
    </row>
    <row r="1330" spans="3:4" x14ac:dyDescent="0.3">
      <c r="C1330" s="21"/>
      <c r="D1330" s="21"/>
    </row>
    <row r="1331" spans="3:4" x14ac:dyDescent="0.3">
      <c r="C1331" s="21"/>
      <c r="D1331" s="21"/>
    </row>
    <row r="1332" spans="3:4" x14ac:dyDescent="0.3">
      <c r="C1332" s="21"/>
      <c r="D1332" s="21"/>
    </row>
    <row r="1333" spans="3:4" x14ac:dyDescent="0.3">
      <c r="C1333" s="21"/>
      <c r="D1333" s="21"/>
    </row>
    <row r="1334" spans="3:4" x14ac:dyDescent="0.3">
      <c r="C1334" s="21"/>
      <c r="D1334" s="21"/>
    </row>
    <row r="1335" spans="3:4" x14ac:dyDescent="0.3">
      <c r="C1335" s="21"/>
      <c r="D1335" s="21"/>
    </row>
    <row r="1336" spans="3:4" x14ac:dyDescent="0.3">
      <c r="C1336" s="21"/>
      <c r="D1336" s="21"/>
    </row>
    <row r="1337" spans="3:4" x14ac:dyDescent="0.3">
      <c r="C1337" s="21"/>
      <c r="D1337" s="21"/>
    </row>
    <row r="1338" spans="3:4" x14ac:dyDescent="0.3">
      <c r="C1338" s="21"/>
      <c r="D1338" s="21"/>
    </row>
    <row r="1339" spans="3:4" x14ac:dyDescent="0.3">
      <c r="C1339" s="21"/>
      <c r="D1339" s="21"/>
    </row>
    <row r="1340" spans="3:4" x14ac:dyDescent="0.3">
      <c r="C1340" s="21"/>
      <c r="D1340" s="21"/>
    </row>
    <row r="1341" spans="3:4" x14ac:dyDescent="0.3">
      <c r="C1341" s="21"/>
      <c r="D1341" s="21"/>
    </row>
    <row r="1342" spans="3:4" x14ac:dyDescent="0.3">
      <c r="C1342" s="21"/>
      <c r="D1342" s="21"/>
    </row>
    <row r="1343" spans="3:4" x14ac:dyDescent="0.3">
      <c r="C1343" s="21"/>
      <c r="D1343" s="21"/>
    </row>
    <row r="1344" spans="3:4" x14ac:dyDescent="0.3">
      <c r="C1344" s="21"/>
      <c r="D1344" s="21"/>
    </row>
    <row r="1345" spans="3:4" x14ac:dyDescent="0.3">
      <c r="C1345" s="21"/>
      <c r="D1345" s="21"/>
    </row>
    <row r="1346" spans="3:4" x14ac:dyDescent="0.3">
      <c r="C1346" s="21"/>
      <c r="D1346" s="21"/>
    </row>
    <row r="1347" spans="3:4" x14ac:dyDescent="0.3">
      <c r="C1347" s="21"/>
      <c r="D1347" s="21"/>
    </row>
    <row r="1348" spans="3:4" x14ac:dyDescent="0.3">
      <c r="C1348" s="21"/>
      <c r="D1348" s="21"/>
    </row>
    <row r="1349" spans="3:4" x14ac:dyDescent="0.3">
      <c r="C1349" s="21"/>
      <c r="D1349" s="21"/>
    </row>
    <row r="1350" spans="3:4" x14ac:dyDescent="0.3">
      <c r="C1350" s="21"/>
      <c r="D1350" s="21"/>
    </row>
    <row r="1351" spans="3:4" x14ac:dyDescent="0.3">
      <c r="C1351" s="21"/>
      <c r="D1351" s="21"/>
    </row>
    <row r="1352" spans="3:4" x14ac:dyDescent="0.3">
      <c r="C1352" s="21"/>
      <c r="D1352" s="21"/>
    </row>
    <row r="1353" spans="3:4" x14ac:dyDescent="0.3">
      <c r="C1353" s="21"/>
      <c r="D1353" s="21"/>
    </row>
    <row r="1354" spans="3:4" x14ac:dyDescent="0.3">
      <c r="C1354" s="21"/>
      <c r="D1354" s="21"/>
    </row>
    <row r="1355" spans="3:4" x14ac:dyDescent="0.3">
      <c r="C1355" s="21"/>
      <c r="D1355" s="21"/>
    </row>
    <row r="1356" spans="3:4" x14ac:dyDescent="0.3">
      <c r="C1356" s="21"/>
      <c r="D1356" s="21"/>
    </row>
    <row r="1357" spans="3:4" x14ac:dyDescent="0.3">
      <c r="C1357" s="21"/>
      <c r="D1357" s="21"/>
    </row>
    <row r="1358" spans="3:4" x14ac:dyDescent="0.3">
      <c r="C1358" s="21"/>
      <c r="D1358" s="21"/>
    </row>
    <row r="1359" spans="3:4" x14ac:dyDescent="0.3">
      <c r="C1359" s="21"/>
      <c r="D1359" s="21"/>
    </row>
    <row r="1360" spans="3:4" x14ac:dyDescent="0.3">
      <c r="C1360" s="21"/>
      <c r="D1360" s="21"/>
    </row>
    <row r="1361" spans="3:4" x14ac:dyDescent="0.3">
      <c r="C1361" s="21"/>
      <c r="D1361" s="21"/>
    </row>
    <row r="1362" spans="3:4" x14ac:dyDescent="0.3">
      <c r="C1362" s="21"/>
      <c r="D1362" s="21"/>
    </row>
    <row r="1363" spans="3:4" x14ac:dyDescent="0.3">
      <c r="C1363" s="21"/>
      <c r="D1363" s="21"/>
    </row>
    <row r="1364" spans="3:4" x14ac:dyDescent="0.3">
      <c r="C1364" s="21"/>
      <c r="D1364" s="21"/>
    </row>
    <row r="1365" spans="3:4" x14ac:dyDescent="0.3">
      <c r="C1365" s="21"/>
      <c r="D1365" s="21"/>
    </row>
    <row r="1366" spans="3:4" x14ac:dyDescent="0.3">
      <c r="C1366" s="21"/>
      <c r="D1366" s="21"/>
    </row>
    <row r="1367" spans="3:4" x14ac:dyDescent="0.3">
      <c r="C1367" s="21"/>
      <c r="D1367" s="21"/>
    </row>
    <row r="1368" spans="3:4" x14ac:dyDescent="0.3">
      <c r="C1368" s="21"/>
      <c r="D1368" s="21"/>
    </row>
    <row r="1369" spans="3:4" x14ac:dyDescent="0.3">
      <c r="C1369" s="21"/>
      <c r="D1369" s="21"/>
    </row>
    <row r="1370" spans="3:4" x14ac:dyDescent="0.3">
      <c r="C1370" s="21"/>
      <c r="D1370" s="21"/>
    </row>
    <row r="1371" spans="3:4" x14ac:dyDescent="0.3">
      <c r="C1371" s="21"/>
      <c r="D1371" s="21"/>
    </row>
    <row r="1372" spans="3:4" x14ac:dyDescent="0.3">
      <c r="C1372" s="21"/>
      <c r="D1372" s="21"/>
    </row>
    <row r="1373" spans="3:4" x14ac:dyDescent="0.3">
      <c r="C1373" s="21"/>
      <c r="D1373" s="21"/>
    </row>
    <row r="1374" spans="3:4" x14ac:dyDescent="0.3">
      <c r="C1374" s="21"/>
      <c r="D1374" s="21"/>
    </row>
    <row r="1375" spans="3:4" x14ac:dyDescent="0.3">
      <c r="C1375" s="21"/>
      <c r="D1375" s="21"/>
    </row>
    <row r="1376" spans="3:4" x14ac:dyDescent="0.3">
      <c r="C1376" s="21"/>
      <c r="D1376" s="21"/>
    </row>
    <row r="1377" spans="3:4" x14ac:dyDescent="0.3">
      <c r="C1377" s="21"/>
      <c r="D1377" s="21"/>
    </row>
    <row r="1378" spans="3:4" x14ac:dyDescent="0.3">
      <c r="C1378" s="21"/>
      <c r="D1378" s="21"/>
    </row>
    <row r="1379" spans="3:4" x14ac:dyDescent="0.3">
      <c r="C1379" s="21"/>
      <c r="D1379" s="21"/>
    </row>
    <row r="1380" spans="3:4" x14ac:dyDescent="0.3">
      <c r="C1380" s="21"/>
      <c r="D1380" s="21"/>
    </row>
    <row r="1381" spans="3:4" x14ac:dyDescent="0.3">
      <c r="C1381" s="21"/>
      <c r="D1381" s="21"/>
    </row>
    <row r="1382" spans="3:4" x14ac:dyDescent="0.3">
      <c r="C1382" s="21"/>
      <c r="D1382" s="21"/>
    </row>
    <row r="1383" spans="3:4" x14ac:dyDescent="0.3">
      <c r="C1383" s="21"/>
      <c r="D1383" s="21"/>
    </row>
    <row r="1384" spans="3:4" x14ac:dyDescent="0.3">
      <c r="C1384" s="21"/>
      <c r="D1384" s="21"/>
    </row>
    <row r="1385" spans="3:4" x14ac:dyDescent="0.3">
      <c r="C1385" s="21"/>
      <c r="D1385" s="21"/>
    </row>
    <row r="1386" spans="3:4" x14ac:dyDescent="0.3">
      <c r="C1386" s="21"/>
      <c r="D1386" s="21"/>
    </row>
    <row r="1387" spans="3:4" x14ac:dyDescent="0.3">
      <c r="C1387" s="21"/>
      <c r="D1387" s="21"/>
    </row>
    <row r="1388" spans="3:4" x14ac:dyDescent="0.3">
      <c r="C1388" s="21"/>
      <c r="D1388" s="21"/>
    </row>
    <row r="1389" spans="3:4" x14ac:dyDescent="0.3">
      <c r="C1389" s="21"/>
      <c r="D1389" s="21"/>
    </row>
    <row r="1390" spans="3:4" x14ac:dyDescent="0.3">
      <c r="C1390" s="21"/>
      <c r="D1390" s="21"/>
    </row>
    <row r="1391" spans="3:4" x14ac:dyDescent="0.3">
      <c r="C1391" s="21"/>
      <c r="D1391" s="21"/>
    </row>
    <row r="1392" spans="3:4" x14ac:dyDescent="0.3">
      <c r="C1392" s="21"/>
      <c r="D1392" s="21"/>
    </row>
    <row r="1393" spans="3:4" x14ac:dyDescent="0.3">
      <c r="C1393" s="21"/>
      <c r="D1393" s="21"/>
    </row>
    <row r="1394" spans="3:4" x14ac:dyDescent="0.3">
      <c r="C1394" s="21"/>
      <c r="D1394" s="21"/>
    </row>
    <row r="1395" spans="3:4" x14ac:dyDescent="0.3">
      <c r="C1395" s="21"/>
      <c r="D1395" s="21"/>
    </row>
    <row r="1396" spans="3:4" x14ac:dyDescent="0.3">
      <c r="C1396" s="21"/>
      <c r="D1396" s="21"/>
    </row>
    <row r="1397" spans="3:4" x14ac:dyDescent="0.3">
      <c r="C1397" s="21"/>
      <c r="D1397" s="21"/>
    </row>
    <row r="1398" spans="3:4" x14ac:dyDescent="0.3">
      <c r="C1398" s="21"/>
      <c r="D1398" s="21"/>
    </row>
    <row r="1399" spans="3:4" x14ac:dyDescent="0.3">
      <c r="C1399" s="21"/>
      <c r="D1399" s="21"/>
    </row>
    <row r="1400" spans="3:4" x14ac:dyDescent="0.3">
      <c r="C1400" s="21"/>
      <c r="D1400" s="21"/>
    </row>
    <row r="1401" spans="3:4" x14ac:dyDescent="0.3">
      <c r="C1401" s="21"/>
      <c r="D1401" s="21"/>
    </row>
    <row r="1402" spans="3:4" x14ac:dyDescent="0.3">
      <c r="C1402" s="21"/>
      <c r="D1402" s="21"/>
    </row>
    <row r="1403" spans="3:4" x14ac:dyDescent="0.3">
      <c r="C1403" s="21"/>
      <c r="D1403" s="21"/>
    </row>
    <row r="1404" spans="3:4" x14ac:dyDescent="0.3">
      <c r="C1404" s="21"/>
      <c r="D1404" s="21"/>
    </row>
    <row r="1405" spans="3:4" x14ac:dyDescent="0.3">
      <c r="C1405" s="21"/>
      <c r="D1405" s="21"/>
    </row>
    <row r="1406" spans="3:4" x14ac:dyDescent="0.3">
      <c r="C1406" s="21"/>
      <c r="D1406" s="21"/>
    </row>
    <row r="1407" spans="3:4" x14ac:dyDescent="0.3">
      <c r="C1407" s="21"/>
      <c r="D1407" s="21"/>
    </row>
    <row r="1408" spans="3:4" x14ac:dyDescent="0.3">
      <c r="C1408" s="21"/>
      <c r="D1408" s="21"/>
    </row>
    <row r="1409" spans="3:4" x14ac:dyDescent="0.3">
      <c r="C1409" s="21"/>
      <c r="D1409" s="21"/>
    </row>
    <row r="1410" spans="3:4" x14ac:dyDescent="0.3">
      <c r="C1410" s="21"/>
      <c r="D1410" s="21"/>
    </row>
    <row r="1411" spans="3:4" x14ac:dyDescent="0.3">
      <c r="C1411" s="21"/>
      <c r="D1411" s="21"/>
    </row>
    <row r="1412" spans="3:4" x14ac:dyDescent="0.3">
      <c r="C1412" s="21"/>
      <c r="D1412" s="21"/>
    </row>
    <row r="1413" spans="3:4" x14ac:dyDescent="0.3">
      <c r="C1413" s="21"/>
      <c r="D1413" s="21"/>
    </row>
    <row r="1414" spans="3:4" x14ac:dyDescent="0.3">
      <c r="C1414" s="21"/>
      <c r="D1414" s="21"/>
    </row>
    <row r="1415" spans="3:4" x14ac:dyDescent="0.3">
      <c r="C1415" s="21"/>
      <c r="D1415" s="21"/>
    </row>
    <row r="1416" spans="3:4" x14ac:dyDescent="0.3">
      <c r="C1416" s="21"/>
      <c r="D1416" s="21"/>
    </row>
    <row r="1417" spans="3:4" x14ac:dyDescent="0.3">
      <c r="C1417" s="21"/>
      <c r="D1417" s="21"/>
    </row>
    <row r="1418" spans="3:4" x14ac:dyDescent="0.3">
      <c r="C1418" s="21"/>
      <c r="D1418" s="21"/>
    </row>
    <row r="1419" spans="3:4" x14ac:dyDescent="0.3">
      <c r="C1419" s="21"/>
      <c r="D1419" s="21"/>
    </row>
    <row r="1420" spans="3:4" x14ac:dyDescent="0.3">
      <c r="C1420" s="21"/>
      <c r="D1420" s="21"/>
    </row>
    <row r="1421" spans="3:4" x14ac:dyDescent="0.3">
      <c r="C1421" s="21"/>
      <c r="D1421" s="21"/>
    </row>
    <row r="1422" spans="3:4" x14ac:dyDescent="0.3">
      <c r="C1422" s="21"/>
      <c r="D1422" s="21"/>
    </row>
    <row r="1423" spans="3:4" x14ac:dyDescent="0.3">
      <c r="C1423" s="21"/>
      <c r="D1423" s="21"/>
    </row>
    <row r="1424" spans="3:4" x14ac:dyDescent="0.3">
      <c r="C1424" s="21"/>
      <c r="D1424" s="21"/>
    </row>
    <row r="1425" spans="3:4" x14ac:dyDescent="0.3">
      <c r="C1425" s="21"/>
      <c r="D1425" s="21"/>
    </row>
    <row r="1426" spans="3:4" x14ac:dyDescent="0.3">
      <c r="C1426" s="21"/>
      <c r="D1426" s="21"/>
    </row>
    <row r="1427" spans="3:4" x14ac:dyDescent="0.3">
      <c r="C1427" s="21"/>
      <c r="D1427" s="21"/>
    </row>
    <row r="1428" spans="3:4" x14ac:dyDescent="0.3">
      <c r="C1428" s="21"/>
      <c r="D1428" s="21"/>
    </row>
    <row r="1429" spans="3:4" x14ac:dyDescent="0.3">
      <c r="C1429" s="21"/>
      <c r="D1429" s="21"/>
    </row>
    <row r="1430" spans="3:4" x14ac:dyDescent="0.3">
      <c r="C1430" s="21"/>
      <c r="D1430" s="21"/>
    </row>
    <row r="1431" spans="3:4" x14ac:dyDescent="0.3">
      <c r="C1431" s="21"/>
      <c r="D1431" s="21"/>
    </row>
    <row r="1432" spans="3:4" x14ac:dyDescent="0.3">
      <c r="C1432" s="21"/>
      <c r="D1432" s="21"/>
    </row>
    <row r="1433" spans="3:4" x14ac:dyDescent="0.3">
      <c r="C1433" s="21"/>
      <c r="D1433" s="21"/>
    </row>
    <row r="1434" spans="3:4" x14ac:dyDescent="0.3">
      <c r="C1434" s="21"/>
      <c r="D1434" s="21"/>
    </row>
    <row r="1435" spans="3:4" x14ac:dyDescent="0.3">
      <c r="C1435" s="21"/>
      <c r="D1435" s="21"/>
    </row>
    <row r="1436" spans="3:4" x14ac:dyDescent="0.3">
      <c r="C1436" s="21"/>
      <c r="D1436" s="21"/>
    </row>
    <row r="1437" spans="3:4" x14ac:dyDescent="0.3">
      <c r="C1437" s="21"/>
      <c r="D1437" s="21"/>
    </row>
    <row r="1438" spans="3:4" x14ac:dyDescent="0.3">
      <c r="C1438" s="21"/>
      <c r="D1438" s="21"/>
    </row>
    <row r="1439" spans="3:4" x14ac:dyDescent="0.3">
      <c r="C1439" s="21"/>
      <c r="D1439" s="21"/>
    </row>
    <row r="1440" spans="3:4" x14ac:dyDescent="0.3">
      <c r="C1440" s="21"/>
      <c r="D1440" s="21"/>
    </row>
    <row r="1441" spans="3:4" x14ac:dyDescent="0.3">
      <c r="C1441" s="21"/>
      <c r="D1441" s="21"/>
    </row>
    <row r="1442" spans="3:4" x14ac:dyDescent="0.3">
      <c r="C1442" s="21"/>
      <c r="D1442" s="21"/>
    </row>
    <row r="1443" spans="3:4" x14ac:dyDescent="0.3">
      <c r="C1443" s="21"/>
      <c r="D1443" s="21"/>
    </row>
    <row r="1444" spans="3:4" x14ac:dyDescent="0.3">
      <c r="C1444" s="21"/>
      <c r="D1444" s="21"/>
    </row>
    <row r="1445" spans="3:4" x14ac:dyDescent="0.3">
      <c r="C1445" s="21"/>
      <c r="D1445" s="21"/>
    </row>
    <row r="1446" spans="3:4" x14ac:dyDescent="0.3">
      <c r="C1446" s="21"/>
      <c r="D1446" s="21"/>
    </row>
    <row r="1447" spans="3:4" x14ac:dyDescent="0.3">
      <c r="C1447" s="21"/>
      <c r="D1447" s="21"/>
    </row>
    <row r="1448" spans="3:4" x14ac:dyDescent="0.3">
      <c r="C1448" s="21"/>
      <c r="D1448" s="21"/>
    </row>
    <row r="1449" spans="3:4" x14ac:dyDescent="0.3">
      <c r="C1449" s="21"/>
      <c r="D1449" s="21"/>
    </row>
    <row r="1450" spans="3:4" x14ac:dyDescent="0.3">
      <c r="C1450" s="21"/>
      <c r="D1450" s="21"/>
    </row>
    <row r="1451" spans="3:4" x14ac:dyDescent="0.3">
      <c r="C1451" s="21"/>
      <c r="D1451" s="21"/>
    </row>
    <row r="1452" spans="3:4" x14ac:dyDescent="0.3">
      <c r="C1452" s="21"/>
      <c r="D1452" s="21"/>
    </row>
    <row r="1453" spans="3:4" x14ac:dyDescent="0.3">
      <c r="C1453" s="21"/>
      <c r="D1453" s="21"/>
    </row>
    <row r="1454" spans="3:4" x14ac:dyDescent="0.3">
      <c r="C1454" s="21"/>
      <c r="D1454" s="21"/>
    </row>
    <row r="1455" spans="3:4" x14ac:dyDescent="0.3">
      <c r="C1455" s="21"/>
      <c r="D1455" s="21"/>
    </row>
    <row r="1456" spans="3:4" x14ac:dyDescent="0.3">
      <c r="C1456" s="21"/>
      <c r="D1456" s="21"/>
    </row>
    <row r="1457" spans="3:4" x14ac:dyDescent="0.3">
      <c r="C1457" s="21"/>
      <c r="D1457" s="21"/>
    </row>
    <row r="1458" spans="3:4" x14ac:dyDescent="0.3">
      <c r="C1458" s="21"/>
      <c r="D1458" s="21"/>
    </row>
    <row r="1459" spans="3:4" x14ac:dyDescent="0.3">
      <c r="C1459" s="21"/>
      <c r="D1459" s="21"/>
    </row>
    <row r="1460" spans="3:4" x14ac:dyDescent="0.3">
      <c r="C1460" s="21"/>
      <c r="D1460" s="21"/>
    </row>
    <row r="1461" spans="3:4" x14ac:dyDescent="0.3">
      <c r="C1461" s="21"/>
      <c r="D1461" s="21"/>
    </row>
    <row r="1462" spans="3:4" x14ac:dyDescent="0.3">
      <c r="C1462" s="21"/>
      <c r="D1462" s="21"/>
    </row>
    <row r="1463" spans="3:4" x14ac:dyDescent="0.3">
      <c r="C1463" s="21"/>
      <c r="D1463" s="21"/>
    </row>
    <row r="1464" spans="3:4" x14ac:dyDescent="0.3">
      <c r="C1464" s="21"/>
      <c r="D1464" s="21"/>
    </row>
    <row r="1465" spans="3:4" x14ac:dyDescent="0.3">
      <c r="C1465" s="21"/>
      <c r="D1465" s="21"/>
    </row>
    <row r="1466" spans="3:4" x14ac:dyDescent="0.3">
      <c r="C1466" s="21"/>
      <c r="D1466" s="21"/>
    </row>
    <row r="1467" spans="3:4" x14ac:dyDescent="0.3">
      <c r="C1467" s="21"/>
      <c r="D1467" s="21"/>
    </row>
    <row r="1468" spans="3:4" x14ac:dyDescent="0.3">
      <c r="C1468" s="21"/>
      <c r="D1468" s="21"/>
    </row>
    <row r="1469" spans="3:4" x14ac:dyDescent="0.3">
      <c r="C1469" s="21"/>
      <c r="D1469" s="21"/>
    </row>
    <row r="1470" spans="3:4" x14ac:dyDescent="0.3">
      <c r="C1470" s="21"/>
      <c r="D1470" s="21"/>
    </row>
    <row r="1471" spans="3:4" x14ac:dyDescent="0.3">
      <c r="C1471" s="21"/>
      <c r="D1471" s="21"/>
    </row>
    <row r="1472" spans="3:4" x14ac:dyDescent="0.3">
      <c r="C1472" s="21"/>
      <c r="D1472" s="21"/>
    </row>
    <row r="1473" spans="3:4" x14ac:dyDescent="0.3">
      <c r="C1473" s="21"/>
      <c r="D1473" s="21"/>
    </row>
    <row r="1474" spans="3:4" x14ac:dyDescent="0.3">
      <c r="C1474" s="21"/>
      <c r="D1474" s="21"/>
    </row>
    <row r="1475" spans="3:4" x14ac:dyDescent="0.3">
      <c r="C1475" s="21"/>
      <c r="D1475" s="21"/>
    </row>
    <row r="1476" spans="3:4" x14ac:dyDescent="0.3">
      <c r="C1476" s="21"/>
      <c r="D1476" s="21"/>
    </row>
    <row r="1477" spans="3:4" x14ac:dyDescent="0.3">
      <c r="C1477" s="21"/>
      <c r="D1477" s="21"/>
    </row>
    <row r="1478" spans="3:4" x14ac:dyDescent="0.3">
      <c r="C1478" s="21"/>
      <c r="D1478" s="21"/>
    </row>
    <row r="1479" spans="3:4" x14ac:dyDescent="0.3">
      <c r="C1479" s="21"/>
      <c r="D1479" s="21"/>
    </row>
    <row r="1480" spans="3:4" x14ac:dyDescent="0.3">
      <c r="C1480" s="21"/>
      <c r="D1480" s="21"/>
    </row>
    <row r="1481" spans="3:4" x14ac:dyDescent="0.3">
      <c r="C1481" s="21"/>
      <c r="D1481" s="21"/>
    </row>
    <row r="1482" spans="3:4" x14ac:dyDescent="0.3">
      <c r="C1482" s="21"/>
      <c r="D1482" s="21"/>
    </row>
    <row r="1483" spans="3:4" x14ac:dyDescent="0.3">
      <c r="C1483" s="21"/>
      <c r="D1483" s="21"/>
    </row>
    <row r="1484" spans="3:4" x14ac:dyDescent="0.3">
      <c r="C1484" s="21"/>
      <c r="D1484" s="21"/>
    </row>
    <row r="1485" spans="3:4" x14ac:dyDescent="0.3">
      <c r="C1485" s="21"/>
      <c r="D1485" s="21"/>
    </row>
    <row r="1486" spans="3:4" x14ac:dyDescent="0.3">
      <c r="C1486" s="21"/>
      <c r="D1486" s="21"/>
    </row>
    <row r="1487" spans="3:4" x14ac:dyDescent="0.3">
      <c r="C1487" s="21"/>
      <c r="D1487" s="21"/>
    </row>
    <row r="1488" spans="3:4" x14ac:dyDescent="0.3">
      <c r="C1488" s="21"/>
      <c r="D1488" s="21"/>
    </row>
    <row r="1489" spans="3:4" x14ac:dyDescent="0.3">
      <c r="C1489" s="21"/>
      <c r="D1489" s="21"/>
    </row>
    <row r="1490" spans="3:4" x14ac:dyDescent="0.3">
      <c r="C1490" s="21"/>
      <c r="D1490" s="21"/>
    </row>
    <row r="1491" spans="3:4" x14ac:dyDescent="0.3">
      <c r="C1491" s="21"/>
      <c r="D1491" s="21"/>
    </row>
    <row r="1492" spans="3:4" x14ac:dyDescent="0.3">
      <c r="C1492" s="21"/>
      <c r="D1492" s="21"/>
    </row>
    <row r="1493" spans="3:4" x14ac:dyDescent="0.3">
      <c r="C1493" s="21"/>
      <c r="D1493" s="21"/>
    </row>
    <row r="1494" spans="3:4" x14ac:dyDescent="0.3">
      <c r="C1494" s="21"/>
      <c r="D1494" s="21"/>
    </row>
    <row r="1495" spans="3:4" x14ac:dyDescent="0.3">
      <c r="C1495" s="21"/>
      <c r="D1495" s="21"/>
    </row>
    <row r="1496" spans="3:4" x14ac:dyDescent="0.3">
      <c r="C1496" s="21"/>
      <c r="D1496" s="21"/>
    </row>
    <row r="1497" spans="3:4" x14ac:dyDescent="0.3">
      <c r="C1497" s="21"/>
      <c r="D1497" s="21"/>
    </row>
    <row r="1498" spans="3:4" x14ac:dyDescent="0.3">
      <c r="C1498" s="21"/>
      <c r="D1498" s="21"/>
    </row>
    <row r="1499" spans="3:4" x14ac:dyDescent="0.3">
      <c r="C1499" s="21"/>
      <c r="D1499" s="21"/>
    </row>
    <row r="1500" spans="3:4" x14ac:dyDescent="0.3">
      <c r="C1500" s="21"/>
      <c r="D1500" s="21"/>
    </row>
    <row r="1501" spans="3:4" x14ac:dyDescent="0.3">
      <c r="C1501" s="21"/>
      <c r="D1501" s="21"/>
    </row>
    <row r="1502" spans="3:4" x14ac:dyDescent="0.3">
      <c r="C1502" s="21"/>
      <c r="D1502" s="21"/>
    </row>
    <row r="1503" spans="3:4" x14ac:dyDescent="0.3">
      <c r="C1503" s="21"/>
      <c r="D1503" s="21"/>
    </row>
    <row r="1504" spans="3:4" x14ac:dyDescent="0.3">
      <c r="C1504" s="21"/>
      <c r="D1504" s="21"/>
    </row>
    <row r="1505" spans="3:4" x14ac:dyDescent="0.3">
      <c r="C1505" s="21"/>
      <c r="D1505" s="21"/>
    </row>
    <row r="1506" spans="3:4" x14ac:dyDescent="0.3">
      <c r="C1506" s="21"/>
      <c r="D1506" s="21"/>
    </row>
  </sheetData>
  <sheetProtection formatCells="0" formatColumns="0" formatRows="0" insertColumns="0" insertRows="0" insertHyperlinks="0" deleteColumns="0" deleteRows="0" selectLockedCells="1" sort="0" autoFilter="0" pivotTables="0"/>
  <mergeCells count="5">
    <mergeCell ref="A1:B1"/>
    <mergeCell ref="E16:J16"/>
    <mergeCell ref="C30:D30"/>
    <mergeCell ref="X30:Z30"/>
    <mergeCell ref="M16:R1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LM-OSL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</dc:creator>
  <cp:lastModifiedBy>Paul</cp:lastModifiedBy>
  <dcterms:created xsi:type="dcterms:W3CDTF">2015-05-11T20:50:28Z</dcterms:created>
  <dcterms:modified xsi:type="dcterms:W3CDTF">2021-04-17T13:20:30Z</dcterms:modified>
</cp:coreProperties>
</file>