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gma\OneDrive\Υπολογιστής\Dosimetry\Deconovolution\Decay\"/>
    </mc:Choice>
  </mc:AlternateContent>
  <xr:revisionPtr revIDLastSave="0" documentId="13_ncr:1_{E1B30E40-7163-438C-9282-633F3784D189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sheet 1" sheetId="2" r:id="rId1"/>
  </sheets>
  <functionGroups builtInGroupCount="19"/>
  <definedNames>
    <definedName name="solver_adj" localSheetId="0" hidden="1">'sheet 1'!$C$21:$D$23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'sheet 1'!$C$21:$G$21</definedName>
    <definedName name="solver_lhs10" localSheetId="0" hidden="1">'sheet 1'!$G$22</definedName>
    <definedName name="solver_lhs11" localSheetId="0" hidden="1">'sheet 1'!$F$22</definedName>
    <definedName name="solver_lhs12" localSheetId="0" hidden="1">'sheet 1'!$G$23</definedName>
    <definedName name="solver_lhs13" localSheetId="0" hidden="1">'sheet 1'!$E$21</definedName>
    <definedName name="solver_lhs14" localSheetId="0" hidden="1">'sheet 1'!$G$23</definedName>
    <definedName name="solver_lhs15" localSheetId="0" hidden="1">'sheet 1'!$F$23</definedName>
    <definedName name="solver_lhs16" localSheetId="0" hidden="1">'sheet 1'!$F$21</definedName>
    <definedName name="solver_lhs17" localSheetId="0" hidden="1">'sheet 1'!$G$21</definedName>
    <definedName name="solver_lhs18" localSheetId="0" hidden="1">'sheet 1'!$G$21</definedName>
    <definedName name="solver_lhs19" localSheetId="0" hidden="1">'sheet 1'!$G$21</definedName>
    <definedName name="solver_lhs2" localSheetId="0" hidden="1">'sheet 1'!$C$23:$G$23</definedName>
    <definedName name="solver_lhs20" localSheetId="0" hidden="1">'sheet 1'!$G$21</definedName>
    <definedName name="solver_lhs3" localSheetId="0" hidden="1">'sheet 1'!$C$23:$G$23</definedName>
    <definedName name="solver_lhs4" localSheetId="0" hidden="1">'sheet 1'!$D$23</definedName>
    <definedName name="solver_lhs5" localSheetId="0" hidden="1">'sheet 1'!$E$22</definedName>
    <definedName name="solver_lhs6" localSheetId="0" hidden="1">'sheet 1'!$E$23</definedName>
    <definedName name="solver_lhs7" localSheetId="0" hidden="1">'sheet 1'!$D$21</definedName>
    <definedName name="solver_lhs8" localSheetId="0" hidden="1">'sheet 1'!$F$23</definedName>
    <definedName name="solver_lhs9" localSheetId="0" hidden="1">'sheet 1'!$E$23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'sheet 1'!$C$33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3</definedName>
    <definedName name="solver_rel2" localSheetId="0" hidden="1">3</definedName>
    <definedName name="solver_rel20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1</definedName>
    <definedName name="solver_rel7" localSheetId="0" hidden="1">3</definedName>
    <definedName name="solver_rel8" localSheetId="0" hidden="1">1</definedName>
    <definedName name="solver_rel9" localSheetId="0" hidden="1">3</definedName>
    <definedName name="solver_rhs1" localSheetId="0" hidden="1">0</definedName>
    <definedName name="solver_rhs10" localSheetId="0" hidden="1">0</definedName>
    <definedName name="solver_rhs11" localSheetId="0" hidden="1">0</definedName>
    <definedName name="solver_rhs12" localSheetId="0" hidden="1">0.9</definedName>
    <definedName name="solver_rhs13" localSheetId="0" hidden="1">0</definedName>
    <definedName name="solver_rhs14" localSheetId="0" hidden="1">0.00001</definedName>
    <definedName name="solver_rhs15" localSheetId="0" hidden="1">0.00001</definedName>
    <definedName name="solver_rhs16" localSheetId="0" hidden="1">0</definedName>
    <definedName name="solver_rhs17" localSheetId="0" hidden="1">0</definedName>
    <definedName name="solver_rhs18" localSheetId="0" hidden="1">0</definedName>
    <definedName name="solver_rhs19" localSheetId="0" hidden="1">0</definedName>
    <definedName name="solver_rhs2" localSheetId="0" hidden="1">0.000000001</definedName>
    <definedName name="solver_rhs20" localSheetId="0" hidden="1">0</definedName>
    <definedName name="solver_rhs3" localSheetId="0" hidden="1">0.000000001</definedName>
    <definedName name="solver_rhs4" localSheetId="0" hidden="1">0.00001</definedName>
    <definedName name="solver_rhs5" localSheetId="0" hidden="1">0</definedName>
    <definedName name="solver_rhs6" localSheetId="0" hidden="1">0.9</definedName>
    <definedName name="solver_rhs7" localSheetId="0" hidden="1">0</definedName>
    <definedName name="solver_rhs8" localSheetId="0" hidden="1">0.9</definedName>
    <definedName name="solver_rhs9" localSheetId="0" hidden="1">0.00001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7" i="2" l="1"/>
  <c r="E157" i="2"/>
  <c r="F157" i="2"/>
  <c r="G157" i="2"/>
  <c r="H157" i="2"/>
  <c r="D158" i="2"/>
  <c r="E158" i="2"/>
  <c r="F158" i="2"/>
  <c r="G158" i="2"/>
  <c r="H158" i="2"/>
  <c r="D159" i="2"/>
  <c r="E159" i="2"/>
  <c r="F159" i="2"/>
  <c r="G159" i="2"/>
  <c r="H159" i="2"/>
  <c r="D160" i="2"/>
  <c r="E160" i="2"/>
  <c r="F160" i="2"/>
  <c r="G160" i="2"/>
  <c r="H160" i="2"/>
  <c r="D161" i="2"/>
  <c r="E161" i="2"/>
  <c r="F161" i="2"/>
  <c r="G161" i="2"/>
  <c r="H161" i="2"/>
  <c r="D162" i="2"/>
  <c r="E162" i="2"/>
  <c r="F162" i="2"/>
  <c r="G162" i="2"/>
  <c r="H162" i="2"/>
  <c r="D163" i="2"/>
  <c r="E163" i="2"/>
  <c r="F163" i="2"/>
  <c r="G163" i="2"/>
  <c r="H163" i="2"/>
  <c r="D164" i="2"/>
  <c r="E164" i="2"/>
  <c r="F164" i="2"/>
  <c r="G164" i="2"/>
  <c r="H164" i="2"/>
  <c r="D165" i="2"/>
  <c r="E165" i="2"/>
  <c r="F165" i="2"/>
  <c r="G165" i="2"/>
  <c r="H165" i="2"/>
  <c r="D166" i="2"/>
  <c r="E166" i="2"/>
  <c r="F166" i="2"/>
  <c r="G166" i="2"/>
  <c r="H166" i="2"/>
  <c r="D167" i="2"/>
  <c r="E167" i="2"/>
  <c r="F167" i="2"/>
  <c r="G167" i="2"/>
  <c r="H167" i="2"/>
  <c r="D168" i="2"/>
  <c r="E168" i="2"/>
  <c r="F168" i="2"/>
  <c r="G168" i="2"/>
  <c r="H168" i="2"/>
  <c r="D169" i="2"/>
  <c r="E169" i="2"/>
  <c r="F169" i="2"/>
  <c r="G169" i="2"/>
  <c r="H169" i="2"/>
  <c r="D170" i="2"/>
  <c r="E170" i="2"/>
  <c r="F170" i="2"/>
  <c r="G170" i="2"/>
  <c r="H170" i="2"/>
  <c r="D171" i="2"/>
  <c r="E171" i="2"/>
  <c r="F171" i="2"/>
  <c r="G171" i="2"/>
  <c r="H171" i="2"/>
  <c r="D172" i="2"/>
  <c r="E172" i="2"/>
  <c r="F172" i="2"/>
  <c r="G172" i="2"/>
  <c r="H172" i="2"/>
  <c r="D173" i="2"/>
  <c r="E173" i="2"/>
  <c r="F173" i="2"/>
  <c r="G173" i="2"/>
  <c r="H173" i="2"/>
  <c r="D174" i="2"/>
  <c r="E174" i="2"/>
  <c r="F174" i="2"/>
  <c r="G174" i="2"/>
  <c r="H174" i="2"/>
  <c r="D175" i="2"/>
  <c r="E175" i="2"/>
  <c r="F175" i="2"/>
  <c r="G175" i="2"/>
  <c r="H175" i="2"/>
  <c r="D176" i="2"/>
  <c r="E176" i="2"/>
  <c r="F176" i="2"/>
  <c r="G176" i="2"/>
  <c r="H176" i="2"/>
  <c r="D177" i="2"/>
  <c r="E177" i="2"/>
  <c r="F177" i="2"/>
  <c r="G177" i="2"/>
  <c r="H177" i="2"/>
  <c r="D178" i="2"/>
  <c r="E178" i="2"/>
  <c r="F178" i="2"/>
  <c r="G178" i="2"/>
  <c r="H178" i="2"/>
  <c r="D179" i="2"/>
  <c r="E179" i="2"/>
  <c r="F179" i="2"/>
  <c r="G179" i="2"/>
  <c r="H179" i="2"/>
  <c r="D180" i="2"/>
  <c r="E180" i="2"/>
  <c r="F180" i="2"/>
  <c r="G180" i="2"/>
  <c r="H180" i="2"/>
  <c r="D181" i="2"/>
  <c r="E181" i="2"/>
  <c r="F181" i="2"/>
  <c r="G181" i="2"/>
  <c r="H181" i="2"/>
  <c r="D182" i="2"/>
  <c r="E182" i="2"/>
  <c r="F182" i="2"/>
  <c r="G182" i="2"/>
  <c r="H182" i="2"/>
  <c r="D183" i="2"/>
  <c r="E183" i="2"/>
  <c r="F183" i="2"/>
  <c r="G183" i="2"/>
  <c r="H183" i="2"/>
  <c r="D184" i="2"/>
  <c r="E184" i="2"/>
  <c r="F184" i="2"/>
  <c r="G184" i="2"/>
  <c r="H184" i="2"/>
  <c r="D185" i="2"/>
  <c r="E185" i="2"/>
  <c r="F185" i="2"/>
  <c r="G185" i="2"/>
  <c r="H185" i="2"/>
  <c r="D186" i="2"/>
  <c r="E186" i="2"/>
  <c r="F186" i="2"/>
  <c r="G186" i="2"/>
  <c r="H186" i="2"/>
  <c r="D187" i="2"/>
  <c r="E187" i="2"/>
  <c r="F187" i="2"/>
  <c r="G187" i="2"/>
  <c r="H187" i="2"/>
  <c r="D188" i="2"/>
  <c r="E188" i="2"/>
  <c r="F188" i="2"/>
  <c r="G188" i="2"/>
  <c r="H188" i="2"/>
  <c r="D189" i="2"/>
  <c r="E189" i="2"/>
  <c r="F189" i="2"/>
  <c r="G189" i="2"/>
  <c r="H189" i="2"/>
  <c r="D190" i="2"/>
  <c r="E190" i="2"/>
  <c r="F190" i="2"/>
  <c r="G190" i="2"/>
  <c r="H190" i="2"/>
  <c r="D191" i="2"/>
  <c r="E191" i="2"/>
  <c r="F191" i="2"/>
  <c r="G191" i="2"/>
  <c r="H191" i="2"/>
  <c r="D192" i="2"/>
  <c r="E192" i="2"/>
  <c r="F192" i="2"/>
  <c r="G192" i="2"/>
  <c r="H192" i="2"/>
  <c r="D193" i="2"/>
  <c r="E193" i="2"/>
  <c r="F193" i="2"/>
  <c r="G193" i="2"/>
  <c r="H193" i="2"/>
  <c r="D194" i="2"/>
  <c r="E194" i="2"/>
  <c r="F194" i="2"/>
  <c r="G194" i="2"/>
  <c r="H194" i="2"/>
  <c r="D195" i="2"/>
  <c r="E195" i="2"/>
  <c r="F195" i="2"/>
  <c r="G195" i="2"/>
  <c r="H195" i="2"/>
  <c r="D196" i="2"/>
  <c r="E196" i="2"/>
  <c r="F196" i="2"/>
  <c r="G196" i="2"/>
  <c r="H196" i="2"/>
  <c r="D197" i="2"/>
  <c r="E197" i="2"/>
  <c r="F197" i="2"/>
  <c r="G197" i="2"/>
  <c r="H197" i="2"/>
  <c r="D198" i="2"/>
  <c r="E198" i="2"/>
  <c r="F198" i="2"/>
  <c r="G198" i="2"/>
  <c r="H198" i="2"/>
  <c r="D199" i="2"/>
  <c r="E199" i="2"/>
  <c r="F199" i="2"/>
  <c r="G199" i="2"/>
  <c r="H199" i="2"/>
  <c r="D200" i="2"/>
  <c r="E200" i="2"/>
  <c r="F200" i="2"/>
  <c r="G200" i="2"/>
  <c r="H200" i="2"/>
  <c r="D201" i="2"/>
  <c r="E201" i="2"/>
  <c r="F201" i="2"/>
  <c r="G201" i="2"/>
  <c r="H201" i="2"/>
  <c r="D202" i="2"/>
  <c r="E202" i="2"/>
  <c r="F202" i="2"/>
  <c r="G202" i="2"/>
  <c r="H202" i="2"/>
  <c r="D203" i="2"/>
  <c r="E203" i="2"/>
  <c r="F203" i="2"/>
  <c r="G203" i="2"/>
  <c r="H203" i="2"/>
  <c r="D204" i="2"/>
  <c r="E204" i="2"/>
  <c r="F204" i="2"/>
  <c r="G204" i="2"/>
  <c r="H204" i="2"/>
  <c r="D205" i="2"/>
  <c r="E205" i="2"/>
  <c r="F205" i="2"/>
  <c r="G205" i="2"/>
  <c r="H205" i="2"/>
  <c r="D206" i="2"/>
  <c r="E206" i="2"/>
  <c r="F206" i="2"/>
  <c r="G206" i="2"/>
  <c r="H206" i="2"/>
  <c r="D207" i="2"/>
  <c r="E207" i="2"/>
  <c r="F207" i="2"/>
  <c r="G207" i="2"/>
  <c r="H207" i="2"/>
  <c r="D208" i="2"/>
  <c r="E208" i="2"/>
  <c r="F208" i="2"/>
  <c r="G208" i="2"/>
  <c r="H208" i="2"/>
  <c r="D209" i="2"/>
  <c r="E209" i="2"/>
  <c r="F209" i="2"/>
  <c r="G209" i="2"/>
  <c r="H209" i="2"/>
  <c r="D210" i="2"/>
  <c r="E210" i="2"/>
  <c r="F210" i="2"/>
  <c r="G210" i="2"/>
  <c r="H210" i="2"/>
  <c r="D211" i="2"/>
  <c r="E211" i="2"/>
  <c r="F211" i="2"/>
  <c r="G211" i="2"/>
  <c r="H211" i="2"/>
  <c r="D212" i="2"/>
  <c r="E212" i="2"/>
  <c r="F212" i="2"/>
  <c r="G212" i="2"/>
  <c r="H212" i="2"/>
  <c r="D213" i="2"/>
  <c r="E213" i="2"/>
  <c r="F213" i="2"/>
  <c r="G213" i="2"/>
  <c r="H213" i="2"/>
  <c r="D214" i="2"/>
  <c r="E214" i="2"/>
  <c r="F214" i="2"/>
  <c r="G214" i="2"/>
  <c r="H214" i="2"/>
  <c r="D215" i="2"/>
  <c r="E215" i="2"/>
  <c r="F215" i="2"/>
  <c r="G215" i="2"/>
  <c r="H215" i="2"/>
  <c r="D216" i="2"/>
  <c r="E216" i="2"/>
  <c r="F216" i="2"/>
  <c r="G216" i="2"/>
  <c r="H216" i="2"/>
  <c r="D217" i="2"/>
  <c r="E217" i="2"/>
  <c r="F217" i="2"/>
  <c r="G217" i="2"/>
  <c r="H217" i="2"/>
  <c r="D218" i="2"/>
  <c r="E218" i="2"/>
  <c r="F218" i="2"/>
  <c r="G218" i="2"/>
  <c r="H218" i="2"/>
  <c r="D219" i="2"/>
  <c r="E219" i="2"/>
  <c r="F219" i="2"/>
  <c r="G219" i="2"/>
  <c r="H219" i="2"/>
  <c r="D220" i="2"/>
  <c r="E220" i="2"/>
  <c r="F220" i="2"/>
  <c r="G220" i="2"/>
  <c r="H220" i="2"/>
  <c r="D221" i="2"/>
  <c r="E221" i="2"/>
  <c r="F221" i="2"/>
  <c r="G221" i="2"/>
  <c r="H221" i="2"/>
  <c r="D222" i="2"/>
  <c r="E222" i="2"/>
  <c r="F222" i="2"/>
  <c r="G222" i="2"/>
  <c r="H222" i="2"/>
  <c r="D223" i="2"/>
  <c r="E223" i="2"/>
  <c r="F223" i="2"/>
  <c r="G223" i="2"/>
  <c r="H223" i="2"/>
  <c r="D224" i="2"/>
  <c r="E224" i="2"/>
  <c r="F224" i="2"/>
  <c r="G224" i="2"/>
  <c r="H224" i="2"/>
  <c r="D225" i="2"/>
  <c r="E225" i="2"/>
  <c r="F225" i="2"/>
  <c r="G225" i="2"/>
  <c r="H225" i="2"/>
  <c r="D226" i="2"/>
  <c r="E226" i="2"/>
  <c r="F226" i="2"/>
  <c r="G226" i="2"/>
  <c r="H226" i="2"/>
  <c r="D227" i="2"/>
  <c r="E227" i="2"/>
  <c r="F227" i="2"/>
  <c r="G227" i="2"/>
  <c r="H227" i="2"/>
  <c r="D228" i="2"/>
  <c r="E228" i="2"/>
  <c r="F228" i="2"/>
  <c r="G228" i="2"/>
  <c r="H228" i="2"/>
  <c r="D229" i="2"/>
  <c r="E229" i="2"/>
  <c r="F229" i="2"/>
  <c r="G229" i="2"/>
  <c r="H229" i="2"/>
  <c r="D230" i="2"/>
  <c r="E230" i="2"/>
  <c r="F230" i="2"/>
  <c r="G230" i="2"/>
  <c r="H230" i="2"/>
  <c r="D231" i="2"/>
  <c r="E231" i="2"/>
  <c r="F231" i="2"/>
  <c r="G231" i="2"/>
  <c r="H231" i="2"/>
  <c r="D232" i="2"/>
  <c r="E232" i="2"/>
  <c r="F232" i="2"/>
  <c r="G232" i="2"/>
  <c r="H232" i="2"/>
  <c r="D233" i="2"/>
  <c r="E233" i="2"/>
  <c r="F233" i="2"/>
  <c r="G233" i="2"/>
  <c r="H233" i="2"/>
  <c r="D234" i="2"/>
  <c r="E234" i="2"/>
  <c r="F234" i="2"/>
  <c r="G234" i="2"/>
  <c r="H234" i="2"/>
  <c r="D235" i="2"/>
  <c r="E235" i="2"/>
  <c r="F235" i="2"/>
  <c r="G235" i="2"/>
  <c r="H235" i="2"/>
  <c r="D236" i="2"/>
  <c r="E236" i="2"/>
  <c r="F236" i="2"/>
  <c r="G236" i="2"/>
  <c r="H236" i="2"/>
  <c r="D237" i="2"/>
  <c r="E237" i="2"/>
  <c r="F237" i="2"/>
  <c r="G237" i="2"/>
  <c r="H237" i="2"/>
  <c r="D238" i="2"/>
  <c r="E238" i="2"/>
  <c r="F238" i="2"/>
  <c r="G238" i="2"/>
  <c r="H238" i="2"/>
  <c r="D239" i="2"/>
  <c r="E239" i="2"/>
  <c r="F239" i="2"/>
  <c r="G239" i="2"/>
  <c r="H239" i="2"/>
  <c r="D240" i="2"/>
  <c r="E240" i="2"/>
  <c r="F240" i="2"/>
  <c r="G240" i="2"/>
  <c r="H240" i="2"/>
  <c r="D241" i="2"/>
  <c r="E241" i="2"/>
  <c r="F241" i="2"/>
  <c r="G241" i="2"/>
  <c r="H241" i="2"/>
  <c r="D242" i="2"/>
  <c r="E242" i="2"/>
  <c r="F242" i="2"/>
  <c r="G242" i="2"/>
  <c r="H242" i="2"/>
  <c r="D243" i="2"/>
  <c r="E243" i="2"/>
  <c r="F243" i="2"/>
  <c r="G243" i="2"/>
  <c r="H243" i="2"/>
  <c r="D244" i="2"/>
  <c r="E244" i="2"/>
  <c r="F244" i="2"/>
  <c r="G244" i="2"/>
  <c r="H244" i="2"/>
  <c r="D245" i="2"/>
  <c r="E245" i="2"/>
  <c r="F245" i="2"/>
  <c r="G245" i="2"/>
  <c r="H245" i="2"/>
  <c r="D246" i="2"/>
  <c r="E246" i="2"/>
  <c r="F246" i="2"/>
  <c r="G246" i="2"/>
  <c r="H246" i="2"/>
  <c r="D247" i="2"/>
  <c r="E247" i="2"/>
  <c r="F247" i="2"/>
  <c r="G247" i="2"/>
  <c r="H247" i="2"/>
  <c r="D248" i="2"/>
  <c r="E248" i="2"/>
  <c r="F248" i="2"/>
  <c r="G248" i="2"/>
  <c r="H248" i="2"/>
  <c r="D249" i="2"/>
  <c r="E249" i="2"/>
  <c r="F249" i="2"/>
  <c r="G249" i="2"/>
  <c r="H249" i="2"/>
  <c r="D250" i="2"/>
  <c r="E250" i="2"/>
  <c r="F250" i="2"/>
  <c r="G250" i="2"/>
  <c r="H250" i="2"/>
  <c r="D251" i="2"/>
  <c r="E251" i="2"/>
  <c r="F251" i="2"/>
  <c r="G251" i="2"/>
  <c r="H251" i="2"/>
  <c r="D252" i="2"/>
  <c r="E252" i="2"/>
  <c r="F252" i="2"/>
  <c r="G252" i="2"/>
  <c r="H252" i="2"/>
  <c r="D253" i="2"/>
  <c r="E253" i="2"/>
  <c r="F253" i="2"/>
  <c r="G253" i="2"/>
  <c r="H253" i="2"/>
  <c r="D254" i="2"/>
  <c r="E254" i="2"/>
  <c r="F254" i="2"/>
  <c r="G254" i="2"/>
  <c r="H254" i="2"/>
  <c r="D255" i="2"/>
  <c r="E255" i="2"/>
  <c r="F255" i="2"/>
  <c r="G255" i="2"/>
  <c r="H255" i="2"/>
  <c r="D256" i="2"/>
  <c r="E256" i="2"/>
  <c r="F256" i="2"/>
  <c r="G256" i="2"/>
  <c r="H256" i="2"/>
  <c r="D257" i="2"/>
  <c r="E257" i="2"/>
  <c r="F257" i="2"/>
  <c r="G257" i="2"/>
  <c r="H257" i="2"/>
  <c r="D258" i="2"/>
  <c r="E258" i="2"/>
  <c r="F258" i="2"/>
  <c r="G258" i="2"/>
  <c r="H258" i="2"/>
  <c r="D259" i="2"/>
  <c r="E259" i="2"/>
  <c r="F259" i="2"/>
  <c r="G259" i="2"/>
  <c r="H259" i="2"/>
  <c r="D260" i="2"/>
  <c r="E260" i="2"/>
  <c r="F260" i="2"/>
  <c r="G260" i="2"/>
  <c r="H260" i="2"/>
  <c r="D261" i="2"/>
  <c r="E261" i="2"/>
  <c r="F261" i="2"/>
  <c r="G261" i="2"/>
  <c r="H261" i="2"/>
  <c r="D262" i="2"/>
  <c r="E262" i="2"/>
  <c r="F262" i="2"/>
  <c r="G262" i="2"/>
  <c r="H262" i="2"/>
  <c r="D263" i="2"/>
  <c r="E263" i="2"/>
  <c r="F263" i="2"/>
  <c r="G263" i="2"/>
  <c r="H263" i="2"/>
  <c r="D264" i="2"/>
  <c r="E264" i="2"/>
  <c r="F264" i="2"/>
  <c r="G264" i="2"/>
  <c r="H264" i="2"/>
  <c r="D265" i="2"/>
  <c r="E265" i="2"/>
  <c r="F265" i="2"/>
  <c r="G265" i="2"/>
  <c r="H265" i="2"/>
  <c r="D266" i="2"/>
  <c r="E266" i="2"/>
  <c r="F266" i="2"/>
  <c r="G266" i="2"/>
  <c r="H266" i="2"/>
  <c r="D267" i="2"/>
  <c r="E267" i="2"/>
  <c r="F267" i="2"/>
  <c r="G267" i="2"/>
  <c r="H267" i="2"/>
  <c r="D268" i="2"/>
  <c r="E268" i="2"/>
  <c r="F268" i="2"/>
  <c r="G268" i="2"/>
  <c r="H268" i="2"/>
  <c r="D269" i="2"/>
  <c r="E269" i="2"/>
  <c r="F269" i="2"/>
  <c r="G269" i="2"/>
  <c r="H269" i="2"/>
  <c r="D270" i="2"/>
  <c r="E270" i="2"/>
  <c r="F270" i="2"/>
  <c r="G270" i="2"/>
  <c r="H270" i="2"/>
  <c r="D271" i="2"/>
  <c r="E271" i="2"/>
  <c r="F271" i="2"/>
  <c r="G271" i="2"/>
  <c r="H271" i="2"/>
  <c r="D272" i="2"/>
  <c r="E272" i="2"/>
  <c r="F272" i="2"/>
  <c r="G272" i="2"/>
  <c r="H272" i="2"/>
  <c r="D273" i="2"/>
  <c r="E273" i="2"/>
  <c r="F273" i="2"/>
  <c r="G273" i="2"/>
  <c r="H273" i="2"/>
  <c r="D274" i="2"/>
  <c r="E274" i="2"/>
  <c r="F274" i="2"/>
  <c r="G274" i="2"/>
  <c r="H274" i="2"/>
  <c r="D275" i="2"/>
  <c r="E275" i="2"/>
  <c r="F275" i="2"/>
  <c r="G275" i="2"/>
  <c r="H275" i="2"/>
  <c r="D276" i="2"/>
  <c r="E276" i="2"/>
  <c r="F276" i="2"/>
  <c r="G276" i="2"/>
  <c r="H276" i="2"/>
  <c r="D277" i="2"/>
  <c r="E277" i="2"/>
  <c r="F277" i="2"/>
  <c r="G277" i="2"/>
  <c r="H277" i="2"/>
  <c r="D278" i="2"/>
  <c r="E278" i="2"/>
  <c r="F278" i="2"/>
  <c r="G278" i="2"/>
  <c r="H278" i="2"/>
  <c r="D279" i="2"/>
  <c r="E279" i="2"/>
  <c r="F279" i="2"/>
  <c r="G279" i="2"/>
  <c r="H279" i="2"/>
  <c r="D280" i="2"/>
  <c r="E280" i="2"/>
  <c r="F280" i="2"/>
  <c r="G280" i="2"/>
  <c r="H280" i="2"/>
  <c r="D281" i="2"/>
  <c r="E281" i="2"/>
  <c r="F281" i="2"/>
  <c r="G281" i="2"/>
  <c r="H281" i="2"/>
  <c r="D282" i="2"/>
  <c r="E282" i="2"/>
  <c r="F282" i="2"/>
  <c r="G282" i="2"/>
  <c r="H282" i="2"/>
  <c r="D283" i="2"/>
  <c r="E283" i="2"/>
  <c r="F283" i="2"/>
  <c r="G283" i="2"/>
  <c r="H283" i="2"/>
  <c r="D284" i="2"/>
  <c r="E284" i="2"/>
  <c r="F284" i="2"/>
  <c r="G284" i="2"/>
  <c r="H284" i="2"/>
  <c r="D285" i="2"/>
  <c r="E285" i="2"/>
  <c r="F285" i="2"/>
  <c r="G285" i="2"/>
  <c r="H285" i="2"/>
  <c r="D286" i="2"/>
  <c r="E286" i="2"/>
  <c r="F286" i="2"/>
  <c r="G286" i="2"/>
  <c r="H286" i="2"/>
  <c r="D287" i="2"/>
  <c r="E287" i="2"/>
  <c r="F287" i="2"/>
  <c r="G287" i="2"/>
  <c r="H287" i="2"/>
  <c r="D288" i="2"/>
  <c r="E288" i="2"/>
  <c r="F288" i="2"/>
  <c r="G288" i="2"/>
  <c r="H288" i="2"/>
  <c r="D289" i="2"/>
  <c r="E289" i="2"/>
  <c r="F289" i="2"/>
  <c r="G289" i="2"/>
  <c r="H289" i="2"/>
  <c r="D290" i="2"/>
  <c r="E290" i="2"/>
  <c r="F290" i="2"/>
  <c r="G290" i="2"/>
  <c r="H290" i="2"/>
  <c r="D291" i="2"/>
  <c r="E291" i="2"/>
  <c r="F291" i="2"/>
  <c r="G291" i="2"/>
  <c r="H291" i="2"/>
  <c r="D292" i="2"/>
  <c r="E292" i="2"/>
  <c r="F292" i="2"/>
  <c r="G292" i="2"/>
  <c r="H292" i="2"/>
  <c r="D293" i="2"/>
  <c r="E293" i="2"/>
  <c r="F293" i="2"/>
  <c r="G293" i="2"/>
  <c r="H293" i="2"/>
  <c r="D294" i="2"/>
  <c r="E294" i="2"/>
  <c r="F294" i="2"/>
  <c r="G294" i="2"/>
  <c r="H294" i="2"/>
  <c r="D295" i="2"/>
  <c r="E295" i="2"/>
  <c r="F295" i="2"/>
  <c r="G295" i="2"/>
  <c r="H295" i="2"/>
  <c r="D296" i="2"/>
  <c r="E296" i="2"/>
  <c r="F296" i="2"/>
  <c r="G296" i="2"/>
  <c r="H296" i="2"/>
  <c r="D297" i="2"/>
  <c r="E297" i="2"/>
  <c r="F297" i="2"/>
  <c r="G297" i="2"/>
  <c r="H297" i="2"/>
  <c r="D298" i="2"/>
  <c r="E298" i="2"/>
  <c r="F298" i="2"/>
  <c r="G298" i="2"/>
  <c r="H298" i="2"/>
  <c r="D299" i="2"/>
  <c r="E299" i="2"/>
  <c r="F299" i="2"/>
  <c r="G299" i="2"/>
  <c r="H299" i="2"/>
  <c r="D300" i="2"/>
  <c r="E300" i="2"/>
  <c r="F300" i="2"/>
  <c r="G300" i="2"/>
  <c r="H300" i="2"/>
  <c r="D301" i="2"/>
  <c r="E301" i="2"/>
  <c r="F301" i="2"/>
  <c r="G301" i="2"/>
  <c r="H301" i="2"/>
  <c r="D302" i="2"/>
  <c r="E302" i="2"/>
  <c r="F302" i="2"/>
  <c r="G302" i="2"/>
  <c r="H302" i="2"/>
  <c r="D303" i="2"/>
  <c r="E303" i="2"/>
  <c r="F303" i="2"/>
  <c r="G303" i="2"/>
  <c r="H303" i="2"/>
  <c r="D304" i="2"/>
  <c r="E304" i="2"/>
  <c r="F304" i="2"/>
  <c r="G304" i="2"/>
  <c r="H304" i="2"/>
  <c r="D305" i="2"/>
  <c r="E305" i="2"/>
  <c r="F305" i="2"/>
  <c r="G305" i="2"/>
  <c r="H305" i="2"/>
  <c r="D306" i="2"/>
  <c r="E306" i="2"/>
  <c r="F306" i="2"/>
  <c r="G306" i="2"/>
  <c r="H306" i="2"/>
  <c r="D307" i="2"/>
  <c r="E307" i="2"/>
  <c r="F307" i="2"/>
  <c r="G307" i="2"/>
  <c r="H307" i="2"/>
  <c r="D308" i="2"/>
  <c r="E308" i="2"/>
  <c r="F308" i="2"/>
  <c r="G308" i="2"/>
  <c r="H308" i="2"/>
  <c r="D309" i="2"/>
  <c r="E309" i="2"/>
  <c r="F309" i="2"/>
  <c r="G309" i="2"/>
  <c r="H309" i="2"/>
  <c r="D310" i="2"/>
  <c r="E310" i="2"/>
  <c r="F310" i="2"/>
  <c r="G310" i="2"/>
  <c r="H310" i="2"/>
  <c r="D311" i="2"/>
  <c r="E311" i="2"/>
  <c r="F311" i="2"/>
  <c r="G311" i="2"/>
  <c r="H311" i="2"/>
  <c r="D312" i="2"/>
  <c r="E312" i="2"/>
  <c r="F312" i="2"/>
  <c r="G312" i="2"/>
  <c r="H312" i="2"/>
  <c r="D313" i="2"/>
  <c r="E313" i="2"/>
  <c r="F313" i="2"/>
  <c r="G313" i="2"/>
  <c r="H313" i="2"/>
  <c r="D314" i="2"/>
  <c r="E314" i="2"/>
  <c r="F314" i="2"/>
  <c r="G314" i="2"/>
  <c r="H314" i="2"/>
  <c r="D315" i="2"/>
  <c r="E315" i="2"/>
  <c r="F315" i="2"/>
  <c r="G315" i="2"/>
  <c r="H315" i="2"/>
  <c r="D316" i="2"/>
  <c r="E316" i="2"/>
  <c r="F316" i="2"/>
  <c r="G316" i="2"/>
  <c r="H316" i="2"/>
  <c r="D317" i="2"/>
  <c r="E317" i="2"/>
  <c r="F317" i="2"/>
  <c r="G317" i="2"/>
  <c r="H317" i="2"/>
  <c r="D318" i="2"/>
  <c r="E318" i="2"/>
  <c r="F318" i="2"/>
  <c r="G318" i="2"/>
  <c r="H318" i="2"/>
  <c r="D319" i="2"/>
  <c r="E319" i="2"/>
  <c r="F319" i="2"/>
  <c r="G319" i="2"/>
  <c r="H319" i="2"/>
  <c r="D320" i="2"/>
  <c r="E320" i="2"/>
  <c r="F320" i="2"/>
  <c r="G320" i="2"/>
  <c r="H320" i="2"/>
  <c r="D321" i="2"/>
  <c r="E321" i="2"/>
  <c r="F321" i="2"/>
  <c r="G321" i="2"/>
  <c r="H321" i="2"/>
  <c r="D322" i="2"/>
  <c r="E322" i="2"/>
  <c r="F322" i="2"/>
  <c r="G322" i="2"/>
  <c r="H322" i="2"/>
  <c r="D323" i="2"/>
  <c r="E323" i="2"/>
  <c r="F323" i="2"/>
  <c r="G323" i="2"/>
  <c r="H323" i="2"/>
  <c r="D324" i="2"/>
  <c r="E324" i="2"/>
  <c r="F324" i="2"/>
  <c r="G324" i="2"/>
  <c r="H324" i="2"/>
  <c r="D325" i="2"/>
  <c r="E325" i="2"/>
  <c r="F325" i="2"/>
  <c r="G325" i="2"/>
  <c r="H325" i="2"/>
  <c r="D326" i="2"/>
  <c r="E326" i="2"/>
  <c r="F326" i="2"/>
  <c r="G326" i="2"/>
  <c r="H326" i="2"/>
  <c r="D327" i="2"/>
  <c r="E327" i="2"/>
  <c r="F327" i="2"/>
  <c r="G327" i="2"/>
  <c r="H327" i="2"/>
  <c r="D328" i="2"/>
  <c r="E328" i="2"/>
  <c r="F328" i="2"/>
  <c r="G328" i="2"/>
  <c r="H328" i="2"/>
  <c r="D329" i="2"/>
  <c r="E329" i="2"/>
  <c r="F329" i="2"/>
  <c r="G329" i="2"/>
  <c r="H329" i="2"/>
  <c r="D330" i="2"/>
  <c r="E330" i="2"/>
  <c r="F330" i="2"/>
  <c r="G330" i="2"/>
  <c r="H330" i="2"/>
  <c r="D331" i="2"/>
  <c r="E331" i="2"/>
  <c r="F331" i="2"/>
  <c r="G331" i="2"/>
  <c r="H331" i="2"/>
  <c r="D332" i="2"/>
  <c r="E332" i="2"/>
  <c r="F332" i="2"/>
  <c r="G332" i="2"/>
  <c r="H332" i="2"/>
  <c r="D333" i="2"/>
  <c r="E333" i="2"/>
  <c r="F333" i="2"/>
  <c r="G333" i="2"/>
  <c r="H333" i="2"/>
  <c r="D334" i="2"/>
  <c r="E334" i="2"/>
  <c r="F334" i="2"/>
  <c r="G334" i="2"/>
  <c r="H334" i="2"/>
  <c r="D335" i="2"/>
  <c r="E335" i="2"/>
  <c r="F335" i="2"/>
  <c r="G335" i="2"/>
  <c r="H335" i="2"/>
  <c r="D336" i="2"/>
  <c r="E336" i="2"/>
  <c r="F336" i="2"/>
  <c r="G336" i="2"/>
  <c r="H336" i="2"/>
  <c r="D337" i="2"/>
  <c r="E337" i="2"/>
  <c r="F337" i="2"/>
  <c r="G337" i="2"/>
  <c r="H337" i="2"/>
  <c r="D338" i="2"/>
  <c r="E338" i="2"/>
  <c r="F338" i="2"/>
  <c r="G338" i="2"/>
  <c r="H338" i="2"/>
  <c r="D339" i="2"/>
  <c r="E339" i="2"/>
  <c r="F339" i="2"/>
  <c r="G339" i="2"/>
  <c r="H339" i="2"/>
  <c r="D340" i="2"/>
  <c r="E340" i="2"/>
  <c r="F340" i="2"/>
  <c r="G340" i="2"/>
  <c r="H340" i="2"/>
  <c r="D341" i="2"/>
  <c r="E341" i="2"/>
  <c r="F341" i="2"/>
  <c r="G341" i="2"/>
  <c r="H341" i="2"/>
  <c r="D342" i="2"/>
  <c r="E342" i="2"/>
  <c r="F342" i="2"/>
  <c r="G342" i="2"/>
  <c r="H342" i="2"/>
  <c r="D343" i="2"/>
  <c r="E343" i="2"/>
  <c r="F343" i="2"/>
  <c r="G343" i="2"/>
  <c r="H343" i="2"/>
  <c r="D344" i="2"/>
  <c r="E344" i="2"/>
  <c r="F344" i="2"/>
  <c r="G344" i="2"/>
  <c r="H344" i="2"/>
  <c r="D345" i="2"/>
  <c r="E345" i="2"/>
  <c r="F345" i="2"/>
  <c r="G345" i="2"/>
  <c r="H345" i="2"/>
  <c r="D346" i="2"/>
  <c r="E346" i="2"/>
  <c r="F346" i="2"/>
  <c r="G346" i="2"/>
  <c r="H346" i="2"/>
  <c r="D347" i="2"/>
  <c r="E347" i="2"/>
  <c r="F347" i="2"/>
  <c r="G347" i="2"/>
  <c r="H347" i="2"/>
  <c r="D348" i="2"/>
  <c r="E348" i="2"/>
  <c r="F348" i="2"/>
  <c r="G348" i="2"/>
  <c r="H348" i="2"/>
  <c r="D349" i="2"/>
  <c r="E349" i="2"/>
  <c r="F349" i="2"/>
  <c r="G349" i="2"/>
  <c r="H349" i="2"/>
  <c r="D350" i="2"/>
  <c r="E350" i="2"/>
  <c r="F350" i="2"/>
  <c r="G350" i="2"/>
  <c r="H350" i="2"/>
  <c r="D351" i="2"/>
  <c r="E351" i="2"/>
  <c r="F351" i="2"/>
  <c r="G351" i="2"/>
  <c r="H351" i="2"/>
  <c r="D352" i="2"/>
  <c r="E352" i="2"/>
  <c r="F352" i="2"/>
  <c r="G352" i="2"/>
  <c r="H352" i="2"/>
  <c r="D353" i="2"/>
  <c r="E353" i="2"/>
  <c r="F353" i="2"/>
  <c r="G353" i="2"/>
  <c r="H353" i="2"/>
  <c r="D354" i="2"/>
  <c r="E354" i="2"/>
  <c r="F354" i="2"/>
  <c r="G354" i="2"/>
  <c r="H354" i="2"/>
  <c r="D355" i="2"/>
  <c r="E355" i="2"/>
  <c r="F355" i="2"/>
  <c r="G355" i="2"/>
  <c r="H355" i="2"/>
  <c r="D356" i="2"/>
  <c r="E356" i="2"/>
  <c r="F356" i="2"/>
  <c r="G356" i="2"/>
  <c r="H356" i="2"/>
  <c r="D357" i="2"/>
  <c r="E357" i="2"/>
  <c r="F357" i="2"/>
  <c r="G357" i="2"/>
  <c r="H357" i="2"/>
  <c r="D358" i="2"/>
  <c r="E358" i="2"/>
  <c r="F358" i="2"/>
  <c r="G358" i="2"/>
  <c r="H358" i="2"/>
  <c r="D359" i="2"/>
  <c r="E359" i="2"/>
  <c r="F359" i="2"/>
  <c r="G359" i="2"/>
  <c r="H359" i="2"/>
  <c r="D360" i="2"/>
  <c r="E360" i="2"/>
  <c r="F360" i="2"/>
  <c r="G360" i="2"/>
  <c r="H360" i="2"/>
  <c r="D361" i="2"/>
  <c r="E361" i="2"/>
  <c r="F361" i="2"/>
  <c r="G361" i="2"/>
  <c r="H361" i="2"/>
  <c r="D362" i="2"/>
  <c r="E362" i="2"/>
  <c r="F362" i="2"/>
  <c r="G362" i="2"/>
  <c r="H362" i="2"/>
  <c r="D363" i="2"/>
  <c r="E363" i="2"/>
  <c r="F363" i="2"/>
  <c r="G363" i="2"/>
  <c r="H363" i="2"/>
  <c r="D364" i="2"/>
  <c r="E364" i="2"/>
  <c r="F364" i="2"/>
  <c r="G364" i="2"/>
  <c r="H364" i="2"/>
  <c r="D365" i="2"/>
  <c r="E365" i="2"/>
  <c r="F365" i="2"/>
  <c r="G365" i="2"/>
  <c r="H365" i="2"/>
  <c r="D366" i="2"/>
  <c r="E366" i="2"/>
  <c r="F366" i="2"/>
  <c r="G366" i="2"/>
  <c r="H366" i="2"/>
  <c r="D367" i="2"/>
  <c r="E367" i="2"/>
  <c r="F367" i="2"/>
  <c r="G367" i="2"/>
  <c r="H367" i="2"/>
  <c r="D368" i="2"/>
  <c r="E368" i="2"/>
  <c r="F368" i="2"/>
  <c r="G368" i="2"/>
  <c r="H368" i="2"/>
  <c r="D369" i="2"/>
  <c r="E369" i="2"/>
  <c r="F369" i="2"/>
  <c r="G369" i="2"/>
  <c r="H369" i="2"/>
  <c r="D370" i="2"/>
  <c r="E370" i="2"/>
  <c r="F370" i="2"/>
  <c r="G370" i="2"/>
  <c r="H370" i="2"/>
  <c r="D371" i="2"/>
  <c r="E371" i="2"/>
  <c r="F371" i="2"/>
  <c r="G371" i="2"/>
  <c r="H371" i="2"/>
  <c r="D372" i="2"/>
  <c r="E372" i="2"/>
  <c r="F372" i="2"/>
  <c r="G372" i="2"/>
  <c r="H372" i="2"/>
  <c r="D373" i="2"/>
  <c r="E373" i="2"/>
  <c r="F373" i="2"/>
  <c r="G373" i="2"/>
  <c r="H373" i="2"/>
  <c r="D374" i="2"/>
  <c r="E374" i="2"/>
  <c r="F374" i="2"/>
  <c r="G374" i="2"/>
  <c r="H374" i="2"/>
  <c r="D375" i="2"/>
  <c r="E375" i="2"/>
  <c r="F375" i="2"/>
  <c r="G375" i="2"/>
  <c r="H375" i="2"/>
  <c r="D376" i="2"/>
  <c r="E376" i="2"/>
  <c r="F376" i="2"/>
  <c r="G376" i="2"/>
  <c r="H376" i="2"/>
  <c r="D377" i="2"/>
  <c r="E377" i="2"/>
  <c r="F377" i="2"/>
  <c r="G377" i="2"/>
  <c r="H377" i="2"/>
  <c r="D378" i="2"/>
  <c r="E378" i="2"/>
  <c r="F378" i="2"/>
  <c r="G378" i="2"/>
  <c r="H378" i="2"/>
  <c r="D379" i="2"/>
  <c r="E379" i="2"/>
  <c r="F379" i="2"/>
  <c r="G379" i="2"/>
  <c r="H379" i="2"/>
  <c r="D380" i="2"/>
  <c r="E380" i="2"/>
  <c r="F380" i="2"/>
  <c r="G380" i="2"/>
  <c r="H380" i="2"/>
  <c r="D381" i="2"/>
  <c r="E381" i="2"/>
  <c r="F381" i="2"/>
  <c r="G381" i="2"/>
  <c r="H381" i="2"/>
  <c r="D382" i="2"/>
  <c r="E382" i="2"/>
  <c r="F382" i="2"/>
  <c r="G382" i="2"/>
  <c r="H382" i="2"/>
  <c r="D383" i="2"/>
  <c r="E383" i="2"/>
  <c r="F383" i="2"/>
  <c r="G383" i="2"/>
  <c r="H383" i="2"/>
  <c r="D384" i="2"/>
  <c r="E384" i="2"/>
  <c r="F384" i="2"/>
  <c r="G384" i="2"/>
  <c r="H384" i="2"/>
  <c r="D385" i="2"/>
  <c r="E385" i="2"/>
  <c r="F385" i="2"/>
  <c r="G385" i="2"/>
  <c r="H385" i="2"/>
  <c r="D386" i="2"/>
  <c r="E386" i="2"/>
  <c r="F386" i="2"/>
  <c r="G386" i="2"/>
  <c r="H386" i="2"/>
  <c r="D387" i="2"/>
  <c r="E387" i="2"/>
  <c r="F387" i="2"/>
  <c r="G387" i="2"/>
  <c r="H387" i="2"/>
  <c r="D388" i="2"/>
  <c r="E388" i="2"/>
  <c r="F388" i="2"/>
  <c r="G388" i="2"/>
  <c r="H388" i="2"/>
  <c r="D389" i="2"/>
  <c r="E389" i="2"/>
  <c r="F389" i="2"/>
  <c r="G389" i="2"/>
  <c r="H389" i="2"/>
  <c r="D390" i="2"/>
  <c r="E390" i="2"/>
  <c r="F390" i="2"/>
  <c r="G390" i="2"/>
  <c r="H390" i="2"/>
  <c r="D391" i="2"/>
  <c r="E391" i="2"/>
  <c r="F391" i="2"/>
  <c r="G391" i="2"/>
  <c r="H391" i="2"/>
  <c r="D392" i="2"/>
  <c r="E392" i="2"/>
  <c r="F392" i="2"/>
  <c r="G392" i="2"/>
  <c r="H392" i="2"/>
  <c r="D393" i="2"/>
  <c r="E393" i="2"/>
  <c r="F393" i="2"/>
  <c r="G393" i="2"/>
  <c r="H393" i="2"/>
  <c r="D394" i="2"/>
  <c r="E394" i="2"/>
  <c r="F394" i="2"/>
  <c r="G394" i="2"/>
  <c r="H394" i="2"/>
  <c r="D395" i="2"/>
  <c r="E395" i="2"/>
  <c r="F395" i="2"/>
  <c r="G395" i="2"/>
  <c r="H395" i="2"/>
  <c r="D396" i="2"/>
  <c r="E396" i="2"/>
  <c r="F396" i="2"/>
  <c r="G396" i="2"/>
  <c r="H396" i="2"/>
  <c r="D397" i="2"/>
  <c r="E397" i="2"/>
  <c r="F397" i="2"/>
  <c r="G397" i="2"/>
  <c r="H397" i="2"/>
  <c r="D398" i="2"/>
  <c r="E398" i="2"/>
  <c r="F398" i="2"/>
  <c r="G398" i="2"/>
  <c r="H398" i="2"/>
  <c r="D399" i="2"/>
  <c r="E399" i="2"/>
  <c r="F399" i="2"/>
  <c r="G399" i="2"/>
  <c r="H399" i="2"/>
  <c r="D400" i="2"/>
  <c r="E400" i="2"/>
  <c r="F400" i="2"/>
  <c r="G400" i="2"/>
  <c r="H400" i="2"/>
  <c r="D401" i="2"/>
  <c r="E401" i="2"/>
  <c r="F401" i="2"/>
  <c r="G401" i="2"/>
  <c r="H401" i="2"/>
  <c r="D402" i="2"/>
  <c r="E402" i="2"/>
  <c r="F402" i="2"/>
  <c r="G402" i="2"/>
  <c r="H402" i="2"/>
  <c r="D403" i="2"/>
  <c r="E403" i="2"/>
  <c r="F403" i="2"/>
  <c r="G403" i="2"/>
  <c r="H403" i="2"/>
  <c r="D404" i="2"/>
  <c r="E404" i="2"/>
  <c r="F404" i="2"/>
  <c r="G404" i="2"/>
  <c r="H404" i="2"/>
  <c r="D405" i="2"/>
  <c r="E405" i="2"/>
  <c r="F405" i="2"/>
  <c r="G405" i="2"/>
  <c r="H405" i="2"/>
  <c r="D406" i="2"/>
  <c r="E406" i="2"/>
  <c r="F406" i="2"/>
  <c r="G406" i="2"/>
  <c r="H406" i="2"/>
  <c r="D407" i="2"/>
  <c r="E407" i="2"/>
  <c r="F407" i="2"/>
  <c r="G407" i="2"/>
  <c r="H407" i="2"/>
  <c r="D408" i="2"/>
  <c r="E408" i="2"/>
  <c r="F408" i="2"/>
  <c r="G408" i="2"/>
  <c r="H408" i="2"/>
  <c r="D409" i="2"/>
  <c r="E409" i="2"/>
  <c r="F409" i="2"/>
  <c r="G409" i="2"/>
  <c r="H409" i="2"/>
  <c r="D410" i="2"/>
  <c r="E410" i="2"/>
  <c r="F410" i="2"/>
  <c r="G410" i="2"/>
  <c r="H410" i="2"/>
  <c r="D411" i="2"/>
  <c r="E411" i="2"/>
  <c r="F411" i="2"/>
  <c r="G411" i="2"/>
  <c r="H411" i="2"/>
  <c r="D412" i="2"/>
  <c r="E412" i="2"/>
  <c r="F412" i="2"/>
  <c r="G412" i="2"/>
  <c r="H412" i="2"/>
  <c r="D413" i="2"/>
  <c r="E413" i="2"/>
  <c r="F413" i="2"/>
  <c r="G413" i="2"/>
  <c r="H413" i="2"/>
  <c r="D414" i="2"/>
  <c r="E414" i="2"/>
  <c r="F414" i="2"/>
  <c r="G414" i="2"/>
  <c r="H414" i="2"/>
  <c r="D415" i="2"/>
  <c r="E415" i="2"/>
  <c r="F415" i="2"/>
  <c r="G415" i="2"/>
  <c r="H415" i="2"/>
  <c r="D416" i="2"/>
  <c r="E416" i="2"/>
  <c r="F416" i="2"/>
  <c r="G416" i="2"/>
  <c r="H416" i="2"/>
  <c r="D417" i="2"/>
  <c r="E417" i="2"/>
  <c r="F417" i="2"/>
  <c r="G417" i="2"/>
  <c r="H417" i="2"/>
  <c r="D418" i="2"/>
  <c r="E418" i="2"/>
  <c r="F418" i="2"/>
  <c r="G418" i="2"/>
  <c r="H418" i="2"/>
  <c r="D419" i="2"/>
  <c r="E419" i="2"/>
  <c r="F419" i="2"/>
  <c r="G419" i="2"/>
  <c r="H419" i="2"/>
  <c r="D420" i="2"/>
  <c r="E420" i="2"/>
  <c r="F420" i="2"/>
  <c r="G420" i="2"/>
  <c r="H420" i="2"/>
  <c r="D421" i="2"/>
  <c r="E421" i="2"/>
  <c r="F421" i="2"/>
  <c r="G421" i="2"/>
  <c r="H421" i="2"/>
  <c r="D422" i="2"/>
  <c r="E422" i="2"/>
  <c r="F422" i="2"/>
  <c r="G422" i="2"/>
  <c r="H422" i="2"/>
  <c r="D423" i="2"/>
  <c r="E423" i="2"/>
  <c r="F423" i="2"/>
  <c r="G423" i="2"/>
  <c r="H423" i="2"/>
  <c r="D424" i="2"/>
  <c r="E424" i="2"/>
  <c r="F424" i="2"/>
  <c r="G424" i="2"/>
  <c r="H424" i="2"/>
  <c r="D425" i="2"/>
  <c r="E425" i="2"/>
  <c r="F425" i="2"/>
  <c r="G425" i="2"/>
  <c r="H425" i="2"/>
  <c r="D426" i="2"/>
  <c r="E426" i="2"/>
  <c r="F426" i="2"/>
  <c r="G426" i="2"/>
  <c r="H426" i="2"/>
  <c r="D427" i="2"/>
  <c r="E427" i="2"/>
  <c r="F427" i="2"/>
  <c r="G427" i="2"/>
  <c r="H427" i="2"/>
  <c r="D428" i="2"/>
  <c r="E428" i="2"/>
  <c r="F428" i="2"/>
  <c r="G428" i="2"/>
  <c r="H428" i="2"/>
  <c r="D429" i="2"/>
  <c r="E429" i="2"/>
  <c r="F429" i="2"/>
  <c r="G429" i="2"/>
  <c r="H429" i="2"/>
  <c r="D430" i="2"/>
  <c r="E430" i="2"/>
  <c r="F430" i="2"/>
  <c r="G430" i="2"/>
  <c r="H430" i="2"/>
  <c r="D431" i="2"/>
  <c r="E431" i="2"/>
  <c r="F431" i="2"/>
  <c r="G431" i="2"/>
  <c r="H431" i="2"/>
  <c r="D432" i="2"/>
  <c r="E432" i="2"/>
  <c r="F432" i="2"/>
  <c r="G432" i="2"/>
  <c r="H432" i="2"/>
  <c r="D433" i="2"/>
  <c r="E433" i="2"/>
  <c r="F433" i="2"/>
  <c r="G433" i="2"/>
  <c r="H433" i="2"/>
  <c r="D434" i="2"/>
  <c r="E434" i="2"/>
  <c r="F434" i="2"/>
  <c r="G434" i="2"/>
  <c r="H434" i="2"/>
  <c r="D435" i="2"/>
  <c r="E435" i="2"/>
  <c r="F435" i="2"/>
  <c r="G435" i="2"/>
  <c r="H435" i="2"/>
  <c r="D436" i="2"/>
  <c r="E436" i="2"/>
  <c r="F436" i="2"/>
  <c r="G436" i="2"/>
  <c r="H436" i="2"/>
  <c r="D437" i="2"/>
  <c r="E437" i="2"/>
  <c r="F437" i="2"/>
  <c r="G437" i="2"/>
  <c r="H437" i="2"/>
  <c r="D438" i="2"/>
  <c r="E438" i="2"/>
  <c r="F438" i="2"/>
  <c r="G438" i="2"/>
  <c r="H438" i="2"/>
  <c r="D439" i="2"/>
  <c r="E439" i="2"/>
  <c r="F439" i="2"/>
  <c r="G439" i="2"/>
  <c r="H439" i="2"/>
  <c r="D440" i="2"/>
  <c r="E440" i="2"/>
  <c r="F440" i="2"/>
  <c r="G440" i="2"/>
  <c r="H440" i="2"/>
  <c r="D441" i="2"/>
  <c r="E441" i="2"/>
  <c r="F441" i="2"/>
  <c r="G441" i="2"/>
  <c r="H441" i="2"/>
  <c r="D442" i="2"/>
  <c r="E442" i="2"/>
  <c r="F442" i="2"/>
  <c r="G442" i="2"/>
  <c r="H442" i="2"/>
  <c r="D443" i="2"/>
  <c r="E443" i="2"/>
  <c r="F443" i="2"/>
  <c r="G443" i="2"/>
  <c r="H443" i="2"/>
  <c r="D444" i="2"/>
  <c r="E444" i="2"/>
  <c r="F444" i="2"/>
  <c r="G444" i="2"/>
  <c r="H444" i="2"/>
  <c r="D445" i="2"/>
  <c r="E445" i="2"/>
  <c r="F445" i="2"/>
  <c r="G445" i="2"/>
  <c r="H445" i="2"/>
  <c r="D446" i="2"/>
  <c r="E446" i="2"/>
  <c r="F446" i="2"/>
  <c r="G446" i="2"/>
  <c r="H446" i="2"/>
  <c r="D447" i="2"/>
  <c r="E447" i="2"/>
  <c r="F447" i="2"/>
  <c r="G447" i="2"/>
  <c r="H447" i="2"/>
  <c r="D448" i="2"/>
  <c r="E448" i="2"/>
  <c r="F448" i="2"/>
  <c r="G448" i="2"/>
  <c r="H448" i="2"/>
  <c r="D449" i="2"/>
  <c r="E449" i="2"/>
  <c r="F449" i="2"/>
  <c r="G449" i="2"/>
  <c r="H449" i="2"/>
  <c r="D450" i="2"/>
  <c r="E450" i="2"/>
  <c r="F450" i="2"/>
  <c r="G450" i="2"/>
  <c r="H450" i="2"/>
  <c r="D451" i="2"/>
  <c r="E451" i="2"/>
  <c r="F451" i="2"/>
  <c r="G451" i="2"/>
  <c r="H451" i="2"/>
  <c r="D452" i="2"/>
  <c r="E452" i="2"/>
  <c r="F452" i="2"/>
  <c r="G452" i="2"/>
  <c r="H452" i="2"/>
  <c r="D453" i="2"/>
  <c r="E453" i="2"/>
  <c r="F453" i="2"/>
  <c r="G453" i="2"/>
  <c r="H453" i="2"/>
  <c r="D454" i="2"/>
  <c r="E454" i="2"/>
  <c r="F454" i="2"/>
  <c r="G454" i="2"/>
  <c r="H454" i="2"/>
  <c r="D455" i="2"/>
  <c r="E455" i="2"/>
  <c r="F455" i="2"/>
  <c r="G455" i="2"/>
  <c r="H455" i="2"/>
  <c r="D456" i="2"/>
  <c r="E456" i="2"/>
  <c r="F456" i="2"/>
  <c r="G456" i="2"/>
  <c r="H456" i="2"/>
  <c r="D457" i="2"/>
  <c r="E457" i="2"/>
  <c r="F457" i="2"/>
  <c r="G457" i="2"/>
  <c r="H457" i="2"/>
  <c r="D458" i="2"/>
  <c r="E458" i="2"/>
  <c r="F458" i="2"/>
  <c r="G458" i="2"/>
  <c r="H458" i="2"/>
  <c r="D459" i="2"/>
  <c r="E459" i="2"/>
  <c r="F459" i="2"/>
  <c r="G459" i="2"/>
  <c r="H459" i="2"/>
  <c r="D460" i="2"/>
  <c r="E460" i="2"/>
  <c r="F460" i="2"/>
  <c r="G460" i="2"/>
  <c r="H460" i="2"/>
  <c r="D461" i="2"/>
  <c r="E461" i="2"/>
  <c r="F461" i="2"/>
  <c r="G461" i="2"/>
  <c r="H461" i="2"/>
  <c r="D462" i="2"/>
  <c r="E462" i="2"/>
  <c r="F462" i="2"/>
  <c r="G462" i="2"/>
  <c r="H462" i="2"/>
  <c r="D463" i="2"/>
  <c r="E463" i="2"/>
  <c r="F463" i="2"/>
  <c r="G463" i="2"/>
  <c r="H463" i="2"/>
  <c r="D464" i="2"/>
  <c r="E464" i="2"/>
  <c r="F464" i="2"/>
  <c r="G464" i="2"/>
  <c r="H464" i="2"/>
  <c r="D465" i="2"/>
  <c r="E465" i="2"/>
  <c r="F465" i="2"/>
  <c r="G465" i="2"/>
  <c r="H465" i="2"/>
  <c r="D466" i="2"/>
  <c r="E466" i="2"/>
  <c r="F466" i="2"/>
  <c r="G466" i="2"/>
  <c r="H466" i="2"/>
  <c r="D467" i="2"/>
  <c r="E467" i="2"/>
  <c r="F467" i="2"/>
  <c r="G467" i="2"/>
  <c r="H467" i="2"/>
  <c r="D468" i="2"/>
  <c r="E468" i="2"/>
  <c r="F468" i="2"/>
  <c r="G468" i="2"/>
  <c r="H468" i="2"/>
  <c r="D469" i="2"/>
  <c r="E469" i="2"/>
  <c r="F469" i="2"/>
  <c r="G469" i="2"/>
  <c r="H469" i="2"/>
  <c r="D470" i="2"/>
  <c r="E470" i="2"/>
  <c r="F470" i="2"/>
  <c r="G470" i="2"/>
  <c r="H470" i="2"/>
  <c r="D471" i="2"/>
  <c r="E471" i="2"/>
  <c r="F471" i="2"/>
  <c r="G471" i="2"/>
  <c r="H471" i="2"/>
  <c r="D472" i="2"/>
  <c r="E472" i="2"/>
  <c r="F472" i="2"/>
  <c r="G472" i="2"/>
  <c r="H472" i="2"/>
  <c r="D473" i="2"/>
  <c r="E473" i="2"/>
  <c r="F473" i="2"/>
  <c r="G473" i="2"/>
  <c r="H473" i="2"/>
  <c r="D474" i="2"/>
  <c r="E474" i="2"/>
  <c r="F474" i="2"/>
  <c r="G474" i="2"/>
  <c r="H474" i="2"/>
  <c r="D475" i="2"/>
  <c r="E475" i="2"/>
  <c r="F475" i="2"/>
  <c r="G475" i="2"/>
  <c r="H475" i="2"/>
  <c r="D476" i="2"/>
  <c r="E476" i="2"/>
  <c r="F476" i="2"/>
  <c r="G476" i="2"/>
  <c r="H476" i="2"/>
  <c r="D477" i="2"/>
  <c r="E477" i="2"/>
  <c r="F477" i="2"/>
  <c r="G477" i="2"/>
  <c r="H477" i="2"/>
  <c r="D478" i="2"/>
  <c r="E478" i="2"/>
  <c r="F478" i="2"/>
  <c r="G478" i="2"/>
  <c r="H478" i="2"/>
  <c r="D479" i="2"/>
  <c r="E479" i="2"/>
  <c r="F479" i="2"/>
  <c r="G479" i="2"/>
  <c r="H479" i="2"/>
  <c r="D480" i="2"/>
  <c r="E480" i="2"/>
  <c r="F480" i="2"/>
  <c r="G480" i="2"/>
  <c r="H480" i="2"/>
  <c r="D481" i="2"/>
  <c r="E481" i="2"/>
  <c r="F481" i="2"/>
  <c r="G481" i="2"/>
  <c r="H481" i="2"/>
  <c r="D482" i="2"/>
  <c r="E482" i="2"/>
  <c r="F482" i="2"/>
  <c r="G482" i="2"/>
  <c r="H482" i="2"/>
  <c r="D483" i="2"/>
  <c r="E483" i="2"/>
  <c r="F483" i="2"/>
  <c r="G483" i="2"/>
  <c r="H483" i="2"/>
  <c r="D484" i="2"/>
  <c r="E484" i="2"/>
  <c r="F484" i="2"/>
  <c r="G484" i="2"/>
  <c r="H484" i="2"/>
  <c r="D485" i="2"/>
  <c r="E485" i="2"/>
  <c r="F485" i="2"/>
  <c r="G485" i="2"/>
  <c r="H485" i="2"/>
  <c r="D486" i="2"/>
  <c r="E486" i="2"/>
  <c r="F486" i="2"/>
  <c r="G486" i="2"/>
  <c r="H486" i="2"/>
  <c r="D487" i="2"/>
  <c r="E487" i="2"/>
  <c r="F487" i="2"/>
  <c r="G487" i="2"/>
  <c r="H487" i="2"/>
  <c r="D488" i="2"/>
  <c r="E488" i="2"/>
  <c r="F488" i="2"/>
  <c r="G488" i="2"/>
  <c r="H488" i="2"/>
  <c r="D489" i="2"/>
  <c r="E489" i="2"/>
  <c r="F489" i="2"/>
  <c r="G489" i="2"/>
  <c r="H489" i="2"/>
  <c r="D490" i="2"/>
  <c r="E490" i="2"/>
  <c r="F490" i="2"/>
  <c r="G490" i="2"/>
  <c r="H490" i="2"/>
  <c r="D491" i="2"/>
  <c r="E491" i="2"/>
  <c r="F491" i="2"/>
  <c r="G491" i="2"/>
  <c r="H491" i="2"/>
  <c r="D492" i="2"/>
  <c r="E492" i="2"/>
  <c r="F492" i="2"/>
  <c r="G492" i="2"/>
  <c r="H492" i="2"/>
  <c r="D493" i="2"/>
  <c r="E493" i="2"/>
  <c r="F493" i="2"/>
  <c r="G493" i="2"/>
  <c r="H493" i="2"/>
  <c r="D494" i="2"/>
  <c r="E494" i="2"/>
  <c r="F494" i="2"/>
  <c r="G494" i="2"/>
  <c r="H494" i="2"/>
  <c r="D495" i="2"/>
  <c r="E495" i="2"/>
  <c r="F495" i="2"/>
  <c r="G495" i="2"/>
  <c r="H495" i="2"/>
  <c r="D496" i="2"/>
  <c r="E496" i="2"/>
  <c r="F496" i="2"/>
  <c r="G496" i="2"/>
  <c r="H496" i="2"/>
  <c r="D497" i="2"/>
  <c r="E497" i="2"/>
  <c r="F497" i="2"/>
  <c r="G497" i="2"/>
  <c r="H497" i="2"/>
  <c r="D498" i="2"/>
  <c r="E498" i="2"/>
  <c r="F498" i="2"/>
  <c r="G498" i="2"/>
  <c r="H498" i="2"/>
  <c r="D499" i="2"/>
  <c r="E499" i="2"/>
  <c r="F499" i="2"/>
  <c r="G499" i="2"/>
  <c r="H499" i="2"/>
  <c r="D500" i="2"/>
  <c r="E500" i="2"/>
  <c r="F500" i="2"/>
  <c r="G500" i="2"/>
  <c r="H500" i="2"/>
  <c r="D501" i="2"/>
  <c r="E501" i="2"/>
  <c r="F501" i="2"/>
  <c r="G501" i="2"/>
  <c r="H501" i="2"/>
  <c r="D502" i="2"/>
  <c r="E502" i="2"/>
  <c r="F502" i="2"/>
  <c r="G502" i="2"/>
  <c r="H502" i="2"/>
  <c r="D503" i="2"/>
  <c r="E503" i="2"/>
  <c r="F503" i="2"/>
  <c r="G503" i="2"/>
  <c r="H503" i="2"/>
  <c r="D504" i="2"/>
  <c r="E504" i="2"/>
  <c r="F504" i="2"/>
  <c r="G504" i="2"/>
  <c r="H504" i="2"/>
  <c r="D505" i="2"/>
  <c r="E505" i="2"/>
  <c r="F505" i="2"/>
  <c r="G505" i="2"/>
  <c r="H505" i="2"/>
  <c r="D506" i="2"/>
  <c r="E506" i="2"/>
  <c r="F506" i="2"/>
  <c r="G506" i="2"/>
  <c r="H506" i="2"/>
  <c r="D507" i="2"/>
  <c r="E507" i="2"/>
  <c r="F507" i="2"/>
  <c r="G507" i="2"/>
  <c r="H507" i="2"/>
  <c r="D508" i="2"/>
  <c r="E508" i="2"/>
  <c r="F508" i="2"/>
  <c r="G508" i="2"/>
  <c r="H508" i="2"/>
  <c r="D509" i="2"/>
  <c r="E509" i="2"/>
  <c r="F509" i="2"/>
  <c r="G509" i="2"/>
  <c r="H509" i="2"/>
  <c r="D510" i="2"/>
  <c r="E510" i="2"/>
  <c r="F510" i="2"/>
  <c r="G510" i="2"/>
  <c r="H510" i="2"/>
  <c r="D511" i="2"/>
  <c r="E511" i="2"/>
  <c r="F511" i="2"/>
  <c r="G511" i="2"/>
  <c r="H511" i="2"/>
  <c r="D512" i="2"/>
  <c r="E512" i="2"/>
  <c r="F512" i="2"/>
  <c r="G512" i="2"/>
  <c r="H512" i="2"/>
  <c r="D513" i="2"/>
  <c r="E513" i="2"/>
  <c r="F513" i="2"/>
  <c r="G513" i="2"/>
  <c r="H513" i="2"/>
  <c r="D514" i="2"/>
  <c r="E514" i="2"/>
  <c r="F514" i="2"/>
  <c r="G514" i="2"/>
  <c r="H514" i="2"/>
  <c r="D515" i="2"/>
  <c r="E515" i="2"/>
  <c r="F515" i="2"/>
  <c r="G515" i="2"/>
  <c r="H515" i="2"/>
  <c r="D516" i="2"/>
  <c r="E516" i="2"/>
  <c r="F516" i="2"/>
  <c r="G516" i="2"/>
  <c r="H516" i="2"/>
  <c r="D517" i="2"/>
  <c r="E517" i="2"/>
  <c r="F517" i="2"/>
  <c r="G517" i="2"/>
  <c r="H517" i="2"/>
  <c r="D518" i="2"/>
  <c r="E518" i="2"/>
  <c r="F518" i="2"/>
  <c r="G518" i="2"/>
  <c r="H518" i="2"/>
  <c r="D519" i="2"/>
  <c r="E519" i="2"/>
  <c r="F519" i="2"/>
  <c r="G519" i="2"/>
  <c r="H519" i="2"/>
  <c r="D520" i="2"/>
  <c r="E520" i="2"/>
  <c r="F520" i="2"/>
  <c r="G520" i="2"/>
  <c r="H520" i="2"/>
  <c r="D521" i="2"/>
  <c r="E521" i="2"/>
  <c r="F521" i="2"/>
  <c r="G521" i="2"/>
  <c r="H521" i="2"/>
  <c r="D522" i="2"/>
  <c r="E522" i="2"/>
  <c r="F522" i="2"/>
  <c r="G522" i="2"/>
  <c r="H522" i="2"/>
  <c r="D523" i="2"/>
  <c r="E523" i="2"/>
  <c r="F523" i="2"/>
  <c r="G523" i="2"/>
  <c r="H523" i="2"/>
  <c r="D524" i="2"/>
  <c r="E524" i="2"/>
  <c r="F524" i="2"/>
  <c r="G524" i="2"/>
  <c r="H524" i="2"/>
  <c r="D525" i="2"/>
  <c r="E525" i="2"/>
  <c r="F525" i="2"/>
  <c r="G525" i="2"/>
  <c r="H525" i="2"/>
  <c r="D526" i="2"/>
  <c r="E526" i="2"/>
  <c r="F526" i="2"/>
  <c r="G526" i="2"/>
  <c r="H526" i="2"/>
  <c r="D527" i="2"/>
  <c r="E527" i="2"/>
  <c r="F527" i="2"/>
  <c r="G527" i="2"/>
  <c r="H527" i="2"/>
  <c r="D528" i="2"/>
  <c r="E528" i="2"/>
  <c r="F528" i="2"/>
  <c r="G528" i="2"/>
  <c r="H528" i="2"/>
  <c r="D529" i="2"/>
  <c r="E529" i="2"/>
  <c r="F529" i="2"/>
  <c r="G529" i="2"/>
  <c r="H529" i="2"/>
  <c r="D530" i="2"/>
  <c r="E530" i="2"/>
  <c r="F530" i="2"/>
  <c r="G530" i="2"/>
  <c r="H530" i="2"/>
  <c r="D531" i="2"/>
  <c r="E531" i="2"/>
  <c r="F531" i="2"/>
  <c r="G531" i="2"/>
  <c r="H531" i="2"/>
  <c r="D532" i="2"/>
  <c r="E532" i="2"/>
  <c r="F532" i="2"/>
  <c r="G532" i="2"/>
  <c r="H532" i="2"/>
  <c r="D533" i="2"/>
  <c r="E533" i="2"/>
  <c r="F533" i="2"/>
  <c r="G533" i="2"/>
  <c r="H533" i="2"/>
  <c r="D534" i="2"/>
  <c r="E534" i="2"/>
  <c r="F534" i="2"/>
  <c r="G534" i="2"/>
  <c r="H534" i="2"/>
  <c r="D535" i="2"/>
  <c r="E535" i="2"/>
  <c r="F535" i="2"/>
  <c r="G535" i="2"/>
  <c r="H535" i="2"/>
  <c r="D536" i="2"/>
  <c r="E536" i="2"/>
  <c r="F536" i="2"/>
  <c r="G536" i="2"/>
  <c r="H536" i="2"/>
  <c r="D141" i="2"/>
  <c r="E141" i="2"/>
  <c r="F141" i="2"/>
  <c r="G141" i="2"/>
  <c r="H141" i="2"/>
  <c r="D142" i="2"/>
  <c r="E142" i="2"/>
  <c r="F142" i="2"/>
  <c r="G142" i="2"/>
  <c r="H142" i="2"/>
  <c r="D143" i="2"/>
  <c r="E143" i="2"/>
  <c r="F143" i="2"/>
  <c r="G143" i="2"/>
  <c r="H143" i="2"/>
  <c r="D144" i="2"/>
  <c r="E144" i="2"/>
  <c r="F144" i="2"/>
  <c r="G144" i="2"/>
  <c r="H144" i="2"/>
  <c r="D145" i="2"/>
  <c r="E145" i="2"/>
  <c r="F145" i="2"/>
  <c r="G145" i="2"/>
  <c r="H145" i="2"/>
  <c r="D146" i="2"/>
  <c r="E146" i="2"/>
  <c r="F146" i="2"/>
  <c r="G146" i="2"/>
  <c r="H146" i="2"/>
  <c r="D147" i="2"/>
  <c r="E147" i="2"/>
  <c r="F147" i="2"/>
  <c r="G147" i="2"/>
  <c r="H147" i="2"/>
  <c r="D148" i="2"/>
  <c r="E148" i="2"/>
  <c r="F148" i="2"/>
  <c r="G148" i="2"/>
  <c r="H148" i="2"/>
  <c r="D149" i="2"/>
  <c r="E149" i="2"/>
  <c r="F149" i="2"/>
  <c r="G149" i="2"/>
  <c r="H149" i="2"/>
  <c r="D150" i="2"/>
  <c r="E150" i="2"/>
  <c r="F150" i="2"/>
  <c r="G150" i="2"/>
  <c r="H150" i="2"/>
  <c r="D151" i="2"/>
  <c r="E151" i="2"/>
  <c r="F151" i="2"/>
  <c r="G151" i="2"/>
  <c r="H151" i="2"/>
  <c r="D152" i="2"/>
  <c r="E152" i="2"/>
  <c r="F152" i="2"/>
  <c r="G152" i="2"/>
  <c r="H152" i="2"/>
  <c r="D153" i="2"/>
  <c r="E153" i="2"/>
  <c r="F153" i="2"/>
  <c r="G153" i="2"/>
  <c r="H153" i="2"/>
  <c r="D154" i="2"/>
  <c r="E154" i="2"/>
  <c r="F154" i="2"/>
  <c r="G154" i="2"/>
  <c r="H154" i="2"/>
  <c r="D155" i="2"/>
  <c r="E155" i="2"/>
  <c r="F155" i="2"/>
  <c r="G155" i="2"/>
  <c r="H155" i="2"/>
  <c r="D156" i="2"/>
  <c r="E156" i="2"/>
  <c r="F156" i="2"/>
  <c r="G156" i="2"/>
  <c r="H156" i="2"/>
  <c r="D112" i="2"/>
  <c r="E112" i="2"/>
  <c r="F112" i="2"/>
  <c r="G112" i="2"/>
  <c r="H112" i="2"/>
  <c r="D113" i="2"/>
  <c r="E113" i="2"/>
  <c r="F113" i="2"/>
  <c r="G113" i="2"/>
  <c r="H113" i="2"/>
  <c r="D114" i="2"/>
  <c r="E114" i="2"/>
  <c r="F114" i="2"/>
  <c r="G114" i="2"/>
  <c r="H114" i="2"/>
  <c r="D115" i="2"/>
  <c r="E115" i="2"/>
  <c r="F115" i="2"/>
  <c r="G115" i="2"/>
  <c r="H115" i="2"/>
  <c r="D116" i="2"/>
  <c r="E116" i="2"/>
  <c r="F116" i="2"/>
  <c r="G116" i="2"/>
  <c r="H116" i="2"/>
  <c r="D117" i="2"/>
  <c r="E117" i="2"/>
  <c r="F117" i="2"/>
  <c r="G117" i="2"/>
  <c r="H117" i="2"/>
  <c r="D118" i="2"/>
  <c r="E118" i="2"/>
  <c r="F118" i="2"/>
  <c r="G118" i="2"/>
  <c r="H118" i="2"/>
  <c r="D119" i="2"/>
  <c r="E119" i="2"/>
  <c r="F119" i="2"/>
  <c r="G119" i="2"/>
  <c r="H119" i="2"/>
  <c r="D120" i="2"/>
  <c r="E120" i="2"/>
  <c r="F120" i="2"/>
  <c r="G120" i="2"/>
  <c r="H120" i="2"/>
  <c r="D121" i="2"/>
  <c r="E121" i="2"/>
  <c r="F121" i="2"/>
  <c r="G121" i="2"/>
  <c r="H121" i="2"/>
  <c r="D122" i="2"/>
  <c r="E122" i="2"/>
  <c r="F122" i="2"/>
  <c r="G122" i="2"/>
  <c r="H122" i="2"/>
  <c r="D123" i="2"/>
  <c r="E123" i="2"/>
  <c r="F123" i="2"/>
  <c r="G123" i="2"/>
  <c r="H123" i="2"/>
  <c r="D124" i="2"/>
  <c r="E124" i="2"/>
  <c r="F124" i="2"/>
  <c r="G124" i="2"/>
  <c r="H124" i="2"/>
  <c r="D125" i="2"/>
  <c r="E125" i="2"/>
  <c r="F125" i="2"/>
  <c r="G125" i="2"/>
  <c r="H125" i="2"/>
  <c r="D126" i="2"/>
  <c r="E126" i="2"/>
  <c r="F126" i="2"/>
  <c r="G126" i="2"/>
  <c r="H126" i="2"/>
  <c r="D127" i="2"/>
  <c r="E127" i="2"/>
  <c r="F127" i="2"/>
  <c r="G127" i="2"/>
  <c r="H127" i="2"/>
  <c r="D128" i="2"/>
  <c r="E128" i="2"/>
  <c r="F128" i="2"/>
  <c r="G128" i="2"/>
  <c r="H128" i="2"/>
  <c r="D129" i="2"/>
  <c r="E129" i="2"/>
  <c r="F129" i="2"/>
  <c r="G129" i="2"/>
  <c r="H129" i="2"/>
  <c r="D130" i="2"/>
  <c r="E130" i="2"/>
  <c r="F130" i="2"/>
  <c r="G130" i="2"/>
  <c r="H130" i="2"/>
  <c r="D131" i="2"/>
  <c r="E131" i="2"/>
  <c r="F131" i="2"/>
  <c r="G131" i="2"/>
  <c r="H131" i="2"/>
  <c r="D132" i="2"/>
  <c r="E132" i="2"/>
  <c r="F132" i="2"/>
  <c r="G132" i="2"/>
  <c r="H132" i="2"/>
  <c r="D133" i="2"/>
  <c r="E133" i="2"/>
  <c r="F133" i="2"/>
  <c r="G133" i="2"/>
  <c r="H133" i="2"/>
  <c r="D134" i="2"/>
  <c r="E134" i="2"/>
  <c r="F134" i="2"/>
  <c r="G134" i="2"/>
  <c r="H134" i="2"/>
  <c r="D135" i="2"/>
  <c r="E135" i="2"/>
  <c r="F135" i="2"/>
  <c r="G135" i="2"/>
  <c r="H135" i="2"/>
  <c r="D136" i="2"/>
  <c r="E136" i="2"/>
  <c r="F136" i="2"/>
  <c r="G136" i="2"/>
  <c r="H136" i="2"/>
  <c r="D137" i="2"/>
  <c r="E137" i="2"/>
  <c r="F137" i="2"/>
  <c r="G137" i="2"/>
  <c r="H137" i="2"/>
  <c r="D138" i="2"/>
  <c r="E138" i="2"/>
  <c r="F138" i="2"/>
  <c r="G138" i="2"/>
  <c r="H138" i="2"/>
  <c r="D139" i="2"/>
  <c r="E139" i="2"/>
  <c r="F139" i="2"/>
  <c r="G139" i="2"/>
  <c r="H139" i="2"/>
  <c r="D140" i="2"/>
  <c r="E140" i="2"/>
  <c r="F140" i="2"/>
  <c r="G140" i="2"/>
  <c r="H140" i="2"/>
  <c r="D111" i="2"/>
  <c r="E111" i="2"/>
  <c r="F111" i="2"/>
  <c r="G111" i="2"/>
  <c r="H111" i="2"/>
  <c r="M161" i="2"/>
  <c r="K162" i="2"/>
  <c r="M169" i="2"/>
  <c r="K170" i="2"/>
  <c r="M177" i="2"/>
  <c r="K178" i="2"/>
  <c r="M185" i="2"/>
  <c r="K186" i="2"/>
  <c r="M193" i="2"/>
  <c r="K194" i="2"/>
  <c r="M201" i="2"/>
  <c r="K202" i="2"/>
  <c r="M209" i="2"/>
  <c r="K210" i="2"/>
  <c r="M217" i="2"/>
  <c r="K218" i="2"/>
  <c r="M225" i="2"/>
  <c r="K226" i="2"/>
  <c r="M233" i="2"/>
  <c r="K234" i="2"/>
  <c r="M241" i="2"/>
  <c r="K242" i="2"/>
  <c r="M249" i="2"/>
  <c r="K250" i="2"/>
  <c r="M257" i="2"/>
  <c r="K258" i="2"/>
  <c r="M265" i="2"/>
  <c r="K266" i="2"/>
  <c r="N161" i="2"/>
  <c r="L162" i="2"/>
  <c r="J163" i="2"/>
  <c r="N169" i="2"/>
  <c r="L170" i="2"/>
  <c r="J171" i="2"/>
  <c r="N177" i="2"/>
  <c r="L178" i="2"/>
  <c r="J179" i="2"/>
  <c r="N185" i="2"/>
  <c r="L186" i="2"/>
  <c r="J187" i="2"/>
  <c r="N193" i="2"/>
  <c r="L194" i="2"/>
  <c r="J195" i="2"/>
  <c r="N201" i="2"/>
  <c r="L202" i="2"/>
  <c r="J203" i="2"/>
  <c r="N209" i="2"/>
  <c r="L210" i="2"/>
  <c r="J211" i="2"/>
  <c r="N217" i="2"/>
  <c r="L218" i="2"/>
  <c r="J219" i="2"/>
  <c r="N225" i="2"/>
  <c r="L226" i="2"/>
  <c r="J227" i="2"/>
  <c r="N233" i="2"/>
  <c r="L234" i="2"/>
  <c r="J235" i="2"/>
  <c r="N241" i="2"/>
  <c r="L242" i="2"/>
  <c r="J243" i="2"/>
  <c r="N249" i="2"/>
  <c r="L250" i="2"/>
  <c r="J251" i="2"/>
  <c r="N257" i="2"/>
  <c r="L258" i="2"/>
  <c r="J259" i="2"/>
  <c r="N265" i="2"/>
  <c r="L266" i="2"/>
  <c r="J267" i="2"/>
  <c r="M162" i="2"/>
  <c r="K163" i="2"/>
  <c r="M170" i="2"/>
  <c r="K171" i="2"/>
  <c r="M178" i="2"/>
  <c r="K179" i="2"/>
  <c r="M186" i="2"/>
  <c r="K187" i="2"/>
  <c r="M194" i="2"/>
  <c r="K195" i="2"/>
  <c r="M202" i="2"/>
  <c r="K203" i="2"/>
  <c r="M210" i="2"/>
  <c r="K211" i="2"/>
  <c r="M218" i="2"/>
  <c r="K219" i="2"/>
  <c r="M226" i="2"/>
  <c r="K227" i="2"/>
  <c r="M234" i="2"/>
  <c r="K235" i="2"/>
  <c r="M242" i="2"/>
  <c r="K243" i="2"/>
  <c r="M250" i="2"/>
  <c r="K251" i="2"/>
  <c r="M258" i="2"/>
  <c r="K259" i="2"/>
  <c r="M266" i="2"/>
  <c r="K267" i="2"/>
  <c r="N162" i="2"/>
  <c r="L163" i="2"/>
  <c r="J164" i="2"/>
  <c r="N170" i="2"/>
  <c r="L171" i="2"/>
  <c r="J172" i="2"/>
  <c r="N178" i="2"/>
  <c r="L179" i="2"/>
  <c r="J180" i="2"/>
  <c r="N186" i="2"/>
  <c r="L187" i="2"/>
  <c r="J188" i="2"/>
  <c r="N194" i="2"/>
  <c r="L195" i="2"/>
  <c r="J196" i="2"/>
  <c r="N202" i="2"/>
  <c r="L203" i="2"/>
  <c r="J204" i="2"/>
  <c r="N210" i="2"/>
  <c r="L211" i="2"/>
  <c r="J212" i="2"/>
  <c r="N218" i="2"/>
  <c r="L219" i="2"/>
  <c r="J220" i="2"/>
  <c r="N226" i="2"/>
  <c r="L227" i="2"/>
  <c r="J228" i="2"/>
  <c r="N234" i="2"/>
  <c r="L235" i="2"/>
  <c r="J236" i="2"/>
  <c r="N242" i="2"/>
  <c r="L243" i="2"/>
  <c r="J244" i="2"/>
  <c r="N250" i="2"/>
  <c r="L251" i="2"/>
  <c r="J252" i="2"/>
  <c r="N258" i="2"/>
  <c r="L259" i="2"/>
  <c r="J260" i="2"/>
  <c r="N266" i="2"/>
  <c r="L267" i="2"/>
  <c r="J268" i="2"/>
  <c r="J157" i="2"/>
  <c r="N163" i="2"/>
  <c r="L164" i="2"/>
  <c r="J165" i="2"/>
  <c r="N171" i="2"/>
  <c r="L172" i="2"/>
  <c r="J173" i="2"/>
  <c r="N179" i="2"/>
  <c r="L180" i="2"/>
  <c r="J181" i="2"/>
  <c r="N187" i="2"/>
  <c r="L188" i="2"/>
  <c r="J189" i="2"/>
  <c r="N195" i="2"/>
  <c r="L196" i="2"/>
  <c r="J197" i="2"/>
  <c r="N203" i="2"/>
  <c r="L204" i="2"/>
  <c r="J205" i="2"/>
  <c r="N211" i="2"/>
  <c r="L212" i="2"/>
  <c r="J213" i="2"/>
  <c r="N219" i="2"/>
  <c r="L220" i="2"/>
  <c r="J221" i="2"/>
  <c r="N227" i="2"/>
  <c r="L228" i="2"/>
  <c r="J229" i="2"/>
  <c r="N235" i="2"/>
  <c r="L236" i="2"/>
  <c r="J237" i="2"/>
  <c r="N243" i="2"/>
  <c r="L244" i="2"/>
  <c r="J245" i="2"/>
  <c r="N251" i="2"/>
  <c r="L252" i="2"/>
  <c r="J253" i="2"/>
  <c r="N259" i="2"/>
  <c r="L260" i="2"/>
  <c r="J261" i="2"/>
  <c r="N267" i="2"/>
  <c r="L268" i="2"/>
  <c r="J269" i="2"/>
  <c r="K157" i="2"/>
  <c r="M164" i="2"/>
  <c r="K165" i="2"/>
  <c r="M172" i="2"/>
  <c r="K173" i="2"/>
  <c r="M180" i="2"/>
  <c r="K181" i="2"/>
  <c r="M188" i="2"/>
  <c r="K189" i="2"/>
  <c r="M196" i="2"/>
  <c r="K197" i="2"/>
  <c r="M204" i="2"/>
  <c r="K205" i="2"/>
  <c r="M212" i="2"/>
  <c r="K213" i="2"/>
  <c r="M220" i="2"/>
  <c r="K221" i="2"/>
  <c r="M228" i="2"/>
  <c r="K229" i="2"/>
  <c r="M236" i="2"/>
  <c r="K237" i="2"/>
  <c r="M244" i="2"/>
  <c r="K245" i="2"/>
  <c r="M252" i="2"/>
  <c r="K253" i="2"/>
  <c r="M260" i="2"/>
  <c r="K261" i="2"/>
  <c r="M268" i="2"/>
  <c r="K269" i="2"/>
  <c r="L157" i="2"/>
  <c r="J158" i="2"/>
  <c r="N164" i="2"/>
  <c r="L165" i="2"/>
  <c r="J166" i="2"/>
  <c r="N172" i="2"/>
  <c r="L173" i="2"/>
  <c r="J174" i="2"/>
  <c r="N180" i="2"/>
  <c r="L181" i="2"/>
  <c r="J182" i="2"/>
  <c r="N188" i="2"/>
  <c r="L189" i="2"/>
  <c r="J190" i="2"/>
  <c r="N196" i="2"/>
  <c r="L197" i="2"/>
  <c r="J198" i="2"/>
  <c r="N204" i="2"/>
  <c r="L205" i="2"/>
  <c r="J206" i="2"/>
  <c r="N212" i="2"/>
  <c r="L213" i="2"/>
  <c r="J214" i="2"/>
  <c r="N220" i="2"/>
  <c r="L221" i="2"/>
  <c r="J222" i="2"/>
  <c r="N228" i="2"/>
  <c r="L229" i="2"/>
  <c r="J230" i="2"/>
  <c r="N236" i="2"/>
  <c r="L237" i="2"/>
  <c r="J238" i="2"/>
  <c r="N244" i="2"/>
  <c r="L245" i="2"/>
  <c r="J246" i="2"/>
  <c r="N252" i="2"/>
  <c r="L253" i="2"/>
  <c r="J254" i="2"/>
  <c r="N260" i="2"/>
  <c r="L261" i="2"/>
  <c r="J262" i="2"/>
  <c r="N268" i="2"/>
  <c r="L269" i="2"/>
  <c r="M157" i="2"/>
  <c r="K158" i="2"/>
  <c r="M165" i="2"/>
  <c r="K166" i="2"/>
  <c r="M173" i="2"/>
  <c r="K174" i="2"/>
  <c r="M181" i="2"/>
  <c r="K182" i="2"/>
  <c r="M189" i="2"/>
  <c r="K190" i="2"/>
  <c r="M197" i="2"/>
  <c r="K198" i="2"/>
  <c r="M205" i="2"/>
  <c r="K206" i="2"/>
  <c r="M213" i="2"/>
  <c r="K214" i="2"/>
  <c r="M221" i="2"/>
  <c r="K222" i="2"/>
  <c r="M229" i="2"/>
  <c r="K230" i="2"/>
  <c r="M237" i="2"/>
  <c r="K238" i="2"/>
  <c r="M245" i="2"/>
  <c r="K246" i="2"/>
  <c r="M253" i="2"/>
  <c r="K254" i="2"/>
  <c r="M261" i="2"/>
  <c r="K262" i="2"/>
  <c r="M269" i="2"/>
  <c r="N157" i="2"/>
  <c r="L158" i="2"/>
  <c r="J159" i="2"/>
  <c r="N165" i="2"/>
  <c r="L166" i="2"/>
  <c r="J167" i="2"/>
  <c r="N173" i="2"/>
  <c r="L174" i="2"/>
  <c r="J175" i="2"/>
  <c r="N181" i="2"/>
  <c r="L182" i="2"/>
  <c r="J183" i="2"/>
  <c r="N189" i="2"/>
  <c r="L190" i="2"/>
  <c r="J191" i="2"/>
  <c r="N197" i="2"/>
  <c r="L198" i="2"/>
  <c r="J199" i="2"/>
  <c r="N205" i="2"/>
  <c r="L206" i="2"/>
  <c r="J207" i="2"/>
  <c r="N213" i="2"/>
  <c r="L214" i="2"/>
  <c r="J215" i="2"/>
  <c r="N221" i="2"/>
  <c r="L222" i="2"/>
  <c r="J223" i="2"/>
  <c r="N229" i="2"/>
  <c r="L230" i="2"/>
  <c r="J231" i="2"/>
  <c r="N237" i="2"/>
  <c r="L238" i="2"/>
  <c r="J239" i="2"/>
  <c r="N245" i="2"/>
  <c r="L246" i="2"/>
  <c r="J247" i="2"/>
  <c r="N253" i="2"/>
  <c r="L254" i="2"/>
  <c r="J255" i="2"/>
  <c r="N261" i="2"/>
  <c r="L262" i="2"/>
  <c r="J263" i="2"/>
  <c r="N269" i="2"/>
  <c r="M158" i="2"/>
  <c r="K159" i="2"/>
  <c r="M166" i="2"/>
  <c r="K167" i="2"/>
  <c r="M174" i="2"/>
  <c r="K175" i="2"/>
  <c r="M182" i="2"/>
  <c r="K183" i="2"/>
  <c r="M190" i="2"/>
  <c r="K191" i="2"/>
  <c r="M198" i="2"/>
  <c r="K199" i="2"/>
  <c r="M206" i="2"/>
  <c r="K207" i="2"/>
  <c r="M214" i="2"/>
  <c r="K215" i="2"/>
  <c r="M222" i="2"/>
  <c r="K223" i="2"/>
  <c r="M230" i="2"/>
  <c r="K231" i="2"/>
  <c r="M238" i="2"/>
  <c r="K239" i="2"/>
  <c r="M246" i="2"/>
  <c r="K247" i="2"/>
  <c r="M254" i="2"/>
  <c r="K255" i="2"/>
  <c r="M262" i="2"/>
  <c r="K263" i="2"/>
  <c r="N158" i="2"/>
  <c r="L159" i="2"/>
  <c r="J160" i="2"/>
  <c r="N166" i="2"/>
  <c r="L167" i="2"/>
  <c r="J168" i="2"/>
  <c r="N174" i="2"/>
  <c r="L175" i="2"/>
  <c r="J176" i="2"/>
  <c r="N182" i="2"/>
  <c r="L183" i="2"/>
  <c r="J184" i="2"/>
  <c r="N190" i="2"/>
  <c r="L191" i="2"/>
  <c r="J192" i="2"/>
  <c r="N198" i="2"/>
  <c r="L199" i="2"/>
  <c r="J200" i="2"/>
  <c r="N206" i="2"/>
  <c r="L207" i="2"/>
  <c r="J208" i="2"/>
  <c r="N214" i="2"/>
  <c r="L215" i="2"/>
  <c r="J216" i="2"/>
  <c r="N222" i="2"/>
  <c r="L223" i="2"/>
  <c r="J224" i="2"/>
  <c r="N230" i="2"/>
  <c r="L231" i="2"/>
  <c r="J232" i="2"/>
  <c r="N238" i="2"/>
  <c r="L239" i="2"/>
  <c r="J240" i="2"/>
  <c r="N246" i="2"/>
  <c r="L247" i="2"/>
  <c r="J248" i="2"/>
  <c r="N254" i="2"/>
  <c r="L255" i="2"/>
  <c r="J256" i="2"/>
  <c r="N262" i="2"/>
  <c r="L263" i="2"/>
  <c r="J264" i="2"/>
  <c r="M159" i="2"/>
  <c r="K160" i="2"/>
  <c r="M167" i="2"/>
  <c r="K168" i="2"/>
  <c r="M175" i="2"/>
  <c r="K176" i="2"/>
  <c r="M183" i="2"/>
  <c r="K184" i="2"/>
  <c r="M191" i="2"/>
  <c r="K192" i="2"/>
  <c r="M199" i="2"/>
  <c r="K200" i="2"/>
  <c r="M207" i="2"/>
  <c r="K208" i="2"/>
  <c r="M215" i="2"/>
  <c r="K216" i="2"/>
  <c r="M223" i="2"/>
  <c r="K224" i="2"/>
  <c r="M231" i="2"/>
  <c r="K232" i="2"/>
  <c r="M239" i="2"/>
  <c r="K240" i="2"/>
  <c r="M247" i="2"/>
  <c r="K248" i="2"/>
  <c r="M255" i="2"/>
  <c r="K256" i="2"/>
  <c r="M263" i="2"/>
  <c r="K264" i="2"/>
  <c r="M160" i="2"/>
  <c r="K161" i="2"/>
  <c r="M168" i="2"/>
  <c r="K169" i="2"/>
  <c r="M176" i="2"/>
  <c r="K177" i="2"/>
  <c r="M184" i="2"/>
  <c r="K185" i="2"/>
  <c r="M192" i="2"/>
  <c r="K193" i="2"/>
  <c r="M200" i="2"/>
  <c r="K201" i="2"/>
  <c r="M208" i="2"/>
  <c r="K209" i="2"/>
  <c r="M216" i="2"/>
  <c r="K217" i="2"/>
  <c r="M224" i="2"/>
  <c r="K225" i="2"/>
  <c r="M232" i="2"/>
  <c r="K233" i="2"/>
  <c r="M240" i="2"/>
  <c r="K241" i="2"/>
  <c r="M248" i="2"/>
  <c r="K249" i="2"/>
  <c r="M256" i="2"/>
  <c r="K257" i="2"/>
  <c r="M264" i="2"/>
  <c r="K265" i="2"/>
  <c r="N160" i="2"/>
  <c r="L161" i="2"/>
  <c r="J162" i="2"/>
  <c r="N168" i="2"/>
  <c r="L169" i="2"/>
  <c r="J170" i="2"/>
  <c r="N176" i="2"/>
  <c r="L177" i="2"/>
  <c r="J178" i="2"/>
  <c r="N184" i="2"/>
  <c r="L185" i="2"/>
  <c r="J186" i="2"/>
  <c r="N192" i="2"/>
  <c r="L193" i="2"/>
  <c r="J194" i="2"/>
  <c r="N200" i="2"/>
  <c r="L201" i="2"/>
  <c r="J202" i="2"/>
  <c r="N208" i="2"/>
  <c r="L209" i="2"/>
  <c r="J210" i="2"/>
  <c r="N216" i="2"/>
  <c r="L217" i="2"/>
  <c r="J218" i="2"/>
  <c r="N224" i="2"/>
  <c r="L225" i="2"/>
  <c r="J226" i="2"/>
  <c r="N232" i="2"/>
  <c r="L233" i="2"/>
  <c r="J234" i="2"/>
  <c r="N240" i="2"/>
  <c r="L241" i="2"/>
  <c r="J242" i="2"/>
  <c r="N248" i="2"/>
  <c r="L249" i="2"/>
  <c r="J250" i="2"/>
  <c r="N256" i="2"/>
  <c r="L257" i="2"/>
  <c r="J258" i="2"/>
  <c r="N264" i="2"/>
  <c r="L265" i="2"/>
  <c r="J266" i="2"/>
  <c r="N159" i="2"/>
  <c r="L176" i="2"/>
  <c r="K188" i="2"/>
  <c r="J217" i="2"/>
  <c r="N263" i="2"/>
  <c r="N275" i="2"/>
  <c r="L276" i="2"/>
  <c r="J277" i="2"/>
  <c r="N283" i="2"/>
  <c r="L284" i="2"/>
  <c r="J285" i="2"/>
  <c r="N291" i="2"/>
  <c r="L292" i="2"/>
  <c r="J293" i="2"/>
  <c r="N299" i="2"/>
  <c r="L300" i="2"/>
  <c r="J301" i="2"/>
  <c r="N307" i="2"/>
  <c r="L308" i="2"/>
  <c r="J309" i="2"/>
  <c r="N315" i="2"/>
  <c r="L316" i="2"/>
  <c r="J317" i="2"/>
  <c r="N323" i="2"/>
  <c r="L324" i="2"/>
  <c r="J325" i="2"/>
  <c r="N331" i="2"/>
  <c r="L332" i="2"/>
  <c r="J333" i="2"/>
  <c r="N339" i="2"/>
  <c r="L340" i="2"/>
  <c r="J341" i="2"/>
  <c r="N347" i="2"/>
  <c r="L348" i="2"/>
  <c r="J349" i="2"/>
  <c r="N355" i="2"/>
  <c r="L356" i="2"/>
  <c r="J357" i="2"/>
  <c r="N363" i="2"/>
  <c r="L364" i="2"/>
  <c r="J365" i="2"/>
  <c r="K164" i="2"/>
  <c r="J193" i="2"/>
  <c r="N239" i="2"/>
  <c r="M251" i="2"/>
  <c r="M276" i="2"/>
  <c r="K277" i="2"/>
  <c r="M284" i="2"/>
  <c r="K285" i="2"/>
  <c r="M292" i="2"/>
  <c r="K293" i="2"/>
  <c r="M300" i="2"/>
  <c r="K301" i="2"/>
  <c r="M308" i="2"/>
  <c r="K309" i="2"/>
  <c r="M316" i="2"/>
  <c r="K317" i="2"/>
  <c r="M324" i="2"/>
  <c r="K325" i="2"/>
  <c r="M332" i="2"/>
  <c r="K333" i="2"/>
  <c r="M340" i="2"/>
  <c r="K341" i="2"/>
  <c r="M348" i="2"/>
  <c r="K349" i="2"/>
  <c r="M356" i="2"/>
  <c r="K357" i="2"/>
  <c r="M364" i="2"/>
  <c r="K365" i="2"/>
  <c r="J169" i="2"/>
  <c r="N191" i="2"/>
  <c r="M203" i="2"/>
  <c r="L232" i="2"/>
  <c r="K244" i="2"/>
  <c r="K270" i="2"/>
  <c r="M277" i="2"/>
  <c r="K278" i="2"/>
  <c r="M285" i="2"/>
  <c r="K286" i="2"/>
  <c r="M293" i="2"/>
  <c r="K294" i="2"/>
  <c r="M301" i="2"/>
  <c r="K302" i="2"/>
  <c r="M309" i="2"/>
  <c r="K310" i="2"/>
  <c r="M317" i="2"/>
  <c r="K318" i="2"/>
  <c r="M325" i="2"/>
  <c r="K326" i="2"/>
  <c r="M333" i="2"/>
  <c r="K334" i="2"/>
  <c r="M341" i="2"/>
  <c r="K342" i="2"/>
  <c r="M349" i="2"/>
  <c r="K350" i="2"/>
  <c r="M357" i="2"/>
  <c r="K358" i="2"/>
  <c r="M365" i="2"/>
  <c r="N167" i="2"/>
  <c r="M179" i="2"/>
  <c r="L208" i="2"/>
  <c r="K220" i="2"/>
  <c r="J249" i="2"/>
  <c r="L270" i="2"/>
  <c r="J271" i="2"/>
  <c r="N277" i="2"/>
  <c r="L278" i="2"/>
  <c r="J279" i="2"/>
  <c r="N285" i="2"/>
  <c r="L286" i="2"/>
  <c r="J287" i="2"/>
  <c r="N293" i="2"/>
  <c r="L294" i="2"/>
  <c r="J295" i="2"/>
  <c r="N301" i="2"/>
  <c r="L302" i="2"/>
  <c r="J303" i="2"/>
  <c r="N309" i="2"/>
  <c r="L310" i="2"/>
  <c r="J311" i="2"/>
  <c r="N317" i="2"/>
  <c r="L318" i="2"/>
  <c r="J319" i="2"/>
  <c r="N325" i="2"/>
  <c r="L326" i="2"/>
  <c r="J327" i="2"/>
  <c r="N333" i="2"/>
  <c r="L334" i="2"/>
  <c r="J335" i="2"/>
  <c r="N341" i="2"/>
  <c r="L342" i="2"/>
  <c r="J343" i="2"/>
  <c r="N349" i="2"/>
  <c r="L350" i="2"/>
  <c r="J351" i="2"/>
  <c r="N357" i="2"/>
  <c r="L358" i="2"/>
  <c r="J359" i="2"/>
  <c r="N365" i="2"/>
  <c r="L366" i="2"/>
  <c r="L184" i="2"/>
  <c r="K196" i="2"/>
  <c r="J225" i="2"/>
  <c r="M270" i="2"/>
  <c r="K271" i="2"/>
  <c r="M278" i="2"/>
  <c r="K279" i="2"/>
  <c r="M286" i="2"/>
  <c r="K287" i="2"/>
  <c r="M294" i="2"/>
  <c r="K295" i="2"/>
  <c r="M302" i="2"/>
  <c r="K303" i="2"/>
  <c r="M310" i="2"/>
  <c r="K311" i="2"/>
  <c r="M318" i="2"/>
  <c r="K319" i="2"/>
  <c r="M326" i="2"/>
  <c r="K327" i="2"/>
  <c r="M334" i="2"/>
  <c r="K335" i="2"/>
  <c r="M342" i="2"/>
  <c r="K343" i="2"/>
  <c r="M350" i="2"/>
  <c r="K351" i="2"/>
  <c r="M358" i="2"/>
  <c r="K359" i="2"/>
  <c r="L160" i="2"/>
  <c r="K172" i="2"/>
  <c r="J201" i="2"/>
  <c r="N247" i="2"/>
  <c r="M259" i="2"/>
  <c r="N270" i="2"/>
  <c r="L271" i="2"/>
  <c r="J272" i="2"/>
  <c r="N278" i="2"/>
  <c r="L279" i="2"/>
  <c r="J280" i="2"/>
  <c r="N286" i="2"/>
  <c r="L287" i="2"/>
  <c r="J288" i="2"/>
  <c r="N294" i="2"/>
  <c r="L295" i="2"/>
  <c r="J296" i="2"/>
  <c r="N302" i="2"/>
  <c r="L303" i="2"/>
  <c r="J304" i="2"/>
  <c r="N310" i="2"/>
  <c r="L311" i="2"/>
  <c r="J312" i="2"/>
  <c r="N318" i="2"/>
  <c r="L319" i="2"/>
  <c r="J320" i="2"/>
  <c r="N326" i="2"/>
  <c r="L327" i="2"/>
  <c r="J328" i="2"/>
  <c r="N334" i="2"/>
  <c r="L335" i="2"/>
  <c r="J336" i="2"/>
  <c r="N342" i="2"/>
  <c r="L343" i="2"/>
  <c r="J344" i="2"/>
  <c r="N350" i="2"/>
  <c r="L351" i="2"/>
  <c r="J352" i="2"/>
  <c r="N358" i="2"/>
  <c r="L359" i="2"/>
  <c r="J360" i="2"/>
  <c r="N366" i="2"/>
  <c r="L367" i="2"/>
  <c r="J368" i="2"/>
  <c r="J177" i="2"/>
  <c r="N199" i="2"/>
  <c r="M211" i="2"/>
  <c r="L240" i="2"/>
  <c r="K252" i="2"/>
  <c r="N271" i="2"/>
  <c r="L272" i="2"/>
  <c r="J273" i="2"/>
  <c r="N279" i="2"/>
  <c r="L280" i="2"/>
  <c r="J281" i="2"/>
  <c r="N287" i="2"/>
  <c r="L288" i="2"/>
  <c r="J289" i="2"/>
  <c r="N295" i="2"/>
  <c r="L296" i="2"/>
  <c r="J297" i="2"/>
  <c r="N303" i="2"/>
  <c r="L304" i="2"/>
  <c r="J305" i="2"/>
  <c r="N311" i="2"/>
  <c r="L312" i="2"/>
  <c r="J313" i="2"/>
  <c r="N319" i="2"/>
  <c r="L320" i="2"/>
  <c r="J321" i="2"/>
  <c r="N327" i="2"/>
  <c r="L328" i="2"/>
  <c r="J329" i="2"/>
  <c r="N335" i="2"/>
  <c r="L336" i="2"/>
  <c r="J337" i="2"/>
  <c r="N343" i="2"/>
  <c r="L344" i="2"/>
  <c r="J345" i="2"/>
  <c r="N175" i="2"/>
  <c r="M187" i="2"/>
  <c r="L216" i="2"/>
  <c r="K228" i="2"/>
  <c r="J257" i="2"/>
  <c r="M272" i="2"/>
  <c r="K273" i="2"/>
  <c r="M280" i="2"/>
  <c r="K281" i="2"/>
  <c r="M288" i="2"/>
  <c r="K289" i="2"/>
  <c r="M296" i="2"/>
  <c r="K297" i="2"/>
  <c r="M304" i="2"/>
  <c r="K305" i="2"/>
  <c r="M312" i="2"/>
  <c r="K313" i="2"/>
  <c r="M320" i="2"/>
  <c r="K321" i="2"/>
  <c r="M328" i="2"/>
  <c r="K329" i="2"/>
  <c r="M336" i="2"/>
  <c r="K337" i="2"/>
  <c r="M344" i="2"/>
  <c r="K345" i="2"/>
  <c r="M163" i="2"/>
  <c r="L192" i="2"/>
  <c r="K204" i="2"/>
  <c r="J233" i="2"/>
  <c r="N272" i="2"/>
  <c r="L273" i="2"/>
  <c r="J274" i="2"/>
  <c r="N280" i="2"/>
  <c r="L281" i="2"/>
  <c r="J282" i="2"/>
  <c r="N288" i="2"/>
  <c r="L289" i="2"/>
  <c r="J290" i="2"/>
  <c r="N296" i="2"/>
  <c r="L297" i="2"/>
  <c r="J298" i="2"/>
  <c r="N304" i="2"/>
  <c r="L305" i="2"/>
  <c r="J306" i="2"/>
  <c r="N312" i="2"/>
  <c r="L313" i="2"/>
  <c r="J314" i="2"/>
  <c r="N320" i="2"/>
  <c r="L321" i="2"/>
  <c r="J322" i="2"/>
  <c r="N328" i="2"/>
  <c r="L329" i="2"/>
  <c r="J330" i="2"/>
  <c r="N336" i="2"/>
  <c r="L337" i="2"/>
  <c r="J338" i="2"/>
  <c r="N344" i="2"/>
  <c r="L345" i="2"/>
  <c r="J346" i="2"/>
  <c r="L168" i="2"/>
  <c r="K180" i="2"/>
  <c r="J209" i="2"/>
  <c r="N255" i="2"/>
  <c r="M267" i="2"/>
  <c r="M273" i="2"/>
  <c r="K274" i="2"/>
  <c r="M281" i="2"/>
  <c r="K282" i="2"/>
  <c r="M289" i="2"/>
  <c r="K290" i="2"/>
  <c r="M297" i="2"/>
  <c r="K298" i="2"/>
  <c r="M305" i="2"/>
  <c r="K306" i="2"/>
  <c r="M313" i="2"/>
  <c r="K314" i="2"/>
  <c r="M321" i="2"/>
  <c r="K322" i="2"/>
  <c r="M329" i="2"/>
  <c r="K330" i="2"/>
  <c r="M337" i="2"/>
  <c r="J161" i="2"/>
  <c r="N207" i="2"/>
  <c r="M219" i="2"/>
  <c r="L248" i="2"/>
  <c r="K260" i="2"/>
  <c r="M274" i="2"/>
  <c r="K275" i="2"/>
  <c r="M282" i="2"/>
  <c r="K283" i="2"/>
  <c r="M290" i="2"/>
  <c r="K291" i="2"/>
  <c r="M298" i="2"/>
  <c r="K299" i="2"/>
  <c r="M306" i="2"/>
  <c r="K307" i="2"/>
  <c r="M314" i="2"/>
  <c r="K315" i="2"/>
  <c r="M322" i="2"/>
  <c r="K323" i="2"/>
  <c r="M330" i="2"/>
  <c r="K331" i="2"/>
  <c r="M171" i="2"/>
  <c r="L200" i="2"/>
  <c r="K212" i="2"/>
  <c r="J241" i="2"/>
  <c r="M275" i="2"/>
  <c r="K276" i="2"/>
  <c r="M283" i="2"/>
  <c r="K284" i="2"/>
  <c r="M291" i="2"/>
  <c r="K292" i="2"/>
  <c r="M299" i="2"/>
  <c r="K300" i="2"/>
  <c r="M307" i="2"/>
  <c r="K308" i="2"/>
  <c r="M315" i="2"/>
  <c r="K316" i="2"/>
  <c r="M323" i="2"/>
  <c r="K324" i="2"/>
  <c r="M331" i="2"/>
  <c r="K332" i="2"/>
  <c r="M287" i="2"/>
  <c r="N306" i="2"/>
  <c r="J308" i="2"/>
  <c r="J310" i="2"/>
  <c r="N329" i="2"/>
  <c r="J331" i="2"/>
  <c r="L349" i="2"/>
  <c r="M355" i="2"/>
  <c r="N359" i="2"/>
  <c r="N360" i="2"/>
  <c r="N361" i="2"/>
  <c r="N370" i="2"/>
  <c r="M371" i="2"/>
  <c r="K372" i="2"/>
  <c r="M379" i="2"/>
  <c r="K380" i="2"/>
  <c r="M387" i="2"/>
  <c r="K388" i="2"/>
  <c r="M395" i="2"/>
  <c r="K396" i="2"/>
  <c r="M403" i="2"/>
  <c r="K404" i="2"/>
  <c r="M411" i="2"/>
  <c r="K412" i="2"/>
  <c r="M419" i="2"/>
  <c r="K420" i="2"/>
  <c r="M427" i="2"/>
  <c r="K428" i="2"/>
  <c r="M435" i="2"/>
  <c r="K436" i="2"/>
  <c r="M235" i="2"/>
  <c r="K272" i="2"/>
  <c r="L291" i="2"/>
  <c r="L293" i="2"/>
  <c r="L314" i="2"/>
  <c r="M335" i="2"/>
  <c r="J340" i="2"/>
  <c r="L346" i="2"/>
  <c r="K354" i="2"/>
  <c r="J364" i="2"/>
  <c r="M372" i="2"/>
  <c r="K373" i="2"/>
  <c r="M380" i="2"/>
  <c r="K381" i="2"/>
  <c r="M388" i="2"/>
  <c r="K389" i="2"/>
  <c r="M396" i="2"/>
  <c r="K397" i="2"/>
  <c r="M404" i="2"/>
  <c r="K405" i="2"/>
  <c r="M412" i="2"/>
  <c r="K413" i="2"/>
  <c r="M420" i="2"/>
  <c r="K421" i="2"/>
  <c r="M428" i="2"/>
  <c r="K429" i="2"/>
  <c r="M436" i="2"/>
  <c r="K437" i="2"/>
  <c r="L256" i="2"/>
  <c r="L274" i="2"/>
  <c r="M295" i="2"/>
  <c r="N314" i="2"/>
  <c r="J316" i="2"/>
  <c r="J318" i="2"/>
  <c r="N337" i="2"/>
  <c r="K340" i="2"/>
  <c r="M346" i="2"/>
  <c r="J353" i="2"/>
  <c r="L354" i="2"/>
  <c r="K364" i="2"/>
  <c r="N372" i="2"/>
  <c r="L373" i="2"/>
  <c r="J374" i="2"/>
  <c r="N380" i="2"/>
  <c r="L381" i="2"/>
  <c r="J382" i="2"/>
  <c r="N388" i="2"/>
  <c r="L389" i="2"/>
  <c r="J390" i="2"/>
  <c r="N396" i="2"/>
  <c r="L397" i="2"/>
  <c r="J398" i="2"/>
  <c r="N404" i="2"/>
  <c r="L405" i="2"/>
  <c r="J406" i="2"/>
  <c r="N412" i="2"/>
  <c r="L413" i="2"/>
  <c r="J414" i="2"/>
  <c r="N420" i="2"/>
  <c r="L421" i="2"/>
  <c r="J422" i="2"/>
  <c r="N428" i="2"/>
  <c r="L429" i="2"/>
  <c r="J430" i="2"/>
  <c r="N436" i="2"/>
  <c r="L437" i="2"/>
  <c r="J438" i="2"/>
  <c r="K268" i="2"/>
  <c r="N276" i="2"/>
  <c r="K280" i="2"/>
  <c r="L299" i="2"/>
  <c r="L301" i="2"/>
  <c r="L322" i="2"/>
  <c r="L352" i="2"/>
  <c r="L353" i="2"/>
  <c r="N354" i="2"/>
  <c r="L357" i="2"/>
  <c r="N373" i="2"/>
  <c r="L374" i="2"/>
  <c r="J375" i="2"/>
  <c r="N381" i="2"/>
  <c r="L382" i="2"/>
  <c r="J383" i="2"/>
  <c r="N389" i="2"/>
  <c r="L390" i="2"/>
  <c r="J391" i="2"/>
  <c r="N397" i="2"/>
  <c r="L398" i="2"/>
  <c r="J399" i="2"/>
  <c r="N405" i="2"/>
  <c r="L406" i="2"/>
  <c r="J407" i="2"/>
  <c r="N413" i="2"/>
  <c r="L414" i="2"/>
  <c r="J415" i="2"/>
  <c r="N421" i="2"/>
  <c r="L422" i="2"/>
  <c r="J423" i="2"/>
  <c r="N429" i="2"/>
  <c r="L430" i="2"/>
  <c r="J431" i="2"/>
  <c r="N437" i="2"/>
  <c r="L438" i="2"/>
  <c r="J439" i="2"/>
  <c r="L224" i="2"/>
  <c r="N282" i="2"/>
  <c r="J284" i="2"/>
  <c r="J286" i="2"/>
  <c r="N305" i="2"/>
  <c r="J307" i="2"/>
  <c r="N324" i="2"/>
  <c r="K328" i="2"/>
  <c r="J339" i="2"/>
  <c r="N345" i="2"/>
  <c r="J348" i="2"/>
  <c r="N351" i="2"/>
  <c r="N352" i="2"/>
  <c r="N353" i="2"/>
  <c r="K363" i="2"/>
  <c r="N374" i="2"/>
  <c r="L375" i="2"/>
  <c r="J376" i="2"/>
  <c r="N382" i="2"/>
  <c r="L383" i="2"/>
  <c r="J384" i="2"/>
  <c r="N390" i="2"/>
  <c r="L391" i="2"/>
  <c r="J392" i="2"/>
  <c r="N398" i="2"/>
  <c r="L399" i="2"/>
  <c r="J400" i="2"/>
  <c r="N406" i="2"/>
  <c r="L407" i="2"/>
  <c r="J408" i="2"/>
  <c r="N414" i="2"/>
  <c r="L415" i="2"/>
  <c r="J416" i="2"/>
  <c r="N422" i="2"/>
  <c r="L423" i="2"/>
  <c r="J424" i="2"/>
  <c r="N430" i="2"/>
  <c r="L431" i="2"/>
  <c r="M227" i="2"/>
  <c r="K236" i="2"/>
  <c r="N284" i="2"/>
  <c r="K288" i="2"/>
  <c r="L307" i="2"/>
  <c r="L309" i="2"/>
  <c r="L330" i="2"/>
  <c r="K339" i="2"/>
  <c r="K348" i="2"/>
  <c r="L363" i="2"/>
  <c r="M375" i="2"/>
  <c r="K376" i="2"/>
  <c r="M383" i="2"/>
  <c r="K384" i="2"/>
  <c r="M391" i="2"/>
  <c r="K392" i="2"/>
  <c r="M399" i="2"/>
  <c r="K400" i="2"/>
  <c r="M407" i="2"/>
  <c r="K408" i="2"/>
  <c r="M415" i="2"/>
  <c r="K416" i="2"/>
  <c r="M423" i="2"/>
  <c r="K424" i="2"/>
  <c r="M195" i="2"/>
  <c r="L290" i="2"/>
  <c r="M311" i="2"/>
  <c r="N330" i="2"/>
  <c r="J332" i="2"/>
  <c r="J334" i="2"/>
  <c r="L339" i="2"/>
  <c r="N348" i="2"/>
  <c r="J350" i="2"/>
  <c r="J356" i="2"/>
  <c r="M363" i="2"/>
  <c r="N375" i="2"/>
  <c r="L376" i="2"/>
  <c r="J377" i="2"/>
  <c r="N383" i="2"/>
  <c r="L384" i="2"/>
  <c r="J385" i="2"/>
  <c r="N391" i="2"/>
  <c r="L392" i="2"/>
  <c r="J393" i="2"/>
  <c r="N399" i="2"/>
  <c r="L400" i="2"/>
  <c r="J401" i="2"/>
  <c r="N407" i="2"/>
  <c r="L408" i="2"/>
  <c r="J409" i="2"/>
  <c r="N415" i="2"/>
  <c r="L416" i="2"/>
  <c r="J417" i="2"/>
  <c r="N423" i="2"/>
  <c r="L424" i="2"/>
  <c r="J425" i="2"/>
  <c r="N431" i="2"/>
  <c r="L275" i="2"/>
  <c r="L277" i="2"/>
  <c r="L298" i="2"/>
  <c r="M319" i="2"/>
  <c r="K338" i="2"/>
  <c r="J347" i="2"/>
  <c r="J361" i="2"/>
  <c r="L362" i="2"/>
  <c r="K366" i="2"/>
  <c r="K367" i="2"/>
  <c r="L368" i="2"/>
  <c r="K369" i="2"/>
  <c r="J370" i="2"/>
  <c r="M377" i="2"/>
  <c r="K378" i="2"/>
  <c r="M385" i="2"/>
  <c r="K386" i="2"/>
  <c r="M393" i="2"/>
  <c r="K394" i="2"/>
  <c r="M401" i="2"/>
  <c r="K402" i="2"/>
  <c r="M409" i="2"/>
  <c r="K410" i="2"/>
  <c r="M417" i="2"/>
  <c r="K418" i="2"/>
  <c r="L264" i="2"/>
  <c r="N281" i="2"/>
  <c r="J283" i="2"/>
  <c r="N300" i="2"/>
  <c r="K304" i="2"/>
  <c r="L323" i="2"/>
  <c r="L325" i="2"/>
  <c r="M338" i="2"/>
  <c r="L347" i="2"/>
  <c r="K355" i="2"/>
  <c r="L360" i="2"/>
  <c r="L361" i="2"/>
  <c r="N362" i="2"/>
  <c r="L365" i="2"/>
  <c r="N367" i="2"/>
  <c r="N368" i="2"/>
  <c r="M369" i="2"/>
  <c r="L370" i="2"/>
  <c r="K371" i="2"/>
  <c r="M378" i="2"/>
  <c r="K379" i="2"/>
  <c r="M386" i="2"/>
  <c r="K387" i="2"/>
  <c r="M394" i="2"/>
  <c r="K395" i="2"/>
  <c r="L317" i="2"/>
  <c r="N332" i="2"/>
  <c r="N215" i="2"/>
  <c r="M243" i="2"/>
  <c r="J265" i="2"/>
  <c r="N273" i="2"/>
  <c r="M327" i="2"/>
  <c r="M339" i="2"/>
  <c r="J278" i="2"/>
  <c r="L283" i="2"/>
  <c r="J300" i="2"/>
  <c r="J315" i="2"/>
  <c r="N322" i="2"/>
  <c r="K361" i="2"/>
  <c r="L315" i="2"/>
  <c r="K352" i="2"/>
  <c r="M361" i="2"/>
  <c r="J373" i="2"/>
  <c r="L404" i="2"/>
  <c r="J411" i="2"/>
  <c r="J418" i="2"/>
  <c r="L427" i="2"/>
  <c r="K431" i="2"/>
  <c r="L432" i="2"/>
  <c r="M433" i="2"/>
  <c r="N447" i="2"/>
  <c r="L448" i="2"/>
  <c r="J449" i="2"/>
  <c r="N455" i="2"/>
  <c r="L456" i="2"/>
  <c r="J457" i="2"/>
  <c r="N463" i="2"/>
  <c r="L464" i="2"/>
  <c r="J465" i="2"/>
  <c r="N471" i="2"/>
  <c r="L472" i="2"/>
  <c r="J473" i="2"/>
  <c r="N479" i="2"/>
  <c r="L480" i="2"/>
  <c r="J481" i="2"/>
  <c r="N487" i="2"/>
  <c r="L488" i="2"/>
  <c r="J489" i="2"/>
  <c r="N495" i="2"/>
  <c r="L496" i="2"/>
  <c r="J497" i="2"/>
  <c r="N503" i="2"/>
  <c r="L504" i="2"/>
  <c r="J505" i="2"/>
  <c r="J185" i="2"/>
  <c r="N231" i="2"/>
  <c r="M271" i="2"/>
  <c r="K320" i="2"/>
  <c r="K344" i="2"/>
  <c r="M352" i="2"/>
  <c r="J363" i="2"/>
  <c r="K370" i="2"/>
  <c r="M373" i="2"/>
  <c r="M376" i="2"/>
  <c r="J379" i="2"/>
  <c r="K382" i="2"/>
  <c r="K385" i="2"/>
  <c r="J388" i="2"/>
  <c r="K407" i="2"/>
  <c r="K411" i="2"/>
  <c r="K414" i="2"/>
  <c r="L418" i="2"/>
  <c r="J426" i="2"/>
  <c r="N427" i="2"/>
  <c r="M431" i="2"/>
  <c r="M432" i="2"/>
  <c r="N433" i="2"/>
  <c r="M448" i="2"/>
  <c r="K449" i="2"/>
  <c r="M456" i="2"/>
  <c r="K457" i="2"/>
  <c r="M464" i="2"/>
  <c r="K465" i="2"/>
  <c r="M472" i="2"/>
  <c r="K473" i="2"/>
  <c r="M480" i="2"/>
  <c r="K481" i="2"/>
  <c r="M488" i="2"/>
  <c r="K489" i="2"/>
  <c r="M496" i="2"/>
  <c r="K497" i="2"/>
  <c r="M504" i="2"/>
  <c r="K505" i="2"/>
  <c r="J276" i="2"/>
  <c r="J291" i="2"/>
  <c r="N298" i="2"/>
  <c r="N308" i="2"/>
  <c r="N313" i="2"/>
  <c r="J342" i="2"/>
  <c r="K346" i="2"/>
  <c r="M303" i="2"/>
  <c r="N346" i="2"/>
  <c r="J354" i="2"/>
  <c r="K356" i="2"/>
  <c r="M367" i="2"/>
  <c r="N379" i="2"/>
  <c r="N385" i="2"/>
  <c r="L394" i="2"/>
  <c r="M397" i="2"/>
  <c r="M400" i="2"/>
  <c r="N411" i="2"/>
  <c r="N418" i="2"/>
  <c r="M421" i="2"/>
  <c r="L426" i="2"/>
  <c r="M430" i="2"/>
  <c r="J441" i="2"/>
  <c r="K442" i="2"/>
  <c r="M449" i="2"/>
  <c r="K450" i="2"/>
  <c r="M457" i="2"/>
  <c r="K458" i="2"/>
  <c r="M465" i="2"/>
  <c r="K466" i="2"/>
  <c r="M473" i="2"/>
  <c r="K474" i="2"/>
  <c r="M481" i="2"/>
  <c r="K482" i="2"/>
  <c r="M489" i="2"/>
  <c r="K490" i="2"/>
  <c r="M497" i="2"/>
  <c r="K498" i="2"/>
  <c r="M505" i="2"/>
  <c r="K506" i="2"/>
  <c r="K296" i="2"/>
  <c r="L333" i="2"/>
  <c r="M354" i="2"/>
  <c r="N356" i="2"/>
  <c r="J358" i="2"/>
  <c r="N274" i="2"/>
  <c r="N289" i="2"/>
  <c r="L306" i="2"/>
  <c r="J323" i="2"/>
  <c r="N340" i="2"/>
  <c r="K360" i="2"/>
  <c r="N183" i="2"/>
  <c r="M279" i="2"/>
  <c r="J294" i="2"/>
  <c r="L338" i="2"/>
  <c r="M360" i="2"/>
  <c r="J369" i="2"/>
  <c r="L372" i="2"/>
  <c r="K375" i="2"/>
  <c r="J378" i="2"/>
  <c r="J381" i="2"/>
  <c r="L403" i="2"/>
  <c r="M406" i="2"/>
  <c r="M410" i="2"/>
  <c r="J413" i="2"/>
  <c r="N417" i="2"/>
  <c r="M425" i="2"/>
  <c r="M429" i="2"/>
  <c r="M437" i="2"/>
  <c r="N438" i="2"/>
  <c r="M439" i="2"/>
  <c r="L440" i="2"/>
  <c r="M441" i="2"/>
  <c r="N442" i="2"/>
  <c r="L443" i="2"/>
  <c r="J444" i="2"/>
  <c r="N450" i="2"/>
  <c r="L451" i="2"/>
  <c r="J452" i="2"/>
  <c r="N458" i="2"/>
  <c r="L459" i="2"/>
  <c r="J460" i="2"/>
  <c r="N466" i="2"/>
  <c r="L467" i="2"/>
  <c r="J468" i="2"/>
  <c r="N474" i="2"/>
  <c r="L475" i="2"/>
  <c r="J476" i="2"/>
  <c r="N482" i="2"/>
  <c r="L483" i="2"/>
  <c r="J484" i="2"/>
  <c r="N490" i="2"/>
  <c r="L491" i="2"/>
  <c r="J492" i="2"/>
  <c r="N498" i="2"/>
  <c r="L499" i="2"/>
  <c r="J500" i="2"/>
  <c r="N316" i="2"/>
  <c r="L331" i="2"/>
  <c r="K336" i="2"/>
  <c r="N338" i="2"/>
  <c r="M351" i="2"/>
  <c r="L369" i="2"/>
  <c r="L378" i="2"/>
  <c r="M381" i="2"/>
  <c r="M384" i="2"/>
  <c r="J387" i="2"/>
  <c r="K390" i="2"/>
  <c r="K393" i="2"/>
  <c r="J396" i="2"/>
  <c r="N403" i="2"/>
  <c r="N410" i="2"/>
  <c r="M413" i="2"/>
  <c r="J420" i="2"/>
  <c r="N425" i="2"/>
  <c r="J436" i="2"/>
  <c r="N439" i="2"/>
  <c r="M440" i="2"/>
  <c r="N441" i="2"/>
  <c r="M443" i="2"/>
  <c r="K444" i="2"/>
  <c r="M451" i="2"/>
  <c r="K452" i="2"/>
  <c r="M459" i="2"/>
  <c r="K460" i="2"/>
  <c r="M467" i="2"/>
  <c r="K468" i="2"/>
  <c r="M475" i="2"/>
  <c r="K476" i="2"/>
  <c r="M483" i="2"/>
  <c r="K484" i="2"/>
  <c r="M491" i="2"/>
  <c r="K492" i="2"/>
  <c r="M499" i="2"/>
  <c r="K500" i="2"/>
  <c r="N223" i="2"/>
  <c r="J299" i="2"/>
  <c r="N321" i="2"/>
  <c r="J326" i="2"/>
  <c r="J362" i="2"/>
  <c r="J366" i="2"/>
  <c r="N369" i="2"/>
  <c r="N378" i="2"/>
  <c r="N384" i="2"/>
  <c r="L387" i="2"/>
  <c r="M390" i="2"/>
  <c r="L393" i="2"/>
  <c r="L396" i="2"/>
  <c r="K399" i="2"/>
  <c r="J402" i="2"/>
  <c r="K409" i="2"/>
  <c r="L420" i="2"/>
  <c r="M424" i="2"/>
  <c r="L436" i="2"/>
  <c r="N440" i="2"/>
  <c r="N443" i="2"/>
  <c r="L444" i="2"/>
  <c r="J445" i="2"/>
  <c r="N451" i="2"/>
  <c r="L452" i="2"/>
  <c r="J453" i="2"/>
  <c r="N459" i="2"/>
  <c r="L460" i="2"/>
  <c r="J461" i="2"/>
  <c r="N467" i="2"/>
  <c r="L468" i="2"/>
  <c r="J469" i="2"/>
  <c r="N475" i="2"/>
  <c r="L476" i="2"/>
  <c r="J477" i="2"/>
  <c r="N483" i="2"/>
  <c r="L484" i="2"/>
  <c r="J485" i="2"/>
  <c r="N491" i="2"/>
  <c r="L492" i="2"/>
  <c r="J493" i="2"/>
  <c r="L282" i="2"/>
  <c r="J292" i="2"/>
  <c r="M343" i="2"/>
  <c r="K362" i="2"/>
  <c r="N364" i="2"/>
  <c r="M366" i="2"/>
  <c r="N387" i="2"/>
  <c r="N393" i="2"/>
  <c r="L402" i="2"/>
  <c r="L409" i="2"/>
  <c r="M416" i="2"/>
  <c r="N424" i="2"/>
  <c r="J428" i="2"/>
  <c r="J435" i="2"/>
  <c r="M444" i="2"/>
  <c r="K445" i="2"/>
  <c r="M452" i="2"/>
  <c r="K453" i="2"/>
  <c r="M460" i="2"/>
  <c r="K461" i="2"/>
  <c r="M468" i="2"/>
  <c r="K469" i="2"/>
  <c r="M476" i="2"/>
  <c r="K477" i="2"/>
  <c r="M484" i="2"/>
  <c r="K485" i="2"/>
  <c r="M492" i="2"/>
  <c r="K493" i="2"/>
  <c r="J270" i="2"/>
  <c r="N292" i="2"/>
  <c r="M345" i="2"/>
  <c r="K347" i="2"/>
  <c r="K353" i="2"/>
  <c r="M362" i="2"/>
  <c r="M402" i="2"/>
  <c r="J405" i="2"/>
  <c r="N409" i="2"/>
  <c r="N416" i="2"/>
  <c r="L428" i="2"/>
  <c r="K435" i="2"/>
  <c r="N444" i="2"/>
  <c r="L445" i="2"/>
  <c r="J446" i="2"/>
  <c r="N452" i="2"/>
  <c r="L453" i="2"/>
  <c r="J454" i="2"/>
  <c r="N460" i="2"/>
  <c r="L461" i="2"/>
  <c r="J462" i="2"/>
  <c r="N468" i="2"/>
  <c r="L469" i="2"/>
  <c r="J470" i="2"/>
  <c r="N476" i="2"/>
  <c r="L477" i="2"/>
  <c r="J478" i="2"/>
  <c r="N484" i="2"/>
  <c r="L485" i="2"/>
  <c r="J486" i="2"/>
  <c r="N492" i="2"/>
  <c r="L493" i="2"/>
  <c r="J494" i="2"/>
  <c r="L371" i="2"/>
  <c r="K398" i="2"/>
  <c r="J437" i="2"/>
  <c r="J440" i="2"/>
  <c r="K443" i="2"/>
  <c r="K447" i="2"/>
  <c r="L450" i="2"/>
  <c r="M454" i="2"/>
  <c r="K472" i="2"/>
  <c r="K475" i="2"/>
  <c r="K479" i="2"/>
  <c r="L482" i="2"/>
  <c r="M486" i="2"/>
  <c r="N497" i="2"/>
  <c r="M517" i="2"/>
  <c r="K518" i="2"/>
  <c r="M525" i="2"/>
  <c r="K526" i="2"/>
  <c r="M533" i="2"/>
  <c r="K534" i="2"/>
  <c r="N371" i="2"/>
  <c r="J394" i="2"/>
  <c r="M398" i="2"/>
  <c r="N400" i="2"/>
  <c r="N402" i="2"/>
  <c r="J404" i="2"/>
  <c r="J434" i="2"/>
  <c r="K440" i="2"/>
  <c r="L447" i="2"/>
  <c r="M450" i="2"/>
  <c r="N454" i="2"/>
  <c r="L457" i="2"/>
  <c r="N472" i="2"/>
  <c r="L479" i="2"/>
  <c r="M482" i="2"/>
  <c r="N486" i="2"/>
  <c r="L489" i="2"/>
  <c r="N517" i="2"/>
  <c r="L518" i="2"/>
  <c r="J519" i="2"/>
  <c r="N525" i="2"/>
  <c r="L526" i="2"/>
  <c r="J527" i="2"/>
  <c r="N533" i="2"/>
  <c r="L534" i="2"/>
  <c r="J535" i="2"/>
  <c r="K478" i="2"/>
  <c r="M485" i="2"/>
  <c r="N489" i="2"/>
  <c r="J506" i="2"/>
  <c r="J511" i="2"/>
  <c r="M518" i="2"/>
  <c r="M526" i="2"/>
  <c r="K535" i="2"/>
  <c r="M347" i="2"/>
  <c r="M353" i="2"/>
  <c r="L388" i="2"/>
  <c r="M392" i="2"/>
  <c r="N394" i="2"/>
  <c r="M408" i="2"/>
  <c r="K425" i="2"/>
  <c r="J427" i="2"/>
  <c r="K434" i="2"/>
  <c r="K446" i="2"/>
  <c r="M447" i="2"/>
  <c r="M453" i="2"/>
  <c r="N457" i="2"/>
  <c r="M479" i="2"/>
  <c r="K519" i="2"/>
  <c r="K527" i="2"/>
  <c r="M534" i="2"/>
  <c r="J386" i="2"/>
  <c r="N392" i="2"/>
  <c r="K406" i="2"/>
  <c r="N408" i="2"/>
  <c r="J412" i="2"/>
  <c r="M414" i="2"/>
  <c r="L425" i="2"/>
  <c r="K427" i="2"/>
  <c r="L434" i="2"/>
  <c r="J442" i="2"/>
  <c r="L446" i="2"/>
  <c r="N453" i="2"/>
  <c r="J464" i="2"/>
  <c r="J467" i="2"/>
  <c r="J471" i="2"/>
  <c r="J474" i="2"/>
  <c r="L478" i="2"/>
  <c r="N485" i="2"/>
  <c r="J496" i="2"/>
  <c r="L505" i="2"/>
  <c r="L506" i="2"/>
  <c r="J507" i="2"/>
  <c r="J510" i="2"/>
  <c r="K511" i="2"/>
  <c r="J512" i="2"/>
  <c r="N518" i="2"/>
  <c r="L519" i="2"/>
  <c r="J520" i="2"/>
  <c r="N526" i="2"/>
  <c r="L527" i="2"/>
  <c r="J528" i="2"/>
  <c r="N534" i="2"/>
  <c r="L535" i="2"/>
  <c r="J536" i="2"/>
  <c r="K470" i="2"/>
  <c r="L508" i="2"/>
  <c r="M512" i="2"/>
  <c r="K521" i="2"/>
  <c r="M528" i="2"/>
  <c r="N290" i="2"/>
  <c r="J302" i="2"/>
  <c r="J367" i="2"/>
  <c r="K374" i="2"/>
  <c r="N376" i="2"/>
  <c r="J380" i="2"/>
  <c r="M382" i="2"/>
  <c r="L386" i="2"/>
  <c r="J410" i="2"/>
  <c r="L412" i="2"/>
  <c r="M418" i="2"/>
  <c r="K422" i="2"/>
  <c r="J429" i="2"/>
  <c r="M434" i="2"/>
  <c r="L442" i="2"/>
  <c r="M446" i="2"/>
  <c r="K464" i="2"/>
  <c r="K467" i="2"/>
  <c r="K471" i="2"/>
  <c r="L474" i="2"/>
  <c r="M478" i="2"/>
  <c r="K496" i="2"/>
  <c r="J504" i="2"/>
  <c r="N505" i="2"/>
  <c r="M506" i="2"/>
  <c r="K507" i="2"/>
  <c r="J508" i="2"/>
  <c r="J509" i="2"/>
  <c r="K510" i="2"/>
  <c r="L511" i="2"/>
  <c r="K512" i="2"/>
  <c r="M519" i="2"/>
  <c r="K520" i="2"/>
  <c r="M527" i="2"/>
  <c r="K528" i="2"/>
  <c r="M535" i="2"/>
  <c r="K536" i="2"/>
  <c r="N481" i="2"/>
  <c r="J502" i="2"/>
  <c r="M507" i="2"/>
  <c r="N511" i="2"/>
  <c r="J275" i="2"/>
  <c r="M359" i="2"/>
  <c r="M374" i="2"/>
  <c r="L380" i="2"/>
  <c r="N386" i="2"/>
  <c r="L410" i="2"/>
  <c r="M422" i="2"/>
  <c r="N434" i="2"/>
  <c r="K439" i="2"/>
  <c r="M442" i="2"/>
  <c r="N446" i="2"/>
  <c r="L449" i="2"/>
  <c r="N464" i="2"/>
  <c r="L471" i="2"/>
  <c r="M474" i="2"/>
  <c r="N478" i="2"/>
  <c r="L481" i="2"/>
  <c r="N496" i="2"/>
  <c r="J503" i="2"/>
  <c r="K504" i="2"/>
  <c r="N506" i="2"/>
  <c r="L507" i="2"/>
  <c r="K508" i="2"/>
  <c r="K509" i="2"/>
  <c r="L510" i="2"/>
  <c r="M511" i="2"/>
  <c r="L512" i="2"/>
  <c r="J513" i="2"/>
  <c r="N519" i="2"/>
  <c r="L520" i="2"/>
  <c r="J521" i="2"/>
  <c r="N527" i="2"/>
  <c r="L528" i="2"/>
  <c r="J529" i="2"/>
  <c r="N535" i="2"/>
  <c r="L536" i="2"/>
  <c r="N504" i="2"/>
  <c r="M510" i="2"/>
  <c r="M520" i="2"/>
  <c r="J433" i="2"/>
  <c r="L439" i="2"/>
  <c r="M445" i="2"/>
  <c r="N449" i="2"/>
  <c r="M471" i="2"/>
  <c r="M477" i="2"/>
  <c r="K503" i="2"/>
  <c r="L509" i="2"/>
  <c r="K513" i="2"/>
  <c r="K529" i="2"/>
  <c r="M536" i="2"/>
  <c r="J324" i="2"/>
  <c r="J372" i="2"/>
  <c r="K433" i="2"/>
  <c r="N445" i="2"/>
  <c r="J456" i="2"/>
  <c r="J459" i="2"/>
  <c r="J463" i="2"/>
  <c r="J466" i="2"/>
  <c r="L470" i="2"/>
  <c r="N477" i="2"/>
  <c r="J488" i="2"/>
  <c r="J491" i="2"/>
  <c r="J495" i="2"/>
  <c r="J501" i="2"/>
  <c r="K502" i="2"/>
  <c r="L503" i="2"/>
  <c r="N507" i="2"/>
  <c r="M508" i="2"/>
  <c r="M509" i="2"/>
  <c r="N510" i="2"/>
  <c r="N512" i="2"/>
  <c r="L513" i="2"/>
  <c r="J514" i="2"/>
  <c r="N520" i="2"/>
  <c r="L521" i="2"/>
  <c r="J522" i="2"/>
  <c r="N528" i="2"/>
  <c r="L529" i="2"/>
  <c r="J530" i="2"/>
  <c r="N536" i="2"/>
  <c r="K312" i="2"/>
  <c r="M370" i="2"/>
  <c r="J397" i="2"/>
  <c r="K401" i="2"/>
  <c r="L433" i="2"/>
  <c r="K456" i="2"/>
  <c r="K459" i="2"/>
  <c r="K463" i="2"/>
  <c r="L466" i="2"/>
  <c r="M470" i="2"/>
  <c r="K488" i="2"/>
  <c r="K491" i="2"/>
  <c r="K495" i="2"/>
  <c r="K501" i="2"/>
  <c r="L502" i="2"/>
  <c r="M503" i="2"/>
  <c r="N508" i="2"/>
  <c r="N509" i="2"/>
  <c r="M513" i="2"/>
  <c r="K514" i="2"/>
  <c r="M521" i="2"/>
  <c r="K522" i="2"/>
  <c r="M529" i="2"/>
  <c r="K530" i="2"/>
  <c r="K455" i="2"/>
  <c r="L285" i="2"/>
  <c r="N297" i="2"/>
  <c r="J395" i="2"/>
  <c r="L401" i="2"/>
  <c r="M405" i="2"/>
  <c r="N456" i="2"/>
  <c r="L463" i="2"/>
  <c r="M466" i="2"/>
  <c r="N470" i="2"/>
  <c r="L473" i="2"/>
  <c r="N488" i="2"/>
  <c r="L495" i="2"/>
  <c r="L500" i="2"/>
  <c r="L501" i="2"/>
  <c r="M502" i="2"/>
  <c r="N513" i="2"/>
  <c r="L514" i="2"/>
  <c r="J515" i="2"/>
  <c r="N521" i="2"/>
  <c r="L522" i="2"/>
  <c r="J523" i="2"/>
  <c r="N529" i="2"/>
  <c r="L530" i="2"/>
  <c r="J531" i="2"/>
  <c r="M530" i="2"/>
  <c r="N530" i="2"/>
  <c r="M368" i="2"/>
  <c r="J421" i="2"/>
  <c r="N426" i="2"/>
  <c r="K430" i="2"/>
  <c r="K448" i="2"/>
  <c r="L458" i="2"/>
  <c r="L490" i="2"/>
  <c r="M494" i="2"/>
  <c r="J389" i="2"/>
  <c r="K391" i="2"/>
  <c r="L395" i="2"/>
  <c r="N401" i="2"/>
  <c r="J403" i="2"/>
  <c r="K426" i="2"/>
  <c r="K438" i="2"/>
  <c r="K441" i="2"/>
  <c r="K462" i="2"/>
  <c r="M463" i="2"/>
  <c r="M469" i="2"/>
  <c r="N473" i="2"/>
  <c r="K494" i="2"/>
  <c r="M495" i="2"/>
  <c r="J499" i="2"/>
  <c r="M500" i="2"/>
  <c r="M501" i="2"/>
  <c r="N502" i="2"/>
  <c r="M514" i="2"/>
  <c r="K515" i="2"/>
  <c r="M522" i="2"/>
  <c r="K523" i="2"/>
  <c r="K531" i="2"/>
  <c r="L379" i="2"/>
  <c r="L435" i="2"/>
  <c r="K487" i="2"/>
  <c r="K368" i="2"/>
  <c r="L385" i="2"/>
  <c r="M389" i="2"/>
  <c r="N395" i="2"/>
  <c r="K403" i="2"/>
  <c r="L411" i="2"/>
  <c r="K415" i="2"/>
  <c r="M426" i="2"/>
  <c r="M438" i="2"/>
  <c r="L441" i="2"/>
  <c r="J448" i="2"/>
  <c r="J451" i="2"/>
  <c r="J455" i="2"/>
  <c r="J458" i="2"/>
  <c r="L462" i="2"/>
  <c r="N469" i="2"/>
  <c r="J480" i="2"/>
  <c r="J483" i="2"/>
  <c r="J487" i="2"/>
  <c r="J490" i="2"/>
  <c r="L494" i="2"/>
  <c r="J498" i="2"/>
  <c r="K499" i="2"/>
  <c r="N500" i="2"/>
  <c r="N501" i="2"/>
  <c r="N514" i="2"/>
  <c r="L515" i="2"/>
  <c r="J516" i="2"/>
  <c r="N522" i="2"/>
  <c r="L523" i="2"/>
  <c r="J524" i="2"/>
  <c r="L531" i="2"/>
  <c r="J532" i="2"/>
  <c r="K377" i="2"/>
  <c r="K383" i="2"/>
  <c r="J419" i="2"/>
  <c r="M462" i="2"/>
  <c r="K480" i="2"/>
  <c r="K483" i="2"/>
  <c r="L377" i="2"/>
  <c r="K417" i="2"/>
  <c r="K419" i="2"/>
  <c r="K432" i="2"/>
  <c r="N435" i="2"/>
  <c r="N448" i="2"/>
  <c r="L455" i="2"/>
  <c r="M458" i="2"/>
  <c r="N462" i="2"/>
  <c r="L465" i="2"/>
  <c r="N480" i="2"/>
  <c r="L487" i="2"/>
  <c r="M490" i="2"/>
  <c r="N494" i="2"/>
  <c r="M498" i="2"/>
  <c r="N515" i="2"/>
  <c r="L516" i="2"/>
  <c r="J517" i="2"/>
  <c r="N523" i="2"/>
  <c r="L524" i="2"/>
  <c r="J525" i="2"/>
  <c r="N531" i="2"/>
  <c r="L532" i="2"/>
  <c r="J533" i="2"/>
  <c r="K533" i="2"/>
  <c r="L355" i="2"/>
  <c r="J443" i="2"/>
  <c r="J447" i="2"/>
  <c r="J450" i="2"/>
  <c r="L454" i="2"/>
  <c r="J355" i="2"/>
  <c r="N377" i="2"/>
  <c r="L417" i="2"/>
  <c r="L419" i="2"/>
  <c r="K423" i="2"/>
  <c r="N432" i="2"/>
  <c r="K454" i="2"/>
  <c r="M455" i="2"/>
  <c r="M461" i="2"/>
  <c r="N465" i="2"/>
  <c r="K486" i="2"/>
  <c r="M487" i="2"/>
  <c r="M493" i="2"/>
  <c r="M516" i="2"/>
  <c r="K517" i="2"/>
  <c r="M524" i="2"/>
  <c r="K525" i="2"/>
  <c r="M532" i="2"/>
  <c r="L341" i="2"/>
  <c r="J371" i="2"/>
  <c r="N419" i="2"/>
  <c r="N524" i="2"/>
  <c r="L517" i="2"/>
  <c r="J534" i="2"/>
  <c r="J475" i="2"/>
  <c r="J518" i="2"/>
  <c r="J432" i="2"/>
  <c r="L486" i="2"/>
  <c r="M515" i="2"/>
  <c r="K532" i="2"/>
  <c r="L525" i="2"/>
  <c r="K451" i="2"/>
  <c r="L498" i="2"/>
  <c r="N532" i="2"/>
  <c r="J472" i="2"/>
  <c r="N516" i="2"/>
  <c r="L533" i="2"/>
  <c r="M523" i="2"/>
  <c r="N493" i="2"/>
  <c r="N461" i="2"/>
  <c r="K516" i="2"/>
  <c r="K524" i="2"/>
  <c r="J479" i="2"/>
  <c r="N499" i="2"/>
  <c r="J526" i="2"/>
  <c r="J482" i="2"/>
  <c r="M531" i="2"/>
  <c r="L497" i="2"/>
  <c r="M146" i="2"/>
  <c r="L148" i="2"/>
  <c r="M141" i="2"/>
  <c r="J144" i="2"/>
  <c r="K145" i="2"/>
  <c r="J118" i="2"/>
  <c r="K123" i="2"/>
  <c r="K119" i="2"/>
  <c r="J138" i="2"/>
  <c r="L112" i="2"/>
  <c r="K121" i="2"/>
  <c r="K130" i="2"/>
  <c r="K115" i="2"/>
  <c r="N123" i="2"/>
  <c r="J134" i="2"/>
  <c r="K116" i="2"/>
  <c r="N143" i="2"/>
  <c r="L113" i="2"/>
  <c r="K147" i="2"/>
  <c r="J149" i="2"/>
  <c r="K142" i="2"/>
  <c r="N150" i="2"/>
  <c r="M152" i="2"/>
  <c r="N124" i="2"/>
  <c r="L131" i="2"/>
  <c r="M126" i="2"/>
  <c r="K114" i="2"/>
  <c r="J113" i="2"/>
  <c r="M128" i="2"/>
  <c r="N114" i="2"/>
  <c r="M122" i="2"/>
  <c r="L124" i="2"/>
  <c r="K149" i="2"/>
  <c r="N121" i="2"/>
  <c r="K117" i="2"/>
  <c r="J129" i="2"/>
  <c r="M154" i="2"/>
  <c r="N155" i="2"/>
  <c r="M149" i="2"/>
  <c r="L151" i="2"/>
  <c r="K153" i="2"/>
  <c r="L125" i="2"/>
  <c r="N117" i="2"/>
  <c r="K127" i="2"/>
  <c r="K139" i="2"/>
  <c r="N119" i="2"/>
  <c r="K129" i="2"/>
  <c r="N138" i="2"/>
  <c r="K131" i="2"/>
  <c r="J125" i="2"/>
  <c r="L132" i="2"/>
  <c r="M143" i="2"/>
  <c r="L126" i="2"/>
  <c r="M119" i="2"/>
  <c r="L140" i="2"/>
  <c r="M156" i="2"/>
  <c r="N118" i="2"/>
  <c r="K155" i="2"/>
  <c r="L156" i="2"/>
  <c r="K150" i="2"/>
  <c r="J152" i="2"/>
  <c r="J146" i="2"/>
  <c r="J126" i="2"/>
  <c r="L118" i="2"/>
  <c r="M134" i="2"/>
  <c r="L123" i="2"/>
  <c r="L120" i="2"/>
  <c r="M136" i="2"/>
  <c r="N113" i="2"/>
  <c r="N122" i="2"/>
  <c r="N131" i="2"/>
  <c r="N154" i="2"/>
  <c r="L142" i="2"/>
  <c r="L147" i="2"/>
  <c r="K141" i="2"/>
  <c r="N149" i="2"/>
  <c r="K144" i="2"/>
  <c r="N152" i="2"/>
  <c r="N132" i="2"/>
  <c r="J119" i="2"/>
  <c r="K135" i="2"/>
  <c r="N130" i="2"/>
  <c r="J121" i="2"/>
  <c r="L137" i="2"/>
  <c r="L114" i="2"/>
  <c r="L139" i="2"/>
  <c r="M116" i="2"/>
  <c r="J112" i="2"/>
  <c r="L128" i="2"/>
  <c r="J156" i="2"/>
  <c r="L122" i="2"/>
  <c r="J148" i="2"/>
  <c r="M148" i="2"/>
  <c r="L145" i="2"/>
  <c r="K152" i="2"/>
  <c r="J154" i="2"/>
  <c r="L133" i="2"/>
  <c r="N125" i="2"/>
  <c r="K137" i="2"/>
  <c r="K112" i="2"/>
  <c r="N127" i="2"/>
  <c r="J116" i="2"/>
  <c r="J115" i="2"/>
  <c r="M115" i="2"/>
  <c r="J133" i="2"/>
  <c r="N141" i="2"/>
  <c r="N112" i="2"/>
  <c r="N140" i="2"/>
  <c r="M123" i="2"/>
  <c r="M145" i="2"/>
  <c r="K146" i="2"/>
  <c r="M153" i="2"/>
  <c r="K156" i="2"/>
  <c r="L150" i="2"/>
  <c r="J143" i="2"/>
  <c r="L144" i="2"/>
  <c r="M124" i="2"/>
  <c r="M117" i="2"/>
  <c r="N133" i="2"/>
  <c r="L119" i="2"/>
  <c r="M127" i="2"/>
  <c r="N135" i="2"/>
  <c r="J114" i="2"/>
  <c r="J123" i="2"/>
  <c r="K124" i="2"/>
  <c r="J111" i="2"/>
  <c r="K132" i="2"/>
  <c r="N148" i="2"/>
  <c r="K133" i="2"/>
  <c r="K136" i="2"/>
  <c r="M139" i="2"/>
  <c r="K154" i="2"/>
  <c r="N146" i="2"/>
  <c r="L141" i="2"/>
  <c r="M142" i="2"/>
  <c r="J145" i="2"/>
  <c r="K125" i="2"/>
  <c r="K118" i="2"/>
  <c r="L134" i="2"/>
  <c r="J120" i="2"/>
  <c r="K128" i="2"/>
  <c r="L136" i="2"/>
  <c r="N120" i="2"/>
  <c r="N129" i="2"/>
  <c r="M131" i="2"/>
  <c r="L111" i="2"/>
  <c r="M147" i="2"/>
  <c r="L152" i="2"/>
  <c r="K126" i="2"/>
  <c r="L127" i="2"/>
  <c r="M137" i="2"/>
  <c r="J131" i="2"/>
  <c r="J147" i="2"/>
  <c r="L155" i="2"/>
  <c r="J142" i="2"/>
  <c r="K143" i="2"/>
  <c r="N151" i="2"/>
  <c r="M132" i="2"/>
  <c r="M125" i="2"/>
  <c r="J135" i="2"/>
  <c r="N126" i="2"/>
  <c r="M135" i="2"/>
  <c r="J137" i="2"/>
  <c r="L121" i="2"/>
  <c r="L130" i="2"/>
  <c r="N111" i="2"/>
  <c r="M150" i="2"/>
  <c r="M130" i="2"/>
  <c r="J122" i="2"/>
  <c r="M111" i="2"/>
  <c r="N153" i="2"/>
  <c r="J155" i="2"/>
  <c r="K148" i="2"/>
  <c r="L149" i="2"/>
  <c r="K151" i="2"/>
  <c r="J153" i="2"/>
  <c r="M140" i="2"/>
  <c r="M133" i="2"/>
  <c r="J124" i="2"/>
  <c r="J128" i="2"/>
  <c r="M113" i="2"/>
  <c r="M138" i="2"/>
  <c r="N128" i="2"/>
  <c r="N137" i="2"/>
  <c r="K140" i="2"/>
  <c r="L138" i="2"/>
  <c r="J139" i="2"/>
  <c r="J151" i="2"/>
  <c r="M144" i="2"/>
  <c r="M118" i="2"/>
  <c r="J140" i="2"/>
  <c r="M114" i="2"/>
  <c r="K111" i="2"/>
  <c r="N145" i="2"/>
  <c r="M155" i="2"/>
  <c r="J150" i="2"/>
  <c r="M151" i="2"/>
  <c r="N144" i="2"/>
  <c r="L115" i="2"/>
  <c r="K134" i="2"/>
  <c r="J132" i="2"/>
  <c r="N134" i="2"/>
  <c r="K122" i="2"/>
  <c r="M112" i="2"/>
  <c r="L129" i="2"/>
  <c r="N115" i="2"/>
  <c r="N147" i="2"/>
  <c r="K138" i="2"/>
  <c r="M120" i="2"/>
  <c r="J117" i="2"/>
  <c r="K120" i="2"/>
  <c r="L146" i="2"/>
  <c r="J141" i="2"/>
  <c r="N156" i="2"/>
  <c r="N142" i="2"/>
  <c r="L153" i="2"/>
  <c r="N116" i="2"/>
  <c r="M121" i="2"/>
  <c r="N139" i="2"/>
  <c r="L135" i="2"/>
  <c r="M129" i="2"/>
  <c r="K113" i="2"/>
  <c r="J130" i="2"/>
  <c r="L116" i="2"/>
  <c r="L143" i="2"/>
  <c r="L117" i="2"/>
  <c r="J136" i="2"/>
  <c r="N136" i="2"/>
  <c r="J127" i="2"/>
  <c r="L154" i="2"/>
  <c r="R497" i="2" l="1"/>
  <c r="S531" i="2"/>
  <c r="P482" i="2"/>
  <c r="P526" i="2"/>
  <c r="P479" i="2"/>
  <c r="Q524" i="2"/>
  <c r="Q516" i="2"/>
  <c r="S523" i="2"/>
  <c r="R533" i="2"/>
  <c r="P472" i="2"/>
  <c r="R498" i="2"/>
  <c r="Q451" i="2"/>
  <c r="R525" i="2"/>
  <c r="Q532" i="2"/>
  <c r="S515" i="2"/>
  <c r="R486" i="2"/>
  <c r="P432" i="2"/>
  <c r="P518" i="2"/>
  <c r="P475" i="2"/>
  <c r="P534" i="2"/>
  <c r="R517" i="2"/>
  <c r="P371" i="2"/>
  <c r="R341" i="2"/>
  <c r="S532" i="2"/>
  <c r="Q525" i="2"/>
  <c r="S524" i="2"/>
  <c r="Q517" i="2"/>
  <c r="S516" i="2"/>
  <c r="S493" i="2"/>
  <c r="S487" i="2"/>
  <c r="Q486" i="2"/>
  <c r="S461" i="2"/>
  <c r="S455" i="2"/>
  <c r="Q454" i="2"/>
  <c r="Q423" i="2"/>
  <c r="R419" i="2"/>
  <c r="R417" i="2"/>
  <c r="P355" i="2"/>
  <c r="R454" i="2"/>
  <c r="P450" i="2"/>
  <c r="P447" i="2"/>
  <c r="P443" i="2"/>
  <c r="R355" i="2"/>
  <c r="Q533" i="2"/>
  <c r="P533" i="2"/>
  <c r="R532" i="2"/>
  <c r="P525" i="2"/>
  <c r="R524" i="2"/>
  <c r="P517" i="2"/>
  <c r="R516" i="2"/>
  <c r="S498" i="2"/>
  <c r="S490" i="2"/>
  <c r="R487" i="2"/>
  <c r="R465" i="2"/>
  <c r="S458" i="2"/>
  <c r="R455" i="2"/>
  <c r="Q432" i="2"/>
  <c r="Q419" i="2"/>
  <c r="Q417" i="2"/>
  <c r="R377" i="2"/>
  <c r="Q483" i="2"/>
  <c r="Q480" i="2"/>
  <c r="S462" i="2"/>
  <c r="P419" i="2"/>
  <c r="Q383" i="2"/>
  <c r="Q377" i="2"/>
  <c r="P532" i="2"/>
  <c r="R531" i="2"/>
  <c r="P524" i="2"/>
  <c r="R523" i="2"/>
  <c r="P516" i="2"/>
  <c r="R515" i="2"/>
  <c r="Q499" i="2"/>
  <c r="P498" i="2"/>
  <c r="R494" i="2"/>
  <c r="P490" i="2"/>
  <c r="P487" i="2"/>
  <c r="P483" i="2"/>
  <c r="P480" i="2"/>
  <c r="R462" i="2"/>
  <c r="P458" i="2"/>
  <c r="P455" i="2"/>
  <c r="P451" i="2"/>
  <c r="P448" i="2"/>
  <c r="R441" i="2"/>
  <c r="S438" i="2"/>
  <c r="S426" i="2"/>
  <c r="Q415" i="2"/>
  <c r="R411" i="2"/>
  <c r="Q403" i="2"/>
  <c r="S389" i="2"/>
  <c r="R385" i="2"/>
  <c r="Q368" i="2"/>
  <c r="Q487" i="2"/>
  <c r="R435" i="2"/>
  <c r="R379" i="2"/>
  <c r="Q531" i="2"/>
  <c r="Q523" i="2"/>
  <c r="S522" i="2"/>
  <c r="Q515" i="2"/>
  <c r="S514" i="2"/>
  <c r="S501" i="2"/>
  <c r="S500" i="2"/>
  <c r="P499" i="2"/>
  <c r="S495" i="2"/>
  <c r="Q494" i="2"/>
  <c r="S469" i="2"/>
  <c r="S463" i="2"/>
  <c r="Q462" i="2"/>
  <c r="Q441" i="2"/>
  <c r="Q438" i="2"/>
  <c r="Q426" i="2"/>
  <c r="P403" i="2"/>
  <c r="R395" i="2"/>
  <c r="Q391" i="2"/>
  <c r="P389" i="2"/>
  <c r="S494" i="2"/>
  <c r="R490" i="2"/>
  <c r="R458" i="2"/>
  <c r="Q448" i="2"/>
  <c r="Q430" i="2"/>
  <c r="P421" i="2"/>
  <c r="S368" i="2"/>
  <c r="S530" i="2"/>
  <c r="P531" i="2"/>
  <c r="R530" i="2"/>
  <c r="P523" i="2"/>
  <c r="R522" i="2"/>
  <c r="P515" i="2"/>
  <c r="R514" i="2"/>
  <c r="S502" i="2"/>
  <c r="R501" i="2"/>
  <c r="R500" i="2"/>
  <c r="R495" i="2"/>
  <c r="R473" i="2"/>
  <c r="S466" i="2"/>
  <c r="R463" i="2"/>
  <c r="S405" i="2"/>
  <c r="R401" i="2"/>
  <c r="P395" i="2"/>
  <c r="R285" i="2"/>
  <c r="Q455" i="2"/>
  <c r="Q530" i="2"/>
  <c r="S529" i="2"/>
  <c r="Q522" i="2"/>
  <c r="S521" i="2"/>
  <c r="Q514" i="2"/>
  <c r="S513" i="2"/>
  <c r="S503" i="2"/>
  <c r="R502" i="2"/>
  <c r="Q501" i="2"/>
  <c r="Q495" i="2"/>
  <c r="Q491" i="2"/>
  <c r="Q488" i="2"/>
  <c r="S470" i="2"/>
  <c r="R466" i="2"/>
  <c r="Q463" i="2"/>
  <c r="Q459" i="2"/>
  <c r="Q456" i="2"/>
  <c r="R433" i="2"/>
  <c r="Q401" i="2"/>
  <c r="P397" i="2"/>
  <c r="S370" i="2"/>
  <c r="Q312" i="2"/>
  <c r="P530" i="2"/>
  <c r="R529" i="2"/>
  <c r="P522" i="2"/>
  <c r="R521" i="2"/>
  <c r="P514" i="2"/>
  <c r="R513" i="2"/>
  <c r="S509" i="2"/>
  <c r="S508" i="2"/>
  <c r="R503" i="2"/>
  <c r="Q502" i="2"/>
  <c r="P501" i="2"/>
  <c r="P495" i="2"/>
  <c r="P491" i="2"/>
  <c r="P488" i="2"/>
  <c r="R470" i="2"/>
  <c r="P466" i="2"/>
  <c r="P463" i="2"/>
  <c r="P459" i="2"/>
  <c r="P456" i="2"/>
  <c r="Q433" i="2"/>
  <c r="P372" i="2"/>
  <c r="P324" i="2"/>
  <c r="S536" i="2"/>
  <c r="Q529" i="2"/>
  <c r="Q513" i="2"/>
  <c r="R509" i="2"/>
  <c r="Q503" i="2"/>
  <c r="S477" i="2"/>
  <c r="S471" i="2"/>
  <c r="S445" i="2"/>
  <c r="R439" i="2"/>
  <c r="P433" i="2"/>
  <c r="S520" i="2"/>
  <c r="S510" i="2"/>
  <c r="R536" i="2"/>
  <c r="P529" i="2"/>
  <c r="R528" i="2"/>
  <c r="P521" i="2"/>
  <c r="R520" i="2"/>
  <c r="P513" i="2"/>
  <c r="R512" i="2"/>
  <c r="S511" i="2"/>
  <c r="R510" i="2"/>
  <c r="Q509" i="2"/>
  <c r="Q508" i="2"/>
  <c r="R507" i="2"/>
  <c r="Q504" i="2"/>
  <c r="P503" i="2"/>
  <c r="R481" i="2"/>
  <c r="S474" i="2"/>
  <c r="R471" i="2"/>
  <c r="R449" i="2"/>
  <c r="S442" i="2"/>
  <c r="Q439" i="2"/>
  <c r="S422" i="2"/>
  <c r="R410" i="2"/>
  <c r="R380" i="2"/>
  <c r="S374" i="2"/>
  <c r="S359" i="2"/>
  <c r="P275" i="2"/>
  <c r="S507" i="2"/>
  <c r="P502" i="2"/>
  <c r="Q536" i="2"/>
  <c r="S535" i="2"/>
  <c r="Q528" i="2"/>
  <c r="S527" i="2"/>
  <c r="Q520" i="2"/>
  <c r="S519" i="2"/>
  <c r="Q512" i="2"/>
  <c r="R511" i="2"/>
  <c r="Q510" i="2"/>
  <c r="P509" i="2"/>
  <c r="P508" i="2"/>
  <c r="Q507" i="2"/>
  <c r="S506" i="2"/>
  <c r="P504" i="2"/>
  <c r="Q496" i="2"/>
  <c r="S478" i="2"/>
  <c r="R474" i="2"/>
  <c r="Q471" i="2"/>
  <c r="Q467" i="2"/>
  <c r="Q464" i="2"/>
  <c r="S446" i="2"/>
  <c r="R442" i="2"/>
  <c r="S434" i="2"/>
  <c r="P429" i="2"/>
  <c r="Q422" i="2"/>
  <c r="S418" i="2"/>
  <c r="R412" i="2"/>
  <c r="P410" i="2"/>
  <c r="R386" i="2"/>
  <c r="S382" i="2"/>
  <c r="P380" i="2"/>
  <c r="Q374" i="2"/>
  <c r="P367" i="2"/>
  <c r="P302" i="2"/>
  <c r="S528" i="2"/>
  <c r="Q521" i="2"/>
  <c r="S512" i="2"/>
  <c r="R508" i="2"/>
  <c r="Q470" i="2"/>
  <c r="P536" i="2"/>
  <c r="R535" i="2"/>
  <c r="P528" i="2"/>
  <c r="R527" i="2"/>
  <c r="P520" i="2"/>
  <c r="R519" i="2"/>
  <c r="P512" i="2"/>
  <c r="Q511" i="2"/>
  <c r="P510" i="2"/>
  <c r="P507" i="2"/>
  <c r="R506" i="2"/>
  <c r="R505" i="2"/>
  <c r="P496" i="2"/>
  <c r="R478" i="2"/>
  <c r="P474" i="2"/>
  <c r="P471" i="2"/>
  <c r="P467" i="2"/>
  <c r="P464" i="2"/>
  <c r="R446" i="2"/>
  <c r="P442" i="2"/>
  <c r="R434" i="2"/>
  <c r="Q427" i="2"/>
  <c r="R425" i="2"/>
  <c r="S414" i="2"/>
  <c r="P412" i="2"/>
  <c r="Q406" i="2"/>
  <c r="P386" i="2"/>
  <c r="S534" i="2"/>
  <c r="Q527" i="2"/>
  <c r="Q519" i="2"/>
  <c r="S479" i="2"/>
  <c r="S453" i="2"/>
  <c r="S447" i="2"/>
  <c r="Q446" i="2"/>
  <c r="Q434" i="2"/>
  <c r="P427" i="2"/>
  <c r="Q425" i="2"/>
  <c r="S408" i="2"/>
  <c r="S392" i="2"/>
  <c r="R388" i="2"/>
  <c r="S353" i="2"/>
  <c r="S347" i="2"/>
  <c r="Q535" i="2"/>
  <c r="S526" i="2"/>
  <c r="S518" i="2"/>
  <c r="P511" i="2"/>
  <c r="P506" i="2"/>
  <c r="S485" i="2"/>
  <c r="Q478" i="2"/>
  <c r="P535" i="2"/>
  <c r="R534" i="2"/>
  <c r="P527" i="2"/>
  <c r="R526" i="2"/>
  <c r="P519" i="2"/>
  <c r="R518" i="2"/>
  <c r="R489" i="2"/>
  <c r="S482" i="2"/>
  <c r="R479" i="2"/>
  <c r="R457" i="2"/>
  <c r="S450" i="2"/>
  <c r="R447" i="2"/>
  <c r="Q440" i="2"/>
  <c r="P434" i="2"/>
  <c r="P404" i="2"/>
  <c r="S398" i="2"/>
  <c r="P394" i="2"/>
  <c r="Q534" i="2"/>
  <c r="S533" i="2"/>
  <c r="Q526" i="2"/>
  <c r="S525" i="2"/>
  <c r="Q518" i="2"/>
  <c r="S517" i="2"/>
  <c r="S486" i="2"/>
  <c r="R482" i="2"/>
  <c r="Q479" i="2"/>
  <c r="Q475" i="2"/>
  <c r="Q472" i="2"/>
  <c r="S454" i="2"/>
  <c r="R450" i="2"/>
  <c r="Q447" i="2"/>
  <c r="Q443" i="2"/>
  <c r="P440" i="2"/>
  <c r="P437" i="2"/>
  <c r="Q398" i="2"/>
  <c r="R371" i="2"/>
  <c r="P494" i="2"/>
  <c r="R493" i="2"/>
  <c r="P486" i="2"/>
  <c r="R485" i="2"/>
  <c r="P478" i="2"/>
  <c r="R477" i="2"/>
  <c r="P470" i="2"/>
  <c r="R469" i="2"/>
  <c r="P462" i="2"/>
  <c r="R461" i="2"/>
  <c r="P454" i="2"/>
  <c r="R453" i="2"/>
  <c r="P446" i="2"/>
  <c r="R445" i="2"/>
  <c r="Q435" i="2"/>
  <c r="R428" i="2"/>
  <c r="P405" i="2"/>
  <c r="S402" i="2"/>
  <c r="S362" i="2"/>
  <c r="Q353" i="2"/>
  <c r="Q347" i="2"/>
  <c r="S345" i="2"/>
  <c r="P270" i="2"/>
  <c r="Q493" i="2"/>
  <c r="S492" i="2"/>
  <c r="Q485" i="2"/>
  <c r="S484" i="2"/>
  <c r="Q477" i="2"/>
  <c r="S476" i="2"/>
  <c r="Q469" i="2"/>
  <c r="S468" i="2"/>
  <c r="Q461" i="2"/>
  <c r="S460" i="2"/>
  <c r="Q453" i="2"/>
  <c r="S452" i="2"/>
  <c r="Q445" i="2"/>
  <c r="S444" i="2"/>
  <c r="P435" i="2"/>
  <c r="P428" i="2"/>
  <c r="S416" i="2"/>
  <c r="R409" i="2"/>
  <c r="R402" i="2"/>
  <c r="S366" i="2"/>
  <c r="Q362" i="2"/>
  <c r="S343" i="2"/>
  <c r="P292" i="2"/>
  <c r="R282" i="2"/>
  <c r="P493" i="2"/>
  <c r="R492" i="2"/>
  <c r="P485" i="2"/>
  <c r="R484" i="2"/>
  <c r="P477" i="2"/>
  <c r="R476" i="2"/>
  <c r="P469" i="2"/>
  <c r="R468" i="2"/>
  <c r="P461" i="2"/>
  <c r="R460" i="2"/>
  <c r="P453" i="2"/>
  <c r="R452" i="2"/>
  <c r="P445" i="2"/>
  <c r="R444" i="2"/>
  <c r="R436" i="2"/>
  <c r="S424" i="2"/>
  <c r="R420" i="2"/>
  <c r="Q409" i="2"/>
  <c r="P402" i="2"/>
  <c r="Q399" i="2"/>
  <c r="R396" i="2"/>
  <c r="R393" i="2"/>
  <c r="S390" i="2"/>
  <c r="R387" i="2"/>
  <c r="P366" i="2"/>
  <c r="P362" i="2"/>
  <c r="P326" i="2"/>
  <c r="P299" i="2"/>
  <c r="Q500" i="2"/>
  <c r="S499" i="2"/>
  <c r="Q492" i="2"/>
  <c r="S491" i="2"/>
  <c r="Q484" i="2"/>
  <c r="S483" i="2"/>
  <c r="Q476" i="2"/>
  <c r="S475" i="2"/>
  <c r="Q468" i="2"/>
  <c r="S467" i="2"/>
  <c r="Q460" i="2"/>
  <c r="S459" i="2"/>
  <c r="Q452" i="2"/>
  <c r="S451" i="2"/>
  <c r="Q444" i="2"/>
  <c r="S443" i="2"/>
  <c r="S440" i="2"/>
  <c r="P436" i="2"/>
  <c r="P420" i="2"/>
  <c r="S413" i="2"/>
  <c r="P396" i="2"/>
  <c r="Q393" i="2"/>
  <c r="Q390" i="2"/>
  <c r="P387" i="2"/>
  <c r="S384" i="2"/>
  <c r="S381" i="2"/>
  <c r="R378" i="2"/>
  <c r="R369" i="2"/>
  <c r="S351" i="2"/>
  <c r="Q336" i="2"/>
  <c r="R331" i="2"/>
  <c r="P500" i="2"/>
  <c r="R499" i="2"/>
  <c r="P492" i="2"/>
  <c r="R491" i="2"/>
  <c r="P484" i="2"/>
  <c r="R483" i="2"/>
  <c r="P476" i="2"/>
  <c r="R475" i="2"/>
  <c r="P468" i="2"/>
  <c r="R467" i="2"/>
  <c r="P460" i="2"/>
  <c r="R459" i="2"/>
  <c r="P452" i="2"/>
  <c r="R451" i="2"/>
  <c r="P444" i="2"/>
  <c r="R443" i="2"/>
  <c r="S441" i="2"/>
  <c r="R440" i="2"/>
  <c r="S439" i="2"/>
  <c r="S437" i="2"/>
  <c r="S429" i="2"/>
  <c r="S425" i="2"/>
  <c r="P413" i="2"/>
  <c r="S410" i="2"/>
  <c r="S406" i="2"/>
  <c r="R403" i="2"/>
  <c r="P381" i="2"/>
  <c r="P378" i="2"/>
  <c r="Q375" i="2"/>
  <c r="R372" i="2"/>
  <c r="P369" i="2"/>
  <c r="S360" i="2"/>
  <c r="R338" i="2"/>
  <c r="P294" i="2"/>
  <c r="S279" i="2"/>
  <c r="Q360" i="2"/>
  <c r="P323" i="2"/>
  <c r="R306" i="2"/>
  <c r="P358" i="2"/>
  <c r="S354" i="2"/>
  <c r="R333" i="2"/>
  <c r="Q296" i="2"/>
  <c r="Q506" i="2"/>
  <c r="S505" i="2"/>
  <c r="Q498" i="2"/>
  <c r="S497" i="2"/>
  <c r="Q490" i="2"/>
  <c r="S489" i="2"/>
  <c r="Q482" i="2"/>
  <c r="S481" i="2"/>
  <c r="Q474" i="2"/>
  <c r="S473" i="2"/>
  <c r="Q466" i="2"/>
  <c r="S465" i="2"/>
  <c r="Q458" i="2"/>
  <c r="S457" i="2"/>
  <c r="Q450" i="2"/>
  <c r="S449" i="2"/>
  <c r="Q442" i="2"/>
  <c r="P441" i="2"/>
  <c r="S430" i="2"/>
  <c r="R426" i="2"/>
  <c r="S421" i="2"/>
  <c r="S400" i="2"/>
  <c r="S397" i="2"/>
  <c r="R394" i="2"/>
  <c r="S367" i="2"/>
  <c r="Q356" i="2"/>
  <c r="P354" i="2"/>
  <c r="S303" i="2"/>
  <c r="Q346" i="2"/>
  <c r="P342" i="2"/>
  <c r="P291" i="2"/>
  <c r="P276" i="2"/>
  <c r="Q505" i="2"/>
  <c r="S504" i="2"/>
  <c r="Q497" i="2"/>
  <c r="S496" i="2"/>
  <c r="Q489" i="2"/>
  <c r="S488" i="2"/>
  <c r="Q481" i="2"/>
  <c r="S480" i="2"/>
  <c r="Q473" i="2"/>
  <c r="S472" i="2"/>
  <c r="Q465" i="2"/>
  <c r="S464" i="2"/>
  <c r="Q457" i="2"/>
  <c r="S456" i="2"/>
  <c r="Q449" i="2"/>
  <c r="S448" i="2"/>
  <c r="S432" i="2"/>
  <c r="S431" i="2"/>
  <c r="P426" i="2"/>
  <c r="R418" i="2"/>
  <c r="Q414" i="2"/>
  <c r="Q411" i="2"/>
  <c r="Q407" i="2"/>
  <c r="P388" i="2"/>
  <c r="Q385" i="2"/>
  <c r="Q382" i="2"/>
  <c r="P379" i="2"/>
  <c r="S376" i="2"/>
  <c r="S373" i="2"/>
  <c r="Q370" i="2"/>
  <c r="P363" i="2"/>
  <c r="S352" i="2"/>
  <c r="Q344" i="2"/>
  <c r="Q320" i="2"/>
  <c r="S271" i="2"/>
  <c r="P185" i="2"/>
  <c r="P505" i="2"/>
  <c r="R504" i="2"/>
  <c r="P497" i="2"/>
  <c r="R496" i="2"/>
  <c r="P489" i="2"/>
  <c r="R488" i="2"/>
  <c r="P481" i="2"/>
  <c r="R480" i="2"/>
  <c r="P473" i="2"/>
  <c r="R472" i="2"/>
  <c r="P465" i="2"/>
  <c r="R464" i="2"/>
  <c r="P457" i="2"/>
  <c r="R456" i="2"/>
  <c r="P449" i="2"/>
  <c r="R448" i="2"/>
  <c r="S433" i="2"/>
  <c r="R432" i="2"/>
  <c r="Q431" i="2"/>
  <c r="R427" i="2"/>
  <c r="P418" i="2"/>
  <c r="P411" i="2"/>
  <c r="R404" i="2"/>
  <c r="P373" i="2"/>
  <c r="S361" i="2"/>
  <c r="Q352" i="2"/>
  <c r="R315" i="2"/>
  <c r="Q361" i="2"/>
  <c r="P315" i="2"/>
  <c r="P300" i="2"/>
  <c r="R283" i="2"/>
  <c r="P278" i="2"/>
  <c r="S339" i="2"/>
  <c r="S327" i="2"/>
  <c r="P265" i="2"/>
  <c r="S243" i="2"/>
  <c r="R317" i="2"/>
  <c r="Q395" i="2"/>
  <c r="S394" i="2"/>
  <c r="Q387" i="2"/>
  <c r="S386" i="2"/>
  <c r="Q379" i="2"/>
  <c r="S378" i="2"/>
  <c r="Q371" i="2"/>
  <c r="R370" i="2"/>
  <c r="S369" i="2"/>
  <c r="R365" i="2"/>
  <c r="R361" i="2"/>
  <c r="R360" i="2"/>
  <c r="Q355" i="2"/>
  <c r="R347" i="2"/>
  <c r="S338" i="2"/>
  <c r="R325" i="2"/>
  <c r="R323" i="2"/>
  <c r="Q304" i="2"/>
  <c r="P283" i="2"/>
  <c r="R264" i="2"/>
  <c r="Q418" i="2"/>
  <c r="S417" i="2"/>
  <c r="Q410" i="2"/>
  <c r="S409" i="2"/>
  <c r="Q402" i="2"/>
  <c r="S401" i="2"/>
  <c r="Q394" i="2"/>
  <c r="S393" i="2"/>
  <c r="Q386" i="2"/>
  <c r="S385" i="2"/>
  <c r="Q378" i="2"/>
  <c r="S377" i="2"/>
  <c r="P370" i="2"/>
  <c r="Q369" i="2"/>
  <c r="R368" i="2"/>
  <c r="Q367" i="2"/>
  <c r="Q366" i="2"/>
  <c r="R362" i="2"/>
  <c r="P361" i="2"/>
  <c r="P347" i="2"/>
  <c r="Q338" i="2"/>
  <c r="S319" i="2"/>
  <c r="R298" i="2"/>
  <c r="R277" i="2"/>
  <c r="R275" i="2"/>
  <c r="P425" i="2"/>
  <c r="R424" i="2"/>
  <c r="P417" i="2"/>
  <c r="R416" i="2"/>
  <c r="P409" i="2"/>
  <c r="R408" i="2"/>
  <c r="P401" i="2"/>
  <c r="R400" i="2"/>
  <c r="P393" i="2"/>
  <c r="R392" i="2"/>
  <c r="P385" i="2"/>
  <c r="R384" i="2"/>
  <c r="P377" i="2"/>
  <c r="R376" i="2"/>
  <c r="S363" i="2"/>
  <c r="P356" i="2"/>
  <c r="P350" i="2"/>
  <c r="R339" i="2"/>
  <c r="P334" i="2"/>
  <c r="P332" i="2"/>
  <c r="S311" i="2"/>
  <c r="R290" i="2"/>
  <c r="S195" i="2"/>
  <c r="Q424" i="2"/>
  <c r="S423" i="2"/>
  <c r="Q416" i="2"/>
  <c r="S415" i="2"/>
  <c r="Q408" i="2"/>
  <c r="S407" i="2"/>
  <c r="Q400" i="2"/>
  <c r="S399" i="2"/>
  <c r="Q392" i="2"/>
  <c r="S391" i="2"/>
  <c r="Q384" i="2"/>
  <c r="S383" i="2"/>
  <c r="Q376" i="2"/>
  <c r="S375" i="2"/>
  <c r="R363" i="2"/>
  <c r="Q348" i="2"/>
  <c r="Q339" i="2"/>
  <c r="R330" i="2"/>
  <c r="R309" i="2"/>
  <c r="R307" i="2"/>
  <c r="Q288" i="2"/>
  <c r="Q236" i="2"/>
  <c r="S227" i="2"/>
  <c r="R431" i="2"/>
  <c r="P424" i="2"/>
  <c r="R423" i="2"/>
  <c r="P416" i="2"/>
  <c r="R415" i="2"/>
  <c r="P408" i="2"/>
  <c r="R407" i="2"/>
  <c r="P400" i="2"/>
  <c r="R399" i="2"/>
  <c r="P392" i="2"/>
  <c r="R391" i="2"/>
  <c r="P384" i="2"/>
  <c r="R383" i="2"/>
  <c r="P376" i="2"/>
  <c r="R375" i="2"/>
  <c r="Q363" i="2"/>
  <c r="P348" i="2"/>
  <c r="P339" i="2"/>
  <c r="Q328" i="2"/>
  <c r="P307" i="2"/>
  <c r="P286" i="2"/>
  <c r="P284" i="2"/>
  <c r="R224" i="2"/>
  <c r="P439" i="2"/>
  <c r="R438" i="2"/>
  <c r="P431" i="2"/>
  <c r="R430" i="2"/>
  <c r="P423" i="2"/>
  <c r="R422" i="2"/>
  <c r="P415" i="2"/>
  <c r="R414" i="2"/>
  <c r="P407" i="2"/>
  <c r="R406" i="2"/>
  <c r="P399" i="2"/>
  <c r="R398" i="2"/>
  <c r="P391" i="2"/>
  <c r="R390" i="2"/>
  <c r="P383" i="2"/>
  <c r="R382" i="2"/>
  <c r="P375" i="2"/>
  <c r="R374" i="2"/>
  <c r="R357" i="2"/>
  <c r="R353" i="2"/>
  <c r="R352" i="2"/>
  <c r="R322" i="2"/>
  <c r="R301" i="2"/>
  <c r="R299" i="2"/>
  <c r="Q280" i="2"/>
  <c r="Q268" i="2"/>
  <c r="P438" i="2"/>
  <c r="R437" i="2"/>
  <c r="P430" i="2"/>
  <c r="R429" i="2"/>
  <c r="P422" i="2"/>
  <c r="R421" i="2"/>
  <c r="P414" i="2"/>
  <c r="R413" i="2"/>
  <c r="P406" i="2"/>
  <c r="R405" i="2"/>
  <c r="P398" i="2"/>
  <c r="R397" i="2"/>
  <c r="P390" i="2"/>
  <c r="R389" i="2"/>
  <c r="P382" i="2"/>
  <c r="R381" i="2"/>
  <c r="P374" i="2"/>
  <c r="R373" i="2"/>
  <c r="Q364" i="2"/>
  <c r="R354" i="2"/>
  <c r="P353" i="2"/>
  <c r="S346" i="2"/>
  <c r="Q340" i="2"/>
  <c r="P318" i="2"/>
  <c r="P316" i="2"/>
  <c r="S295" i="2"/>
  <c r="R274" i="2"/>
  <c r="R256" i="2"/>
  <c r="Q437" i="2"/>
  <c r="S436" i="2"/>
  <c r="Q429" i="2"/>
  <c r="S428" i="2"/>
  <c r="Q421" i="2"/>
  <c r="S420" i="2"/>
  <c r="Q413" i="2"/>
  <c r="S412" i="2"/>
  <c r="Q405" i="2"/>
  <c r="S404" i="2"/>
  <c r="Q397" i="2"/>
  <c r="S396" i="2"/>
  <c r="Q389" i="2"/>
  <c r="S388" i="2"/>
  <c r="Q381" i="2"/>
  <c r="S380" i="2"/>
  <c r="Q373" i="2"/>
  <c r="S372" i="2"/>
  <c r="P364" i="2"/>
  <c r="Q354" i="2"/>
  <c r="R346" i="2"/>
  <c r="P340" i="2"/>
  <c r="S335" i="2"/>
  <c r="R314" i="2"/>
  <c r="R293" i="2"/>
  <c r="R291" i="2"/>
  <c r="Q272" i="2"/>
  <c r="S235" i="2"/>
  <c r="Q436" i="2"/>
  <c r="S435" i="2"/>
  <c r="Q428" i="2"/>
  <c r="S427" i="2"/>
  <c r="Q420" i="2"/>
  <c r="S419" i="2"/>
  <c r="Q412" i="2"/>
  <c r="S411" i="2"/>
  <c r="Q404" i="2"/>
  <c r="S403" i="2"/>
  <c r="Q396" i="2"/>
  <c r="S395" i="2"/>
  <c r="Q388" i="2"/>
  <c r="S387" i="2"/>
  <c r="Q380" i="2"/>
  <c r="S379" i="2"/>
  <c r="Q372" i="2"/>
  <c r="S371" i="2"/>
  <c r="S355" i="2"/>
  <c r="R349" i="2"/>
  <c r="P331" i="2"/>
  <c r="P310" i="2"/>
  <c r="P308" i="2"/>
  <c r="S287" i="2"/>
  <c r="Q332" i="2"/>
  <c r="S331" i="2"/>
  <c r="Q324" i="2"/>
  <c r="S323" i="2"/>
  <c r="Q316" i="2"/>
  <c r="S315" i="2"/>
  <c r="Q308" i="2"/>
  <c r="S307" i="2"/>
  <c r="Q300" i="2"/>
  <c r="S299" i="2"/>
  <c r="Q292" i="2"/>
  <c r="S291" i="2"/>
  <c r="Q284" i="2"/>
  <c r="S283" i="2"/>
  <c r="Q276" i="2"/>
  <c r="S275" i="2"/>
  <c r="P241" i="2"/>
  <c r="Q212" i="2"/>
  <c r="R200" i="2"/>
  <c r="S171" i="2"/>
  <c r="Q331" i="2"/>
  <c r="S330" i="2"/>
  <c r="Q323" i="2"/>
  <c r="S322" i="2"/>
  <c r="Q315" i="2"/>
  <c r="S314" i="2"/>
  <c r="Q307" i="2"/>
  <c r="S306" i="2"/>
  <c r="Q299" i="2"/>
  <c r="S298" i="2"/>
  <c r="Q291" i="2"/>
  <c r="S290" i="2"/>
  <c r="Q283" i="2"/>
  <c r="S282" i="2"/>
  <c r="Q275" i="2"/>
  <c r="S274" i="2"/>
  <c r="Q260" i="2"/>
  <c r="R248" i="2"/>
  <c r="S219" i="2"/>
  <c r="P161" i="2"/>
  <c r="S337" i="2"/>
  <c r="Q330" i="2"/>
  <c r="S329" i="2"/>
  <c r="Q322" i="2"/>
  <c r="S321" i="2"/>
  <c r="Q314" i="2"/>
  <c r="S313" i="2"/>
  <c r="Q306" i="2"/>
  <c r="S305" i="2"/>
  <c r="Q298" i="2"/>
  <c r="S297" i="2"/>
  <c r="Q290" i="2"/>
  <c r="S289" i="2"/>
  <c r="Q282" i="2"/>
  <c r="S281" i="2"/>
  <c r="Q274" i="2"/>
  <c r="S273" i="2"/>
  <c r="S267" i="2"/>
  <c r="P209" i="2"/>
  <c r="Q180" i="2"/>
  <c r="R168" i="2"/>
  <c r="P346" i="2"/>
  <c r="R345" i="2"/>
  <c r="P338" i="2"/>
  <c r="R337" i="2"/>
  <c r="P330" i="2"/>
  <c r="R329" i="2"/>
  <c r="P322" i="2"/>
  <c r="R321" i="2"/>
  <c r="P314" i="2"/>
  <c r="R313" i="2"/>
  <c r="P306" i="2"/>
  <c r="R305" i="2"/>
  <c r="P298" i="2"/>
  <c r="R297" i="2"/>
  <c r="P290" i="2"/>
  <c r="R289" i="2"/>
  <c r="P282" i="2"/>
  <c r="R281" i="2"/>
  <c r="P274" i="2"/>
  <c r="R273" i="2"/>
  <c r="P233" i="2"/>
  <c r="Q204" i="2"/>
  <c r="R192" i="2"/>
  <c r="S163" i="2"/>
  <c r="Q345" i="2"/>
  <c r="S344" i="2"/>
  <c r="Q337" i="2"/>
  <c r="S336" i="2"/>
  <c r="Q329" i="2"/>
  <c r="S328" i="2"/>
  <c r="Q321" i="2"/>
  <c r="S320" i="2"/>
  <c r="Q313" i="2"/>
  <c r="S312" i="2"/>
  <c r="Q305" i="2"/>
  <c r="S304" i="2"/>
  <c r="Q297" i="2"/>
  <c r="S296" i="2"/>
  <c r="Q289" i="2"/>
  <c r="S288" i="2"/>
  <c r="Q281" i="2"/>
  <c r="S280" i="2"/>
  <c r="Q273" i="2"/>
  <c r="S272" i="2"/>
  <c r="P257" i="2"/>
  <c r="Q228" i="2"/>
  <c r="R216" i="2"/>
  <c r="S187" i="2"/>
  <c r="P345" i="2"/>
  <c r="R344" i="2"/>
  <c r="P337" i="2"/>
  <c r="R336" i="2"/>
  <c r="P329" i="2"/>
  <c r="R328" i="2"/>
  <c r="P321" i="2"/>
  <c r="R320" i="2"/>
  <c r="P313" i="2"/>
  <c r="R312" i="2"/>
  <c r="P305" i="2"/>
  <c r="R304" i="2"/>
  <c r="P297" i="2"/>
  <c r="R296" i="2"/>
  <c r="P289" i="2"/>
  <c r="R288" i="2"/>
  <c r="P281" i="2"/>
  <c r="R280" i="2"/>
  <c r="P273" i="2"/>
  <c r="R272" i="2"/>
  <c r="Q252" i="2"/>
  <c r="R240" i="2"/>
  <c r="S211" i="2"/>
  <c r="P177" i="2"/>
  <c r="P368" i="2"/>
  <c r="R367" i="2"/>
  <c r="P360" i="2"/>
  <c r="R359" i="2"/>
  <c r="P352" i="2"/>
  <c r="R351" i="2"/>
  <c r="P344" i="2"/>
  <c r="R343" i="2"/>
  <c r="P336" i="2"/>
  <c r="R335" i="2"/>
  <c r="P328" i="2"/>
  <c r="R327" i="2"/>
  <c r="P320" i="2"/>
  <c r="R319" i="2"/>
  <c r="P312" i="2"/>
  <c r="R311" i="2"/>
  <c r="P304" i="2"/>
  <c r="R303" i="2"/>
  <c r="P296" i="2"/>
  <c r="R295" i="2"/>
  <c r="P288" i="2"/>
  <c r="R287" i="2"/>
  <c r="P280" i="2"/>
  <c r="R279" i="2"/>
  <c r="P272" i="2"/>
  <c r="R271" i="2"/>
  <c r="S259" i="2"/>
  <c r="P201" i="2"/>
  <c r="Q172" i="2"/>
  <c r="R160" i="2"/>
  <c r="Q359" i="2"/>
  <c r="S358" i="2"/>
  <c r="Q351" i="2"/>
  <c r="S350" i="2"/>
  <c r="Q343" i="2"/>
  <c r="S342" i="2"/>
  <c r="Q335" i="2"/>
  <c r="S334" i="2"/>
  <c r="Q327" i="2"/>
  <c r="S326" i="2"/>
  <c r="Q319" i="2"/>
  <c r="S318" i="2"/>
  <c r="Q311" i="2"/>
  <c r="S310" i="2"/>
  <c r="Q303" i="2"/>
  <c r="S302" i="2"/>
  <c r="Q295" i="2"/>
  <c r="S294" i="2"/>
  <c r="Q287" i="2"/>
  <c r="S286" i="2"/>
  <c r="Q279" i="2"/>
  <c r="S278" i="2"/>
  <c r="Q271" i="2"/>
  <c r="S270" i="2"/>
  <c r="P225" i="2"/>
  <c r="Q196" i="2"/>
  <c r="R184" i="2"/>
  <c r="R366" i="2"/>
  <c r="P359" i="2"/>
  <c r="R358" i="2"/>
  <c r="P351" i="2"/>
  <c r="R350" i="2"/>
  <c r="P343" i="2"/>
  <c r="R342" i="2"/>
  <c r="P335" i="2"/>
  <c r="R334" i="2"/>
  <c r="P327" i="2"/>
  <c r="R326" i="2"/>
  <c r="P319" i="2"/>
  <c r="R318" i="2"/>
  <c r="P311" i="2"/>
  <c r="R310" i="2"/>
  <c r="P303" i="2"/>
  <c r="R302" i="2"/>
  <c r="P295" i="2"/>
  <c r="R294" i="2"/>
  <c r="P287" i="2"/>
  <c r="R286" i="2"/>
  <c r="P279" i="2"/>
  <c r="R278" i="2"/>
  <c r="P271" i="2"/>
  <c r="R270" i="2"/>
  <c r="P249" i="2"/>
  <c r="Q220" i="2"/>
  <c r="R208" i="2"/>
  <c r="S179" i="2"/>
  <c r="S365" i="2"/>
  <c r="Q358" i="2"/>
  <c r="S357" i="2"/>
  <c r="Q350" i="2"/>
  <c r="S349" i="2"/>
  <c r="Q342" i="2"/>
  <c r="S341" i="2"/>
  <c r="Q334" i="2"/>
  <c r="S333" i="2"/>
  <c r="Q326" i="2"/>
  <c r="S325" i="2"/>
  <c r="Q318" i="2"/>
  <c r="S317" i="2"/>
  <c r="Q310" i="2"/>
  <c r="S309" i="2"/>
  <c r="Q302" i="2"/>
  <c r="S301" i="2"/>
  <c r="Q294" i="2"/>
  <c r="S293" i="2"/>
  <c r="Q286" i="2"/>
  <c r="S285" i="2"/>
  <c r="Q278" i="2"/>
  <c r="S277" i="2"/>
  <c r="Q270" i="2"/>
  <c r="Q244" i="2"/>
  <c r="R232" i="2"/>
  <c r="S203" i="2"/>
  <c r="P169" i="2"/>
  <c r="Q365" i="2"/>
  <c r="S364" i="2"/>
  <c r="Q357" i="2"/>
  <c r="S356" i="2"/>
  <c r="Q349" i="2"/>
  <c r="S348" i="2"/>
  <c r="Q341" i="2"/>
  <c r="S340" i="2"/>
  <c r="Q333" i="2"/>
  <c r="S332" i="2"/>
  <c r="Q325" i="2"/>
  <c r="S324" i="2"/>
  <c r="Q317" i="2"/>
  <c r="S316" i="2"/>
  <c r="Q309" i="2"/>
  <c r="S308" i="2"/>
  <c r="Q301" i="2"/>
  <c r="S300" i="2"/>
  <c r="Q293" i="2"/>
  <c r="S292" i="2"/>
  <c r="Q285" i="2"/>
  <c r="S284" i="2"/>
  <c r="Q277" i="2"/>
  <c r="S276" i="2"/>
  <c r="S251" i="2"/>
  <c r="P193" i="2"/>
  <c r="Q164" i="2"/>
  <c r="P365" i="2"/>
  <c r="R364" i="2"/>
  <c r="P357" i="2"/>
  <c r="R356" i="2"/>
  <c r="P349" i="2"/>
  <c r="R348" i="2"/>
  <c r="P341" i="2"/>
  <c r="R340" i="2"/>
  <c r="P333" i="2"/>
  <c r="R332" i="2"/>
  <c r="P325" i="2"/>
  <c r="R324" i="2"/>
  <c r="P317" i="2"/>
  <c r="R316" i="2"/>
  <c r="P309" i="2"/>
  <c r="R308" i="2"/>
  <c r="P301" i="2"/>
  <c r="R300" i="2"/>
  <c r="P293" i="2"/>
  <c r="R292" i="2"/>
  <c r="P285" i="2"/>
  <c r="R284" i="2"/>
  <c r="P277" i="2"/>
  <c r="R276" i="2"/>
  <c r="P217" i="2"/>
  <c r="Q188" i="2"/>
  <c r="R176" i="2"/>
  <c r="P266" i="2"/>
  <c r="R265" i="2"/>
  <c r="P258" i="2"/>
  <c r="R257" i="2"/>
  <c r="P250" i="2"/>
  <c r="R249" i="2"/>
  <c r="P242" i="2"/>
  <c r="R241" i="2"/>
  <c r="P234" i="2"/>
  <c r="R233" i="2"/>
  <c r="P226" i="2"/>
  <c r="R225" i="2"/>
  <c r="P218" i="2"/>
  <c r="R217" i="2"/>
  <c r="P210" i="2"/>
  <c r="R209" i="2"/>
  <c r="P202" i="2"/>
  <c r="R201" i="2"/>
  <c r="P194" i="2"/>
  <c r="R193" i="2"/>
  <c r="P186" i="2"/>
  <c r="R185" i="2"/>
  <c r="P178" i="2"/>
  <c r="R177" i="2"/>
  <c r="P170" i="2"/>
  <c r="R169" i="2"/>
  <c r="P162" i="2"/>
  <c r="R161" i="2"/>
  <c r="Q265" i="2"/>
  <c r="S264" i="2"/>
  <c r="Q257" i="2"/>
  <c r="S256" i="2"/>
  <c r="Q249" i="2"/>
  <c r="S248" i="2"/>
  <c r="Q241" i="2"/>
  <c r="S240" i="2"/>
  <c r="Q233" i="2"/>
  <c r="S232" i="2"/>
  <c r="Q225" i="2"/>
  <c r="S224" i="2"/>
  <c r="Q217" i="2"/>
  <c r="S216" i="2"/>
  <c r="Q209" i="2"/>
  <c r="S208" i="2"/>
  <c r="Q201" i="2"/>
  <c r="S200" i="2"/>
  <c r="Q193" i="2"/>
  <c r="S192" i="2"/>
  <c r="Q185" i="2"/>
  <c r="S184" i="2"/>
  <c r="Q177" i="2"/>
  <c r="S176" i="2"/>
  <c r="Q169" i="2"/>
  <c r="S168" i="2"/>
  <c r="Q161" i="2"/>
  <c r="S160" i="2"/>
  <c r="Q264" i="2"/>
  <c r="S263" i="2"/>
  <c r="Q256" i="2"/>
  <c r="S255" i="2"/>
  <c r="Q248" i="2"/>
  <c r="S247" i="2"/>
  <c r="Q240" i="2"/>
  <c r="S239" i="2"/>
  <c r="Q232" i="2"/>
  <c r="S231" i="2"/>
  <c r="Q224" i="2"/>
  <c r="S223" i="2"/>
  <c r="Q216" i="2"/>
  <c r="S215" i="2"/>
  <c r="Q208" i="2"/>
  <c r="S207" i="2"/>
  <c r="Q200" i="2"/>
  <c r="S199" i="2"/>
  <c r="Q192" i="2"/>
  <c r="S191" i="2"/>
  <c r="Q184" i="2"/>
  <c r="S183" i="2"/>
  <c r="Q176" i="2"/>
  <c r="S175" i="2"/>
  <c r="Q168" i="2"/>
  <c r="S167" i="2"/>
  <c r="Q160" i="2"/>
  <c r="S159" i="2"/>
  <c r="P264" i="2"/>
  <c r="R263" i="2"/>
  <c r="P256" i="2"/>
  <c r="R255" i="2"/>
  <c r="P248" i="2"/>
  <c r="R247" i="2"/>
  <c r="P240" i="2"/>
  <c r="R239" i="2"/>
  <c r="P232" i="2"/>
  <c r="R231" i="2"/>
  <c r="P224" i="2"/>
  <c r="R223" i="2"/>
  <c r="P216" i="2"/>
  <c r="R215" i="2"/>
  <c r="P208" i="2"/>
  <c r="R207" i="2"/>
  <c r="P200" i="2"/>
  <c r="R199" i="2"/>
  <c r="P192" i="2"/>
  <c r="R191" i="2"/>
  <c r="P184" i="2"/>
  <c r="R183" i="2"/>
  <c r="P176" i="2"/>
  <c r="R175" i="2"/>
  <c r="P168" i="2"/>
  <c r="R167" i="2"/>
  <c r="P160" i="2"/>
  <c r="R159" i="2"/>
  <c r="Q263" i="2"/>
  <c r="S262" i="2"/>
  <c r="Q255" i="2"/>
  <c r="S254" i="2"/>
  <c r="Q247" i="2"/>
  <c r="S246" i="2"/>
  <c r="Q239" i="2"/>
  <c r="S238" i="2"/>
  <c r="Q231" i="2"/>
  <c r="S230" i="2"/>
  <c r="Q223" i="2"/>
  <c r="S222" i="2"/>
  <c r="Q215" i="2"/>
  <c r="S214" i="2"/>
  <c r="Q207" i="2"/>
  <c r="S206" i="2"/>
  <c r="Q199" i="2"/>
  <c r="S198" i="2"/>
  <c r="Q191" i="2"/>
  <c r="S190" i="2"/>
  <c r="Q183" i="2"/>
  <c r="S182" i="2"/>
  <c r="Q175" i="2"/>
  <c r="S174" i="2"/>
  <c r="Q167" i="2"/>
  <c r="S166" i="2"/>
  <c r="Q159" i="2"/>
  <c r="S158" i="2"/>
  <c r="P263" i="2"/>
  <c r="R262" i="2"/>
  <c r="P255" i="2"/>
  <c r="R254" i="2"/>
  <c r="P247" i="2"/>
  <c r="R246" i="2"/>
  <c r="P239" i="2"/>
  <c r="R238" i="2"/>
  <c r="P231" i="2"/>
  <c r="R230" i="2"/>
  <c r="P223" i="2"/>
  <c r="R222" i="2"/>
  <c r="P215" i="2"/>
  <c r="R214" i="2"/>
  <c r="P207" i="2"/>
  <c r="R206" i="2"/>
  <c r="P199" i="2"/>
  <c r="R198" i="2"/>
  <c r="P191" i="2"/>
  <c r="R190" i="2"/>
  <c r="P183" i="2"/>
  <c r="R182" i="2"/>
  <c r="P175" i="2"/>
  <c r="R174" i="2"/>
  <c r="P167" i="2"/>
  <c r="R166" i="2"/>
  <c r="P159" i="2"/>
  <c r="R158" i="2"/>
  <c r="S269" i="2"/>
  <c r="Q262" i="2"/>
  <c r="S261" i="2"/>
  <c r="Q254" i="2"/>
  <c r="S253" i="2"/>
  <c r="Q246" i="2"/>
  <c r="S245" i="2"/>
  <c r="Q238" i="2"/>
  <c r="S237" i="2"/>
  <c r="Q230" i="2"/>
  <c r="S229" i="2"/>
  <c r="Q222" i="2"/>
  <c r="S221" i="2"/>
  <c r="Q214" i="2"/>
  <c r="S213" i="2"/>
  <c r="Q206" i="2"/>
  <c r="S205" i="2"/>
  <c r="Q198" i="2"/>
  <c r="S197" i="2"/>
  <c r="Q190" i="2"/>
  <c r="S189" i="2"/>
  <c r="Q182" i="2"/>
  <c r="S181" i="2"/>
  <c r="Q174" i="2"/>
  <c r="S173" i="2"/>
  <c r="Q166" i="2"/>
  <c r="S165" i="2"/>
  <c r="Q158" i="2"/>
  <c r="S157" i="2"/>
  <c r="R269" i="2"/>
  <c r="P262" i="2"/>
  <c r="R261" i="2"/>
  <c r="P254" i="2"/>
  <c r="R253" i="2"/>
  <c r="P246" i="2"/>
  <c r="R245" i="2"/>
  <c r="P238" i="2"/>
  <c r="R237" i="2"/>
  <c r="P230" i="2"/>
  <c r="R229" i="2"/>
  <c r="P222" i="2"/>
  <c r="R221" i="2"/>
  <c r="P214" i="2"/>
  <c r="R213" i="2"/>
  <c r="P206" i="2"/>
  <c r="R205" i="2"/>
  <c r="P198" i="2"/>
  <c r="R197" i="2"/>
  <c r="P190" i="2"/>
  <c r="R189" i="2"/>
  <c r="P182" i="2"/>
  <c r="R181" i="2"/>
  <c r="P174" i="2"/>
  <c r="R173" i="2"/>
  <c r="P166" i="2"/>
  <c r="R165" i="2"/>
  <c r="P158" i="2"/>
  <c r="R157" i="2"/>
  <c r="Q269" i="2"/>
  <c r="S268" i="2"/>
  <c r="Q261" i="2"/>
  <c r="S260" i="2"/>
  <c r="Q253" i="2"/>
  <c r="S252" i="2"/>
  <c r="Q245" i="2"/>
  <c r="S244" i="2"/>
  <c r="Q237" i="2"/>
  <c r="S236" i="2"/>
  <c r="Q229" i="2"/>
  <c r="S228" i="2"/>
  <c r="Q221" i="2"/>
  <c r="S220" i="2"/>
  <c r="Q213" i="2"/>
  <c r="S212" i="2"/>
  <c r="Q205" i="2"/>
  <c r="S204" i="2"/>
  <c r="Q197" i="2"/>
  <c r="S196" i="2"/>
  <c r="Q189" i="2"/>
  <c r="S188" i="2"/>
  <c r="Q181" i="2"/>
  <c r="S180" i="2"/>
  <c r="Q173" i="2"/>
  <c r="S172" i="2"/>
  <c r="Q165" i="2"/>
  <c r="S164" i="2"/>
  <c r="Q157" i="2"/>
  <c r="P269" i="2"/>
  <c r="R268" i="2"/>
  <c r="P261" i="2"/>
  <c r="R260" i="2"/>
  <c r="P253" i="2"/>
  <c r="R252" i="2"/>
  <c r="P245" i="2"/>
  <c r="R244" i="2"/>
  <c r="P237" i="2"/>
  <c r="R236" i="2"/>
  <c r="P229" i="2"/>
  <c r="R228" i="2"/>
  <c r="P221" i="2"/>
  <c r="R220" i="2"/>
  <c r="P213" i="2"/>
  <c r="R212" i="2"/>
  <c r="P205" i="2"/>
  <c r="R204" i="2"/>
  <c r="P197" i="2"/>
  <c r="R196" i="2"/>
  <c r="P189" i="2"/>
  <c r="R188" i="2"/>
  <c r="P181" i="2"/>
  <c r="R180" i="2"/>
  <c r="P173" i="2"/>
  <c r="R172" i="2"/>
  <c r="P165" i="2"/>
  <c r="R164" i="2"/>
  <c r="P157" i="2"/>
  <c r="P268" i="2"/>
  <c r="R267" i="2"/>
  <c r="P260" i="2"/>
  <c r="R259" i="2"/>
  <c r="P252" i="2"/>
  <c r="R251" i="2"/>
  <c r="P244" i="2"/>
  <c r="R243" i="2"/>
  <c r="P236" i="2"/>
  <c r="R235" i="2"/>
  <c r="P228" i="2"/>
  <c r="R227" i="2"/>
  <c r="P220" i="2"/>
  <c r="R219" i="2"/>
  <c r="P212" i="2"/>
  <c r="R211" i="2"/>
  <c r="P204" i="2"/>
  <c r="R203" i="2"/>
  <c r="P196" i="2"/>
  <c r="R195" i="2"/>
  <c r="P188" i="2"/>
  <c r="R187" i="2"/>
  <c r="P180" i="2"/>
  <c r="R179" i="2"/>
  <c r="P172" i="2"/>
  <c r="R171" i="2"/>
  <c r="P164" i="2"/>
  <c r="R163" i="2"/>
  <c r="Q267" i="2"/>
  <c r="S266" i="2"/>
  <c r="Q259" i="2"/>
  <c r="S258" i="2"/>
  <c r="Q251" i="2"/>
  <c r="S250" i="2"/>
  <c r="Q243" i="2"/>
  <c r="S242" i="2"/>
  <c r="Q235" i="2"/>
  <c r="S234" i="2"/>
  <c r="Q227" i="2"/>
  <c r="S226" i="2"/>
  <c r="Q219" i="2"/>
  <c r="S218" i="2"/>
  <c r="Q211" i="2"/>
  <c r="S210" i="2"/>
  <c r="Q203" i="2"/>
  <c r="S202" i="2"/>
  <c r="Q195" i="2"/>
  <c r="S194" i="2"/>
  <c r="Q187" i="2"/>
  <c r="S186" i="2"/>
  <c r="Q179" i="2"/>
  <c r="S178" i="2"/>
  <c r="Q171" i="2"/>
  <c r="S170" i="2"/>
  <c r="Q163" i="2"/>
  <c r="S162" i="2"/>
  <c r="P267" i="2"/>
  <c r="R266" i="2"/>
  <c r="P259" i="2"/>
  <c r="R258" i="2"/>
  <c r="P251" i="2"/>
  <c r="R250" i="2"/>
  <c r="P243" i="2"/>
  <c r="R242" i="2"/>
  <c r="P235" i="2"/>
  <c r="R234" i="2"/>
  <c r="P227" i="2"/>
  <c r="R226" i="2"/>
  <c r="P219" i="2"/>
  <c r="R218" i="2"/>
  <c r="P211" i="2"/>
  <c r="R210" i="2"/>
  <c r="P203" i="2"/>
  <c r="R202" i="2"/>
  <c r="P195" i="2"/>
  <c r="R194" i="2"/>
  <c r="P187" i="2"/>
  <c r="R186" i="2"/>
  <c r="P179" i="2"/>
  <c r="R178" i="2"/>
  <c r="P171" i="2"/>
  <c r="R170" i="2"/>
  <c r="P163" i="2"/>
  <c r="R162" i="2"/>
  <c r="Q266" i="2"/>
  <c r="S265" i="2"/>
  <c r="Q258" i="2"/>
  <c r="S257" i="2"/>
  <c r="Q250" i="2"/>
  <c r="S249" i="2"/>
  <c r="Q242" i="2"/>
  <c r="S241" i="2"/>
  <c r="Q234" i="2"/>
  <c r="S233" i="2"/>
  <c r="Q226" i="2"/>
  <c r="S225" i="2"/>
  <c r="Q218" i="2"/>
  <c r="S217" i="2"/>
  <c r="Q210" i="2"/>
  <c r="S209" i="2"/>
  <c r="Q202" i="2"/>
  <c r="S201" i="2"/>
  <c r="Q194" i="2"/>
  <c r="S193" i="2"/>
  <c r="Q186" i="2"/>
  <c r="S185" i="2"/>
  <c r="Q178" i="2"/>
  <c r="S177" i="2"/>
  <c r="Q170" i="2"/>
  <c r="S169" i="2"/>
  <c r="Q162" i="2"/>
  <c r="S161" i="2"/>
  <c r="P154" i="2"/>
  <c r="P146" i="2"/>
  <c r="Q153" i="2"/>
  <c r="S152" i="2"/>
  <c r="Q145" i="2"/>
  <c r="S144" i="2"/>
  <c r="R153" i="2"/>
  <c r="P153" i="2"/>
  <c r="R152" i="2"/>
  <c r="P145" i="2"/>
  <c r="R144" i="2"/>
  <c r="S143" i="2"/>
  <c r="Q152" i="2"/>
  <c r="Q144" i="2"/>
  <c r="P152" i="2"/>
  <c r="R151" i="2"/>
  <c r="P144" i="2"/>
  <c r="R143" i="2"/>
  <c r="S151" i="2"/>
  <c r="Q151" i="2"/>
  <c r="S150" i="2"/>
  <c r="Q143" i="2"/>
  <c r="S142" i="2"/>
  <c r="P143" i="2"/>
  <c r="R142" i="2"/>
  <c r="R145" i="2"/>
  <c r="Q150" i="2"/>
  <c r="S149" i="2"/>
  <c r="Q142" i="2"/>
  <c r="S141" i="2"/>
  <c r="P151" i="2"/>
  <c r="P150" i="2"/>
  <c r="R149" i="2"/>
  <c r="P142" i="2"/>
  <c r="R141" i="2"/>
  <c r="R150" i="2"/>
  <c r="S156" i="2"/>
  <c r="Q149" i="2"/>
  <c r="S148" i="2"/>
  <c r="Q141" i="2"/>
  <c r="R156" i="2"/>
  <c r="P149" i="2"/>
  <c r="R148" i="2"/>
  <c r="P141" i="2"/>
  <c r="S155" i="2"/>
  <c r="Q148" i="2"/>
  <c r="S147" i="2"/>
  <c r="R155" i="2"/>
  <c r="Q156" i="2"/>
  <c r="P156" i="2"/>
  <c r="P148" i="2"/>
  <c r="R147" i="2"/>
  <c r="Q155" i="2"/>
  <c r="S154" i="2"/>
  <c r="Q147" i="2"/>
  <c r="S146" i="2"/>
  <c r="R154" i="2"/>
  <c r="R146" i="2"/>
  <c r="P155" i="2"/>
  <c r="P147" i="2"/>
  <c r="Q154" i="2"/>
  <c r="S153" i="2"/>
  <c r="Q146" i="2"/>
  <c r="S145" i="2"/>
  <c r="R140" i="2"/>
  <c r="P133" i="2"/>
  <c r="R132" i="2"/>
  <c r="P125" i="2"/>
  <c r="R124" i="2"/>
  <c r="P117" i="2"/>
  <c r="R116" i="2"/>
  <c r="Q140" i="2"/>
  <c r="S139" i="2"/>
  <c r="Q132" i="2"/>
  <c r="S131" i="2"/>
  <c r="Q124" i="2"/>
  <c r="S123" i="2"/>
  <c r="Q116" i="2"/>
  <c r="S115" i="2"/>
  <c r="R139" i="2"/>
  <c r="Q131" i="2"/>
  <c r="S122" i="2"/>
  <c r="Q115" i="2"/>
  <c r="S114" i="2"/>
  <c r="P139" i="2"/>
  <c r="R138" i="2"/>
  <c r="P131" i="2"/>
  <c r="R130" i="2"/>
  <c r="P123" i="2"/>
  <c r="R122" i="2"/>
  <c r="P115" i="2"/>
  <c r="R114" i="2"/>
  <c r="Q130" i="2"/>
  <c r="P130" i="2"/>
  <c r="R129" i="2"/>
  <c r="P122" i="2"/>
  <c r="R121" i="2"/>
  <c r="P114" i="2"/>
  <c r="R113" i="2"/>
  <c r="P116" i="2"/>
  <c r="R137" i="2"/>
  <c r="S136" i="2"/>
  <c r="Q129" i="2"/>
  <c r="S128" i="2"/>
  <c r="Q121" i="2"/>
  <c r="S120" i="2"/>
  <c r="Q113" i="2"/>
  <c r="S112" i="2"/>
  <c r="S138" i="2"/>
  <c r="S137" i="2"/>
  <c r="P137" i="2"/>
  <c r="R136" i="2"/>
  <c r="P129" i="2"/>
  <c r="R128" i="2"/>
  <c r="P121" i="2"/>
  <c r="R120" i="2"/>
  <c r="P113" i="2"/>
  <c r="R112" i="2"/>
  <c r="P140" i="2"/>
  <c r="S129" i="2"/>
  <c r="Q122" i="2"/>
  <c r="S113" i="2"/>
  <c r="Q136" i="2"/>
  <c r="S135" i="2"/>
  <c r="Q128" i="2"/>
  <c r="S127" i="2"/>
  <c r="Q120" i="2"/>
  <c r="S119" i="2"/>
  <c r="Q112" i="2"/>
  <c r="R123" i="2"/>
  <c r="Q139" i="2"/>
  <c r="Q114" i="2"/>
  <c r="P138" i="2"/>
  <c r="P136" i="2"/>
  <c r="R135" i="2"/>
  <c r="P128" i="2"/>
  <c r="R127" i="2"/>
  <c r="P120" i="2"/>
  <c r="R119" i="2"/>
  <c r="P112" i="2"/>
  <c r="Q137" i="2"/>
  <c r="Q135" i="2"/>
  <c r="S134" i="2"/>
  <c r="Q127" i="2"/>
  <c r="S126" i="2"/>
  <c r="Q119" i="2"/>
  <c r="S118" i="2"/>
  <c r="P132" i="2"/>
  <c r="P124" i="2"/>
  <c r="S130" i="2"/>
  <c r="P135" i="2"/>
  <c r="R134" i="2"/>
  <c r="P127" i="2"/>
  <c r="R126" i="2"/>
  <c r="P119" i="2"/>
  <c r="R118" i="2"/>
  <c r="R131" i="2"/>
  <c r="Q123" i="2"/>
  <c r="Q138" i="2"/>
  <c r="S121" i="2"/>
  <c r="Q134" i="2"/>
  <c r="S133" i="2"/>
  <c r="Q126" i="2"/>
  <c r="S125" i="2"/>
  <c r="Q118" i="2"/>
  <c r="S117" i="2"/>
  <c r="P134" i="2"/>
  <c r="R133" i="2"/>
  <c r="P126" i="2"/>
  <c r="R125" i="2"/>
  <c r="P118" i="2"/>
  <c r="R117" i="2"/>
  <c r="R115" i="2"/>
  <c r="S140" i="2"/>
  <c r="Q133" i="2"/>
  <c r="S132" i="2"/>
  <c r="Q125" i="2"/>
  <c r="S124" i="2"/>
  <c r="Q117" i="2"/>
  <c r="S116" i="2"/>
  <c r="S111" i="2"/>
  <c r="R111" i="2"/>
  <c r="Q111" i="2"/>
  <c r="P111" i="2"/>
  <c r="V368" i="2" l="1"/>
  <c r="X368" i="2" s="1"/>
  <c r="V516" i="2"/>
  <c r="Y516" i="2" s="1"/>
  <c r="V392" i="2"/>
  <c r="X392" i="2" s="1"/>
  <c r="V485" i="2"/>
  <c r="Y485" i="2" s="1"/>
  <c r="V495" i="2"/>
  <c r="Y495" i="2" s="1"/>
  <c r="V415" i="2"/>
  <c r="X415" i="2" s="1"/>
  <c r="V431" i="2"/>
  <c r="X431" i="2" s="1"/>
  <c r="V406" i="2"/>
  <c r="X406" i="2" s="1"/>
  <c r="V419" i="2"/>
  <c r="Y419" i="2" s="1"/>
  <c r="V439" i="2"/>
  <c r="Y439" i="2" s="1"/>
  <c r="V306" i="2"/>
  <c r="Y306" i="2" s="1"/>
  <c r="V519" i="2"/>
  <c r="X519" i="2" s="1"/>
  <c r="V501" i="2"/>
  <c r="Y501" i="2" s="1"/>
  <c r="V454" i="2"/>
  <c r="X454" i="2" s="1"/>
  <c r="V268" i="2"/>
  <c r="X268" i="2" s="1"/>
  <c r="V277" i="2"/>
  <c r="X277" i="2" s="1"/>
  <c r="V341" i="2"/>
  <c r="X341" i="2" s="1"/>
  <c r="V504" i="2"/>
  <c r="X504" i="2" s="1"/>
  <c r="V212" i="2"/>
  <c r="Y212" i="2" s="1"/>
  <c r="V512" i="2"/>
  <c r="X512" i="2" s="1"/>
  <c r="V221" i="2"/>
  <c r="Y221" i="2" s="1"/>
  <c r="V422" i="2"/>
  <c r="X422" i="2" s="1"/>
  <c r="V180" i="2"/>
  <c r="Y180" i="2" s="1"/>
  <c r="V188" i="2"/>
  <c r="Y188" i="2" s="1"/>
  <c r="V500" i="2"/>
  <c r="X500" i="2" s="1"/>
  <c r="V244" i="2"/>
  <c r="Y244" i="2" s="1"/>
  <c r="V252" i="2"/>
  <c r="Y252" i="2" s="1"/>
  <c r="V346" i="2"/>
  <c r="X346" i="2" s="1"/>
  <c r="V204" i="2"/>
  <c r="X204" i="2" s="1"/>
  <c r="V297" i="2"/>
  <c r="Y297" i="2" s="1"/>
  <c r="V298" i="2"/>
  <c r="Y298" i="2" s="1"/>
  <c r="V393" i="2"/>
  <c r="X393" i="2" s="1"/>
  <c r="V179" i="2"/>
  <c r="X179" i="2" s="1"/>
  <c r="V243" i="2"/>
  <c r="Y243" i="2" s="1"/>
  <c r="V207" i="2"/>
  <c r="X207" i="2" s="1"/>
  <c r="V176" i="2"/>
  <c r="X176" i="2" s="1"/>
  <c r="V240" i="2"/>
  <c r="X240" i="2" s="1"/>
  <c r="V327" i="2"/>
  <c r="Y327" i="2" s="1"/>
  <c r="V203" i="2"/>
  <c r="Y203" i="2" s="1"/>
  <c r="V267" i="2"/>
  <c r="X267" i="2" s="1"/>
  <c r="V167" i="2"/>
  <c r="X167" i="2" s="1"/>
  <c r="V231" i="2"/>
  <c r="Y231" i="2" s="1"/>
  <c r="V200" i="2"/>
  <c r="X200" i="2" s="1"/>
  <c r="V264" i="2"/>
  <c r="X264" i="2" s="1"/>
  <c r="V287" i="2"/>
  <c r="Y287" i="2" s="1"/>
  <c r="V351" i="2"/>
  <c r="Y351" i="2" s="1"/>
  <c r="V444" i="2"/>
  <c r="X444" i="2" s="1"/>
  <c r="V281" i="2"/>
  <c r="Y281" i="2" s="1"/>
  <c r="V345" i="2"/>
  <c r="Y345" i="2" s="1"/>
  <c r="V282" i="2"/>
  <c r="Y282" i="2" s="1"/>
  <c r="V376" i="2"/>
  <c r="Y376" i="2" s="1"/>
  <c r="V469" i="2"/>
  <c r="Y469" i="2" s="1"/>
  <c r="V448" i="2"/>
  <c r="X448" i="2" s="1"/>
  <c r="V171" i="2"/>
  <c r="Y171" i="2" s="1"/>
  <c r="V235" i="2"/>
  <c r="Y235" i="2" s="1"/>
  <c r="V199" i="2"/>
  <c r="Y199" i="2" s="1"/>
  <c r="V263" i="2"/>
  <c r="Y263" i="2" s="1"/>
  <c r="V168" i="2"/>
  <c r="X168" i="2" s="1"/>
  <c r="V232" i="2"/>
  <c r="Y232" i="2" s="1"/>
  <c r="V319" i="2"/>
  <c r="Y319" i="2" s="1"/>
  <c r="V468" i="2"/>
  <c r="X468" i="2" s="1"/>
  <c r="V157" i="2"/>
  <c r="X157" i="2" s="1"/>
  <c r="V316" i="2"/>
  <c r="X316" i="2" s="1"/>
  <c r="V402" i="2"/>
  <c r="Y402" i="2" s="1"/>
  <c r="V275" i="2"/>
  <c r="X275" i="2" s="1"/>
  <c r="V473" i="2"/>
  <c r="X473" i="2" s="1"/>
  <c r="V497" i="2"/>
  <c r="Y497" i="2" s="1"/>
  <c r="V514" i="2"/>
  <c r="Y514" i="2" s="1"/>
  <c r="V505" i="2"/>
  <c r="X505" i="2" s="1"/>
  <c r="V257" i="2"/>
  <c r="Y257" i="2" s="1"/>
  <c r="V465" i="2"/>
  <c r="X465" i="2" s="1"/>
  <c r="V182" i="2"/>
  <c r="X182" i="2" s="1"/>
  <c r="V246" i="2"/>
  <c r="X246" i="2" s="1"/>
  <c r="V296" i="2"/>
  <c r="X296" i="2" s="1"/>
  <c r="V360" i="2"/>
  <c r="X360" i="2" s="1"/>
  <c r="V318" i="2"/>
  <c r="Y318" i="2" s="1"/>
  <c r="V401" i="2"/>
  <c r="Y401" i="2" s="1"/>
  <c r="V494" i="2"/>
  <c r="Y494" i="2" s="1"/>
  <c r="V523" i="2"/>
  <c r="Y523" i="2" s="1"/>
  <c r="V480" i="2"/>
  <c r="X480" i="2" s="1"/>
  <c r="V323" i="2"/>
  <c r="X323" i="2" s="1"/>
  <c r="V527" i="2"/>
  <c r="X527" i="2" s="1"/>
  <c r="V198" i="2"/>
  <c r="X198" i="2" s="1"/>
  <c r="V262" i="2"/>
  <c r="X262" i="2" s="1"/>
  <c r="V521" i="2"/>
  <c r="Y521" i="2" s="1"/>
  <c r="V320" i="2"/>
  <c r="X320" i="2" s="1"/>
  <c r="V350" i="2"/>
  <c r="Y350" i="2" s="1"/>
  <c r="V471" i="2"/>
  <c r="X471" i="2" s="1"/>
  <c r="V214" i="2"/>
  <c r="X214" i="2" s="1"/>
  <c r="V328" i="2"/>
  <c r="X328" i="2" s="1"/>
  <c r="V338" i="2"/>
  <c r="X338" i="2" s="1"/>
  <c r="V219" i="2"/>
  <c r="X219" i="2" s="1"/>
  <c r="V183" i="2"/>
  <c r="Y183" i="2" s="1"/>
  <c r="V247" i="2"/>
  <c r="X247" i="2" s="1"/>
  <c r="V216" i="2"/>
  <c r="X216" i="2" s="1"/>
  <c r="V303" i="2"/>
  <c r="Y303" i="2" s="1"/>
  <c r="V377" i="2"/>
  <c r="X377" i="2" s="1"/>
  <c r="V452" i="2"/>
  <c r="X452" i="2" s="1"/>
  <c r="V270" i="2"/>
  <c r="X270" i="2" s="1"/>
  <c r="V470" i="2"/>
  <c r="Y470" i="2" s="1"/>
  <c r="V302" i="2"/>
  <c r="Y302" i="2" s="1"/>
  <c r="V166" i="2"/>
  <c r="X166" i="2" s="1"/>
  <c r="V230" i="2"/>
  <c r="X230" i="2" s="1"/>
  <c r="V174" i="2"/>
  <c r="X174" i="2" s="1"/>
  <c r="V238" i="2"/>
  <c r="X238" i="2" s="1"/>
  <c r="V288" i="2"/>
  <c r="X288" i="2" s="1"/>
  <c r="V363" i="2"/>
  <c r="X363" i="2" s="1"/>
  <c r="V291" i="2"/>
  <c r="X291" i="2" s="1"/>
  <c r="V380" i="2"/>
  <c r="X380" i="2" s="1"/>
  <c r="V249" i="2"/>
  <c r="V305" i="2"/>
  <c r="V161" i="2"/>
  <c r="V358" i="2"/>
  <c r="V413" i="2"/>
  <c r="V476" i="2"/>
  <c r="V405" i="2"/>
  <c r="V525" i="2"/>
  <c r="V165" i="2"/>
  <c r="V229" i="2"/>
  <c r="V285" i="2"/>
  <c r="V349" i="2"/>
  <c r="V169" i="2"/>
  <c r="V414" i="2"/>
  <c r="V375" i="2"/>
  <c r="V400" i="2"/>
  <c r="V283" i="2"/>
  <c r="V373" i="2"/>
  <c r="V396" i="2"/>
  <c r="V493" i="2"/>
  <c r="V520" i="2"/>
  <c r="V410" i="2"/>
  <c r="V483" i="2"/>
  <c r="V226" i="2"/>
  <c r="V184" i="2"/>
  <c r="V442" i="2"/>
  <c r="V508" i="2"/>
  <c r="V531" i="2"/>
  <c r="V487" i="2"/>
  <c r="V162" i="2"/>
  <c r="V190" i="2"/>
  <c r="V234" i="2"/>
  <c r="V271" i="2"/>
  <c r="V379" i="2"/>
  <c r="V173" i="2"/>
  <c r="V237" i="2"/>
  <c r="V293" i="2"/>
  <c r="V357" i="2"/>
  <c r="V177" i="2"/>
  <c r="V353" i="2"/>
  <c r="V383" i="2"/>
  <c r="V284" i="2"/>
  <c r="V408" i="2"/>
  <c r="V332" i="2"/>
  <c r="V370" i="2"/>
  <c r="V411" i="2"/>
  <c r="V420" i="2"/>
  <c r="V292" i="2"/>
  <c r="V437" i="2"/>
  <c r="V528" i="2"/>
  <c r="V509" i="2"/>
  <c r="V513" i="2"/>
  <c r="V395" i="2"/>
  <c r="V490" i="2"/>
  <c r="V251" i="2"/>
  <c r="V220" i="2"/>
  <c r="V254" i="2"/>
  <c r="V170" i="2"/>
  <c r="V313" i="2"/>
  <c r="V481" i="2"/>
  <c r="V354" i="2"/>
  <c r="V195" i="2"/>
  <c r="V259" i="2"/>
  <c r="V164" i="2"/>
  <c r="V228" i="2"/>
  <c r="V159" i="2"/>
  <c r="V223" i="2"/>
  <c r="V192" i="2"/>
  <c r="V256" i="2"/>
  <c r="V178" i="2"/>
  <c r="V242" i="2"/>
  <c r="V279" i="2"/>
  <c r="V343" i="2"/>
  <c r="V312" i="2"/>
  <c r="V321" i="2"/>
  <c r="V322" i="2"/>
  <c r="V286" i="2"/>
  <c r="V334" i="2"/>
  <c r="V417" i="2"/>
  <c r="V418" i="2"/>
  <c r="V489" i="2"/>
  <c r="V492" i="2"/>
  <c r="V436" i="2"/>
  <c r="V446" i="2"/>
  <c r="V440" i="2"/>
  <c r="V394" i="2"/>
  <c r="V535" i="2"/>
  <c r="V464" i="2"/>
  <c r="V187" i="2"/>
  <c r="V215" i="2"/>
  <c r="V248" i="2"/>
  <c r="V335" i="2"/>
  <c r="V304" i="2"/>
  <c r="V314" i="2"/>
  <c r="V409" i="2"/>
  <c r="V484" i="2"/>
  <c r="V427" i="2"/>
  <c r="V533" i="2"/>
  <c r="V181" i="2"/>
  <c r="V245" i="2"/>
  <c r="V301" i="2"/>
  <c r="V365" i="2"/>
  <c r="V430" i="2"/>
  <c r="V391" i="2"/>
  <c r="V307" i="2"/>
  <c r="V416" i="2"/>
  <c r="V388" i="2"/>
  <c r="V294" i="2"/>
  <c r="V445" i="2"/>
  <c r="V467" i="2"/>
  <c r="V536" i="2"/>
  <c r="V429" i="2"/>
  <c r="V324" i="2"/>
  <c r="V421" i="2"/>
  <c r="V498" i="2"/>
  <c r="V443" i="2"/>
  <c r="V472" i="2"/>
  <c r="V250" i="2"/>
  <c r="V233" i="2"/>
  <c r="V299" i="2"/>
  <c r="V372" i="2"/>
  <c r="V447" i="2"/>
  <c r="V172" i="2"/>
  <c r="V186" i="2"/>
  <c r="V329" i="2"/>
  <c r="V330" i="2"/>
  <c r="V340" i="2"/>
  <c r="V425" i="2"/>
  <c r="V265" i="2"/>
  <c r="V404" i="2"/>
  <c r="V189" i="2"/>
  <c r="V253" i="2"/>
  <c r="V309" i="2"/>
  <c r="V193" i="2"/>
  <c r="V201" i="2"/>
  <c r="V241" i="2"/>
  <c r="V374" i="2"/>
  <c r="V438" i="2"/>
  <c r="V399" i="2"/>
  <c r="V339" i="2"/>
  <c r="V424" i="2"/>
  <c r="V356" i="2"/>
  <c r="V326" i="2"/>
  <c r="V453" i="2"/>
  <c r="V434" i="2"/>
  <c r="V506" i="2"/>
  <c r="V474" i="2"/>
  <c r="V529" i="2"/>
  <c r="V499" i="2"/>
  <c r="V450" i="2"/>
  <c r="V236" i="2"/>
  <c r="V206" i="2"/>
  <c r="V239" i="2"/>
  <c r="V208" i="2"/>
  <c r="V194" i="2"/>
  <c r="V295" i="2"/>
  <c r="V273" i="2"/>
  <c r="V369" i="2"/>
  <c r="V362" i="2"/>
  <c r="V462" i="2"/>
  <c r="V456" i="2"/>
  <c r="V522" i="2"/>
  <c r="V211" i="2"/>
  <c r="V175" i="2"/>
  <c r="V258" i="2"/>
  <c r="V359" i="2"/>
  <c r="V337" i="2"/>
  <c r="V274" i="2"/>
  <c r="V348" i="2"/>
  <c r="V511" i="2"/>
  <c r="V197" i="2"/>
  <c r="V261" i="2"/>
  <c r="V317" i="2"/>
  <c r="V308" i="2"/>
  <c r="V364" i="2"/>
  <c r="V382" i="2"/>
  <c r="V407" i="2"/>
  <c r="V278" i="2"/>
  <c r="V185" i="2"/>
  <c r="V366" i="2"/>
  <c r="V461" i="2"/>
  <c r="V496" i="2"/>
  <c r="V459" i="2"/>
  <c r="V355" i="2"/>
  <c r="V371" i="2"/>
  <c r="V202" i="2"/>
  <c r="V336" i="2"/>
  <c r="V310" i="2"/>
  <c r="V449" i="2"/>
  <c r="V426" i="2"/>
  <c r="V428" i="2"/>
  <c r="V463" i="2"/>
  <c r="V530" i="2"/>
  <c r="V524" i="2"/>
  <c r="V479" i="2"/>
  <c r="V386" i="2"/>
  <c r="V503" i="2"/>
  <c r="V433" i="2"/>
  <c r="V466" i="2"/>
  <c r="V389" i="2"/>
  <c r="V526" i="2"/>
  <c r="V158" i="2"/>
  <c r="V266" i="2"/>
  <c r="V269" i="2"/>
  <c r="V325" i="2"/>
  <c r="V331" i="2"/>
  <c r="V378" i="2"/>
  <c r="V534" i="2"/>
  <c r="V163" i="2"/>
  <c r="V227" i="2"/>
  <c r="V196" i="2"/>
  <c r="V260" i="2"/>
  <c r="V191" i="2"/>
  <c r="V255" i="2"/>
  <c r="V160" i="2"/>
  <c r="V224" i="2"/>
  <c r="V210" i="2"/>
  <c r="V311" i="2"/>
  <c r="V225" i="2"/>
  <c r="V280" i="2"/>
  <c r="V344" i="2"/>
  <c r="V289" i="2"/>
  <c r="V290" i="2"/>
  <c r="V385" i="2"/>
  <c r="V347" i="2"/>
  <c r="V315" i="2"/>
  <c r="V457" i="2"/>
  <c r="V381" i="2"/>
  <c r="V460" i="2"/>
  <c r="V478" i="2"/>
  <c r="V507" i="2"/>
  <c r="V367" i="2"/>
  <c r="V451" i="2"/>
  <c r="V532" i="2"/>
  <c r="V475" i="2"/>
  <c r="V482" i="2"/>
  <c r="V342" i="2"/>
  <c r="V222" i="2"/>
  <c r="V272" i="2"/>
  <c r="V205" i="2"/>
  <c r="V390" i="2"/>
  <c r="V300" i="2"/>
  <c r="V441" i="2"/>
  <c r="V435" i="2"/>
  <c r="V213" i="2"/>
  <c r="V217" i="2"/>
  <c r="V333" i="2"/>
  <c r="V209" i="2"/>
  <c r="V398" i="2"/>
  <c r="V423" i="2"/>
  <c r="V384" i="2"/>
  <c r="V361" i="2"/>
  <c r="V276" i="2"/>
  <c r="V477" i="2"/>
  <c r="V412" i="2"/>
  <c r="V510" i="2"/>
  <c r="V502" i="2"/>
  <c r="V488" i="2"/>
  <c r="V397" i="2"/>
  <c r="V455" i="2"/>
  <c r="V518" i="2"/>
  <c r="V218" i="2"/>
  <c r="V352" i="2"/>
  <c r="V387" i="2"/>
  <c r="V486" i="2"/>
  <c r="V491" i="2"/>
  <c r="V515" i="2"/>
  <c r="V403" i="2"/>
  <c r="V458" i="2"/>
  <c r="V517" i="2"/>
  <c r="V432" i="2"/>
  <c r="V145" i="2"/>
  <c r="X145" i="2" s="1"/>
  <c r="V153" i="2"/>
  <c r="Y153" i="2" s="1"/>
  <c r="V143" i="2"/>
  <c r="X143" i="2" s="1"/>
  <c r="V142" i="2"/>
  <c r="X142" i="2" s="1"/>
  <c r="V141" i="2"/>
  <c r="V149" i="2"/>
  <c r="V151" i="2"/>
  <c r="V144" i="2"/>
  <c r="V148" i="2"/>
  <c r="V152" i="2"/>
  <c r="V156" i="2"/>
  <c r="V146" i="2"/>
  <c r="V154" i="2"/>
  <c r="V147" i="2"/>
  <c r="V155" i="2"/>
  <c r="V150" i="2"/>
  <c r="V130" i="2"/>
  <c r="X130" i="2" s="1"/>
  <c r="V137" i="2"/>
  <c r="Y137" i="2" s="1"/>
  <c r="V132" i="2"/>
  <c r="Y132" i="2" s="1"/>
  <c r="V121" i="2"/>
  <c r="X121" i="2" s="1"/>
  <c r="V129" i="2"/>
  <c r="X129" i="2" s="1"/>
  <c r="V116" i="2"/>
  <c r="V133" i="2"/>
  <c r="V122" i="2"/>
  <c r="V119" i="2"/>
  <c r="V118" i="2"/>
  <c r="V120" i="2"/>
  <c r="V134" i="2"/>
  <c r="V140" i="2"/>
  <c r="V131" i="2"/>
  <c r="V114" i="2"/>
  <c r="V115" i="2"/>
  <c r="V127" i="2"/>
  <c r="V123" i="2"/>
  <c r="V128" i="2"/>
  <c r="V136" i="2"/>
  <c r="V117" i="2"/>
  <c r="V112" i="2"/>
  <c r="V126" i="2"/>
  <c r="V135" i="2"/>
  <c r="V124" i="2"/>
  <c r="V138" i="2"/>
  <c r="V113" i="2"/>
  <c r="V139" i="2"/>
  <c r="V125" i="2"/>
  <c r="V111" i="2"/>
  <c r="Y111" i="2" s="1"/>
  <c r="Y368" i="2" l="1"/>
  <c r="X516" i="2"/>
  <c r="Y392" i="2"/>
  <c r="X306" i="2"/>
  <c r="X485" i="2"/>
  <c r="X495" i="2"/>
  <c r="X439" i="2"/>
  <c r="Y431" i="2"/>
  <c r="X419" i="2"/>
  <c r="Y415" i="2"/>
  <c r="Y268" i="2"/>
  <c r="Y341" i="2"/>
  <c r="Y406" i="2"/>
  <c r="X469" i="2"/>
  <c r="Y270" i="2"/>
  <c r="X501" i="2"/>
  <c r="Y519" i="2"/>
  <c r="Y454" i="2"/>
  <c r="Y448" i="2"/>
  <c r="X221" i="2"/>
  <c r="Y505" i="2"/>
  <c r="X497" i="2"/>
  <c r="Y422" i="2"/>
  <c r="Y277" i="2"/>
  <c r="Y500" i="2"/>
  <c r="X180" i="2"/>
  <c r="Y512" i="2"/>
  <c r="X263" i="2"/>
  <c r="Y207" i="2"/>
  <c r="X282" i="2"/>
  <c r="Y468" i="2"/>
  <c r="X212" i="2"/>
  <c r="Y166" i="2"/>
  <c r="X252" i="2"/>
  <c r="X297" i="2"/>
  <c r="X188" i="2"/>
  <c r="Y216" i="2"/>
  <c r="X298" i="2"/>
  <c r="X319" i="2"/>
  <c r="X232" i="2"/>
  <c r="Y275" i="2"/>
  <c r="X318" i="2"/>
  <c r="X345" i="2"/>
  <c r="Y167" i="2"/>
  <c r="Y204" i="2"/>
  <c r="X243" i="2"/>
  <c r="Y504" i="2"/>
  <c r="X244" i="2"/>
  <c r="X231" i="2"/>
  <c r="Y179" i="2"/>
  <c r="Y452" i="2"/>
  <c r="Y168" i="2"/>
  <c r="Y264" i="2"/>
  <c r="Y377" i="2"/>
  <c r="Y346" i="2"/>
  <c r="Y393" i="2"/>
  <c r="Y360" i="2"/>
  <c r="X257" i="2"/>
  <c r="Y262" i="2"/>
  <c r="Y176" i="2"/>
  <c r="X199" i="2"/>
  <c r="X171" i="2"/>
  <c r="Y198" i="2"/>
  <c r="Y363" i="2"/>
  <c r="X514" i="2"/>
  <c r="X470" i="2"/>
  <c r="X203" i="2"/>
  <c r="X302" i="2"/>
  <c r="Y267" i="2"/>
  <c r="Y240" i="2"/>
  <c r="Y527" i="2"/>
  <c r="X235" i="2"/>
  <c r="Y473" i="2"/>
  <c r="X327" i="2"/>
  <c r="X376" i="2"/>
  <c r="Y465" i="2"/>
  <c r="Y157" i="2"/>
  <c r="X351" i="2"/>
  <c r="X281" i="2"/>
  <c r="X402" i="2"/>
  <c r="Y316" i="2"/>
  <c r="X303" i="2"/>
  <c r="Y480" i="2"/>
  <c r="X287" i="2"/>
  <c r="X523" i="2"/>
  <c r="Y444" i="2"/>
  <c r="Y200" i="2"/>
  <c r="Y247" i="2"/>
  <c r="Y296" i="2"/>
  <c r="X494" i="2"/>
  <c r="X183" i="2"/>
  <c r="Y219" i="2"/>
  <c r="X350" i="2"/>
  <c r="Y338" i="2"/>
  <c r="X401" i="2"/>
  <c r="Y380" i="2"/>
  <c r="Y288" i="2"/>
  <c r="Y230" i="2"/>
  <c r="Y320" i="2"/>
  <c r="Y291" i="2"/>
  <c r="Y328" i="2"/>
  <c r="Y214" i="2"/>
  <c r="Y323" i="2"/>
  <c r="Y182" i="2"/>
  <c r="Y238" i="2"/>
  <c r="Y471" i="2"/>
  <c r="Y246" i="2"/>
  <c r="Y174" i="2"/>
  <c r="X521" i="2"/>
  <c r="Y458" i="2"/>
  <c r="X458" i="2"/>
  <c r="X420" i="2"/>
  <c r="Y420" i="2"/>
  <c r="X202" i="2"/>
  <c r="Y202" i="2"/>
  <c r="X475" i="2"/>
  <c r="Y475" i="2"/>
  <c r="X510" i="2"/>
  <c r="Y510" i="2"/>
  <c r="X352" i="2"/>
  <c r="Y352" i="2"/>
  <c r="X210" i="2"/>
  <c r="Y210" i="2"/>
  <c r="X487" i="2"/>
  <c r="Y487" i="2"/>
  <c r="Y367" i="2"/>
  <c r="X367" i="2"/>
  <c r="X224" i="2"/>
  <c r="Y224" i="2"/>
  <c r="X463" i="2"/>
  <c r="Y463" i="2"/>
  <c r="X366" i="2"/>
  <c r="Y366" i="2"/>
  <c r="X274" i="2"/>
  <c r="Y274" i="2"/>
  <c r="X208" i="2"/>
  <c r="Y208" i="2"/>
  <c r="Y453" i="2"/>
  <c r="X453" i="2"/>
  <c r="X404" i="2"/>
  <c r="Y404" i="2"/>
  <c r="X533" i="2"/>
  <c r="Y533" i="2"/>
  <c r="X464" i="2"/>
  <c r="Y464" i="2"/>
  <c r="Y279" i="2"/>
  <c r="X279" i="2"/>
  <c r="X481" i="2"/>
  <c r="Y481" i="2"/>
  <c r="Y490" i="2"/>
  <c r="X490" i="2"/>
  <c r="Y353" i="2"/>
  <c r="X353" i="2"/>
  <c r="X531" i="2"/>
  <c r="Y531" i="2"/>
  <c r="Y373" i="2"/>
  <c r="X373" i="2"/>
  <c r="Y466" i="2"/>
  <c r="X466" i="2"/>
  <c r="X426" i="2"/>
  <c r="Y426" i="2"/>
  <c r="X459" i="2"/>
  <c r="Y459" i="2"/>
  <c r="Y329" i="2"/>
  <c r="X329" i="2"/>
  <c r="Y532" i="2"/>
  <c r="X532" i="2"/>
  <c r="X496" i="2"/>
  <c r="Y496" i="2"/>
  <c r="X447" i="2"/>
  <c r="Y447" i="2"/>
  <c r="Y390" i="2"/>
  <c r="X390" i="2"/>
  <c r="X194" i="2"/>
  <c r="Y194" i="2"/>
  <c r="X324" i="2"/>
  <c r="Y324" i="2"/>
  <c r="X160" i="2"/>
  <c r="Y160" i="2"/>
  <c r="X185" i="2"/>
  <c r="Y185" i="2"/>
  <c r="X239" i="2"/>
  <c r="Y239" i="2"/>
  <c r="Y326" i="2"/>
  <c r="X326" i="2"/>
  <c r="X372" i="2"/>
  <c r="Y372" i="2"/>
  <c r="X427" i="2"/>
  <c r="Y427" i="2"/>
  <c r="X535" i="2"/>
  <c r="Y535" i="2"/>
  <c r="X242" i="2"/>
  <c r="Y242" i="2"/>
  <c r="Y313" i="2"/>
  <c r="X313" i="2"/>
  <c r="X395" i="2"/>
  <c r="Y395" i="2"/>
  <c r="X177" i="2"/>
  <c r="Y177" i="2"/>
  <c r="X508" i="2"/>
  <c r="Y508" i="2"/>
  <c r="X283" i="2"/>
  <c r="Y283" i="2"/>
  <c r="X161" i="2"/>
  <c r="Y161" i="2"/>
  <c r="X333" i="2"/>
  <c r="Y333" i="2"/>
  <c r="X362" i="2"/>
  <c r="Y362" i="2"/>
  <c r="Y172" i="2"/>
  <c r="X172" i="2"/>
  <c r="X248" i="2"/>
  <c r="Y248" i="2"/>
  <c r="X217" i="2"/>
  <c r="Y217" i="2"/>
  <c r="X241" i="2"/>
  <c r="Y241" i="2"/>
  <c r="X225" i="2"/>
  <c r="Y225" i="2"/>
  <c r="X474" i="2"/>
  <c r="Y474" i="2"/>
  <c r="X387" i="2"/>
  <c r="Y387" i="2"/>
  <c r="X195" i="2"/>
  <c r="Y195" i="2"/>
  <c r="Y493" i="2"/>
  <c r="X493" i="2"/>
  <c r="X451" i="2"/>
  <c r="Y451" i="2"/>
  <c r="Y461" i="2"/>
  <c r="X461" i="2"/>
  <c r="X434" i="2"/>
  <c r="Y434" i="2"/>
  <c r="X396" i="2"/>
  <c r="Y396" i="2"/>
  <c r="Y205" i="2"/>
  <c r="X205" i="2"/>
  <c r="X272" i="2"/>
  <c r="Y272" i="2"/>
  <c r="Y361" i="2"/>
  <c r="X361" i="2"/>
  <c r="X478" i="2"/>
  <c r="Y478" i="2"/>
  <c r="X255" i="2"/>
  <c r="Y255" i="2"/>
  <c r="Y278" i="2"/>
  <c r="X278" i="2"/>
  <c r="Y359" i="2"/>
  <c r="X359" i="2"/>
  <c r="Y356" i="2"/>
  <c r="X356" i="2"/>
  <c r="X186" i="2"/>
  <c r="Y186" i="2"/>
  <c r="X299" i="2"/>
  <c r="Y299" i="2"/>
  <c r="X429" i="2"/>
  <c r="Y429" i="2"/>
  <c r="X484" i="2"/>
  <c r="Y484" i="2"/>
  <c r="X394" i="2"/>
  <c r="Y394" i="2"/>
  <c r="X178" i="2"/>
  <c r="Y178" i="2"/>
  <c r="X170" i="2"/>
  <c r="Y170" i="2"/>
  <c r="Y513" i="2"/>
  <c r="X513" i="2"/>
  <c r="X357" i="2"/>
  <c r="Y357" i="2"/>
  <c r="X442" i="2"/>
  <c r="Y442" i="2"/>
  <c r="Y400" i="2"/>
  <c r="X400" i="2"/>
  <c r="X433" i="2"/>
  <c r="Y433" i="2"/>
  <c r="X486" i="2"/>
  <c r="Y486" i="2"/>
  <c r="X498" i="2"/>
  <c r="Y498" i="2"/>
  <c r="Y524" i="2"/>
  <c r="X524" i="2"/>
  <c r="X506" i="2"/>
  <c r="Y506" i="2"/>
  <c r="Y245" i="2"/>
  <c r="X245" i="2"/>
  <c r="X530" i="2"/>
  <c r="Y530" i="2"/>
  <c r="Y477" i="2"/>
  <c r="X477" i="2"/>
  <c r="X276" i="2"/>
  <c r="Y276" i="2"/>
  <c r="X378" i="2"/>
  <c r="Y378" i="2"/>
  <c r="X460" i="2"/>
  <c r="Y460" i="2"/>
  <c r="Y407" i="2"/>
  <c r="X407" i="2"/>
  <c r="X258" i="2"/>
  <c r="Y258" i="2"/>
  <c r="Y424" i="2"/>
  <c r="X424" i="2"/>
  <c r="X233" i="2"/>
  <c r="Y233" i="2"/>
  <c r="X536" i="2"/>
  <c r="Y536" i="2"/>
  <c r="X409" i="2"/>
  <c r="Y409" i="2"/>
  <c r="Y440" i="2"/>
  <c r="X440" i="2"/>
  <c r="X256" i="2"/>
  <c r="Y256" i="2"/>
  <c r="X254" i="2"/>
  <c r="Y254" i="2"/>
  <c r="Y509" i="2"/>
  <c r="X509" i="2"/>
  <c r="X293" i="2"/>
  <c r="Y293" i="2"/>
  <c r="X301" i="2"/>
  <c r="Y301" i="2"/>
  <c r="Y311" i="2"/>
  <c r="X311" i="2"/>
  <c r="Y295" i="2"/>
  <c r="X295" i="2"/>
  <c r="X421" i="2"/>
  <c r="Y421" i="2"/>
  <c r="Y181" i="2"/>
  <c r="X181" i="2"/>
  <c r="X343" i="2"/>
  <c r="Y343" i="2"/>
  <c r="X507" i="2"/>
  <c r="Y507" i="2"/>
  <c r="Y337" i="2"/>
  <c r="X337" i="2"/>
  <c r="Y384" i="2"/>
  <c r="X384" i="2"/>
  <c r="X191" i="2"/>
  <c r="Y191" i="2"/>
  <c r="X526" i="2"/>
  <c r="Y526" i="2"/>
  <c r="X218" i="2"/>
  <c r="Y218" i="2"/>
  <c r="Y423" i="2"/>
  <c r="X423" i="2"/>
  <c r="X222" i="2"/>
  <c r="Y222" i="2"/>
  <c r="Y381" i="2"/>
  <c r="X381" i="2"/>
  <c r="X331" i="2"/>
  <c r="Y331" i="2"/>
  <c r="Y382" i="2"/>
  <c r="X382" i="2"/>
  <c r="X175" i="2"/>
  <c r="Y175" i="2"/>
  <c r="X522" i="2"/>
  <c r="Y522" i="2"/>
  <c r="X206" i="2"/>
  <c r="Y206" i="2"/>
  <c r="X339" i="2"/>
  <c r="Y339" i="2"/>
  <c r="X467" i="2"/>
  <c r="Y467" i="2"/>
  <c r="X314" i="2"/>
  <c r="Y314" i="2"/>
  <c r="X446" i="2"/>
  <c r="Y446" i="2"/>
  <c r="X192" i="2"/>
  <c r="Y192" i="2"/>
  <c r="Y220" i="2"/>
  <c r="X220" i="2"/>
  <c r="X528" i="2"/>
  <c r="Y528" i="2"/>
  <c r="Y237" i="2"/>
  <c r="X237" i="2"/>
  <c r="Y305" i="2"/>
  <c r="X305" i="2"/>
  <c r="X317" i="2"/>
  <c r="Y317" i="2"/>
  <c r="X388" i="2"/>
  <c r="Y388" i="2"/>
  <c r="X403" i="2"/>
  <c r="Y403" i="2"/>
  <c r="Y261" i="2"/>
  <c r="X261" i="2"/>
  <c r="X502" i="2"/>
  <c r="Y502" i="2"/>
  <c r="X479" i="2"/>
  <c r="Y479" i="2"/>
  <c r="X312" i="2"/>
  <c r="Y312" i="2"/>
  <c r="X162" i="2"/>
  <c r="Y162" i="2"/>
  <c r="X412" i="2"/>
  <c r="Y412" i="2"/>
  <c r="X348" i="2"/>
  <c r="Y348" i="2"/>
  <c r="X354" i="2"/>
  <c r="Y354" i="2"/>
  <c r="Y432" i="2"/>
  <c r="X432" i="2"/>
  <c r="Y398" i="2"/>
  <c r="X398" i="2"/>
  <c r="X457" i="2"/>
  <c r="Y457" i="2"/>
  <c r="X325" i="2"/>
  <c r="Y325" i="2"/>
  <c r="X428" i="2"/>
  <c r="Y428" i="2"/>
  <c r="X336" i="2"/>
  <c r="Y336" i="2"/>
  <c r="Y364" i="2"/>
  <c r="X364" i="2"/>
  <c r="X456" i="2"/>
  <c r="Y456" i="2"/>
  <c r="Y236" i="2"/>
  <c r="X236" i="2"/>
  <c r="Y399" i="2"/>
  <c r="X399" i="2"/>
  <c r="Y445" i="2"/>
  <c r="X445" i="2"/>
  <c r="X304" i="2"/>
  <c r="Y304" i="2"/>
  <c r="X436" i="2"/>
  <c r="Y436" i="2"/>
  <c r="X223" i="2"/>
  <c r="Y223" i="2"/>
  <c r="X251" i="2"/>
  <c r="Y251" i="2"/>
  <c r="X437" i="2"/>
  <c r="Y437" i="2"/>
  <c r="Y173" i="2"/>
  <c r="X173" i="2"/>
  <c r="X184" i="2"/>
  <c r="Y184" i="2"/>
  <c r="Y375" i="2"/>
  <c r="X375" i="2"/>
  <c r="X249" i="2"/>
  <c r="Y249" i="2"/>
  <c r="X517" i="2"/>
  <c r="Y517" i="2"/>
  <c r="X209" i="2"/>
  <c r="Y209" i="2"/>
  <c r="X315" i="2"/>
  <c r="Y315" i="2"/>
  <c r="X269" i="2"/>
  <c r="Y269" i="2"/>
  <c r="Y389" i="2"/>
  <c r="X389" i="2"/>
  <c r="X308" i="2"/>
  <c r="Y308" i="2"/>
  <c r="X462" i="2"/>
  <c r="Y462" i="2"/>
  <c r="X438" i="2"/>
  <c r="Y438" i="2"/>
  <c r="X250" i="2"/>
  <c r="Y250" i="2"/>
  <c r="Y294" i="2"/>
  <c r="X294" i="2"/>
  <c r="Y335" i="2"/>
  <c r="X335" i="2"/>
  <c r="X492" i="2"/>
  <c r="Y492" i="2"/>
  <c r="X159" i="2"/>
  <c r="Y159" i="2"/>
  <c r="X292" i="2"/>
  <c r="Y292" i="2"/>
  <c r="Y414" i="2"/>
  <c r="X414" i="2"/>
  <c r="X266" i="2"/>
  <c r="Y266" i="2"/>
  <c r="Y405" i="2"/>
  <c r="X405" i="2"/>
  <c r="X265" i="2"/>
  <c r="Y265" i="2"/>
  <c r="X489" i="2"/>
  <c r="Y489" i="2"/>
  <c r="X385" i="2"/>
  <c r="Y385" i="2"/>
  <c r="Y416" i="2"/>
  <c r="X416" i="2"/>
  <c r="X418" i="2"/>
  <c r="Y418" i="2"/>
  <c r="X411" i="2"/>
  <c r="Y411" i="2"/>
  <c r="X226" i="2"/>
  <c r="Y226" i="2"/>
  <c r="X349" i="2"/>
  <c r="Y349" i="2"/>
  <c r="X476" i="2"/>
  <c r="Y476" i="2"/>
  <c r="X515" i="2"/>
  <c r="Y515" i="2"/>
  <c r="Y213" i="2"/>
  <c r="X213" i="2"/>
  <c r="X290" i="2"/>
  <c r="Y290" i="2"/>
  <c r="X449" i="2"/>
  <c r="Y449" i="2"/>
  <c r="Y197" i="2"/>
  <c r="X197" i="2"/>
  <c r="X201" i="2"/>
  <c r="Y201" i="2"/>
  <c r="X187" i="2"/>
  <c r="Y187" i="2"/>
  <c r="Y370" i="2"/>
  <c r="X370" i="2"/>
  <c r="Y413" i="2"/>
  <c r="X413" i="2"/>
  <c r="X450" i="2"/>
  <c r="Y450" i="2"/>
  <c r="Y397" i="2"/>
  <c r="X397" i="2"/>
  <c r="X441" i="2"/>
  <c r="Y441" i="2"/>
  <c r="X344" i="2"/>
  <c r="Y344" i="2"/>
  <c r="X163" i="2"/>
  <c r="Y163" i="2"/>
  <c r="X371" i="2"/>
  <c r="Y371" i="2"/>
  <c r="Y273" i="2"/>
  <c r="X273" i="2"/>
  <c r="X499" i="2"/>
  <c r="Y499" i="2"/>
  <c r="X309" i="2"/>
  <c r="Y309" i="2"/>
  <c r="X340" i="2"/>
  <c r="Y340" i="2"/>
  <c r="X472" i="2"/>
  <c r="Y472" i="2"/>
  <c r="X430" i="2"/>
  <c r="Y430" i="2"/>
  <c r="Y286" i="2"/>
  <c r="X286" i="2"/>
  <c r="Y228" i="2"/>
  <c r="X228" i="2"/>
  <c r="Y408" i="2"/>
  <c r="X408" i="2"/>
  <c r="Y271" i="2"/>
  <c r="X271" i="2"/>
  <c r="X483" i="2"/>
  <c r="Y483" i="2"/>
  <c r="Y165" i="2"/>
  <c r="X165" i="2"/>
  <c r="X347" i="2"/>
  <c r="Y347" i="2"/>
  <c r="Y374" i="2"/>
  <c r="X374" i="2"/>
  <c r="Y369" i="2"/>
  <c r="X369" i="2"/>
  <c r="X425" i="2"/>
  <c r="Y425" i="2"/>
  <c r="X215" i="2"/>
  <c r="Y215" i="2"/>
  <c r="X379" i="2"/>
  <c r="Y379" i="2"/>
  <c r="X518" i="2"/>
  <c r="Y518" i="2"/>
  <c r="X342" i="2"/>
  <c r="Y342" i="2"/>
  <c r="Y196" i="2"/>
  <c r="X196" i="2"/>
  <c r="Y503" i="2"/>
  <c r="X503" i="2"/>
  <c r="X211" i="2"/>
  <c r="Y211" i="2"/>
  <c r="X307" i="2"/>
  <c r="Y307" i="2"/>
  <c r="X417" i="2"/>
  <c r="Y417" i="2"/>
  <c r="X285" i="2"/>
  <c r="Y285" i="2"/>
  <c r="X491" i="2"/>
  <c r="Y491" i="2"/>
  <c r="X455" i="2"/>
  <c r="Y455" i="2"/>
  <c r="Y435" i="2"/>
  <c r="X435" i="2"/>
  <c r="Y289" i="2"/>
  <c r="X289" i="2"/>
  <c r="X227" i="2"/>
  <c r="Y227" i="2"/>
  <c r="X386" i="2"/>
  <c r="Y386" i="2"/>
  <c r="X511" i="2"/>
  <c r="Y511" i="2"/>
  <c r="X193" i="2"/>
  <c r="Y193" i="2"/>
  <c r="Y391" i="2"/>
  <c r="X391" i="2"/>
  <c r="Y334" i="2"/>
  <c r="X334" i="2"/>
  <c r="X332" i="2"/>
  <c r="Y332" i="2"/>
  <c r="Y229" i="2"/>
  <c r="X229" i="2"/>
  <c r="X358" i="2"/>
  <c r="Y358" i="2"/>
  <c r="X488" i="2"/>
  <c r="Y488" i="2"/>
  <c r="X300" i="2"/>
  <c r="Y300" i="2"/>
  <c r="X482" i="2"/>
  <c r="Y482" i="2"/>
  <c r="X280" i="2"/>
  <c r="Y280" i="2"/>
  <c r="X534" i="2"/>
  <c r="Y534" i="2"/>
  <c r="X158" i="2"/>
  <c r="Y158" i="2"/>
  <c r="Y310" i="2"/>
  <c r="X310" i="2"/>
  <c r="X355" i="2"/>
  <c r="Y355" i="2"/>
  <c r="Y529" i="2"/>
  <c r="X529" i="2"/>
  <c r="Y253" i="2"/>
  <c r="X253" i="2"/>
  <c r="X330" i="2"/>
  <c r="Y330" i="2"/>
  <c r="X443" i="2"/>
  <c r="Y443" i="2"/>
  <c r="X365" i="2"/>
  <c r="Y365" i="2"/>
  <c r="X322" i="2"/>
  <c r="Y322" i="2"/>
  <c r="Y164" i="2"/>
  <c r="X164" i="2"/>
  <c r="X284" i="2"/>
  <c r="Y284" i="2"/>
  <c r="X234" i="2"/>
  <c r="Y234" i="2"/>
  <c r="X410" i="2"/>
  <c r="Y410" i="2"/>
  <c r="X525" i="2"/>
  <c r="Y525" i="2"/>
  <c r="X169" i="2"/>
  <c r="Y169" i="2"/>
  <c r="Y260" i="2"/>
  <c r="X260" i="2"/>
  <c r="Y189" i="2"/>
  <c r="X189" i="2"/>
  <c r="Y321" i="2"/>
  <c r="X321" i="2"/>
  <c r="X259" i="2"/>
  <c r="Y259" i="2"/>
  <c r="Y383" i="2"/>
  <c r="X383" i="2"/>
  <c r="X190" i="2"/>
  <c r="Y190" i="2"/>
  <c r="X520" i="2"/>
  <c r="Y520" i="2"/>
  <c r="X153" i="2"/>
  <c r="Y142" i="2"/>
  <c r="Y143" i="2"/>
  <c r="Y145" i="2"/>
  <c r="X147" i="2"/>
  <c r="Y147" i="2"/>
  <c r="Y155" i="2"/>
  <c r="X155" i="2"/>
  <c r="X154" i="2"/>
  <c r="Y154" i="2"/>
  <c r="X150" i="2"/>
  <c r="Y150" i="2"/>
  <c r="X144" i="2"/>
  <c r="Y144" i="2"/>
  <c r="X152" i="2"/>
  <c r="Y152" i="2"/>
  <c r="Y151" i="2"/>
  <c r="X151" i="2"/>
  <c r="X148" i="2"/>
  <c r="Y148" i="2"/>
  <c r="Y149" i="2"/>
  <c r="X149" i="2"/>
  <c r="X146" i="2"/>
  <c r="Y146" i="2"/>
  <c r="X156" i="2"/>
  <c r="Y156" i="2"/>
  <c r="Y141" i="2"/>
  <c r="X141" i="2"/>
  <c r="X137" i="2"/>
  <c r="Y130" i="2"/>
  <c r="X132" i="2"/>
  <c r="Y121" i="2"/>
  <c r="Y129" i="2"/>
  <c r="X113" i="2"/>
  <c r="Y113" i="2"/>
  <c r="Y125" i="2"/>
  <c r="X125" i="2"/>
  <c r="X124" i="2"/>
  <c r="Y124" i="2"/>
  <c r="X135" i="2"/>
  <c r="Y135" i="2"/>
  <c r="Y112" i="2"/>
  <c r="X112" i="2"/>
  <c r="X131" i="2"/>
  <c r="Y131" i="2"/>
  <c r="Y120" i="2"/>
  <c r="X120" i="2"/>
  <c r="X126" i="2"/>
  <c r="Y126" i="2"/>
  <c r="X117" i="2"/>
  <c r="Y117" i="2"/>
  <c r="X140" i="2"/>
  <c r="Y140" i="2"/>
  <c r="X118" i="2"/>
  <c r="Y118" i="2"/>
  <c r="X119" i="2"/>
  <c r="Y119" i="2"/>
  <c r="Y136" i="2"/>
  <c r="X136" i="2"/>
  <c r="X139" i="2"/>
  <c r="Y139" i="2"/>
  <c r="X138" i="2"/>
  <c r="Y138" i="2"/>
  <c r="Y128" i="2"/>
  <c r="X128" i="2"/>
  <c r="X123" i="2"/>
  <c r="Y123" i="2"/>
  <c r="X122" i="2"/>
  <c r="Y122" i="2"/>
  <c r="X114" i="2"/>
  <c r="Y114" i="2"/>
  <c r="Y134" i="2"/>
  <c r="X134" i="2"/>
  <c r="X127" i="2"/>
  <c r="Y127" i="2"/>
  <c r="Y133" i="2"/>
  <c r="X133" i="2"/>
  <c r="X115" i="2"/>
  <c r="Y115" i="2"/>
  <c r="X116" i="2"/>
  <c r="Y116" i="2"/>
  <c r="X111" i="2"/>
  <c r="D94" i="2" l="1"/>
  <c r="E94" i="2"/>
  <c r="F94" i="2"/>
  <c r="G94" i="2"/>
  <c r="H94" i="2"/>
  <c r="D95" i="2"/>
  <c r="E95" i="2"/>
  <c r="F95" i="2"/>
  <c r="G95" i="2"/>
  <c r="H95" i="2"/>
  <c r="D96" i="2"/>
  <c r="E96" i="2"/>
  <c r="F96" i="2"/>
  <c r="G96" i="2"/>
  <c r="H96" i="2"/>
  <c r="D97" i="2"/>
  <c r="E97" i="2"/>
  <c r="F97" i="2"/>
  <c r="G97" i="2"/>
  <c r="H97" i="2"/>
  <c r="D98" i="2"/>
  <c r="E98" i="2"/>
  <c r="F98" i="2"/>
  <c r="G98" i="2"/>
  <c r="H98" i="2"/>
  <c r="D99" i="2"/>
  <c r="E99" i="2"/>
  <c r="F99" i="2"/>
  <c r="G99" i="2"/>
  <c r="H99" i="2"/>
  <c r="D100" i="2"/>
  <c r="E100" i="2"/>
  <c r="F100" i="2"/>
  <c r="G100" i="2"/>
  <c r="H100" i="2"/>
  <c r="D101" i="2"/>
  <c r="E101" i="2"/>
  <c r="F101" i="2"/>
  <c r="G101" i="2"/>
  <c r="H101" i="2"/>
  <c r="D102" i="2"/>
  <c r="E102" i="2"/>
  <c r="F102" i="2"/>
  <c r="G102" i="2"/>
  <c r="H102" i="2"/>
  <c r="D103" i="2"/>
  <c r="E103" i="2"/>
  <c r="F103" i="2"/>
  <c r="G103" i="2"/>
  <c r="H103" i="2"/>
  <c r="D104" i="2"/>
  <c r="E104" i="2"/>
  <c r="F104" i="2"/>
  <c r="G104" i="2"/>
  <c r="H104" i="2"/>
  <c r="D105" i="2"/>
  <c r="E105" i="2"/>
  <c r="F105" i="2"/>
  <c r="G105" i="2"/>
  <c r="H105" i="2"/>
  <c r="D106" i="2"/>
  <c r="E106" i="2"/>
  <c r="F106" i="2"/>
  <c r="G106" i="2"/>
  <c r="H106" i="2"/>
  <c r="D107" i="2"/>
  <c r="E107" i="2"/>
  <c r="F107" i="2"/>
  <c r="G107" i="2"/>
  <c r="H107" i="2"/>
  <c r="D108" i="2"/>
  <c r="E108" i="2"/>
  <c r="F108" i="2"/>
  <c r="G108" i="2"/>
  <c r="H108" i="2"/>
  <c r="D109" i="2"/>
  <c r="E109" i="2"/>
  <c r="F109" i="2"/>
  <c r="G109" i="2"/>
  <c r="H109" i="2"/>
  <c r="D110" i="2"/>
  <c r="E110" i="2"/>
  <c r="F110" i="2"/>
  <c r="G110" i="2"/>
  <c r="H110" i="2"/>
  <c r="D89" i="2"/>
  <c r="E89" i="2"/>
  <c r="F89" i="2"/>
  <c r="G89" i="2"/>
  <c r="H89" i="2"/>
  <c r="D90" i="2"/>
  <c r="E90" i="2"/>
  <c r="F90" i="2"/>
  <c r="G90" i="2"/>
  <c r="H90" i="2"/>
  <c r="D91" i="2"/>
  <c r="E91" i="2"/>
  <c r="F91" i="2"/>
  <c r="G91" i="2"/>
  <c r="H91" i="2"/>
  <c r="D92" i="2"/>
  <c r="E92" i="2"/>
  <c r="F92" i="2"/>
  <c r="G92" i="2"/>
  <c r="H92" i="2"/>
  <c r="D93" i="2"/>
  <c r="E93" i="2"/>
  <c r="F93" i="2"/>
  <c r="G93" i="2"/>
  <c r="H93" i="2"/>
  <c r="D87" i="2"/>
  <c r="E87" i="2"/>
  <c r="F87" i="2"/>
  <c r="G87" i="2"/>
  <c r="H87" i="2"/>
  <c r="D88" i="2"/>
  <c r="E88" i="2"/>
  <c r="F88" i="2"/>
  <c r="G88" i="2"/>
  <c r="H88" i="2"/>
  <c r="D83" i="2"/>
  <c r="E83" i="2"/>
  <c r="F83" i="2"/>
  <c r="G83" i="2"/>
  <c r="H83" i="2"/>
  <c r="D84" i="2"/>
  <c r="E84" i="2"/>
  <c r="F84" i="2"/>
  <c r="G84" i="2"/>
  <c r="H84" i="2"/>
  <c r="D85" i="2"/>
  <c r="E85" i="2"/>
  <c r="F85" i="2"/>
  <c r="G85" i="2"/>
  <c r="H85" i="2"/>
  <c r="D86" i="2"/>
  <c r="E86" i="2"/>
  <c r="F86" i="2"/>
  <c r="G86" i="2"/>
  <c r="H86" i="2"/>
  <c r="D39" i="2"/>
  <c r="L93" i="2"/>
  <c r="M110" i="2"/>
  <c r="M90" i="2"/>
  <c r="N107" i="2"/>
  <c r="K109" i="2"/>
  <c r="J110" i="2"/>
  <c r="J104" i="2"/>
  <c r="L101" i="2"/>
  <c r="L105" i="2"/>
  <c r="L109" i="2"/>
  <c r="N90" i="2"/>
  <c r="J107" i="2"/>
  <c r="M98" i="2"/>
  <c r="K96" i="2"/>
  <c r="J84" i="2"/>
  <c r="J87" i="2"/>
  <c r="J103" i="2"/>
  <c r="N84" i="2"/>
  <c r="J83" i="2"/>
  <c r="M103" i="2"/>
  <c r="K84" i="2"/>
  <c r="N97" i="2"/>
  <c r="M95" i="2"/>
  <c r="N96" i="2"/>
  <c r="J89" i="2"/>
  <c r="N89" i="2"/>
  <c r="N87" i="2"/>
  <c r="J109" i="2"/>
  <c r="L89" i="2"/>
  <c r="M109" i="2"/>
  <c r="L108" i="2"/>
  <c r="K103" i="2"/>
  <c r="K100" i="2"/>
  <c r="N85" i="2"/>
  <c r="N88" i="2"/>
  <c r="L95" i="2"/>
  <c r="N92" i="2"/>
  <c r="K99" i="2"/>
  <c r="L110" i="2"/>
  <c r="J101" i="2"/>
  <c r="M96" i="2"/>
  <c r="L106" i="2"/>
  <c r="N91" i="2"/>
  <c r="N105" i="2"/>
  <c r="K102" i="2"/>
  <c r="K95" i="2"/>
  <c r="L99" i="2"/>
  <c r="K86" i="2"/>
  <c r="J97" i="2"/>
  <c r="N103" i="2"/>
  <c r="N104" i="2"/>
  <c r="L96" i="2"/>
  <c r="L86" i="2"/>
  <c r="M83" i="2"/>
  <c r="K101" i="2"/>
  <c r="L83" i="2"/>
  <c r="M91" i="2"/>
  <c r="M99" i="2"/>
  <c r="N108" i="2"/>
  <c r="J85" i="2"/>
  <c r="L97" i="2"/>
  <c r="N94" i="2"/>
  <c r="M102" i="2"/>
  <c r="J99" i="2"/>
  <c r="J93" i="2"/>
  <c r="N99" i="2"/>
  <c r="J105" i="2"/>
  <c r="K94" i="2"/>
  <c r="M92" i="2"/>
  <c r="L107" i="2"/>
  <c r="J90" i="2"/>
  <c r="K92" i="2"/>
  <c r="L88" i="2"/>
  <c r="L98" i="2"/>
  <c r="K83" i="2"/>
  <c r="J88" i="2"/>
  <c r="N93" i="2"/>
  <c r="L92" i="2"/>
  <c r="M106" i="2"/>
  <c r="K91" i="2"/>
  <c r="L100" i="2"/>
  <c r="N100" i="2"/>
  <c r="K107" i="2"/>
  <c r="J95" i="2"/>
  <c r="L85" i="2"/>
  <c r="J86" i="2"/>
  <c r="M84" i="2"/>
  <c r="K108" i="2"/>
  <c r="K85" i="2"/>
  <c r="M94" i="2"/>
  <c r="K90" i="2"/>
  <c r="L87" i="2"/>
  <c r="N106" i="2"/>
  <c r="L91" i="2"/>
  <c r="N98" i="2"/>
  <c r="L103" i="2"/>
  <c r="M105" i="2"/>
  <c r="L84" i="2"/>
  <c r="K93" i="2"/>
  <c r="J100" i="2"/>
  <c r="J102" i="2"/>
  <c r="N109" i="2"/>
  <c r="K98" i="2"/>
  <c r="L104" i="2"/>
  <c r="M85" i="2"/>
  <c r="M88" i="2"/>
  <c r="J106" i="2"/>
  <c r="K89" i="2"/>
  <c r="K110" i="2"/>
  <c r="K88" i="2"/>
  <c r="L90" i="2"/>
  <c r="M89" i="2"/>
  <c r="K97" i="2"/>
  <c r="K87" i="2"/>
  <c r="N83" i="2"/>
  <c r="J108" i="2"/>
  <c r="N86" i="2"/>
  <c r="M107" i="2"/>
  <c r="M101" i="2"/>
  <c r="J92" i="2"/>
  <c r="K105" i="2"/>
  <c r="M97" i="2"/>
  <c r="L102" i="2"/>
  <c r="K106" i="2"/>
  <c r="N110" i="2"/>
  <c r="N101" i="2"/>
  <c r="K104" i="2"/>
  <c r="M104" i="2"/>
  <c r="M100" i="2"/>
  <c r="N102" i="2"/>
  <c r="J98" i="2"/>
  <c r="J94" i="2"/>
  <c r="M86" i="2"/>
  <c r="M93" i="2"/>
  <c r="J96" i="2"/>
  <c r="L94" i="2"/>
  <c r="M87" i="2"/>
  <c r="M108" i="2"/>
  <c r="J91" i="2"/>
  <c r="N95" i="2"/>
  <c r="P107" i="2" l="1"/>
  <c r="R106" i="2"/>
  <c r="P99" i="2"/>
  <c r="R98" i="2"/>
  <c r="Q106" i="2"/>
  <c r="S105" i="2"/>
  <c r="Q98" i="2"/>
  <c r="S97" i="2"/>
  <c r="R105" i="2"/>
  <c r="P98" i="2"/>
  <c r="Q105" i="2"/>
  <c r="S104" i="2"/>
  <c r="Q97" i="2"/>
  <c r="S96" i="2"/>
  <c r="P106" i="2"/>
  <c r="R97" i="2"/>
  <c r="P105" i="2"/>
  <c r="R104" i="2"/>
  <c r="P97" i="2"/>
  <c r="R96" i="2"/>
  <c r="Q104" i="2"/>
  <c r="S103" i="2"/>
  <c r="Q96" i="2"/>
  <c r="S95" i="2"/>
  <c r="P104" i="2"/>
  <c r="R103" i="2"/>
  <c r="P96" i="2"/>
  <c r="R95" i="2"/>
  <c r="S110" i="2"/>
  <c r="Q103" i="2"/>
  <c r="S102" i="2"/>
  <c r="Q95" i="2"/>
  <c r="S94" i="2"/>
  <c r="R110" i="2"/>
  <c r="P103" i="2"/>
  <c r="R102" i="2"/>
  <c r="P95" i="2"/>
  <c r="R94" i="2"/>
  <c r="Q110" i="2"/>
  <c r="S109" i="2"/>
  <c r="Q102" i="2"/>
  <c r="S101" i="2"/>
  <c r="Q94" i="2"/>
  <c r="P110" i="2"/>
  <c r="R109" i="2"/>
  <c r="P102" i="2"/>
  <c r="R101" i="2"/>
  <c r="P94" i="2"/>
  <c r="Q109" i="2"/>
  <c r="S108" i="2"/>
  <c r="Q101" i="2"/>
  <c r="S100" i="2"/>
  <c r="P109" i="2"/>
  <c r="R108" i="2"/>
  <c r="P101" i="2"/>
  <c r="R100" i="2"/>
  <c r="Q108" i="2"/>
  <c r="S107" i="2"/>
  <c r="Q100" i="2"/>
  <c r="S99" i="2"/>
  <c r="P108" i="2"/>
  <c r="R107" i="2"/>
  <c r="P100" i="2"/>
  <c r="R99" i="2"/>
  <c r="Q107" i="2"/>
  <c r="S106" i="2"/>
  <c r="Q99" i="2"/>
  <c r="S98" i="2"/>
  <c r="R93" i="2"/>
  <c r="Q93" i="2"/>
  <c r="S92" i="2"/>
  <c r="P93" i="2"/>
  <c r="R92" i="2"/>
  <c r="Q92" i="2"/>
  <c r="R91" i="2"/>
  <c r="Q91" i="2"/>
  <c r="S90" i="2"/>
  <c r="Q90" i="2"/>
  <c r="S89" i="2"/>
  <c r="R90" i="2"/>
  <c r="P90" i="2"/>
  <c r="R89" i="2"/>
  <c r="P92" i="2"/>
  <c r="Q89" i="2"/>
  <c r="S91" i="2"/>
  <c r="P91" i="2"/>
  <c r="P89" i="2"/>
  <c r="S93" i="2"/>
  <c r="S88" i="2"/>
  <c r="Q88" i="2"/>
  <c r="S87" i="2"/>
  <c r="R88" i="2"/>
  <c r="P88" i="2"/>
  <c r="R87" i="2"/>
  <c r="Q87" i="2"/>
  <c r="P87" i="2"/>
  <c r="Q86" i="2"/>
  <c r="S85" i="2"/>
  <c r="S86" i="2"/>
  <c r="R85" i="2"/>
  <c r="Q85" i="2"/>
  <c r="S84" i="2"/>
  <c r="R86" i="2"/>
  <c r="P85" i="2"/>
  <c r="R84" i="2"/>
  <c r="Q84" i="2"/>
  <c r="S83" i="2"/>
  <c r="P84" i="2"/>
  <c r="R83" i="2"/>
  <c r="P86" i="2"/>
  <c r="Q83" i="2"/>
  <c r="P83" i="2"/>
  <c r="E39" i="2"/>
  <c r="F39" i="2"/>
  <c r="G39" i="2"/>
  <c r="H39" i="2"/>
  <c r="D40" i="2"/>
  <c r="E40" i="2"/>
  <c r="F40" i="2"/>
  <c r="G40" i="2"/>
  <c r="H40" i="2"/>
  <c r="J39" i="2"/>
  <c r="L39" i="2"/>
  <c r="M40" i="2"/>
  <c r="L40" i="2"/>
  <c r="N39" i="2"/>
  <c r="K39" i="2"/>
  <c r="K40" i="2"/>
  <c r="J40" i="2"/>
  <c r="M39" i="2"/>
  <c r="N40" i="2"/>
  <c r="V90" i="2" l="1"/>
  <c r="Y90" i="2" s="1"/>
  <c r="V108" i="2"/>
  <c r="X108" i="2" s="1"/>
  <c r="V95" i="2"/>
  <c r="Y95" i="2" s="1"/>
  <c r="V103" i="2"/>
  <c r="V97" i="2"/>
  <c r="V105" i="2"/>
  <c r="V100" i="2"/>
  <c r="V104" i="2"/>
  <c r="V107" i="2"/>
  <c r="V96" i="2"/>
  <c r="V101" i="2"/>
  <c r="V109" i="2"/>
  <c r="V98" i="2"/>
  <c r="V102" i="2"/>
  <c r="V110" i="2"/>
  <c r="V94" i="2"/>
  <c r="V106" i="2"/>
  <c r="V99" i="2"/>
  <c r="V92" i="2"/>
  <c r="X92" i="2" s="1"/>
  <c r="V93" i="2"/>
  <c r="V89" i="2"/>
  <c r="V91" i="2"/>
  <c r="V87" i="2"/>
  <c r="V88" i="2"/>
  <c r="V84" i="2"/>
  <c r="X84" i="2" s="1"/>
  <c r="V83" i="2"/>
  <c r="V86" i="2"/>
  <c r="V85" i="2"/>
  <c r="S39" i="2"/>
  <c r="S40" i="2"/>
  <c r="R39" i="2"/>
  <c r="R40" i="2"/>
  <c r="Q40" i="2"/>
  <c r="Q39" i="2"/>
  <c r="P40" i="2"/>
  <c r="P39" i="2"/>
  <c r="Y108" i="2" l="1"/>
  <c r="X90" i="2"/>
  <c r="X95" i="2"/>
  <c r="X101" i="2"/>
  <c r="Y101" i="2"/>
  <c r="X104" i="2"/>
  <c r="Y104" i="2"/>
  <c r="X109" i="2"/>
  <c r="Y109" i="2"/>
  <c r="Y102" i="2"/>
  <c r="X102" i="2"/>
  <c r="X96" i="2"/>
  <c r="Y96" i="2"/>
  <c r="X100" i="2"/>
  <c r="Y100" i="2"/>
  <c r="Y94" i="2"/>
  <c r="X94" i="2"/>
  <c r="X98" i="2"/>
  <c r="Y98" i="2"/>
  <c r="X105" i="2"/>
  <c r="Y105" i="2"/>
  <c r="Y110" i="2"/>
  <c r="X110" i="2"/>
  <c r="X97" i="2"/>
  <c r="Y97" i="2"/>
  <c r="X103" i="2"/>
  <c r="Y103" i="2"/>
  <c r="X99" i="2"/>
  <c r="Y99" i="2"/>
  <c r="X107" i="2"/>
  <c r="Y107" i="2"/>
  <c r="X106" i="2"/>
  <c r="Y106" i="2"/>
  <c r="Y92" i="2"/>
  <c r="Y89" i="2"/>
  <c r="X89" i="2"/>
  <c r="Y91" i="2"/>
  <c r="X91" i="2"/>
  <c r="X93" i="2"/>
  <c r="Y93" i="2"/>
  <c r="Y87" i="2"/>
  <c r="X87" i="2"/>
  <c r="X88" i="2"/>
  <c r="Y88" i="2"/>
  <c r="Y84" i="2"/>
  <c r="X85" i="2"/>
  <c r="Y85" i="2"/>
  <c r="X86" i="2"/>
  <c r="Y86" i="2"/>
  <c r="Y83" i="2"/>
  <c r="X83" i="2"/>
  <c r="V39" i="2"/>
  <c r="X39" i="2" s="1"/>
  <c r="V40" i="2"/>
  <c r="X40" i="2" s="1"/>
  <c r="Y39" i="2" l="1"/>
  <c r="Y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26" i="2" l="1"/>
  <c r="E26" i="2"/>
  <c r="F26" i="2"/>
  <c r="G26" i="2"/>
  <c r="C26" i="2"/>
  <c r="D25" i="2" l="1"/>
  <c r="E25" i="2"/>
  <c r="F25" i="2"/>
  <c r="G25" i="2"/>
  <c r="C25" i="2"/>
  <c r="J71" i="2"/>
  <c r="N78" i="2"/>
  <c r="L54" i="2"/>
  <c r="K45" i="2"/>
  <c r="M71" i="2"/>
  <c r="K74" i="2"/>
  <c r="K75" i="2"/>
  <c r="M75" i="2"/>
  <c r="K43" i="2"/>
  <c r="L58" i="2"/>
  <c r="J68" i="2"/>
  <c r="L49" i="2"/>
  <c r="M44" i="2"/>
  <c r="K80" i="2"/>
  <c r="L52" i="2"/>
  <c r="L50" i="2"/>
  <c r="M50" i="2"/>
  <c r="L62" i="2"/>
  <c r="L65" i="2"/>
  <c r="K52" i="2"/>
  <c r="L76" i="2"/>
  <c r="N50" i="2"/>
  <c r="N57" i="2"/>
  <c r="N41" i="2"/>
  <c r="L53" i="2"/>
  <c r="N76" i="2"/>
  <c r="M54" i="2"/>
  <c r="M80" i="2"/>
  <c r="L80" i="2"/>
  <c r="K69" i="2"/>
  <c r="J58" i="2"/>
  <c r="M58" i="2"/>
  <c r="J60" i="2"/>
  <c r="J74" i="2"/>
  <c r="L69" i="2"/>
  <c r="N82" i="2"/>
  <c r="L44" i="2"/>
  <c r="M41" i="2"/>
  <c r="K78" i="2"/>
  <c r="L64" i="2"/>
  <c r="J44" i="2"/>
  <c r="M48" i="2"/>
  <c r="L70" i="2"/>
  <c r="K58" i="2"/>
  <c r="N54" i="2"/>
  <c r="N49" i="2"/>
  <c r="J79" i="2"/>
  <c r="J69" i="2"/>
  <c r="K82" i="2"/>
  <c r="N48" i="2"/>
  <c r="K62" i="2"/>
  <c r="L61" i="2"/>
  <c r="J42" i="2"/>
  <c r="K60" i="2"/>
  <c r="J47" i="2"/>
  <c r="K79" i="2"/>
  <c r="J63" i="2"/>
  <c r="M46" i="2"/>
  <c r="N43" i="2"/>
  <c r="M78" i="2"/>
  <c r="L51" i="2"/>
  <c r="L46" i="2"/>
  <c r="N65" i="2"/>
  <c r="K66" i="2"/>
  <c r="M53" i="2"/>
  <c r="N63" i="2"/>
  <c r="J55" i="2"/>
  <c r="K53" i="2"/>
  <c r="K72" i="2"/>
  <c r="K63" i="2"/>
  <c r="M63" i="2"/>
  <c r="J72" i="2"/>
  <c r="L57" i="2"/>
  <c r="L42" i="2"/>
  <c r="N47" i="2"/>
  <c r="K55" i="2"/>
  <c r="K65" i="2"/>
  <c r="J57" i="2"/>
  <c r="K44" i="2"/>
  <c r="N60" i="2"/>
  <c r="J41" i="2"/>
  <c r="M70" i="2"/>
  <c r="N64" i="2"/>
  <c r="K59" i="2"/>
  <c r="N68" i="2"/>
  <c r="M51" i="2"/>
  <c r="K67" i="2"/>
  <c r="J64" i="2"/>
  <c r="K77" i="2"/>
  <c r="L73" i="2"/>
  <c r="K68" i="2"/>
  <c r="L66" i="2"/>
  <c r="K61" i="2"/>
  <c r="N74" i="2"/>
  <c r="K64" i="2"/>
  <c r="J78" i="2"/>
  <c r="L72" i="2"/>
  <c r="M64" i="2"/>
  <c r="K54" i="2"/>
  <c r="N59" i="2"/>
  <c r="M56" i="2"/>
  <c r="J62" i="2"/>
  <c r="N73" i="2"/>
  <c r="J73" i="2"/>
  <c r="M57" i="2"/>
  <c r="L56" i="2"/>
  <c r="N46" i="2"/>
  <c r="M49" i="2"/>
  <c r="K70" i="2"/>
  <c r="J53" i="2"/>
  <c r="M68" i="2"/>
  <c r="L77" i="2"/>
  <c r="N66" i="2"/>
  <c r="N44" i="2"/>
  <c r="J70" i="2"/>
  <c r="M79" i="2"/>
  <c r="N77" i="2"/>
  <c r="L45" i="2"/>
  <c r="K57" i="2"/>
  <c r="N45" i="2"/>
  <c r="J65" i="2"/>
  <c r="N67" i="2"/>
  <c r="K47" i="2"/>
  <c r="L68" i="2"/>
  <c r="M59" i="2"/>
  <c r="K48" i="2"/>
  <c r="K49" i="2"/>
  <c r="K73" i="2"/>
  <c r="N71" i="2"/>
  <c r="M42" i="2"/>
  <c r="K71" i="2"/>
  <c r="L71" i="2"/>
  <c r="J50" i="2"/>
  <c r="N61" i="2"/>
  <c r="N53" i="2"/>
  <c r="N69" i="2"/>
  <c r="J76" i="2"/>
  <c r="L74" i="2"/>
  <c r="L82" i="2"/>
  <c r="M66" i="2"/>
  <c r="K81" i="2"/>
  <c r="K50" i="2"/>
  <c r="L60" i="2"/>
  <c r="M76" i="2"/>
  <c r="N79" i="2"/>
  <c r="L41" i="2"/>
  <c r="L55" i="2"/>
  <c r="K51" i="2"/>
  <c r="M77" i="2"/>
  <c r="M81" i="2"/>
  <c r="J82" i="2"/>
  <c r="M60" i="2"/>
  <c r="M62" i="2"/>
  <c r="M45" i="2"/>
  <c r="M74" i="2"/>
  <c r="M55" i="2"/>
  <c r="J81" i="2"/>
  <c r="J66" i="2"/>
  <c r="M47" i="2"/>
  <c r="N55" i="2"/>
  <c r="J61" i="2"/>
  <c r="J59" i="2"/>
  <c r="N56" i="2"/>
  <c r="L75" i="2"/>
  <c r="M72" i="2"/>
  <c r="J56" i="2"/>
  <c r="M73" i="2"/>
  <c r="N42" i="2"/>
  <c r="J43" i="2"/>
  <c r="N80" i="2"/>
  <c r="N62" i="2"/>
  <c r="N52" i="2"/>
  <c r="J80" i="2"/>
  <c r="L59" i="2"/>
  <c r="N58" i="2"/>
  <c r="M67" i="2"/>
  <c r="N75" i="2"/>
  <c r="M65" i="2"/>
  <c r="K56" i="2"/>
  <c r="N81" i="2"/>
  <c r="M43" i="2"/>
  <c r="N51" i="2"/>
  <c r="L43" i="2"/>
  <c r="K42" i="2"/>
  <c r="L63" i="2"/>
  <c r="J75" i="2"/>
  <c r="J77" i="2"/>
  <c r="K41" i="2"/>
  <c r="L67" i="2"/>
  <c r="N72" i="2"/>
  <c r="L81" i="2"/>
  <c r="N70" i="2"/>
  <c r="J51" i="2"/>
  <c r="K46" i="2"/>
  <c r="K76" i="2"/>
  <c r="L78" i="2"/>
  <c r="J54" i="2"/>
  <c r="L79" i="2"/>
  <c r="M52" i="2"/>
  <c r="M82" i="2"/>
  <c r="J67" i="2"/>
  <c r="L48" i="2"/>
  <c r="M61" i="2"/>
  <c r="J52" i="2"/>
  <c r="M69" i="2"/>
  <c r="L47" i="2"/>
  <c r="R79" i="2" l="1"/>
  <c r="S70" i="2"/>
  <c r="R82" i="2"/>
  <c r="R56" i="2"/>
  <c r="S64" i="2"/>
  <c r="R53" i="2"/>
  <c r="R63" i="2"/>
  <c r="S56" i="2"/>
  <c r="R52" i="2"/>
  <c r="R62" i="2"/>
  <c r="R72" i="2"/>
  <c r="S59" i="2"/>
  <c r="S46" i="2"/>
  <c r="R64" i="2"/>
  <c r="R65" i="2"/>
  <c r="R61" i="2"/>
  <c r="R76" i="2"/>
  <c r="S57" i="2"/>
  <c r="S55" i="2"/>
  <c r="R41" i="2"/>
  <c r="S79" i="2"/>
  <c r="S50" i="2"/>
  <c r="S42" i="2"/>
  <c r="S51" i="2"/>
  <c r="R50" i="2"/>
  <c r="S74" i="2"/>
  <c r="S45" i="2"/>
  <c r="S62" i="2"/>
  <c r="S73" i="2"/>
  <c r="S68" i="2"/>
  <c r="R75" i="2"/>
  <c r="S53" i="2"/>
  <c r="R44" i="2"/>
  <c r="R68" i="2"/>
  <c r="S71" i="2"/>
  <c r="R58" i="2"/>
  <c r="S52" i="2"/>
  <c r="S44" i="2"/>
  <c r="R43" i="2"/>
  <c r="R49" i="2"/>
  <c r="S78" i="2"/>
  <c r="R70" i="2"/>
  <c r="S69" i="2"/>
  <c r="R54" i="2"/>
  <c r="S77" i="2"/>
  <c r="R77" i="2"/>
  <c r="R51" i="2"/>
  <c r="S65" i="2"/>
  <c r="S63" i="2"/>
  <c r="R81" i="2"/>
  <c r="R45" i="2"/>
  <c r="S60" i="2"/>
  <c r="S47" i="2"/>
  <c r="S76" i="2"/>
  <c r="R48" i="2"/>
  <c r="R67" i="2"/>
  <c r="S75" i="2"/>
  <c r="R47" i="2"/>
  <c r="R78" i="2"/>
  <c r="R42" i="2"/>
  <c r="R73" i="2"/>
  <c r="S80" i="2"/>
  <c r="S61" i="2"/>
  <c r="R60" i="2"/>
  <c r="S66" i="2"/>
  <c r="R46" i="2"/>
  <c r="S48" i="2"/>
  <c r="S49" i="2"/>
  <c r="R74" i="2"/>
  <c r="S82" i="2"/>
  <c r="S58" i="2"/>
  <c r="S41" i="2"/>
  <c r="S72" i="2"/>
  <c r="R66" i="2"/>
  <c r="R71" i="2"/>
  <c r="R57" i="2"/>
  <c r="R59" i="2"/>
  <c r="R69" i="2"/>
  <c r="S81" i="2"/>
  <c r="R55" i="2"/>
  <c r="S67" i="2"/>
  <c r="R80" i="2"/>
  <c r="S54" i="2"/>
  <c r="S43" i="2"/>
  <c r="Q75" i="2"/>
  <c r="Q55" i="2"/>
  <c r="Q74" i="2"/>
  <c r="Q72" i="2"/>
  <c r="Q46" i="2"/>
  <c r="Q60" i="2"/>
  <c r="Q79" i="2"/>
  <c r="Q43" i="2"/>
  <c r="Q80" i="2"/>
  <c r="Q54" i="2"/>
  <c r="Q56" i="2"/>
  <c r="Q49" i="2"/>
  <c r="Q82" i="2"/>
  <c r="Q47" i="2"/>
  <c r="Q65" i="2"/>
  <c r="Q57" i="2"/>
  <c r="Q58" i="2"/>
  <c r="Q81" i="2"/>
  <c r="Q73" i="2"/>
  <c r="Q48" i="2"/>
  <c r="Q52" i="2"/>
  <c r="Q77" i="2"/>
  <c r="Q42" i="2"/>
  <c r="Q66" i="2"/>
  <c r="Q67" i="2"/>
  <c r="Q61" i="2"/>
  <c r="Q62" i="2"/>
  <c r="Q68" i="2"/>
  <c r="Q76" i="2"/>
  <c r="Q51" i="2"/>
  <c r="Q59" i="2"/>
  <c r="Q45" i="2"/>
  <c r="Q71" i="2"/>
  <c r="Q70" i="2"/>
  <c r="Q64" i="2"/>
  <c r="Q63" i="2"/>
  <c r="Q44" i="2"/>
  <c r="Q69" i="2"/>
  <c r="Q50" i="2"/>
  <c r="Q41" i="2"/>
  <c r="Q53" i="2"/>
  <c r="Q78" i="2"/>
  <c r="P52" i="2"/>
  <c r="P64" i="2"/>
  <c r="P55" i="2"/>
  <c r="P41" i="2"/>
  <c r="P77" i="2"/>
  <c r="P76" i="2"/>
  <c r="P66" i="2"/>
  <c r="P72" i="2"/>
  <c r="P75" i="2"/>
  <c r="P44" i="2"/>
  <c r="P79" i="2"/>
  <c r="P67" i="2"/>
  <c r="P62" i="2"/>
  <c r="P53" i="2"/>
  <c r="P63" i="2"/>
  <c r="P78" i="2"/>
  <c r="P82" i="2"/>
  <c r="P47" i="2"/>
  <c r="P42" i="2"/>
  <c r="P65" i="2"/>
  <c r="P80" i="2"/>
  <c r="P54" i="2"/>
  <c r="P81" i="2"/>
  <c r="P71" i="2"/>
  <c r="P56" i="2"/>
  <c r="P73" i="2"/>
  <c r="P51" i="2"/>
  <c r="P50" i="2"/>
  <c r="P43" i="2"/>
  <c r="P59" i="2"/>
  <c r="P61" i="2"/>
  <c r="P57" i="2"/>
  <c r="P70" i="2"/>
  <c r="P69" i="2"/>
  <c r="P74" i="2"/>
  <c r="P60" i="2"/>
  <c r="P58" i="2"/>
  <c r="P68" i="2"/>
  <c r="V64" i="2" l="1"/>
  <c r="Y64" i="2" s="1"/>
  <c r="V67" i="2"/>
  <c r="Y67" i="2" s="1"/>
  <c r="V61" i="2"/>
  <c r="X61" i="2" s="1"/>
  <c r="V76" i="2"/>
  <c r="Y76" i="2" s="1"/>
  <c r="V54" i="2"/>
  <c r="X54" i="2" s="1"/>
  <c r="V60" i="2"/>
  <c r="Y60" i="2" s="1"/>
  <c r="V73" i="2"/>
  <c r="V43" i="2"/>
  <c r="V71" i="2"/>
  <c r="V62" i="2"/>
  <c r="V82" i="2"/>
  <c r="V66" i="2"/>
  <c r="V51" i="2"/>
  <c r="V68" i="2"/>
  <c r="V63" i="2"/>
  <c r="V72" i="2"/>
  <c r="V47" i="2"/>
  <c r="V50" i="2"/>
  <c r="V44" i="2"/>
  <c r="V80" i="2"/>
  <c r="V70" i="2"/>
  <c r="V57" i="2"/>
  <c r="V55" i="2"/>
  <c r="V69" i="2"/>
  <c r="V52" i="2"/>
  <c r="V81" i="2"/>
  <c r="V59" i="2"/>
  <c r="V58" i="2"/>
  <c r="V79" i="2"/>
  <c r="V77" i="2"/>
  <c r="V78" i="2"/>
  <c r="V42" i="2"/>
  <c r="V53" i="2"/>
  <c r="V56" i="2"/>
  <c r="V41" i="2"/>
  <c r="V65" i="2"/>
  <c r="V75" i="2"/>
  <c r="V74" i="2"/>
  <c r="J45" i="2"/>
  <c r="P45" i="2" l="1"/>
  <c r="X64" i="2"/>
  <c r="X60" i="2"/>
  <c r="X76" i="2"/>
  <c r="Y54" i="2"/>
  <c r="Y61" i="2"/>
  <c r="X67" i="2"/>
  <c r="X52" i="2"/>
  <c r="Y52" i="2"/>
  <c r="X70" i="2"/>
  <c r="Y70" i="2"/>
  <c r="Y80" i="2"/>
  <c r="X80" i="2"/>
  <c r="Y66" i="2"/>
  <c r="X66" i="2"/>
  <c r="Y78" i="2"/>
  <c r="X78" i="2"/>
  <c r="X44" i="2"/>
  <c r="Y44" i="2"/>
  <c r="Y43" i="2"/>
  <c r="X43" i="2"/>
  <c r="Y81" i="2"/>
  <c r="X81" i="2"/>
  <c r="Y72" i="2"/>
  <c r="X72" i="2"/>
  <c r="X68" i="2"/>
  <c r="Y68" i="2"/>
  <c r="Y82" i="2"/>
  <c r="X82" i="2"/>
  <c r="X73" i="2"/>
  <c r="Y73" i="2"/>
  <c r="Y75" i="2"/>
  <c r="X75" i="2"/>
  <c r="Y41" i="2"/>
  <c r="X41" i="2"/>
  <c r="X53" i="2"/>
  <c r="Y53" i="2"/>
  <c r="X56" i="2"/>
  <c r="Y56" i="2"/>
  <c r="Y50" i="2"/>
  <c r="X50" i="2"/>
  <c r="Y42" i="2"/>
  <c r="X42" i="2"/>
  <c r="Y65" i="2"/>
  <c r="X65" i="2"/>
  <c r="Y59" i="2"/>
  <c r="X59" i="2"/>
  <c r="Y77" i="2"/>
  <c r="X77" i="2"/>
  <c r="Y51" i="2"/>
  <c r="X51" i="2"/>
  <c r="X71" i="2"/>
  <c r="Y71" i="2"/>
  <c r="X79" i="2"/>
  <c r="Y79" i="2"/>
  <c r="X58" i="2"/>
  <c r="Y58" i="2"/>
  <c r="Y69" i="2"/>
  <c r="X69" i="2"/>
  <c r="Y74" i="2"/>
  <c r="X74" i="2"/>
  <c r="Y55" i="2"/>
  <c r="X55" i="2"/>
  <c r="X57" i="2"/>
  <c r="Y57" i="2"/>
  <c r="X47" i="2"/>
  <c r="Y47" i="2"/>
  <c r="Y63" i="2"/>
  <c r="X63" i="2"/>
  <c r="X62" i="2"/>
  <c r="Y62" i="2"/>
  <c r="J46" i="2"/>
  <c r="P46" i="2" l="1"/>
  <c r="V46" i="2" s="1"/>
  <c r="V45" i="2"/>
  <c r="J48" i="2"/>
  <c r="P48" i="2" l="1"/>
  <c r="X45" i="2"/>
  <c r="Y45" i="2"/>
  <c r="X46" i="2"/>
  <c r="Y46" i="2"/>
  <c r="J49" i="2"/>
  <c r="P49" i="2" l="1"/>
  <c r="V49" i="2" s="1"/>
  <c r="V48" i="2"/>
  <c r="Y48" i="2" l="1"/>
  <c r="X48" i="2"/>
  <c r="Y49" i="2"/>
  <c r="X49" i="2"/>
  <c r="C32" i="2" l="1"/>
  <c r="Z39" i="2" l="1"/>
  <c r="AA514" i="2" l="1"/>
  <c r="AA320" i="2"/>
  <c r="AA516" i="2"/>
  <c r="AA527" i="2"/>
  <c r="AA167" i="2"/>
  <c r="AA393" i="2"/>
  <c r="AA338" i="2"/>
  <c r="AA406" i="2"/>
  <c r="AA316" i="2"/>
  <c r="AA303" i="2"/>
  <c r="AA291" i="2"/>
  <c r="AA216" i="2"/>
  <c r="AA268" i="2"/>
  <c r="AA231" i="2"/>
  <c r="AA519" i="2"/>
  <c r="AA204" i="2"/>
  <c r="AA287" i="2"/>
  <c r="AA296" i="2"/>
  <c r="AA219" i="2"/>
  <c r="AA376" i="2"/>
  <c r="AA182" i="2"/>
  <c r="AA346" i="2"/>
  <c r="AA497" i="2"/>
  <c r="AA452" i="2"/>
  <c r="AA485" i="2"/>
  <c r="AA454" i="2"/>
  <c r="AA171" i="2"/>
  <c r="AA318" i="2"/>
  <c r="AA360" i="2"/>
  <c r="AA402" i="2"/>
  <c r="AA247" i="2"/>
  <c r="AA415" i="2"/>
  <c r="AA439" i="2"/>
  <c r="AA180" i="2"/>
  <c r="AA198" i="2"/>
  <c r="AA257" i="2"/>
  <c r="AA157" i="2"/>
  <c r="AA469" i="2"/>
  <c r="AA238" i="2"/>
  <c r="AA363" i="2"/>
  <c r="AA419" i="2"/>
  <c r="AA263" i="2"/>
  <c r="AA199" i="2"/>
  <c r="AA350" i="2"/>
  <c r="AA240" i="2"/>
  <c r="AA480" i="2"/>
  <c r="AA275" i="2"/>
  <c r="AA351" i="2"/>
  <c r="AA262" i="2"/>
  <c r="AA521" i="2"/>
  <c r="AA319" i="2"/>
  <c r="AA230" i="2"/>
  <c r="AA267" i="2"/>
  <c r="AA323" i="2"/>
  <c r="AA203" i="2"/>
  <c r="AA401" i="2"/>
  <c r="AA431" i="2"/>
  <c r="AA504" i="2"/>
  <c r="AA179" i="2"/>
  <c r="AA473" i="2"/>
  <c r="AA264" i="2"/>
  <c r="AA444" i="2"/>
  <c r="AA501" i="2"/>
  <c r="AA422" i="2"/>
  <c r="AA168" i="2"/>
  <c r="AA214" i="2"/>
  <c r="AA176" i="2"/>
  <c r="AA500" i="2"/>
  <c r="AA380" i="2"/>
  <c r="AA495" i="2"/>
  <c r="AA246" i="2"/>
  <c r="AA306" i="2"/>
  <c r="AA174" i="2"/>
  <c r="AA465" i="2"/>
  <c r="AA505" i="2"/>
  <c r="AA523" i="2"/>
  <c r="AA512" i="2"/>
  <c r="AA494" i="2"/>
  <c r="AA345" i="2"/>
  <c r="AA327" i="2"/>
  <c r="AA244" i="2"/>
  <c r="AA448" i="2"/>
  <c r="AA297" i="2"/>
  <c r="AA232" i="2"/>
  <c r="AA188" i="2"/>
  <c r="AA207" i="2"/>
  <c r="AA183" i="2"/>
  <c r="AA470" i="2"/>
  <c r="AA288" i="2"/>
  <c r="AA468" i="2"/>
  <c r="AA281" i="2"/>
  <c r="AA471" i="2"/>
  <c r="AA243" i="2"/>
  <c r="AA212" i="2"/>
  <c r="AA277" i="2"/>
  <c r="AA270" i="2"/>
  <c r="AA200" i="2"/>
  <c r="AA252" i="2"/>
  <c r="AA235" i="2"/>
  <c r="AA377" i="2"/>
  <c r="AA392" i="2"/>
  <c r="AA298" i="2"/>
  <c r="AA368" i="2"/>
  <c r="AA221" i="2"/>
  <c r="AA328" i="2"/>
  <c r="AA341" i="2"/>
  <c r="AA302" i="2"/>
  <c r="AA166" i="2"/>
  <c r="AA282" i="2"/>
  <c r="AA172" i="2"/>
  <c r="AA394" i="2"/>
  <c r="AA210" i="2"/>
  <c r="AA348" i="2"/>
  <c r="AA438" i="2"/>
  <c r="AA285" i="2"/>
  <c r="AA467" i="2"/>
  <c r="AA315" i="2"/>
  <c r="AA295" i="2"/>
  <c r="AA271" i="2"/>
  <c r="AA158" i="2"/>
  <c r="AA241" i="2"/>
  <c r="AA228" i="2"/>
  <c r="AA491" i="2"/>
  <c r="AA496" i="2"/>
  <c r="AA522" i="2"/>
  <c r="AA482" i="2"/>
  <c r="AA197" i="2"/>
  <c r="AA256" i="2"/>
  <c r="AA289" i="2"/>
  <c r="AA304" i="2"/>
  <c r="AA333" i="2"/>
  <c r="AA386" i="2"/>
  <c r="AA335" i="2"/>
  <c r="AA526" i="2"/>
  <c r="AA417" i="2"/>
  <c r="AA283" i="2"/>
  <c r="AA211" i="2"/>
  <c r="AA367" i="2"/>
  <c r="AA409" i="2"/>
  <c r="AA374" i="2"/>
  <c r="AA477" i="2"/>
  <c r="AA353" i="2"/>
  <c r="AA426" i="2"/>
  <c r="AA194" i="2"/>
  <c r="AA425" i="2"/>
  <c r="AA330" i="2"/>
  <c r="AA435" i="2"/>
  <c r="AA430" i="2"/>
  <c r="AA160" i="2"/>
  <c r="AA441" i="2"/>
  <c r="AA484" i="2"/>
  <c r="AA362" i="2"/>
  <c r="AA358" i="2"/>
  <c r="AA364" i="2"/>
  <c r="AA475" i="2"/>
  <c r="AA162" i="2"/>
  <c r="AA237" i="2"/>
  <c r="AA163" i="2"/>
  <c r="AA356" i="2"/>
  <c r="AA173" i="2"/>
  <c r="AA371" i="2"/>
  <c r="AA223" i="2"/>
  <c r="AA391" i="2"/>
  <c r="AA518" i="2"/>
  <c r="AA278" i="2"/>
  <c r="AA437" i="2"/>
  <c r="AA301" i="2"/>
  <c r="AA209" i="2"/>
  <c r="AA411" i="2"/>
  <c r="AA384" i="2"/>
  <c r="AA446" i="2"/>
  <c r="AA429" i="2"/>
  <c r="AA370" i="2"/>
  <c r="AA332" i="2"/>
  <c r="AA508" i="2"/>
  <c r="AA528" i="2"/>
  <c r="AA196" i="2"/>
  <c r="AA453" i="2"/>
  <c r="AA536" i="2"/>
  <c r="AA193" i="2"/>
  <c r="AA396" i="2"/>
  <c r="AA189" i="2"/>
  <c r="AA443" i="2"/>
  <c r="AA479" i="2"/>
  <c r="AA399" i="2"/>
  <c r="AA490" i="2"/>
  <c r="AA478" i="2"/>
  <c r="AA292" i="2"/>
  <c r="AA466" i="2"/>
  <c r="AA378" i="2"/>
  <c r="AA286" i="2"/>
  <c r="AA524" i="2"/>
  <c r="AA342" i="2"/>
  <c r="AA382" i="2"/>
  <c r="AA331" i="2"/>
  <c r="AA225" i="2"/>
  <c r="AA462" i="2"/>
  <c r="AA533" i="2"/>
  <c r="AA389" i="2"/>
  <c r="AA493" i="2"/>
  <c r="AA535" i="2"/>
  <c r="AA165" i="2"/>
  <c r="AA258" i="2"/>
  <c r="AA359" i="2"/>
  <c r="AA164" i="2"/>
  <c r="AA436" i="2"/>
  <c r="AA224" i="2"/>
  <c r="AA184" i="2"/>
  <c r="AA447" i="2"/>
  <c r="AA266" i="2"/>
  <c r="AA300" i="2"/>
  <c r="AA279" i="2"/>
  <c r="AA464" i="2"/>
  <c r="AA515" i="2"/>
  <c r="AA349" i="2"/>
  <c r="AA373" i="2"/>
  <c r="AA369" i="2"/>
  <c r="AA459" i="2"/>
  <c r="AA334" i="2"/>
  <c r="AA309" i="2"/>
  <c r="AA229" i="2"/>
  <c r="AA234" i="2"/>
  <c r="AA387" i="2"/>
  <c r="AA329" i="2"/>
  <c r="AA290" i="2"/>
  <c r="AA344" i="2"/>
  <c r="AA255" i="2"/>
  <c r="AA532" i="2"/>
  <c r="AA463" i="2"/>
  <c r="AA307" i="2"/>
  <c r="AA273" i="2"/>
  <c r="AA354" i="2"/>
  <c r="AA385" i="2"/>
  <c r="AA460" i="2"/>
  <c r="AA492" i="2"/>
  <c r="AA261" i="2"/>
  <c r="AA507" i="2"/>
  <c r="AA410" i="2"/>
  <c r="AA226" i="2"/>
  <c r="AA488" i="2"/>
  <c r="AA481" i="2"/>
  <c r="AA251" i="2"/>
  <c r="AA388" i="2"/>
  <c r="AA434" i="2"/>
  <c r="AA449" i="2"/>
  <c r="AA510" i="2"/>
  <c r="AA413" i="2"/>
  <c r="AA190" i="2"/>
  <c r="AA305" i="2"/>
  <c r="AA249" i="2"/>
  <c r="AA308" i="2"/>
  <c r="AA375" i="2"/>
  <c r="AA175" i="2"/>
  <c r="AA357" i="2"/>
  <c r="AA280" i="2"/>
  <c r="AA269" i="2"/>
  <c r="AA195" i="2"/>
  <c r="AA445" i="2"/>
  <c r="AA206" i="2"/>
  <c r="AA397" i="2"/>
  <c r="AA186" i="2"/>
  <c r="AA498" i="2"/>
  <c r="AA177" i="2"/>
  <c r="AA511" i="2"/>
  <c r="AA416" i="2"/>
  <c r="AA404" i="2"/>
  <c r="AA483" i="2"/>
  <c r="AA520" i="2"/>
  <c r="AA293" i="2"/>
  <c r="AA502" i="2"/>
  <c r="AA239" i="2"/>
  <c r="AA340" i="2"/>
  <c r="AA352" i="2"/>
  <c r="AA456" i="2"/>
  <c r="AA205" i="2"/>
  <c r="AA161" i="2"/>
  <c r="AA398" i="2"/>
  <c r="AA222" i="2"/>
  <c r="AA260" i="2"/>
  <c r="AA347" i="2"/>
  <c r="AA339" i="2"/>
  <c r="AA336" i="2"/>
  <c r="AA337" i="2"/>
  <c r="AA325" i="2"/>
  <c r="AA343" i="2"/>
  <c r="AA361" i="2"/>
  <c r="AA201" i="2"/>
  <c r="AA457" i="2"/>
  <c r="AA486" i="2"/>
  <c r="AA489" i="2"/>
  <c r="AA233" i="2"/>
  <c r="AA217" i="2"/>
  <c r="AA403" i="2"/>
  <c r="AA276" i="2"/>
  <c r="AA220" i="2"/>
  <c r="AA294" i="2"/>
  <c r="AA400" i="2"/>
  <c r="AA395" i="2"/>
  <c r="AA506" i="2"/>
  <c r="AA355" i="2"/>
  <c r="AA476" i="2"/>
  <c r="AA169" i="2"/>
  <c r="AA420" i="2"/>
  <c r="AA424" i="2"/>
  <c r="AA259" i="2"/>
  <c r="AA321" i="2"/>
  <c r="AA503" i="2"/>
  <c r="AA418" i="2"/>
  <c r="AA187" i="2"/>
  <c r="AA317" i="2"/>
  <c r="AA242" i="2"/>
  <c r="AA427" i="2"/>
  <c r="AA433" i="2"/>
  <c r="AA534" i="2"/>
  <c r="AA215" i="2"/>
  <c r="AA407" i="2"/>
  <c r="AA381" i="2"/>
  <c r="AA423" i="2"/>
  <c r="AA265" i="2"/>
  <c r="AA322" i="2"/>
  <c r="AA440" i="2"/>
  <c r="AA202" i="2"/>
  <c r="AA531" i="2"/>
  <c r="AA170" i="2"/>
  <c r="AA474" i="2"/>
  <c r="AA442" i="2"/>
  <c r="AA487" i="2"/>
  <c r="AA312" i="2"/>
  <c r="AA310" i="2"/>
  <c r="AA408" i="2"/>
  <c r="AA250" i="2"/>
  <c r="AA159" i="2"/>
  <c r="AA314" i="2"/>
  <c r="AA529" i="2"/>
  <c r="AA324" i="2"/>
  <c r="AA379" i="2"/>
  <c r="AA253" i="2"/>
  <c r="AA499" i="2"/>
  <c r="AA313" i="2"/>
  <c r="AA245" i="2"/>
  <c r="AA311" i="2"/>
  <c r="AA428" i="2"/>
  <c r="AA390" i="2"/>
  <c r="AA405" i="2"/>
  <c r="AA218" i="2"/>
  <c r="AA455" i="2"/>
  <c r="AA326" i="2"/>
  <c r="AA509" i="2"/>
  <c r="AA372" i="2"/>
  <c r="AA472" i="2"/>
  <c r="AA299" i="2"/>
  <c r="AA530" i="2"/>
  <c r="AA365" i="2"/>
  <c r="AA236" i="2"/>
  <c r="AA192" i="2"/>
  <c r="AA421" i="2"/>
  <c r="AA450" i="2"/>
  <c r="AA248" i="2"/>
  <c r="AA517" i="2"/>
  <c r="AA208" i="2"/>
  <c r="AA432" i="2"/>
  <c r="AA272" i="2"/>
  <c r="AA366" i="2"/>
  <c r="AA451" i="2"/>
  <c r="AA191" i="2"/>
  <c r="AA458" i="2"/>
  <c r="AA254" i="2"/>
  <c r="AA274" i="2"/>
  <c r="AA525" i="2"/>
  <c r="AA227" i="2"/>
  <c r="AA185" i="2"/>
  <c r="AA213" i="2"/>
  <c r="AA181" i="2"/>
  <c r="AA461" i="2"/>
  <c r="AA513" i="2"/>
  <c r="AA284" i="2"/>
  <c r="AA414" i="2"/>
  <c r="AA383" i="2"/>
  <c r="AA178" i="2"/>
  <c r="AA412" i="2"/>
  <c r="AA143" i="2"/>
  <c r="AA145" i="2"/>
  <c r="AA142" i="2"/>
  <c r="AA153" i="2"/>
  <c r="AA149" i="2"/>
  <c r="AA155" i="2"/>
  <c r="AA141" i="2"/>
  <c r="AA144" i="2"/>
  <c r="AA150" i="2"/>
  <c r="AA148" i="2"/>
  <c r="AA147" i="2"/>
  <c r="AA146" i="2"/>
  <c r="AA154" i="2"/>
  <c r="AA151" i="2"/>
  <c r="AA156" i="2"/>
  <c r="AA152" i="2"/>
  <c r="AA130" i="2"/>
  <c r="AA132" i="2"/>
  <c r="AA129" i="2"/>
  <c r="AA137" i="2"/>
  <c r="AA121" i="2"/>
  <c r="AA133" i="2"/>
  <c r="AA115" i="2"/>
  <c r="AA127" i="2"/>
  <c r="AA128" i="2"/>
  <c r="AA136" i="2"/>
  <c r="AA125" i="2"/>
  <c r="AA120" i="2"/>
  <c r="AA131" i="2"/>
  <c r="AA126" i="2"/>
  <c r="AA114" i="2"/>
  <c r="AA112" i="2"/>
  <c r="AA135" i="2"/>
  <c r="AA117" i="2"/>
  <c r="AA124" i="2"/>
  <c r="AA113" i="2"/>
  <c r="AA123" i="2"/>
  <c r="AA118" i="2"/>
  <c r="AA138" i="2"/>
  <c r="AA139" i="2"/>
  <c r="AA134" i="2"/>
  <c r="AA140" i="2"/>
  <c r="AA122" i="2"/>
  <c r="AA119" i="2"/>
  <c r="AA116" i="2"/>
  <c r="AA111" i="2"/>
  <c r="AA95" i="2"/>
  <c r="AA108" i="2"/>
  <c r="AA96" i="2"/>
  <c r="AA106" i="2"/>
  <c r="AA103" i="2"/>
  <c r="AA98" i="2"/>
  <c r="AA100" i="2"/>
  <c r="AA101" i="2"/>
  <c r="AA109" i="2"/>
  <c r="AA97" i="2"/>
  <c r="AA105" i="2"/>
  <c r="AA110" i="2"/>
  <c r="AA107" i="2"/>
  <c r="AA94" i="2"/>
  <c r="AA99" i="2"/>
  <c r="AA104" i="2"/>
  <c r="AA102" i="2"/>
  <c r="AA90" i="2"/>
  <c r="AA92" i="2"/>
  <c r="AA91" i="2"/>
  <c r="AA89" i="2"/>
  <c r="AA93" i="2"/>
  <c r="AA87" i="2"/>
  <c r="AA88" i="2"/>
  <c r="AA84" i="2"/>
  <c r="AA86" i="2"/>
  <c r="AA83" i="2"/>
  <c r="AA85" i="2"/>
  <c r="AA39" i="2"/>
  <c r="AA40" i="2"/>
  <c r="E29" i="2"/>
  <c r="F29" i="2"/>
  <c r="G29" i="2"/>
  <c r="D29" i="2"/>
  <c r="C29" i="2" l="1"/>
  <c r="C30" i="2" s="1"/>
  <c r="E30" i="2" l="1"/>
  <c r="F30" i="2"/>
  <c r="G30" i="2"/>
  <c r="D30" i="2"/>
  <c r="AA49" i="2" l="1"/>
  <c r="AA55" i="2"/>
  <c r="AA69" i="2"/>
  <c r="AA66" i="2"/>
  <c r="AA71" i="2"/>
  <c r="AA64" i="2"/>
  <c r="AA48" i="2"/>
  <c r="AA74" i="2"/>
  <c r="AA65" i="2"/>
  <c r="AA50" i="2"/>
  <c r="AA80" i="2"/>
  <c r="AA79" i="2"/>
  <c r="AA81" i="2"/>
  <c r="AA42" i="2"/>
  <c r="AA62" i="2"/>
  <c r="AA63" i="2"/>
  <c r="AA47" i="2"/>
  <c r="AA70" i="2"/>
  <c r="AA75" i="2"/>
  <c r="AA56" i="2"/>
  <c r="AA76" i="2"/>
  <c r="AA53" i="2"/>
  <c r="AA44" i="2"/>
  <c r="AA51" i="2"/>
  <c r="AA52" i="2"/>
  <c r="AA67" i="2"/>
  <c r="AA60" i="2"/>
  <c r="AA73" i="2"/>
  <c r="AA46" i="2"/>
  <c r="AA78" i="2"/>
  <c r="AA43" i="2"/>
  <c r="AA68" i="2"/>
  <c r="AA57" i="2"/>
  <c r="AA61" i="2"/>
  <c r="AA72" i="2"/>
  <c r="AA82" i="2"/>
  <c r="AA59" i="2"/>
  <c r="AA54" i="2"/>
  <c r="AA58" i="2"/>
  <c r="AA45" i="2"/>
  <c r="AA77" i="2"/>
  <c r="AA41" i="2"/>
  <c r="C33" i="2" l="1"/>
</calcChain>
</file>

<file path=xl/sharedStrings.xml><?xml version="1.0" encoding="utf-8"?>
<sst xmlns="http://schemas.openxmlformats.org/spreadsheetml/2006/main" count="35" uniqueCount="35">
  <si>
    <t>λ</t>
  </si>
  <si>
    <t>EXPERIMENTAL</t>
  </si>
  <si>
    <t>time (t)</t>
  </si>
  <si>
    <t>I(t)</t>
  </si>
  <si>
    <t>z1</t>
  </si>
  <si>
    <t>z2</t>
  </si>
  <si>
    <t>z3</t>
  </si>
  <si>
    <t>z4</t>
  </si>
  <si>
    <t>z5</t>
  </si>
  <si>
    <t>W(e^z1)</t>
  </si>
  <si>
    <t>W(e^z2)</t>
  </si>
  <si>
    <t>W(e^z3)</t>
  </si>
  <si>
    <t>W(e^z4)</t>
  </si>
  <si>
    <t>W(e^z5)</t>
  </si>
  <si>
    <t>SUMS</t>
  </si>
  <si>
    <t>Least squares</t>
  </si>
  <si>
    <t>FOM(%)</t>
  </si>
  <si>
    <t>I1</t>
  </si>
  <si>
    <t>I2</t>
  </si>
  <si>
    <t>I3</t>
  </si>
  <si>
    <t>I4</t>
  </si>
  <si>
    <t>I5</t>
  </si>
  <si>
    <t>Itot</t>
  </si>
  <si>
    <t>Theoretical</t>
  </si>
  <si>
    <t>Afit</t>
  </si>
  <si>
    <t>FOM</t>
  </si>
  <si>
    <t>(EXPER. - THEOR.)^2</t>
  </si>
  <si>
    <t>ABS(EXPER. - THEOR)</t>
  </si>
  <si>
    <t>factor</t>
  </si>
  <si>
    <t>Components</t>
  </si>
  <si>
    <t>τ</t>
  </si>
  <si>
    <t>Contribution %</t>
  </si>
  <si>
    <t>σ</t>
  </si>
  <si>
    <t>C</t>
  </si>
  <si>
    <t>I0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</si>
</sst>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8"/>
      <color theme="3"/>
      <name val="Cambria"/>
      <family val="2"/>
      <charset val="161"/>
      <scheme val="major"/>
    </font>
    <font>
      <b/>
      <sz val="15"/>
      <color theme="3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rgb="FF006100"/>
      <name val="Calibri"/>
      <family val="2"/>
      <charset val="161"/>
      <scheme val="minor"/>
    </font>
    <font>
      <sz val="11"/>
      <color rgb="FF9C0006"/>
      <name val="Calibri"/>
      <family val="2"/>
      <charset val="161"/>
      <scheme val="minor"/>
    </font>
    <font>
      <sz val="11"/>
      <color rgb="FF9C6500"/>
      <name val="Calibri"/>
      <family val="2"/>
      <charset val="161"/>
      <scheme val="minor"/>
    </font>
    <font>
      <sz val="11"/>
      <color rgb="FF3F3F76"/>
      <name val="Calibri"/>
      <family val="2"/>
      <charset val="161"/>
      <scheme val="minor"/>
    </font>
    <font>
      <b/>
      <sz val="11"/>
      <color rgb="FF3F3F3F"/>
      <name val="Calibri"/>
      <family val="2"/>
      <charset val="161"/>
      <scheme val="minor"/>
    </font>
    <font>
      <b/>
      <sz val="11"/>
      <color rgb="FFFA7D00"/>
      <name val="Calibri"/>
      <family val="2"/>
      <charset val="161"/>
      <scheme val="minor"/>
    </font>
    <font>
      <sz val="11"/>
      <color rgb="FFFA7D00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i/>
      <sz val="11"/>
      <color rgb="FF7F7F7F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color theme="0"/>
      <name val="Calibri"/>
      <family val="2"/>
      <charset val="161"/>
      <scheme val="minor"/>
    </font>
    <font>
      <b/>
      <sz val="11"/>
      <color theme="1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4"/>
      <name val="Times New Roman"/>
      <family val="1"/>
      <charset val="161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  <xf numFmtId="0" fontId="1" fillId="0" borderId="0"/>
  </cellStyleXfs>
  <cellXfs count="19">
    <xf numFmtId="0" fontId="0" fillId="0" borderId="0" xfId="0"/>
    <xf numFmtId="0" fontId="0" fillId="35" borderId="0" xfId="0" applyFill="1" applyAlignment="1">
      <alignment horizontal="center"/>
    </xf>
    <xf numFmtId="0" fontId="18" fillId="34" borderId="0" xfId="0" applyFont="1" applyFill="1" applyAlignment="1">
      <alignment horizontal="center"/>
    </xf>
    <xf numFmtId="0" fontId="0" fillId="38" borderId="0" xfId="0" applyFill="1"/>
    <xf numFmtId="0" fontId="16" fillId="37" borderId="0" xfId="0" applyFont="1" applyFill="1" applyAlignment="1">
      <alignment horizontal="center"/>
    </xf>
    <xf numFmtId="0" fontId="16" fillId="0" borderId="10" xfId="0" applyFont="1" applyBorder="1"/>
    <xf numFmtId="0" fontId="14" fillId="35" borderId="0" xfId="0" applyFont="1" applyFill="1" applyAlignment="1">
      <alignment horizontal="center"/>
    </xf>
    <xf numFmtId="0" fontId="16" fillId="34" borderId="10" xfId="0" applyFont="1" applyFill="1" applyBorder="1"/>
    <xf numFmtId="0" fontId="0" fillId="35" borderId="0" xfId="0" applyFill="1"/>
    <xf numFmtId="0" fontId="16" fillId="36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6" fillId="34" borderId="0" xfId="0" applyFont="1" applyFill="1" applyAlignment="1">
      <alignment horizontal="center"/>
    </xf>
    <xf numFmtId="0" fontId="16" fillId="33" borderId="0" xfId="0" applyFont="1" applyFill="1" applyAlignment="1">
      <alignment horizontal="center"/>
    </xf>
    <xf numFmtId="0" fontId="19" fillId="0" borderId="0" xfId="0" applyFont="1"/>
    <xf numFmtId="0" fontId="20" fillId="0" borderId="0" xfId="0" applyFont="1"/>
    <xf numFmtId="0" fontId="18" fillId="0" borderId="0" xfId="0" applyFont="1"/>
    <xf numFmtId="0" fontId="18" fillId="0" borderId="0" xfId="0" applyFont="1" applyAlignment="1">
      <alignment horizontal="center"/>
    </xf>
    <xf numFmtId="0" fontId="18" fillId="35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3" xr:uid="{80AEE85D-C399-474A-951D-0EC5A3C06178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  <cellStyle name="Κανονικό 7" xfId="42" xr:uid="{6A6E8B7A-2BA3-4CC1-A3F3-B9E03E74A7D3}"/>
  </cellStyles>
  <dxfs count="3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CW</a:t>
            </a:r>
            <a:r>
              <a:rPr lang="en-US" baseline="0"/>
              <a:t> </a:t>
            </a:r>
            <a:r>
              <a:rPr lang="en-US"/>
              <a:t>OSL </a:t>
            </a:r>
            <a:endParaRPr lang="el-GR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932370694675005"/>
          <c:y val="9.52333147100589E-2"/>
          <c:w val="0.7125089565761501"/>
          <c:h val="0.76682558804651824"/>
        </c:manualLayout>
      </c:layout>
      <c:scatterChart>
        <c:scatterStyle val="lineMarker"/>
        <c:varyColors val="0"/>
        <c:ser>
          <c:idx val="0"/>
          <c:order val="0"/>
          <c:tx>
            <c:v>Experimental</c:v>
          </c:tx>
          <c:spPr>
            <a:ln w="28575">
              <a:noFill/>
            </a:ln>
          </c:spPr>
          <c:marker>
            <c:symbol val="diamond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'sheet 1'!$B$39:$B$788</c:f>
              <c:numCache>
                <c:formatCode>General</c:formatCode>
                <c:ptCount val="750"/>
                <c:pt idx="0">
                  <c:v>0</c:v>
                </c:pt>
                <c:pt idx="1">
                  <c:v>0.95785440613030459</c:v>
                </c:pt>
                <c:pt idx="2">
                  <c:v>1.9157088122605637</c:v>
                </c:pt>
                <c:pt idx="3">
                  <c:v>2.8735632183908226</c:v>
                </c:pt>
                <c:pt idx="4">
                  <c:v>4.150702426564532</c:v>
                </c:pt>
                <c:pt idx="5">
                  <c:v>5.1085568326947906</c:v>
                </c:pt>
                <c:pt idx="6">
                  <c:v>6.06641123882505</c:v>
                </c:pt>
                <c:pt idx="7">
                  <c:v>7.0242656449553094</c:v>
                </c:pt>
                <c:pt idx="8">
                  <c:v>7.9821200510855688</c:v>
                </c:pt>
                <c:pt idx="9">
                  <c:v>8.9399744572158735</c:v>
                </c:pt>
                <c:pt idx="10">
                  <c:v>9.8978288633461311</c:v>
                </c:pt>
                <c:pt idx="11">
                  <c:v>11.174968071519796</c:v>
                </c:pt>
                <c:pt idx="12">
                  <c:v>12.1328224776501</c:v>
                </c:pt>
                <c:pt idx="13">
                  <c:v>13.090676883780361</c:v>
                </c:pt>
                <c:pt idx="14">
                  <c:v>14.048531289910619</c:v>
                </c:pt>
                <c:pt idx="15">
                  <c:v>15.006385696040878</c:v>
                </c:pt>
                <c:pt idx="16">
                  <c:v>15.964240102171138</c:v>
                </c:pt>
                <c:pt idx="17">
                  <c:v>17.241379310344843</c:v>
                </c:pt>
                <c:pt idx="18">
                  <c:v>18.199233716475106</c:v>
                </c:pt>
                <c:pt idx="19">
                  <c:v>19.157088122605366</c:v>
                </c:pt>
                <c:pt idx="20">
                  <c:v>20.114942528735671</c:v>
                </c:pt>
                <c:pt idx="21">
                  <c:v>21.072796934865931</c:v>
                </c:pt>
                <c:pt idx="22">
                  <c:v>22.030651340996187</c:v>
                </c:pt>
                <c:pt idx="23">
                  <c:v>22.988505747126446</c:v>
                </c:pt>
                <c:pt idx="24">
                  <c:v>24.265644955300154</c:v>
                </c:pt>
                <c:pt idx="25">
                  <c:v>25.223499361430413</c:v>
                </c:pt>
                <c:pt idx="26">
                  <c:v>26.181353767560676</c:v>
                </c:pt>
                <c:pt idx="27">
                  <c:v>27.139208173690935</c:v>
                </c:pt>
                <c:pt idx="28">
                  <c:v>28.097062579821237</c:v>
                </c:pt>
                <c:pt idx="29">
                  <c:v>29.054916985951497</c:v>
                </c:pt>
                <c:pt idx="30">
                  <c:v>30.012771392081756</c:v>
                </c:pt>
                <c:pt idx="31">
                  <c:v>31.289910600255467</c:v>
                </c:pt>
                <c:pt idx="32">
                  <c:v>32.24776500638572</c:v>
                </c:pt>
                <c:pt idx="33">
                  <c:v>33.205619412515986</c:v>
                </c:pt>
                <c:pt idx="34">
                  <c:v>34.163473818646239</c:v>
                </c:pt>
                <c:pt idx="35">
                  <c:v>35.121328224776505</c:v>
                </c:pt>
                <c:pt idx="36">
                  <c:v>36.079182630906807</c:v>
                </c:pt>
                <c:pt idx="37">
                  <c:v>37.356321839080472</c:v>
                </c:pt>
                <c:pt idx="38">
                  <c:v>38.314176245210732</c:v>
                </c:pt>
                <c:pt idx="39">
                  <c:v>39.272030651341034</c:v>
                </c:pt>
                <c:pt idx="40">
                  <c:v>40.229885057471293</c:v>
                </c:pt>
                <c:pt idx="41">
                  <c:v>41.187739463601552</c:v>
                </c:pt>
                <c:pt idx="42">
                  <c:v>42.145593869731812</c:v>
                </c:pt>
                <c:pt idx="43">
                  <c:v>43.103448275862071</c:v>
                </c:pt>
                <c:pt idx="44">
                  <c:v>44.380587484035786</c:v>
                </c:pt>
                <c:pt idx="45">
                  <c:v>45.338441890166038</c:v>
                </c:pt>
                <c:pt idx="46">
                  <c:v>46.296296296296298</c:v>
                </c:pt>
                <c:pt idx="47">
                  <c:v>47.254150702426607</c:v>
                </c:pt>
                <c:pt idx="48">
                  <c:v>48.212005108556859</c:v>
                </c:pt>
                <c:pt idx="49">
                  <c:v>49.169859514687126</c:v>
                </c:pt>
                <c:pt idx="50">
                  <c:v>50.127713920817378</c:v>
                </c:pt>
                <c:pt idx="51">
                  <c:v>51.404853128991085</c:v>
                </c:pt>
                <c:pt idx="52">
                  <c:v>52.362707535121352</c:v>
                </c:pt>
                <c:pt idx="53">
                  <c:v>53.320561941251604</c:v>
                </c:pt>
                <c:pt idx="54">
                  <c:v>54.278416347381871</c:v>
                </c:pt>
                <c:pt idx="55">
                  <c:v>55.236270753512173</c:v>
                </c:pt>
                <c:pt idx="56">
                  <c:v>56.194125159642432</c:v>
                </c:pt>
                <c:pt idx="57">
                  <c:v>57.47126436781609</c:v>
                </c:pt>
                <c:pt idx="58">
                  <c:v>58.429118773946392</c:v>
                </c:pt>
                <c:pt idx="59">
                  <c:v>59.386973180076659</c:v>
                </c:pt>
                <c:pt idx="60">
                  <c:v>60.344827586206918</c:v>
                </c:pt>
                <c:pt idx="61">
                  <c:v>61.302681992337178</c:v>
                </c:pt>
                <c:pt idx="62">
                  <c:v>62.260536398467437</c:v>
                </c:pt>
                <c:pt idx="63">
                  <c:v>63.218390804597732</c:v>
                </c:pt>
                <c:pt idx="64">
                  <c:v>64.495530012771411</c:v>
                </c:pt>
                <c:pt idx="65">
                  <c:v>65.453384418901663</c:v>
                </c:pt>
                <c:pt idx="66">
                  <c:v>66.411238825031973</c:v>
                </c:pt>
                <c:pt idx="67">
                  <c:v>67.369093231162239</c:v>
                </c:pt>
                <c:pt idx="68">
                  <c:v>68.326947637292477</c:v>
                </c:pt>
                <c:pt idx="69">
                  <c:v>69.284802043422744</c:v>
                </c:pt>
                <c:pt idx="70">
                  <c:v>70.561941251596451</c:v>
                </c:pt>
                <c:pt idx="71">
                  <c:v>71.519795657726718</c:v>
                </c:pt>
                <c:pt idx="72">
                  <c:v>72.47765006385697</c:v>
                </c:pt>
                <c:pt idx="73">
                  <c:v>73.435504469987222</c:v>
                </c:pt>
                <c:pt idx="74">
                  <c:v>74.393358876117532</c:v>
                </c:pt>
                <c:pt idx="75">
                  <c:v>75.351213282247798</c:v>
                </c:pt>
                <c:pt idx="76">
                  <c:v>76.30906768837805</c:v>
                </c:pt>
                <c:pt idx="77">
                  <c:v>77.586206896551772</c:v>
                </c:pt>
                <c:pt idx="78">
                  <c:v>78.54406130268201</c:v>
                </c:pt>
                <c:pt idx="79">
                  <c:v>79.501915708812277</c:v>
                </c:pt>
                <c:pt idx="80">
                  <c:v>80.459770114942543</c:v>
                </c:pt>
                <c:pt idx="81">
                  <c:v>81.41762452107281</c:v>
                </c:pt>
                <c:pt idx="82">
                  <c:v>82.375478927203105</c:v>
                </c:pt>
                <c:pt idx="83">
                  <c:v>83.333333333333371</c:v>
                </c:pt>
                <c:pt idx="84">
                  <c:v>84.610472541507022</c:v>
                </c:pt>
                <c:pt idx="85">
                  <c:v>85.568326947637331</c:v>
                </c:pt>
                <c:pt idx="86">
                  <c:v>86.526181353767598</c:v>
                </c:pt>
                <c:pt idx="87">
                  <c:v>87.48403575989785</c:v>
                </c:pt>
                <c:pt idx="88">
                  <c:v>88.441890166028102</c:v>
                </c:pt>
                <c:pt idx="89">
                  <c:v>89.399744572158369</c:v>
                </c:pt>
                <c:pt idx="90">
                  <c:v>90.676883780332076</c:v>
                </c:pt>
                <c:pt idx="91">
                  <c:v>91.634738186462343</c:v>
                </c:pt>
                <c:pt idx="92">
                  <c:v>92.592592592592595</c:v>
                </c:pt>
                <c:pt idx="93">
                  <c:v>93.550446998722904</c:v>
                </c:pt>
                <c:pt idx="94">
                  <c:v>94.508301404853157</c:v>
                </c:pt>
                <c:pt idx="95">
                  <c:v>95.466155810983423</c:v>
                </c:pt>
                <c:pt idx="96">
                  <c:v>96.424010217113675</c:v>
                </c:pt>
                <c:pt idx="97">
                  <c:v>97.701149425287383</c:v>
                </c:pt>
                <c:pt idx="98">
                  <c:v>98.65900383141765</c:v>
                </c:pt>
                <c:pt idx="99">
                  <c:v>99.616858237547902</c:v>
                </c:pt>
                <c:pt idx="100">
                  <c:v>100.57471264367817</c:v>
                </c:pt>
                <c:pt idx="101">
                  <c:v>101.53256704980846</c:v>
                </c:pt>
                <c:pt idx="102">
                  <c:v>102.49042145593873</c:v>
                </c:pt>
                <c:pt idx="103">
                  <c:v>103.448275862069</c:v>
                </c:pt>
                <c:pt idx="104">
                  <c:v>104.7254150702427</c:v>
                </c:pt>
                <c:pt idx="105">
                  <c:v>105.68326947637296</c:v>
                </c:pt>
                <c:pt idx="106">
                  <c:v>106.64112388250321</c:v>
                </c:pt>
                <c:pt idx="107">
                  <c:v>107.59897828863348</c:v>
                </c:pt>
                <c:pt idx="108">
                  <c:v>108.55683269476374</c:v>
                </c:pt>
                <c:pt idx="109">
                  <c:v>109.51468710089404</c:v>
                </c:pt>
                <c:pt idx="110">
                  <c:v>110.7918263090677</c:v>
                </c:pt>
                <c:pt idx="111">
                  <c:v>111.74968071519795</c:v>
                </c:pt>
                <c:pt idx="112">
                  <c:v>112.70753512132826</c:v>
                </c:pt>
                <c:pt idx="113">
                  <c:v>113.66538952745853</c:v>
                </c:pt>
                <c:pt idx="114">
                  <c:v>114.6232439335888</c:v>
                </c:pt>
                <c:pt idx="115">
                  <c:v>115.58109833971903</c:v>
                </c:pt>
                <c:pt idx="116">
                  <c:v>116.5389527458493</c:v>
                </c:pt>
                <c:pt idx="117">
                  <c:v>117.81609195402301</c:v>
                </c:pt>
                <c:pt idx="118">
                  <c:v>118.77394636015327</c:v>
                </c:pt>
                <c:pt idx="119">
                  <c:v>119.73180076628354</c:v>
                </c:pt>
                <c:pt idx="120">
                  <c:v>120.68965517241384</c:v>
                </c:pt>
                <c:pt idx="121">
                  <c:v>121.64750957854409</c:v>
                </c:pt>
                <c:pt idx="122">
                  <c:v>122.60536398467436</c:v>
                </c:pt>
                <c:pt idx="123">
                  <c:v>123.56321839080461</c:v>
                </c:pt>
                <c:pt idx="124">
                  <c:v>124.84035759897833</c:v>
                </c:pt>
                <c:pt idx="125">
                  <c:v>125.79821200510857</c:v>
                </c:pt>
                <c:pt idx="126">
                  <c:v>126.75606641123885</c:v>
                </c:pt>
                <c:pt idx="127">
                  <c:v>127.7139208173691</c:v>
                </c:pt>
                <c:pt idx="128">
                  <c:v>128.6717752234994</c:v>
                </c:pt>
                <c:pt idx="129">
                  <c:v>129.62962962962965</c:v>
                </c:pt>
                <c:pt idx="130">
                  <c:v>130.90676883780333</c:v>
                </c:pt>
                <c:pt idx="131">
                  <c:v>131.86462324393364</c:v>
                </c:pt>
                <c:pt idx="132">
                  <c:v>132.82247765006389</c:v>
                </c:pt>
                <c:pt idx="133">
                  <c:v>133.78033205619414</c:v>
                </c:pt>
                <c:pt idx="134">
                  <c:v>134.73818646232442</c:v>
                </c:pt>
                <c:pt idx="135">
                  <c:v>135.69604086845465</c:v>
                </c:pt>
                <c:pt idx="136">
                  <c:v>136.65389527458495</c:v>
                </c:pt>
                <c:pt idx="137">
                  <c:v>137.93103448275863</c:v>
                </c:pt>
                <c:pt idx="138">
                  <c:v>138.88888888888889</c:v>
                </c:pt>
                <c:pt idx="139">
                  <c:v>139.84674329501919</c:v>
                </c:pt>
                <c:pt idx="140">
                  <c:v>140.80459770114945</c:v>
                </c:pt>
                <c:pt idx="141">
                  <c:v>141.76245210727973</c:v>
                </c:pt>
                <c:pt idx="142">
                  <c:v>142.72030651340998</c:v>
                </c:pt>
                <c:pt idx="143">
                  <c:v>143.99744572158369</c:v>
                </c:pt>
                <c:pt idx="144">
                  <c:v>144.95530012771394</c:v>
                </c:pt>
                <c:pt idx="145">
                  <c:v>145.91315453384422</c:v>
                </c:pt>
                <c:pt idx="146">
                  <c:v>146.87100893997444</c:v>
                </c:pt>
                <c:pt idx="147">
                  <c:v>147.82886334610475</c:v>
                </c:pt>
                <c:pt idx="148">
                  <c:v>148.78671775223503</c:v>
                </c:pt>
                <c:pt idx="149">
                  <c:v>149.74457215836529</c:v>
                </c:pt>
                <c:pt idx="150">
                  <c:v>151.02171136653899</c:v>
                </c:pt>
                <c:pt idx="151">
                  <c:v>151.97956577266925</c:v>
                </c:pt>
                <c:pt idx="152">
                  <c:v>152.93742017879953</c:v>
                </c:pt>
                <c:pt idx="153">
                  <c:v>153.89527458492978</c:v>
                </c:pt>
                <c:pt idx="154">
                  <c:v>154.85312899106003</c:v>
                </c:pt>
                <c:pt idx="155">
                  <c:v>155.81098339719031</c:v>
                </c:pt>
                <c:pt idx="156">
                  <c:v>156.76883780332059</c:v>
                </c:pt>
                <c:pt idx="157">
                  <c:v>158.04597701149424</c:v>
                </c:pt>
                <c:pt idx="158">
                  <c:v>159.00383141762455</c:v>
                </c:pt>
                <c:pt idx="159">
                  <c:v>159.96168582375483</c:v>
                </c:pt>
                <c:pt idx="160">
                  <c:v>160.91954022988509</c:v>
                </c:pt>
                <c:pt idx="161">
                  <c:v>161.87739463601534</c:v>
                </c:pt>
                <c:pt idx="162">
                  <c:v>162.83524904214562</c:v>
                </c:pt>
                <c:pt idx="163">
                  <c:v>164.11238825031933</c:v>
                </c:pt>
                <c:pt idx="164">
                  <c:v>165.07024265644958</c:v>
                </c:pt>
                <c:pt idx="165">
                  <c:v>166.0280970625798</c:v>
                </c:pt>
                <c:pt idx="166">
                  <c:v>166.98595146871011</c:v>
                </c:pt>
                <c:pt idx="167">
                  <c:v>167.94380587484039</c:v>
                </c:pt>
                <c:pt idx="168">
                  <c:v>168.90166028097065</c:v>
                </c:pt>
                <c:pt idx="169">
                  <c:v>169.85951468710093</c:v>
                </c:pt>
                <c:pt idx="170">
                  <c:v>171.13665389527463</c:v>
                </c:pt>
                <c:pt idx="171">
                  <c:v>172.09450830140489</c:v>
                </c:pt>
                <c:pt idx="172">
                  <c:v>173.05236270753514</c:v>
                </c:pt>
                <c:pt idx="173">
                  <c:v>174.01021711366542</c:v>
                </c:pt>
                <c:pt idx="174">
                  <c:v>174.9680715197957</c:v>
                </c:pt>
                <c:pt idx="175">
                  <c:v>175.9259259259259</c:v>
                </c:pt>
                <c:pt idx="176">
                  <c:v>176.8837803320562</c:v>
                </c:pt>
                <c:pt idx="177">
                  <c:v>178.16091954022991</c:v>
                </c:pt>
                <c:pt idx="178">
                  <c:v>179.11877394636014</c:v>
                </c:pt>
                <c:pt idx="179">
                  <c:v>180.07662835249045</c:v>
                </c:pt>
                <c:pt idx="180">
                  <c:v>181.03448275862075</c:v>
                </c:pt>
                <c:pt idx="181">
                  <c:v>181.99233716475098</c:v>
                </c:pt>
                <c:pt idx="182">
                  <c:v>182.95019157088126</c:v>
                </c:pt>
                <c:pt idx="183">
                  <c:v>184.22733077905499</c:v>
                </c:pt>
                <c:pt idx="184">
                  <c:v>185.18518518518519</c:v>
                </c:pt>
                <c:pt idx="185">
                  <c:v>186.1430395913155</c:v>
                </c:pt>
                <c:pt idx="186">
                  <c:v>187.1008939974457</c:v>
                </c:pt>
                <c:pt idx="187">
                  <c:v>188.058748403576</c:v>
                </c:pt>
                <c:pt idx="188">
                  <c:v>189.01660280970631</c:v>
                </c:pt>
                <c:pt idx="189">
                  <c:v>189.97445721583654</c:v>
                </c:pt>
                <c:pt idx="190">
                  <c:v>191.25159642401024</c:v>
                </c:pt>
                <c:pt idx="191">
                  <c:v>192.20945083014055</c:v>
                </c:pt>
                <c:pt idx="192">
                  <c:v>193.16730523627078</c:v>
                </c:pt>
                <c:pt idx="193">
                  <c:v>194.12515964240106</c:v>
                </c:pt>
                <c:pt idx="194">
                  <c:v>195.08301404853128</c:v>
                </c:pt>
                <c:pt idx="195">
                  <c:v>196.04086845466159</c:v>
                </c:pt>
                <c:pt idx="196">
                  <c:v>196.9987228607919</c:v>
                </c:pt>
                <c:pt idx="197">
                  <c:v>198.27586206896549</c:v>
                </c:pt>
                <c:pt idx="198">
                  <c:v>199.2337164750958</c:v>
                </c:pt>
                <c:pt idx="199">
                  <c:v>200.19157088122611</c:v>
                </c:pt>
                <c:pt idx="200">
                  <c:v>201.14942528735634</c:v>
                </c:pt>
                <c:pt idx="201">
                  <c:v>202.10727969348662</c:v>
                </c:pt>
                <c:pt idx="202">
                  <c:v>203.06513409961684</c:v>
                </c:pt>
                <c:pt idx="203">
                  <c:v>204.34227330779055</c:v>
                </c:pt>
                <c:pt idx="204">
                  <c:v>205.30012771392086</c:v>
                </c:pt>
                <c:pt idx="205">
                  <c:v>206.25798212005108</c:v>
                </c:pt>
                <c:pt idx="206">
                  <c:v>207.21583652618139</c:v>
                </c:pt>
                <c:pt idx="207">
                  <c:v>208.1736909323117</c:v>
                </c:pt>
                <c:pt idx="208">
                  <c:v>209.1315453384419</c:v>
                </c:pt>
                <c:pt idx="209">
                  <c:v>210.08939974457221</c:v>
                </c:pt>
                <c:pt idx="210">
                  <c:v>211.36653895274591</c:v>
                </c:pt>
                <c:pt idx="211">
                  <c:v>212.32439335887614</c:v>
                </c:pt>
                <c:pt idx="212">
                  <c:v>213.28224776500642</c:v>
                </c:pt>
                <c:pt idx="213">
                  <c:v>214.24010217113664</c:v>
                </c:pt>
                <c:pt idx="214">
                  <c:v>215.19795657726695</c:v>
                </c:pt>
                <c:pt idx="215">
                  <c:v>216.15581098339726</c:v>
                </c:pt>
                <c:pt idx="216">
                  <c:v>217.43295019157088</c:v>
                </c:pt>
                <c:pt idx="217">
                  <c:v>218.39080459770119</c:v>
                </c:pt>
                <c:pt idx="218">
                  <c:v>219.3486590038315</c:v>
                </c:pt>
                <c:pt idx="219">
                  <c:v>220.3065134099617</c:v>
                </c:pt>
                <c:pt idx="220">
                  <c:v>221.26436781609198</c:v>
                </c:pt>
                <c:pt idx="221">
                  <c:v>222.2222222222222</c:v>
                </c:pt>
                <c:pt idx="222">
                  <c:v>223.18007662835251</c:v>
                </c:pt>
                <c:pt idx="223">
                  <c:v>224.45721583652622</c:v>
                </c:pt>
                <c:pt idx="224">
                  <c:v>225.41507024265644</c:v>
                </c:pt>
                <c:pt idx="225">
                  <c:v>226.37292464878675</c:v>
                </c:pt>
                <c:pt idx="226">
                  <c:v>227.33077905491706</c:v>
                </c:pt>
                <c:pt idx="227">
                  <c:v>228.28863346104728</c:v>
                </c:pt>
                <c:pt idx="228">
                  <c:v>229.24648786717759</c:v>
                </c:pt>
                <c:pt idx="229">
                  <c:v>230.20434227330776</c:v>
                </c:pt>
                <c:pt idx="230">
                  <c:v>231.4814814814815</c:v>
                </c:pt>
                <c:pt idx="231">
                  <c:v>232.43933588761178</c:v>
                </c:pt>
                <c:pt idx="232">
                  <c:v>233.397190293742</c:v>
                </c:pt>
                <c:pt idx="233">
                  <c:v>234.35504469987231</c:v>
                </c:pt>
                <c:pt idx="234">
                  <c:v>235.31289910600262</c:v>
                </c:pt>
                <c:pt idx="235">
                  <c:v>236.27075351213284</c:v>
                </c:pt>
                <c:pt idx="236">
                  <c:v>237.54789272030655</c:v>
                </c:pt>
                <c:pt idx="237">
                  <c:v>238.50574712643686</c:v>
                </c:pt>
                <c:pt idx="238">
                  <c:v>239.46360153256708</c:v>
                </c:pt>
                <c:pt idx="239">
                  <c:v>240.42145593869736</c:v>
                </c:pt>
                <c:pt idx="240">
                  <c:v>241.37931034482756</c:v>
                </c:pt>
                <c:pt idx="241">
                  <c:v>242.33716475095787</c:v>
                </c:pt>
                <c:pt idx="242">
                  <c:v>243.29501915708818</c:v>
                </c:pt>
                <c:pt idx="243">
                  <c:v>244.5721583652618</c:v>
                </c:pt>
                <c:pt idx="244">
                  <c:v>245.53001277139211</c:v>
                </c:pt>
                <c:pt idx="245">
                  <c:v>246.48786717752242</c:v>
                </c:pt>
                <c:pt idx="246">
                  <c:v>247.44572158365264</c:v>
                </c:pt>
                <c:pt idx="247">
                  <c:v>248.40357598978295</c:v>
                </c:pt>
                <c:pt idx="248">
                  <c:v>249.36143039591315</c:v>
                </c:pt>
                <c:pt idx="249">
                  <c:v>250.31928480204346</c:v>
                </c:pt>
                <c:pt idx="250">
                  <c:v>251.59642401021713</c:v>
                </c:pt>
                <c:pt idx="251">
                  <c:v>252.55427841634736</c:v>
                </c:pt>
                <c:pt idx="252">
                  <c:v>253.5121328224777</c:v>
                </c:pt>
                <c:pt idx="253">
                  <c:v>254.46998722860798</c:v>
                </c:pt>
                <c:pt idx="254">
                  <c:v>255.4278416347382</c:v>
                </c:pt>
                <c:pt idx="255">
                  <c:v>256.38569604086854</c:v>
                </c:pt>
                <c:pt idx="256">
                  <c:v>257.66283524904219</c:v>
                </c:pt>
                <c:pt idx="257">
                  <c:v>258.62068965517244</c:v>
                </c:pt>
                <c:pt idx="258">
                  <c:v>259.57854406130269</c:v>
                </c:pt>
                <c:pt idx="259">
                  <c:v>260.53639846743295</c:v>
                </c:pt>
                <c:pt idx="260">
                  <c:v>261.49425287356325</c:v>
                </c:pt>
                <c:pt idx="261">
                  <c:v>262.45210727969356</c:v>
                </c:pt>
                <c:pt idx="262">
                  <c:v>263.40996168582376</c:v>
                </c:pt>
                <c:pt idx="263">
                  <c:v>264.68710089399747</c:v>
                </c:pt>
                <c:pt idx="264">
                  <c:v>265.64495530012778</c:v>
                </c:pt>
                <c:pt idx="265">
                  <c:v>266.60280970625797</c:v>
                </c:pt>
                <c:pt idx="266">
                  <c:v>267.56066411238828</c:v>
                </c:pt>
                <c:pt idx="267">
                  <c:v>268.51851851851848</c:v>
                </c:pt>
                <c:pt idx="268">
                  <c:v>269.47637292464884</c:v>
                </c:pt>
                <c:pt idx="269">
                  <c:v>270.43422733077909</c:v>
                </c:pt>
                <c:pt idx="270">
                  <c:v>271.71136653895275</c:v>
                </c:pt>
                <c:pt idx="271">
                  <c:v>272.66922094508305</c:v>
                </c:pt>
                <c:pt idx="272">
                  <c:v>273.62707535121331</c:v>
                </c:pt>
                <c:pt idx="273">
                  <c:v>274.58492975734356</c:v>
                </c:pt>
                <c:pt idx="274">
                  <c:v>275.54278416347387</c:v>
                </c:pt>
                <c:pt idx="275">
                  <c:v>276.50063856960406</c:v>
                </c:pt>
                <c:pt idx="276">
                  <c:v>277.77777777777777</c:v>
                </c:pt>
                <c:pt idx="277">
                  <c:v>278.73563218390808</c:v>
                </c:pt>
                <c:pt idx="278">
                  <c:v>279.69348659003828</c:v>
                </c:pt>
                <c:pt idx="279">
                  <c:v>280.65134099616864</c:v>
                </c:pt>
                <c:pt idx="280">
                  <c:v>281.60919540229889</c:v>
                </c:pt>
                <c:pt idx="281">
                  <c:v>282.56704980842909</c:v>
                </c:pt>
                <c:pt idx="282">
                  <c:v>283.52490421455946</c:v>
                </c:pt>
                <c:pt idx="283">
                  <c:v>284.80204342273311</c:v>
                </c:pt>
                <c:pt idx="284">
                  <c:v>285.75989782886336</c:v>
                </c:pt>
                <c:pt idx="285">
                  <c:v>286.71775223499367</c:v>
                </c:pt>
                <c:pt idx="286">
                  <c:v>287.67560664112386</c:v>
                </c:pt>
                <c:pt idx="287">
                  <c:v>288.63346104725417</c:v>
                </c:pt>
                <c:pt idx="288">
                  <c:v>289.59131545338448</c:v>
                </c:pt>
                <c:pt idx="289">
                  <c:v>290.86845466155808</c:v>
                </c:pt>
                <c:pt idx="290">
                  <c:v>291.82630906768844</c:v>
                </c:pt>
                <c:pt idx="291">
                  <c:v>292.78416347381869</c:v>
                </c:pt>
                <c:pt idx="292">
                  <c:v>293.74201787994889</c:v>
                </c:pt>
                <c:pt idx="293">
                  <c:v>294.69987228607926</c:v>
                </c:pt>
                <c:pt idx="294">
                  <c:v>295.65772669220945</c:v>
                </c:pt>
                <c:pt idx="295">
                  <c:v>296.61558109833976</c:v>
                </c:pt>
                <c:pt idx="296">
                  <c:v>297.89272030651347</c:v>
                </c:pt>
                <c:pt idx="297">
                  <c:v>298.85057471264366</c:v>
                </c:pt>
                <c:pt idx="298">
                  <c:v>299.80842911877397</c:v>
                </c:pt>
                <c:pt idx="299">
                  <c:v>300.76628352490428</c:v>
                </c:pt>
                <c:pt idx="300">
                  <c:v>301.72413793103448</c:v>
                </c:pt>
                <c:pt idx="301">
                  <c:v>302.68199233716479</c:v>
                </c:pt>
                <c:pt idx="302">
                  <c:v>303.63984674329504</c:v>
                </c:pt>
                <c:pt idx="303">
                  <c:v>304.91698595146869</c:v>
                </c:pt>
                <c:pt idx="304">
                  <c:v>305.87484035759906</c:v>
                </c:pt>
                <c:pt idx="305">
                  <c:v>306.83269476372925</c:v>
                </c:pt>
                <c:pt idx="306">
                  <c:v>307.79054916985956</c:v>
                </c:pt>
                <c:pt idx="307">
                  <c:v>308.74840357598987</c:v>
                </c:pt>
                <c:pt idx="308">
                  <c:v>309.70625798212006</c:v>
                </c:pt>
                <c:pt idx="309">
                  <c:v>310.98339719029377</c:v>
                </c:pt>
                <c:pt idx="310">
                  <c:v>311.94125159642402</c:v>
                </c:pt>
                <c:pt idx="311">
                  <c:v>312.89910600255428</c:v>
                </c:pt>
                <c:pt idx="312">
                  <c:v>313.85696040868459</c:v>
                </c:pt>
                <c:pt idx="313">
                  <c:v>314.81481481481484</c:v>
                </c:pt>
                <c:pt idx="314">
                  <c:v>315.77266922094509</c:v>
                </c:pt>
                <c:pt idx="315">
                  <c:v>316.73052362707546</c:v>
                </c:pt>
                <c:pt idx="316">
                  <c:v>318.00766283524905</c:v>
                </c:pt>
                <c:pt idx="317">
                  <c:v>318.96551724137936</c:v>
                </c:pt>
                <c:pt idx="318">
                  <c:v>319.92337164750967</c:v>
                </c:pt>
                <c:pt idx="319">
                  <c:v>320.88122605363981</c:v>
                </c:pt>
                <c:pt idx="320">
                  <c:v>321.83908045977017</c:v>
                </c:pt>
                <c:pt idx="321">
                  <c:v>322.79693486590037</c:v>
                </c:pt>
                <c:pt idx="322">
                  <c:v>323.75478927203068</c:v>
                </c:pt>
                <c:pt idx="323">
                  <c:v>325.03192848020439</c:v>
                </c:pt>
                <c:pt idx="324">
                  <c:v>325.98978288633464</c:v>
                </c:pt>
                <c:pt idx="325">
                  <c:v>326.94763729246489</c:v>
                </c:pt>
                <c:pt idx="326">
                  <c:v>327.90549169859526</c:v>
                </c:pt>
                <c:pt idx="327">
                  <c:v>328.86334610472545</c:v>
                </c:pt>
                <c:pt idx="328">
                  <c:v>329.8212005108557</c:v>
                </c:pt>
                <c:pt idx="329">
                  <c:v>331.09833971902947</c:v>
                </c:pt>
                <c:pt idx="330">
                  <c:v>332.05619412515961</c:v>
                </c:pt>
                <c:pt idx="331">
                  <c:v>333.01404853128997</c:v>
                </c:pt>
                <c:pt idx="332">
                  <c:v>333.97190293742017</c:v>
                </c:pt>
                <c:pt idx="333">
                  <c:v>334.92975734355048</c:v>
                </c:pt>
                <c:pt idx="334">
                  <c:v>335.88761174968079</c:v>
                </c:pt>
                <c:pt idx="335">
                  <c:v>336.84546615581104</c:v>
                </c:pt>
                <c:pt idx="336">
                  <c:v>338.12260536398469</c:v>
                </c:pt>
                <c:pt idx="337">
                  <c:v>339.08045977011506</c:v>
                </c:pt>
                <c:pt idx="338">
                  <c:v>340.03831417624525</c:v>
                </c:pt>
                <c:pt idx="339">
                  <c:v>340.9961685823755</c:v>
                </c:pt>
                <c:pt idx="340">
                  <c:v>341.95402298850576</c:v>
                </c:pt>
                <c:pt idx="341">
                  <c:v>342.91187739463601</c:v>
                </c:pt>
                <c:pt idx="342">
                  <c:v>343.86973180076637</c:v>
                </c:pt>
                <c:pt idx="343">
                  <c:v>345.14687100893997</c:v>
                </c:pt>
                <c:pt idx="344">
                  <c:v>346.10472541507028</c:v>
                </c:pt>
                <c:pt idx="345">
                  <c:v>347.06257982120059</c:v>
                </c:pt>
                <c:pt idx="346">
                  <c:v>348.02043422733084</c:v>
                </c:pt>
                <c:pt idx="347">
                  <c:v>348.97828863346109</c:v>
                </c:pt>
                <c:pt idx="348">
                  <c:v>349.93614303959129</c:v>
                </c:pt>
                <c:pt idx="349">
                  <c:v>351.21328224776505</c:v>
                </c:pt>
                <c:pt idx="350">
                  <c:v>352.1711366538953</c:v>
                </c:pt>
                <c:pt idx="351">
                  <c:v>353.12899106002556</c:v>
                </c:pt>
                <c:pt idx="352">
                  <c:v>354.08684546615581</c:v>
                </c:pt>
                <c:pt idx="353">
                  <c:v>355.04469987228617</c:v>
                </c:pt>
                <c:pt idx="354">
                  <c:v>356.00255427841637</c:v>
                </c:pt>
                <c:pt idx="355">
                  <c:v>356.96040868454662</c:v>
                </c:pt>
                <c:pt idx="356">
                  <c:v>358.23754789272039</c:v>
                </c:pt>
                <c:pt idx="357">
                  <c:v>359.19540229885058</c:v>
                </c:pt>
                <c:pt idx="358">
                  <c:v>360.15325670498089</c:v>
                </c:pt>
                <c:pt idx="359">
                  <c:v>361.11111111111109</c:v>
                </c:pt>
                <c:pt idx="360">
                  <c:v>362.06896551724145</c:v>
                </c:pt>
                <c:pt idx="361">
                  <c:v>363.0268199233717</c:v>
                </c:pt>
                <c:pt idx="362">
                  <c:v>364.30395913154535</c:v>
                </c:pt>
                <c:pt idx="363">
                  <c:v>365.26181353767561</c:v>
                </c:pt>
                <c:pt idx="364">
                  <c:v>366.21966794380597</c:v>
                </c:pt>
                <c:pt idx="365">
                  <c:v>367.17752234993617</c:v>
                </c:pt>
                <c:pt idx="366">
                  <c:v>368.13537675606642</c:v>
                </c:pt>
                <c:pt idx="367">
                  <c:v>369.09323116219667</c:v>
                </c:pt>
                <c:pt idx="368">
                  <c:v>370.05108556832698</c:v>
                </c:pt>
                <c:pt idx="369">
                  <c:v>371.32822477650069</c:v>
                </c:pt>
                <c:pt idx="370">
                  <c:v>372.28607918263089</c:v>
                </c:pt>
                <c:pt idx="371">
                  <c:v>373.24393358876125</c:v>
                </c:pt>
                <c:pt idx="372">
                  <c:v>374.2017879948915</c:v>
                </c:pt>
                <c:pt idx="373">
                  <c:v>375.15964240102176</c:v>
                </c:pt>
                <c:pt idx="374">
                  <c:v>376.11749680715201</c:v>
                </c:pt>
                <c:pt idx="375">
                  <c:v>377.0753512132822</c:v>
                </c:pt>
                <c:pt idx="376">
                  <c:v>378.35249042145597</c:v>
                </c:pt>
                <c:pt idx="377">
                  <c:v>379.31034482758622</c:v>
                </c:pt>
                <c:pt idx="378">
                  <c:v>380.26819923371647</c:v>
                </c:pt>
                <c:pt idx="379">
                  <c:v>381.22605363984678</c:v>
                </c:pt>
                <c:pt idx="380">
                  <c:v>382.18390804597709</c:v>
                </c:pt>
                <c:pt idx="381">
                  <c:v>383.14176245210729</c:v>
                </c:pt>
                <c:pt idx="382">
                  <c:v>384.41890166028099</c:v>
                </c:pt>
                <c:pt idx="383">
                  <c:v>385.3767560664113</c:v>
                </c:pt>
                <c:pt idx="384">
                  <c:v>386.33461047254156</c:v>
                </c:pt>
                <c:pt idx="385">
                  <c:v>387.29246487867181</c:v>
                </c:pt>
                <c:pt idx="386">
                  <c:v>388.250319284802</c:v>
                </c:pt>
                <c:pt idx="387">
                  <c:v>389.20817369093237</c:v>
                </c:pt>
                <c:pt idx="388">
                  <c:v>390.16602809706262</c:v>
                </c:pt>
                <c:pt idx="389">
                  <c:v>391.44316730523627</c:v>
                </c:pt>
                <c:pt idx="390">
                  <c:v>392.40102171136658</c:v>
                </c:pt>
                <c:pt idx="391">
                  <c:v>393.35887611749689</c:v>
                </c:pt>
                <c:pt idx="392">
                  <c:v>394.31673052362709</c:v>
                </c:pt>
                <c:pt idx="393">
                  <c:v>395.27458492975734</c:v>
                </c:pt>
                <c:pt idx="394">
                  <c:v>396.23243933588759</c:v>
                </c:pt>
                <c:pt idx="395">
                  <c:v>397.1902937420179</c:v>
                </c:pt>
                <c:pt idx="396">
                  <c:v>398.46743295019161</c:v>
                </c:pt>
                <c:pt idx="397">
                  <c:v>399.4252873563218</c:v>
                </c:pt>
                <c:pt idx="398">
                  <c:v>400.38314176245217</c:v>
                </c:pt>
                <c:pt idx="399">
                  <c:v>401.34099616858242</c:v>
                </c:pt>
                <c:pt idx="400">
                  <c:v>402.29885057471267</c:v>
                </c:pt>
                <c:pt idx="401">
                  <c:v>403.25670498084298</c:v>
                </c:pt>
                <c:pt idx="402">
                  <c:v>404.53384418901669</c:v>
                </c:pt>
                <c:pt idx="403">
                  <c:v>405.49169859514689</c:v>
                </c:pt>
                <c:pt idx="404">
                  <c:v>406.44955300127714</c:v>
                </c:pt>
                <c:pt idx="405">
                  <c:v>407.40740740740739</c:v>
                </c:pt>
                <c:pt idx="406">
                  <c:v>408.3652618135377</c:v>
                </c:pt>
                <c:pt idx="407">
                  <c:v>409.32311621966801</c:v>
                </c:pt>
                <c:pt idx="408">
                  <c:v>410.2809706257982</c:v>
                </c:pt>
                <c:pt idx="409">
                  <c:v>411.55810983397197</c:v>
                </c:pt>
                <c:pt idx="410">
                  <c:v>412.51596424010222</c:v>
                </c:pt>
                <c:pt idx="411">
                  <c:v>413.47381864623247</c:v>
                </c:pt>
                <c:pt idx="412">
                  <c:v>414.43167305236278</c:v>
                </c:pt>
                <c:pt idx="413">
                  <c:v>415.38952745849292</c:v>
                </c:pt>
                <c:pt idx="414">
                  <c:v>416.34738186462329</c:v>
                </c:pt>
                <c:pt idx="415">
                  <c:v>417.30523627075354</c:v>
                </c:pt>
                <c:pt idx="416">
                  <c:v>418.58237547892719</c:v>
                </c:pt>
                <c:pt idx="417">
                  <c:v>419.5402298850575</c:v>
                </c:pt>
                <c:pt idx="418">
                  <c:v>420.49808429118781</c:v>
                </c:pt>
                <c:pt idx="419">
                  <c:v>421.455938697318</c:v>
                </c:pt>
                <c:pt idx="420">
                  <c:v>422.41379310344837</c:v>
                </c:pt>
                <c:pt idx="421">
                  <c:v>423.37164750957857</c:v>
                </c:pt>
                <c:pt idx="422">
                  <c:v>424.64878671775227</c:v>
                </c:pt>
                <c:pt idx="423">
                  <c:v>425.60664112388258</c:v>
                </c:pt>
                <c:pt idx="424">
                  <c:v>426.56449553001272</c:v>
                </c:pt>
                <c:pt idx="425">
                  <c:v>427.52234993614309</c:v>
                </c:pt>
                <c:pt idx="426">
                  <c:v>428.48020434227334</c:v>
                </c:pt>
                <c:pt idx="427">
                  <c:v>429.43805874840359</c:v>
                </c:pt>
                <c:pt idx="428">
                  <c:v>430.3959131545339</c:v>
                </c:pt>
                <c:pt idx="429">
                  <c:v>431.67305236270761</c:v>
                </c:pt>
                <c:pt idx="430">
                  <c:v>432.6309067688378</c:v>
                </c:pt>
                <c:pt idx="431">
                  <c:v>433.58876117496811</c:v>
                </c:pt>
                <c:pt idx="432">
                  <c:v>434.54661558109837</c:v>
                </c:pt>
                <c:pt idx="433">
                  <c:v>435.50446998722862</c:v>
                </c:pt>
                <c:pt idx="434">
                  <c:v>436.46232439335898</c:v>
                </c:pt>
                <c:pt idx="435">
                  <c:v>437.73946360153252</c:v>
                </c:pt>
                <c:pt idx="436">
                  <c:v>438.69731800766289</c:v>
                </c:pt>
                <c:pt idx="437">
                  <c:v>439.65517241379314</c:v>
                </c:pt>
                <c:pt idx="438">
                  <c:v>440.61302681992339</c:v>
                </c:pt>
                <c:pt idx="439">
                  <c:v>441.5708812260537</c:v>
                </c:pt>
                <c:pt idx="440">
                  <c:v>442.5287356321839</c:v>
                </c:pt>
                <c:pt idx="441">
                  <c:v>443.4865900383142</c:v>
                </c:pt>
                <c:pt idx="442">
                  <c:v>444.76372924648791</c:v>
                </c:pt>
                <c:pt idx="443">
                  <c:v>445.72158365261816</c:v>
                </c:pt>
                <c:pt idx="444">
                  <c:v>446.67943805874842</c:v>
                </c:pt>
                <c:pt idx="445">
                  <c:v>447.63729246487878</c:v>
                </c:pt>
                <c:pt idx="446">
                  <c:v>448.59514687100892</c:v>
                </c:pt>
                <c:pt idx="447">
                  <c:v>449.55300127713929</c:v>
                </c:pt>
                <c:pt idx="448">
                  <c:v>450.51085568326948</c:v>
                </c:pt>
                <c:pt idx="449">
                  <c:v>451.78799489144319</c:v>
                </c:pt>
                <c:pt idx="450">
                  <c:v>452.7458492975735</c:v>
                </c:pt>
                <c:pt idx="451">
                  <c:v>453.7037037037037</c:v>
                </c:pt>
                <c:pt idx="452">
                  <c:v>454.661558109834</c:v>
                </c:pt>
                <c:pt idx="453">
                  <c:v>455.61941251596431</c:v>
                </c:pt>
                <c:pt idx="454">
                  <c:v>456.57726692209457</c:v>
                </c:pt>
                <c:pt idx="455">
                  <c:v>457.85440613026822</c:v>
                </c:pt>
                <c:pt idx="456">
                  <c:v>458.81226053639858</c:v>
                </c:pt>
                <c:pt idx="457">
                  <c:v>459.77011494252872</c:v>
                </c:pt>
                <c:pt idx="458">
                  <c:v>460.72796934865909</c:v>
                </c:pt>
                <c:pt idx="459">
                  <c:v>461.68582375478928</c:v>
                </c:pt>
                <c:pt idx="460">
                  <c:v>462.64367816091954</c:v>
                </c:pt>
                <c:pt idx="461">
                  <c:v>463.6015325670499</c:v>
                </c:pt>
                <c:pt idx="462">
                  <c:v>464.87867177522349</c:v>
                </c:pt>
                <c:pt idx="463">
                  <c:v>465.8365261813538</c:v>
                </c:pt>
                <c:pt idx="464">
                  <c:v>466.79438058748411</c:v>
                </c:pt>
                <c:pt idx="465">
                  <c:v>467.75223499361437</c:v>
                </c:pt>
                <c:pt idx="466">
                  <c:v>468.71008939974462</c:v>
                </c:pt>
                <c:pt idx="467">
                  <c:v>469.66794380587487</c:v>
                </c:pt>
                <c:pt idx="468">
                  <c:v>470.62579821200512</c:v>
                </c:pt>
                <c:pt idx="469">
                  <c:v>471.90293742017889</c:v>
                </c:pt>
                <c:pt idx="470">
                  <c:v>472.86079182630908</c:v>
                </c:pt>
                <c:pt idx="471">
                  <c:v>473.81864623243933</c:v>
                </c:pt>
                <c:pt idx="472">
                  <c:v>474.7765006385697</c:v>
                </c:pt>
                <c:pt idx="473">
                  <c:v>475.7343550446999</c:v>
                </c:pt>
                <c:pt idx="474">
                  <c:v>476.69220945083021</c:v>
                </c:pt>
                <c:pt idx="475">
                  <c:v>477.96934865900391</c:v>
                </c:pt>
                <c:pt idx="476">
                  <c:v>478.92720306513417</c:v>
                </c:pt>
                <c:pt idx="477">
                  <c:v>479.88505747126442</c:v>
                </c:pt>
                <c:pt idx="478">
                  <c:v>480.84291187739461</c:v>
                </c:pt>
                <c:pt idx="479">
                  <c:v>481.80076628352492</c:v>
                </c:pt>
                <c:pt idx="480">
                  <c:v>482.75862068965523</c:v>
                </c:pt>
                <c:pt idx="481">
                  <c:v>483.71647509578548</c:v>
                </c:pt>
                <c:pt idx="482">
                  <c:v>484.99361430395913</c:v>
                </c:pt>
                <c:pt idx="483">
                  <c:v>485.9514687100895</c:v>
                </c:pt>
                <c:pt idx="484">
                  <c:v>486.9093231162197</c:v>
                </c:pt>
                <c:pt idx="485">
                  <c:v>487.86717752235</c:v>
                </c:pt>
                <c:pt idx="486">
                  <c:v>488.8250319284802</c:v>
                </c:pt>
                <c:pt idx="487">
                  <c:v>489.78288633461051</c:v>
                </c:pt>
                <c:pt idx="488">
                  <c:v>490.74074074074082</c:v>
                </c:pt>
                <c:pt idx="489">
                  <c:v>492.01787994891441</c:v>
                </c:pt>
                <c:pt idx="490">
                  <c:v>492.97573435504472</c:v>
                </c:pt>
                <c:pt idx="491">
                  <c:v>493.93358876117503</c:v>
                </c:pt>
                <c:pt idx="492">
                  <c:v>494.89144316730528</c:v>
                </c:pt>
                <c:pt idx="493">
                  <c:v>495.84929757343554</c:v>
                </c:pt>
                <c:pt idx="494">
                  <c:v>496.80715197956579</c:v>
                </c:pt>
                <c:pt idx="495">
                  <c:v>498.0842911877395</c:v>
                </c:pt>
                <c:pt idx="496">
                  <c:v>499.0421455938698</c:v>
                </c:pt>
                <c:pt idx="497">
                  <c:v>500</c:v>
                </c:pt>
                <c:pt idx="498">
                  <c:v>498.79807692307696</c:v>
                </c:pt>
                <c:pt idx="499">
                  <c:v>500</c:v>
                </c:pt>
                <c:pt idx="500">
                  <c:v>500</c:v>
                </c:pt>
              </c:numCache>
            </c:numRef>
          </c:xVal>
          <c:yVal>
            <c:numRef>
              <c:f>'sheet 1'!$C$39:$C$788</c:f>
              <c:numCache>
                <c:formatCode>General</c:formatCode>
                <c:ptCount val="750"/>
                <c:pt idx="0">
                  <c:v>8170</c:v>
                </c:pt>
                <c:pt idx="1">
                  <c:v>8121</c:v>
                </c:pt>
                <c:pt idx="2">
                  <c:v>7993</c:v>
                </c:pt>
                <c:pt idx="3">
                  <c:v>7881</c:v>
                </c:pt>
                <c:pt idx="4">
                  <c:v>7844</c:v>
                </c:pt>
                <c:pt idx="5">
                  <c:v>7729</c:v>
                </c:pt>
                <c:pt idx="6">
                  <c:v>7414</c:v>
                </c:pt>
                <c:pt idx="7">
                  <c:v>7300</c:v>
                </c:pt>
                <c:pt idx="8">
                  <c:v>7185</c:v>
                </c:pt>
                <c:pt idx="9">
                  <c:v>7154</c:v>
                </c:pt>
                <c:pt idx="10">
                  <c:v>7082</c:v>
                </c:pt>
                <c:pt idx="11">
                  <c:v>6920</c:v>
                </c:pt>
                <c:pt idx="12">
                  <c:v>6817</c:v>
                </c:pt>
                <c:pt idx="13">
                  <c:v>6659</c:v>
                </c:pt>
                <c:pt idx="14">
                  <c:v>6330</c:v>
                </c:pt>
                <c:pt idx="15">
                  <c:v>6360</c:v>
                </c:pt>
                <c:pt idx="16">
                  <c:v>6342</c:v>
                </c:pt>
                <c:pt idx="17">
                  <c:v>6189</c:v>
                </c:pt>
                <c:pt idx="18">
                  <c:v>6222</c:v>
                </c:pt>
                <c:pt idx="19">
                  <c:v>6047</c:v>
                </c:pt>
                <c:pt idx="20">
                  <c:v>5875</c:v>
                </c:pt>
                <c:pt idx="21">
                  <c:v>5980</c:v>
                </c:pt>
                <c:pt idx="22">
                  <c:v>5807</c:v>
                </c:pt>
                <c:pt idx="23">
                  <c:v>5805</c:v>
                </c:pt>
                <c:pt idx="24">
                  <c:v>5734</c:v>
                </c:pt>
                <c:pt idx="25">
                  <c:v>5768</c:v>
                </c:pt>
                <c:pt idx="26">
                  <c:v>5485</c:v>
                </c:pt>
                <c:pt idx="27">
                  <c:v>5238</c:v>
                </c:pt>
                <c:pt idx="28">
                  <c:v>5479</c:v>
                </c:pt>
                <c:pt idx="29">
                  <c:v>5367</c:v>
                </c:pt>
                <c:pt idx="30">
                  <c:v>5195</c:v>
                </c:pt>
                <c:pt idx="31">
                  <c:v>5249</c:v>
                </c:pt>
                <c:pt idx="32">
                  <c:v>4905</c:v>
                </c:pt>
                <c:pt idx="33">
                  <c:v>4935</c:v>
                </c:pt>
                <c:pt idx="34">
                  <c:v>4928</c:v>
                </c:pt>
                <c:pt idx="35">
                  <c:v>4924</c:v>
                </c:pt>
                <c:pt idx="36">
                  <c:v>4833</c:v>
                </c:pt>
                <c:pt idx="37">
                  <c:v>4769</c:v>
                </c:pt>
                <c:pt idx="38">
                  <c:v>4633</c:v>
                </c:pt>
                <c:pt idx="39">
                  <c:v>4688</c:v>
                </c:pt>
                <c:pt idx="40">
                  <c:v>4504</c:v>
                </c:pt>
                <c:pt idx="41">
                  <c:v>4481</c:v>
                </c:pt>
                <c:pt idx="42">
                  <c:v>4455</c:v>
                </c:pt>
                <c:pt idx="43">
                  <c:v>4432</c:v>
                </c:pt>
                <c:pt idx="44">
                  <c:v>4369</c:v>
                </c:pt>
                <c:pt idx="45">
                  <c:v>4450</c:v>
                </c:pt>
                <c:pt idx="46">
                  <c:v>4327</c:v>
                </c:pt>
                <c:pt idx="47">
                  <c:v>4333</c:v>
                </c:pt>
                <c:pt idx="48">
                  <c:v>4154</c:v>
                </c:pt>
                <c:pt idx="49">
                  <c:v>4256</c:v>
                </c:pt>
                <c:pt idx="50">
                  <c:v>4075</c:v>
                </c:pt>
                <c:pt idx="51">
                  <c:v>4018</c:v>
                </c:pt>
                <c:pt idx="52">
                  <c:v>4043</c:v>
                </c:pt>
                <c:pt idx="53">
                  <c:v>4027</c:v>
                </c:pt>
                <c:pt idx="54">
                  <c:v>4033</c:v>
                </c:pt>
                <c:pt idx="55">
                  <c:v>3929</c:v>
                </c:pt>
                <c:pt idx="56">
                  <c:v>3873</c:v>
                </c:pt>
                <c:pt idx="57">
                  <c:v>3829</c:v>
                </c:pt>
                <c:pt idx="58">
                  <c:v>3790</c:v>
                </c:pt>
                <c:pt idx="59">
                  <c:v>3798</c:v>
                </c:pt>
                <c:pt idx="60">
                  <c:v>3757</c:v>
                </c:pt>
                <c:pt idx="61">
                  <c:v>3626</c:v>
                </c:pt>
                <c:pt idx="62">
                  <c:v>3730</c:v>
                </c:pt>
                <c:pt idx="63">
                  <c:v>3741</c:v>
                </c:pt>
                <c:pt idx="64">
                  <c:v>3599</c:v>
                </c:pt>
                <c:pt idx="65">
                  <c:v>3607</c:v>
                </c:pt>
                <c:pt idx="66">
                  <c:v>3525</c:v>
                </c:pt>
                <c:pt idx="67">
                  <c:v>3470</c:v>
                </c:pt>
                <c:pt idx="68">
                  <c:v>3437</c:v>
                </c:pt>
                <c:pt idx="69">
                  <c:v>3424</c:v>
                </c:pt>
                <c:pt idx="70">
                  <c:v>3443</c:v>
                </c:pt>
                <c:pt idx="71">
                  <c:v>3450</c:v>
                </c:pt>
                <c:pt idx="72">
                  <c:v>3327</c:v>
                </c:pt>
                <c:pt idx="73">
                  <c:v>3222</c:v>
                </c:pt>
                <c:pt idx="74">
                  <c:v>3428</c:v>
                </c:pt>
                <c:pt idx="75">
                  <c:v>3346</c:v>
                </c:pt>
                <c:pt idx="76">
                  <c:v>3244</c:v>
                </c:pt>
                <c:pt idx="77">
                  <c:v>3176</c:v>
                </c:pt>
                <c:pt idx="78">
                  <c:v>3173</c:v>
                </c:pt>
                <c:pt idx="79">
                  <c:v>3217</c:v>
                </c:pt>
                <c:pt idx="80">
                  <c:v>3203</c:v>
                </c:pt>
                <c:pt idx="81">
                  <c:v>3131</c:v>
                </c:pt>
                <c:pt idx="82">
                  <c:v>3164</c:v>
                </c:pt>
                <c:pt idx="83">
                  <c:v>3151</c:v>
                </c:pt>
                <c:pt idx="84">
                  <c:v>3028</c:v>
                </c:pt>
                <c:pt idx="85">
                  <c:v>3047</c:v>
                </c:pt>
                <c:pt idx="86">
                  <c:v>2982</c:v>
                </c:pt>
                <c:pt idx="87">
                  <c:v>3019</c:v>
                </c:pt>
                <c:pt idx="88">
                  <c:v>2968</c:v>
                </c:pt>
                <c:pt idx="89">
                  <c:v>2890</c:v>
                </c:pt>
                <c:pt idx="90">
                  <c:v>2942</c:v>
                </c:pt>
                <c:pt idx="91">
                  <c:v>2904</c:v>
                </c:pt>
                <c:pt idx="92">
                  <c:v>2992</c:v>
                </c:pt>
                <c:pt idx="93">
                  <c:v>2848</c:v>
                </c:pt>
                <c:pt idx="94">
                  <c:v>2808</c:v>
                </c:pt>
                <c:pt idx="95">
                  <c:v>2877</c:v>
                </c:pt>
                <c:pt idx="96">
                  <c:v>2837</c:v>
                </c:pt>
                <c:pt idx="97">
                  <c:v>2818</c:v>
                </c:pt>
                <c:pt idx="98">
                  <c:v>2751</c:v>
                </c:pt>
                <c:pt idx="99">
                  <c:v>2828</c:v>
                </c:pt>
                <c:pt idx="100">
                  <c:v>2773</c:v>
                </c:pt>
                <c:pt idx="101">
                  <c:v>2735</c:v>
                </c:pt>
                <c:pt idx="102">
                  <c:v>2675</c:v>
                </c:pt>
                <c:pt idx="103">
                  <c:v>2661</c:v>
                </c:pt>
                <c:pt idx="104">
                  <c:v>2627</c:v>
                </c:pt>
                <c:pt idx="105">
                  <c:v>2627</c:v>
                </c:pt>
                <c:pt idx="106">
                  <c:v>2633</c:v>
                </c:pt>
                <c:pt idx="107">
                  <c:v>2610</c:v>
                </c:pt>
                <c:pt idx="108">
                  <c:v>2533</c:v>
                </c:pt>
                <c:pt idx="109">
                  <c:v>2612</c:v>
                </c:pt>
                <c:pt idx="110">
                  <c:v>2570</c:v>
                </c:pt>
                <c:pt idx="111">
                  <c:v>2538</c:v>
                </c:pt>
                <c:pt idx="112">
                  <c:v>2403</c:v>
                </c:pt>
                <c:pt idx="113">
                  <c:v>2485</c:v>
                </c:pt>
                <c:pt idx="114">
                  <c:v>2450</c:v>
                </c:pt>
                <c:pt idx="115">
                  <c:v>2411</c:v>
                </c:pt>
                <c:pt idx="116">
                  <c:v>2495</c:v>
                </c:pt>
                <c:pt idx="117">
                  <c:v>2441</c:v>
                </c:pt>
                <c:pt idx="118">
                  <c:v>2462</c:v>
                </c:pt>
                <c:pt idx="119">
                  <c:v>2365</c:v>
                </c:pt>
                <c:pt idx="120">
                  <c:v>2380</c:v>
                </c:pt>
                <c:pt idx="121">
                  <c:v>2352</c:v>
                </c:pt>
                <c:pt idx="122">
                  <c:v>2308</c:v>
                </c:pt>
                <c:pt idx="123">
                  <c:v>2367</c:v>
                </c:pt>
                <c:pt idx="124">
                  <c:v>2287</c:v>
                </c:pt>
                <c:pt idx="125">
                  <c:v>2291</c:v>
                </c:pt>
                <c:pt idx="126">
                  <c:v>2297</c:v>
                </c:pt>
                <c:pt idx="127">
                  <c:v>2323</c:v>
                </c:pt>
                <c:pt idx="128">
                  <c:v>2364</c:v>
                </c:pt>
                <c:pt idx="129">
                  <c:v>2291</c:v>
                </c:pt>
                <c:pt idx="130">
                  <c:v>2287</c:v>
                </c:pt>
                <c:pt idx="131">
                  <c:v>2261</c:v>
                </c:pt>
                <c:pt idx="132">
                  <c:v>2297</c:v>
                </c:pt>
                <c:pt idx="133">
                  <c:v>2182</c:v>
                </c:pt>
                <c:pt idx="134">
                  <c:v>2229</c:v>
                </c:pt>
                <c:pt idx="135">
                  <c:v>2210</c:v>
                </c:pt>
                <c:pt idx="136">
                  <c:v>2156</c:v>
                </c:pt>
                <c:pt idx="137">
                  <c:v>2137</c:v>
                </c:pt>
                <c:pt idx="138">
                  <c:v>2148</c:v>
                </c:pt>
                <c:pt idx="139">
                  <c:v>2138</c:v>
                </c:pt>
                <c:pt idx="140">
                  <c:v>2128</c:v>
                </c:pt>
                <c:pt idx="141">
                  <c:v>2165</c:v>
                </c:pt>
                <c:pt idx="142">
                  <c:v>2147</c:v>
                </c:pt>
                <c:pt idx="143">
                  <c:v>2054</c:v>
                </c:pt>
                <c:pt idx="144">
                  <c:v>2105</c:v>
                </c:pt>
                <c:pt idx="145">
                  <c:v>1999</c:v>
                </c:pt>
                <c:pt idx="146">
                  <c:v>2057</c:v>
                </c:pt>
                <c:pt idx="147">
                  <c:v>1987</c:v>
                </c:pt>
                <c:pt idx="148">
                  <c:v>2006</c:v>
                </c:pt>
                <c:pt idx="149">
                  <c:v>1997</c:v>
                </c:pt>
                <c:pt idx="150">
                  <c:v>1961</c:v>
                </c:pt>
                <c:pt idx="151">
                  <c:v>2055</c:v>
                </c:pt>
                <c:pt idx="152">
                  <c:v>2018</c:v>
                </c:pt>
                <c:pt idx="153">
                  <c:v>1948</c:v>
                </c:pt>
                <c:pt idx="154">
                  <c:v>1936</c:v>
                </c:pt>
                <c:pt idx="155">
                  <c:v>1879</c:v>
                </c:pt>
                <c:pt idx="156">
                  <c:v>1887</c:v>
                </c:pt>
                <c:pt idx="157">
                  <c:v>1916</c:v>
                </c:pt>
                <c:pt idx="158">
                  <c:v>1877</c:v>
                </c:pt>
                <c:pt idx="159">
                  <c:v>1844</c:v>
                </c:pt>
                <c:pt idx="160">
                  <c:v>1808</c:v>
                </c:pt>
                <c:pt idx="161">
                  <c:v>1881</c:v>
                </c:pt>
                <c:pt idx="162">
                  <c:v>1833</c:v>
                </c:pt>
                <c:pt idx="163">
                  <c:v>1827</c:v>
                </c:pt>
                <c:pt idx="164">
                  <c:v>1802</c:v>
                </c:pt>
                <c:pt idx="165">
                  <c:v>1763</c:v>
                </c:pt>
                <c:pt idx="166">
                  <c:v>1838</c:v>
                </c:pt>
                <c:pt idx="167">
                  <c:v>1840</c:v>
                </c:pt>
                <c:pt idx="168">
                  <c:v>1852</c:v>
                </c:pt>
                <c:pt idx="169">
                  <c:v>1745</c:v>
                </c:pt>
                <c:pt idx="170">
                  <c:v>1796</c:v>
                </c:pt>
                <c:pt idx="171">
                  <c:v>1781</c:v>
                </c:pt>
                <c:pt idx="172">
                  <c:v>1728</c:v>
                </c:pt>
                <c:pt idx="173">
                  <c:v>1695</c:v>
                </c:pt>
                <c:pt idx="174">
                  <c:v>1728</c:v>
                </c:pt>
                <c:pt idx="175">
                  <c:v>1763</c:v>
                </c:pt>
                <c:pt idx="176">
                  <c:v>1712</c:v>
                </c:pt>
                <c:pt idx="177">
                  <c:v>1732</c:v>
                </c:pt>
                <c:pt idx="178">
                  <c:v>1783</c:v>
                </c:pt>
                <c:pt idx="179">
                  <c:v>1695</c:v>
                </c:pt>
                <c:pt idx="180">
                  <c:v>1703</c:v>
                </c:pt>
                <c:pt idx="181">
                  <c:v>1726</c:v>
                </c:pt>
                <c:pt idx="182">
                  <c:v>1641</c:v>
                </c:pt>
                <c:pt idx="183">
                  <c:v>1694</c:v>
                </c:pt>
                <c:pt idx="184">
                  <c:v>1761</c:v>
                </c:pt>
                <c:pt idx="185">
                  <c:v>1713</c:v>
                </c:pt>
                <c:pt idx="186">
                  <c:v>1530</c:v>
                </c:pt>
                <c:pt idx="187">
                  <c:v>1612</c:v>
                </c:pt>
                <c:pt idx="188">
                  <c:v>1587</c:v>
                </c:pt>
                <c:pt idx="189">
                  <c:v>1607</c:v>
                </c:pt>
                <c:pt idx="190">
                  <c:v>1649</c:v>
                </c:pt>
                <c:pt idx="191">
                  <c:v>1612</c:v>
                </c:pt>
                <c:pt idx="192">
                  <c:v>1579</c:v>
                </c:pt>
                <c:pt idx="193">
                  <c:v>1609</c:v>
                </c:pt>
                <c:pt idx="194">
                  <c:v>1608</c:v>
                </c:pt>
                <c:pt idx="195">
                  <c:v>1623</c:v>
                </c:pt>
                <c:pt idx="196">
                  <c:v>1579</c:v>
                </c:pt>
                <c:pt idx="197">
                  <c:v>1540</c:v>
                </c:pt>
                <c:pt idx="198">
                  <c:v>1458</c:v>
                </c:pt>
                <c:pt idx="199">
                  <c:v>1568</c:v>
                </c:pt>
                <c:pt idx="200">
                  <c:v>1525</c:v>
                </c:pt>
                <c:pt idx="201">
                  <c:v>1520</c:v>
                </c:pt>
                <c:pt idx="202">
                  <c:v>1573</c:v>
                </c:pt>
                <c:pt idx="203">
                  <c:v>1522</c:v>
                </c:pt>
                <c:pt idx="204">
                  <c:v>1557</c:v>
                </c:pt>
                <c:pt idx="205">
                  <c:v>1544</c:v>
                </c:pt>
                <c:pt idx="206">
                  <c:v>1555</c:v>
                </c:pt>
                <c:pt idx="207">
                  <c:v>1459</c:v>
                </c:pt>
                <c:pt idx="208">
                  <c:v>1467</c:v>
                </c:pt>
                <c:pt idx="209">
                  <c:v>1490</c:v>
                </c:pt>
                <c:pt idx="210">
                  <c:v>1507</c:v>
                </c:pt>
                <c:pt idx="211">
                  <c:v>1421</c:v>
                </c:pt>
                <c:pt idx="212">
                  <c:v>1493</c:v>
                </c:pt>
                <c:pt idx="213">
                  <c:v>1461</c:v>
                </c:pt>
                <c:pt idx="214">
                  <c:v>1450</c:v>
                </c:pt>
                <c:pt idx="215">
                  <c:v>1431</c:v>
                </c:pt>
                <c:pt idx="216">
                  <c:v>1385</c:v>
                </c:pt>
                <c:pt idx="217">
                  <c:v>1423</c:v>
                </c:pt>
                <c:pt idx="218">
                  <c:v>1445</c:v>
                </c:pt>
                <c:pt idx="219">
                  <c:v>1443</c:v>
                </c:pt>
                <c:pt idx="220">
                  <c:v>1428</c:v>
                </c:pt>
                <c:pt idx="221">
                  <c:v>1389</c:v>
                </c:pt>
                <c:pt idx="222">
                  <c:v>1413</c:v>
                </c:pt>
                <c:pt idx="223">
                  <c:v>1439</c:v>
                </c:pt>
                <c:pt idx="224">
                  <c:v>1344</c:v>
                </c:pt>
                <c:pt idx="225">
                  <c:v>1378</c:v>
                </c:pt>
                <c:pt idx="226">
                  <c:v>1416</c:v>
                </c:pt>
                <c:pt idx="227">
                  <c:v>1380</c:v>
                </c:pt>
                <c:pt idx="228">
                  <c:v>1332</c:v>
                </c:pt>
                <c:pt idx="229">
                  <c:v>1293</c:v>
                </c:pt>
                <c:pt idx="230">
                  <c:v>1304</c:v>
                </c:pt>
                <c:pt idx="231">
                  <c:v>1356</c:v>
                </c:pt>
                <c:pt idx="232">
                  <c:v>1321</c:v>
                </c:pt>
                <c:pt idx="233">
                  <c:v>1365</c:v>
                </c:pt>
                <c:pt idx="234">
                  <c:v>1364</c:v>
                </c:pt>
                <c:pt idx="235">
                  <c:v>1378</c:v>
                </c:pt>
                <c:pt idx="236">
                  <c:v>1310</c:v>
                </c:pt>
                <c:pt idx="237">
                  <c:v>1357</c:v>
                </c:pt>
                <c:pt idx="238">
                  <c:v>1290</c:v>
                </c:pt>
                <c:pt idx="239">
                  <c:v>1317</c:v>
                </c:pt>
                <c:pt idx="240">
                  <c:v>1319</c:v>
                </c:pt>
                <c:pt idx="241">
                  <c:v>1305</c:v>
                </c:pt>
                <c:pt idx="242">
                  <c:v>1310</c:v>
                </c:pt>
                <c:pt idx="243">
                  <c:v>1283</c:v>
                </c:pt>
                <c:pt idx="244">
                  <c:v>1298</c:v>
                </c:pt>
                <c:pt idx="245">
                  <c:v>1293</c:v>
                </c:pt>
                <c:pt idx="246">
                  <c:v>1297</c:v>
                </c:pt>
                <c:pt idx="247">
                  <c:v>1262</c:v>
                </c:pt>
                <c:pt idx="248">
                  <c:v>1255</c:v>
                </c:pt>
                <c:pt idx="249">
                  <c:v>1319</c:v>
                </c:pt>
                <c:pt idx="250">
                  <c:v>1312</c:v>
                </c:pt>
                <c:pt idx="251">
                  <c:v>1228</c:v>
                </c:pt>
                <c:pt idx="252">
                  <c:v>1221</c:v>
                </c:pt>
                <c:pt idx="253">
                  <c:v>1301</c:v>
                </c:pt>
                <c:pt idx="254">
                  <c:v>1274</c:v>
                </c:pt>
                <c:pt idx="255">
                  <c:v>1221</c:v>
                </c:pt>
                <c:pt idx="256">
                  <c:v>1199</c:v>
                </c:pt>
                <c:pt idx="257">
                  <c:v>1225</c:v>
                </c:pt>
                <c:pt idx="258">
                  <c:v>1254</c:v>
                </c:pt>
                <c:pt idx="259">
                  <c:v>1292</c:v>
                </c:pt>
                <c:pt idx="260">
                  <c:v>1201</c:v>
                </c:pt>
                <c:pt idx="261">
                  <c:v>1199</c:v>
                </c:pt>
                <c:pt idx="262">
                  <c:v>1195</c:v>
                </c:pt>
                <c:pt idx="263">
                  <c:v>1209</c:v>
                </c:pt>
                <c:pt idx="264">
                  <c:v>1166</c:v>
                </c:pt>
                <c:pt idx="265">
                  <c:v>1139</c:v>
                </c:pt>
                <c:pt idx="266">
                  <c:v>1193</c:v>
                </c:pt>
                <c:pt idx="267">
                  <c:v>1166</c:v>
                </c:pt>
                <c:pt idx="268">
                  <c:v>1095</c:v>
                </c:pt>
                <c:pt idx="269">
                  <c:v>1259</c:v>
                </c:pt>
                <c:pt idx="270">
                  <c:v>1185</c:v>
                </c:pt>
                <c:pt idx="271">
                  <c:v>1134</c:v>
                </c:pt>
                <c:pt idx="272">
                  <c:v>1189</c:v>
                </c:pt>
                <c:pt idx="273">
                  <c:v>1162</c:v>
                </c:pt>
                <c:pt idx="274">
                  <c:v>1123</c:v>
                </c:pt>
                <c:pt idx="275">
                  <c:v>1204</c:v>
                </c:pt>
                <c:pt idx="276">
                  <c:v>1120</c:v>
                </c:pt>
                <c:pt idx="277">
                  <c:v>1130</c:v>
                </c:pt>
                <c:pt idx="278">
                  <c:v>1135</c:v>
                </c:pt>
                <c:pt idx="279">
                  <c:v>1122</c:v>
                </c:pt>
                <c:pt idx="280">
                  <c:v>1094</c:v>
                </c:pt>
                <c:pt idx="281">
                  <c:v>1099</c:v>
                </c:pt>
                <c:pt idx="282">
                  <c:v>1105</c:v>
                </c:pt>
                <c:pt idx="283">
                  <c:v>1148</c:v>
                </c:pt>
                <c:pt idx="284">
                  <c:v>1103</c:v>
                </c:pt>
                <c:pt idx="285">
                  <c:v>1163</c:v>
                </c:pt>
                <c:pt idx="286">
                  <c:v>1122</c:v>
                </c:pt>
                <c:pt idx="287">
                  <c:v>1092</c:v>
                </c:pt>
                <c:pt idx="288">
                  <c:v>1110</c:v>
                </c:pt>
                <c:pt idx="289">
                  <c:v>1093</c:v>
                </c:pt>
                <c:pt idx="290">
                  <c:v>1096</c:v>
                </c:pt>
                <c:pt idx="291">
                  <c:v>1146</c:v>
                </c:pt>
                <c:pt idx="292">
                  <c:v>1030</c:v>
                </c:pt>
                <c:pt idx="293">
                  <c:v>1064</c:v>
                </c:pt>
                <c:pt idx="294">
                  <c:v>1059</c:v>
                </c:pt>
                <c:pt idx="295">
                  <c:v>1082</c:v>
                </c:pt>
                <c:pt idx="296">
                  <c:v>1097</c:v>
                </c:pt>
                <c:pt idx="297">
                  <c:v>1047</c:v>
                </c:pt>
                <c:pt idx="298">
                  <c:v>1150</c:v>
                </c:pt>
                <c:pt idx="299">
                  <c:v>1066</c:v>
                </c:pt>
                <c:pt idx="300">
                  <c:v>1042</c:v>
                </c:pt>
                <c:pt idx="301">
                  <c:v>1038</c:v>
                </c:pt>
                <c:pt idx="302">
                  <c:v>1006</c:v>
                </c:pt>
                <c:pt idx="303">
                  <c:v>1037</c:v>
                </c:pt>
                <c:pt idx="304">
                  <c:v>1054</c:v>
                </c:pt>
                <c:pt idx="305">
                  <c:v>1049</c:v>
                </c:pt>
                <c:pt idx="306">
                  <c:v>982</c:v>
                </c:pt>
                <c:pt idx="307">
                  <c:v>1041</c:v>
                </c:pt>
                <c:pt idx="308">
                  <c:v>1076</c:v>
                </c:pt>
                <c:pt idx="309">
                  <c:v>1002</c:v>
                </c:pt>
                <c:pt idx="310">
                  <c:v>1050</c:v>
                </c:pt>
                <c:pt idx="311">
                  <c:v>1004</c:v>
                </c:pt>
                <c:pt idx="312">
                  <c:v>1006</c:v>
                </c:pt>
                <c:pt idx="313">
                  <c:v>1061</c:v>
                </c:pt>
                <c:pt idx="314">
                  <c:v>1007</c:v>
                </c:pt>
                <c:pt idx="315">
                  <c:v>999</c:v>
                </c:pt>
                <c:pt idx="316">
                  <c:v>1003</c:v>
                </c:pt>
                <c:pt idx="317">
                  <c:v>1025</c:v>
                </c:pt>
                <c:pt idx="318">
                  <c:v>981</c:v>
                </c:pt>
                <c:pt idx="319">
                  <c:v>1036</c:v>
                </c:pt>
                <c:pt idx="320">
                  <c:v>960</c:v>
                </c:pt>
                <c:pt idx="321">
                  <c:v>1005</c:v>
                </c:pt>
                <c:pt idx="322">
                  <c:v>988</c:v>
                </c:pt>
                <c:pt idx="323">
                  <c:v>1007</c:v>
                </c:pt>
                <c:pt idx="324">
                  <c:v>971</c:v>
                </c:pt>
                <c:pt idx="325">
                  <c:v>954</c:v>
                </c:pt>
                <c:pt idx="326">
                  <c:v>932</c:v>
                </c:pt>
                <c:pt idx="327">
                  <c:v>1037</c:v>
                </c:pt>
                <c:pt idx="328">
                  <c:v>962</c:v>
                </c:pt>
                <c:pt idx="329">
                  <c:v>962</c:v>
                </c:pt>
                <c:pt idx="330">
                  <c:v>963</c:v>
                </c:pt>
                <c:pt idx="331">
                  <c:v>911</c:v>
                </c:pt>
                <c:pt idx="332">
                  <c:v>949</c:v>
                </c:pt>
                <c:pt idx="333">
                  <c:v>937</c:v>
                </c:pt>
                <c:pt idx="334">
                  <c:v>935</c:v>
                </c:pt>
                <c:pt idx="335">
                  <c:v>978</c:v>
                </c:pt>
                <c:pt idx="336">
                  <c:v>954</c:v>
                </c:pt>
                <c:pt idx="337">
                  <c:v>936</c:v>
                </c:pt>
                <c:pt idx="338">
                  <c:v>896</c:v>
                </c:pt>
                <c:pt idx="339">
                  <c:v>901</c:v>
                </c:pt>
                <c:pt idx="340">
                  <c:v>906</c:v>
                </c:pt>
                <c:pt idx="341">
                  <c:v>933</c:v>
                </c:pt>
                <c:pt idx="342">
                  <c:v>910</c:v>
                </c:pt>
                <c:pt idx="343">
                  <c:v>905</c:v>
                </c:pt>
                <c:pt idx="344">
                  <c:v>965</c:v>
                </c:pt>
                <c:pt idx="345">
                  <c:v>885</c:v>
                </c:pt>
                <c:pt idx="346">
                  <c:v>882</c:v>
                </c:pt>
                <c:pt idx="347">
                  <c:v>881</c:v>
                </c:pt>
                <c:pt idx="348">
                  <c:v>942</c:v>
                </c:pt>
                <c:pt idx="349">
                  <c:v>961</c:v>
                </c:pt>
                <c:pt idx="350">
                  <c:v>920</c:v>
                </c:pt>
                <c:pt idx="351">
                  <c:v>926</c:v>
                </c:pt>
                <c:pt idx="352">
                  <c:v>844</c:v>
                </c:pt>
                <c:pt idx="353">
                  <c:v>870</c:v>
                </c:pt>
                <c:pt idx="354">
                  <c:v>910</c:v>
                </c:pt>
                <c:pt idx="355">
                  <c:v>878</c:v>
                </c:pt>
                <c:pt idx="356">
                  <c:v>861</c:v>
                </c:pt>
                <c:pt idx="357">
                  <c:v>881</c:v>
                </c:pt>
                <c:pt idx="358">
                  <c:v>825</c:v>
                </c:pt>
                <c:pt idx="359">
                  <c:v>960</c:v>
                </c:pt>
                <c:pt idx="360">
                  <c:v>893</c:v>
                </c:pt>
                <c:pt idx="361">
                  <c:v>873</c:v>
                </c:pt>
                <c:pt idx="362">
                  <c:v>893</c:v>
                </c:pt>
                <c:pt idx="363">
                  <c:v>953</c:v>
                </c:pt>
                <c:pt idx="364">
                  <c:v>873</c:v>
                </c:pt>
                <c:pt idx="365">
                  <c:v>860</c:v>
                </c:pt>
                <c:pt idx="366">
                  <c:v>854</c:v>
                </c:pt>
                <c:pt idx="367">
                  <c:v>886</c:v>
                </c:pt>
                <c:pt idx="368">
                  <c:v>869</c:v>
                </c:pt>
                <c:pt idx="369">
                  <c:v>876</c:v>
                </c:pt>
                <c:pt idx="370">
                  <c:v>820</c:v>
                </c:pt>
                <c:pt idx="371">
                  <c:v>848</c:v>
                </c:pt>
                <c:pt idx="372">
                  <c:v>831</c:v>
                </c:pt>
                <c:pt idx="373">
                  <c:v>842</c:v>
                </c:pt>
                <c:pt idx="374">
                  <c:v>822</c:v>
                </c:pt>
                <c:pt idx="375">
                  <c:v>752</c:v>
                </c:pt>
                <c:pt idx="376">
                  <c:v>804</c:v>
                </c:pt>
                <c:pt idx="377">
                  <c:v>869</c:v>
                </c:pt>
                <c:pt idx="378">
                  <c:v>897</c:v>
                </c:pt>
                <c:pt idx="379">
                  <c:v>822</c:v>
                </c:pt>
                <c:pt idx="380">
                  <c:v>831</c:v>
                </c:pt>
                <c:pt idx="381">
                  <c:v>828</c:v>
                </c:pt>
                <c:pt idx="382">
                  <c:v>826</c:v>
                </c:pt>
                <c:pt idx="383">
                  <c:v>793</c:v>
                </c:pt>
                <c:pt idx="384">
                  <c:v>816</c:v>
                </c:pt>
                <c:pt idx="385">
                  <c:v>843</c:v>
                </c:pt>
                <c:pt idx="386">
                  <c:v>795</c:v>
                </c:pt>
                <c:pt idx="387">
                  <c:v>840</c:v>
                </c:pt>
                <c:pt idx="388">
                  <c:v>852</c:v>
                </c:pt>
                <c:pt idx="389">
                  <c:v>776</c:v>
                </c:pt>
                <c:pt idx="390">
                  <c:v>767</c:v>
                </c:pt>
                <c:pt idx="391">
                  <c:v>797</c:v>
                </c:pt>
                <c:pt idx="392">
                  <c:v>793</c:v>
                </c:pt>
                <c:pt idx="393">
                  <c:v>820</c:v>
                </c:pt>
                <c:pt idx="394">
                  <c:v>799</c:v>
                </c:pt>
                <c:pt idx="395">
                  <c:v>814</c:v>
                </c:pt>
                <c:pt idx="396">
                  <c:v>780</c:v>
                </c:pt>
                <c:pt idx="397">
                  <c:v>815</c:v>
                </c:pt>
                <c:pt idx="398">
                  <c:v>821</c:v>
                </c:pt>
                <c:pt idx="399">
                  <c:v>775</c:v>
                </c:pt>
                <c:pt idx="400">
                  <c:v>740</c:v>
                </c:pt>
                <c:pt idx="401">
                  <c:v>842</c:v>
                </c:pt>
                <c:pt idx="402">
                  <c:v>797</c:v>
                </c:pt>
                <c:pt idx="403">
                  <c:v>746</c:v>
                </c:pt>
                <c:pt idx="404">
                  <c:v>761</c:v>
                </c:pt>
                <c:pt idx="405">
                  <c:v>758</c:v>
                </c:pt>
                <c:pt idx="406">
                  <c:v>797</c:v>
                </c:pt>
                <c:pt idx="407">
                  <c:v>863</c:v>
                </c:pt>
                <c:pt idx="408">
                  <c:v>773</c:v>
                </c:pt>
                <c:pt idx="409">
                  <c:v>783</c:v>
                </c:pt>
                <c:pt idx="410">
                  <c:v>768</c:v>
                </c:pt>
                <c:pt idx="411">
                  <c:v>732</c:v>
                </c:pt>
                <c:pt idx="412">
                  <c:v>762</c:v>
                </c:pt>
                <c:pt idx="413">
                  <c:v>758</c:v>
                </c:pt>
                <c:pt idx="414">
                  <c:v>748</c:v>
                </c:pt>
                <c:pt idx="415">
                  <c:v>710</c:v>
                </c:pt>
                <c:pt idx="416">
                  <c:v>774</c:v>
                </c:pt>
                <c:pt idx="417">
                  <c:v>800</c:v>
                </c:pt>
                <c:pt idx="418">
                  <c:v>753</c:v>
                </c:pt>
                <c:pt idx="419">
                  <c:v>793</c:v>
                </c:pt>
                <c:pt idx="420">
                  <c:v>766</c:v>
                </c:pt>
                <c:pt idx="421">
                  <c:v>704</c:v>
                </c:pt>
                <c:pt idx="422">
                  <c:v>740</c:v>
                </c:pt>
                <c:pt idx="423">
                  <c:v>762</c:v>
                </c:pt>
                <c:pt idx="424">
                  <c:v>778</c:v>
                </c:pt>
                <c:pt idx="425">
                  <c:v>725</c:v>
                </c:pt>
                <c:pt idx="426">
                  <c:v>730</c:v>
                </c:pt>
                <c:pt idx="427">
                  <c:v>768</c:v>
                </c:pt>
                <c:pt idx="428">
                  <c:v>742</c:v>
                </c:pt>
                <c:pt idx="429">
                  <c:v>754</c:v>
                </c:pt>
                <c:pt idx="430">
                  <c:v>709</c:v>
                </c:pt>
                <c:pt idx="431">
                  <c:v>742</c:v>
                </c:pt>
                <c:pt idx="432">
                  <c:v>717</c:v>
                </c:pt>
                <c:pt idx="433">
                  <c:v>717</c:v>
                </c:pt>
                <c:pt idx="434">
                  <c:v>754</c:v>
                </c:pt>
                <c:pt idx="435">
                  <c:v>732</c:v>
                </c:pt>
                <c:pt idx="436">
                  <c:v>718</c:v>
                </c:pt>
                <c:pt idx="437">
                  <c:v>743</c:v>
                </c:pt>
                <c:pt idx="438">
                  <c:v>713</c:v>
                </c:pt>
                <c:pt idx="439">
                  <c:v>709</c:v>
                </c:pt>
                <c:pt idx="440">
                  <c:v>682</c:v>
                </c:pt>
                <c:pt idx="441">
                  <c:v>707</c:v>
                </c:pt>
                <c:pt idx="442">
                  <c:v>733</c:v>
                </c:pt>
                <c:pt idx="443">
                  <c:v>733</c:v>
                </c:pt>
                <c:pt idx="444">
                  <c:v>705</c:v>
                </c:pt>
                <c:pt idx="445">
                  <c:v>745</c:v>
                </c:pt>
                <c:pt idx="446">
                  <c:v>660</c:v>
                </c:pt>
                <c:pt idx="447">
                  <c:v>696</c:v>
                </c:pt>
                <c:pt idx="448">
                  <c:v>719</c:v>
                </c:pt>
                <c:pt idx="449">
                  <c:v>699</c:v>
                </c:pt>
                <c:pt idx="450">
                  <c:v>734</c:v>
                </c:pt>
                <c:pt idx="451">
                  <c:v>665</c:v>
                </c:pt>
                <c:pt idx="452">
                  <c:v>617</c:v>
                </c:pt>
                <c:pt idx="453">
                  <c:v>698</c:v>
                </c:pt>
                <c:pt idx="454">
                  <c:v>732</c:v>
                </c:pt>
                <c:pt idx="455">
                  <c:v>728</c:v>
                </c:pt>
                <c:pt idx="456">
                  <c:v>674</c:v>
                </c:pt>
                <c:pt idx="457">
                  <c:v>623</c:v>
                </c:pt>
                <c:pt idx="458">
                  <c:v>629</c:v>
                </c:pt>
                <c:pt idx="459">
                  <c:v>667</c:v>
                </c:pt>
                <c:pt idx="460">
                  <c:v>718</c:v>
                </c:pt>
                <c:pt idx="461">
                  <c:v>740</c:v>
                </c:pt>
                <c:pt idx="462">
                  <c:v>656</c:v>
                </c:pt>
                <c:pt idx="463">
                  <c:v>693</c:v>
                </c:pt>
                <c:pt idx="464">
                  <c:v>686</c:v>
                </c:pt>
                <c:pt idx="465">
                  <c:v>667</c:v>
                </c:pt>
                <c:pt idx="466">
                  <c:v>652</c:v>
                </c:pt>
                <c:pt idx="467">
                  <c:v>656</c:v>
                </c:pt>
                <c:pt idx="468">
                  <c:v>669</c:v>
                </c:pt>
                <c:pt idx="469">
                  <c:v>624</c:v>
                </c:pt>
                <c:pt idx="470">
                  <c:v>702</c:v>
                </c:pt>
                <c:pt idx="471">
                  <c:v>713</c:v>
                </c:pt>
                <c:pt idx="472">
                  <c:v>676</c:v>
                </c:pt>
                <c:pt idx="473">
                  <c:v>661</c:v>
                </c:pt>
                <c:pt idx="474">
                  <c:v>643</c:v>
                </c:pt>
                <c:pt idx="475">
                  <c:v>692</c:v>
                </c:pt>
                <c:pt idx="476">
                  <c:v>672</c:v>
                </c:pt>
                <c:pt idx="477">
                  <c:v>632</c:v>
                </c:pt>
                <c:pt idx="478">
                  <c:v>666</c:v>
                </c:pt>
                <c:pt idx="479">
                  <c:v>715</c:v>
                </c:pt>
                <c:pt idx="480">
                  <c:v>629</c:v>
                </c:pt>
                <c:pt idx="481">
                  <c:v>672</c:v>
                </c:pt>
                <c:pt idx="482">
                  <c:v>648</c:v>
                </c:pt>
                <c:pt idx="483">
                  <c:v>671</c:v>
                </c:pt>
                <c:pt idx="484">
                  <c:v>632</c:v>
                </c:pt>
                <c:pt idx="485">
                  <c:v>627</c:v>
                </c:pt>
                <c:pt idx="486">
                  <c:v>659</c:v>
                </c:pt>
                <c:pt idx="487">
                  <c:v>669</c:v>
                </c:pt>
                <c:pt idx="488">
                  <c:v>648</c:v>
                </c:pt>
                <c:pt idx="489">
                  <c:v>651</c:v>
                </c:pt>
                <c:pt idx="490">
                  <c:v>657</c:v>
                </c:pt>
                <c:pt idx="491">
                  <c:v>628</c:v>
                </c:pt>
                <c:pt idx="492">
                  <c:v>609</c:v>
                </c:pt>
                <c:pt idx="493">
                  <c:v>614</c:v>
                </c:pt>
                <c:pt idx="494">
                  <c:v>649</c:v>
                </c:pt>
                <c:pt idx="495">
                  <c:v>620</c:v>
                </c:pt>
                <c:pt idx="496">
                  <c:v>624</c:v>
                </c:pt>
                <c:pt idx="497">
                  <c:v>638</c:v>
                </c:pt>
                <c:pt idx="498">
                  <c:v>503</c:v>
                </c:pt>
                <c:pt idx="499">
                  <c:v>467</c:v>
                </c:pt>
                <c:pt idx="500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21-4875-B88C-B488B95351CA}"/>
            </c:ext>
          </c:extLst>
        </c:ser>
        <c:ser>
          <c:idx val="1"/>
          <c:order val="1"/>
          <c:tx>
            <c:strRef>
              <c:f>'sheet 1'!$V$37</c:f>
              <c:strCache>
                <c:ptCount val="1"/>
                <c:pt idx="0">
                  <c:v>Theoretical</c:v>
                </c:pt>
              </c:strCache>
            </c:strRef>
          </c:tx>
          <c:spPr>
            <a:ln w="19050">
              <a:solidFill>
                <a:srgbClr val="C00000"/>
              </a:solidFill>
            </a:ln>
          </c:spPr>
          <c:marker>
            <c:symbol val="diamond"/>
            <c:size val="4"/>
          </c:marker>
          <c:xVal>
            <c:numRef>
              <c:f>'sheet 1'!$B$39:$B$840</c:f>
              <c:numCache>
                <c:formatCode>General</c:formatCode>
                <c:ptCount val="802"/>
                <c:pt idx="0">
                  <c:v>0</c:v>
                </c:pt>
                <c:pt idx="1">
                  <c:v>0.95785440613030459</c:v>
                </c:pt>
                <c:pt idx="2">
                  <c:v>1.9157088122605637</c:v>
                </c:pt>
                <c:pt idx="3">
                  <c:v>2.8735632183908226</c:v>
                </c:pt>
                <c:pt idx="4">
                  <c:v>4.150702426564532</c:v>
                </c:pt>
                <c:pt idx="5">
                  <c:v>5.1085568326947906</c:v>
                </c:pt>
                <c:pt idx="6">
                  <c:v>6.06641123882505</c:v>
                </c:pt>
                <c:pt idx="7">
                  <c:v>7.0242656449553094</c:v>
                </c:pt>
                <c:pt idx="8">
                  <c:v>7.9821200510855688</c:v>
                </c:pt>
                <c:pt idx="9">
                  <c:v>8.9399744572158735</c:v>
                </c:pt>
                <c:pt idx="10">
                  <c:v>9.8978288633461311</c:v>
                </c:pt>
                <c:pt idx="11">
                  <c:v>11.174968071519796</c:v>
                </c:pt>
                <c:pt idx="12">
                  <c:v>12.1328224776501</c:v>
                </c:pt>
                <c:pt idx="13">
                  <c:v>13.090676883780361</c:v>
                </c:pt>
                <c:pt idx="14">
                  <c:v>14.048531289910619</c:v>
                </c:pt>
                <c:pt idx="15">
                  <c:v>15.006385696040878</c:v>
                </c:pt>
                <c:pt idx="16">
                  <c:v>15.964240102171138</c:v>
                </c:pt>
                <c:pt idx="17">
                  <c:v>17.241379310344843</c:v>
                </c:pt>
                <c:pt idx="18">
                  <c:v>18.199233716475106</c:v>
                </c:pt>
                <c:pt idx="19">
                  <c:v>19.157088122605366</c:v>
                </c:pt>
                <c:pt idx="20">
                  <c:v>20.114942528735671</c:v>
                </c:pt>
                <c:pt idx="21">
                  <c:v>21.072796934865931</c:v>
                </c:pt>
                <c:pt idx="22">
                  <c:v>22.030651340996187</c:v>
                </c:pt>
                <c:pt idx="23">
                  <c:v>22.988505747126446</c:v>
                </c:pt>
                <c:pt idx="24">
                  <c:v>24.265644955300154</c:v>
                </c:pt>
                <c:pt idx="25">
                  <c:v>25.223499361430413</c:v>
                </c:pt>
                <c:pt idx="26">
                  <c:v>26.181353767560676</c:v>
                </c:pt>
                <c:pt idx="27">
                  <c:v>27.139208173690935</c:v>
                </c:pt>
                <c:pt idx="28">
                  <c:v>28.097062579821237</c:v>
                </c:pt>
                <c:pt idx="29">
                  <c:v>29.054916985951497</c:v>
                </c:pt>
                <c:pt idx="30">
                  <c:v>30.012771392081756</c:v>
                </c:pt>
                <c:pt idx="31">
                  <c:v>31.289910600255467</c:v>
                </c:pt>
                <c:pt idx="32">
                  <c:v>32.24776500638572</c:v>
                </c:pt>
                <c:pt idx="33">
                  <c:v>33.205619412515986</c:v>
                </c:pt>
                <c:pt idx="34">
                  <c:v>34.163473818646239</c:v>
                </c:pt>
                <c:pt idx="35">
                  <c:v>35.121328224776505</c:v>
                </c:pt>
                <c:pt idx="36">
                  <c:v>36.079182630906807</c:v>
                </c:pt>
                <c:pt idx="37">
                  <c:v>37.356321839080472</c:v>
                </c:pt>
                <c:pt idx="38">
                  <c:v>38.314176245210732</c:v>
                </c:pt>
                <c:pt idx="39">
                  <c:v>39.272030651341034</c:v>
                </c:pt>
                <c:pt idx="40">
                  <c:v>40.229885057471293</c:v>
                </c:pt>
                <c:pt idx="41">
                  <c:v>41.187739463601552</c:v>
                </c:pt>
                <c:pt idx="42">
                  <c:v>42.145593869731812</c:v>
                </c:pt>
                <c:pt idx="43">
                  <c:v>43.103448275862071</c:v>
                </c:pt>
                <c:pt idx="44">
                  <c:v>44.380587484035786</c:v>
                </c:pt>
                <c:pt idx="45">
                  <c:v>45.338441890166038</c:v>
                </c:pt>
                <c:pt idx="46">
                  <c:v>46.296296296296298</c:v>
                </c:pt>
                <c:pt idx="47">
                  <c:v>47.254150702426607</c:v>
                </c:pt>
                <c:pt idx="48">
                  <c:v>48.212005108556859</c:v>
                </c:pt>
                <c:pt idx="49">
                  <c:v>49.169859514687126</c:v>
                </c:pt>
                <c:pt idx="50">
                  <c:v>50.127713920817378</c:v>
                </c:pt>
                <c:pt idx="51">
                  <c:v>51.404853128991085</c:v>
                </c:pt>
                <c:pt idx="52">
                  <c:v>52.362707535121352</c:v>
                </c:pt>
                <c:pt idx="53">
                  <c:v>53.320561941251604</c:v>
                </c:pt>
                <c:pt idx="54">
                  <c:v>54.278416347381871</c:v>
                </c:pt>
                <c:pt idx="55">
                  <c:v>55.236270753512173</c:v>
                </c:pt>
                <c:pt idx="56">
                  <c:v>56.194125159642432</c:v>
                </c:pt>
                <c:pt idx="57">
                  <c:v>57.47126436781609</c:v>
                </c:pt>
                <c:pt idx="58">
                  <c:v>58.429118773946392</c:v>
                </c:pt>
                <c:pt idx="59">
                  <c:v>59.386973180076659</c:v>
                </c:pt>
                <c:pt idx="60">
                  <c:v>60.344827586206918</c:v>
                </c:pt>
                <c:pt idx="61">
                  <c:v>61.302681992337178</c:v>
                </c:pt>
                <c:pt idx="62">
                  <c:v>62.260536398467437</c:v>
                </c:pt>
                <c:pt idx="63">
                  <c:v>63.218390804597732</c:v>
                </c:pt>
                <c:pt idx="64">
                  <c:v>64.495530012771411</c:v>
                </c:pt>
                <c:pt idx="65">
                  <c:v>65.453384418901663</c:v>
                </c:pt>
                <c:pt idx="66">
                  <c:v>66.411238825031973</c:v>
                </c:pt>
                <c:pt idx="67">
                  <c:v>67.369093231162239</c:v>
                </c:pt>
                <c:pt idx="68">
                  <c:v>68.326947637292477</c:v>
                </c:pt>
                <c:pt idx="69">
                  <c:v>69.284802043422744</c:v>
                </c:pt>
                <c:pt idx="70">
                  <c:v>70.561941251596451</c:v>
                </c:pt>
                <c:pt idx="71">
                  <c:v>71.519795657726718</c:v>
                </c:pt>
                <c:pt idx="72">
                  <c:v>72.47765006385697</c:v>
                </c:pt>
                <c:pt idx="73">
                  <c:v>73.435504469987222</c:v>
                </c:pt>
                <c:pt idx="74">
                  <c:v>74.393358876117532</c:v>
                </c:pt>
                <c:pt idx="75">
                  <c:v>75.351213282247798</c:v>
                </c:pt>
                <c:pt idx="76">
                  <c:v>76.30906768837805</c:v>
                </c:pt>
                <c:pt idx="77">
                  <c:v>77.586206896551772</c:v>
                </c:pt>
                <c:pt idx="78">
                  <c:v>78.54406130268201</c:v>
                </c:pt>
                <c:pt idx="79">
                  <c:v>79.501915708812277</c:v>
                </c:pt>
                <c:pt idx="80">
                  <c:v>80.459770114942543</c:v>
                </c:pt>
                <c:pt idx="81">
                  <c:v>81.41762452107281</c:v>
                </c:pt>
                <c:pt idx="82">
                  <c:v>82.375478927203105</c:v>
                </c:pt>
                <c:pt idx="83">
                  <c:v>83.333333333333371</c:v>
                </c:pt>
                <c:pt idx="84">
                  <c:v>84.610472541507022</c:v>
                </c:pt>
                <c:pt idx="85">
                  <c:v>85.568326947637331</c:v>
                </c:pt>
                <c:pt idx="86">
                  <c:v>86.526181353767598</c:v>
                </c:pt>
                <c:pt idx="87">
                  <c:v>87.48403575989785</c:v>
                </c:pt>
                <c:pt idx="88">
                  <c:v>88.441890166028102</c:v>
                </c:pt>
                <c:pt idx="89">
                  <c:v>89.399744572158369</c:v>
                </c:pt>
                <c:pt idx="90">
                  <c:v>90.676883780332076</c:v>
                </c:pt>
                <c:pt idx="91">
                  <c:v>91.634738186462343</c:v>
                </c:pt>
                <c:pt idx="92">
                  <c:v>92.592592592592595</c:v>
                </c:pt>
                <c:pt idx="93">
                  <c:v>93.550446998722904</c:v>
                </c:pt>
                <c:pt idx="94">
                  <c:v>94.508301404853157</c:v>
                </c:pt>
                <c:pt idx="95">
                  <c:v>95.466155810983423</c:v>
                </c:pt>
                <c:pt idx="96">
                  <c:v>96.424010217113675</c:v>
                </c:pt>
                <c:pt idx="97">
                  <c:v>97.701149425287383</c:v>
                </c:pt>
                <c:pt idx="98">
                  <c:v>98.65900383141765</c:v>
                </c:pt>
                <c:pt idx="99">
                  <c:v>99.616858237547902</c:v>
                </c:pt>
                <c:pt idx="100">
                  <c:v>100.57471264367817</c:v>
                </c:pt>
                <c:pt idx="101">
                  <c:v>101.53256704980846</c:v>
                </c:pt>
                <c:pt idx="102">
                  <c:v>102.49042145593873</c:v>
                </c:pt>
                <c:pt idx="103">
                  <c:v>103.448275862069</c:v>
                </c:pt>
                <c:pt idx="104">
                  <c:v>104.7254150702427</c:v>
                </c:pt>
                <c:pt idx="105">
                  <c:v>105.68326947637296</c:v>
                </c:pt>
                <c:pt idx="106">
                  <c:v>106.64112388250321</c:v>
                </c:pt>
                <c:pt idx="107">
                  <c:v>107.59897828863348</c:v>
                </c:pt>
                <c:pt idx="108">
                  <c:v>108.55683269476374</c:v>
                </c:pt>
                <c:pt idx="109">
                  <c:v>109.51468710089404</c:v>
                </c:pt>
                <c:pt idx="110">
                  <c:v>110.7918263090677</c:v>
                </c:pt>
                <c:pt idx="111">
                  <c:v>111.74968071519795</c:v>
                </c:pt>
                <c:pt idx="112">
                  <c:v>112.70753512132826</c:v>
                </c:pt>
                <c:pt idx="113">
                  <c:v>113.66538952745853</c:v>
                </c:pt>
                <c:pt idx="114">
                  <c:v>114.6232439335888</c:v>
                </c:pt>
                <c:pt idx="115">
                  <c:v>115.58109833971903</c:v>
                </c:pt>
                <c:pt idx="116">
                  <c:v>116.5389527458493</c:v>
                </c:pt>
                <c:pt idx="117">
                  <c:v>117.81609195402301</c:v>
                </c:pt>
                <c:pt idx="118">
                  <c:v>118.77394636015327</c:v>
                </c:pt>
                <c:pt idx="119">
                  <c:v>119.73180076628354</c:v>
                </c:pt>
                <c:pt idx="120">
                  <c:v>120.68965517241384</c:v>
                </c:pt>
                <c:pt idx="121">
                  <c:v>121.64750957854409</c:v>
                </c:pt>
                <c:pt idx="122">
                  <c:v>122.60536398467436</c:v>
                </c:pt>
                <c:pt idx="123">
                  <c:v>123.56321839080461</c:v>
                </c:pt>
                <c:pt idx="124">
                  <c:v>124.84035759897833</c:v>
                </c:pt>
                <c:pt idx="125">
                  <c:v>125.79821200510857</c:v>
                </c:pt>
                <c:pt idx="126">
                  <c:v>126.75606641123885</c:v>
                </c:pt>
                <c:pt idx="127">
                  <c:v>127.7139208173691</c:v>
                </c:pt>
                <c:pt idx="128">
                  <c:v>128.6717752234994</c:v>
                </c:pt>
                <c:pt idx="129">
                  <c:v>129.62962962962965</c:v>
                </c:pt>
                <c:pt idx="130">
                  <c:v>130.90676883780333</c:v>
                </c:pt>
                <c:pt idx="131">
                  <c:v>131.86462324393364</c:v>
                </c:pt>
                <c:pt idx="132">
                  <c:v>132.82247765006389</c:v>
                </c:pt>
                <c:pt idx="133">
                  <c:v>133.78033205619414</c:v>
                </c:pt>
                <c:pt idx="134">
                  <c:v>134.73818646232442</c:v>
                </c:pt>
                <c:pt idx="135">
                  <c:v>135.69604086845465</c:v>
                </c:pt>
                <c:pt idx="136">
                  <c:v>136.65389527458495</c:v>
                </c:pt>
                <c:pt idx="137">
                  <c:v>137.93103448275863</c:v>
                </c:pt>
                <c:pt idx="138">
                  <c:v>138.88888888888889</c:v>
                </c:pt>
                <c:pt idx="139">
                  <c:v>139.84674329501919</c:v>
                </c:pt>
                <c:pt idx="140">
                  <c:v>140.80459770114945</c:v>
                </c:pt>
                <c:pt idx="141">
                  <c:v>141.76245210727973</c:v>
                </c:pt>
                <c:pt idx="142">
                  <c:v>142.72030651340998</c:v>
                </c:pt>
                <c:pt idx="143">
                  <c:v>143.99744572158369</c:v>
                </c:pt>
                <c:pt idx="144">
                  <c:v>144.95530012771394</c:v>
                </c:pt>
                <c:pt idx="145">
                  <c:v>145.91315453384422</c:v>
                </c:pt>
                <c:pt idx="146">
                  <c:v>146.87100893997444</c:v>
                </c:pt>
                <c:pt idx="147">
                  <c:v>147.82886334610475</c:v>
                </c:pt>
                <c:pt idx="148">
                  <c:v>148.78671775223503</c:v>
                </c:pt>
                <c:pt idx="149">
                  <c:v>149.74457215836529</c:v>
                </c:pt>
                <c:pt idx="150">
                  <c:v>151.02171136653899</c:v>
                </c:pt>
                <c:pt idx="151">
                  <c:v>151.97956577266925</c:v>
                </c:pt>
                <c:pt idx="152">
                  <c:v>152.93742017879953</c:v>
                </c:pt>
                <c:pt idx="153">
                  <c:v>153.89527458492978</c:v>
                </c:pt>
                <c:pt idx="154">
                  <c:v>154.85312899106003</c:v>
                </c:pt>
                <c:pt idx="155">
                  <c:v>155.81098339719031</c:v>
                </c:pt>
                <c:pt idx="156">
                  <c:v>156.76883780332059</c:v>
                </c:pt>
                <c:pt idx="157">
                  <c:v>158.04597701149424</c:v>
                </c:pt>
                <c:pt idx="158">
                  <c:v>159.00383141762455</c:v>
                </c:pt>
                <c:pt idx="159">
                  <c:v>159.96168582375483</c:v>
                </c:pt>
                <c:pt idx="160">
                  <c:v>160.91954022988509</c:v>
                </c:pt>
                <c:pt idx="161">
                  <c:v>161.87739463601534</c:v>
                </c:pt>
                <c:pt idx="162">
                  <c:v>162.83524904214562</c:v>
                </c:pt>
                <c:pt idx="163">
                  <c:v>164.11238825031933</c:v>
                </c:pt>
                <c:pt idx="164">
                  <c:v>165.07024265644958</c:v>
                </c:pt>
                <c:pt idx="165">
                  <c:v>166.0280970625798</c:v>
                </c:pt>
                <c:pt idx="166">
                  <c:v>166.98595146871011</c:v>
                </c:pt>
                <c:pt idx="167">
                  <c:v>167.94380587484039</c:v>
                </c:pt>
                <c:pt idx="168">
                  <c:v>168.90166028097065</c:v>
                </c:pt>
                <c:pt idx="169">
                  <c:v>169.85951468710093</c:v>
                </c:pt>
                <c:pt idx="170">
                  <c:v>171.13665389527463</c:v>
                </c:pt>
                <c:pt idx="171">
                  <c:v>172.09450830140489</c:v>
                </c:pt>
                <c:pt idx="172">
                  <c:v>173.05236270753514</c:v>
                </c:pt>
                <c:pt idx="173">
                  <c:v>174.01021711366542</c:v>
                </c:pt>
                <c:pt idx="174">
                  <c:v>174.9680715197957</c:v>
                </c:pt>
                <c:pt idx="175">
                  <c:v>175.9259259259259</c:v>
                </c:pt>
                <c:pt idx="176">
                  <c:v>176.8837803320562</c:v>
                </c:pt>
                <c:pt idx="177">
                  <c:v>178.16091954022991</c:v>
                </c:pt>
                <c:pt idx="178">
                  <c:v>179.11877394636014</c:v>
                </c:pt>
                <c:pt idx="179">
                  <c:v>180.07662835249045</c:v>
                </c:pt>
                <c:pt idx="180">
                  <c:v>181.03448275862075</c:v>
                </c:pt>
                <c:pt idx="181">
                  <c:v>181.99233716475098</c:v>
                </c:pt>
                <c:pt idx="182">
                  <c:v>182.95019157088126</c:v>
                </c:pt>
                <c:pt idx="183">
                  <c:v>184.22733077905499</c:v>
                </c:pt>
                <c:pt idx="184">
                  <c:v>185.18518518518519</c:v>
                </c:pt>
                <c:pt idx="185">
                  <c:v>186.1430395913155</c:v>
                </c:pt>
                <c:pt idx="186">
                  <c:v>187.1008939974457</c:v>
                </c:pt>
                <c:pt idx="187">
                  <c:v>188.058748403576</c:v>
                </c:pt>
                <c:pt idx="188">
                  <c:v>189.01660280970631</c:v>
                </c:pt>
                <c:pt idx="189">
                  <c:v>189.97445721583654</c:v>
                </c:pt>
                <c:pt idx="190">
                  <c:v>191.25159642401024</c:v>
                </c:pt>
                <c:pt idx="191">
                  <c:v>192.20945083014055</c:v>
                </c:pt>
                <c:pt idx="192">
                  <c:v>193.16730523627078</c:v>
                </c:pt>
                <c:pt idx="193">
                  <c:v>194.12515964240106</c:v>
                </c:pt>
                <c:pt idx="194">
                  <c:v>195.08301404853128</c:v>
                </c:pt>
                <c:pt idx="195">
                  <c:v>196.04086845466159</c:v>
                </c:pt>
                <c:pt idx="196">
                  <c:v>196.9987228607919</c:v>
                </c:pt>
                <c:pt idx="197">
                  <c:v>198.27586206896549</c:v>
                </c:pt>
                <c:pt idx="198">
                  <c:v>199.2337164750958</c:v>
                </c:pt>
                <c:pt idx="199">
                  <c:v>200.19157088122611</c:v>
                </c:pt>
                <c:pt idx="200">
                  <c:v>201.14942528735634</c:v>
                </c:pt>
                <c:pt idx="201">
                  <c:v>202.10727969348662</c:v>
                </c:pt>
                <c:pt idx="202">
                  <c:v>203.06513409961684</c:v>
                </c:pt>
                <c:pt idx="203">
                  <c:v>204.34227330779055</c:v>
                </c:pt>
                <c:pt idx="204">
                  <c:v>205.30012771392086</c:v>
                </c:pt>
                <c:pt idx="205">
                  <c:v>206.25798212005108</c:v>
                </c:pt>
                <c:pt idx="206">
                  <c:v>207.21583652618139</c:v>
                </c:pt>
                <c:pt idx="207">
                  <c:v>208.1736909323117</c:v>
                </c:pt>
                <c:pt idx="208">
                  <c:v>209.1315453384419</c:v>
                </c:pt>
                <c:pt idx="209">
                  <c:v>210.08939974457221</c:v>
                </c:pt>
                <c:pt idx="210">
                  <c:v>211.36653895274591</c:v>
                </c:pt>
                <c:pt idx="211">
                  <c:v>212.32439335887614</c:v>
                </c:pt>
                <c:pt idx="212">
                  <c:v>213.28224776500642</c:v>
                </c:pt>
                <c:pt idx="213">
                  <c:v>214.24010217113664</c:v>
                </c:pt>
                <c:pt idx="214">
                  <c:v>215.19795657726695</c:v>
                </c:pt>
                <c:pt idx="215">
                  <c:v>216.15581098339726</c:v>
                </c:pt>
                <c:pt idx="216">
                  <c:v>217.43295019157088</c:v>
                </c:pt>
                <c:pt idx="217">
                  <c:v>218.39080459770119</c:v>
                </c:pt>
                <c:pt idx="218">
                  <c:v>219.3486590038315</c:v>
                </c:pt>
                <c:pt idx="219">
                  <c:v>220.3065134099617</c:v>
                </c:pt>
                <c:pt idx="220">
                  <c:v>221.26436781609198</c:v>
                </c:pt>
                <c:pt idx="221">
                  <c:v>222.2222222222222</c:v>
                </c:pt>
                <c:pt idx="222">
                  <c:v>223.18007662835251</c:v>
                </c:pt>
                <c:pt idx="223">
                  <c:v>224.45721583652622</c:v>
                </c:pt>
                <c:pt idx="224">
                  <c:v>225.41507024265644</c:v>
                </c:pt>
                <c:pt idx="225">
                  <c:v>226.37292464878675</c:v>
                </c:pt>
                <c:pt idx="226">
                  <c:v>227.33077905491706</c:v>
                </c:pt>
                <c:pt idx="227">
                  <c:v>228.28863346104728</c:v>
                </c:pt>
                <c:pt idx="228">
                  <c:v>229.24648786717759</c:v>
                </c:pt>
                <c:pt idx="229">
                  <c:v>230.20434227330776</c:v>
                </c:pt>
                <c:pt idx="230">
                  <c:v>231.4814814814815</c:v>
                </c:pt>
                <c:pt idx="231">
                  <c:v>232.43933588761178</c:v>
                </c:pt>
                <c:pt idx="232">
                  <c:v>233.397190293742</c:v>
                </c:pt>
                <c:pt idx="233">
                  <c:v>234.35504469987231</c:v>
                </c:pt>
                <c:pt idx="234">
                  <c:v>235.31289910600262</c:v>
                </c:pt>
                <c:pt idx="235">
                  <c:v>236.27075351213284</c:v>
                </c:pt>
                <c:pt idx="236">
                  <c:v>237.54789272030655</c:v>
                </c:pt>
                <c:pt idx="237">
                  <c:v>238.50574712643686</c:v>
                </c:pt>
                <c:pt idx="238">
                  <c:v>239.46360153256708</c:v>
                </c:pt>
                <c:pt idx="239">
                  <c:v>240.42145593869736</c:v>
                </c:pt>
                <c:pt idx="240">
                  <c:v>241.37931034482756</c:v>
                </c:pt>
                <c:pt idx="241">
                  <c:v>242.33716475095787</c:v>
                </c:pt>
                <c:pt idx="242">
                  <c:v>243.29501915708818</c:v>
                </c:pt>
                <c:pt idx="243">
                  <c:v>244.5721583652618</c:v>
                </c:pt>
                <c:pt idx="244">
                  <c:v>245.53001277139211</c:v>
                </c:pt>
                <c:pt idx="245">
                  <c:v>246.48786717752242</c:v>
                </c:pt>
                <c:pt idx="246">
                  <c:v>247.44572158365264</c:v>
                </c:pt>
                <c:pt idx="247">
                  <c:v>248.40357598978295</c:v>
                </c:pt>
                <c:pt idx="248">
                  <c:v>249.36143039591315</c:v>
                </c:pt>
                <c:pt idx="249">
                  <c:v>250.31928480204346</c:v>
                </c:pt>
                <c:pt idx="250">
                  <c:v>251.59642401021713</c:v>
                </c:pt>
                <c:pt idx="251">
                  <c:v>252.55427841634736</c:v>
                </c:pt>
                <c:pt idx="252">
                  <c:v>253.5121328224777</c:v>
                </c:pt>
                <c:pt idx="253">
                  <c:v>254.46998722860798</c:v>
                </c:pt>
                <c:pt idx="254">
                  <c:v>255.4278416347382</c:v>
                </c:pt>
                <c:pt idx="255">
                  <c:v>256.38569604086854</c:v>
                </c:pt>
                <c:pt idx="256">
                  <c:v>257.66283524904219</c:v>
                </c:pt>
                <c:pt idx="257">
                  <c:v>258.62068965517244</c:v>
                </c:pt>
                <c:pt idx="258">
                  <c:v>259.57854406130269</c:v>
                </c:pt>
                <c:pt idx="259">
                  <c:v>260.53639846743295</c:v>
                </c:pt>
                <c:pt idx="260">
                  <c:v>261.49425287356325</c:v>
                </c:pt>
                <c:pt idx="261">
                  <c:v>262.45210727969356</c:v>
                </c:pt>
                <c:pt idx="262">
                  <c:v>263.40996168582376</c:v>
                </c:pt>
                <c:pt idx="263">
                  <c:v>264.68710089399747</c:v>
                </c:pt>
                <c:pt idx="264">
                  <c:v>265.64495530012778</c:v>
                </c:pt>
                <c:pt idx="265">
                  <c:v>266.60280970625797</c:v>
                </c:pt>
                <c:pt idx="266">
                  <c:v>267.56066411238828</c:v>
                </c:pt>
                <c:pt idx="267">
                  <c:v>268.51851851851848</c:v>
                </c:pt>
                <c:pt idx="268">
                  <c:v>269.47637292464884</c:v>
                </c:pt>
                <c:pt idx="269">
                  <c:v>270.43422733077909</c:v>
                </c:pt>
                <c:pt idx="270">
                  <c:v>271.71136653895275</c:v>
                </c:pt>
                <c:pt idx="271">
                  <c:v>272.66922094508305</c:v>
                </c:pt>
                <c:pt idx="272">
                  <c:v>273.62707535121331</c:v>
                </c:pt>
                <c:pt idx="273">
                  <c:v>274.58492975734356</c:v>
                </c:pt>
                <c:pt idx="274">
                  <c:v>275.54278416347387</c:v>
                </c:pt>
                <c:pt idx="275">
                  <c:v>276.50063856960406</c:v>
                </c:pt>
                <c:pt idx="276">
                  <c:v>277.77777777777777</c:v>
                </c:pt>
                <c:pt idx="277">
                  <c:v>278.73563218390808</c:v>
                </c:pt>
                <c:pt idx="278">
                  <c:v>279.69348659003828</c:v>
                </c:pt>
                <c:pt idx="279">
                  <c:v>280.65134099616864</c:v>
                </c:pt>
                <c:pt idx="280">
                  <c:v>281.60919540229889</c:v>
                </c:pt>
                <c:pt idx="281">
                  <c:v>282.56704980842909</c:v>
                </c:pt>
                <c:pt idx="282">
                  <c:v>283.52490421455946</c:v>
                </c:pt>
                <c:pt idx="283">
                  <c:v>284.80204342273311</c:v>
                </c:pt>
                <c:pt idx="284">
                  <c:v>285.75989782886336</c:v>
                </c:pt>
                <c:pt idx="285">
                  <c:v>286.71775223499367</c:v>
                </c:pt>
                <c:pt idx="286">
                  <c:v>287.67560664112386</c:v>
                </c:pt>
                <c:pt idx="287">
                  <c:v>288.63346104725417</c:v>
                </c:pt>
                <c:pt idx="288">
                  <c:v>289.59131545338448</c:v>
                </c:pt>
                <c:pt idx="289">
                  <c:v>290.86845466155808</c:v>
                </c:pt>
                <c:pt idx="290">
                  <c:v>291.82630906768844</c:v>
                </c:pt>
                <c:pt idx="291">
                  <c:v>292.78416347381869</c:v>
                </c:pt>
                <c:pt idx="292">
                  <c:v>293.74201787994889</c:v>
                </c:pt>
                <c:pt idx="293">
                  <c:v>294.69987228607926</c:v>
                </c:pt>
                <c:pt idx="294">
                  <c:v>295.65772669220945</c:v>
                </c:pt>
                <c:pt idx="295">
                  <c:v>296.61558109833976</c:v>
                </c:pt>
                <c:pt idx="296">
                  <c:v>297.89272030651347</c:v>
                </c:pt>
                <c:pt idx="297">
                  <c:v>298.85057471264366</c:v>
                </c:pt>
                <c:pt idx="298">
                  <c:v>299.80842911877397</c:v>
                </c:pt>
                <c:pt idx="299">
                  <c:v>300.76628352490428</c:v>
                </c:pt>
                <c:pt idx="300">
                  <c:v>301.72413793103448</c:v>
                </c:pt>
                <c:pt idx="301">
                  <c:v>302.68199233716479</c:v>
                </c:pt>
                <c:pt idx="302">
                  <c:v>303.63984674329504</c:v>
                </c:pt>
                <c:pt idx="303">
                  <c:v>304.91698595146869</c:v>
                </c:pt>
                <c:pt idx="304">
                  <c:v>305.87484035759906</c:v>
                </c:pt>
                <c:pt idx="305">
                  <c:v>306.83269476372925</c:v>
                </c:pt>
                <c:pt idx="306">
                  <c:v>307.79054916985956</c:v>
                </c:pt>
                <c:pt idx="307">
                  <c:v>308.74840357598987</c:v>
                </c:pt>
                <c:pt idx="308">
                  <c:v>309.70625798212006</c:v>
                </c:pt>
                <c:pt idx="309">
                  <c:v>310.98339719029377</c:v>
                </c:pt>
                <c:pt idx="310">
                  <c:v>311.94125159642402</c:v>
                </c:pt>
                <c:pt idx="311">
                  <c:v>312.89910600255428</c:v>
                </c:pt>
                <c:pt idx="312">
                  <c:v>313.85696040868459</c:v>
                </c:pt>
                <c:pt idx="313">
                  <c:v>314.81481481481484</c:v>
                </c:pt>
                <c:pt idx="314">
                  <c:v>315.77266922094509</c:v>
                </c:pt>
                <c:pt idx="315">
                  <c:v>316.73052362707546</c:v>
                </c:pt>
                <c:pt idx="316">
                  <c:v>318.00766283524905</c:v>
                </c:pt>
                <c:pt idx="317">
                  <c:v>318.96551724137936</c:v>
                </c:pt>
                <c:pt idx="318">
                  <c:v>319.92337164750967</c:v>
                </c:pt>
                <c:pt idx="319">
                  <c:v>320.88122605363981</c:v>
                </c:pt>
                <c:pt idx="320">
                  <c:v>321.83908045977017</c:v>
                </c:pt>
                <c:pt idx="321">
                  <c:v>322.79693486590037</c:v>
                </c:pt>
                <c:pt idx="322">
                  <c:v>323.75478927203068</c:v>
                </c:pt>
                <c:pt idx="323">
                  <c:v>325.03192848020439</c:v>
                </c:pt>
                <c:pt idx="324">
                  <c:v>325.98978288633464</c:v>
                </c:pt>
                <c:pt idx="325">
                  <c:v>326.94763729246489</c:v>
                </c:pt>
                <c:pt idx="326">
                  <c:v>327.90549169859526</c:v>
                </c:pt>
                <c:pt idx="327">
                  <c:v>328.86334610472545</c:v>
                </c:pt>
                <c:pt idx="328">
                  <c:v>329.8212005108557</c:v>
                </c:pt>
                <c:pt idx="329">
                  <c:v>331.09833971902947</c:v>
                </c:pt>
                <c:pt idx="330">
                  <c:v>332.05619412515961</c:v>
                </c:pt>
                <c:pt idx="331">
                  <c:v>333.01404853128997</c:v>
                </c:pt>
                <c:pt idx="332">
                  <c:v>333.97190293742017</c:v>
                </c:pt>
                <c:pt idx="333">
                  <c:v>334.92975734355048</c:v>
                </c:pt>
                <c:pt idx="334">
                  <c:v>335.88761174968079</c:v>
                </c:pt>
                <c:pt idx="335">
                  <c:v>336.84546615581104</c:v>
                </c:pt>
                <c:pt idx="336">
                  <c:v>338.12260536398469</c:v>
                </c:pt>
                <c:pt idx="337">
                  <c:v>339.08045977011506</c:v>
                </c:pt>
                <c:pt idx="338">
                  <c:v>340.03831417624525</c:v>
                </c:pt>
                <c:pt idx="339">
                  <c:v>340.9961685823755</c:v>
                </c:pt>
                <c:pt idx="340">
                  <c:v>341.95402298850576</c:v>
                </c:pt>
                <c:pt idx="341">
                  <c:v>342.91187739463601</c:v>
                </c:pt>
                <c:pt idx="342">
                  <c:v>343.86973180076637</c:v>
                </c:pt>
                <c:pt idx="343">
                  <c:v>345.14687100893997</c:v>
                </c:pt>
                <c:pt idx="344">
                  <c:v>346.10472541507028</c:v>
                </c:pt>
                <c:pt idx="345">
                  <c:v>347.06257982120059</c:v>
                </c:pt>
                <c:pt idx="346">
                  <c:v>348.02043422733084</c:v>
                </c:pt>
                <c:pt idx="347">
                  <c:v>348.97828863346109</c:v>
                </c:pt>
                <c:pt idx="348">
                  <c:v>349.93614303959129</c:v>
                </c:pt>
                <c:pt idx="349">
                  <c:v>351.21328224776505</c:v>
                </c:pt>
                <c:pt idx="350">
                  <c:v>352.1711366538953</c:v>
                </c:pt>
                <c:pt idx="351">
                  <c:v>353.12899106002556</c:v>
                </c:pt>
                <c:pt idx="352">
                  <c:v>354.08684546615581</c:v>
                </c:pt>
                <c:pt idx="353">
                  <c:v>355.04469987228617</c:v>
                </c:pt>
                <c:pt idx="354">
                  <c:v>356.00255427841637</c:v>
                </c:pt>
                <c:pt idx="355">
                  <c:v>356.96040868454662</c:v>
                </c:pt>
                <c:pt idx="356">
                  <c:v>358.23754789272039</c:v>
                </c:pt>
                <c:pt idx="357">
                  <c:v>359.19540229885058</c:v>
                </c:pt>
                <c:pt idx="358">
                  <c:v>360.15325670498089</c:v>
                </c:pt>
                <c:pt idx="359">
                  <c:v>361.11111111111109</c:v>
                </c:pt>
                <c:pt idx="360">
                  <c:v>362.06896551724145</c:v>
                </c:pt>
                <c:pt idx="361">
                  <c:v>363.0268199233717</c:v>
                </c:pt>
                <c:pt idx="362">
                  <c:v>364.30395913154535</c:v>
                </c:pt>
                <c:pt idx="363">
                  <c:v>365.26181353767561</c:v>
                </c:pt>
                <c:pt idx="364">
                  <c:v>366.21966794380597</c:v>
                </c:pt>
                <c:pt idx="365">
                  <c:v>367.17752234993617</c:v>
                </c:pt>
                <c:pt idx="366">
                  <c:v>368.13537675606642</c:v>
                </c:pt>
                <c:pt idx="367">
                  <c:v>369.09323116219667</c:v>
                </c:pt>
                <c:pt idx="368">
                  <c:v>370.05108556832698</c:v>
                </c:pt>
                <c:pt idx="369">
                  <c:v>371.32822477650069</c:v>
                </c:pt>
                <c:pt idx="370">
                  <c:v>372.28607918263089</c:v>
                </c:pt>
                <c:pt idx="371">
                  <c:v>373.24393358876125</c:v>
                </c:pt>
                <c:pt idx="372">
                  <c:v>374.2017879948915</c:v>
                </c:pt>
                <c:pt idx="373">
                  <c:v>375.15964240102176</c:v>
                </c:pt>
                <c:pt idx="374">
                  <c:v>376.11749680715201</c:v>
                </c:pt>
                <c:pt idx="375">
                  <c:v>377.0753512132822</c:v>
                </c:pt>
                <c:pt idx="376">
                  <c:v>378.35249042145597</c:v>
                </c:pt>
                <c:pt idx="377">
                  <c:v>379.31034482758622</c:v>
                </c:pt>
                <c:pt idx="378">
                  <c:v>380.26819923371647</c:v>
                </c:pt>
                <c:pt idx="379">
                  <c:v>381.22605363984678</c:v>
                </c:pt>
                <c:pt idx="380">
                  <c:v>382.18390804597709</c:v>
                </c:pt>
                <c:pt idx="381">
                  <c:v>383.14176245210729</c:v>
                </c:pt>
                <c:pt idx="382">
                  <c:v>384.41890166028099</c:v>
                </c:pt>
                <c:pt idx="383">
                  <c:v>385.3767560664113</c:v>
                </c:pt>
                <c:pt idx="384">
                  <c:v>386.33461047254156</c:v>
                </c:pt>
                <c:pt idx="385">
                  <c:v>387.29246487867181</c:v>
                </c:pt>
                <c:pt idx="386">
                  <c:v>388.250319284802</c:v>
                </c:pt>
                <c:pt idx="387">
                  <c:v>389.20817369093237</c:v>
                </c:pt>
                <c:pt idx="388">
                  <c:v>390.16602809706262</c:v>
                </c:pt>
                <c:pt idx="389">
                  <c:v>391.44316730523627</c:v>
                </c:pt>
                <c:pt idx="390">
                  <c:v>392.40102171136658</c:v>
                </c:pt>
                <c:pt idx="391">
                  <c:v>393.35887611749689</c:v>
                </c:pt>
                <c:pt idx="392">
                  <c:v>394.31673052362709</c:v>
                </c:pt>
                <c:pt idx="393">
                  <c:v>395.27458492975734</c:v>
                </c:pt>
                <c:pt idx="394">
                  <c:v>396.23243933588759</c:v>
                </c:pt>
                <c:pt idx="395">
                  <c:v>397.1902937420179</c:v>
                </c:pt>
                <c:pt idx="396">
                  <c:v>398.46743295019161</c:v>
                </c:pt>
                <c:pt idx="397">
                  <c:v>399.4252873563218</c:v>
                </c:pt>
                <c:pt idx="398">
                  <c:v>400.38314176245217</c:v>
                </c:pt>
                <c:pt idx="399">
                  <c:v>401.34099616858242</c:v>
                </c:pt>
                <c:pt idx="400">
                  <c:v>402.29885057471267</c:v>
                </c:pt>
                <c:pt idx="401">
                  <c:v>403.25670498084298</c:v>
                </c:pt>
                <c:pt idx="402">
                  <c:v>404.53384418901669</c:v>
                </c:pt>
                <c:pt idx="403">
                  <c:v>405.49169859514689</c:v>
                </c:pt>
                <c:pt idx="404">
                  <c:v>406.44955300127714</c:v>
                </c:pt>
                <c:pt idx="405">
                  <c:v>407.40740740740739</c:v>
                </c:pt>
                <c:pt idx="406">
                  <c:v>408.3652618135377</c:v>
                </c:pt>
                <c:pt idx="407">
                  <c:v>409.32311621966801</c:v>
                </c:pt>
                <c:pt idx="408">
                  <c:v>410.2809706257982</c:v>
                </c:pt>
                <c:pt idx="409">
                  <c:v>411.55810983397197</c:v>
                </c:pt>
                <c:pt idx="410">
                  <c:v>412.51596424010222</c:v>
                </c:pt>
                <c:pt idx="411">
                  <c:v>413.47381864623247</c:v>
                </c:pt>
                <c:pt idx="412">
                  <c:v>414.43167305236278</c:v>
                </c:pt>
                <c:pt idx="413">
                  <c:v>415.38952745849292</c:v>
                </c:pt>
                <c:pt idx="414">
                  <c:v>416.34738186462329</c:v>
                </c:pt>
                <c:pt idx="415">
                  <c:v>417.30523627075354</c:v>
                </c:pt>
                <c:pt idx="416">
                  <c:v>418.58237547892719</c:v>
                </c:pt>
                <c:pt idx="417">
                  <c:v>419.5402298850575</c:v>
                </c:pt>
                <c:pt idx="418">
                  <c:v>420.49808429118781</c:v>
                </c:pt>
                <c:pt idx="419">
                  <c:v>421.455938697318</c:v>
                </c:pt>
                <c:pt idx="420">
                  <c:v>422.41379310344837</c:v>
                </c:pt>
                <c:pt idx="421">
                  <c:v>423.37164750957857</c:v>
                </c:pt>
                <c:pt idx="422">
                  <c:v>424.64878671775227</c:v>
                </c:pt>
                <c:pt idx="423">
                  <c:v>425.60664112388258</c:v>
                </c:pt>
                <c:pt idx="424">
                  <c:v>426.56449553001272</c:v>
                </c:pt>
                <c:pt idx="425">
                  <c:v>427.52234993614309</c:v>
                </c:pt>
                <c:pt idx="426">
                  <c:v>428.48020434227334</c:v>
                </c:pt>
                <c:pt idx="427">
                  <c:v>429.43805874840359</c:v>
                </c:pt>
                <c:pt idx="428">
                  <c:v>430.3959131545339</c:v>
                </c:pt>
                <c:pt idx="429">
                  <c:v>431.67305236270761</c:v>
                </c:pt>
                <c:pt idx="430">
                  <c:v>432.6309067688378</c:v>
                </c:pt>
                <c:pt idx="431">
                  <c:v>433.58876117496811</c:v>
                </c:pt>
                <c:pt idx="432">
                  <c:v>434.54661558109837</c:v>
                </c:pt>
                <c:pt idx="433">
                  <c:v>435.50446998722862</c:v>
                </c:pt>
                <c:pt idx="434">
                  <c:v>436.46232439335898</c:v>
                </c:pt>
                <c:pt idx="435">
                  <c:v>437.73946360153252</c:v>
                </c:pt>
                <c:pt idx="436">
                  <c:v>438.69731800766289</c:v>
                </c:pt>
                <c:pt idx="437">
                  <c:v>439.65517241379314</c:v>
                </c:pt>
                <c:pt idx="438">
                  <c:v>440.61302681992339</c:v>
                </c:pt>
                <c:pt idx="439">
                  <c:v>441.5708812260537</c:v>
                </c:pt>
                <c:pt idx="440">
                  <c:v>442.5287356321839</c:v>
                </c:pt>
                <c:pt idx="441">
                  <c:v>443.4865900383142</c:v>
                </c:pt>
                <c:pt idx="442">
                  <c:v>444.76372924648791</c:v>
                </c:pt>
                <c:pt idx="443">
                  <c:v>445.72158365261816</c:v>
                </c:pt>
                <c:pt idx="444">
                  <c:v>446.67943805874842</c:v>
                </c:pt>
                <c:pt idx="445">
                  <c:v>447.63729246487878</c:v>
                </c:pt>
                <c:pt idx="446">
                  <c:v>448.59514687100892</c:v>
                </c:pt>
                <c:pt idx="447">
                  <c:v>449.55300127713929</c:v>
                </c:pt>
                <c:pt idx="448">
                  <c:v>450.51085568326948</c:v>
                </c:pt>
                <c:pt idx="449">
                  <c:v>451.78799489144319</c:v>
                </c:pt>
                <c:pt idx="450">
                  <c:v>452.7458492975735</c:v>
                </c:pt>
                <c:pt idx="451">
                  <c:v>453.7037037037037</c:v>
                </c:pt>
                <c:pt idx="452">
                  <c:v>454.661558109834</c:v>
                </c:pt>
                <c:pt idx="453">
                  <c:v>455.61941251596431</c:v>
                </c:pt>
                <c:pt idx="454">
                  <c:v>456.57726692209457</c:v>
                </c:pt>
                <c:pt idx="455">
                  <c:v>457.85440613026822</c:v>
                </c:pt>
                <c:pt idx="456">
                  <c:v>458.81226053639858</c:v>
                </c:pt>
                <c:pt idx="457">
                  <c:v>459.77011494252872</c:v>
                </c:pt>
                <c:pt idx="458">
                  <c:v>460.72796934865909</c:v>
                </c:pt>
                <c:pt idx="459">
                  <c:v>461.68582375478928</c:v>
                </c:pt>
                <c:pt idx="460">
                  <c:v>462.64367816091954</c:v>
                </c:pt>
                <c:pt idx="461">
                  <c:v>463.6015325670499</c:v>
                </c:pt>
                <c:pt idx="462">
                  <c:v>464.87867177522349</c:v>
                </c:pt>
                <c:pt idx="463">
                  <c:v>465.8365261813538</c:v>
                </c:pt>
                <c:pt idx="464">
                  <c:v>466.79438058748411</c:v>
                </c:pt>
                <c:pt idx="465">
                  <c:v>467.75223499361437</c:v>
                </c:pt>
                <c:pt idx="466">
                  <c:v>468.71008939974462</c:v>
                </c:pt>
                <c:pt idx="467">
                  <c:v>469.66794380587487</c:v>
                </c:pt>
                <c:pt idx="468">
                  <c:v>470.62579821200512</c:v>
                </c:pt>
                <c:pt idx="469">
                  <c:v>471.90293742017889</c:v>
                </c:pt>
                <c:pt idx="470">
                  <c:v>472.86079182630908</c:v>
                </c:pt>
                <c:pt idx="471">
                  <c:v>473.81864623243933</c:v>
                </c:pt>
                <c:pt idx="472">
                  <c:v>474.7765006385697</c:v>
                </c:pt>
                <c:pt idx="473">
                  <c:v>475.7343550446999</c:v>
                </c:pt>
                <c:pt idx="474">
                  <c:v>476.69220945083021</c:v>
                </c:pt>
                <c:pt idx="475">
                  <c:v>477.96934865900391</c:v>
                </c:pt>
                <c:pt idx="476">
                  <c:v>478.92720306513417</c:v>
                </c:pt>
                <c:pt idx="477">
                  <c:v>479.88505747126442</c:v>
                </c:pt>
                <c:pt idx="478">
                  <c:v>480.84291187739461</c:v>
                </c:pt>
                <c:pt idx="479">
                  <c:v>481.80076628352492</c:v>
                </c:pt>
                <c:pt idx="480">
                  <c:v>482.75862068965523</c:v>
                </c:pt>
                <c:pt idx="481">
                  <c:v>483.71647509578548</c:v>
                </c:pt>
                <c:pt idx="482">
                  <c:v>484.99361430395913</c:v>
                </c:pt>
                <c:pt idx="483">
                  <c:v>485.9514687100895</c:v>
                </c:pt>
                <c:pt idx="484">
                  <c:v>486.9093231162197</c:v>
                </c:pt>
                <c:pt idx="485">
                  <c:v>487.86717752235</c:v>
                </c:pt>
                <c:pt idx="486">
                  <c:v>488.8250319284802</c:v>
                </c:pt>
                <c:pt idx="487">
                  <c:v>489.78288633461051</c:v>
                </c:pt>
                <c:pt idx="488">
                  <c:v>490.74074074074082</c:v>
                </c:pt>
                <c:pt idx="489">
                  <c:v>492.01787994891441</c:v>
                </c:pt>
                <c:pt idx="490">
                  <c:v>492.97573435504472</c:v>
                </c:pt>
                <c:pt idx="491">
                  <c:v>493.93358876117503</c:v>
                </c:pt>
                <c:pt idx="492">
                  <c:v>494.89144316730528</c:v>
                </c:pt>
                <c:pt idx="493">
                  <c:v>495.84929757343554</c:v>
                </c:pt>
                <c:pt idx="494">
                  <c:v>496.80715197956579</c:v>
                </c:pt>
                <c:pt idx="495">
                  <c:v>498.0842911877395</c:v>
                </c:pt>
                <c:pt idx="496">
                  <c:v>499.0421455938698</c:v>
                </c:pt>
                <c:pt idx="497">
                  <c:v>500</c:v>
                </c:pt>
                <c:pt idx="498">
                  <c:v>498.79807692307696</c:v>
                </c:pt>
                <c:pt idx="499">
                  <c:v>500</c:v>
                </c:pt>
                <c:pt idx="500">
                  <c:v>500</c:v>
                </c:pt>
              </c:numCache>
            </c:numRef>
          </c:xVal>
          <c:yVal>
            <c:numRef>
              <c:f>'sheet 1'!$V$39:$V$840</c:f>
              <c:numCache>
                <c:formatCode>General</c:formatCode>
                <c:ptCount val="802"/>
                <c:pt idx="0">
                  <c:v>8261.275615302995</c:v>
                </c:pt>
                <c:pt idx="1">
                  <c:v>8120.9785035607238</c:v>
                </c:pt>
                <c:pt idx="2">
                  <c:v>7984.6255030918965</c:v>
                </c:pt>
                <c:pt idx="3">
                  <c:v>7852.0774261395982</c:v>
                </c:pt>
                <c:pt idx="4">
                  <c:v>7681.0352214477662</c:v>
                </c:pt>
                <c:pt idx="5">
                  <c:v>7556.854758602065</c:v>
                </c:pt>
                <c:pt idx="6">
                  <c:v>7436.0540461493865</c:v>
                </c:pt>
                <c:pt idx="7">
                  <c:v>7318.5163007626479</c:v>
                </c:pt>
                <c:pt idx="8">
                  <c:v>7204.129336473492</c:v>
                </c:pt>
                <c:pt idx="9">
                  <c:v>7092.7853694815722</c:v>
                </c:pt>
                <c:pt idx="10">
                  <c:v>6984.3808315387814</c:v>
                </c:pt>
                <c:pt idx="11">
                  <c:v>6844.2424238090416</c:v>
                </c:pt>
                <c:pt idx="12">
                  <c:v>6742.3161475584147</c:v>
                </c:pt>
                <c:pt idx="13">
                  <c:v>6643.0122858530594</c:v>
                </c:pt>
                <c:pt idx="14">
                  <c:v>6546.2435743573624</c:v>
                </c:pt>
                <c:pt idx="15">
                  <c:v>6451.9260991020819</c:v>
                </c:pt>
                <c:pt idx="16">
                  <c:v>6359.9791561221118</c:v>
                </c:pt>
                <c:pt idx="17">
                  <c:v>6240.936981608289</c:v>
                </c:pt>
                <c:pt idx="18">
                  <c:v>6154.2244700479459</c:v>
                </c:pt>
                <c:pt idx="19">
                  <c:v>6069.6349815995691</c:v>
                </c:pt>
                <c:pt idx="20">
                  <c:v>5987.1002454299978</c:v>
                </c:pt>
                <c:pt idx="21">
                  <c:v>5906.5545498806696</c:v>
                </c:pt>
                <c:pt idx="22">
                  <c:v>5827.9346368371844</c:v>
                </c:pt>
                <c:pt idx="23">
                  <c:v>5751.1796007216381</c:v>
                </c:pt>
                <c:pt idx="24">
                  <c:v>5651.6394158390958</c:v>
                </c:pt>
                <c:pt idx="25">
                  <c:v>5579.0114040176477</c:v>
                </c:pt>
                <c:pt idx="26">
                  <c:v>5508.0610320882697</c:v>
                </c:pt>
                <c:pt idx="27">
                  <c:v>5438.7365253720091</c:v>
                </c:pt>
                <c:pt idx="28">
                  <c:v>5370.9879929356503</c:v>
                </c:pt>
                <c:pt idx="29">
                  <c:v>5304.7673514104954</c:v>
                </c:pt>
                <c:pt idx="30">
                  <c:v>5240.0282521115114</c:v>
                </c:pt>
                <c:pt idx="31">
                  <c:v>5155.9370745878659</c:v>
                </c:pt>
                <c:pt idx="32">
                  <c:v>5094.4838902225138</c:v>
                </c:pt>
                <c:pt idx="33">
                  <c:v>5034.369407729555</c:v>
                </c:pt>
                <c:pt idx="34">
                  <c:v>4975.5540272793223</c:v>
                </c:pt>
                <c:pt idx="35">
                  <c:v>4917.9995449311846</c:v>
                </c:pt>
                <c:pt idx="36">
                  <c:v>4861.6690974720768</c:v>
                </c:pt>
                <c:pt idx="37">
                  <c:v>4788.4045794698741</c:v>
                </c:pt>
                <c:pt idx="38">
                  <c:v>4734.7939967104703</c:v>
                </c:pt>
                <c:pt idx="39">
                  <c:v>4682.2935931505781</c:v>
                </c:pt>
                <c:pt idx="40">
                  <c:v>4630.871733344864</c:v>
                </c:pt>
                <c:pt idx="41">
                  <c:v>4580.4978656885996</c:v>
                </c:pt>
                <c:pt idx="42">
                  <c:v>4531.1424805063334</c:v>
                </c:pt>
                <c:pt idx="43">
                  <c:v>4482.7770699039247</c:v>
                </c:pt>
                <c:pt idx="44">
                  <c:v>4419.7823424434391</c:v>
                </c:pt>
                <c:pt idx="45">
                  <c:v>4373.6213509141808</c:v>
                </c:pt>
                <c:pt idx="46">
                  <c:v>4328.3620608058427</c:v>
                </c:pt>
                <c:pt idx="47">
                  <c:v>4283.9798809554759</c:v>
                </c:pt>
                <c:pt idx="48">
                  <c:v>4240.4510345548915</c:v>
                </c:pt>
                <c:pt idx="49">
                  <c:v>4197.7525284888716</c:v>
                </c:pt>
                <c:pt idx="50">
                  <c:v>4155.8621239381919</c:v>
                </c:pt>
                <c:pt idx="51">
                  <c:v>4101.228216735477</c:v>
                </c:pt>
                <c:pt idx="52">
                  <c:v>4061.1409263688638</c:v>
                </c:pt>
                <c:pt idx="53">
                  <c:v>4021.7927024518467</c:v>
                </c:pt>
                <c:pt idx="54">
                  <c:v>3983.1642635220151</c:v>
                </c:pt>
                <c:pt idx="55">
                  <c:v>3945.2369448024583</c:v>
                </c:pt>
                <c:pt idx="56">
                  <c:v>3907.9926756227701</c:v>
                </c:pt>
                <c:pt idx="57">
                  <c:v>3859.366007541475</c:v>
                </c:pt>
                <c:pt idx="58">
                  <c:v>3823.6484225085119</c:v>
                </c:pt>
                <c:pt idx="59">
                  <c:v>3788.5576704670393</c:v>
                </c:pt>
                <c:pt idx="60">
                  <c:v>3754.0780157388299</c:v>
                </c:pt>
                <c:pt idx="61">
                  <c:v>3720.1942107928817</c:v>
                </c:pt>
                <c:pt idx="62">
                  <c:v>3686.891478812785</c:v>
                </c:pt>
                <c:pt idx="63">
                  <c:v>3654.1554969535973</c:v>
                </c:pt>
                <c:pt idx="64">
                  <c:v>3611.3651948833867</c:v>
                </c:pt>
                <c:pt idx="65">
                  <c:v>3579.8983609088987</c:v>
                </c:pt>
                <c:pt idx="66">
                  <c:v>3548.9536111030975</c:v>
                </c:pt>
                <c:pt idx="67">
                  <c:v>3518.5184118977832</c:v>
                </c:pt>
                <c:pt idx="68">
                  <c:v>3488.5806048870581</c:v>
                </c:pt>
                <c:pt idx="69">
                  <c:v>3459.1283938197275</c:v>
                </c:pt>
                <c:pt idx="70">
                  <c:v>3420.5944151338654</c:v>
                </c:pt>
                <c:pt idx="71">
                  <c:v>3392.2313285789069</c:v>
                </c:pt>
                <c:pt idx="72">
                  <c:v>3364.3169756894686</c:v>
                </c:pt>
                <c:pt idx="73">
                  <c:v>3336.8409910704318</c:v>
                </c:pt>
                <c:pt idx="74">
                  <c:v>3309.7933100924811</c:v>
                </c:pt>
                <c:pt idx="75">
                  <c:v>3283.1641587311333</c:v>
                </c:pt>
                <c:pt idx="76">
                  <c:v>3256.9440437894641</c:v>
                </c:pt>
                <c:pt idx="77">
                  <c:v>3222.6042684900881</c:v>
                </c:pt>
                <c:pt idx="78">
                  <c:v>3197.3031615909322</c:v>
                </c:pt>
                <c:pt idx="79">
                  <c:v>3172.3813571233122</c:v>
                </c:pt>
                <c:pt idx="80">
                  <c:v>3147.8304745029591</c:v>
                </c:pt>
                <c:pt idx="81">
                  <c:v>3123.6423676866161</c:v>
                </c:pt>
                <c:pt idx="82">
                  <c:v>3099.8091174856536</c:v>
                </c:pt>
                <c:pt idx="83">
                  <c:v>3076.3230241624901</c:v>
                </c:pt>
                <c:pt idx="84">
                  <c:v>3045.5353433770251</c:v>
                </c:pt>
                <c:pt idx="85">
                  <c:v>3022.8305191651802</c:v>
                </c:pt>
                <c:pt idx="86">
                  <c:v>3000.4486813209155</c:v>
                </c:pt>
                <c:pt idx="87">
                  <c:v>2978.3830019134621</c:v>
                </c:pt>
                <c:pt idx="88">
                  <c:v>2956.6268373052812</c:v>
                </c:pt>
                <c:pt idx="89">
                  <c:v>2935.1737222946754</c:v>
                </c:pt>
                <c:pt idx="90">
                  <c:v>2907.0301278608595</c:v>
                </c:pt>
                <c:pt idx="91">
                  <c:v>2886.259946555394</c:v>
                </c:pt>
                <c:pt idx="92">
                  <c:v>2865.7724818618285</c:v>
                </c:pt>
                <c:pt idx="93">
                  <c:v>2845.5619790707751</c:v>
                </c:pt>
                <c:pt idx="94">
                  <c:v>2825.6228340196171</c:v>
                </c:pt>
                <c:pt idx="95">
                  <c:v>2805.9495884331905</c:v>
                </c:pt>
                <c:pt idx="96">
                  <c:v>2786.536925427602</c:v>
                </c:pt>
                <c:pt idx="97">
                  <c:v>2761.0497918539195</c:v>
                </c:pt>
                <c:pt idx="98">
                  <c:v>2742.2252401347077</c:v>
                </c:pt>
                <c:pt idx="99">
                  <c:v>2723.6445146123556</c:v>
                </c:pt>
                <c:pt idx="100">
                  <c:v>2705.3028628487077</c:v>
                </c:pt>
                <c:pt idx="101">
                  <c:v>2687.195652324162</c:v>
                </c:pt>
                <c:pt idx="102">
                  <c:v>2669.3183668389511</c:v>
                </c:pt>
                <c:pt idx="103">
                  <c:v>2651.6666030370579</c:v>
                </c:pt>
                <c:pt idx="104">
                  <c:v>2628.4743233340109</c:v>
                </c:pt>
                <c:pt idx="105">
                  <c:v>2611.332261581857</c:v>
                </c:pt>
                <c:pt idx="106">
                  <c:v>2594.4018163688738</c:v>
                </c:pt>
                <c:pt idx="107">
                  <c:v>2577.6790359515171</c:v>
                </c:pt>
                <c:pt idx="108">
                  <c:v>2561.1600647797832</c:v>
                </c:pt>
                <c:pt idx="109">
                  <c:v>2544.8411406980777</c:v>
                </c:pt>
                <c:pt idx="110">
                  <c:v>2523.3874266060116</c:v>
                </c:pt>
                <c:pt idx="111">
                  <c:v>2507.5211529943899</c:v>
                </c:pt>
                <c:pt idx="112">
                  <c:v>2491.8430263850655</c:v>
                </c:pt>
                <c:pt idx="113">
                  <c:v>2476.3496591827197</c:v>
                </c:pt>
                <c:pt idx="114">
                  <c:v>2461.0377437451489</c:v>
                </c:pt>
                <c:pt idx="115">
                  <c:v>2445.9040501177042</c:v>
                </c:pt>
                <c:pt idx="116">
                  <c:v>2430.9454238411231</c:v>
                </c:pt>
                <c:pt idx="117">
                  <c:v>2411.267600774358</c:v>
                </c:pt>
                <c:pt idx="118">
                  <c:v>2396.705605967757</c:v>
                </c:pt>
                <c:pt idx="119">
                  <c:v>2382.3086821604334</c:v>
                </c:pt>
                <c:pt idx="120">
                  <c:v>2368.0739783835029</c:v>
                </c:pt>
                <c:pt idx="121">
                  <c:v>2353.9987086069714</c:v>
                </c:pt>
                <c:pt idx="122">
                  <c:v>2340.0801499551631</c:v>
                </c:pt>
                <c:pt idx="123">
                  <c:v>2326.3156409784269</c:v>
                </c:pt>
                <c:pt idx="124">
                  <c:v>2308.1981068124323</c:v>
                </c:pt>
                <c:pt idx="125">
                  <c:v>2294.7830296095103</c:v>
                </c:pt>
                <c:pt idx="126">
                  <c:v>2281.513553110432</c:v>
                </c:pt>
                <c:pt idx="127">
                  <c:v>2268.3872633599199</c:v>
                </c:pt>
                <c:pt idx="128">
                  <c:v>2255.4017994830838</c:v>
                </c:pt>
                <c:pt idx="129">
                  <c:v>2242.5548522705731</c:v>
                </c:pt>
                <c:pt idx="130">
                  <c:v>2225.6371624668072</c:v>
                </c:pt>
                <c:pt idx="131">
                  <c:v>2213.1047205777259</c:v>
                </c:pt>
                <c:pt idx="132">
                  <c:v>2200.7034538310813</c:v>
                </c:pt>
                <c:pt idx="133">
                  <c:v>2188.4312615815224</c:v>
                </c:pt>
                <c:pt idx="134">
                  <c:v>2176.2860880014082</c:v>
                </c:pt>
                <c:pt idx="135">
                  <c:v>2164.2659209171125</c:v>
                </c:pt>
                <c:pt idx="136">
                  <c:v>2152.3687906801952</c:v>
                </c:pt>
                <c:pt idx="137">
                  <c:v>2136.6940141269338</c:v>
                </c:pt>
                <c:pt idx="138">
                  <c:v>2125.0765408623265</c:v>
                </c:pt>
                <c:pt idx="139">
                  <c:v>2113.5758322579704</c:v>
                </c:pt>
                <c:pt idx="140">
                  <c:v>2102.1900906970368</c:v>
                </c:pt>
                <c:pt idx="141">
                  <c:v>2090.91755561023</c:v>
                </c:pt>
                <c:pt idx="142">
                  <c:v>2079.7565025424219</c:v>
                </c:pt>
                <c:pt idx="143">
                  <c:v>2065.0456002006304</c:v>
                </c:pt>
                <c:pt idx="144">
                  <c:v>2054.1381617588772</c:v>
                </c:pt>
                <c:pt idx="145">
                  <c:v>2043.3367065383056</c:v>
                </c:pt>
                <c:pt idx="146">
                  <c:v>2032.6396564395991</c:v>
                </c:pt>
                <c:pt idx="147">
                  <c:v>2022.0454649385476</c:v>
                </c:pt>
                <c:pt idx="148">
                  <c:v>2011.5526163108843</c:v>
                </c:pt>
                <c:pt idx="149">
                  <c:v>2001.1596248792148</c:v>
                </c:pt>
                <c:pt idx="150">
                  <c:v>1987.455123350408</c:v>
                </c:pt>
                <c:pt idx="151">
                  <c:v>1977.2895177514908</c:v>
                </c:pt>
                <c:pt idx="152">
                  <c:v>1967.2190248552547</c:v>
                </c:pt>
                <c:pt idx="153">
                  <c:v>1957.2422809935495</c:v>
                </c:pt>
                <c:pt idx="154">
                  <c:v>1947.3579488738724</c:v>
                </c:pt>
                <c:pt idx="155">
                  <c:v>1937.5647169508202</c:v>
                </c:pt>
                <c:pt idx="156">
                  <c:v>1927.8612988149946</c:v>
                </c:pt>
                <c:pt idx="157">
                  <c:v>1915.0609407597021</c:v>
                </c:pt>
                <c:pt idx="158">
                  <c:v>1905.5622222026291</c:v>
                </c:pt>
                <c:pt idx="159">
                  <c:v>1896.149203431843</c:v>
                </c:pt>
                <c:pt idx="160">
                  <c:v>1886.8207003009645</c:v>
                </c:pt>
                <c:pt idx="161">
                  <c:v>1877.575550813468</c:v>
                </c:pt>
                <c:pt idx="162">
                  <c:v>1868.4126146101812</c:v>
                </c:pt>
                <c:pt idx="163">
                  <c:v>1856.321322198924</c:v>
                </c:pt>
                <c:pt idx="164">
                  <c:v>1847.3459000972612</c:v>
                </c:pt>
                <c:pt idx="165">
                  <c:v>1838.4490400498189</c:v>
                </c:pt>
                <c:pt idx="166">
                  <c:v>1829.6296898666556</c:v>
                </c:pt>
                <c:pt idx="167">
                  <c:v>1820.8868164858598</c:v>
                </c:pt>
                <c:pt idx="168">
                  <c:v>1812.2194055420039</c:v>
                </c:pt>
                <c:pt idx="169">
                  <c:v>1803.6264609460127</c:v>
                </c:pt>
                <c:pt idx="170">
                  <c:v>1792.2833497957106</c:v>
                </c:pt>
                <c:pt idx="171">
                  <c:v>1783.8603859527338</c:v>
                </c:pt>
                <c:pt idx="172">
                  <c:v>1775.5086949841309</c:v>
                </c:pt>
                <c:pt idx="173">
                  <c:v>1767.2273554068286</c:v>
                </c:pt>
                <c:pt idx="174">
                  <c:v>1759.0154619524615</c:v>
                </c:pt>
                <c:pt idx="175">
                  <c:v>1750.8721252120097</c:v>
                </c:pt>
                <c:pt idx="176">
                  <c:v>1742.7964712895887</c:v>
                </c:pt>
                <c:pt idx="177">
                  <c:v>1732.1327350471047</c:v>
                </c:pt>
                <c:pt idx="178">
                  <c:v>1724.2116938485399</c:v>
                </c:pt>
                <c:pt idx="179">
                  <c:v>1716.355530254091</c:v>
                </c:pt>
                <c:pt idx="180">
                  <c:v>1708.5634338024081</c:v>
                </c:pt>
                <c:pt idx="181">
                  <c:v>1700.8346078427458</c:v>
                </c:pt>
                <c:pt idx="182">
                  <c:v>1693.1682692408569</c:v>
                </c:pt>
                <c:pt idx="183">
                  <c:v>1683.0423581663194</c:v>
                </c:pt>
                <c:pt idx="184">
                  <c:v>1675.5188516699952</c:v>
                </c:pt>
                <c:pt idx="185">
                  <c:v>1668.0553160750119</c:v>
                </c:pt>
                <c:pt idx="186">
                  <c:v>1660.6510235959063</c:v>
                </c:pt>
                <c:pt idx="187">
                  <c:v>1653.3052585148075</c:v>
                </c:pt>
                <c:pt idx="188">
                  <c:v>1646.0173169306815</c:v>
                </c:pt>
                <c:pt idx="189">
                  <c:v>1638.7865065147339</c:v>
                </c:pt>
                <c:pt idx="190">
                  <c:v>1629.2331212407705</c:v>
                </c:pt>
                <c:pt idx="191">
                  <c:v>1622.1329877231246</c:v>
                </c:pt>
                <c:pt idx="192">
                  <c:v>1615.0877581678167</c:v>
                </c:pt>
                <c:pt idx="193">
                  <c:v>1608.0967877085654</c:v>
                </c:pt>
                <c:pt idx="194">
                  <c:v>1601.1594418438967</c:v>
                </c:pt>
                <c:pt idx="195">
                  <c:v>1594.2750962277414</c:v>
                </c:pt>
                <c:pt idx="196">
                  <c:v>1587.4431364650598</c:v>
                </c:pt>
                <c:pt idx="197">
                  <c:v>1578.4143022041674</c:v>
                </c:pt>
                <c:pt idx="198">
                  <c:v>1571.7022411984665</c:v>
                </c:pt>
                <c:pt idx="199">
                  <c:v>1565.0405874049477</c:v>
                </c:pt>
                <c:pt idx="200">
                  <c:v>1558.4287673041699</c:v>
                </c:pt>
                <c:pt idx="201">
                  <c:v>1551.8662163168453</c:v>
                </c:pt>
                <c:pt idx="202">
                  <c:v>1545.3523786281789</c:v>
                </c:pt>
                <c:pt idx="203">
                  <c:v>1536.7420933534572</c:v>
                </c:pt>
                <c:pt idx="204">
                  <c:v>1530.3398064820558</c:v>
                </c:pt>
                <c:pt idx="205">
                  <c:v>1523.9844413194346</c:v>
                </c:pt>
                <c:pt idx="206">
                  <c:v>1517.6754780982878</c:v>
                </c:pt>
                <c:pt idx="207">
                  <c:v>1511.412404945605</c:v>
                </c:pt>
                <c:pt idx="208">
                  <c:v>1505.194717731209</c:v>
                </c:pt>
                <c:pt idx="209">
                  <c:v>1499.0219199197497</c:v>
                </c:pt>
                <c:pt idx="210">
                  <c:v>1490.8605065209476</c:v>
                </c:pt>
                <c:pt idx="211">
                  <c:v>1484.7905612644613</c:v>
                </c:pt>
                <c:pt idx="212">
                  <c:v>1478.7639033119985</c:v>
                </c:pt>
                <c:pt idx="213">
                  <c:v>1472.7800674093016</c:v>
                </c:pt>
                <c:pt idx="214">
                  <c:v>1466.8385951623973</c:v>
                </c:pt>
                <c:pt idx="215">
                  <c:v>1460.9390349095092</c:v>
                </c:pt>
                <c:pt idx="216">
                  <c:v>1453.1373827132124</c:v>
                </c:pt>
                <c:pt idx="217">
                  <c:v>1447.3338975347931</c:v>
                </c:pt>
                <c:pt idx="218">
                  <c:v>1441.5708658452827</c:v>
                </c:pt>
                <c:pt idx="219">
                  <c:v>1435.8478637437768</c:v>
                </c:pt>
                <c:pt idx="220">
                  <c:v>1430.1644734248871</c:v>
                </c:pt>
                <c:pt idx="221">
                  <c:v>1424.5202830675491</c:v>
                </c:pt>
                <c:pt idx="222">
                  <c:v>1418.9148867262511</c:v>
                </c:pt>
                <c:pt idx="223">
                  <c:v>1411.5006803400975</c:v>
                </c:pt>
                <c:pt idx="224">
                  <c:v>1405.9842569048742</c:v>
                </c:pt>
                <c:pt idx="225">
                  <c:v>1400.5053154194989</c:v>
                </c:pt>
                <c:pt idx="226">
                  <c:v>1395.0634741987978</c:v>
                </c:pt>
                <c:pt idx="227">
                  <c:v>1389.6583568915748</c:v>
                </c:pt>
                <c:pt idx="228">
                  <c:v>1384.2895923858612</c:v>
                </c:pt>
                <c:pt idx="229">
                  <c:v>1378.9568147161831</c:v>
                </c:pt>
                <c:pt idx="230">
                  <c:v>1371.90180093512</c:v>
                </c:pt>
                <c:pt idx="231">
                  <c:v>1366.6515975837995</c:v>
                </c:pt>
                <c:pt idx="232">
                  <c:v>1361.4361972016281</c:v>
                </c:pt>
                <c:pt idx="233">
                  <c:v>1356.2552551000633</c:v>
                </c:pt>
                <c:pt idx="234">
                  <c:v>1351.1084312745693</c:v>
                </c:pt>
                <c:pt idx="235">
                  <c:v>1345.9953903235664</c:v>
                </c:pt>
                <c:pt idx="236">
                  <c:v>1339.2299822809266</c:v>
                </c:pt>
                <c:pt idx="237">
                  <c:v>1334.1944889625472</c:v>
                </c:pt>
                <c:pt idx="238">
                  <c:v>1329.1916927501768</c:v>
                </c:pt>
                <c:pt idx="239">
                  <c:v>1324.2212772920786</c:v>
                </c:pt>
                <c:pt idx="240">
                  <c:v>1319.2829304346928</c:v>
                </c:pt>
                <c:pt idx="241">
                  <c:v>1314.3763441515964</c:v>
                </c:pt>
                <c:pt idx="242">
                  <c:v>1309.5012144739171</c:v>
                </c:pt>
                <c:pt idx="243">
                  <c:v>1303.0494561508131</c:v>
                </c:pt>
                <c:pt idx="244">
                  <c:v>1298.2465654024541</c:v>
                </c:pt>
                <c:pt idx="245">
                  <c:v>1293.4741464693473</c:v>
                </c:pt>
                <c:pt idx="246">
                  <c:v>1288.7319121949681</c:v>
                </c:pt>
                <c:pt idx="247">
                  <c:v>1284.0195791322546</c:v>
                </c:pt>
                <c:pt idx="248">
                  <c:v>1279.3368674824278</c:v>
                </c:pt>
                <c:pt idx="249">
                  <c:v>1274.6835010350235</c:v>
                </c:pt>
                <c:pt idx="250">
                  <c:v>1268.5241897319374</c:v>
                </c:pt>
                <c:pt idx="251">
                  <c:v>1263.9382409903917</c:v>
                </c:pt>
                <c:pt idx="252">
                  <c:v>1259.3807419193049</c:v>
                </c:pt>
                <c:pt idx="253">
                  <c:v>1254.8514311930894</c:v>
                </c:pt>
                <c:pt idx="254">
                  <c:v>1250.3500507740798</c:v>
                </c:pt>
                <c:pt idx="255">
                  <c:v>1245.8763458596495</c:v>
                </c:pt>
                <c:pt idx="256">
                  <c:v>1239.9540223129727</c:v>
                </c:pt>
                <c:pt idx="257">
                  <c:v>1235.5439204625745</c:v>
                </c:pt>
                <c:pt idx="258">
                  <c:v>1231.1606674805594</c:v>
                </c:pt>
                <c:pt idx="259">
                  <c:v>1226.8040219963427</c:v>
                </c:pt>
                <c:pt idx="260">
                  <c:v>1222.4737456091507</c:v>
                </c:pt>
                <c:pt idx="261">
                  <c:v>1218.1696028412684</c:v>
                </c:pt>
                <c:pt idx="262">
                  <c:v>1213.8913610921797</c:v>
                </c:pt>
                <c:pt idx="263">
                  <c:v>1208.2269325057441</c:v>
                </c:pt>
                <c:pt idx="264">
                  <c:v>1204.0082377363965</c:v>
                </c:pt>
                <c:pt idx="265">
                  <c:v>1199.814688859261</c:v>
                </c:pt>
                <c:pt idx="266">
                  <c:v>1195.646065232602</c:v>
                </c:pt>
                <c:pt idx="267">
                  <c:v>1191.5021488615455</c:v>
                </c:pt>
                <c:pt idx="268">
                  <c:v>1187.3827243574178</c:v>
                </c:pt>
                <c:pt idx="269">
                  <c:v>1183.2875788978474</c:v>
                </c:pt>
                <c:pt idx="270">
                  <c:v>1177.864789240341</c:v>
                </c:pt>
                <c:pt idx="271">
                  <c:v>1173.8254813659621</c:v>
                </c:pt>
                <c:pt idx="272">
                  <c:v>1169.8097611652204</c:v>
                </c:pt>
                <c:pt idx="273">
                  <c:v>1165.8174264930453</c:v>
                </c:pt>
                <c:pt idx="274">
                  <c:v>1161.8482775699827</c:v>
                </c:pt>
                <c:pt idx="275">
                  <c:v>1157.9021169467312</c:v>
                </c:pt>
                <c:pt idx="276">
                  <c:v>1152.6759920496866</c:v>
                </c:pt>
                <c:pt idx="277">
                  <c:v>1148.7827157637741</c:v>
                </c:pt>
                <c:pt idx="278">
                  <c:v>1144.911785999723</c:v>
                </c:pt>
                <c:pt idx="279">
                  <c:v>1141.0630150111126</c:v>
                </c:pt>
                <c:pt idx="280">
                  <c:v>1137.2362172030655</c:v>
                </c:pt>
                <c:pt idx="281">
                  <c:v>1133.4312091006386</c:v>
                </c:pt>
                <c:pt idx="282">
                  <c:v>1129.6478093177816</c:v>
                </c:pt>
                <c:pt idx="283">
                  <c:v>1124.6365795592403</c:v>
                </c:pt>
                <c:pt idx="284">
                  <c:v>1120.9029053051479</c:v>
                </c:pt>
                <c:pt idx="285">
                  <c:v>1117.1902494494707</c:v>
                </c:pt>
                <c:pt idx="286">
                  <c:v>1113.4984393125726</c:v>
                </c:pt>
                <c:pt idx="287">
                  <c:v>1109.8273041472062</c:v>
                </c:pt>
                <c:pt idx="288">
                  <c:v>1106.1766751107934</c:v>
                </c:pt>
                <c:pt idx="289">
                  <c:v>1101.3407798370235</c:v>
                </c:pt>
                <c:pt idx="290">
                  <c:v>1097.7373523207166</c:v>
                </c:pt>
                <c:pt idx="291">
                  <c:v>1094.1538815343752</c:v>
                </c:pt>
                <c:pt idx="292">
                  <c:v>1090.5902065801413</c:v>
                </c:pt>
                <c:pt idx="293">
                  <c:v>1087.0461683248679</c:v>
                </c:pt>
                <c:pt idx="294">
                  <c:v>1083.5216093752983</c:v>
                </c:pt>
                <c:pt idx="295">
                  <c:v>1080.0163740536639</c:v>
                </c:pt>
                <c:pt idx="296">
                  <c:v>1075.3725200265314</c:v>
                </c:pt>
                <c:pt idx="297">
                  <c:v>1071.9117772141244</c:v>
                </c:pt>
                <c:pt idx="298">
                  <c:v>1068.4698511885313</c:v>
                </c:pt>
                <c:pt idx="299">
                  <c:v>1065.0465934338297</c:v>
                </c:pt>
                <c:pt idx="300">
                  <c:v>1061.6418570263036</c:v>
                </c:pt>
                <c:pt idx="301">
                  <c:v>1058.2554966125399</c:v>
                </c:pt>
                <c:pt idx="302">
                  <c:v>1054.8873683879106</c:v>
                </c:pt>
                <c:pt idx="303">
                  <c:v>1050.4246462446986</c:v>
                </c:pt>
                <c:pt idx="304">
                  <c:v>1047.0985090965919</c:v>
                </c:pt>
                <c:pt idx="305">
                  <c:v>1043.7901357053374</c:v>
                </c:pt>
                <c:pt idx="306">
                  <c:v>1040.4993887375626</c:v>
                </c:pt>
                <c:pt idx="307">
                  <c:v>1037.226132299772</c:v>
                </c:pt>
                <c:pt idx="308">
                  <c:v>1033.9702319189851</c:v>
                </c:pt>
                <c:pt idx="309">
                  <c:v>1029.6557999215329</c:v>
                </c:pt>
                <c:pt idx="310">
                  <c:v>1026.4398818940126</c:v>
                </c:pt>
                <c:pt idx="311">
                  <c:v>1023.2408816972827</c:v>
                </c:pt>
                <c:pt idx="312">
                  <c:v>1020.0586707978016</c:v>
                </c:pt>
                <c:pt idx="313">
                  <c:v>1016.8931219844947</c:v>
                </c:pt>
                <c:pt idx="314">
                  <c:v>1013.7441093513013</c:v>
                </c:pt>
                <c:pt idx="315">
                  <c:v>1010.6115082800083</c:v>
                </c:pt>
                <c:pt idx="316">
                  <c:v>1006.4600229360979</c:v>
                </c:pt>
                <c:pt idx="317">
                  <c:v>1003.3652379910798</c:v>
                </c:pt>
                <c:pt idx="318">
                  <c:v>1000.2864583001622</c:v>
                </c:pt>
                <c:pt idx="319">
                  <c:v>997.2235646340373</c:v>
                </c:pt>
                <c:pt idx="320">
                  <c:v>994.17643896421225</c:v>
                </c:pt>
                <c:pt idx="321">
                  <c:v>991.14496444750716</c:v>
                </c:pt>
                <c:pt idx="322">
                  <c:v>988.12902541079086</c:v>
                </c:pt>
                <c:pt idx="323">
                  <c:v>984.13174189602989</c:v>
                </c:pt>
                <c:pt idx="324">
                  <c:v>981.15160893313168</c:v>
                </c:pt>
                <c:pt idx="325">
                  <c:v>978.18663413236993</c:v>
                </c:pt>
                <c:pt idx="326">
                  <c:v>975.23670672024582</c:v>
                </c:pt>
                <c:pt idx="327">
                  <c:v>972.3017170158688</c:v>
                </c:pt>
                <c:pt idx="328">
                  <c:v>969.38155641714275</c:v>
                </c:pt>
                <c:pt idx="329">
                  <c:v>965.51089073535616</c:v>
                </c:pt>
                <c:pt idx="330">
                  <c:v>962.62491500012914</c:v>
                </c:pt>
                <c:pt idx="331">
                  <c:v>959.75341398182456</c:v>
                </c:pt>
                <c:pt idx="332">
                  <c:v>956.89628359864685</c:v>
                </c:pt>
                <c:pt idx="333">
                  <c:v>954.05342077744479</c:v>
                </c:pt>
                <c:pt idx="334">
                  <c:v>951.22472344118773</c:v>
                </c:pt>
                <c:pt idx="335">
                  <c:v>948.4100904966333</c:v>
                </c:pt>
                <c:pt idx="336">
                  <c:v>944.678951601981</c:v>
                </c:pt>
                <c:pt idx="337">
                  <c:v>941.89674786662226</c:v>
                </c:pt>
                <c:pt idx="338">
                  <c:v>939.1282784960473</c:v>
                </c:pt>
                <c:pt idx="339">
                  <c:v>936.37344652207378</c:v>
                </c:pt>
                <c:pt idx="340">
                  <c:v>933.63215589761182</c:v>
                </c:pt>
                <c:pt idx="341">
                  <c:v>930.9043114854577</c:v>
                </c:pt>
                <c:pt idx="342">
                  <c:v>928.18981904725695</c:v>
                </c:pt>
                <c:pt idx="343">
                  <c:v>924.59110431381396</c:v>
                </c:pt>
                <c:pt idx="344">
                  <c:v>921.90740496700255</c:v>
                </c:pt>
                <c:pt idx="345">
                  <c:v>919.23674981959527</c:v>
                </c:pt>
                <c:pt idx="346">
                  <c:v>916.57904840466142</c:v>
                </c:pt>
                <c:pt idx="347">
                  <c:v>913.93421109796009</c:v>
                </c:pt>
                <c:pt idx="348">
                  <c:v>911.302149107893</c:v>
                </c:pt>
                <c:pt idx="349">
                  <c:v>907.81245390824915</c:v>
                </c:pt>
                <c:pt idx="350">
                  <c:v>905.20986029300798</c:v>
                </c:pt>
                <c:pt idx="351">
                  <c:v>902.61975190991848</c:v>
                </c:pt>
                <c:pt idx="352">
                  <c:v>900.04204346295103</c:v>
                </c:pt>
                <c:pt idx="353">
                  <c:v>897.4766504375599</c:v>
                </c:pt>
                <c:pt idx="354">
                  <c:v>894.92348909152736</c:v>
                </c:pt>
                <c:pt idx="355">
                  <c:v>892.3824764459373</c:v>
                </c:pt>
                <c:pt idx="356">
                  <c:v>889.01321555473783</c:v>
                </c:pt>
                <c:pt idx="357">
                  <c:v>886.50023140235987</c:v>
                </c:pt>
                <c:pt idx="358">
                  <c:v>883.99912475348572</c:v>
                </c:pt>
                <c:pt idx="359">
                  <c:v>881.50981583564726</c:v>
                </c:pt>
                <c:pt idx="360">
                  <c:v>879.03222559366895</c:v>
                </c:pt>
                <c:pt idx="361">
                  <c:v>876.56627568142721</c:v>
                </c:pt>
                <c:pt idx="362">
                  <c:v>873.29631554306548</c:v>
                </c:pt>
                <c:pt idx="363">
                  <c:v>870.85722564312891</c:v>
                </c:pt>
                <c:pt idx="364">
                  <c:v>868.42951993660222</c:v>
                </c:pt>
                <c:pt idx="365">
                  <c:v>866.01312305745205</c:v>
                </c:pt>
                <c:pt idx="366">
                  <c:v>863.60796030664505</c:v>
                </c:pt>
                <c:pt idx="367">
                  <c:v>861.21395764461136</c:v>
                </c:pt>
                <c:pt idx="368">
                  <c:v>858.83104168380726</c:v>
                </c:pt>
                <c:pt idx="369">
                  <c:v>855.67094074600175</c:v>
                </c:pt>
                <c:pt idx="370">
                  <c:v>853.31361196664272</c:v>
                </c:pt>
                <c:pt idx="371">
                  <c:v>850.96712987906687</c:v>
                </c:pt>
                <c:pt idx="372">
                  <c:v>848.63142383774209</c:v>
                </c:pt>
                <c:pt idx="373">
                  <c:v>846.30642381120413</c:v>
                </c:pt>
                <c:pt idx="374">
                  <c:v>843.99206037524596</c:v>
                </c:pt>
                <c:pt idx="375">
                  <c:v>841.68826470620058</c:v>
                </c:pt>
                <c:pt idx="376">
                  <c:v>838.63285805275473</c:v>
                </c:pt>
                <c:pt idx="377">
                  <c:v>836.35345618284509</c:v>
                </c:pt>
                <c:pt idx="378">
                  <c:v>834.08439692041895</c:v>
                </c:pt>
                <c:pt idx="379">
                  <c:v>831.82561396869505</c:v>
                </c:pt>
                <c:pt idx="380">
                  <c:v>829.57704159710272</c:v>
                </c:pt>
                <c:pt idx="381">
                  <c:v>827.33861463511289</c:v>
                </c:pt>
                <c:pt idx="382">
                  <c:v>824.36971549680823</c:v>
                </c:pt>
                <c:pt idx="383">
                  <c:v>822.1547108167955</c:v>
                </c:pt>
                <c:pt idx="384">
                  <c:v>819.94963827853803</c:v>
                </c:pt>
                <c:pt idx="385">
                  <c:v>817.75443506909232</c:v>
                </c:pt>
                <c:pt idx="386">
                  <c:v>815.56903890403248</c:v>
                </c:pt>
                <c:pt idx="387">
                  <c:v>813.39338802178543</c:v>
                </c:pt>
                <c:pt idx="388">
                  <c:v>811.22742117803853</c:v>
                </c:pt>
                <c:pt idx="389">
                  <c:v>808.35442454941904</c:v>
                </c:pt>
                <c:pt idx="390">
                  <c:v>806.21081848759707</c:v>
                </c:pt>
                <c:pt idx="391">
                  <c:v>804.0766959820304</c:v>
                </c:pt>
                <c:pt idx="392">
                  <c:v>801.95199796702673</c:v>
                </c:pt>
                <c:pt idx="393">
                  <c:v>799.83666586554318</c:v>
                </c:pt>
                <c:pt idx="394">
                  <c:v>797.73064158404497</c:v>
                </c:pt>
                <c:pt idx="395">
                  <c:v>795.63386750742245</c:v>
                </c:pt>
                <c:pt idx="396">
                  <c:v>792.85245925031995</c:v>
                </c:pt>
                <c:pt idx="397">
                  <c:v>790.77704757635161</c:v>
                </c:pt>
                <c:pt idx="398">
                  <c:v>788.71069744830424</c:v>
                </c:pt>
                <c:pt idx="399">
                  <c:v>786.6533532671333</c:v>
                </c:pt>
                <c:pt idx="400">
                  <c:v>784.60495988621119</c:v>
                </c:pt>
                <c:pt idx="401">
                  <c:v>782.56546260664834</c:v>
                </c:pt>
                <c:pt idx="402">
                  <c:v>779.85987756829365</c:v>
                </c:pt>
                <c:pt idx="403">
                  <c:v>777.84092762122464</c:v>
                </c:pt>
                <c:pt idx="404">
                  <c:v>775.83069462062508</c:v>
                </c:pt>
                <c:pt idx="405">
                  <c:v>773.82912575513183</c:v>
                </c:pt>
                <c:pt idx="406">
                  <c:v>771.83616863713098</c:v>
                </c:pt>
                <c:pt idx="407">
                  <c:v>769.85177129843964</c:v>
                </c:pt>
                <c:pt idx="408">
                  <c:v>767.87588218604037</c:v>
                </c:pt>
                <c:pt idx="409">
                  <c:v>765.25451005315745</c:v>
                </c:pt>
                <c:pt idx="410">
                  <c:v>763.29827528545786</c:v>
                </c:pt>
                <c:pt idx="411">
                  <c:v>761.3503798453637</c:v>
                </c:pt>
                <c:pt idx="412">
                  <c:v>759.4107739308871</c:v>
                </c:pt>
                <c:pt idx="413">
                  <c:v>757.47940813333105</c:v>
                </c:pt>
                <c:pt idx="414">
                  <c:v>755.55623343334707</c:v>
                </c:pt>
                <c:pt idx="415">
                  <c:v>753.6412011970433</c:v>
                </c:pt>
                <c:pt idx="416">
                  <c:v>751.10040759206504</c:v>
                </c:pt>
                <c:pt idx="417">
                  <c:v>749.20418744237395</c:v>
                </c:pt>
                <c:pt idx="418">
                  <c:v>747.31595037819841</c:v>
                </c:pt>
                <c:pt idx="419">
                  <c:v>745.43564939210569</c:v>
                </c:pt>
                <c:pt idx="420">
                  <c:v>743.56323784214055</c:v>
                </c:pt>
                <c:pt idx="421">
                  <c:v>741.69866944822172</c:v>
                </c:pt>
                <c:pt idx="422">
                  <c:v>739.22469940150563</c:v>
                </c:pt>
                <c:pt idx="423">
                  <c:v>737.37825373310966</c:v>
                </c:pt>
                <c:pt idx="424">
                  <c:v>735.53949952197422</c:v>
                </c:pt>
                <c:pt idx="425">
                  <c:v>733.7083920155527</c:v>
                </c:pt>
                <c:pt idx="426">
                  <c:v>731.88488680467526</c:v>
                </c:pt>
                <c:pt idx="427">
                  <c:v>730.06893982021199</c:v>
                </c:pt>
                <c:pt idx="428">
                  <c:v>728.26050732977353</c:v>
                </c:pt>
                <c:pt idx="429">
                  <c:v>725.86087825929314</c:v>
                </c:pt>
                <c:pt idx="430">
                  <c:v>724.06981138508934</c:v>
                </c:pt>
                <c:pt idx="431">
                  <c:v>722.28611562074889</c:v>
                </c:pt>
                <c:pt idx="432">
                  <c:v>720.50974865593014</c:v>
                </c:pt>
                <c:pt idx="433">
                  <c:v>718.74066850009024</c:v>
                </c:pt>
                <c:pt idx="434">
                  <c:v>716.97883347942695</c:v>
                </c:pt>
                <c:pt idx="435">
                  <c:v>714.64091888706525</c:v>
                </c:pt>
                <c:pt idx="436">
                  <c:v>712.89582887367908</c:v>
                </c:pt>
                <c:pt idx="437">
                  <c:v>711.15784733181488</c:v>
                </c:pt>
                <c:pt idx="438">
                  <c:v>709.42693392572698</c:v>
                </c:pt>
                <c:pt idx="439">
                  <c:v>707.70304862068781</c:v>
                </c:pt>
                <c:pt idx="440">
                  <c:v>705.98615168014908</c:v>
                </c:pt>
                <c:pt idx="441">
                  <c:v>704.27620366293036</c:v>
                </c:pt>
                <c:pt idx="442">
                  <c:v>702.00701478716167</c:v>
                </c:pt>
                <c:pt idx="443">
                  <c:v>700.31312918044682</c:v>
                </c:pt>
                <c:pt idx="444">
                  <c:v>698.62606312428557</c:v>
                </c:pt>
                <c:pt idx="445">
                  <c:v>696.94577842577019</c:v>
                </c:pt>
                <c:pt idx="446">
                  <c:v>695.27223717292395</c:v>
                </c:pt>
                <c:pt idx="447">
                  <c:v>693.6054017320912</c:v>
                </c:pt>
                <c:pt idx="448">
                  <c:v>691.94523474535686</c:v>
                </c:pt>
                <c:pt idx="449">
                  <c:v>689.74198785583837</c:v>
                </c:pt>
                <c:pt idx="450">
                  <c:v>688.09723684441201</c:v>
                </c:pt>
                <c:pt idx="451">
                  <c:v>686.45903171961584</c:v>
                </c:pt>
                <c:pt idx="452">
                  <c:v>684.82733628929566</c:v>
                </c:pt>
                <c:pt idx="453">
                  <c:v>683.20211462376005</c:v>
                </c:pt>
                <c:pt idx="454">
                  <c:v>681.58333105337738</c:v>
                </c:pt>
                <c:pt idx="455">
                  <c:v>679.43490660520661</c:v>
                </c:pt>
                <c:pt idx="456">
                  <c:v>677.8310079847148</c:v>
                </c:pt>
                <c:pt idx="457">
                  <c:v>676.2334304085266</c:v>
                </c:pt>
                <c:pt idx="458">
                  <c:v>674.64213930683377</c:v>
                </c:pt>
                <c:pt idx="459">
                  <c:v>673.05710035752566</c:v>
                </c:pt>
                <c:pt idx="460">
                  <c:v>671.47827948395036</c:v>
                </c:pt>
                <c:pt idx="461">
                  <c:v>669.90564285270136</c:v>
                </c:pt>
                <c:pt idx="462">
                  <c:v>667.81835591714639</c:v>
                </c:pt>
                <c:pt idx="463">
                  <c:v>666.26001896034461</c:v>
                </c:pt>
                <c:pt idx="464">
                  <c:v>664.70775519670906</c:v>
                </c:pt>
                <c:pt idx="465">
                  <c:v>663.16153182191977</c:v>
                </c:pt>
                <c:pt idx="466">
                  <c:v>661.62131626350367</c:v>
                </c:pt>
                <c:pt idx="467">
                  <c:v>660.08707617877315</c:v>
                </c:pt>
                <c:pt idx="468">
                  <c:v>658.55877945278417</c:v>
                </c:pt>
                <c:pt idx="469">
                  <c:v>656.53024062460031</c:v>
                </c:pt>
                <c:pt idx="470">
                  <c:v>655.01568810844708</c:v>
                </c:pt>
                <c:pt idx="471">
                  <c:v>653.50697352027544</c:v>
                </c:pt>
                <c:pt idx="472">
                  <c:v>652.00406570897519</c:v>
                </c:pt>
                <c:pt idx="473">
                  <c:v>650.50693374066225</c:v>
                </c:pt>
                <c:pt idx="474">
                  <c:v>649.01554689676891</c:v>
                </c:pt>
                <c:pt idx="475">
                  <c:v>647.03591527070421</c:v>
                </c:pt>
                <c:pt idx="476">
                  <c:v>645.55781545145089</c:v>
                </c:pt>
                <c:pt idx="477">
                  <c:v>644.08535989241136</c:v>
                </c:pt>
                <c:pt idx="478">
                  <c:v>642.61851878653363</c:v>
                </c:pt>
                <c:pt idx="479">
                  <c:v>641.15726253225796</c:v>
                </c:pt>
                <c:pt idx="480">
                  <c:v>639.70156173173621</c:v>
                </c:pt>
                <c:pt idx="481">
                  <c:v>638.25138718906953</c:v>
                </c:pt>
                <c:pt idx="482">
                  <c:v>636.32636744589729</c:v>
                </c:pt>
                <c:pt idx="483">
                  <c:v>634.88897508667276</c:v>
                </c:pt>
                <c:pt idx="484">
                  <c:v>633.45701310191771</c:v>
                </c:pt>
                <c:pt idx="485">
                  <c:v>632.03045315093516</c:v>
                </c:pt>
                <c:pt idx="486">
                  <c:v>630.60926708588977</c:v>
                </c:pt>
                <c:pt idx="487">
                  <c:v>629.19342695015735</c:v>
                </c:pt>
                <c:pt idx="488">
                  <c:v>627.78290497669582</c:v>
                </c:pt>
                <c:pt idx="489">
                  <c:v>625.91043406828396</c:v>
                </c:pt>
                <c:pt idx="490">
                  <c:v>624.51221421005698</c:v>
                </c:pt>
                <c:pt idx="491">
                  <c:v>623.11922130589437</c:v>
                </c:pt>
                <c:pt idx="492">
                  <c:v>621.73142839183652</c:v>
                </c:pt>
                <c:pt idx="493">
                  <c:v>620.34880868508731</c:v>
                </c:pt>
                <c:pt idx="494">
                  <c:v>618.97133558248856</c:v>
                </c:pt>
                <c:pt idx="495">
                  <c:v>617.1426649602746</c:v>
                </c:pt>
                <c:pt idx="496">
                  <c:v>615.77709814175034</c:v>
                </c:pt>
                <c:pt idx="497">
                  <c:v>614.41659052827242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21-4875-B88C-B488B95351CA}"/>
            </c:ext>
          </c:extLst>
        </c:ser>
        <c:ser>
          <c:idx val="2"/>
          <c:order val="2"/>
          <c:tx>
            <c:strRef>
              <c:f>'sheet 1'!$P$38</c:f>
              <c:strCache>
                <c:ptCount val="1"/>
                <c:pt idx="0">
                  <c:v>I1</c:v>
                </c:pt>
              </c:strCache>
            </c:strRef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'sheet 1'!$B$39:$B$841</c:f>
              <c:numCache>
                <c:formatCode>General</c:formatCode>
                <c:ptCount val="803"/>
                <c:pt idx="0">
                  <c:v>0</c:v>
                </c:pt>
                <c:pt idx="1">
                  <c:v>0.95785440613030459</c:v>
                </c:pt>
                <c:pt idx="2">
                  <c:v>1.9157088122605637</c:v>
                </c:pt>
                <c:pt idx="3">
                  <c:v>2.8735632183908226</c:v>
                </c:pt>
                <c:pt idx="4">
                  <c:v>4.150702426564532</c:v>
                </c:pt>
                <c:pt idx="5">
                  <c:v>5.1085568326947906</c:v>
                </c:pt>
                <c:pt idx="6">
                  <c:v>6.06641123882505</c:v>
                </c:pt>
                <c:pt idx="7">
                  <c:v>7.0242656449553094</c:v>
                </c:pt>
                <c:pt idx="8">
                  <c:v>7.9821200510855688</c:v>
                </c:pt>
                <c:pt idx="9">
                  <c:v>8.9399744572158735</c:v>
                </c:pt>
                <c:pt idx="10">
                  <c:v>9.8978288633461311</c:v>
                </c:pt>
                <c:pt idx="11">
                  <c:v>11.174968071519796</c:v>
                </c:pt>
                <c:pt idx="12">
                  <c:v>12.1328224776501</c:v>
                </c:pt>
                <c:pt idx="13">
                  <c:v>13.090676883780361</c:v>
                </c:pt>
                <c:pt idx="14">
                  <c:v>14.048531289910619</c:v>
                </c:pt>
                <c:pt idx="15">
                  <c:v>15.006385696040878</c:v>
                </c:pt>
                <c:pt idx="16">
                  <c:v>15.964240102171138</c:v>
                </c:pt>
                <c:pt idx="17">
                  <c:v>17.241379310344843</c:v>
                </c:pt>
                <c:pt idx="18">
                  <c:v>18.199233716475106</c:v>
                </c:pt>
                <c:pt idx="19">
                  <c:v>19.157088122605366</c:v>
                </c:pt>
                <c:pt idx="20">
                  <c:v>20.114942528735671</c:v>
                </c:pt>
                <c:pt idx="21">
                  <c:v>21.072796934865931</c:v>
                </c:pt>
                <c:pt idx="22">
                  <c:v>22.030651340996187</c:v>
                </c:pt>
                <c:pt idx="23">
                  <c:v>22.988505747126446</c:v>
                </c:pt>
                <c:pt idx="24">
                  <c:v>24.265644955300154</c:v>
                </c:pt>
                <c:pt idx="25">
                  <c:v>25.223499361430413</c:v>
                </c:pt>
                <c:pt idx="26">
                  <c:v>26.181353767560676</c:v>
                </c:pt>
                <c:pt idx="27">
                  <c:v>27.139208173690935</c:v>
                </c:pt>
                <c:pt idx="28">
                  <c:v>28.097062579821237</c:v>
                </c:pt>
                <c:pt idx="29">
                  <c:v>29.054916985951497</c:v>
                </c:pt>
                <c:pt idx="30">
                  <c:v>30.012771392081756</c:v>
                </c:pt>
                <c:pt idx="31">
                  <c:v>31.289910600255467</c:v>
                </c:pt>
                <c:pt idx="32">
                  <c:v>32.24776500638572</c:v>
                </c:pt>
                <c:pt idx="33">
                  <c:v>33.205619412515986</c:v>
                </c:pt>
                <c:pt idx="34">
                  <c:v>34.163473818646239</c:v>
                </c:pt>
                <c:pt idx="35">
                  <c:v>35.121328224776505</c:v>
                </c:pt>
                <c:pt idx="36">
                  <c:v>36.079182630906807</c:v>
                </c:pt>
                <c:pt idx="37">
                  <c:v>37.356321839080472</c:v>
                </c:pt>
                <c:pt idx="38">
                  <c:v>38.314176245210732</c:v>
                </c:pt>
                <c:pt idx="39">
                  <c:v>39.272030651341034</c:v>
                </c:pt>
                <c:pt idx="40">
                  <c:v>40.229885057471293</c:v>
                </c:pt>
                <c:pt idx="41">
                  <c:v>41.187739463601552</c:v>
                </c:pt>
                <c:pt idx="42">
                  <c:v>42.145593869731812</c:v>
                </c:pt>
                <c:pt idx="43">
                  <c:v>43.103448275862071</c:v>
                </c:pt>
                <c:pt idx="44">
                  <c:v>44.380587484035786</c:v>
                </c:pt>
                <c:pt idx="45">
                  <c:v>45.338441890166038</c:v>
                </c:pt>
                <c:pt idx="46">
                  <c:v>46.296296296296298</c:v>
                </c:pt>
                <c:pt idx="47">
                  <c:v>47.254150702426607</c:v>
                </c:pt>
                <c:pt idx="48">
                  <c:v>48.212005108556859</c:v>
                </c:pt>
                <c:pt idx="49">
                  <c:v>49.169859514687126</c:v>
                </c:pt>
                <c:pt idx="50">
                  <c:v>50.127713920817378</c:v>
                </c:pt>
                <c:pt idx="51">
                  <c:v>51.404853128991085</c:v>
                </c:pt>
                <c:pt idx="52">
                  <c:v>52.362707535121352</c:v>
                </c:pt>
                <c:pt idx="53">
                  <c:v>53.320561941251604</c:v>
                </c:pt>
                <c:pt idx="54">
                  <c:v>54.278416347381871</c:v>
                </c:pt>
                <c:pt idx="55">
                  <c:v>55.236270753512173</c:v>
                </c:pt>
                <c:pt idx="56">
                  <c:v>56.194125159642432</c:v>
                </c:pt>
                <c:pt idx="57">
                  <c:v>57.47126436781609</c:v>
                </c:pt>
                <c:pt idx="58">
                  <c:v>58.429118773946392</c:v>
                </c:pt>
                <c:pt idx="59">
                  <c:v>59.386973180076659</c:v>
                </c:pt>
                <c:pt idx="60">
                  <c:v>60.344827586206918</c:v>
                </c:pt>
                <c:pt idx="61">
                  <c:v>61.302681992337178</c:v>
                </c:pt>
                <c:pt idx="62">
                  <c:v>62.260536398467437</c:v>
                </c:pt>
                <c:pt idx="63">
                  <c:v>63.218390804597732</c:v>
                </c:pt>
                <c:pt idx="64">
                  <c:v>64.495530012771411</c:v>
                </c:pt>
                <c:pt idx="65">
                  <c:v>65.453384418901663</c:v>
                </c:pt>
                <c:pt idx="66">
                  <c:v>66.411238825031973</c:v>
                </c:pt>
                <c:pt idx="67">
                  <c:v>67.369093231162239</c:v>
                </c:pt>
                <c:pt idx="68">
                  <c:v>68.326947637292477</c:v>
                </c:pt>
                <c:pt idx="69">
                  <c:v>69.284802043422744</c:v>
                </c:pt>
                <c:pt idx="70">
                  <c:v>70.561941251596451</c:v>
                </c:pt>
                <c:pt idx="71">
                  <c:v>71.519795657726718</c:v>
                </c:pt>
                <c:pt idx="72">
                  <c:v>72.47765006385697</c:v>
                </c:pt>
                <c:pt idx="73">
                  <c:v>73.435504469987222</c:v>
                </c:pt>
                <c:pt idx="74">
                  <c:v>74.393358876117532</c:v>
                </c:pt>
                <c:pt idx="75">
                  <c:v>75.351213282247798</c:v>
                </c:pt>
                <c:pt idx="76">
                  <c:v>76.30906768837805</c:v>
                </c:pt>
                <c:pt idx="77">
                  <c:v>77.586206896551772</c:v>
                </c:pt>
                <c:pt idx="78">
                  <c:v>78.54406130268201</c:v>
                </c:pt>
                <c:pt idx="79">
                  <c:v>79.501915708812277</c:v>
                </c:pt>
                <c:pt idx="80">
                  <c:v>80.459770114942543</c:v>
                </c:pt>
                <c:pt idx="81">
                  <c:v>81.41762452107281</c:v>
                </c:pt>
                <c:pt idx="82">
                  <c:v>82.375478927203105</c:v>
                </c:pt>
                <c:pt idx="83">
                  <c:v>83.333333333333371</c:v>
                </c:pt>
                <c:pt idx="84">
                  <c:v>84.610472541507022</c:v>
                </c:pt>
                <c:pt idx="85">
                  <c:v>85.568326947637331</c:v>
                </c:pt>
                <c:pt idx="86">
                  <c:v>86.526181353767598</c:v>
                </c:pt>
                <c:pt idx="87">
                  <c:v>87.48403575989785</c:v>
                </c:pt>
                <c:pt idx="88">
                  <c:v>88.441890166028102</c:v>
                </c:pt>
                <c:pt idx="89">
                  <c:v>89.399744572158369</c:v>
                </c:pt>
                <c:pt idx="90">
                  <c:v>90.676883780332076</c:v>
                </c:pt>
                <c:pt idx="91">
                  <c:v>91.634738186462343</c:v>
                </c:pt>
                <c:pt idx="92">
                  <c:v>92.592592592592595</c:v>
                </c:pt>
                <c:pt idx="93">
                  <c:v>93.550446998722904</c:v>
                </c:pt>
                <c:pt idx="94">
                  <c:v>94.508301404853157</c:v>
                </c:pt>
                <c:pt idx="95">
                  <c:v>95.466155810983423</c:v>
                </c:pt>
                <c:pt idx="96">
                  <c:v>96.424010217113675</c:v>
                </c:pt>
                <c:pt idx="97">
                  <c:v>97.701149425287383</c:v>
                </c:pt>
                <c:pt idx="98">
                  <c:v>98.65900383141765</c:v>
                </c:pt>
                <c:pt idx="99">
                  <c:v>99.616858237547902</c:v>
                </c:pt>
                <c:pt idx="100">
                  <c:v>100.57471264367817</c:v>
                </c:pt>
                <c:pt idx="101">
                  <c:v>101.53256704980846</c:v>
                </c:pt>
                <c:pt idx="102">
                  <c:v>102.49042145593873</c:v>
                </c:pt>
                <c:pt idx="103">
                  <c:v>103.448275862069</c:v>
                </c:pt>
                <c:pt idx="104">
                  <c:v>104.7254150702427</c:v>
                </c:pt>
                <c:pt idx="105">
                  <c:v>105.68326947637296</c:v>
                </c:pt>
                <c:pt idx="106">
                  <c:v>106.64112388250321</c:v>
                </c:pt>
                <c:pt idx="107">
                  <c:v>107.59897828863348</c:v>
                </c:pt>
                <c:pt idx="108">
                  <c:v>108.55683269476374</c:v>
                </c:pt>
                <c:pt idx="109">
                  <c:v>109.51468710089404</c:v>
                </c:pt>
                <c:pt idx="110">
                  <c:v>110.7918263090677</c:v>
                </c:pt>
                <c:pt idx="111">
                  <c:v>111.74968071519795</c:v>
                </c:pt>
                <c:pt idx="112">
                  <c:v>112.70753512132826</c:v>
                </c:pt>
                <c:pt idx="113">
                  <c:v>113.66538952745853</c:v>
                </c:pt>
                <c:pt idx="114">
                  <c:v>114.6232439335888</c:v>
                </c:pt>
                <c:pt idx="115">
                  <c:v>115.58109833971903</c:v>
                </c:pt>
                <c:pt idx="116">
                  <c:v>116.5389527458493</c:v>
                </c:pt>
                <c:pt idx="117">
                  <c:v>117.81609195402301</c:v>
                </c:pt>
                <c:pt idx="118">
                  <c:v>118.77394636015327</c:v>
                </c:pt>
                <c:pt idx="119">
                  <c:v>119.73180076628354</c:v>
                </c:pt>
                <c:pt idx="120">
                  <c:v>120.68965517241384</c:v>
                </c:pt>
                <c:pt idx="121">
                  <c:v>121.64750957854409</c:v>
                </c:pt>
                <c:pt idx="122">
                  <c:v>122.60536398467436</c:v>
                </c:pt>
                <c:pt idx="123">
                  <c:v>123.56321839080461</c:v>
                </c:pt>
                <c:pt idx="124">
                  <c:v>124.84035759897833</c:v>
                </c:pt>
                <c:pt idx="125">
                  <c:v>125.79821200510857</c:v>
                </c:pt>
                <c:pt idx="126">
                  <c:v>126.75606641123885</c:v>
                </c:pt>
                <c:pt idx="127">
                  <c:v>127.7139208173691</c:v>
                </c:pt>
                <c:pt idx="128">
                  <c:v>128.6717752234994</c:v>
                </c:pt>
                <c:pt idx="129">
                  <c:v>129.62962962962965</c:v>
                </c:pt>
                <c:pt idx="130">
                  <c:v>130.90676883780333</c:v>
                </c:pt>
                <c:pt idx="131">
                  <c:v>131.86462324393364</c:v>
                </c:pt>
                <c:pt idx="132">
                  <c:v>132.82247765006389</c:v>
                </c:pt>
                <c:pt idx="133">
                  <c:v>133.78033205619414</c:v>
                </c:pt>
                <c:pt idx="134">
                  <c:v>134.73818646232442</c:v>
                </c:pt>
                <c:pt idx="135">
                  <c:v>135.69604086845465</c:v>
                </c:pt>
                <c:pt idx="136">
                  <c:v>136.65389527458495</c:v>
                </c:pt>
                <c:pt idx="137">
                  <c:v>137.93103448275863</c:v>
                </c:pt>
                <c:pt idx="138">
                  <c:v>138.88888888888889</c:v>
                </c:pt>
                <c:pt idx="139">
                  <c:v>139.84674329501919</c:v>
                </c:pt>
                <c:pt idx="140">
                  <c:v>140.80459770114945</c:v>
                </c:pt>
                <c:pt idx="141">
                  <c:v>141.76245210727973</c:v>
                </c:pt>
                <c:pt idx="142">
                  <c:v>142.72030651340998</c:v>
                </c:pt>
                <c:pt idx="143">
                  <c:v>143.99744572158369</c:v>
                </c:pt>
                <c:pt idx="144">
                  <c:v>144.95530012771394</c:v>
                </c:pt>
                <c:pt idx="145">
                  <c:v>145.91315453384422</c:v>
                </c:pt>
                <c:pt idx="146">
                  <c:v>146.87100893997444</c:v>
                </c:pt>
                <c:pt idx="147">
                  <c:v>147.82886334610475</c:v>
                </c:pt>
                <c:pt idx="148">
                  <c:v>148.78671775223503</c:v>
                </c:pt>
                <c:pt idx="149">
                  <c:v>149.74457215836529</c:v>
                </c:pt>
                <c:pt idx="150">
                  <c:v>151.02171136653899</c:v>
                </c:pt>
                <c:pt idx="151">
                  <c:v>151.97956577266925</c:v>
                </c:pt>
                <c:pt idx="152">
                  <c:v>152.93742017879953</c:v>
                </c:pt>
                <c:pt idx="153">
                  <c:v>153.89527458492978</c:v>
                </c:pt>
                <c:pt idx="154">
                  <c:v>154.85312899106003</c:v>
                </c:pt>
                <c:pt idx="155">
                  <c:v>155.81098339719031</c:v>
                </c:pt>
                <c:pt idx="156">
                  <c:v>156.76883780332059</c:v>
                </c:pt>
                <c:pt idx="157">
                  <c:v>158.04597701149424</c:v>
                </c:pt>
                <c:pt idx="158">
                  <c:v>159.00383141762455</c:v>
                </c:pt>
                <c:pt idx="159">
                  <c:v>159.96168582375483</c:v>
                </c:pt>
                <c:pt idx="160">
                  <c:v>160.91954022988509</c:v>
                </c:pt>
                <c:pt idx="161">
                  <c:v>161.87739463601534</c:v>
                </c:pt>
                <c:pt idx="162">
                  <c:v>162.83524904214562</c:v>
                </c:pt>
                <c:pt idx="163">
                  <c:v>164.11238825031933</c:v>
                </c:pt>
                <c:pt idx="164">
                  <c:v>165.07024265644958</c:v>
                </c:pt>
                <c:pt idx="165">
                  <c:v>166.0280970625798</c:v>
                </c:pt>
                <c:pt idx="166">
                  <c:v>166.98595146871011</c:v>
                </c:pt>
                <c:pt idx="167">
                  <c:v>167.94380587484039</c:v>
                </c:pt>
                <c:pt idx="168">
                  <c:v>168.90166028097065</c:v>
                </c:pt>
                <c:pt idx="169">
                  <c:v>169.85951468710093</c:v>
                </c:pt>
                <c:pt idx="170">
                  <c:v>171.13665389527463</c:v>
                </c:pt>
                <c:pt idx="171">
                  <c:v>172.09450830140489</c:v>
                </c:pt>
                <c:pt idx="172">
                  <c:v>173.05236270753514</c:v>
                </c:pt>
                <c:pt idx="173">
                  <c:v>174.01021711366542</c:v>
                </c:pt>
                <c:pt idx="174">
                  <c:v>174.9680715197957</c:v>
                </c:pt>
                <c:pt idx="175">
                  <c:v>175.9259259259259</c:v>
                </c:pt>
                <c:pt idx="176">
                  <c:v>176.8837803320562</c:v>
                </c:pt>
                <c:pt idx="177">
                  <c:v>178.16091954022991</c:v>
                </c:pt>
                <c:pt idx="178">
                  <c:v>179.11877394636014</c:v>
                </c:pt>
                <c:pt idx="179">
                  <c:v>180.07662835249045</c:v>
                </c:pt>
                <c:pt idx="180">
                  <c:v>181.03448275862075</c:v>
                </c:pt>
                <c:pt idx="181">
                  <c:v>181.99233716475098</c:v>
                </c:pt>
                <c:pt idx="182">
                  <c:v>182.95019157088126</c:v>
                </c:pt>
                <c:pt idx="183">
                  <c:v>184.22733077905499</c:v>
                </c:pt>
                <c:pt idx="184">
                  <c:v>185.18518518518519</c:v>
                </c:pt>
                <c:pt idx="185">
                  <c:v>186.1430395913155</c:v>
                </c:pt>
                <c:pt idx="186">
                  <c:v>187.1008939974457</c:v>
                </c:pt>
                <c:pt idx="187">
                  <c:v>188.058748403576</c:v>
                </c:pt>
                <c:pt idx="188">
                  <c:v>189.01660280970631</c:v>
                </c:pt>
                <c:pt idx="189">
                  <c:v>189.97445721583654</c:v>
                </c:pt>
                <c:pt idx="190">
                  <c:v>191.25159642401024</c:v>
                </c:pt>
                <c:pt idx="191">
                  <c:v>192.20945083014055</c:v>
                </c:pt>
                <c:pt idx="192">
                  <c:v>193.16730523627078</c:v>
                </c:pt>
                <c:pt idx="193">
                  <c:v>194.12515964240106</c:v>
                </c:pt>
                <c:pt idx="194">
                  <c:v>195.08301404853128</c:v>
                </c:pt>
                <c:pt idx="195">
                  <c:v>196.04086845466159</c:v>
                </c:pt>
                <c:pt idx="196">
                  <c:v>196.9987228607919</c:v>
                </c:pt>
                <c:pt idx="197">
                  <c:v>198.27586206896549</c:v>
                </c:pt>
                <c:pt idx="198">
                  <c:v>199.2337164750958</c:v>
                </c:pt>
                <c:pt idx="199">
                  <c:v>200.19157088122611</c:v>
                </c:pt>
                <c:pt idx="200">
                  <c:v>201.14942528735634</c:v>
                </c:pt>
                <c:pt idx="201">
                  <c:v>202.10727969348662</c:v>
                </c:pt>
                <c:pt idx="202">
                  <c:v>203.06513409961684</c:v>
                </c:pt>
                <c:pt idx="203">
                  <c:v>204.34227330779055</c:v>
                </c:pt>
                <c:pt idx="204">
                  <c:v>205.30012771392086</c:v>
                </c:pt>
                <c:pt idx="205">
                  <c:v>206.25798212005108</c:v>
                </c:pt>
                <c:pt idx="206">
                  <c:v>207.21583652618139</c:v>
                </c:pt>
                <c:pt idx="207">
                  <c:v>208.1736909323117</c:v>
                </c:pt>
                <c:pt idx="208">
                  <c:v>209.1315453384419</c:v>
                </c:pt>
                <c:pt idx="209">
                  <c:v>210.08939974457221</c:v>
                </c:pt>
                <c:pt idx="210">
                  <c:v>211.36653895274591</c:v>
                </c:pt>
                <c:pt idx="211">
                  <c:v>212.32439335887614</c:v>
                </c:pt>
                <c:pt idx="212">
                  <c:v>213.28224776500642</c:v>
                </c:pt>
                <c:pt idx="213">
                  <c:v>214.24010217113664</c:v>
                </c:pt>
                <c:pt idx="214">
                  <c:v>215.19795657726695</c:v>
                </c:pt>
                <c:pt idx="215">
                  <c:v>216.15581098339726</c:v>
                </c:pt>
                <c:pt idx="216">
                  <c:v>217.43295019157088</c:v>
                </c:pt>
                <c:pt idx="217">
                  <c:v>218.39080459770119</c:v>
                </c:pt>
                <c:pt idx="218">
                  <c:v>219.3486590038315</c:v>
                </c:pt>
                <c:pt idx="219">
                  <c:v>220.3065134099617</c:v>
                </c:pt>
                <c:pt idx="220">
                  <c:v>221.26436781609198</c:v>
                </c:pt>
                <c:pt idx="221">
                  <c:v>222.2222222222222</c:v>
                </c:pt>
                <c:pt idx="222">
                  <c:v>223.18007662835251</c:v>
                </c:pt>
                <c:pt idx="223">
                  <c:v>224.45721583652622</c:v>
                </c:pt>
                <c:pt idx="224">
                  <c:v>225.41507024265644</c:v>
                </c:pt>
                <c:pt idx="225">
                  <c:v>226.37292464878675</c:v>
                </c:pt>
                <c:pt idx="226">
                  <c:v>227.33077905491706</c:v>
                </c:pt>
                <c:pt idx="227">
                  <c:v>228.28863346104728</c:v>
                </c:pt>
                <c:pt idx="228">
                  <c:v>229.24648786717759</c:v>
                </c:pt>
                <c:pt idx="229">
                  <c:v>230.20434227330776</c:v>
                </c:pt>
                <c:pt idx="230">
                  <c:v>231.4814814814815</c:v>
                </c:pt>
                <c:pt idx="231">
                  <c:v>232.43933588761178</c:v>
                </c:pt>
                <c:pt idx="232">
                  <c:v>233.397190293742</c:v>
                </c:pt>
                <c:pt idx="233">
                  <c:v>234.35504469987231</c:v>
                </c:pt>
                <c:pt idx="234">
                  <c:v>235.31289910600262</c:v>
                </c:pt>
                <c:pt idx="235">
                  <c:v>236.27075351213284</c:v>
                </c:pt>
                <c:pt idx="236">
                  <c:v>237.54789272030655</c:v>
                </c:pt>
                <c:pt idx="237">
                  <c:v>238.50574712643686</c:v>
                </c:pt>
                <c:pt idx="238">
                  <c:v>239.46360153256708</c:v>
                </c:pt>
                <c:pt idx="239">
                  <c:v>240.42145593869736</c:v>
                </c:pt>
                <c:pt idx="240">
                  <c:v>241.37931034482756</c:v>
                </c:pt>
                <c:pt idx="241">
                  <c:v>242.33716475095787</c:v>
                </c:pt>
                <c:pt idx="242">
                  <c:v>243.29501915708818</c:v>
                </c:pt>
                <c:pt idx="243">
                  <c:v>244.5721583652618</c:v>
                </c:pt>
                <c:pt idx="244">
                  <c:v>245.53001277139211</c:v>
                </c:pt>
                <c:pt idx="245">
                  <c:v>246.48786717752242</c:v>
                </c:pt>
                <c:pt idx="246">
                  <c:v>247.44572158365264</c:v>
                </c:pt>
                <c:pt idx="247">
                  <c:v>248.40357598978295</c:v>
                </c:pt>
                <c:pt idx="248">
                  <c:v>249.36143039591315</c:v>
                </c:pt>
                <c:pt idx="249">
                  <c:v>250.31928480204346</c:v>
                </c:pt>
                <c:pt idx="250">
                  <c:v>251.59642401021713</c:v>
                </c:pt>
                <c:pt idx="251">
                  <c:v>252.55427841634736</c:v>
                </c:pt>
                <c:pt idx="252">
                  <c:v>253.5121328224777</c:v>
                </c:pt>
                <c:pt idx="253">
                  <c:v>254.46998722860798</c:v>
                </c:pt>
                <c:pt idx="254">
                  <c:v>255.4278416347382</c:v>
                </c:pt>
                <c:pt idx="255">
                  <c:v>256.38569604086854</c:v>
                </c:pt>
                <c:pt idx="256">
                  <c:v>257.66283524904219</c:v>
                </c:pt>
                <c:pt idx="257">
                  <c:v>258.62068965517244</c:v>
                </c:pt>
                <c:pt idx="258">
                  <c:v>259.57854406130269</c:v>
                </c:pt>
                <c:pt idx="259">
                  <c:v>260.53639846743295</c:v>
                </c:pt>
                <c:pt idx="260">
                  <c:v>261.49425287356325</c:v>
                </c:pt>
                <c:pt idx="261">
                  <c:v>262.45210727969356</c:v>
                </c:pt>
                <c:pt idx="262">
                  <c:v>263.40996168582376</c:v>
                </c:pt>
                <c:pt idx="263">
                  <c:v>264.68710089399747</c:v>
                </c:pt>
                <c:pt idx="264">
                  <c:v>265.64495530012778</c:v>
                </c:pt>
                <c:pt idx="265">
                  <c:v>266.60280970625797</c:v>
                </c:pt>
                <c:pt idx="266">
                  <c:v>267.56066411238828</c:v>
                </c:pt>
                <c:pt idx="267">
                  <c:v>268.51851851851848</c:v>
                </c:pt>
                <c:pt idx="268">
                  <c:v>269.47637292464884</c:v>
                </c:pt>
                <c:pt idx="269">
                  <c:v>270.43422733077909</c:v>
                </c:pt>
                <c:pt idx="270">
                  <c:v>271.71136653895275</c:v>
                </c:pt>
                <c:pt idx="271">
                  <c:v>272.66922094508305</c:v>
                </c:pt>
                <c:pt idx="272">
                  <c:v>273.62707535121331</c:v>
                </c:pt>
                <c:pt idx="273">
                  <c:v>274.58492975734356</c:v>
                </c:pt>
                <c:pt idx="274">
                  <c:v>275.54278416347387</c:v>
                </c:pt>
                <c:pt idx="275">
                  <c:v>276.50063856960406</c:v>
                </c:pt>
                <c:pt idx="276">
                  <c:v>277.77777777777777</c:v>
                </c:pt>
                <c:pt idx="277">
                  <c:v>278.73563218390808</c:v>
                </c:pt>
                <c:pt idx="278">
                  <c:v>279.69348659003828</c:v>
                </c:pt>
                <c:pt idx="279">
                  <c:v>280.65134099616864</c:v>
                </c:pt>
                <c:pt idx="280">
                  <c:v>281.60919540229889</c:v>
                </c:pt>
                <c:pt idx="281">
                  <c:v>282.56704980842909</c:v>
                </c:pt>
                <c:pt idx="282">
                  <c:v>283.52490421455946</c:v>
                </c:pt>
                <c:pt idx="283">
                  <c:v>284.80204342273311</c:v>
                </c:pt>
                <c:pt idx="284">
                  <c:v>285.75989782886336</c:v>
                </c:pt>
                <c:pt idx="285">
                  <c:v>286.71775223499367</c:v>
                </c:pt>
                <c:pt idx="286">
                  <c:v>287.67560664112386</c:v>
                </c:pt>
                <c:pt idx="287">
                  <c:v>288.63346104725417</c:v>
                </c:pt>
                <c:pt idx="288">
                  <c:v>289.59131545338448</c:v>
                </c:pt>
                <c:pt idx="289">
                  <c:v>290.86845466155808</c:v>
                </c:pt>
                <c:pt idx="290">
                  <c:v>291.82630906768844</c:v>
                </c:pt>
                <c:pt idx="291">
                  <c:v>292.78416347381869</c:v>
                </c:pt>
                <c:pt idx="292">
                  <c:v>293.74201787994889</c:v>
                </c:pt>
                <c:pt idx="293">
                  <c:v>294.69987228607926</c:v>
                </c:pt>
                <c:pt idx="294">
                  <c:v>295.65772669220945</c:v>
                </c:pt>
                <c:pt idx="295">
                  <c:v>296.61558109833976</c:v>
                </c:pt>
                <c:pt idx="296">
                  <c:v>297.89272030651347</c:v>
                </c:pt>
                <c:pt idx="297">
                  <c:v>298.85057471264366</c:v>
                </c:pt>
                <c:pt idx="298">
                  <c:v>299.80842911877397</c:v>
                </c:pt>
                <c:pt idx="299">
                  <c:v>300.76628352490428</c:v>
                </c:pt>
                <c:pt idx="300">
                  <c:v>301.72413793103448</c:v>
                </c:pt>
                <c:pt idx="301">
                  <c:v>302.68199233716479</c:v>
                </c:pt>
                <c:pt idx="302">
                  <c:v>303.63984674329504</c:v>
                </c:pt>
                <c:pt idx="303">
                  <c:v>304.91698595146869</c:v>
                </c:pt>
                <c:pt idx="304">
                  <c:v>305.87484035759906</c:v>
                </c:pt>
                <c:pt idx="305">
                  <c:v>306.83269476372925</c:v>
                </c:pt>
                <c:pt idx="306">
                  <c:v>307.79054916985956</c:v>
                </c:pt>
                <c:pt idx="307">
                  <c:v>308.74840357598987</c:v>
                </c:pt>
                <c:pt idx="308">
                  <c:v>309.70625798212006</c:v>
                </c:pt>
                <c:pt idx="309">
                  <c:v>310.98339719029377</c:v>
                </c:pt>
                <c:pt idx="310">
                  <c:v>311.94125159642402</c:v>
                </c:pt>
                <c:pt idx="311">
                  <c:v>312.89910600255428</c:v>
                </c:pt>
                <c:pt idx="312">
                  <c:v>313.85696040868459</c:v>
                </c:pt>
                <c:pt idx="313">
                  <c:v>314.81481481481484</c:v>
                </c:pt>
                <c:pt idx="314">
                  <c:v>315.77266922094509</c:v>
                </c:pt>
                <c:pt idx="315">
                  <c:v>316.73052362707546</c:v>
                </c:pt>
                <c:pt idx="316">
                  <c:v>318.00766283524905</c:v>
                </c:pt>
                <c:pt idx="317">
                  <c:v>318.96551724137936</c:v>
                </c:pt>
                <c:pt idx="318">
                  <c:v>319.92337164750967</c:v>
                </c:pt>
                <c:pt idx="319">
                  <c:v>320.88122605363981</c:v>
                </c:pt>
                <c:pt idx="320">
                  <c:v>321.83908045977017</c:v>
                </c:pt>
                <c:pt idx="321">
                  <c:v>322.79693486590037</c:v>
                </c:pt>
                <c:pt idx="322">
                  <c:v>323.75478927203068</c:v>
                </c:pt>
                <c:pt idx="323">
                  <c:v>325.03192848020439</c:v>
                </c:pt>
                <c:pt idx="324">
                  <c:v>325.98978288633464</c:v>
                </c:pt>
                <c:pt idx="325">
                  <c:v>326.94763729246489</c:v>
                </c:pt>
                <c:pt idx="326">
                  <c:v>327.90549169859526</c:v>
                </c:pt>
                <c:pt idx="327">
                  <c:v>328.86334610472545</c:v>
                </c:pt>
                <c:pt idx="328">
                  <c:v>329.8212005108557</c:v>
                </c:pt>
                <c:pt idx="329">
                  <c:v>331.09833971902947</c:v>
                </c:pt>
                <c:pt idx="330">
                  <c:v>332.05619412515961</c:v>
                </c:pt>
                <c:pt idx="331">
                  <c:v>333.01404853128997</c:v>
                </c:pt>
                <c:pt idx="332">
                  <c:v>333.97190293742017</c:v>
                </c:pt>
                <c:pt idx="333">
                  <c:v>334.92975734355048</c:v>
                </c:pt>
                <c:pt idx="334">
                  <c:v>335.88761174968079</c:v>
                </c:pt>
                <c:pt idx="335">
                  <c:v>336.84546615581104</c:v>
                </c:pt>
                <c:pt idx="336">
                  <c:v>338.12260536398469</c:v>
                </c:pt>
                <c:pt idx="337">
                  <c:v>339.08045977011506</c:v>
                </c:pt>
                <c:pt idx="338">
                  <c:v>340.03831417624525</c:v>
                </c:pt>
                <c:pt idx="339">
                  <c:v>340.9961685823755</c:v>
                </c:pt>
                <c:pt idx="340">
                  <c:v>341.95402298850576</c:v>
                </c:pt>
                <c:pt idx="341">
                  <c:v>342.91187739463601</c:v>
                </c:pt>
                <c:pt idx="342">
                  <c:v>343.86973180076637</c:v>
                </c:pt>
                <c:pt idx="343">
                  <c:v>345.14687100893997</c:v>
                </c:pt>
                <c:pt idx="344">
                  <c:v>346.10472541507028</c:v>
                </c:pt>
                <c:pt idx="345">
                  <c:v>347.06257982120059</c:v>
                </c:pt>
                <c:pt idx="346">
                  <c:v>348.02043422733084</c:v>
                </c:pt>
                <c:pt idx="347">
                  <c:v>348.97828863346109</c:v>
                </c:pt>
                <c:pt idx="348">
                  <c:v>349.93614303959129</c:v>
                </c:pt>
                <c:pt idx="349">
                  <c:v>351.21328224776505</c:v>
                </c:pt>
                <c:pt idx="350">
                  <c:v>352.1711366538953</c:v>
                </c:pt>
                <c:pt idx="351">
                  <c:v>353.12899106002556</c:v>
                </c:pt>
                <c:pt idx="352">
                  <c:v>354.08684546615581</c:v>
                </c:pt>
                <c:pt idx="353">
                  <c:v>355.04469987228617</c:v>
                </c:pt>
                <c:pt idx="354">
                  <c:v>356.00255427841637</c:v>
                </c:pt>
                <c:pt idx="355">
                  <c:v>356.96040868454662</c:v>
                </c:pt>
                <c:pt idx="356">
                  <c:v>358.23754789272039</c:v>
                </c:pt>
                <c:pt idx="357">
                  <c:v>359.19540229885058</c:v>
                </c:pt>
                <c:pt idx="358">
                  <c:v>360.15325670498089</c:v>
                </c:pt>
                <c:pt idx="359">
                  <c:v>361.11111111111109</c:v>
                </c:pt>
                <c:pt idx="360">
                  <c:v>362.06896551724145</c:v>
                </c:pt>
                <c:pt idx="361">
                  <c:v>363.0268199233717</c:v>
                </c:pt>
                <c:pt idx="362">
                  <c:v>364.30395913154535</c:v>
                </c:pt>
                <c:pt idx="363">
                  <c:v>365.26181353767561</c:v>
                </c:pt>
                <c:pt idx="364">
                  <c:v>366.21966794380597</c:v>
                </c:pt>
                <c:pt idx="365">
                  <c:v>367.17752234993617</c:v>
                </c:pt>
                <c:pt idx="366">
                  <c:v>368.13537675606642</c:v>
                </c:pt>
                <c:pt idx="367">
                  <c:v>369.09323116219667</c:v>
                </c:pt>
                <c:pt idx="368">
                  <c:v>370.05108556832698</c:v>
                </c:pt>
                <c:pt idx="369">
                  <c:v>371.32822477650069</c:v>
                </c:pt>
                <c:pt idx="370">
                  <c:v>372.28607918263089</c:v>
                </c:pt>
                <c:pt idx="371">
                  <c:v>373.24393358876125</c:v>
                </c:pt>
                <c:pt idx="372">
                  <c:v>374.2017879948915</c:v>
                </c:pt>
                <c:pt idx="373">
                  <c:v>375.15964240102176</c:v>
                </c:pt>
                <c:pt idx="374">
                  <c:v>376.11749680715201</c:v>
                </c:pt>
                <c:pt idx="375">
                  <c:v>377.0753512132822</c:v>
                </c:pt>
                <c:pt idx="376">
                  <c:v>378.35249042145597</c:v>
                </c:pt>
                <c:pt idx="377">
                  <c:v>379.31034482758622</c:v>
                </c:pt>
                <c:pt idx="378">
                  <c:v>380.26819923371647</c:v>
                </c:pt>
                <c:pt idx="379">
                  <c:v>381.22605363984678</c:v>
                </c:pt>
                <c:pt idx="380">
                  <c:v>382.18390804597709</c:v>
                </c:pt>
                <c:pt idx="381">
                  <c:v>383.14176245210729</c:v>
                </c:pt>
                <c:pt idx="382">
                  <c:v>384.41890166028099</c:v>
                </c:pt>
                <c:pt idx="383">
                  <c:v>385.3767560664113</c:v>
                </c:pt>
                <c:pt idx="384">
                  <c:v>386.33461047254156</c:v>
                </c:pt>
                <c:pt idx="385">
                  <c:v>387.29246487867181</c:v>
                </c:pt>
                <c:pt idx="386">
                  <c:v>388.250319284802</c:v>
                </c:pt>
                <c:pt idx="387">
                  <c:v>389.20817369093237</c:v>
                </c:pt>
                <c:pt idx="388">
                  <c:v>390.16602809706262</c:v>
                </c:pt>
                <c:pt idx="389">
                  <c:v>391.44316730523627</c:v>
                </c:pt>
                <c:pt idx="390">
                  <c:v>392.40102171136658</c:v>
                </c:pt>
                <c:pt idx="391">
                  <c:v>393.35887611749689</c:v>
                </c:pt>
                <c:pt idx="392">
                  <c:v>394.31673052362709</c:v>
                </c:pt>
                <c:pt idx="393">
                  <c:v>395.27458492975734</c:v>
                </c:pt>
                <c:pt idx="394">
                  <c:v>396.23243933588759</c:v>
                </c:pt>
                <c:pt idx="395">
                  <c:v>397.1902937420179</c:v>
                </c:pt>
                <c:pt idx="396">
                  <c:v>398.46743295019161</c:v>
                </c:pt>
                <c:pt idx="397">
                  <c:v>399.4252873563218</c:v>
                </c:pt>
                <c:pt idx="398">
                  <c:v>400.38314176245217</c:v>
                </c:pt>
                <c:pt idx="399">
                  <c:v>401.34099616858242</c:v>
                </c:pt>
                <c:pt idx="400">
                  <c:v>402.29885057471267</c:v>
                </c:pt>
                <c:pt idx="401">
                  <c:v>403.25670498084298</c:v>
                </c:pt>
                <c:pt idx="402">
                  <c:v>404.53384418901669</c:v>
                </c:pt>
                <c:pt idx="403">
                  <c:v>405.49169859514689</c:v>
                </c:pt>
                <c:pt idx="404">
                  <c:v>406.44955300127714</c:v>
                </c:pt>
                <c:pt idx="405">
                  <c:v>407.40740740740739</c:v>
                </c:pt>
                <c:pt idx="406">
                  <c:v>408.3652618135377</c:v>
                </c:pt>
                <c:pt idx="407">
                  <c:v>409.32311621966801</c:v>
                </c:pt>
                <c:pt idx="408">
                  <c:v>410.2809706257982</c:v>
                </c:pt>
                <c:pt idx="409">
                  <c:v>411.55810983397197</c:v>
                </c:pt>
                <c:pt idx="410">
                  <c:v>412.51596424010222</c:v>
                </c:pt>
                <c:pt idx="411">
                  <c:v>413.47381864623247</c:v>
                </c:pt>
                <c:pt idx="412">
                  <c:v>414.43167305236278</c:v>
                </c:pt>
                <c:pt idx="413">
                  <c:v>415.38952745849292</c:v>
                </c:pt>
                <c:pt idx="414">
                  <c:v>416.34738186462329</c:v>
                </c:pt>
                <c:pt idx="415">
                  <c:v>417.30523627075354</c:v>
                </c:pt>
                <c:pt idx="416">
                  <c:v>418.58237547892719</c:v>
                </c:pt>
                <c:pt idx="417">
                  <c:v>419.5402298850575</c:v>
                </c:pt>
                <c:pt idx="418">
                  <c:v>420.49808429118781</c:v>
                </c:pt>
                <c:pt idx="419">
                  <c:v>421.455938697318</c:v>
                </c:pt>
                <c:pt idx="420">
                  <c:v>422.41379310344837</c:v>
                </c:pt>
                <c:pt idx="421">
                  <c:v>423.37164750957857</c:v>
                </c:pt>
                <c:pt idx="422">
                  <c:v>424.64878671775227</c:v>
                </c:pt>
                <c:pt idx="423">
                  <c:v>425.60664112388258</c:v>
                </c:pt>
                <c:pt idx="424">
                  <c:v>426.56449553001272</c:v>
                </c:pt>
                <c:pt idx="425">
                  <c:v>427.52234993614309</c:v>
                </c:pt>
                <c:pt idx="426">
                  <c:v>428.48020434227334</c:v>
                </c:pt>
                <c:pt idx="427">
                  <c:v>429.43805874840359</c:v>
                </c:pt>
                <c:pt idx="428">
                  <c:v>430.3959131545339</c:v>
                </c:pt>
                <c:pt idx="429">
                  <c:v>431.67305236270761</c:v>
                </c:pt>
                <c:pt idx="430">
                  <c:v>432.6309067688378</c:v>
                </c:pt>
                <c:pt idx="431">
                  <c:v>433.58876117496811</c:v>
                </c:pt>
                <c:pt idx="432">
                  <c:v>434.54661558109837</c:v>
                </c:pt>
                <c:pt idx="433">
                  <c:v>435.50446998722862</c:v>
                </c:pt>
                <c:pt idx="434">
                  <c:v>436.46232439335898</c:v>
                </c:pt>
                <c:pt idx="435">
                  <c:v>437.73946360153252</c:v>
                </c:pt>
                <c:pt idx="436">
                  <c:v>438.69731800766289</c:v>
                </c:pt>
                <c:pt idx="437">
                  <c:v>439.65517241379314</c:v>
                </c:pt>
                <c:pt idx="438">
                  <c:v>440.61302681992339</c:v>
                </c:pt>
                <c:pt idx="439">
                  <c:v>441.5708812260537</c:v>
                </c:pt>
                <c:pt idx="440">
                  <c:v>442.5287356321839</c:v>
                </c:pt>
                <c:pt idx="441">
                  <c:v>443.4865900383142</c:v>
                </c:pt>
                <c:pt idx="442">
                  <c:v>444.76372924648791</c:v>
                </c:pt>
                <c:pt idx="443">
                  <c:v>445.72158365261816</c:v>
                </c:pt>
                <c:pt idx="444">
                  <c:v>446.67943805874842</c:v>
                </c:pt>
                <c:pt idx="445">
                  <c:v>447.63729246487878</c:v>
                </c:pt>
                <c:pt idx="446">
                  <c:v>448.59514687100892</c:v>
                </c:pt>
                <c:pt idx="447">
                  <c:v>449.55300127713929</c:v>
                </c:pt>
                <c:pt idx="448">
                  <c:v>450.51085568326948</c:v>
                </c:pt>
                <c:pt idx="449">
                  <c:v>451.78799489144319</c:v>
                </c:pt>
                <c:pt idx="450">
                  <c:v>452.7458492975735</c:v>
                </c:pt>
                <c:pt idx="451">
                  <c:v>453.7037037037037</c:v>
                </c:pt>
                <c:pt idx="452">
                  <c:v>454.661558109834</c:v>
                </c:pt>
                <c:pt idx="453">
                  <c:v>455.61941251596431</c:v>
                </c:pt>
                <c:pt idx="454">
                  <c:v>456.57726692209457</c:v>
                </c:pt>
                <c:pt idx="455">
                  <c:v>457.85440613026822</c:v>
                </c:pt>
                <c:pt idx="456">
                  <c:v>458.81226053639858</c:v>
                </c:pt>
                <c:pt idx="457">
                  <c:v>459.77011494252872</c:v>
                </c:pt>
                <c:pt idx="458">
                  <c:v>460.72796934865909</c:v>
                </c:pt>
                <c:pt idx="459">
                  <c:v>461.68582375478928</c:v>
                </c:pt>
                <c:pt idx="460">
                  <c:v>462.64367816091954</c:v>
                </c:pt>
                <c:pt idx="461">
                  <c:v>463.6015325670499</c:v>
                </c:pt>
                <c:pt idx="462">
                  <c:v>464.87867177522349</c:v>
                </c:pt>
                <c:pt idx="463">
                  <c:v>465.8365261813538</c:v>
                </c:pt>
                <c:pt idx="464">
                  <c:v>466.79438058748411</c:v>
                </c:pt>
                <c:pt idx="465">
                  <c:v>467.75223499361437</c:v>
                </c:pt>
                <c:pt idx="466">
                  <c:v>468.71008939974462</c:v>
                </c:pt>
                <c:pt idx="467">
                  <c:v>469.66794380587487</c:v>
                </c:pt>
                <c:pt idx="468">
                  <c:v>470.62579821200512</c:v>
                </c:pt>
                <c:pt idx="469">
                  <c:v>471.90293742017889</c:v>
                </c:pt>
                <c:pt idx="470">
                  <c:v>472.86079182630908</c:v>
                </c:pt>
                <c:pt idx="471">
                  <c:v>473.81864623243933</c:v>
                </c:pt>
                <c:pt idx="472">
                  <c:v>474.7765006385697</c:v>
                </c:pt>
                <c:pt idx="473">
                  <c:v>475.7343550446999</c:v>
                </c:pt>
                <c:pt idx="474">
                  <c:v>476.69220945083021</c:v>
                </c:pt>
                <c:pt idx="475">
                  <c:v>477.96934865900391</c:v>
                </c:pt>
                <c:pt idx="476">
                  <c:v>478.92720306513417</c:v>
                </c:pt>
                <c:pt idx="477">
                  <c:v>479.88505747126442</c:v>
                </c:pt>
                <c:pt idx="478">
                  <c:v>480.84291187739461</c:v>
                </c:pt>
                <c:pt idx="479">
                  <c:v>481.80076628352492</c:v>
                </c:pt>
                <c:pt idx="480">
                  <c:v>482.75862068965523</c:v>
                </c:pt>
                <c:pt idx="481">
                  <c:v>483.71647509578548</c:v>
                </c:pt>
                <c:pt idx="482">
                  <c:v>484.99361430395913</c:v>
                </c:pt>
                <c:pt idx="483">
                  <c:v>485.9514687100895</c:v>
                </c:pt>
                <c:pt idx="484">
                  <c:v>486.9093231162197</c:v>
                </c:pt>
                <c:pt idx="485">
                  <c:v>487.86717752235</c:v>
                </c:pt>
                <c:pt idx="486">
                  <c:v>488.8250319284802</c:v>
                </c:pt>
                <c:pt idx="487">
                  <c:v>489.78288633461051</c:v>
                </c:pt>
                <c:pt idx="488">
                  <c:v>490.74074074074082</c:v>
                </c:pt>
                <c:pt idx="489">
                  <c:v>492.01787994891441</c:v>
                </c:pt>
                <c:pt idx="490">
                  <c:v>492.97573435504472</c:v>
                </c:pt>
                <c:pt idx="491">
                  <c:v>493.93358876117503</c:v>
                </c:pt>
                <c:pt idx="492">
                  <c:v>494.89144316730528</c:v>
                </c:pt>
                <c:pt idx="493">
                  <c:v>495.84929757343554</c:v>
                </c:pt>
                <c:pt idx="494">
                  <c:v>496.80715197956579</c:v>
                </c:pt>
                <c:pt idx="495">
                  <c:v>498.0842911877395</c:v>
                </c:pt>
                <c:pt idx="496">
                  <c:v>499.0421455938698</c:v>
                </c:pt>
                <c:pt idx="497">
                  <c:v>500</c:v>
                </c:pt>
                <c:pt idx="498">
                  <c:v>498.79807692307696</c:v>
                </c:pt>
                <c:pt idx="499">
                  <c:v>500</c:v>
                </c:pt>
                <c:pt idx="500">
                  <c:v>500</c:v>
                </c:pt>
              </c:numCache>
            </c:numRef>
          </c:xVal>
          <c:yVal>
            <c:numRef>
              <c:f>'sheet 1'!$P$39:$P$841</c:f>
              <c:numCache>
                <c:formatCode>General</c:formatCode>
                <c:ptCount val="803"/>
                <c:pt idx="0">
                  <c:v>5171.3708737780671</c:v>
                </c:pt>
                <c:pt idx="1">
                  <c:v>5047.7598263392865</c:v>
                </c:pt>
                <c:pt idx="2">
                  <c:v>4927.9561963567157</c:v>
                </c:pt>
                <c:pt idx="3">
                  <c:v>4811.8222825210996</c:v>
                </c:pt>
                <c:pt idx="4">
                  <c:v>4662.4578376081035</c:v>
                </c:pt>
                <c:pt idx="5">
                  <c:v>4554.3817222213647</c:v>
                </c:pt>
                <c:pt idx="6">
                  <c:v>4449.5549611717361</c:v>
                </c:pt>
                <c:pt idx="7">
                  <c:v>4347.8621726996662</c:v>
                </c:pt>
                <c:pt idx="8">
                  <c:v>4249.1925536493354</c:v>
                </c:pt>
                <c:pt idx="9">
                  <c:v>4153.4396845779611</c:v>
                </c:pt>
                <c:pt idx="10">
                  <c:v>4060.5013434344582</c:v>
                </c:pt>
                <c:pt idx="11">
                  <c:v>3940.7925341365985</c:v>
                </c:pt>
                <c:pt idx="12">
                  <c:v>3854.0461540871302</c:v>
                </c:pt>
                <c:pt idx="13">
                  <c:v>3769.8016472961954</c:v>
                </c:pt>
                <c:pt idx="14">
                  <c:v>3687.9730202010687</c:v>
                </c:pt>
                <c:pt idx="15">
                  <c:v>3608.4776129257334</c:v>
                </c:pt>
                <c:pt idx="16">
                  <c:v>3531.2359591803865</c:v>
                </c:pt>
                <c:pt idx="17">
                  <c:v>3431.6212901165486</c:v>
                </c:pt>
                <c:pt idx="18">
                  <c:v>3359.3463069246109</c:v>
                </c:pt>
                <c:pt idx="19">
                  <c:v>3289.0815783742437</c:v>
                </c:pt>
                <c:pt idx="20">
                  <c:v>3220.7600030733092</c:v>
                </c:pt>
                <c:pt idx="21">
                  <c:v>3154.3170237040094</c:v>
                </c:pt>
                <c:pt idx="22">
                  <c:v>3089.69052162558</c:v>
                </c:pt>
                <c:pt idx="23">
                  <c:v>3026.8207160955503</c:v>
                </c:pt>
                <c:pt idx="24">
                  <c:v>2945.6278086029547</c:v>
                </c:pt>
                <c:pt idx="25">
                  <c:v>2886.6369002904826</c:v>
                </c:pt>
                <c:pt idx="26">
                  <c:v>2829.2190980785363</c:v>
                </c:pt>
                <c:pt idx="27">
                  <c:v>2773.3236912385619</c:v>
                </c:pt>
                <c:pt idx="28">
                  <c:v>2718.9018393033052</c:v>
                </c:pt>
                <c:pt idx="29">
                  <c:v>2665.9064960899386</c:v>
                </c:pt>
                <c:pt idx="30">
                  <c:v>2614.2923370199537</c:v>
                </c:pt>
                <c:pt idx="31">
                  <c:v>2547.5467131924302</c:v>
                </c:pt>
                <c:pt idx="32">
                  <c:v>2498.9882108324705</c:v>
                </c:pt>
                <c:pt idx="33">
                  <c:v>2451.6713739949387</c:v>
                </c:pt>
                <c:pt idx="34">
                  <c:v>2405.5575725145522</c:v>
                </c:pt>
                <c:pt idx="35">
                  <c:v>2360.6095600484623</c:v>
                </c:pt>
                <c:pt idx="36">
                  <c:v>2316.7914190943138</c:v>
                </c:pt>
                <c:pt idx="37">
                  <c:v>2260.0651127238325</c:v>
                </c:pt>
                <c:pt idx="38">
                  <c:v>2218.7507342292015</c:v>
                </c:pt>
                <c:pt idx="39">
                  <c:v>2178.4554403178445</c:v>
                </c:pt>
                <c:pt idx="40">
                  <c:v>2139.1484917448306</c:v>
                </c:pt>
                <c:pt idx="41">
                  <c:v>2100.8002221253892</c:v>
                </c:pt>
                <c:pt idx="42">
                  <c:v>2063.3819961844661</c:v>
                </c:pt>
                <c:pt idx="43">
                  <c:v>2026.8661697668913</c:v>
                </c:pt>
                <c:pt idx="44">
                  <c:v>1979.5361332501132</c:v>
                </c:pt>
                <c:pt idx="45">
                  <c:v>1945.0236843628436</c:v>
                </c:pt>
                <c:pt idx="46">
                  <c:v>1911.3281659470063</c:v>
                </c:pt>
                <c:pt idx="47">
                  <c:v>1878.4258061419901</c:v>
                </c:pt>
                <c:pt idx="48">
                  <c:v>1846.293637579784</c:v>
                </c:pt>
                <c:pt idx="49">
                  <c:v>1814.9094668651653</c:v>
                </c:pt>
                <c:pt idx="50">
                  <c:v>1784.2518453182977</c:v>
                </c:pt>
                <c:pt idx="51">
                  <c:v>1744.4694709212542</c:v>
                </c:pt>
                <c:pt idx="52">
                  <c:v>1715.4276947182816</c:v>
                </c:pt>
                <c:pt idx="53">
                  <c:v>1687.0459989674289</c:v>
                </c:pt>
                <c:pt idx="54">
                  <c:v>1659.305852386851</c:v>
                </c:pt>
                <c:pt idx="55">
                  <c:v>1632.189331505798</c:v>
                </c:pt>
                <c:pt idx="56">
                  <c:v>1605.6790982111625</c:v>
                </c:pt>
                <c:pt idx="57">
                  <c:v>1571.2463205066933</c:v>
                </c:pt>
                <c:pt idx="58">
                  <c:v>1546.0864607440644</c:v>
                </c:pt>
                <c:pt idx="59">
                  <c:v>1521.479052261398</c:v>
                </c:pt>
                <c:pt idx="60">
                  <c:v>1497.4090554273023</c:v>
                </c:pt>
                <c:pt idx="61">
                  <c:v>1473.86191064442</c:v>
                </c:pt>
                <c:pt idx="62">
                  <c:v>1450.8235210299015</c:v>
                </c:pt>
                <c:pt idx="63">
                  <c:v>1428.2802357835524</c:v>
                </c:pt>
                <c:pt idx="64">
                  <c:v>1398.9698939211285</c:v>
                </c:pt>
                <c:pt idx="65">
                  <c:v>1377.531153146474</c:v>
                </c:pt>
                <c:pt idx="66">
                  <c:v>1356.5450353545868</c:v>
                </c:pt>
                <c:pt idx="67">
                  <c:v>1335.9996460797361</c:v>
                </c:pt>
                <c:pt idx="68">
                  <c:v>1315.8834586935375</c:v>
                </c:pt>
                <c:pt idx="69">
                  <c:v>1296.1853014977605</c:v>
                </c:pt>
                <c:pt idx="70">
                  <c:v>1270.5526918355747</c:v>
                </c:pt>
                <c:pt idx="71">
                  <c:v>1251.7883947002999</c:v>
                </c:pt>
                <c:pt idx="72">
                  <c:v>1233.4072964005484</c:v>
                </c:pt>
                <c:pt idx="73">
                  <c:v>1215.3996259097066</c:v>
                </c:pt>
                <c:pt idx="74">
                  <c:v>1197.7559062516309</c:v>
                </c:pt>
                <c:pt idx="75">
                  <c:v>1180.4669444304307</c:v>
                </c:pt>
                <c:pt idx="76">
                  <c:v>1163.5238217425258</c:v>
                </c:pt>
                <c:pt idx="77">
                  <c:v>1141.4560434483728</c:v>
                </c:pt>
                <c:pt idx="78">
                  <c:v>1125.2866665543129</c:v>
                </c:pt>
                <c:pt idx="79">
                  <c:v>1109.435263702866</c:v>
                </c:pt>
                <c:pt idx="80">
                  <c:v>1093.894001482244</c:v>
                </c:pt>
                <c:pt idx="81">
                  <c:v>1078.6552749397742</c:v>
                </c:pt>
                <c:pt idx="82">
                  <c:v>1063.7116999763787</c:v>
                </c:pt>
                <c:pt idx="83">
                  <c:v>1049.0561060226091</c:v>
                </c:pt>
                <c:pt idx="84">
                  <c:v>1029.9512767264289</c:v>
                </c:pt>
                <c:pt idx="85">
                  <c:v>1015.9409000567153</c:v>
                </c:pt>
                <c:pt idx="86">
                  <c:v>1002.1960560118366</c:v>
                </c:pt>
                <c:pt idx="87">
                  <c:v>988.71042106013874</c:v>
                </c:pt>
                <c:pt idx="88">
                  <c:v>975.47785044616091</c:v>
                </c:pt>
                <c:pt idx="89">
                  <c:v>962.49237240543755</c:v>
                </c:pt>
                <c:pt idx="90">
                  <c:v>945.55275913932769</c:v>
                </c:pt>
                <c:pt idx="91">
                  <c:v>933.12153728125713</c:v>
                </c:pt>
                <c:pt idx="92">
                  <c:v>920.91868138234156</c:v>
                </c:pt>
                <c:pt idx="93">
                  <c:v>908.93890738384198</c:v>
                </c:pt>
                <c:pt idx="94">
                  <c:v>897.17707669585081</c:v>
                </c:pt>
                <c:pt idx="95">
                  <c:v>885.62819160351353</c:v>
                </c:pt>
                <c:pt idx="96">
                  <c:v>874.28739083540574</c:v>
                </c:pt>
                <c:pt idx="97">
                  <c:v>859.48185463108075</c:v>
                </c:pt>
                <c:pt idx="98">
                  <c:v>848.60841372450284</c:v>
                </c:pt>
                <c:pt idx="99">
                  <c:v>837.92778454140978</c:v>
                </c:pt>
                <c:pt idx="100">
                  <c:v>827.4356495382267</c:v>
                </c:pt>
                <c:pt idx="101">
                  <c:v>817.12780647046884</c:v>
                </c:pt>
                <c:pt idx="102">
                  <c:v>807.00016485272295</c:v>
                </c:pt>
                <c:pt idx="103">
                  <c:v>797.04874254040328</c:v>
                </c:pt>
                <c:pt idx="104">
                  <c:v>784.04761193769207</c:v>
                </c:pt>
                <c:pt idx="105">
                  <c:v>774.49246596872081</c:v>
                </c:pt>
                <c:pt idx="106">
                  <c:v>765.10100640338749</c:v>
                </c:pt>
                <c:pt idx="107">
                  <c:v>755.86968384470879</c:v>
                </c:pt>
                <c:pt idx="108">
                  <c:v>746.79504088071428</c:v>
                </c:pt>
                <c:pt idx="109">
                  <c:v>737.87370933798013</c:v>
                </c:pt>
                <c:pt idx="110">
                  <c:v>726.21142531421435</c:v>
                </c:pt>
                <c:pt idx="111">
                  <c:v>717.63520354323248</c:v>
                </c:pt>
                <c:pt idx="112">
                  <c:v>709.20167702589958</c:v>
                </c:pt>
                <c:pt idx="113">
                  <c:v>700.90783473049692</c:v>
                </c:pt>
                <c:pt idx="114">
                  <c:v>692.75074169081643</c:v>
                </c:pt>
                <c:pt idx="115">
                  <c:v>684.72753678861739</c:v>
                </c:pt>
                <c:pt idx="116">
                  <c:v>676.83543060878753</c:v>
                </c:pt>
                <c:pt idx="117">
                  <c:v>666.51186262625322</c:v>
                </c:pt>
                <c:pt idx="118">
                  <c:v>658.91519311196839</c:v>
                </c:pt>
                <c:pt idx="119">
                  <c:v>651.44081598780565</c:v>
                </c:pt>
                <c:pt idx="120">
                  <c:v>644.08622942652835</c:v>
                </c:pt>
                <c:pt idx="121">
                  <c:v>636.84899298876667</c:v>
                </c:pt>
                <c:pt idx="122">
                  <c:v>629.72672588166427</c:v>
                </c:pt>
                <c:pt idx="123">
                  <c:v>622.71710527318555</c:v>
                </c:pt>
                <c:pt idx="124">
                  <c:v>613.54226285088475</c:v>
                </c:pt>
                <c:pt idx="125">
                  <c:v>606.78676429915151</c:v>
                </c:pt>
                <c:pt idx="126">
                  <c:v>600.13656750858286</c:v>
                </c:pt>
                <c:pt idx="127">
                  <c:v>593.58958260344332</c:v>
                </c:pt>
                <c:pt idx="128">
                  <c:v>587.14376954046247</c:v>
                </c:pt>
                <c:pt idx="129">
                  <c:v>580.79713673293566</c:v>
                </c:pt>
                <c:pt idx="130">
                  <c:v>572.48588587861775</c:v>
                </c:pt>
                <c:pt idx="131">
                  <c:v>566.36319090054087</c:v>
                </c:pt>
                <c:pt idx="132">
                  <c:v>560.33337071139442</c:v>
                </c:pt>
                <c:pt idx="133">
                  <c:v>554.39462881992608</c:v>
                </c:pt>
                <c:pt idx="134">
                  <c:v>548.54521054238046</c:v>
                </c:pt>
                <c:pt idx="135">
                  <c:v>542.78340187445303</c:v>
                </c:pt>
                <c:pt idx="136">
                  <c:v>537.10752839762517</c:v>
                </c:pt>
                <c:pt idx="137">
                  <c:v>529.67055200958464</c:v>
                </c:pt>
                <c:pt idx="138">
                  <c:v>524.18889683739269</c:v>
                </c:pt>
                <c:pt idx="139">
                  <c:v>518.78786798154056</c:v>
                </c:pt>
                <c:pt idx="140">
                  <c:v>513.4659507123414</c:v>
                </c:pt>
                <c:pt idx="141">
                  <c:v>508.22166458776383</c:v>
                </c:pt>
                <c:pt idx="142">
                  <c:v>503.05356255229384</c:v>
                </c:pt>
                <c:pt idx="143">
                  <c:v>496.27882810823223</c:v>
                </c:pt>
                <c:pt idx="144">
                  <c:v>491.28304255386723</c:v>
                </c:pt>
                <c:pt idx="145">
                  <c:v>486.3588476613254</c:v>
                </c:pt>
                <c:pt idx="146">
                  <c:v>481.50493127286666</c:v>
                </c:pt>
                <c:pt idx="147">
                  <c:v>476.72001024282304</c:v>
                </c:pt>
                <c:pt idx="148">
                  <c:v>472.00282969199259</c:v>
                </c:pt>
                <c:pt idx="149">
                  <c:v>467.352162283734</c:v>
                </c:pt>
                <c:pt idx="150">
                  <c:v>461.25266614176593</c:v>
                </c:pt>
                <c:pt idx="151">
                  <c:v>456.75257258074402</c:v>
                </c:pt>
                <c:pt idx="152">
                  <c:v>452.31509108470289</c:v>
                </c:pt>
                <c:pt idx="153">
                  <c:v>447.93910580182973</c:v>
                </c:pt>
                <c:pt idx="154">
                  <c:v>443.62352490073147</c:v>
                </c:pt>
                <c:pt idx="155">
                  <c:v>439.36727996867916</c:v>
                </c:pt>
                <c:pt idx="156">
                  <c:v>435.16932542694775</c:v>
                </c:pt>
                <c:pt idx="157">
                  <c:v>429.66096109419527</c:v>
                </c:pt>
                <c:pt idx="158">
                  <c:v>425.59507536583698</c:v>
                </c:pt>
                <c:pt idx="159">
                  <c:v>421.58415250253609</c:v>
                </c:pt>
                <c:pt idx="160">
                  <c:v>417.6272395102846</c:v>
                </c:pt>
                <c:pt idx="161">
                  <c:v>413.72340337813222</c:v>
                </c:pt>
                <c:pt idx="162">
                  <c:v>409.87173058999531</c:v>
                </c:pt>
                <c:pt idx="163">
                  <c:v>404.81576649156466</c:v>
                </c:pt>
                <c:pt idx="164">
                  <c:v>401.08236158961364</c:v>
                </c:pt>
                <c:pt idx="165">
                  <c:v>397.39820977751441</c:v>
                </c:pt>
                <c:pt idx="166">
                  <c:v>393.76247669756378</c:v>
                </c:pt>
                <c:pt idx="167">
                  <c:v>390.17434510200093</c:v>
                </c:pt>
                <c:pt idx="168">
                  <c:v>386.6330144438403</c:v>
                </c:pt>
                <c:pt idx="169">
                  <c:v>383.1377004788277</c:v>
                </c:pt>
                <c:pt idx="170">
                  <c:v>378.54753765097553</c:v>
                </c:pt>
                <c:pt idx="171">
                  <c:v>375.15663482862567</c:v>
                </c:pt>
                <c:pt idx="172">
                  <c:v>371.80924739925644</c:v>
                </c:pt>
                <c:pt idx="173">
                  <c:v>368.50465742063989</c:v>
                </c:pt>
                <c:pt idx="174">
                  <c:v>365.24216130473036</c:v>
                </c:pt>
                <c:pt idx="175">
                  <c:v>362.02106948265947</c:v>
                </c:pt>
                <c:pt idx="176">
                  <c:v>358.8407060786223</c:v>
                </c:pt>
                <c:pt idx="177">
                  <c:v>354.66243368255982</c:v>
                </c:pt>
                <c:pt idx="178">
                  <c:v>351.57454940470416</c:v>
                </c:pt>
                <c:pt idx="179">
                  <c:v>348.52523550579446</c:v>
                </c:pt>
                <c:pt idx="180">
                  <c:v>345.51387188364021</c:v>
                </c:pt>
                <c:pt idx="181">
                  <c:v>342.53985052953806</c:v>
                </c:pt>
                <c:pt idx="182">
                  <c:v>339.60257525270407</c:v>
                </c:pt>
                <c:pt idx="183">
                  <c:v>335.74235992123323</c:v>
                </c:pt>
                <c:pt idx="184">
                  <c:v>332.88857135971625</c:v>
                </c:pt>
                <c:pt idx="185">
                  <c:v>330.06962352971908</c:v>
                </c:pt>
                <c:pt idx="186">
                  <c:v>327.28496843734683</c:v>
                </c:pt>
                <c:pt idx="187">
                  <c:v>324.53406855273766</c:v>
                </c:pt>
                <c:pt idx="188">
                  <c:v>321.81639657642995</c:v>
                </c:pt>
                <c:pt idx="189">
                  <c:v>319.13143521166796</c:v>
                </c:pt>
                <c:pt idx="190">
                  <c:v>315.60149409241717</c:v>
                </c:pt>
                <c:pt idx="191">
                  <c:v>312.9909003154404</c:v>
                </c:pt>
                <c:pt idx="192">
                  <c:v>310.41136226162945</c:v>
                </c:pt>
                <c:pt idx="193">
                  <c:v>307.862403485747</c:v>
                </c:pt>
                <c:pt idx="194">
                  <c:v>305.34355642452522</c:v>
                </c:pt>
                <c:pt idx="195">
                  <c:v>302.85436220289768</c:v>
                </c:pt>
                <c:pt idx="196">
                  <c:v>300.39437044505195</c:v>
                </c:pt>
                <c:pt idx="197">
                  <c:v>297.15904460876123</c:v>
                </c:pt>
                <c:pt idx="198">
                  <c:v>294.7654868433147</c:v>
                </c:pt>
                <c:pt idx="199">
                  <c:v>292.39968934047232</c:v>
                </c:pt>
                <c:pt idx="200">
                  <c:v>290.0612364828221</c:v>
                </c:pt>
                <c:pt idx="201">
                  <c:v>287.74972022052589</c:v>
                </c:pt>
                <c:pt idx="202">
                  <c:v>285.46473990994616</c:v>
                </c:pt>
                <c:pt idx="203">
                  <c:v>282.45869872600707</c:v>
                </c:pt>
                <c:pt idx="204">
                  <c:v>280.23411800861737</c:v>
                </c:pt>
                <c:pt idx="205">
                  <c:v>278.03478926022774</c:v>
                </c:pt>
                <c:pt idx="206">
                  <c:v>275.86034215961149</c:v>
                </c:pt>
                <c:pt idx="207">
                  <c:v>273.71041299485</c:v>
                </c:pt>
                <c:pt idx="208">
                  <c:v>271.58464452509628</c:v>
                </c:pt>
                <c:pt idx="209">
                  <c:v>269.48268584563903</c:v>
                </c:pt>
                <c:pt idx="210">
                  <c:v>266.71651682385351</c:v>
                </c:pt>
                <c:pt idx="211">
                  <c:v>264.66878430386691</c:v>
                </c:pt>
                <c:pt idx="212">
                  <c:v>262.64373598478517</c:v>
                </c:pt>
                <c:pt idx="213">
                  <c:v>260.64104693588547</c:v>
                </c:pt>
                <c:pt idx="214">
                  <c:v>258.66039789514264</c:v>
                </c:pt>
                <c:pt idx="215">
                  <c:v>256.70147515325391</c:v>
                </c:pt>
                <c:pt idx="216">
                  <c:v>254.12284258648896</c:v>
                </c:pt>
                <c:pt idx="217">
                  <c:v>252.21342490945972</c:v>
                </c:pt>
                <c:pt idx="218">
                  <c:v>250.32472650196326</c:v>
                </c:pt>
                <c:pt idx="219">
                  <c:v>248.45645644102916</c:v>
                </c:pt>
                <c:pt idx="220">
                  <c:v>246.60832878195981</c:v>
                </c:pt>
                <c:pt idx="221">
                  <c:v>244.78006245837349</c:v>
                </c:pt>
                <c:pt idx="222">
                  <c:v>242.9713811845383</c:v>
                </c:pt>
                <c:pt idx="223">
                  <c:v>240.58980301588045</c:v>
                </c:pt>
                <c:pt idx="224">
                  <c:v>238.82577189083216</c:v>
                </c:pt>
                <c:pt idx="225">
                  <c:v>237.08043818095391</c:v>
                </c:pt>
                <c:pt idx="226">
                  <c:v>235.35354524147667</c:v>
                </c:pt>
                <c:pt idx="227">
                  <c:v>233.64484072378809</c:v>
                </c:pt>
                <c:pt idx="228">
                  <c:v>231.95407649099289</c:v>
                </c:pt>
                <c:pt idx="229">
                  <c:v>230.28100853537379</c:v>
                </c:pt>
                <c:pt idx="230">
                  <c:v>228.07736463238285</c:v>
                </c:pt>
                <c:pt idx="231">
                  <c:v>226.44466166528431</c:v>
                </c:pt>
                <c:pt idx="232">
                  <c:v>224.82887041553548</c:v>
                </c:pt>
                <c:pt idx="233">
                  <c:v>223.22976385892207</c:v>
                </c:pt>
                <c:pt idx="234">
                  <c:v>221.64711869033121</c:v>
                </c:pt>
                <c:pt idx="235">
                  <c:v>220.08071525217343</c:v>
                </c:pt>
                <c:pt idx="236">
                  <c:v>218.01706928362941</c:v>
                </c:pt>
                <c:pt idx="237">
                  <c:v>216.48772896047674</c:v>
                </c:pt>
                <c:pt idx="238">
                  <c:v>214.97392363167918</c:v>
                </c:pt>
                <c:pt idx="239">
                  <c:v>213.47544865614091</c:v>
                </c:pt>
                <c:pt idx="240">
                  <c:v>211.99210268423909</c:v>
                </c:pt>
                <c:pt idx="241">
                  <c:v>210.52368759559675</c:v>
                </c:pt>
                <c:pt idx="242">
                  <c:v>209.07000843820481</c:v>
                </c:pt>
                <c:pt idx="243">
                  <c:v>207.15436098103038</c:v>
                </c:pt>
                <c:pt idx="244">
                  <c:v>205.73432487057028</c:v>
                </c:pt>
                <c:pt idx="245">
                  <c:v>204.3283969787372</c:v>
                </c:pt>
                <c:pt idx="246">
                  <c:v>202.93639541103857</c:v>
                </c:pt>
                <c:pt idx="247">
                  <c:v>201.5581411380933</c:v>
                </c:pt>
                <c:pt idx="248">
                  <c:v>200.19345794255869</c:v>
                </c:pt>
                <c:pt idx="249">
                  <c:v>198.84217236718129</c:v>
                </c:pt>
                <c:pt idx="250">
                  <c:v>197.06100427311659</c:v>
                </c:pt>
                <c:pt idx="251">
                  <c:v>195.74032038096266</c:v>
                </c:pt>
                <c:pt idx="252">
                  <c:v>194.43247520721994</c:v>
                </c:pt>
                <c:pt idx="253">
                  <c:v>193.1373066810302</c:v>
                </c:pt>
                <c:pt idx="254">
                  <c:v>191.85465523251182</c:v>
                </c:pt>
                <c:pt idx="255">
                  <c:v>190.5843637473489</c:v>
                </c:pt>
                <c:pt idx="256">
                  <c:v>188.9096013303521</c:v>
                </c:pt>
                <c:pt idx="257">
                  <c:v>187.66755222198543</c:v>
                </c:pt>
                <c:pt idx="258">
                  <c:v>186.43735653318305</c:v>
                </c:pt>
                <c:pt idx="259">
                  <c:v>185.21886728827764</c:v>
                </c:pt>
                <c:pt idx="260">
                  <c:v>184.01193974040947</c:v>
                </c:pt>
                <c:pt idx="261">
                  <c:v>182.81643133174015</c:v>
                </c:pt>
                <c:pt idx="262">
                  <c:v>181.63220165448158</c:v>
                </c:pt>
                <c:pt idx="263">
                  <c:v>180.07053471430041</c:v>
                </c:pt>
                <c:pt idx="264">
                  <c:v>178.91208783977655</c:v>
                </c:pt>
                <c:pt idx="265">
                  <c:v>177.76446671446669</c:v>
                </c:pt>
                <c:pt idx="266">
                  <c:v>176.62753981616814</c:v>
                </c:pt>
                <c:pt idx="267">
                  <c:v>175.50117757787982</c:v>
                </c:pt>
                <c:pt idx="268">
                  <c:v>174.38525235357073</c:v>
                </c:pt>
                <c:pt idx="269">
                  <c:v>173.27963838463768</c:v>
                </c:pt>
                <c:pt idx="270">
                  <c:v>171.82131226458739</c:v>
                </c:pt>
                <c:pt idx="271">
                  <c:v>170.73927918762223</c:v>
                </c:pt>
                <c:pt idx="272">
                  <c:v>169.66715138494288</c:v>
                </c:pt>
                <c:pt idx="273">
                  <c:v>168.60481090527153</c:v>
                </c:pt>
                <c:pt idx="274">
                  <c:v>167.55214151684515</c:v>
                </c:pt>
                <c:pt idx="275">
                  <c:v>166.50902867788093</c:v>
                </c:pt>
                <c:pt idx="276">
                  <c:v>165.13288243602031</c:v>
                </c:pt>
                <c:pt idx="277">
                  <c:v>164.11163204958507</c:v>
                </c:pt>
                <c:pt idx="278">
                  <c:v>163.09956824457825</c:v>
                </c:pt>
                <c:pt idx="279">
                  <c:v>162.09658347511217</c:v>
                </c:pt>
                <c:pt idx="280">
                  <c:v>161.10257173728289</c:v>
                </c:pt>
                <c:pt idx="281">
                  <c:v>160.11742854311063</c:v>
                </c:pt>
                <c:pt idx="282">
                  <c:v>159.14105089498662</c:v>
                </c:pt>
                <c:pt idx="283">
                  <c:v>157.85267404473453</c:v>
                </c:pt>
                <c:pt idx="284">
                  <c:v>156.89635697625562</c:v>
                </c:pt>
                <c:pt idx="285">
                  <c:v>155.94847257411561</c:v>
                </c:pt>
                <c:pt idx="286">
                  <c:v>155.008924015546</c:v>
                </c:pt>
                <c:pt idx="287">
                  <c:v>154.07761583995855</c:v>
                </c:pt>
                <c:pt idx="288">
                  <c:v>153.15445392634879</c:v>
                </c:pt>
                <c:pt idx="289">
                  <c:v>151.93608312371356</c:v>
                </c:pt>
                <c:pt idx="290">
                  <c:v>151.03157048822652</c:v>
                </c:pt>
                <c:pt idx="291">
                  <c:v>150.13489977132917</c:v>
                </c:pt>
                <c:pt idx="292">
                  <c:v>149.24598240606878</c:v>
                </c:pt>
                <c:pt idx="293">
                  <c:v>148.36473105160547</c:v>
                </c:pt>
                <c:pt idx="294">
                  <c:v>147.49105957319159</c:v>
                </c:pt>
                <c:pt idx="295">
                  <c:v>146.6248830225239</c:v>
                </c:pt>
                <c:pt idx="296">
                  <c:v>145.4814950903029</c:v>
                </c:pt>
                <c:pt idx="297">
                  <c:v>144.63248287079142</c:v>
                </c:pt>
                <c:pt idx="298">
                  <c:v>143.79069074193924</c:v>
                </c:pt>
                <c:pt idx="299">
                  <c:v>142.95603867849462</c:v>
                </c:pt>
                <c:pt idx="300">
                  <c:v>142.12844774289417</c:v>
                </c:pt>
                <c:pt idx="301">
                  <c:v>141.30784006781801</c:v>
                </c:pt>
                <c:pt idx="302">
                  <c:v>140.49413883906715</c:v>
                </c:pt>
                <c:pt idx="303">
                  <c:v>139.4198164014235</c:v>
                </c:pt>
                <c:pt idx="304">
                  <c:v>138.62193728261587</c:v>
                </c:pt>
                <c:pt idx="305">
                  <c:v>137.83071595516037</c:v>
                </c:pt>
                <c:pt idx="306">
                  <c:v>137.04607997806201</c:v>
                </c:pt>
                <c:pt idx="307">
                  <c:v>136.26795787728426</c:v>
                </c:pt>
                <c:pt idx="308">
                  <c:v>135.4962791305127</c:v>
                </c:pt>
                <c:pt idx="309">
                  <c:v>134.47727699170036</c:v>
                </c:pt>
                <c:pt idx="310">
                  <c:v>133.72036371875214</c:v>
                </c:pt>
                <c:pt idx="311">
                  <c:v>132.96966540891324</c:v>
                </c:pt>
                <c:pt idx="312">
                  <c:v>132.22511549455791</c:v>
                </c:pt>
                <c:pt idx="313">
                  <c:v>131.4866482830503</c:v>
                </c:pt>
                <c:pt idx="314">
                  <c:v>130.75419894316391</c:v>
                </c:pt>
                <c:pt idx="315">
                  <c:v>130.0277034917433</c:v>
                </c:pt>
                <c:pt idx="316">
                  <c:v>129.06819546777336</c:v>
                </c:pt>
                <c:pt idx="317">
                  <c:v>128.35534826559439</c:v>
                </c:pt>
                <c:pt idx="318">
                  <c:v>127.64824763318616</c:v>
                </c:pt>
                <c:pt idx="319">
                  <c:v>126.94683311393864</c:v>
                </c:pt>
                <c:pt idx="320">
                  <c:v>126.25104503207304</c:v>
                </c:pt>
                <c:pt idx="321">
                  <c:v>125.5608244807309</c:v>
                </c:pt>
                <c:pt idx="322">
                  <c:v>124.87611331027014</c:v>
                </c:pt>
                <c:pt idx="323">
                  <c:v>123.97163612036438</c:v>
                </c:pt>
                <c:pt idx="324">
                  <c:v>123.29955820224829</c:v>
                </c:pt>
                <c:pt idx="325">
                  <c:v>122.6328011555273</c:v>
                </c:pt>
                <c:pt idx="326">
                  <c:v>121.97130998151368</c:v>
                </c:pt>
                <c:pt idx="327">
                  <c:v>121.3150303796839</c:v>
                </c:pt>
                <c:pt idx="328">
                  <c:v>120.66390873720616</c:v>
                </c:pt>
                <c:pt idx="329">
                  <c:v>119.80367864252787</c:v>
                </c:pt>
                <c:pt idx="330">
                  <c:v>119.16438753043253</c:v>
                </c:pt>
                <c:pt idx="331">
                  <c:v>118.53008050410513</c:v>
                </c:pt>
                <c:pt idx="332">
                  <c:v>117.90070681404494</c:v>
                </c:pt>
                <c:pt idx="333">
                  <c:v>117.27621634556144</c:v>
                </c:pt>
                <c:pt idx="334">
                  <c:v>116.65655960939037</c:v>
                </c:pt>
                <c:pt idx="335">
                  <c:v>116.04168773246772</c:v>
                </c:pt>
                <c:pt idx="336">
                  <c:v>115.22921834135784</c:v>
                </c:pt>
                <c:pt idx="337">
                  <c:v>114.6253244678589</c:v>
                </c:pt>
                <c:pt idx="338">
                  <c:v>114.02605687844162</c:v>
                </c:pt>
                <c:pt idx="339">
                  <c:v>113.43136926740208</c:v>
                </c:pt>
                <c:pt idx="340">
                  <c:v>112.84121589860899</c:v>
                </c:pt>
                <c:pt idx="341">
                  <c:v>112.25555159722082</c:v>
                </c:pt>
                <c:pt idx="342">
                  <c:v>111.67433174154186</c:v>
                </c:pt>
                <c:pt idx="343">
                  <c:v>110.90620941201288</c:v>
                </c:pt>
                <c:pt idx="344">
                  <c:v>110.33518944830601</c:v>
                </c:pt>
                <c:pt idx="345">
                  <c:v>109.76846908444244</c:v>
                </c:pt>
                <c:pt idx="346">
                  <c:v>109.20600600485099</c:v>
                </c:pt>
                <c:pt idx="347">
                  <c:v>108.64775840590784</c:v>
                </c:pt>
                <c:pt idx="348">
                  <c:v>108.09368498861218</c:v>
                </c:pt>
                <c:pt idx="349">
                  <c:v>107.36134315317527</c:v>
                </c:pt>
                <c:pt idx="350">
                  <c:v>106.81685166672251</c:v>
                </c:pt>
                <c:pt idx="351">
                  <c:v>106.2764002514679</c:v>
                </c:pt>
                <c:pt idx="352">
                  <c:v>105.73994971336938</c:v>
                </c:pt>
                <c:pt idx="353">
                  <c:v>105.20746132592755</c:v>
                </c:pt>
                <c:pt idx="354">
                  <c:v>104.67889682358893</c:v>
                </c:pt>
                <c:pt idx="355">
                  <c:v>104.1542183952556</c:v>
                </c:pt>
                <c:pt idx="356">
                  <c:v>103.46062764716683</c:v>
                </c:pt>
                <c:pt idx="357">
                  <c:v>102.94487218688197</c:v>
                </c:pt>
                <c:pt idx="358">
                  <c:v>102.43287996458444</c:v>
                </c:pt>
                <c:pt idx="359">
                  <c:v>101.92461506601882</c:v>
                </c:pt>
                <c:pt idx="360">
                  <c:v>101.42004199850345</c:v>
                </c:pt>
                <c:pt idx="361">
                  <c:v>100.91912568507601</c:v>
                </c:pt>
                <c:pt idx="362">
                  <c:v>100.25686569136755</c:v>
                </c:pt>
                <c:pt idx="363">
                  <c:v>99.764347685978976</c:v>
                </c:pt>
                <c:pt idx="364">
                  <c:v>99.275372440596854</c:v>
                </c:pt>
                <c:pt idx="365">
                  <c:v>98.789906614300335</c:v>
                </c:pt>
                <c:pt idx="366">
                  <c:v>98.307917252201904</c:v>
                </c:pt>
                <c:pt idx="367">
                  <c:v>97.829371780158155</c:v>
                </c:pt>
                <c:pt idx="368">
                  <c:v>97.354237999563352</c:v>
                </c:pt>
                <c:pt idx="369">
                  <c:v>96.725978408722867</c:v>
                </c:pt>
                <c:pt idx="370">
                  <c:v>96.258682095996036</c:v>
                </c:pt>
                <c:pt idx="371">
                  <c:v>95.794692793061571</c:v>
                </c:pt>
                <c:pt idx="372">
                  <c:v>95.333979870457554</c:v>
                </c:pt>
                <c:pt idx="373">
                  <c:v>94.876513047844455</c:v>
                </c:pt>
                <c:pt idx="374">
                  <c:v>94.422262389294687</c:v>
                </c:pt>
                <c:pt idx="375">
                  <c:v>93.97119829865531</c:v>
                </c:pt>
                <c:pt idx="376">
                  <c:v>93.374685867800679</c:v>
                </c:pt>
                <c:pt idx="377">
                  <c:v>92.930943880693349</c:v>
                </c:pt>
                <c:pt idx="378">
                  <c:v>92.490292203491023</c:v>
                </c:pt>
                <c:pt idx="379">
                  <c:v>92.052702660540731</c:v>
                </c:pt>
                <c:pt idx="380">
                  <c:v>91.618147392416745</c:v>
                </c:pt>
                <c:pt idx="381">
                  <c:v>91.186598851718429</c:v>
                </c:pt>
                <c:pt idx="382">
                  <c:v>90.615830892200464</c:v>
                </c:pt>
                <c:pt idx="383">
                  <c:v>90.191192641915379</c:v>
                </c:pt>
                <c:pt idx="384">
                  <c:v>89.769471495243508</c:v>
                </c:pt>
                <c:pt idx="385">
                  <c:v>89.350641209880521</c:v>
                </c:pt>
                <c:pt idx="386">
                  <c:v>88.934675834195204</c:v>
                </c:pt>
                <c:pt idx="387">
                  <c:v>88.521549703416483</c:v>
                </c:pt>
                <c:pt idx="388">
                  <c:v>88.111237435878508</c:v>
                </c:pt>
                <c:pt idx="389">
                  <c:v>87.568488186257852</c:v>
                </c:pt>
                <c:pt idx="390">
                  <c:v>87.164644455826775</c:v>
                </c:pt>
                <c:pt idx="391">
                  <c:v>86.76353198065749</c:v>
                </c:pt>
                <c:pt idx="392">
                  <c:v>86.365126563841343</c:v>
                </c:pt>
                <c:pt idx="393">
                  <c:v>85.969404272480404</c:v>
                </c:pt>
                <c:pt idx="394">
                  <c:v>85.57634143427569</c:v>
                </c:pt>
                <c:pt idx="395">
                  <c:v>85.185914634165528</c:v>
                </c:pt>
                <c:pt idx="396">
                  <c:v>84.669406075628075</c:v>
                </c:pt>
                <c:pt idx="397">
                  <c:v>84.285040392771521</c:v>
                </c:pt>
                <c:pt idx="398">
                  <c:v>83.9032345134802</c:v>
                </c:pt>
                <c:pt idx="399">
                  <c:v>83.523966099748662</c:v>
                </c:pt>
                <c:pt idx="400">
                  <c:v>83.147213053705784</c:v>
                </c:pt>
                <c:pt idx="401">
                  <c:v>82.772953514556278</c:v>
                </c:pt>
                <c:pt idx="402">
                  <c:v>82.277782237994657</c:v>
                </c:pt>
                <c:pt idx="403">
                  <c:v>81.909257176633744</c:v>
                </c:pt>
                <c:pt idx="404">
                  <c:v>81.543154426701122</c:v>
                </c:pt>
                <c:pt idx="405">
                  <c:v>81.179453120469148</c:v>
                </c:pt>
                <c:pt idx="406">
                  <c:v>80.818132611714958</c:v>
                </c:pt>
                <c:pt idx="407">
                  <c:v>80.459172472934284</c:v>
                </c:pt>
                <c:pt idx="408">
                  <c:v>80.102552492595734</c:v>
                </c:pt>
                <c:pt idx="409">
                  <c:v>79.630664897424964</c:v>
                </c:pt>
                <c:pt idx="410">
                  <c:v>79.279427879375447</c:v>
                </c:pt>
                <c:pt idx="411">
                  <c:v>78.930465173347343</c:v>
                </c:pt>
                <c:pt idx="412">
                  <c:v>78.583757472919032</c:v>
                </c:pt>
                <c:pt idx="413">
                  <c:v>78.239285673653356</c:v>
                </c:pt>
                <c:pt idx="414">
                  <c:v>77.897030870592857</c:v>
                </c:pt>
                <c:pt idx="415">
                  <c:v>77.556974355791198</c:v>
                </c:pt>
                <c:pt idx="416">
                  <c:v>77.106953258212783</c:v>
                </c:pt>
                <c:pt idx="417">
                  <c:v>76.771954418065789</c:v>
                </c:pt>
                <c:pt idx="418">
                  <c:v>76.439092898226093</c:v>
                </c:pt>
                <c:pt idx="419">
                  <c:v>76.108350816781453</c:v>
                </c:pt>
                <c:pt idx="420">
                  <c:v>75.779710476245072</c:v>
                </c:pt>
                <c:pt idx="421">
                  <c:v>75.45315436130106</c:v>
                </c:pt>
                <c:pt idx="422">
                  <c:v>75.020958400020817</c:v>
                </c:pt>
                <c:pt idx="423">
                  <c:v>74.699198369724471</c:v>
                </c:pt>
                <c:pt idx="424">
                  <c:v>74.379465468001086</c:v>
                </c:pt>
                <c:pt idx="425">
                  <c:v>74.061742943649961</c:v>
                </c:pt>
                <c:pt idx="426">
                  <c:v>73.746014216140196</c:v>
                </c:pt>
                <c:pt idx="427">
                  <c:v>73.432262873548623</c:v>
                </c:pt>
                <c:pt idx="428">
                  <c:v>73.120472670526652</c:v>
                </c:pt>
                <c:pt idx="429">
                  <c:v>72.707775290902049</c:v>
                </c:pt>
                <c:pt idx="430">
                  <c:v>72.400498824592987</c:v>
                </c:pt>
                <c:pt idx="431">
                  <c:v>72.095130524200002</c:v>
                </c:pt>
                <c:pt idx="432">
                  <c:v>71.791654843387249</c:v>
                </c:pt>
                <c:pt idx="433">
                  <c:v>71.490056392017735</c:v>
                </c:pt>
                <c:pt idx="434">
                  <c:v>71.190319934292447</c:v>
                </c:pt>
                <c:pt idx="435">
                  <c:v>70.793541710393399</c:v>
                </c:pt>
                <c:pt idx="436">
                  <c:v>70.498091507437408</c:v>
                </c:pt>
                <c:pt idx="437">
                  <c:v>70.204453603411693</c:v>
                </c:pt>
                <c:pt idx="438">
                  <c:v>69.91261341042437</c:v>
                </c:pt>
                <c:pt idx="439">
                  <c:v>69.622556485417945</c:v>
                </c:pt>
                <c:pt idx="440">
                  <c:v>69.334268528463838</c:v>
                </c:pt>
                <c:pt idx="441">
                  <c:v>69.047735381079718</c:v>
                </c:pt>
                <c:pt idx="442">
                  <c:v>68.668396678428365</c:v>
                </c:pt>
                <c:pt idx="443">
                  <c:v>68.385903808102853</c:v>
                </c:pt>
                <c:pt idx="444">
                  <c:v>68.105119552823268</c:v>
                </c:pt>
                <c:pt idx="445">
                  <c:v>67.82603034815034</c:v>
                </c:pt>
                <c:pt idx="446">
                  <c:v>67.548622762495697</c:v>
                </c:pt>
                <c:pt idx="447">
                  <c:v>67.272883495577815</c:v>
                </c:pt>
                <c:pt idx="448">
                  <c:v>66.998799376899655</c:v>
                </c:pt>
                <c:pt idx="449">
                  <c:v>66.635906036559092</c:v>
                </c:pt>
                <c:pt idx="450">
                  <c:v>66.36563342966204</c:v>
                </c:pt>
                <c:pt idx="451">
                  <c:v>66.096972987536859</c:v>
                </c:pt>
                <c:pt idx="452">
                  <c:v>65.829912084978361</c:v>
                </c:pt>
                <c:pt idx="453">
                  <c:v>65.56443821878068</c:v>
                </c:pt>
                <c:pt idx="454">
                  <c:v>65.300539006338369</c:v>
                </c:pt>
                <c:pt idx="455">
                  <c:v>64.951101672172584</c:v>
                </c:pt>
                <c:pt idx="456">
                  <c:v>64.690829164394742</c:v>
                </c:pt>
                <c:pt idx="457">
                  <c:v>64.432090888438012</c:v>
                </c:pt>
                <c:pt idx="458">
                  <c:v>64.174874968581037</c:v>
                </c:pt>
                <c:pt idx="459">
                  <c:v>63.919169642549022</c:v>
                </c:pt>
                <c:pt idx="460">
                  <c:v>63.66496326022736</c:v>
                </c:pt>
                <c:pt idx="461">
                  <c:v>63.412244282392294</c:v>
                </c:pt>
                <c:pt idx="462">
                  <c:v>63.077579646389871</c:v>
                </c:pt>
                <c:pt idx="463">
                  <c:v>62.828287017822227</c:v>
                </c:pt>
                <c:pt idx="464">
                  <c:v>62.580444114580729</c:v>
                </c:pt>
                <c:pt idx="465">
                  <c:v>62.334039863702593</c:v>
                </c:pt>
                <c:pt idx="466">
                  <c:v>62.089063296621092</c:v>
                </c:pt>
                <c:pt idx="467">
                  <c:v>61.845503547997396</c:v>
                </c:pt>
                <c:pt idx="468">
                  <c:v>61.603349854567412</c:v>
                </c:pt>
                <c:pt idx="469">
                  <c:v>61.282647045978877</c:v>
                </c:pt>
                <c:pt idx="470">
                  <c:v>61.043732855750029</c:v>
                </c:pt>
                <c:pt idx="471">
                  <c:v>60.806189565869722</c:v>
                </c:pt>
                <c:pt idx="472">
                  <c:v>60.570006842431695</c:v>
                </c:pt>
                <c:pt idx="473">
                  <c:v>60.335174447700702</c:v>
                </c:pt>
                <c:pt idx="474">
                  <c:v>60.101682239049879</c:v>
                </c:pt>
                <c:pt idx="475">
                  <c:v>59.792426673609015</c:v>
                </c:pt>
                <c:pt idx="476">
                  <c:v>59.562022648685641</c:v>
                </c:pt>
                <c:pt idx="477">
                  <c:v>59.332925674613755</c:v>
                </c:pt>
                <c:pt idx="478">
                  <c:v>59.105126008953107</c:v>
                </c:pt>
                <c:pt idx="479">
                  <c:v>58.878613998929858</c:v>
                </c:pt>
                <c:pt idx="480">
                  <c:v>58.653380080456806</c:v>
                </c:pt>
                <c:pt idx="481">
                  <c:v>58.429414777166031</c:v>
                </c:pt>
                <c:pt idx="482">
                  <c:v>58.132751557606703</c:v>
                </c:pt>
                <c:pt idx="483">
                  <c:v>57.911709989478986</c:v>
                </c:pt>
                <c:pt idx="484">
                  <c:v>57.691906069992967</c:v>
                </c:pt>
                <c:pt idx="485">
                  <c:v>57.473330692012055</c:v>
                </c:pt>
                <c:pt idx="486">
                  <c:v>57.255974831161218</c:v>
                </c:pt>
                <c:pt idx="487">
                  <c:v>57.039829544933568</c:v>
                </c:pt>
                <c:pt idx="488">
                  <c:v>56.82488597180869</c:v>
                </c:pt>
                <c:pt idx="489">
                  <c:v>56.540148706163635</c:v>
                </c:pt>
                <c:pt idx="490">
                  <c:v>56.327975117232484</c:v>
                </c:pt>
                <c:pt idx="491">
                  <c:v>56.116974276802779</c:v>
                </c:pt>
                <c:pt idx="492">
                  <c:v>55.907137664368776</c:v>
                </c:pt>
                <c:pt idx="493">
                  <c:v>55.698456835889203</c:v>
                </c:pt>
                <c:pt idx="494">
                  <c:v>55.490923422972358</c:v>
                </c:pt>
                <c:pt idx="495">
                  <c:v>55.215982750557991</c:v>
                </c:pt>
                <c:pt idx="496">
                  <c:v>55.011094515811642</c:v>
                </c:pt>
                <c:pt idx="497">
                  <c:v>54.807326338086249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21-4875-B88C-B488B95351CA}"/>
            </c:ext>
          </c:extLst>
        </c:ser>
        <c:ser>
          <c:idx val="3"/>
          <c:order val="3"/>
          <c:tx>
            <c:strRef>
              <c:f>'sheet 1'!$Q$38</c:f>
              <c:strCache>
                <c:ptCount val="1"/>
                <c:pt idx="0">
                  <c:v>I2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2"/>
            <c:spPr>
              <a:ln w="9525"/>
            </c:spPr>
          </c:marker>
          <c:xVal>
            <c:numRef>
              <c:f>'sheet 1'!$B$39:$B$841</c:f>
              <c:numCache>
                <c:formatCode>General</c:formatCode>
                <c:ptCount val="803"/>
                <c:pt idx="0">
                  <c:v>0</c:v>
                </c:pt>
                <c:pt idx="1">
                  <c:v>0.95785440613030459</c:v>
                </c:pt>
                <c:pt idx="2">
                  <c:v>1.9157088122605637</c:v>
                </c:pt>
                <c:pt idx="3">
                  <c:v>2.8735632183908226</c:v>
                </c:pt>
                <c:pt idx="4">
                  <c:v>4.150702426564532</c:v>
                </c:pt>
                <c:pt idx="5">
                  <c:v>5.1085568326947906</c:v>
                </c:pt>
                <c:pt idx="6">
                  <c:v>6.06641123882505</c:v>
                </c:pt>
                <c:pt idx="7">
                  <c:v>7.0242656449553094</c:v>
                </c:pt>
                <c:pt idx="8">
                  <c:v>7.9821200510855688</c:v>
                </c:pt>
                <c:pt idx="9">
                  <c:v>8.9399744572158735</c:v>
                </c:pt>
                <c:pt idx="10">
                  <c:v>9.8978288633461311</c:v>
                </c:pt>
                <c:pt idx="11">
                  <c:v>11.174968071519796</c:v>
                </c:pt>
                <c:pt idx="12">
                  <c:v>12.1328224776501</c:v>
                </c:pt>
                <c:pt idx="13">
                  <c:v>13.090676883780361</c:v>
                </c:pt>
                <c:pt idx="14">
                  <c:v>14.048531289910619</c:v>
                </c:pt>
                <c:pt idx="15">
                  <c:v>15.006385696040878</c:v>
                </c:pt>
                <c:pt idx="16">
                  <c:v>15.964240102171138</c:v>
                </c:pt>
                <c:pt idx="17">
                  <c:v>17.241379310344843</c:v>
                </c:pt>
                <c:pt idx="18">
                  <c:v>18.199233716475106</c:v>
                </c:pt>
                <c:pt idx="19">
                  <c:v>19.157088122605366</c:v>
                </c:pt>
                <c:pt idx="20">
                  <c:v>20.114942528735671</c:v>
                </c:pt>
                <c:pt idx="21">
                  <c:v>21.072796934865931</c:v>
                </c:pt>
                <c:pt idx="22">
                  <c:v>22.030651340996187</c:v>
                </c:pt>
                <c:pt idx="23">
                  <c:v>22.988505747126446</c:v>
                </c:pt>
                <c:pt idx="24">
                  <c:v>24.265644955300154</c:v>
                </c:pt>
                <c:pt idx="25">
                  <c:v>25.223499361430413</c:v>
                </c:pt>
                <c:pt idx="26">
                  <c:v>26.181353767560676</c:v>
                </c:pt>
                <c:pt idx="27">
                  <c:v>27.139208173690935</c:v>
                </c:pt>
                <c:pt idx="28">
                  <c:v>28.097062579821237</c:v>
                </c:pt>
                <c:pt idx="29">
                  <c:v>29.054916985951497</c:v>
                </c:pt>
                <c:pt idx="30">
                  <c:v>30.012771392081756</c:v>
                </c:pt>
                <c:pt idx="31">
                  <c:v>31.289910600255467</c:v>
                </c:pt>
                <c:pt idx="32">
                  <c:v>32.24776500638572</c:v>
                </c:pt>
                <c:pt idx="33">
                  <c:v>33.205619412515986</c:v>
                </c:pt>
                <c:pt idx="34">
                  <c:v>34.163473818646239</c:v>
                </c:pt>
                <c:pt idx="35">
                  <c:v>35.121328224776505</c:v>
                </c:pt>
                <c:pt idx="36">
                  <c:v>36.079182630906807</c:v>
                </c:pt>
                <c:pt idx="37">
                  <c:v>37.356321839080472</c:v>
                </c:pt>
                <c:pt idx="38">
                  <c:v>38.314176245210732</c:v>
                </c:pt>
                <c:pt idx="39">
                  <c:v>39.272030651341034</c:v>
                </c:pt>
                <c:pt idx="40">
                  <c:v>40.229885057471293</c:v>
                </c:pt>
                <c:pt idx="41">
                  <c:v>41.187739463601552</c:v>
                </c:pt>
                <c:pt idx="42">
                  <c:v>42.145593869731812</c:v>
                </c:pt>
                <c:pt idx="43">
                  <c:v>43.103448275862071</c:v>
                </c:pt>
                <c:pt idx="44">
                  <c:v>44.380587484035786</c:v>
                </c:pt>
                <c:pt idx="45">
                  <c:v>45.338441890166038</c:v>
                </c:pt>
                <c:pt idx="46">
                  <c:v>46.296296296296298</c:v>
                </c:pt>
                <c:pt idx="47">
                  <c:v>47.254150702426607</c:v>
                </c:pt>
                <c:pt idx="48">
                  <c:v>48.212005108556859</c:v>
                </c:pt>
                <c:pt idx="49">
                  <c:v>49.169859514687126</c:v>
                </c:pt>
                <c:pt idx="50">
                  <c:v>50.127713920817378</c:v>
                </c:pt>
                <c:pt idx="51">
                  <c:v>51.404853128991085</c:v>
                </c:pt>
                <c:pt idx="52">
                  <c:v>52.362707535121352</c:v>
                </c:pt>
                <c:pt idx="53">
                  <c:v>53.320561941251604</c:v>
                </c:pt>
                <c:pt idx="54">
                  <c:v>54.278416347381871</c:v>
                </c:pt>
                <c:pt idx="55">
                  <c:v>55.236270753512173</c:v>
                </c:pt>
                <c:pt idx="56">
                  <c:v>56.194125159642432</c:v>
                </c:pt>
                <c:pt idx="57">
                  <c:v>57.47126436781609</c:v>
                </c:pt>
                <c:pt idx="58">
                  <c:v>58.429118773946392</c:v>
                </c:pt>
                <c:pt idx="59">
                  <c:v>59.386973180076659</c:v>
                </c:pt>
                <c:pt idx="60">
                  <c:v>60.344827586206918</c:v>
                </c:pt>
                <c:pt idx="61">
                  <c:v>61.302681992337178</c:v>
                </c:pt>
                <c:pt idx="62">
                  <c:v>62.260536398467437</c:v>
                </c:pt>
                <c:pt idx="63">
                  <c:v>63.218390804597732</c:v>
                </c:pt>
                <c:pt idx="64">
                  <c:v>64.495530012771411</c:v>
                </c:pt>
                <c:pt idx="65">
                  <c:v>65.453384418901663</c:v>
                </c:pt>
                <c:pt idx="66">
                  <c:v>66.411238825031973</c:v>
                </c:pt>
                <c:pt idx="67">
                  <c:v>67.369093231162239</c:v>
                </c:pt>
                <c:pt idx="68">
                  <c:v>68.326947637292477</c:v>
                </c:pt>
                <c:pt idx="69">
                  <c:v>69.284802043422744</c:v>
                </c:pt>
                <c:pt idx="70">
                  <c:v>70.561941251596451</c:v>
                </c:pt>
                <c:pt idx="71">
                  <c:v>71.519795657726718</c:v>
                </c:pt>
                <c:pt idx="72">
                  <c:v>72.47765006385697</c:v>
                </c:pt>
                <c:pt idx="73">
                  <c:v>73.435504469987222</c:v>
                </c:pt>
                <c:pt idx="74">
                  <c:v>74.393358876117532</c:v>
                </c:pt>
                <c:pt idx="75">
                  <c:v>75.351213282247798</c:v>
                </c:pt>
                <c:pt idx="76">
                  <c:v>76.30906768837805</c:v>
                </c:pt>
                <c:pt idx="77">
                  <c:v>77.586206896551772</c:v>
                </c:pt>
                <c:pt idx="78">
                  <c:v>78.54406130268201</c:v>
                </c:pt>
                <c:pt idx="79">
                  <c:v>79.501915708812277</c:v>
                </c:pt>
                <c:pt idx="80">
                  <c:v>80.459770114942543</c:v>
                </c:pt>
                <c:pt idx="81">
                  <c:v>81.41762452107281</c:v>
                </c:pt>
                <c:pt idx="82">
                  <c:v>82.375478927203105</c:v>
                </c:pt>
                <c:pt idx="83">
                  <c:v>83.333333333333371</c:v>
                </c:pt>
                <c:pt idx="84">
                  <c:v>84.610472541507022</c:v>
                </c:pt>
                <c:pt idx="85">
                  <c:v>85.568326947637331</c:v>
                </c:pt>
                <c:pt idx="86">
                  <c:v>86.526181353767598</c:v>
                </c:pt>
                <c:pt idx="87">
                  <c:v>87.48403575989785</c:v>
                </c:pt>
                <c:pt idx="88">
                  <c:v>88.441890166028102</c:v>
                </c:pt>
                <c:pt idx="89">
                  <c:v>89.399744572158369</c:v>
                </c:pt>
                <c:pt idx="90">
                  <c:v>90.676883780332076</c:v>
                </c:pt>
                <c:pt idx="91">
                  <c:v>91.634738186462343</c:v>
                </c:pt>
                <c:pt idx="92">
                  <c:v>92.592592592592595</c:v>
                </c:pt>
                <c:pt idx="93">
                  <c:v>93.550446998722904</c:v>
                </c:pt>
                <c:pt idx="94">
                  <c:v>94.508301404853157</c:v>
                </c:pt>
                <c:pt idx="95">
                  <c:v>95.466155810983423</c:v>
                </c:pt>
                <c:pt idx="96">
                  <c:v>96.424010217113675</c:v>
                </c:pt>
                <c:pt idx="97">
                  <c:v>97.701149425287383</c:v>
                </c:pt>
                <c:pt idx="98">
                  <c:v>98.65900383141765</c:v>
                </c:pt>
                <c:pt idx="99">
                  <c:v>99.616858237547902</c:v>
                </c:pt>
                <c:pt idx="100">
                  <c:v>100.57471264367817</c:v>
                </c:pt>
                <c:pt idx="101">
                  <c:v>101.53256704980846</c:v>
                </c:pt>
                <c:pt idx="102">
                  <c:v>102.49042145593873</c:v>
                </c:pt>
                <c:pt idx="103">
                  <c:v>103.448275862069</c:v>
                </c:pt>
                <c:pt idx="104">
                  <c:v>104.7254150702427</c:v>
                </c:pt>
                <c:pt idx="105">
                  <c:v>105.68326947637296</c:v>
                </c:pt>
                <c:pt idx="106">
                  <c:v>106.64112388250321</c:v>
                </c:pt>
                <c:pt idx="107">
                  <c:v>107.59897828863348</c:v>
                </c:pt>
                <c:pt idx="108">
                  <c:v>108.55683269476374</c:v>
                </c:pt>
                <c:pt idx="109">
                  <c:v>109.51468710089404</c:v>
                </c:pt>
                <c:pt idx="110">
                  <c:v>110.7918263090677</c:v>
                </c:pt>
                <c:pt idx="111">
                  <c:v>111.74968071519795</c:v>
                </c:pt>
                <c:pt idx="112">
                  <c:v>112.70753512132826</c:v>
                </c:pt>
                <c:pt idx="113">
                  <c:v>113.66538952745853</c:v>
                </c:pt>
                <c:pt idx="114">
                  <c:v>114.6232439335888</c:v>
                </c:pt>
                <c:pt idx="115">
                  <c:v>115.58109833971903</c:v>
                </c:pt>
                <c:pt idx="116">
                  <c:v>116.5389527458493</c:v>
                </c:pt>
                <c:pt idx="117">
                  <c:v>117.81609195402301</c:v>
                </c:pt>
                <c:pt idx="118">
                  <c:v>118.77394636015327</c:v>
                </c:pt>
                <c:pt idx="119">
                  <c:v>119.73180076628354</c:v>
                </c:pt>
                <c:pt idx="120">
                  <c:v>120.68965517241384</c:v>
                </c:pt>
                <c:pt idx="121">
                  <c:v>121.64750957854409</c:v>
                </c:pt>
                <c:pt idx="122">
                  <c:v>122.60536398467436</c:v>
                </c:pt>
                <c:pt idx="123">
                  <c:v>123.56321839080461</c:v>
                </c:pt>
                <c:pt idx="124">
                  <c:v>124.84035759897833</c:v>
                </c:pt>
                <c:pt idx="125">
                  <c:v>125.79821200510857</c:v>
                </c:pt>
                <c:pt idx="126">
                  <c:v>126.75606641123885</c:v>
                </c:pt>
                <c:pt idx="127">
                  <c:v>127.7139208173691</c:v>
                </c:pt>
                <c:pt idx="128">
                  <c:v>128.6717752234994</c:v>
                </c:pt>
                <c:pt idx="129">
                  <c:v>129.62962962962965</c:v>
                </c:pt>
                <c:pt idx="130">
                  <c:v>130.90676883780333</c:v>
                </c:pt>
                <c:pt idx="131">
                  <c:v>131.86462324393364</c:v>
                </c:pt>
                <c:pt idx="132">
                  <c:v>132.82247765006389</c:v>
                </c:pt>
                <c:pt idx="133">
                  <c:v>133.78033205619414</c:v>
                </c:pt>
                <c:pt idx="134">
                  <c:v>134.73818646232442</c:v>
                </c:pt>
                <c:pt idx="135">
                  <c:v>135.69604086845465</c:v>
                </c:pt>
                <c:pt idx="136">
                  <c:v>136.65389527458495</c:v>
                </c:pt>
                <c:pt idx="137">
                  <c:v>137.93103448275863</c:v>
                </c:pt>
                <c:pt idx="138">
                  <c:v>138.88888888888889</c:v>
                </c:pt>
                <c:pt idx="139">
                  <c:v>139.84674329501919</c:v>
                </c:pt>
                <c:pt idx="140">
                  <c:v>140.80459770114945</c:v>
                </c:pt>
                <c:pt idx="141">
                  <c:v>141.76245210727973</c:v>
                </c:pt>
                <c:pt idx="142">
                  <c:v>142.72030651340998</c:v>
                </c:pt>
                <c:pt idx="143">
                  <c:v>143.99744572158369</c:v>
                </c:pt>
                <c:pt idx="144">
                  <c:v>144.95530012771394</c:v>
                </c:pt>
                <c:pt idx="145">
                  <c:v>145.91315453384422</c:v>
                </c:pt>
                <c:pt idx="146">
                  <c:v>146.87100893997444</c:v>
                </c:pt>
                <c:pt idx="147">
                  <c:v>147.82886334610475</c:v>
                </c:pt>
                <c:pt idx="148">
                  <c:v>148.78671775223503</c:v>
                </c:pt>
                <c:pt idx="149">
                  <c:v>149.74457215836529</c:v>
                </c:pt>
                <c:pt idx="150">
                  <c:v>151.02171136653899</c:v>
                </c:pt>
                <c:pt idx="151">
                  <c:v>151.97956577266925</c:v>
                </c:pt>
                <c:pt idx="152">
                  <c:v>152.93742017879953</c:v>
                </c:pt>
                <c:pt idx="153">
                  <c:v>153.89527458492978</c:v>
                </c:pt>
                <c:pt idx="154">
                  <c:v>154.85312899106003</c:v>
                </c:pt>
                <c:pt idx="155">
                  <c:v>155.81098339719031</c:v>
                </c:pt>
                <c:pt idx="156">
                  <c:v>156.76883780332059</c:v>
                </c:pt>
                <c:pt idx="157">
                  <c:v>158.04597701149424</c:v>
                </c:pt>
                <c:pt idx="158">
                  <c:v>159.00383141762455</c:v>
                </c:pt>
                <c:pt idx="159">
                  <c:v>159.96168582375483</c:v>
                </c:pt>
                <c:pt idx="160">
                  <c:v>160.91954022988509</c:v>
                </c:pt>
                <c:pt idx="161">
                  <c:v>161.87739463601534</c:v>
                </c:pt>
                <c:pt idx="162">
                  <c:v>162.83524904214562</c:v>
                </c:pt>
                <c:pt idx="163">
                  <c:v>164.11238825031933</c:v>
                </c:pt>
                <c:pt idx="164">
                  <c:v>165.07024265644958</c:v>
                </c:pt>
                <c:pt idx="165">
                  <c:v>166.0280970625798</c:v>
                </c:pt>
                <c:pt idx="166">
                  <c:v>166.98595146871011</c:v>
                </c:pt>
                <c:pt idx="167">
                  <c:v>167.94380587484039</c:v>
                </c:pt>
                <c:pt idx="168">
                  <c:v>168.90166028097065</c:v>
                </c:pt>
                <c:pt idx="169">
                  <c:v>169.85951468710093</c:v>
                </c:pt>
                <c:pt idx="170">
                  <c:v>171.13665389527463</c:v>
                </c:pt>
                <c:pt idx="171">
                  <c:v>172.09450830140489</c:v>
                </c:pt>
                <c:pt idx="172">
                  <c:v>173.05236270753514</c:v>
                </c:pt>
                <c:pt idx="173">
                  <c:v>174.01021711366542</c:v>
                </c:pt>
                <c:pt idx="174">
                  <c:v>174.9680715197957</c:v>
                </c:pt>
                <c:pt idx="175">
                  <c:v>175.9259259259259</c:v>
                </c:pt>
                <c:pt idx="176">
                  <c:v>176.8837803320562</c:v>
                </c:pt>
                <c:pt idx="177">
                  <c:v>178.16091954022991</c:v>
                </c:pt>
                <c:pt idx="178">
                  <c:v>179.11877394636014</c:v>
                </c:pt>
                <c:pt idx="179">
                  <c:v>180.07662835249045</c:v>
                </c:pt>
                <c:pt idx="180">
                  <c:v>181.03448275862075</c:v>
                </c:pt>
                <c:pt idx="181">
                  <c:v>181.99233716475098</c:v>
                </c:pt>
                <c:pt idx="182">
                  <c:v>182.95019157088126</c:v>
                </c:pt>
                <c:pt idx="183">
                  <c:v>184.22733077905499</c:v>
                </c:pt>
                <c:pt idx="184">
                  <c:v>185.18518518518519</c:v>
                </c:pt>
                <c:pt idx="185">
                  <c:v>186.1430395913155</c:v>
                </c:pt>
                <c:pt idx="186">
                  <c:v>187.1008939974457</c:v>
                </c:pt>
                <c:pt idx="187">
                  <c:v>188.058748403576</c:v>
                </c:pt>
                <c:pt idx="188">
                  <c:v>189.01660280970631</c:v>
                </c:pt>
                <c:pt idx="189">
                  <c:v>189.97445721583654</c:v>
                </c:pt>
                <c:pt idx="190">
                  <c:v>191.25159642401024</c:v>
                </c:pt>
                <c:pt idx="191">
                  <c:v>192.20945083014055</c:v>
                </c:pt>
                <c:pt idx="192">
                  <c:v>193.16730523627078</c:v>
                </c:pt>
                <c:pt idx="193">
                  <c:v>194.12515964240106</c:v>
                </c:pt>
                <c:pt idx="194">
                  <c:v>195.08301404853128</c:v>
                </c:pt>
                <c:pt idx="195">
                  <c:v>196.04086845466159</c:v>
                </c:pt>
                <c:pt idx="196">
                  <c:v>196.9987228607919</c:v>
                </c:pt>
                <c:pt idx="197">
                  <c:v>198.27586206896549</c:v>
                </c:pt>
                <c:pt idx="198">
                  <c:v>199.2337164750958</c:v>
                </c:pt>
                <c:pt idx="199">
                  <c:v>200.19157088122611</c:v>
                </c:pt>
                <c:pt idx="200">
                  <c:v>201.14942528735634</c:v>
                </c:pt>
                <c:pt idx="201">
                  <c:v>202.10727969348662</c:v>
                </c:pt>
                <c:pt idx="202">
                  <c:v>203.06513409961684</c:v>
                </c:pt>
                <c:pt idx="203">
                  <c:v>204.34227330779055</c:v>
                </c:pt>
                <c:pt idx="204">
                  <c:v>205.30012771392086</c:v>
                </c:pt>
                <c:pt idx="205">
                  <c:v>206.25798212005108</c:v>
                </c:pt>
                <c:pt idx="206">
                  <c:v>207.21583652618139</c:v>
                </c:pt>
                <c:pt idx="207">
                  <c:v>208.1736909323117</c:v>
                </c:pt>
                <c:pt idx="208">
                  <c:v>209.1315453384419</c:v>
                </c:pt>
                <c:pt idx="209">
                  <c:v>210.08939974457221</c:v>
                </c:pt>
                <c:pt idx="210">
                  <c:v>211.36653895274591</c:v>
                </c:pt>
                <c:pt idx="211">
                  <c:v>212.32439335887614</c:v>
                </c:pt>
                <c:pt idx="212">
                  <c:v>213.28224776500642</c:v>
                </c:pt>
                <c:pt idx="213">
                  <c:v>214.24010217113664</c:v>
                </c:pt>
                <c:pt idx="214">
                  <c:v>215.19795657726695</c:v>
                </c:pt>
                <c:pt idx="215">
                  <c:v>216.15581098339726</c:v>
                </c:pt>
                <c:pt idx="216">
                  <c:v>217.43295019157088</c:v>
                </c:pt>
                <c:pt idx="217">
                  <c:v>218.39080459770119</c:v>
                </c:pt>
                <c:pt idx="218">
                  <c:v>219.3486590038315</c:v>
                </c:pt>
                <c:pt idx="219">
                  <c:v>220.3065134099617</c:v>
                </c:pt>
                <c:pt idx="220">
                  <c:v>221.26436781609198</c:v>
                </c:pt>
                <c:pt idx="221">
                  <c:v>222.2222222222222</c:v>
                </c:pt>
                <c:pt idx="222">
                  <c:v>223.18007662835251</c:v>
                </c:pt>
                <c:pt idx="223">
                  <c:v>224.45721583652622</c:v>
                </c:pt>
                <c:pt idx="224">
                  <c:v>225.41507024265644</c:v>
                </c:pt>
                <c:pt idx="225">
                  <c:v>226.37292464878675</c:v>
                </c:pt>
                <c:pt idx="226">
                  <c:v>227.33077905491706</c:v>
                </c:pt>
                <c:pt idx="227">
                  <c:v>228.28863346104728</c:v>
                </c:pt>
                <c:pt idx="228">
                  <c:v>229.24648786717759</c:v>
                </c:pt>
                <c:pt idx="229">
                  <c:v>230.20434227330776</c:v>
                </c:pt>
                <c:pt idx="230">
                  <c:v>231.4814814814815</c:v>
                </c:pt>
                <c:pt idx="231">
                  <c:v>232.43933588761178</c:v>
                </c:pt>
                <c:pt idx="232">
                  <c:v>233.397190293742</c:v>
                </c:pt>
                <c:pt idx="233">
                  <c:v>234.35504469987231</c:v>
                </c:pt>
                <c:pt idx="234">
                  <c:v>235.31289910600262</c:v>
                </c:pt>
                <c:pt idx="235">
                  <c:v>236.27075351213284</c:v>
                </c:pt>
                <c:pt idx="236">
                  <c:v>237.54789272030655</c:v>
                </c:pt>
                <c:pt idx="237">
                  <c:v>238.50574712643686</c:v>
                </c:pt>
                <c:pt idx="238">
                  <c:v>239.46360153256708</c:v>
                </c:pt>
                <c:pt idx="239">
                  <c:v>240.42145593869736</c:v>
                </c:pt>
                <c:pt idx="240">
                  <c:v>241.37931034482756</c:v>
                </c:pt>
                <c:pt idx="241">
                  <c:v>242.33716475095787</c:v>
                </c:pt>
                <c:pt idx="242">
                  <c:v>243.29501915708818</c:v>
                </c:pt>
                <c:pt idx="243">
                  <c:v>244.5721583652618</c:v>
                </c:pt>
                <c:pt idx="244">
                  <c:v>245.53001277139211</c:v>
                </c:pt>
                <c:pt idx="245">
                  <c:v>246.48786717752242</c:v>
                </c:pt>
                <c:pt idx="246">
                  <c:v>247.44572158365264</c:v>
                </c:pt>
                <c:pt idx="247">
                  <c:v>248.40357598978295</c:v>
                </c:pt>
                <c:pt idx="248">
                  <c:v>249.36143039591315</c:v>
                </c:pt>
                <c:pt idx="249">
                  <c:v>250.31928480204346</c:v>
                </c:pt>
                <c:pt idx="250">
                  <c:v>251.59642401021713</c:v>
                </c:pt>
                <c:pt idx="251">
                  <c:v>252.55427841634736</c:v>
                </c:pt>
                <c:pt idx="252">
                  <c:v>253.5121328224777</c:v>
                </c:pt>
                <c:pt idx="253">
                  <c:v>254.46998722860798</c:v>
                </c:pt>
                <c:pt idx="254">
                  <c:v>255.4278416347382</c:v>
                </c:pt>
                <c:pt idx="255">
                  <c:v>256.38569604086854</c:v>
                </c:pt>
                <c:pt idx="256">
                  <c:v>257.66283524904219</c:v>
                </c:pt>
                <c:pt idx="257">
                  <c:v>258.62068965517244</c:v>
                </c:pt>
                <c:pt idx="258">
                  <c:v>259.57854406130269</c:v>
                </c:pt>
                <c:pt idx="259">
                  <c:v>260.53639846743295</c:v>
                </c:pt>
                <c:pt idx="260">
                  <c:v>261.49425287356325</c:v>
                </c:pt>
                <c:pt idx="261">
                  <c:v>262.45210727969356</c:v>
                </c:pt>
                <c:pt idx="262">
                  <c:v>263.40996168582376</c:v>
                </c:pt>
                <c:pt idx="263">
                  <c:v>264.68710089399747</c:v>
                </c:pt>
                <c:pt idx="264">
                  <c:v>265.64495530012778</c:v>
                </c:pt>
                <c:pt idx="265">
                  <c:v>266.60280970625797</c:v>
                </c:pt>
                <c:pt idx="266">
                  <c:v>267.56066411238828</c:v>
                </c:pt>
                <c:pt idx="267">
                  <c:v>268.51851851851848</c:v>
                </c:pt>
                <c:pt idx="268">
                  <c:v>269.47637292464884</c:v>
                </c:pt>
                <c:pt idx="269">
                  <c:v>270.43422733077909</c:v>
                </c:pt>
                <c:pt idx="270">
                  <c:v>271.71136653895275</c:v>
                </c:pt>
                <c:pt idx="271">
                  <c:v>272.66922094508305</c:v>
                </c:pt>
                <c:pt idx="272">
                  <c:v>273.62707535121331</c:v>
                </c:pt>
                <c:pt idx="273">
                  <c:v>274.58492975734356</c:v>
                </c:pt>
                <c:pt idx="274">
                  <c:v>275.54278416347387</c:v>
                </c:pt>
                <c:pt idx="275">
                  <c:v>276.50063856960406</c:v>
                </c:pt>
                <c:pt idx="276">
                  <c:v>277.77777777777777</c:v>
                </c:pt>
                <c:pt idx="277">
                  <c:v>278.73563218390808</c:v>
                </c:pt>
                <c:pt idx="278">
                  <c:v>279.69348659003828</c:v>
                </c:pt>
                <c:pt idx="279">
                  <c:v>280.65134099616864</c:v>
                </c:pt>
                <c:pt idx="280">
                  <c:v>281.60919540229889</c:v>
                </c:pt>
                <c:pt idx="281">
                  <c:v>282.56704980842909</c:v>
                </c:pt>
                <c:pt idx="282">
                  <c:v>283.52490421455946</c:v>
                </c:pt>
                <c:pt idx="283">
                  <c:v>284.80204342273311</c:v>
                </c:pt>
                <c:pt idx="284">
                  <c:v>285.75989782886336</c:v>
                </c:pt>
                <c:pt idx="285">
                  <c:v>286.71775223499367</c:v>
                </c:pt>
                <c:pt idx="286">
                  <c:v>287.67560664112386</c:v>
                </c:pt>
                <c:pt idx="287">
                  <c:v>288.63346104725417</c:v>
                </c:pt>
                <c:pt idx="288">
                  <c:v>289.59131545338448</c:v>
                </c:pt>
                <c:pt idx="289">
                  <c:v>290.86845466155808</c:v>
                </c:pt>
                <c:pt idx="290">
                  <c:v>291.82630906768844</c:v>
                </c:pt>
                <c:pt idx="291">
                  <c:v>292.78416347381869</c:v>
                </c:pt>
                <c:pt idx="292">
                  <c:v>293.74201787994889</c:v>
                </c:pt>
                <c:pt idx="293">
                  <c:v>294.69987228607926</c:v>
                </c:pt>
                <c:pt idx="294">
                  <c:v>295.65772669220945</c:v>
                </c:pt>
                <c:pt idx="295">
                  <c:v>296.61558109833976</c:v>
                </c:pt>
                <c:pt idx="296">
                  <c:v>297.89272030651347</c:v>
                </c:pt>
                <c:pt idx="297">
                  <c:v>298.85057471264366</c:v>
                </c:pt>
                <c:pt idx="298">
                  <c:v>299.80842911877397</c:v>
                </c:pt>
                <c:pt idx="299">
                  <c:v>300.76628352490428</c:v>
                </c:pt>
                <c:pt idx="300">
                  <c:v>301.72413793103448</c:v>
                </c:pt>
                <c:pt idx="301">
                  <c:v>302.68199233716479</c:v>
                </c:pt>
                <c:pt idx="302">
                  <c:v>303.63984674329504</c:v>
                </c:pt>
                <c:pt idx="303">
                  <c:v>304.91698595146869</c:v>
                </c:pt>
                <c:pt idx="304">
                  <c:v>305.87484035759906</c:v>
                </c:pt>
                <c:pt idx="305">
                  <c:v>306.83269476372925</c:v>
                </c:pt>
                <c:pt idx="306">
                  <c:v>307.79054916985956</c:v>
                </c:pt>
                <c:pt idx="307">
                  <c:v>308.74840357598987</c:v>
                </c:pt>
                <c:pt idx="308">
                  <c:v>309.70625798212006</c:v>
                </c:pt>
                <c:pt idx="309">
                  <c:v>310.98339719029377</c:v>
                </c:pt>
                <c:pt idx="310">
                  <c:v>311.94125159642402</c:v>
                </c:pt>
                <c:pt idx="311">
                  <c:v>312.89910600255428</c:v>
                </c:pt>
                <c:pt idx="312">
                  <c:v>313.85696040868459</c:v>
                </c:pt>
                <c:pt idx="313">
                  <c:v>314.81481481481484</c:v>
                </c:pt>
                <c:pt idx="314">
                  <c:v>315.77266922094509</c:v>
                </c:pt>
                <c:pt idx="315">
                  <c:v>316.73052362707546</c:v>
                </c:pt>
                <c:pt idx="316">
                  <c:v>318.00766283524905</c:v>
                </c:pt>
                <c:pt idx="317">
                  <c:v>318.96551724137936</c:v>
                </c:pt>
                <c:pt idx="318">
                  <c:v>319.92337164750967</c:v>
                </c:pt>
                <c:pt idx="319">
                  <c:v>320.88122605363981</c:v>
                </c:pt>
                <c:pt idx="320">
                  <c:v>321.83908045977017</c:v>
                </c:pt>
                <c:pt idx="321">
                  <c:v>322.79693486590037</c:v>
                </c:pt>
                <c:pt idx="322">
                  <c:v>323.75478927203068</c:v>
                </c:pt>
                <c:pt idx="323">
                  <c:v>325.03192848020439</c:v>
                </c:pt>
                <c:pt idx="324">
                  <c:v>325.98978288633464</c:v>
                </c:pt>
                <c:pt idx="325">
                  <c:v>326.94763729246489</c:v>
                </c:pt>
                <c:pt idx="326">
                  <c:v>327.90549169859526</c:v>
                </c:pt>
                <c:pt idx="327">
                  <c:v>328.86334610472545</c:v>
                </c:pt>
                <c:pt idx="328">
                  <c:v>329.8212005108557</c:v>
                </c:pt>
                <c:pt idx="329">
                  <c:v>331.09833971902947</c:v>
                </c:pt>
                <c:pt idx="330">
                  <c:v>332.05619412515961</c:v>
                </c:pt>
                <c:pt idx="331">
                  <c:v>333.01404853128997</c:v>
                </c:pt>
                <c:pt idx="332">
                  <c:v>333.97190293742017</c:v>
                </c:pt>
                <c:pt idx="333">
                  <c:v>334.92975734355048</c:v>
                </c:pt>
                <c:pt idx="334">
                  <c:v>335.88761174968079</c:v>
                </c:pt>
                <c:pt idx="335">
                  <c:v>336.84546615581104</c:v>
                </c:pt>
                <c:pt idx="336">
                  <c:v>338.12260536398469</c:v>
                </c:pt>
                <c:pt idx="337">
                  <c:v>339.08045977011506</c:v>
                </c:pt>
                <c:pt idx="338">
                  <c:v>340.03831417624525</c:v>
                </c:pt>
                <c:pt idx="339">
                  <c:v>340.9961685823755</c:v>
                </c:pt>
                <c:pt idx="340">
                  <c:v>341.95402298850576</c:v>
                </c:pt>
                <c:pt idx="341">
                  <c:v>342.91187739463601</c:v>
                </c:pt>
                <c:pt idx="342">
                  <c:v>343.86973180076637</c:v>
                </c:pt>
                <c:pt idx="343">
                  <c:v>345.14687100893997</c:v>
                </c:pt>
                <c:pt idx="344">
                  <c:v>346.10472541507028</c:v>
                </c:pt>
                <c:pt idx="345">
                  <c:v>347.06257982120059</c:v>
                </c:pt>
                <c:pt idx="346">
                  <c:v>348.02043422733084</c:v>
                </c:pt>
                <c:pt idx="347">
                  <c:v>348.97828863346109</c:v>
                </c:pt>
                <c:pt idx="348">
                  <c:v>349.93614303959129</c:v>
                </c:pt>
                <c:pt idx="349">
                  <c:v>351.21328224776505</c:v>
                </c:pt>
                <c:pt idx="350">
                  <c:v>352.1711366538953</c:v>
                </c:pt>
                <c:pt idx="351">
                  <c:v>353.12899106002556</c:v>
                </c:pt>
                <c:pt idx="352">
                  <c:v>354.08684546615581</c:v>
                </c:pt>
                <c:pt idx="353">
                  <c:v>355.04469987228617</c:v>
                </c:pt>
                <c:pt idx="354">
                  <c:v>356.00255427841637</c:v>
                </c:pt>
                <c:pt idx="355">
                  <c:v>356.96040868454662</c:v>
                </c:pt>
                <c:pt idx="356">
                  <c:v>358.23754789272039</c:v>
                </c:pt>
                <c:pt idx="357">
                  <c:v>359.19540229885058</c:v>
                </c:pt>
                <c:pt idx="358">
                  <c:v>360.15325670498089</c:v>
                </c:pt>
                <c:pt idx="359">
                  <c:v>361.11111111111109</c:v>
                </c:pt>
                <c:pt idx="360">
                  <c:v>362.06896551724145</c:v>
                </c:pt>
                <c:pt idx="361">
                  <c:v>363.0268199233717</c:v>
                </c:pt>
                <c:pt idx="362">
                  <c:v>364.30395913154535</c:v>
                </c:pt>
                <c:pt idx="363">
                  <c:v>365.26181353767561</c:v>
                </c:pt>
                <c:pt idx="364">
                  <c:v>366.21966794380597</c:v>
                </c:pt>
                <c:pt idx="365">
                  <c:v>367.17752234993617</c:v>
                </c:pt>
                <c:pt idx="366">
                  <c:v>368.13537675606642</c:v>
                </c:pt>
                <c:pt idx="367">
                  <c:v>369.09323116219667</c:v>
                </c:pt>
                <c:pt idx="368">
                  <c:v>370.05108556832698</c:v>
                </c:pt>
                <c:pt idx="369">
                  <c:v>371.32822477650069</c:v>
                </c:pt>
                <c:pt idx="370">
                  <c:v>372.28607918263089</c:v>
                </c:pt>
                <c:pt idx="371">
                  <c:v>373.24393358876125</c:v>
                </c:pt>
                <c:pt idx="372">
                  <c:v>374.2017879948915</c:v>
                </c:pt>
                <c:pt idx="373">
                  <c:v>375.15964240102176</c:v>
                </c:pt>
                <c:pt idx="374">
                  <c:v>376.11749680715201</c:v>
                </c:pt>
                <c:pt idx="375">
                  <c:v>377.0753512132822</c:v>
                </c:pt>
                <c:pt idx="376">
                  <c:v>378.35249042145597</c:v>
                </c:pt>
                <c:pt idx="377">
                  <c:v>379.31034482758622</c:v>
                </c:pt>
                <c:pt idx="378">
                  <c:v>380.26819923371647</c:v>
                </c:pt>
                <c:pt idx="379">
                  <c:v>381.22605363984678</c:v>
                </c:pt>
                <c:pt idx="380">
                  <c:v>382.18390804597709</c:v>
                </c:pt>
                <c:pt idx="381">
                  <c:v>383.14176245210729</c:v>
                </c:pt>
                <c:pt idx="382">
                  <c:v>384.41890166028099</c:v>
                </c:pt>
                <c:pt idx="383">
                  <c:v>385.3767560664113</c:v>
                </c:pt>
                <c:pt idx="384">
                  <c:v>386.33461047254156</c:v>
                </c:pt>
                <c:pt idx="385">
                  <c:v>387.29246487867181</c:v>
                </c:pt>
                <c:pt idx="386">
                  <c:v>388.250319284802</c:v>
                </c:pt>
                <c:pt idx="387">
                  <c:v>389.20817369093237</c:v>
                </c:pt>
                <c:pt idx="388">
                  <c:v>390.16602809706262</c:v>
                </c:pt>
                <c:pt idx="389">
                  <c:v>391.44316730523627</c:v>
                </c:pt>
                <c:pt idx="390">
                  <c:v>392.40102171136658</c:v>
                </c:pt>
                <c:pt idx="391">
                  <c:v>393.35887611749689</c:v>
                </c:pt>
                <c:pt idx="392">
                  <c:v>394.31673052362709</c:v>
                </c:pt>
                <c:pt idx="393">
                  <c:v>395.27458492975734</c:v>
                </c:pt>
                <c:pt idx="394">
                  <c:v>396.23243933588759</c:v>
                </c:pt>
                <c:pt idx="395">
                  <c:v>397.1902937420179</c:v>
                </c:pt>
                <c:pt idx="396">
                  <c:v>398.46743295019161</c:v>
                </c:pt>
                <c:pt idx="397">
                  <c:v>399.4252873563218</c:v>
                </c:pt>
                <c:pt idx="398">
                  <c:v>400.38314176245217</c:v>
                </c:pt>
                <c:pt idx="399">
                  <c:v>401.34099616858242</c:v>
                </c:pt>
                <c:pt idx="400">
                  <c:v>402.29885057471267</c:v>
                </c:pt>
                <c:pt idx="401">
                  <c:v>403.25670498084298</c:v>
                </c:pt>
                <c:pt idx="402">
                  <c:v>404.53384418901669</c:v>
                </c:pt>
                <c:pt idx="403">
                  <c:v>405.49169859514689</c:v>
                </c:pt>
                <c:pt idx="404">
                  <c:v>406.44955300127714</c:v>
                </c:pt>
                <c:pt idx="405">
                  <c:v>407.40740740740739</c:v>
                </c:pt>
                <c:pt idx="406">
                  <c:v>408.3652618135377</c:v>
                </c:pt>
                <c:pt idx="407">
                  <c:v>409.32311621966801</c:v>
                </c:pt>
                <c:pt idx="408">
                  <c:v>410.2809706257982</c:v>
                </c:pt>
                <c:pt idx="409">
                  <c:v>411.55810983397197</c:v>
                </c:pt>
                <c:pt idx="410">
                  <c:v>412.51596424010222</c:v>
                </c:pt>
                <c:pt idx="411">
                  <c:v>413.47381864623247</c:v>
                </c:pt>
                <c:pt idx="412">
                  <c:v>414.43167305236278</c:v>
                </c:pt>
                <c:pt idx="413">
                  <c:v>415.38952745849292</c:v>
                </c:pt>
                <c:pt idx="414">
                  <c:v>416.34738186462329</c:v>
                </c:pt>
                <c:pt idx="415">
                  <c:v>417.30523627075354</c:v>
                </c:pt>
                <c:pt idx="416">
                  <c:v>418.58237547892719</c:v>
                </c:pt>
                <c:pt idx="417">
                  <c:v>419.5402298850575</c:v>
                </c:pt>
                <c:pt idx="418">
                  <c:v>420.49808429118781</c:v>
                </c:pt>
                <c:pt idx="419">
                  <c:v>421.455938697318</c:v>
                </c:pt>
                <c:pt idx="420">
                  <c:v>422.41379310344837</c:v>
                </c:pt>
                <c:pt idx="421">
                  <c:v>423.37164750957857</c:v>
                </c:pt>
                <c:pt idx="422">
                  <c:v>424.64878671775227</c:v>
                </c:pt>
                <c:pt idx="423">
                  <c:v>425.60664112388258</c:v>
                </c:pt>
                <c:pt idx="424">
                  <c:v>426.56449553001272</c:v>
                </c:pt>
                <c:pt idx="425">
                  <c:v>427.52234993614309</c:v>
                </c:pt>
                <c:pt idx="426">
                  <c:v>428.48020434227334</c:v>
                </c:pt>
                <c:pt idx="427">
                  <c:v>429.43805874840359</c:v>
                </c:pt>
                <c:pt idx="428">
                  <c:v>430.3959131545339</c:v>
                </c:pt>
                <c:pt idx="429">
                  <c:v>431.67305236270761</c:v>
                </c:pt>
                <c:pt idx="430">
                  <c:v>432.6309067688378</c:v>
                </c:pt>
                <c:pt idx="431">
                  <c:v>433.58876117496811</c:v>
                </c:pt>
                <c:pt idx="432">
                  <c:v>434.54661558109837</c:v>
                </c:pt>
                <c:pt idx="433">
                  <c:v>435.50446998722862</c:v>
                </c:pt>
                <c:pt idx="434">
                  <c:v>436.46232439335898</c:v>
                </c:pt>
                <c:pt idx="435">
                  <c:v>437.73946360153252</c:v>
                </c:pt>
                <c:pt idx="436">
                  <c:v>438.69731800766289</c:v>
                </c:pt>
                <c:pt idx="437">
                  <c:v>439.65517241379314</c:v>
                </c:pt>
                <c:pt idx="438">
                  <c:v>440.61302681992339</c:v>
                </c:pt>
                <c:pt idx="439">
                  <c:v>441.5708812260537</c:v>
                </c:pt>
                <c:pt idx="440">
                  <c:v>442.5287356321839</c:v>
                </c:pt>
                <c:pt idx="441">
                  <c:v>443.4865900383142</c:v>
                </c:pt>
                <c:pt idx="442">
                  <c:v>444.76372924648791</c:v>
                </c:pt>
                <c:pt idx="443">
                  <c:v>445.72158365261816</c:v>
                </c:pt>
                <c:pt idx="444">
                  <c:v>446.67943805874842</c:v>
                </c:pt>
                <c:pt idx="445">
                  <c:v>447.63729246487878</c:v>
                </c:pt>
                <c:pt idx="446">
                  <c:v>448.59514687100892</c:v>
                </c:pt>
                <c:pt idx="447">
                  <c:v>449.55300127713929</c:v>
                </c:pt>
                <c:pt idx="448">
                  <c:v>450.51085568326948</c:v>
                </c:pt>
                <c:pt idx="449">
                  <c:v>451.78799489144319</c:v>
                </c:pt>
                <c:pt idx="450">
                  <c:v>452.7458492975735</c:v>
                </c:pt>
                <c:pt idx="451">
                  <c:v>453.7037037037037</c:v>
                </c:pt>
                <c:pt idx="452">
                  <c:v>454.661558109834</c:v>
                </c:pt>
                <c:pt idx="453">
                  <c:v>455.61941251596431</c:v>
                </c:pt>
                <c:pt idx="454">
                  <c:v>456.57726692209457</c:v>
                </c:pt>
                <c:pt idx="455">
                  <c:v>457.85440613026822</c:v>
                </c:pt>
                <c:pt idx="456">
                  <c:v>458.81226053639858</c:v>
                </c:pt>
                <c:pt idx="457">
                  <c:v>459.77011494252872</c:v>
                </c:pt>
                <c:pt idx="458">
                  <c:v>460.72796934865909</c:v>
                </c:pt>
                <c:pt idx="459">
                  <c:v>461.68582375478928</c:v>
                </c:pt>
                <c:pt idx="460">
                  <c:v>462.64367816091954</c:v>
                </c:pt>
                <c:pt idx="461">
                  <c:v>463.6015325670499</c:v>
                </c:pt>
                <c:pt idx="462">
                  <c:v>464.87867177522349</c:v>
                </c:pt>
                <c:pt idx="463">
                  <c:v>465.8365261813538</c:v>
                </c:pt>
                <c:pt idx="464">
                  <c:v>466.79438058748411</c:v>
                </c:pt>
                <c:pt idx="465">
                  <c:v>467.75223499361437</c:v>
                </c:pt>
                <c:pt idx="466">
                  <c:v>468.71008939974462</c:v>
                </c:pt>
                <c:pt idx="467">
                  <c:v>469.66794380587487</c:v>
                </c:pt>
                <c:pt idx="468">
                  <c:v>470.62579821200512</c:v>
                </c:pt>
                <c:pt idx="469">
                  <c:v>471.90293742017889</c:v>
                </c:pt>
                <c:pt idx="470">
                  <c:v>472.86079182630908</c:v>
                </c:pt>
                <c:pt idx="471">
                  <c:v>473.81864623243933</c:v>
                </c:pt>
                <c:pt idx="472">
                  <c:v>474.7765006385697</c:v>
                </c:pt>
                <c:pt idx="473">
                  <c:v>475.7343550446999</c:v>
                </c:pt>
                <c:pt idx="474">
                  <c:v>476.69220945083021</c:v>
                </c:pt>
                <c:pt idx="475">
                  <c:v>477.96934865900391</c:v>
                </c:pt>
                <c:pt idx="476">
                  <c:v>478.92720306513417</c:v>
                </c:pt>
                <c:pt idx="477">
                  <c:v>479.88505747126442</c:v>
                </c:pt>
                <c:pt idx="478">
                  <c:v>480.84291187739461</c:v>
                </c:pt>
                <c:pt idx="479">
                  <c:v>481.80076628352492</c:v>
                </c:pt>
                <c:pt idx="480">
                  <c:v>482.75862068965523</c:v>
                </c:pt>
                <c:pt idx="481">
                  <c:v>483.71647509578548</c:v>
                </c:pt>
                <c:pt idx="482">
                  <c:v>484.99361430395913</c:v>
                </c:pt>
                <c:pt idx="483">
                  <c:v>485.9514687100895</c:v>
                </c:pt>
                <c:pt idx="484">
                  <c:v>486.9093231162197</c:v>
                </c:pt>
                <c:pt idx="485">
                  <c:v>487.86717752235</c:v>
                </c:pt>
                <c:pt idx="486">
                  <c:v>488.8250319284802</c:v>
                </c:pt>
                <c:pt idx="487">
                  <c:v>489.78288633461051</c:v>
                </c:pt>
                <c:pt idx="488">
                  <c:v>490.74074074074082</c:v>
                </c:pt>
                <c:pt idx="489">
                  <c:v>492.01787994891441</c:v>
                </c:pt>
                <c:pt idx="490">
                  <c:v>492.97573435504472</c:v>
                </c:pt>
                <c:pt idx="491">
                  <c:v>493.93358876117503</c:v>
                </c:pt>
                <c:pt idx="492">
                  <c:v>494.89144316730528</c:v>
                </c:pt>
                <c:pt idx="493">
                  <c:v>495.84929757343554</c:v>
                </c:pt>
                <c:pt idx="494">
                  <c:v>496.80715197956579</c:v>
                </c:pt>
                <c:pt idx="495">
                  <c:v>498.0842911877395</c:v>
                </c:pt>
                <c:pt idx="496">
                  <c:v>499.0421455938698</c:v>
                </c:pt>
                <c:pt idx="497">
                  <c:v>500</c:v>
                </c:pt>
                <c:pt idx="498">
                  <c:v>498.79807692307696</c:v>
                </c:pt>
                <c:pt idx="499">
                  <c:v>500</c:v>
                </c:pt>
                <c:pt idx="500">
                  <c:v>500</c:v>
                </c:pt>
              </c:numCache>
            </c:numRef>
          </c:xVal>
          <c:yVal>
            <c:numRef>
              <c:f>'sheet 1'!$Q$39:$Q$841</c:f>
              <c:numCache>
                <c:formatCode>General</c:formatCode>
                <c:ptCount val="803"/>
                <c:pt idx="0">
                  <c:v>3039.9047415249283</c:v>
                </c:pt>
                <c:pt idx="1">
                  <c:v>3023.2186772214377</c:v>
                </c:pt>
                <c:pt idx="2">
                  <c:v>3006.6693067351807</c:v>
                </c:pt>
                <c:pt idx="3">
                  <c:v>2990.2551436184981</c:v>
                </c:pt>
                <c:pt idx="4">
                  <c:v>2968.5773838396622</c:v>
                </c:pt>
                <c:pt idx="5">
                  <c:v>2952.4730363806998</c:v>
                </c:pt>
                <c:pt idx="6">
                  <c:v>2936.4990849776505</c:v>
                </c:pt>
                <c:pt idx="7">
                  <c:v>2920.6541280629817</c:v>
                </c:pt>
                <c:pt idx="8">
                  <c:v>2904.9367828241566</c:v>
                </c:pt>
                <c:pt idx="9">
                  <c:v>2889.3456849036111</c:v>
                </c:pt>
                <c:pt idx="10">
                  <c:v>2873.8794881043236</c:v>
                </c:pt>
                <c:pt idx="11">
                  <c:v>2853.4498896724431</c:v>
                </c:pt>
                <c:pt idx="12">
                  <c:v>2838.269993471285</c:v>
                </c:pt>
                <c:pt idx="13">
                  <c:v>2823.2106385568636</c:v>
                </c:pt>
                <c:pt idx="14">
                  <c:v>2808.2705541562932</c:v>
                </c:pt>
                <c:pt idx="15">
                  <c:v>2793.448486176349</c:v>
                </c:pt>
                <c:pt idx="16">
                  <c:v>2778.7431969417253</c:v>
                </c:pt>
                <c:pt idx="17">
                  <c:v>2759.3156914917408</c:v>
                </c:pt>
                <c:pt idx="18">
                  <c:v>2744.8781631233355</c:v>
                </c:pt>
                <c:pt idx="19">
                  <c:v>2730.5534032253254</c:v>
                </c:pt>
                <c:pt idx="20">
                  <c:v>2716.340242356689</c:v>
                </c:pt>
                <c:pt idx="21">
                  <c:v>2702.2375261766601</c:v>
                </c:pt>
                <c:pt idx="22">
                  <c:v>2688.2441152116048</c:v>
                </c:pt>
                <c:pt idx="23">
                  <c:v>2674.3588846260873</c:v>
                </c:pt>
                <c:pt idx="24">
                  <c:v>2656.0116072361416</c:v>
                </c:pt>
                <c:pt idx="25">
                  <c:v>2642.3745037271651</c:v>
                </c:pt>
                <c:pt idx="26">
                  <c:v>2628.841934009733</c:v>
                </c:pt>
                <c:pt idx="27">
                  <c:v>2615.4128341334467</c:v>
                </c:pt>
                <c:pt idx="28">
                  <c:v>2602.0861536323455</c:v>
                </c:pt>
                <c:pt idx="29">
                  <c:v>2588.8608553205568</c:v>
                </c:pt>
                <c:pt idx="30">
                  <c:v>2575.7359150915581</c:v>
                </c:pt>
                <c:pt idx="31">
                  <c:v>2558.3903613954362</c:v>
                </c:pt>
                <c:pt idx="32">
                  <c:v>2545.4956793900433</c:v>
                </c:pt>
                <c:pt idx="33">
                  <c:v>2532.6980337346163</c:v>
                </c:pt>
                <c:pt idx="34">
                  <c:v>2519.9964547647696</c:v>
                </c:pt>
                <c:pt idx="35">
                  <c:v>2507.3899848827218</c:v>
                </c:pt>
                <c:pt idx="36">
                  <c:v>2494.8776783777625</c:v>
                </c:pt>
                <c:pt idx="37">
                  <c:v>2478.339466746042</c:v>
                </c:pt>
                <c:pt idx="38">
                  <c:v>2466.0432624812693</c:v>
                </c:pt>
                <c:pt idx="39">
                  <c:v>2453.8381528327336</c:v>
                </c:pt>
                <c:pt idx="40">
                  <c:v>2441.7232416000334</c:v>
                </c:pt>
                <c:pt idx="41">
                  <c:v>2429.69764356321</c:v>
                </c:pt>
                <c:pt idx="42">
                  <c:v>2417.7604843218674</c:v>
                </c:pt>
                <c:pt idx="43">
                  <c:v>2405.910900137033</c:v>
                </c:pt>
                <c:pt idx="44">
                  <c:v>2390.2462091933262</c:v>
                </c:pt>
                <c:pt idx="45">
                  <c:v>2378.5976665513372</c:v>
                </c:pt>
                <c:pt idx="46">
                  <c:v>2367.0338948588369</c:v>
                </c:pt>
                <c:pt idx="47">
                  <c:v>2355.5540748134863</c:v>
                </c:pt>
                <c:pt idx="48">
                  <c:v>2344.1573969751071</c:v>
                </c:pt>
                <c:pt idx="49">
                  <c:v>2332.8430616237065</c:v>
                </c:pt>
                <c:pt idx="50">
                  <c:v>2321.610278619894</c:v>
                </c:pt>
                <c:pt idx="51">
                  <c:v>2306.7587458142229</c:v>
                </c:pt>
                <c:pt idx="52">
                  <c:v>2295.7132316505822</c:v>
                </c:pt>
                <c:pt idx="53">
                  <c:v>2284.746703484418</c:v>
                </c:pt>
                <c:pt idx="54">
                  <c:v>2273.8584111351638</c:v>
                </c:pt>
                <c:pt idx="55">
                  <c:v>2263.0476132966601</c:v>
                </c:pt>
                <c:pt idx="56">
                  <c:v>2252.3135774116076</c:v>
                </c:pt>
                <c:pt idx="57">
                  <c:v>2238.1196870347817</c:v>
                </c:pt>
                <c:pt idx="58">
                  <c:v>2227.5619617644475</c:v>
                </c:pt>
                <c:pt idx="59">
                  <c:v>2217.0786182056413</c:v>
                </c:pt>
                <c:pt idx="60">
                  <c:v>2206.6689603115274</c:v>
                </c:pt>
                <c:pt idx="61">
                  <c:v>2196.3323001484614</c:v>
                </c:pt>
                <c:pt idx="62">
                  <c:v>2186.0679577828832</c:v>
                </c:pt>
                <c:pt idx="63">
                  <c:v>2175.8752611700452</c:v>
                </c:pt>
                <c:pt idx="64">
                  <c:v>2162.3953009622583</c:v>
                </c:pt>
                <c:pt idx="65">
                  <c:v>2152.3672077624246</c:v>
                </c:pt>
                <c:pt idx="66">
                  <c:v>2142.4085757485104</c:v>
                </c:pt>
                <c:pt idx="67">
                  <c:v>2132.5187658180471</c:v>
                </c:pt>
                <c:pt idx="68">
                  <c:v>2122.6971461935209</c:v>
                </c:pt>
                <c:pt idx="69">
                  <c:v>2112.943092321967</c:v>
                </c:pt>
                <c:pt idx="70">
                  <c:v>2100.0417232982909</c:v>
                </c:pt>
                <c:pt idx="71">
                  <c:v>2090.4429338786072</c:v>
                </c:pt>
                <c:pt idx="72">
                  <c:v>2080.90967928892</c:v>
                </c:pt>
                <c:pt idx="73">
                  <c:v>2071.4413651607251</c:v>
                </c:pt>
                <c:pt idx="74">
                  <c:v>2062.0374038408499</c:v>
                </c:pt>
                <c:pt idx="75">
                  <c:v>2052.6972143007029</c:v>
                </c:pt>
                <c:pt idx="76">
                  <c:v>2043.4202220469383</c:v>
                </c:pt>
                <c:pt idx="77">
                  <c:v>2031.1482250417152</c:v>
                </c:pt>
                <c:pt idx="78">
                  <c:v>2022.0164950366195</c:v>
                </c:pt>
                <c:pt idx="79">
                  <c:v>2012.9460934204465</c:v>
                </c:pt>
                <c:pt idx="80">
                  <c:v>2003.9364730207153</c:v>
                </c:pt>
                <c:pt idx="81">
                  <c:v>1994.9870927468419</c:v>
                </c:pt>
                <c:pt idx="82">
                  <c:v>1986.0974175092751</c:v>
                </c:pt>
                <c:pt idx="83">
                  <c:v>1977.266918139881</c:v>
                </c:pt>
                <c:pt idx="84">
                  <c:v>1965.584066650596</c:v>
                </c:pt>
                <c:pt idx="85">
                  <c:v>1956.8896191084648</c:v>
                </c:pt>
                <c:pt idx="86">
                  <c:v>1948.2526253090789</c:v>
                </c:pt>
                <c:pt idx="87">
                  <c:v>1939.6725808533236</c:v>
                </c:pt>
                <c:pt idx="88">
                  <c:v>1931.1489868591204</c:v>
                </c:pt>
                <c:pt idx="89">
                  <c:v>1922.6813498892379</c:v>
                </c:pt>
                <c:pt idx="90">
                  <c:v>1911.4773687215318</c:v>
                </c:pt>
                <c:pt idx="91">
                  <c:v>1903.1384092741368</c:v>
                </c:pt>
                <c:pt idx="92">
                  <c:v>1894.8538004794871</c:v>
                </c:pt>
                <c:pt idx="93">
                  <c:v>1886.6230716869329</c:v>
                </c:pt>
                <c:pt idx="94">
                  <c:v>1878.4457573237662</c:v>
                </c:pt>
                <c:pt idx="95">
                  <c:v>1870.321396829677</c:v>
                </c:pt>
                <c:pt idx="96">
                  <c:v>1862.2495345921964</c:v>
                </c:pt>
                <c:pt idx="97">
                  <c:v>1851.5679372228385</c:v>
                </c:pt>
                <c:pt idx="98">
                  <c:v>1843.616826410205</c:v>
                </c:pt>
                <c:pt idx="99">
                  <c:v>1835.7167300709459</c:v>
                </c:pt>
                <c:pt idx="100">
                  <c:v>1827.867213310481</c:v>
                </c:pt>
                <c:pt idx="101">
                  <c:v>1820.0678458536931</c:v>
                </c:pt>
                <c:pt idx="102">
                  <c:v>1812.3182019862281</c:v>
                </c:pt>
                <c:pt idx="103">
                  <c:v>1804.6178604966549</c:v>
                </c:pt>
                <c:pt idx="104">
                  <c:v>1794.426711396319</c:v>
                </c:pt>
                <c:pt idx="105">
                  <c:v>1786.8397956131359</c:v>
                </c:pt>
                <c:pt idx="106">
                  <c:v>1779.3008099654862</c:v>
                </c:pt>
                <c:pt idx="107">
                  <c:v>1771.8093521068083</c:v>
                </c:pt>
                <c:pt idx="108">
                  <c:v>1764.365023899069</c:v>
                </c:pt>
                <c:pt idx="109">
                  <c:v>1756.9674313600974</c:v>
                </c:pt>
                <c:pt idx="110">
                  <c:v>1747.1760012917973</c:v>
                </c:pt>
                <c:pt idx="111">
                  <c:v>1739.8859494511576</c:v>
                </c:pt>
                <c:pt idx="112">
                  <c:v>1732.641349359166</c:v>
                </c:pt>
                <c:pt idx="113">
                  <c:v>1725.4418244522226</c:v>
                </c:pt>
                <c:pt idx="114">
                  <c:v>1718.2870020543326</c:v>
                </c:pt>
                <c:pt idx="115">
                  <c:v>1711.1765133290867</c:v>
                </c:pt>
                <c:pt idx="116">
                  <c:v>1704.1099932323357</c:v>
                </c:pt>
                <c:pt idx="117">
                  <c:v>1694.7557381481047</c:v>
                </c:pt>
                <c:pt idx="118">
                  <c:v>1687.7904128557886</c:v>
                </c:pt>
                <c:pt idx="119">
                  <c:v>1680.8678661726276</c:v>
                </c:pt>
                <c:pt idx="120">
                  <c:v>1673.9877489569744</c:v>
                </c:pt>
                <c:pt idx="121">
                  <c:v>1667.1497156182049</c:v>
                </c:pt>
                <c:pt idx="122">
                  <c:v>1660.3534240734987</c:v>
                </c:pt>
                <c:pt idx="123">
                  <c:v>1653.5985357052414</c:v>
                </c:pt>
                <c:pt idx="124">
                  <c:v>1644.6558439615478</c:v>
                </c:pt>
                <c:pt idx="125">
                  <c:v>1637.9962653103587</c:v>
                </c:pt>
                <c:pt idx="126">
                  <c:v>1631.3769856018491</c:v>
                </c:pt>
                <c:pt idx="127">
                  <c:v>1624.7976807564764</c:v>
                </c:pt>
                <c:pt idx="128">
                  <c:v>1618.2580299426213</c:v>
                </c:pt>
                <c:pt idx="129">
                  <c:v>1611.7577155376373</c:v>
                </c:pt>
                <c:pt idx="130">
                  <c:v>1603.1512765881894</c:v>
                </c:pt>
                <c:pt idx="131">
                  <c:v>1596.7415296771851</c:v>
                </c:pt>
                <c:pt idx="132">
                  <c:v>1590.370083119687</c:v>
                </c:pt>
                <c:pt idx="133">
                  <c:v>1584.0366327615964</c:v>
                </c:pt>
                <c:pt idx="134">
                  <c:v>1577.7408774590278</c:v>
                </c:pt>
                <c:pt idx="135">
                  <c:v>1571.4825190426593</c:v>
                </c:pt>
                <c:pt idx="136">
                  <c:v>1565.2612622825702</c:v>
                </c:pt>
                <c:pt idx="137">
                  <c:v>1557.0234621173493</c:v>
                </c:pt>
                <c:pt idx="138">
                  <c:v>1550.8876440249339</c:v>
                </c:pt>
                <c:pt idx="139">
                  <c:v>1544.7879642764296</c:v>
                </c:pt>
                <c:pt idx="140">
                  <c:v>1538.7241399846955</c:v>
                </c:pt>
                <c:pt idx="141">
                  <c:v>1532.6958910224664</c:v>
                </c:pt>
                <c:pt idx="142">
                  <c:v>1526.7029399901282</c:v>
                </c:pt>
                <c:pt idx="143">
                  <c:v>1518.7667720923982</c:v>
                </c:pt>
                <c:pt idx="144">
                  <c:v>1512.8551192050099</c:v>
                </c:pt>
                <c:pt idx="145">
                  <c:v>1506.9778588769802</c:v>
                </c:pt>
                <c:pt idx="146">
                  <c:v>1501.1347251667323</c:v>
                </c:pt>
                <c:pt idx="147">
                  <c:v>1495.3254546957246</c:v>
                </c:pt>
                <c:pt idx="148">
                  <c:v>1489.5497866188919</c:v>
                </c:pt>
                <c:pt idx="149">
                  <c:v>1483.8074625954807</c:v>
                </c:pt>
                <c:pt idx="150">
                  <c:v>1476.202457208642</c:v>
                </c:pt>
                <c:pt idx="151">
                  <c:v>1470.5369451707468</c:v>
                </c:pt>
                <c:pt idx="152">
                  <c:v>1464.9039337705517</c:v>
                </c:pt>
                <c:pt idx="153">
                  <c:v>1459.3031751917197</c:v>
                </c:pt>
                <c:pt idx="154">
                  <c:v>1453.7344239731408</c:v>
                </c:pt>
                <c:pt idx="155">
                  <c:v>1448.197436982141</c:v>
                </c:pt>
                <c:pt idx="156">
                  <c:v>1442.6919733880468</c:v>
                </c:pt>
                <c:pt idx="157">
                  <c:v>1435.3999796655069</c:v>
                </c:pt>
                <c:pt idx="158">
                  <c:v>1429.9671468367922</c:v>
                </c:pt>
                <c:pt idx="159">
                  <c:v>1424.5650509293068</c:v>
                </c:pt>
                <c:pt idx="160">
                  <c:v>1419.1934607906799</c:v>
                </c:pt>
                <c:pt idx="161">
                  <c:v>1413.8521474353358</c:v>
                </c:pt>
                <c:pt idx="162">
                  <c:v>1408.540884020186</c:v>
                </c:pt>
                <c:pt idx="163">
                  <c:v>1401.5055557073592</c:v>
                </c:pt>
                <c:pt idx="164">
                  <c:v>1396.2635385076476</c:v>
                </c:pt>
                <c:pt idx="165">
                  <c:v>1391.0508302723044</c:v>
                </c:pt>
                <c:pt idx="166">
                  <c:v>1385.8672131690919</c:v>
                </c:pt>
                <c:pt idx="167">
                  <c:v>1380.7124713838589</c:v>
                </c:pt>
                <c:pt idx="168">
                  <c:v>1375.5863910981636</c:v>
                </c:pt>
                <c:pt idx="169">
                  <c:v>1370.4887604671849</c:v>
                </c:pt>
                <c:pt idx="170">
                  <c:v>1363.7358121447351</c:v>
                </c:pt>
                <c:pt idx="171">
                  <c:v>1358.7037511241083</c:v>
                </c:pt>
                <c:pt idx="172">
                  <c:v>1353.6994475848744</c:v>
                </c:pt>
                <c:pt idx="173">
                  <c:v>1348.7226979861887</c:v>
                </c:pt>
                <c:pt idx="174">
                  <c:v>1343.773300647731</c:v>
                </c:pt>
                <c:pt idx="175">
                  <c:v>1338.8510557293503</c:v>
                </c:pt>
                <c:pt idx="176">
                  <c:v>1333.9557652109663</c:v>
                </c:pt>
                <c:pt idx="177">
                  <c:v>1327.4703013645449</c:v>
                </c:pt>
                <c:pt idx="178">
                  <c:v>1322.6371444438357</c:v>
                </c:pt>
                <c:pt idx="179">
                  <c:v>1317.8302947482966</c:v>
                </c:pt>
                <c:pt idx="180">
                  <c:v>1313.0495619187679</c:v>
                </c:pt>
                <c:pt idx="181">
                  <c:v>1308.2947573132076</c:v>
                </c:pt>
                <c:pt idx="182">
                  <c:v>1303.5656939881528</c:v>
                </c:pt>
                <c:pt idx="183">
                  <c:v>1297.2999982450863</c:v>
                </c:pt>
                <c:pt idx="184">
                  <c:v>1292.630280310279</c:v>
                </c:pt>
                <c:pt idx="185">
                  <c:v>1287.9856925452927</c:v>
                </c:pt>
                <c:pt idx="186">
                  <c:v>1283.3660551585594</c:v>
                </c:pt>
                <c:pt idx="187">
                  <c:v>1278.7711899620699</c:v>
                </c:pt>
                <c:pt idx="188">
                  <c:v>1274.2009203542516</c:v>
                </c:pt>
                <c:pt idx="189">
                  <c:v>1269.6550713030661</c:v>
                </c:pt>
                <c:pt idx="190">
                  <c:v>1263.6316271483533</c:v>
                </c:pt>
                <c:pt idx="191">
                  <c:v>1259.1420874076844</c:v>
                </c:pt>
                <c:pt idx="192">
                  <c:v>1254.6763959061873</c:v>
                </c:pt>
                <c:pt idx="193">
                  <c:v>1250.2343842228186</c:v>
                </c:pt>
                <c:pt idx="194">
                  <c:v>1245.8158854193714</c:v>
                </c:pt>
                <c:pt idx="195">
                  <c:v>1241.4207340248438</c:v>
                </c:pt>
                <c:pt idx="196">
                  <c:v>1237.0487660200079</c:v>
                </c:pt>
                <c:pt idx="197">
                  <c:v>1231.2552575954062</c:v>
                </c:pt>
                <c:pt idx="198">
                  <c:v>1226.9367543551518</c:v>
                </c:pt>
                <c:pt idx="199">
                  <c:v>1222.6408980644753</c:v>
                </c:pt>
                <c:pt idx="200">
                  <c:v>1218.3675308213478</c:v>
                </c:pt>
                <c:pt idx="201">
                  <c:v>1214.1164960963195</c:v>
                </c:pt>
                <c:pt idx="202">
                  <c:v>1209.8876387182329</c:v>
                </c:pt>
                <c:pt idx="203">
                  <c:v>1204.2833946274502</c:v>
                </c:pt>
                <c:pt idx="204">
                  <c:v>1200.1056884734385</c:v>
                </c:pt>
                <c:pt idx="205">
                  <c:v>1195.949652059207</c:v>
                </c:pt>
                <c:pt idx="206">
                  <c:v>1191.8151359386763</c:v>
                </c:pt>
                <c:pt idx="207">
                  <c:v>1187.701991950755</c:v>
                </c:pt>
                <c:pt idx="208">
                  <c:v>1183.6100732061127</c:v>
                </c:pt>
                <c:pt idx="209">
                  <c:v>1179.5392340741107</c:v>
                </c:pt>
                <c:pt idx="210">
                  <c:v>1174.1439896970942</c:v>
                </c:pt>
                <c:pt idx="211">
                  <c:v>1170.1217769605944</c:v>
                </c:pt>
                <c:pt idx="212">
                  <c:v>1166.1201673272135</c:v>
                </c:pt>
                <c:pt idx="213">
                  <c:v>1162.1390204734162</c:v>
                </c:pt>
                <c:pt idx="214">
                  <c:v>1158.1781972672547</c:v>
                </c:pt>
                <c:pt idx="215">
                  <c:v>1154.2375597562555</c:v>
                </c:pt>
                <c:pt idx="216">
                  <c:v>1149.0145401267234</c:v>
                </c:pt>
                <c:pt idx="217">
                  <c:v>1145.1204726253334</c:v>
                </c:pt>
                <c:pt idx="218">
                  <c:v>1141.2461393433196</c:v>
                </c:pt>
                <c:pt idx="219">
                  <c:v>1137.3914073027477</c:v>
                </c:pt>
                <c:pt idx="220">
                  <c:v>1133.5561446429272</c:v>
                </c:pt>
                <c:pt idx="221">
                  <c:v>1129.7402206091756</c:v>
                </c:pt>
                <c:pt idx="222">
                  <c:v>1125.9435055417127</c:v>
                </c:pt>
                <c:pt idx="223">
                  <c:v>1120.9108773242169</c:v>
                </c:pt>
                <c:pt idx="224">
                  <c:v>1117.1584850140421</c:v>
                </c:pt>
                <c:pt idx="225">
                  <c:v>1113.4248772385449</c:v>
                </c:pt>
                <c:pt idx="226">
                  <c:v>1109.7099289573212</c:v>
                </c:pt>
                <c:pt idx="227">
                  <c:v>1106.0135161677867</c:v>
                </c:pt>
                <c:pt idx="228">
                  <c:v>1102.3355158948682</c:v>
                </c:pt>
                <c:pt idx="229">
                  <c:v>1098.6758061808093</c:v>
                </c:pt>
                <c:pt idx="230">
                  <c:v>1093.8244363027372</c:v>
                </c:pt>
                <c:pt idx="231">
                  <c:v>1090.2069359185152</c:v>
                </c:pt>
                <c:pt idx="232">
                  <c:v>1086.6073267860927</c:v>
                </c:pt>
                <c:pt idx="233">
                  <c:v>1083.0254912411413</c:v>
                </c:pt>
                <c:pt idx="234">
                  <c:v>1079.4613125842382</c:v>
                </c:pt>
                <c:pt idx="235">
                  <c:v>1075.914675071393</c:v>
                </c:pt>
                <c:pt idx="236">
                  <c:v>1071.2129129972973</c:v>
                </c:pt>
                <c:pt idx="237">
                  <c:v>1067.7067600020705</c:v>
                </c:pt>
                <c:pt idx="238">
                  <c:v>1064.2177691184977</c:v>
                </c:pt>
                <c:pt idx="239">
                  <c:v>1060.7458286359376</c:v>
                </c:pt>
                <c:pt idx="240">
                  <c:v>1057.2908277504537</c:v>
                </c:pt>
                <c:pt idx="241">
                  <c:v>1053.8526565559996</c:v>
                </c:pt>
                <c:pt idx="242">
                  <c:v>1050.4312060357122</c:v>
                </c:pt>
                <c:pt idx="243">
                  <c:v>1045.8950951697827</c:v>
                </c:pt>
                <c:pt idx="244">
                  <c:v>1042.5122405318837</c:v>
                </c:pt>
                <c:pt idx="245">
                  <c:v>1039.1457494906101</c:v>
                </c:pt>
                <c:pt idx="246">
                  <c:v>1035.7955167839295</c:v>
                </c:pt>
                <c:pt idx="247">
                  <c:v>1032.4614379941613</c:v>
                </c:pt>
                <c:pt idx="248">
                  <c:v>1029.143409539869</c:v>
                </c:pt>
                <c:pt idx="249">
                  <c:v>1025.8413286678422</c:v>
                </c:pt>
                <c:pt idx="250">
                  <c:v>1021.4631854588209</c:v>
                </c:pt>
                <c:pt idx="251">
                  <c:v>1018.197920609429</c:v>
                </c:pt>
                <c:pt idx="252">
                  <c:v>1014.948266712085</c:v>
                </c:pt>
                <c:pt idx="253">
                  <c:v>1011.7141245120592</c:v>
                </c:pt>
                <c:pt idx="254">
                  <c:v>1008.495395541568</c:v>
                </c:pt>
                <c:pt idx="255">
                  <c:v>1005.2919821123006</c:v>
                </c:pt>
                <c:pt idx="256">
                  <c:v>1001.0444209826206</c:v>
                </c:pt>
                <c:pt idx="257">
                  <c:v>997.87636824058916</c:v>
                </c:pt>
                <c:pt idx="258">
                  <c:v>994.72331094737626</c:v>
                </c:pt>
                <c:pt idx="259">
                  <c:v>991.58515470806515</c:v>
                </c:pt>
                <c:pt idx="260">
                  <c:v>988.46180586874129</c:v>
                </c:pt>
                <c:pt idx="261">
                  <c:v>985.35317150952824</c:v>
                </c:pt>
                <c:pt idx="262">
                  <c:v>982.25915943769826</c:v>
                </c:pt>
                <c:pt idx="263">
                  <c:v>978.15639779144362</c:v>
                </c:pt>
                <c:pt idx="264">
                  <c:v>975.09614989661998</c:v>
                </c:pt>
                <c:pt idx="265">
                  <c:v>972.05022214479425</c:v>
                </c:pt>
                <c:pt idx="266">
                  <c:v>969.01852541643393</c:v>
                </c:pt>
                <c:pt idx="267">
                  <c:v>966.00097128366565</c:v>
                </c:pt>
                <c:pt idx="268">
                  <c:v>962.99747200384707</c:v>
                </c:pt>
                <c:pt idx="269">
                  <c:v>960.00794051320975</c:v>
                </c:pt>
                <c:pt idx="270">
                  <c:v>956.04347697575372</c:v>
                </c:pt>
                <c:pt idx="271">
                  <c:v>953.08620217833982</c:v>
                </c:pt>
                <c:pt idx="272">
                  <c:v>950.14260978027755</c:v>
                </c:pt>
                <c:pt idx="273">
                  <c:v>947.21261558777383</c:v>
                </c:pt>
                <c:pt idx="274">
                  <c:v>944.29613605313762</c:v>
                </c:pt>
                <c:pt idx="275">
                  <c:v>941.39308826885031</c:v>
                </c:pt>
                <c:pt idx="276">
                  <c:v>937.54310961366627</c:v>
                </c:pt>
                <c:pt idx="277">
                  <c:v>934.67108371418908</c:v>
                </c:pt>
                <c:pt idx="278">
                  <c:v>931.81221775514473</c:v>
                </c:pt>
                <c:pt idx="279">
                  <c:v>928.96643153600041</c:v>
                </c:pt>
                <c:pt idx="280">
                  <c:v>926.13364546578259</c:v>
                </c:pt>
                <c:pt idx="281">
                  <c:v>923.31378055752805</c:v>
                </c:pt>
                <c:pt idx="282">
                  <c:v>920.50675842279486</c:v>
                </c:pt>
                <c:pt idx="283">
                  <c:v>916.7839055145057</c:v>
                </c:pt>
                <c:pt idx="284">
                  <c:v>914.00654832889234</c:v>
                </c:pt>
                <c:pt idx="285">
                  <c:v>911.24177687535519</c:v>
                </c:pt>
                <c:pt idx="286">
                  <c:v>908.48951529702651</c:v>
                </c:pt>
                <c:pt idx="287">
                  <c:v>905.74968830724754</c:v>
                </c:pt>
                <c:pt idx="288">
                  <c:v>903.02222118444467</c:v>
                </c:pt>
                <c:pt idx="289">
                  <c:v>899.40469671330993</c:v>
                </c:pt>
                <c:pt idx="290">
                  <c:v>896.70578183248995</c:v>
                </c:pt>
                <c:pt idx="291">
                  <c:v>894.01898176304599</c:v>
                </c:pt>
                <c:pt idx="292">
                  <c:v>891.34422417407256</c:v>
                </c:pt>
                <c:pt idx="293">
                  <c:v>888.68143727326242</c:v>
                </c:pt>
                <c:pt idx="294">
                  <c:v>886.03054980210663</c:v>
                </c:pt>
                <c:pt idx="295">
                  <c:v>883.39149103114005</c:v>
                </c:pt>
                <c:pt idx="296">
                  <c:v>879.89102493622852</c:v>
                </c:pt>
                <c:pt idx="297">
                  <c:v>877.27929434333305</c:v>
                </c:pt>
                <c:pt idx="298">
                  <c:v>874.67916044659194</c:v>
                </c:pt>
                <c:pt idx="299">
                  <c:v>872.09055475533512</c:v>
                </c:pt>
                <c:pt idx="300">
                  <c:v>869.51340928340926</c:v>
                </c:pt>
                <c:pt idx="301">
                  <c:v>866.94765654472201</c:v>
                </c:pt>
                <c:pt idx="302">
                  <c:v>864.39322954884346</c:v>
                </c:pt>
                <c:pt idx="303">
                  <c:v>861.00482984327493</c:v>
                </c:pt>
                <c:pt idx="304">
                  <c:v>858.47657181397608</c:v>
                </c:pt>
                <c:pt idx="305">
                  <c:v>855.95941975017718</c:v>
                </c:pt>
                <c:pt idx="306">
                  <c:v>853.4533087595006</c:v>
                </c:pt>
                <c:pt idx="307">
                  <c:v>850.95817442248767</c:v>
                </c:pt>
                <c:pt idx="308">
                  <c:v>848.47395278847239</c:v>
                </c:pt>
                <c:pt idx="309">
                  <c:v>845.17852292983264</c:v>
                </c:pt>
                <c:pt idx="310">
                  <c:v>842.71951817526053</c:v>
                </c:pt>
                <c:pt idx="311">
                  <c:v>840.27121628836949</c:v>
                </c:pt>
                <c:pt idx="312">
                  <c:v>837.83355530324366</c:v>
                </c:pt>
                <c:pt idx="313">
                  <c:v>835.40647370144438</c:v>
                </c:pt>
                <c:pt idx="314">
                  <c:v>832.98991040813735</c:v>
                </c:pt>
                <c:pt idx="315">
                  <c:v>830.58380478826496</c:v>
                </c:pt>
                <c:pt idx="316">
                  <c:v>827.39182746832444</c:v>
                </c:pt>
                <c:pt idx="317">
                  <c:v>825.00988972548544</c:v>
                </c:pt>
                <c:pt idx="318">
                  <c:v>822.63821066697597</c:v>
                </c:pt>
                <c:pt idx="319">
                  <c:v>820.27673152009868</c:v>
                </c:pt>
                <c:pt idx="320">
                  <c:v>817.92539393213917</c:v>
                </c:pt>
                <c:pt idx="321">
                  <c:v>815.58413996677632</c:v>
                </c:pt>
                <c:pt idx="322">
                  <c:v>813.25291210052069</c:v>
                </c:pt>
                <c:pt idx="323">
                  <c:v>810.16010577566556</c:v>
                </c:pt>
                <c:pt idx="324">
                  <c:v>807.85205073088343</c:v>
                </c:pt>
                <c:pt idx="325">
                  <c:v>805.55383297684261</c:v>
                </c:pt>
                <c:pt idx="326">
                  <c:v>803.26539673873208</c:v>
                </c:pt>
                <c:pt idx="327">
                  <c:v>800.98668663618491</c:v>
                </c:pt>
                <c:pt idx="328">
                  <c:v>798.71764767993659</c:v>
                </c:pt>
                <c:pt idx="329">
                  <c:v>795.70721209282829</c:v>
                </c:pt>
                <c:pt idx="330">
                  <c:v>793.46052746969656</c:v>
                </c:pt>
                <c:pt idx="331">
                  <c:v>791.22333347771939</c:v>
                </c:pt>
                <c:pt idx="332">
                  <c:v>788.99557678460189</c:v>
                </c:pt>
                <c:pt idx="333">
                  <c:v>786.77720443188332</c:v>
                </c:pt>
                <c:pt idx="334">
                  <c:v>784.56816383179739</c:v>
                </c:pt>
                <c:pt idx="335">
                  <c:v>782.36840276416558</c:v>
                </c:pt>
                <c:pt idx="336">
                  <c:v>779.44973326062313</c:v>
                </c:pt>
                <c:pt idx="337">
                  <c:v>777.27142339876332</c:v>
                </c:pt>
                <c:pt idx="338">
                  <c:v>775.10222161760566</c:v>
                </c:pt>
                <c:pt idx="339">
                  <c:v>772.94207725467174</c:v>
                </c:pt>
                <c:pt idx="340">
                  <c:v>770.79093999900283</c:v>
                </c:pt>
                <c:pt idx="341">
                  <c:v>768.6487598882369</c:v>
                </c:pt>
                <c:pt idx="342">
                  <c:v>766.51548730571506</c:v>
                </c:pt>
                <c:pt idx="343">
                  <c:v>763.68489490180104</c:v>
                </c:pt>
                <c:pt idx="344">
                  <c:v>761.57221551869657</c:v>
                </c:pt>
                <c:pt idx="345">
                  <c:v>759.4682807351528</c:v>
                </c:pt>
                <c:pt idx="346">
                  <c:v>757.3730423998104</c:v>
                </c:pt>
                <c:pt idx="347">
                  <c:v>755.28645269205231</c:v>
                </c:pt>
                <c:pt idx="348">
                  <c:v>753.20846411928085</c:v>
                </c:pt>
                <c:pt idx="349">
                  <c:v>750.45111075507384</c:v>
                </c:pt>
                <c:pt idx="350">
                  <c:v>748.39300862628545</c:v>
                </c:pt>
                <c:pt idx="351">
                  <c:v>746.34335165845062</c:v>
                </c:pt>
                <c:pt idx="352">
                  <c:v>744.30209374958167</c:v>
                </c:pt>
                <c:pt idx="353">
                  <c:v>742.26918911163239</c:v>
                </c:pt>
                <c:pt idx="354">
                  <c:v>740.2445922679384</c:v>
                </c:pt>
                <c:pt idx="355">
                  <c:v>738.22825805068169</c:v>
                </c:pt>
                <c:pt idx="356">
                  <c:v>735.55258790757102</c:v>
                </c:pt>
                <c:pt idx="357">
                  <c:v>733.55535921547789</c:v>
                </c:pt>
                <c:pt idx="358">
                  <c:v>731.56624478890126</c:v>
                </c:pt>
                <c:pt idx="359">
                  <c:v>729.58520076962839</c:v>
                </c:pt>
                <c:pt idx="360">
                  <c:v>727.61218359516556</c:v>
                </c:pt>
                <c:pt idx="361">
                  <c:v>725.64714999635123</c:v>
                </c:pt>
                <c:pt idx="362">
                  <c:v>723.0394498516979</c:v>
                </c:pt>
                <c:pt idx="363">
                  <c:v>721.09287795714988</c:v>
                </c:pt>
                <c:pt idx="364">
                  <c:v>719.15414749600541</c:v>
                </c:pt>
                <c:pt idx="365">
                  <c:v>717.22321644315173</c:v>
                </c:pt>
                <c:pt idx="366">
                  <c:v>715.30004305444311</c:v>
                </c:pt>
                <c:pt idx="367">
                  <c:v>713.38458586445324</c:v>
                </c:pt>
                <c:pt idx="368">
                  <c:v>711.47680368424392</c:v>
                </c:pt>
                <c:pt idx="369">
                  <c:v>708.94496233727887</c:v>
                </c:pt>
                <c:pt idx="370">
                  <c:v>707.05492987064667</c:v>
                </c:pt>
                <c:pt idx="371">
                  <c:v>705.17243708600529</c:v>
                </c:pt>
                <c:pt idx="372">
                  <c:v>703.29744396728449</c:v>
                </c:pt>
                <c:pt idx="373">
                  <c:v>701.42991076335966</c:v>
                </c:pt>
                <c:pt idx="374">
                  <c:v>699.56979798595125</c:v>
                </c:pt>
                <c:pt idx="375">
                  <c:v>697.7170664075453</c:v>
                </c:pt>
                <c:pt idx="376">
                  <c:v>695.25817218495411</c:v>
                </c:pt>
                <c:pt idx="377">
                  <c:v>693.42251230215174</c:v>
                </c:pt>
                <c:pt idx="378">
                  <c:v>691.59410471692797</c:v>
                </c:pt>
                <c:pt idx="379">
                  <c:v>689.77291130815433</c:v>
                </c:pt>
                <c:pt idx="380">
                  <c:v>687.95889420468598</c:v>
                </c:pt>
                <c:pt idx="381">
                  <c:v>686.15201578339452</c:v>
                </c:pt>
                <c:pt idx="382">
                  <c:v>683.75388460460772</c:v>
                </c:pt>
                <c:pt idx="383">
                  <c:v>681.96351817488016</c:v>
                </c:pt>
                <c:pt idx="384">
                  <c:v>680.18016678329457</c:v>
                </c:pt>
                <c:pt idx="385">
                  <c:v>678.40379385921176</c:v>
                </c:pt>
                <c:pt idx="386">
                  <c:v>676.63436306983726</c:v>
                </c:pt>
                <c:pt idx="387">
                  <c:v>674.87183831836899</c:v>
                </c:pt>
                <c:pt idx="388">
                  <c:v>673.11618374216005</c:v>
                </c:pt>
                <c:pt idx="389">
                  <c:v>670.78593636316123</c:v>
                </c:pt>
                <c:pt idx="390">
                  <c:v>669.04617403177031</c:v>
                </c:pt>
                <c:pt idx="391">
                  <c:v>667.31316400137291</c:v>
                </c:pt>
                <c:pt idx="392">
                  <c:v>665.58687140318534</c:v>
                </c:pt>
                <c:pt idx="393">
                  <c:v>663.86726159306284</c:v>
                </c:pt>
                <c:pt idx="394">
                  <c:v>662.15430014976926</c:v>
                </c:pt>
                <c:pt idx="395">
                  <c:v>660.4479528732569</c:v>
                </c:pt>
                <c:pt idx="396">
                  <c:v>658.18305317469185</c:v>
                </c:pt>
                <c:pt idx="397">
                  <c:v>656.49200718358009</c:v>
                </c:pt>
                <c:pt idx="398">
                  <c:v>654.807462934824</c:v>
                </c:pt>
                <c:pt idx="399">
                  <c:v>653.12938716738461</c:v>
                </c:pt>
                <c:pt idx="400">
                  <c:v>651.45774683250545</c:v>
                </c:pt>
                <c:pt idx="401">
                  <c:v>649.79250909209202</c:v>
                </c:pt>
                <c:pt idx="402">
                  <c:v>647.58209533029901</c:v>
                </c:pt>
                <c:pt idx="403">
                  <c:v>645.93167044459085</c:v>
                </c:pt>
                <c:pt idx="404">
                  <c:v>644.28754019392397</c:v>
                </c:pt>
                <c:pt idx="405">
                  <c:v>642.64967263466269</c:v>
                </c:pt>
                <c:pt idx="406">
                  <c:v>641.018036025416</c:v>
                </c:pt>
                <c:pt idx="407">
                  <c:v>639.39259882550539</c:v>
                </c:pt>
                <c:pt idx="408">
                  <c:v>637.77332969344468</c:v>
                </c:pt>
                <c:pt idx="409">
                  <c:v>635.62384515573251</c:v>
                </c:pt>
                <c:pt idx="410">
                  <c:v>634.01884740608239</c:v>
                </c:pt>
                <c:pt idx="411">
                  <c:v>632.41991467201638</c:v>
                </c:pt>
                <c:pt idx="412">
                  <c:v>630.82701645796806</c:v>
                </c:pt>
                <c:pt idx="413">
                  <c:v>629.24012245967765</c:v>
                </c:pt>
                <c:pt idx="414">
                  <c:v>627.65920256275422</c:v>
                </c:pt>
                <c:pt idx="415">
                  <c:v>626.08422684125208</c:v>
                </c:pt>
                <c:pt idx="416">
                  <c:v>623.99345433385224</c:v>
                </c:pt>
                <c:pt idx="417">
                  <c:v>622.43223302430818</c:v>
                </c:pt>
                <c:pt idx="418">
                  <c:v>620.87685747997227</c:v>
                </c:pt>
                <c:pt idx="419">
                  <c:v>619.32729857532422</c:v>
                </c:pt>
                <c:pt idx="420">
                  <c:v>617.78352736589545</c:v>
                </c:pt>
                <c:pt idx="421">
                  <c:v>616.2455150869207</c:v>
                </c:pt>
                <c:pt idx="422">
                  <c:v>614.20374100148479</c:v>
                </c:pt>
                <c:pt idx="423">
                  <c:v>612.67905536338515</c:v>
                </c:pt>
                <c:pt idx="424">
                  <c:v>611.16003405397316</c:v>
                </c:pt>
                <c:pt idx="425">
                  <c:v>609.64664907190274</c:v>
                </c:pt>
                <c:pt idx="426">
                  <c:v>608.13887258853504</c:v>
                </c:pt>
                <c:pt idx="427">
                  <c:v>606.63667694666333</c:v>
                </c:pt>
                <c:pt idx="428">
                  <c:v>605.14003465924691</c:v>
                </c:pt>
                <c:pt idx="429">
                  <c:v>603.15310296839107</c:v>
                </c:pt>
                <c:pt idx="430">
                  <c:v>601.66931256049634</c:v>
                </c:pt>
                <c:pt idx="431">
                  <c:v>600.19098509654884</c:v>
                </c:pt>
                <c:pt idx="432">
                  <c:v>598.71809381254286</c:v>
                </c:pt>
                <c:pt idx="433">
                  <c:v>597.25061210807246</c:v>
                </c:pt>
                <c:pt idx="434">
                  <c:v>595.78851354513449</c:v>
                </c:pt>
                <c:pt idx="435">
                  <c:v>593.8473771766719</c:v>
                </c:pt>
                <c:pt idx="436">
                  <c:v>592.3977373662417</c:v>
                </c:pt>
                <c:pt idx="437">
                  <c:v>590.95339372840317</c:v>
                </c:pt>
                <c:pt idx="438">
                  <c:v>589.51432051530264</c:v>
                </c:pt>
                <c:pt idx="439">
                  <c:v>588.08049213526988</c:v>
                </c:pt>
                <c:pt idx="440">
                  <c:v>586.65188315168518</c:v>
                </c:pt>
                <c:pt idx="441">
                  <c:v>585.22846828185061</c:v>
                </c:pt>
                <c:pt idx="442">
                  <c:v>583.33861810873327</c:v>
                </c:pt>
                <c:pt idx="443">
                  <c:v>581.92722537234397</c:v>
                </c:pt>
                <c:pt idx="444">
                  <c:v>580.52094357146234</c:v>
                </c:pt>
                <c:pt idx="445">
                  <c:v>579.11974807761987</c:v>
                </c:pt>
                <c:pt idx="446">
                  <c:v>577.72361441042824</c:v>
                </c:pt>
                <c:pt idx="447">
                  <c:v>576.33251823651335</c:v>
                </c:pt>
                <c:pt idx="448">
                  <c:v>574.94643536845717</c:v>
                </c:pt>
                <c:pt idx="449">
                  <c:v>573.10608181927932</c:v>
                </c:pt>
                <c:pt idx="450">
                  <c:v>571.73160341475</c:v>
                </c:pt>
                <c:pt idx="451">
                  <c:v>570.36205873207894</c:v>
                </c:pt>
                <c:pt idx="452">
                  <c:v>568.99742420431733</c:v>
                </c:pt>
                <c:pt idx="453">
                  <c:v>567.6376764049794</c:v>
                </c:pt>
                <c:pt idx="454">
                  <c:v>566.28279204703904</c:v>
                </c:pt>
                <c:pt idx="455">
                  <c:v>564.48380493303398</c:v>
                </c:pt>
                <c:pt idx="456">
                  <c:v>563.1401788203201</c:v>
                </c:pt>
                <c:pt idx="457">
                  <c:v>561.80133952008862</c:v>
                </c:pt>
                <c:pt idx="458">
                  <c:v>560.46726433825268</c:v>
                </c:pt>
                <c:pt idx="459">
                  <c:v>559.13793071497662</c:v>
                </c:pt>
                <c:pt idx="460">
                  <c:v>557.81331622372295</c:v>
                </c:pt>
                <c:pt idx="461">
                  <c:v>556.49339857030907</c:v>
                </c:pt>
                <c:pt idx="462">
                  <c:v>554.74077627075656</c:v>
                </c:pt>
                <c:pt idx="463">
                  <c:v>553.43173194252233</c:v>
                </c:pt>
                <c:pt idx="464">
                  <c:v>552.12731108212836</c:v>
                </c:pt>
                <c:pt idx="465">
                  <c:v>550.82749195821714</c:v>
                </c:pt>
                <c:pt idx="466">
                  <c:v>549.53225296688254</c:v>
                </c:pt>
                <c:pt idx="467">
                  <c:v>548.24157263077575</c:v>
                </c:pt>
                <c:pt idx="468">
                  <c:v>546.95542959821671</c:v>
                </c:pt>
                <c:pt idx="469">
                  <c:v>545.24759357862138</c:v>
                </c:pt>
                <c:pt idx="470">
                  <c:v>543.97195525269706</c:v>
                </c:pt>
                <c:pt idx="471">
                  <c:v>542.70078395440567</c:v>
                </c:pt>
                <c:pt idx="472">
                  <c:v>541.43405886654352</c:v>
                </c:pt>
                <c:pt idx="473">
                  <c:v>540.1717592929615</c:v>
                </c:pt>
                <c:pt idx="474">
                  <c:v>538.91386465771905</c:v>
                </c:pt>
                <c:pt idx="475">
                  <c:v>537.24348859709517</c:v>
                </c:pt>
                <c:pt idx="476">
                  <c:v>535.99579280276521</c:v>
                </c:pt>
                <c:pt idx="477">
                  <c:v>534.7524342177976</c:v>
                </c:pt>
                <c:pt idx="478">
                  <c:v>533.51339277758052</c:v>
                </c:pt>
                <c:pt idx="479">
                  <c:v>532.27864853332812</c:v>
                </c:pt>
                <c:pt idx="480">
                  <c:v>531.04818165127938</c:v>
                </c:pt>
                <c:pt idx="481">
                  <c:v>529.82197241190352</c:v>
                </c:pt>
                <c:pt idx="482">
                  <c:v>528.19361588829054</c:v>
                </c:pt>
                <c:pt idx="483">
                  <c:v>526.97726509719382</c:v>
                </c:pt>
                <c:pt idx="484">
                  <c:v>525.76510703192469</c:v>
                </c:pt>
                <c:pt idx="485">
                  <c:v>524.55712245892312</c:v>
                </c:pt>
                <c:pt idx="486">
                  <c:v>523.35329225472856</c:v>
                </c:pt>
                <c:pt idx="487">
                  <c:v>522.15359740522376</c:v>
                </c:pt>
                <c:pt idx="488">
                  <c:v>520.95801900488709</c:v>
                </c:pt>
                <c:pt idx="489">
                  <c:v>519.37028536212028</c:v>
                </c:pt>
                <c:pt idx="490">
                  <c:v>518.18423909282444</c:v>
                </c:pt>
                <c:pt idx="491">
                  <c:v>517.00224702909156</c:v>
                </c:pt>
                <c:pt idx="492">
                  <c:v>515.82429072746777</c:v>
                </c:pt>
                <c:pt idx="493">
                  <c:v>514.65035184919816</c:v>
                </c:pt>
                <c:pt idx="494">
                  <c:v>513.48041215951616</c:v>
                </c:pt>
                <c:pt idx="495">
                  <c:v>511.92668220971666</c:v>
                </c:pt>
                <c:pt idx="496">
                  <c:v>510.76600362593865</c:v>
                </c:pt>
                <c:pt idx="497">
                  <c:v>509.6092641901862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21-4875-B88C-B488B95351CA}"/>
            </c:ext>
          </c:extLst>
        </c:ser>
        <c:ser>
          <c:idx val="4"/>
          <c:order val="4"/>
          <c:tx>
            <c:strRef>
              <c:f>'sheet 1'!$R$38</c:f>
              <c:strCache>
                <c:ptCount val="1"/>
                <c:pt idx="0">
                  <c:v>I3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</c:v>
                </c:pt>
                <c:pt idx="1">
                  <c:v>0.95785440613030459</c:v>
                </c:pt>
                <c:pt idx="2">
                  <c:v>1.9157088122605637</c:v>
                </c:pt>
                <c:pt idx="3">
                  <c:v>2.8735632183908226</c:v>
                </c:pt>
                <c:pt idx="4">
                  <c:v>4.150702426564532</c:v>
                </c:pt>
                <c:pt idx="5">
                  <c:v>5.1085568326947906</c:v>
                </c:pt>
                <c:pt idx="6">
                  <c:v>6.06641123882505</c:v>
                </c:pt>
                <c:pt idx="7">
                  <c:v>7.0242656449553094</c:v>
                </c:pt>
                <c:pt idx="8">
                  <c:v>7.9821200510855688</c:v>
                </c:pt>
                <c:pt idx="9">
                  <c:v>8.9399744572158735</c:v>
                </c:pt>
                <c:pt idx="10">
                  <c:v>9.8978288633461311</c:v>
                </c:pt>
                <c:pt idx="11">
                  <c:v>11.174968071519796</c:v>
                </c:pt>
                <c:pt idx="12">
                  <c:v>12.1328224776501</c:v>
                </c:pt>
                <c:pt idx="13">
                  <c:v>13.090676883780361</c:v>
                </c:pt>
                <c:pt idx="14">
                  <c:v>14.048531289910619</c:v>
                </c:pt>
                <c:pt idx="15">
                  <c:v>15.006385696040878</c:v>
                </c:pt>
                <c:pt idx="16">
                  <c:v>15.964240102171138</c:v>
                </c:pt>
                <c:pt idx="17">
                  <c:v>17.241379310344843</c:v>
                </c:pt>
                <c:pt idx="18">
                  <c:v>18.199233716475106</c:v>
                </c:pt>
                <c:pt idx="19">
                  <c:v>19.157088122605366</c:v>
                </c:pt>
                <c:pt idx="20">
                  <c:v>20.114942528735671</c:v>
                </c:pt>
                <c:pt idx="21">
                  <c:v>21.072796934865931</c:v>
                </c:pt>
                <c:pt idx="22">
                  <c:v>22.030651340996187</c:v>
                </c:pt>
                <c:pt idx="23">
                  <c:v>22.988505747126446</c:v>
                </c:pt>
                <c:pt idx="24">
                  <c:v>24.265644955300154</c:v>
                </c:pt>
                <c:pt idx="25">
                  <c:v>25.223499361430413</c:v>
                </c:pt>
                <c:pt idx="26">
                  <c:v>26.181353767560676</c:v>
                </c:pt>
                <c:pt idx="27">
                  <c:v>27.139208173690935</c:v>
                </c:pt>
                <c:pt idx="28">
                  <c:v>28.097062579821237</c:v>
                </c:pt>
                <c:pt idx="29">
                  <c:v>29.054916985951497</c:v>
                </c:pt>
                <c:pt idx="30">
                  <c:v>30.012771392081756</c:v>
                </c:pt>
                <c:pt idx="31">
                  <c:v>31.289910600255467</c:v>
                </c:pt>
                <c:pt idx="32">
                  <c:v>32.24776500638572</c:v>
                </c:pt>
                <c:pt idx="33">
                  <c:v>33.205619412515986</c:v>
                </c:pt>
                <c:pt idx="34">
                  <c:v>34.163473818646239</c:v>
                </c:pt>
                <c:pt idx="35">
                  <c:v>35.121328224776505</c:v>
                </c:pt>
                <c:pt idx="36">
                  <c:v>36.079182630906807</c:v>
                </c:pt>
                <c:pt idx="37">
                  <c:v>37.356321839080472</c:v>
                </c:pt>
                <c:pt idx="38">
                  <c:v>38.314176245210732</c:v>
                </c:pt>
                <c:pt idx="39">
                  <c:v>39.272030651341034</c:v>
                </c:pt>
                <c:pt idx="40">
                  <c:v>40.229885057471293</c:v>
                </c:pt>
                <c:pt idx="41">
                  <c:v>41.187739463601552</c:v>
                </c:pt>
                <c:pt idx="42">
                  <c:v>42.145593869731812</c:v>
                </c:pt>
                <c:pt idx="43">
                  <c:v>43.103448275862071</c:v>
                </c:pt>
                <c:pt idx="44">
                  <c:v>44.380587484035786</c:v>
                </c:pt>
                <c:pt idx="45">
                  <c:v>45.338441890166038</c:v>
                </c:pt>
                <c:pt idx="46">
                  <c:v>46.296296296296298</c:v>
                </c:pt>
                <c:pt idx="47">
                  <c:v>47.254150702426607</c:v>
                </c:pt>
                <c:pt idx="48">
                  <c:v>48.212005108556859</c:v>
                </c:pt>
                <c:pt idx="49">
                  <c:v>49.169859514687126</c:v>
                </c:pt>
                <c:pt idx="50">
                  <c:v>50.127713920817378</c:v>
                </c:pt>
                <c:pt idx="51">
                  <c:v>51.404853128991085</c:v>
                </c:pt>
                <c:pt idx="52">
                  <c:v>52.362707535121352</c:v>
                </c:pt>
                <c:pt idx="53">
                  <c:v>53.320561941251604</c:v>
                </c:pt>
                <c:pt idx="54">
                  <c:v>54.278416347381871</c:v>
                </c:pt>
                <c:pt idx="55">
                  <c:v>55.236270753512173</c:v>
                </c:pt>
                <c:pt idx="56">
                  <c:v>56.194125159642432</c:v>
                </c:pt>
                <c:pt idx="57">
                  <c:v>57.47126436781609</c:v>
                </c:pt>
                <c:pt idx="58">
                  <c:v>58.429118773946392</c:v>
                </c:pt>
                <c:pt idx="59">
                  <c:v>59.386973180076659</c:v>
                </c:pt>
                <c:pt idx="60">
                  <c:v>60.344827586206918</c:v>
                </c:pt>
                <c:pt idx="61">
                  <c:v>61.302681992337178</c:v>
                </c:pt>
                <c:pt idx="62">
                  <c:v>62.260536398467437</c:v>
                </c:pt>
                <c:pt idx="63">
                  <c:v>63.218390804597732</c:v>
                </c:pt>
                <c:pt idx="64">
                  <c:v>64.495530012771411</c:v>
                </c:pt>
                <c:pt idx="65">
                  <c:v>65.453384418901663</c:v>
                </c:pt>
                <c:pt idx="66">
                  <c:v>66.411238825031973</c:v>
                </c:pt>
                <c:pt idx="67">
                  <c:v>67.369093231162239</c:v>
                </c:pt>
                <c:pt idx="68">
                  <c:v>68.326947637292477</c:v>
                </c:pt>
                <c:pt idx="69">
                  <c:v>69.284802043422744</c:v>
                </c:pt>
                <c:pt idx="70">
                  <c:v>70.561941251596451</c:v>
                </c:pt>
                <c:pt idx="71">
                  <c:v>71.519795657726718</c:v>
                </c:pt>
                <c:pt idx="72">
                  <c:v>72.47765006385697</c:v>
                </c:pt>
                <c:pt idx="73">
                  <c:v>73.435504469987222</c:v>
                </c:pt>
                <c:pt idx="74">
                  <c:v>74.393358876117532</c:v>
                </c:pt>
                <c:pt idx="75">
                  <c:v>75.351213282247798</c:v>
                </c:pt>
                <c:pt idx="76">
                  <c:v>76.30906768837805</c:v>
                </c:pt>
                <c:pt idx="77">
                  <c:v>77.586206896551772</c:v>
                </c:pt>
                <c:pt idx="78">
                  <c:v>78.54406130268201</c:v>
                </c:pt>
                <c:pt idx="79">
                  <c:v>79.501915708812277</c:v>
                </c:pt>
                <c:pt idx="80">
                  <c:v>80.459770114942543</c:v>
                </c:pt>
                <c:pt idx="81">
                  <c:v>81.41762452107281</c:v>
                </c:pt>
                <c:pt idx="82">
                  <c:v>82.375478927203105</c:v>
                </c:pt>
                <c:pt idx="83">
                  <c:v>83.333333333333371</c:v>
                </c:pt>
                <c:pt idx="84">
                  <c:v>84.610472541507022</c:v>
                </c:pt>
                <c:pt idx="85">
                  <c:v>85.568326947637331</c:v>
                </c:pt>
                <c:pt idx="86">
                  <c:v>86.526181353767598</c:v>
                </c:pt>
                <c:pt idx="87">
                  <c:v>87.48403575989785</c:v>
                </c:pt>
                <c:pt idx="88">
                  <c:v>88.441890166028102</c:v>
                </c:pt>
                <c:pt idx="89">
                  <c:v>89.399744572158369</c:v>
                </c:pt>
                <c:pt idx="90">
                  <c:v>90.676883780332076</c:v>
                </c:pt>
                <c:pt idx="91">
                  <c:v>91.634738186462343</c:v>
                </c:pt>
                <c:pt idx="92">
                  <c:v>92.592592592592595</c:v>
                </c:pt>
                <c:pt idx="93">
                  <c:v>93.550446998722904</c:v>
                </c:pt>
                <c:pt idx="94">
                  <c:v>94.508301404853157</c:v>
                </c:pt>
                <c:pt idx="95">
                  <c:v>95.466155810983423</c:v>
                </c:pt>
                <c:pt idx="96">
                  <c:v>96.424010217113675</c:v>
                </c:pt>
                <c:pt idx="97">
                  <c:v>97.701149425287383</c:v>
                </c:pt>
                <c:pt idx="98">
                  <c:v>98.65900383141765</c:v>
                </c:pt>
                <c:pt idx="99">
                  <c:v>99.616858237547902</c:v>
                </c:pt>
                <c:pt idx="100">
                  <c:v>100.57471264367817</c:v>
                </c:pt>
                <c:pt idx="101">
                  <c:v>101.53256704980846</c:v>
                </c:pt>
                <c:pt idx="102">
                  <c:v>102.49042145593873</c:v>
                </c:pt>
                <c:pt idx="103">
                  <c:v>103.448275862069</c:v>
                </c:pt>
                <c:pt idx="104">
                  <c:v>104.7254150702427</c:v>
                </c:pt>
                <c:pt idx="105">
                  <c:v>105.68326947637296</c:v>
                </c:pt>
                <c:pt idx="106">
                  <c:v>106.64112388250321</c:v>
                </c:pt>
                <c:pt idx="107">
                  <c:v>107.59897828863348</c:v>
                </c:pt>
                <c:pt idx="108">
                  <c:v>108.55683269476374</c:v>
                </c:pt>
                <c:pt idx="109">
                  <c:v>109.51468710089404</c:v>
                </c:pt>
                <c:pt idx="110">
                  <c:v>110.7918263090677</c:v>
                </c:pt>
                <c:pt idx="111">
                  <c:v>111.74968071519795</c:v>
                </c:pt>
                <c:pt idx="112">
                  <c:v>112.70753512132826</c:v>
                </c:pt>
                <c:pt idx="113">
                  <c:v>113.66538952745853</c:v>
                </c:pt>
                <c:pt idx="114">
                  <c:v>114.6232439335888</c:v>
                </c:pt>
                <c:pt idx="115">
                  <c:v>115.58109833971903</c:v>
                </c:pt>
                <c:pt idx="116">
                  <c:v>116.5389527458493</c:v>
                </c:pt>
                <c:pt idx="117">
                  <c:v>117.81609195402301</c:v>
                </c:pt>
                <c:pt idx="118">
                  <c:v>118.77394636015327</c:v>
                </c:pt>
                <c:pt idx="119">
                  <c:v>119.73180076628354</c:v>
                </c:pt>
                <c:pt idx="120">
                  <c:v>120.68965517241384</c:v>
                </c:pt>
                <c:pt idx="121">
                  <c:v>121.64750957854409</c:v>
                </c:pt>
                <c:pt idx="122">
                  <c:v>122.60536398467436</c:v>
                </c:pt>
                <c:pt idx="123">
                  <c:v>123.56321839080461</c:v>
                </c:pt>
                <c:pt idx="124">
                  <c:v>124.84035759897833</c:v>
                </c:pt>
                <c:pt idx="125">
                  <c:v>125.79821200510857</c:v>
                </c:pt>
                <c:pt idx="126">
                  <c:v>126.75606641123885</c:v>
                </c:pt>
                <c:pt idx="127">
                  <c:v>127.7139208173691</c:v>
                </c:pt>
                <c:pt idx="128">
                  <c:v>128.6717752234994</c:v>
                </c:pt>
                <c:pt idx="129">
                  <c:v>129.62962962962965</c:v>
                </c:pt>
                <c:pt idx="130">
                  <c:v>130.90676883780333</c:v>
                </c:pt>
                <c:pt idx="131">
                  <c:v>131.86462324393364</c:v>
                </c:pt>
                <c:pt idx="132">
                  <c:v>132.82247765006389</c:v>
                </c:pt>
                <c:pt idx="133">
                  <c:v>133.78033205619414</c:v>
                </c:pt>
                <c:pt idx="134">
                  <c:v>134.73818646232442</c:v>
                </c:pt>
                <c:pt idx="135">
                  <c:v>135.69604086845465</c:v>
                </c:pt>
                <c:pt idx="136">
                  <c:v>136.65389527458495</c:v>
                </c:pt>
                <c:pt idx="137">
                  <c:v>137.93103448275863</c:v>
                </c:pt>
                <c:pt idx="138">
                  <c:v>138.88888888888889</c:v>
                </c:pt>
                <c:pt idx="139">
                  <c:v>139.84674329501919</c:v>
                </c:pt>
                <c:pt idx="140">
                  <c:v>140.80459770114945</c:v>
                </c:pt>
                <c:pt idx="141">
                  <c:v>141.76245210727973</c:v>
                </c:pt>
                <c:pt idx="142">
                  <c:v>142.72030651340998</c:v>
                </c:pt>
                <c:pt idx="143">
                  <c:v>143.99744572158369</c:v>
                </c:pt>
                <c:pt idx="144">
                  <c:v>144.95530012771394</c:v>
                </c:pt>
                <c:pt idx="145">
                  <c:v>145.91315453384422</c:v>
                </c:pt>
                <c:pt idx="146">
                  <c:v>146.87100893997444</c:v>
                </c:pt>
                <c:pt idx="147">
                  <c:v>147.82886334610475</c:v>
                </c:pt>
                <c:pt idx="148">
                  <c:v>148.78671775223503</c:v>
                </c:pt>
                <c:pt idx="149">
                  <c:v>149.74457215836529</c:v>
                </c:pt>
                <c:pt idx="150">
                  <c:v>151.02171136653899</c:v>
                </c:pt>
                <c:pt idx="151">
                  <c:v>151.97956577266925</c:v>
                </c:pt>
                <c:pt idx="152">
                  <c:v>152.93742017879953</c:v>
                </c:pt>
                <c:pt idx="153">
                  <c:v>153.89527458492978</c:v>
                </c:pt>
                <c:pt idx="154">
                  <c:v>154.85312899106003</c:v>
                </c:pt>
                <c:pt idx="155">
                  <c:v>155.81098339719031</c:v>
                </c:pt>
                <c:pt idx="156">
                  <c:v>156.76883780332059</c:v>
                </c:pt>
                <c:pt idx="157">
                  <c:v>158.04597701149424</c:v>
                </c:pt>
                <c:pt idx="158">
                  <c:v>159.00383141762455</c:v>
                </c:pt>
                <c:pt idx="159">
                  <c:v>159.96168582375483</c:v>
                </c:pt>
                <c:pt idx="160">
                  <c:v>160.91954022988509</c:v>
                </c:pt>
                <c:pt idx="161">
                  <c:v>161.87739463601534</c:v>
                </c:pt>
                <c:pt idx="162">
                  <c:v>162.83524904214562</c:v>
                </c:pt>
                <c:pt idx="163">
                  <c:v>164.11238825031933</c:v>
                </c:pt>
                <c:pt idx="164">
                  <c:v>165.07024265644958</c:v>
                </c:pt>
                <c:pt idx="165">
                  <c:v>166.0280970625798</c:v>
                </c:pt>
                <c:pt idx="166">
                  <c:v>166.98595146871011</c:v>
                </c:pt>
                <c:pt idx="167">
                  <c:v>167.94380587484039</c:v>
                </c:pt>
                <c:pt idx="168">
                  <c:v>168.90166028097065</c:v>
                </c:pt>
                <c:pt idx="169">
                  <c:v>169.85951468710093</c:v>
                </c:pt>
                <c:pt idx="170">
                  <c:v>171.13665389527463</c:v>
                </c:pt>
                <c:pt idx="171">
                  <c:v>172.09450830140489</c:v>
                </c:pt>
                <c:pt idx="172">
                  <c:v>173.05236270753514</c:v>
                </c:pt>
                <c:pt idx="173">
                  <c:v>174.01021711366542</c:v>
                </c:pt>
                <c:pt idx="174">
                  <c:v>174.9680715197957</c:v>
                </c:pt>
                <c:pt idx="175">
                  <c:v>175.9259259259259</c:v>
                </c:pt>
                <c:pt idx="176">
                  <c:v>176.8837803320562</c:v>
                </c:pt>
                <c:pt idx="177">
                  <c:v>178.16091954022991</c:v>
                </c:pt>
                <c:pt idx="178">
                  <c:v>179.11877394636014</c:v>
                </c:pt>
                <c:pt idx="179">
                  <c:v>180.07662835249045</c:v>
                </c:pt>
                <c:pt idx="180">
                  <c:v>181.03448275862075</c:v>
                </c:pt>
                <c:pt idx="181">
                  <c:v>181.99233716475098</c:v>
                </c:pt>
                <c:pt idx="182">
                  <c:v>182.95019157088126</c:v>
                </c:pt>
                <c:pt idx="183">
                  <c:v>184.22733077905499</c:v>
                </c:pt>
                <c:pt idx="184">
                  <c:v>185.18518518518519</c:v>
                </c:pt>
                <c:pt idx="185">
                  <c:v>186.1430395913155</c:v>
                </c:pt>
                <c:pt idx="186">
                  <c:v>187.1008939974457</c:v>
                </c:pt>
                <c:pt idx="187">
                  <c:v>188.058748403576</c:v>
                </c:pt>
                <c:pt idx="188">
                  <c:v>189.01660280970631</c:v>
                </c:pt>
                <c:pt idx="189">
                  <c:v>189.97445721583654</c:v>
                </c:pt>
                <c:pt idx="190">
                  <c:v>191.25159642401024</c:v>
                </c:pt>
                <c:pt idx="191">
                  <c:v>192.20945083014055</c:v>
                </c:pt>
                <c:pt idx="192">
                  <c:v>193.16730523627078</c:v>
                </c:pt>
                <c:pt idx="193">
                  <c:v>194.12515964240106</c:v>
                </c:pt>
                <c:pt idx="194">
                  <c:v>195.08301404853128</c:v>
                </c:pt>
                <c:pt idx="195">
                  <c:v>196.04086845466159</c:v>
                </c:pt>
                <c:pt idx="196">
                  <c:v>196.9987228607919</c:v>
                </c:pt>
                <c:pt idx="197">
                  <c:v>198.27586206896549</c:v>
                </c:pt>
                <c:pt idx="198">
                  <c:v>199.2337164750958</c:v>
                </c:pt>
                <c:pt idx="199">
                  <c:v>200.19157088122611</c:v>
                </c:pt>
                <c:pt idx="200">
                  <c:v>201.14942528735634</c:v>
                </c:pt>
                <c:pt idx="201">
                  <c:v>202.10727969348662</c:v>
                </c:pt>
                <c:pt idx="202">
                  <c:v>203.06513409961684</c:v>
                </c:pt>
                <c:pt idx="203">
                  <c:v>204.34227330779055</c:v>
                </c:pt>
                <c:pt idx="204">
                  <c:v>205.30012771392086</c:v>
                </c:pt>
                <c:pt idx="205">
                  <c:v>206.25798212005108</c:v>
                </c:pt>
                <c:pt idx="206">
                  <c:v>207.21583652618139</c:v>
                </c:pt>
                <c:pt idx="207">
                  <c:v>208.1736909323117</c:v>
                </c:pt>
                <c:pt idx="208">
                  <c:v>209.1315453384419</c:v>
                </c:pt>
                <c:pt idx="209">
                  <c:v>210.08939974457221</c:v>
                </c:pt>
                <c:pt idx="210">
                  <c:v>211.36653895274591</c:v>
                </c:pt>
                <c:pt idx="211">
                  <c:v>212.32439335887614</c:v>
                </c:pt>
                <c:pt idx="212">
                  <c:v>213.28224776500642</c:v>
                </c:pt>
                <c:pt idx="213">
                  <c:v>214.24010217113664</c:v>
                </c:pt>
                <c:pt idx="214">
                  <c:v>215.19795657726695</c:v>
                </c:pt>
                <c:pt idx="215">
                  <c:v>216.15581098339726</c:v>
                </c:pt>
                <c:pt idx="216">
                  <c:v>217.43295019157088</c:v>
                </c:pt>
                <c:pt idx="217">
                  <c:v>218.39080459770119</c:v>
                </c:pt>
                <c:pt idx="218">
                  <c:v>219.3486590038315</c:v>
                </c:pt>
                <c:pt idx="219">
                  <c:v>220.3065134099617</c:v>
                </c:pt>
                <c:pt idx="220">
                  <c:v>221.26436781609198</c:v>
                </c:pt>
                <c:pt idx="221">
                  <c:v>222.2222222222222</c:v>
                </c:pt>
                <c:pt idx="222">
                  <c:v>223.18007662835251</c:v>
                </c:pt>
                <c:pt idx="223">
                  <c:v>224.45721583652622</c:v>
                </c:pt>
                <c:pt idx="224">
                  <c:v>225.41507024265644</c:v>
                </c:pt>
                <c:pt idx="225">
                  <c:v>226.37292464878675</c:v>
                </c:pt>
                <c:pt idx="226">
                  <c:v>227.33077905491706</c:v>
                </c:pt>
                <c:pt idx="227">
                  <c:v>228.28863346104728</c:v>
                </c:pt>
                <c:pt idx="228">
                  <c:v>229.24648786717759</c:v>
                </c:pt>
                <c:pt idx="229">
                  <c:v>230.20434227330776</c:v>
                </c:pt>
                <c:pt idx="230">
                  <c:v>231.4814814814815</c:v>
                </c:pt>
                <c:pt idx="231">
                  <c:v>232.43933588761178</c:v>
                </c:pt>
                <c:pt idx="232">
                  <c:v>233.397190293742</c:v>
                </c:pt>
                <c:pt idx="233">
                  <c:v>234.35504469987231</c:v>
                </c:pt>
                <c:pt idx="234">
                  <c:v>235.31289910600262</c:v>
                </c:pt>
                <c:pt idx="235">
                  <c:v>236.27075351213284</c:v>
                </c:pt>
                <c:pt idx="236">
                  <c:v>237.54789272030655</c:v>
                </c:pt>
                <c:pt idx="237">
                  <c:v>238.50574712643686</c:v>
                </c:pt>
                <c:pt idx="238">
                  <c:v>239.46360153256708</c:v>
                </c:pt>
                <c:pt idx="239">
                  <c:v>240.42145593869736</c:v>
                </c:pt>
                <c:pt idx="240">
                  <c:v>241.37931034482756</c:v>
                </c:pt>
                <c:pt idx="241">
                  <c:v>242.33716475095787</c:v>
                </c:pt>
                <c:pt idx="242">
                  <c:v>243.29501915708818</c:v>
                </c:pt>
                <c:pt idx="243">
                  <c:v>244.5721583652618</c:v>
                </c:pt>
                <c:pt idx="244">
                  <c:v>245.53001277139211</c:v>
                </c:pt>
                <c:pt idx="245">
                  <c:v>246.48786717752242</c:v>
                </c:pt>
                <c:pt idx="246">
                  <c:v>247.44572158365264</c:v>
                </c:pt>
                <c:pt idx="247">
                  <c:v>248.40357598978295</c:v>
                </c:pt>
                <c:pt idx="248">
                  <c:v>249.36143039591315</c:v>
                </c:pt>
                <c:pt idx="249">
                  <c:v>250.31928480204346</c:v>
                </c:pt>
                <c:pt idx="250">
                  <c:v>251.59642401021713</c:v>
                </c:pt>
                <c:pt idx="251">
                  <c:v>252.55427841634736</c:v>
                </c:pt>
                <c:pt idx="252">
                  <c:v>253.5121328224777</c:v>
                </c:pt>
                <c:pt idx="253">
                  <c:v>254.46998722860798</c:v>
                </c:pt>
                <c:pt idx="254">
                  <c:v>255.4278416347382</c:v>
                </c:pt>
                <c:pt idx="255">
                  <c:v>256.38569604086854</c:v>
                </c:pt>
                <c:pt idx="256">
                  <c:v>257.66283524904219</c:v>
                </c:pt>
                <c:pt idx="257">
                  <c:v>258.62068965517244</c:v>
                </c:pt>
                <c:pt idx="258">
                  <c:v>259.57854406130269</c:v>
                </c:pt>
                <c:pt idx="259">
                  <c:v>260.53639846743295</c:v>
                </c:pt>
                <c:pt idx="260">
                  <c:v>261.49425287356325</c:v>
                </c:pt>
                <c:pt idx="261">
                  <c:v>262.45210727969356</c:v>
                </c:pt>
                <c:pt idx="262">
                  <c:v>263.40996168582376</c:v>
                </c:pt>
                <c:pt idx="263">
                  <c:v>264.68710089399747</c:v>
                </c:pt>
                <c:pt idx="264">
                  <c:v>265.64495530012778</c:v>
                </c:pt>
                <c:pt idx="265">
                  <c:v>266.60280970625797</c:v>
                </c:pt>
                <c:pt idx="266">
                  <c:v>267.56066411238828</c:v>
                </c:pt>
                <c:pt idx="267">
                  <c:v>268.51851851851848</c:v>
                </c:pt>
                <c:pt idx="268">
                  <c:v>269.47637292464884</c:v>
                </c:pt>
                <c:pt idx="269">
                  <c:v>270.43422733077909</c:v>
                </c:pt>
                <c:pt idx="270">
                  <c:v>271.71136653895275</c:v>
                </c:pt>
                <c:pt idx="271">
                  <c:v>272.66922094508305</c:v>
                </c:pt>
                <c:pt idx="272">
                  <c:v>273.62707535121331</c:v>
                </c:pt>
                <c:pt idx="273">
                  <c:v>274.58492975734356</c:v>
                </c:pt>
                <c:pt idx="274">
                  <c:v>275.54278416347387</c:v>
                </c:pt>
                <c:pt idx="275">
                  <c:v>276.50063856960406</c:v>
                </c:pt>
                <c:pt idx="276">
                  <c:v>277.77777777777777</c:v>
                </c:pt>
                <c:pt idx="277">
                  <c:v>278.73563218390808</c:v>
                </c:pt>
                <c:pt idx="278">
                  <c:v>279.69348659003828</c:v>
                </c:pt>
                <c:pt idx="279">
                  <c:v>280.65134099616864</c:v>
                </c:pt>
                <c:pt idx="280">
                  <c:v>281.60919540229889</c:v>
                </c:pt>
                <c:pt idx="281">
                  <c:v>282.56704980842909</c:v>
                </c:pt>
                <c:pt idx="282">
                  <c:v>283.52490421455946</c:v>
                </c:pt>
                <c:pt idx="283">
                  <c:v>284.80204342273311</c:v>
                </c:pt>
                <c:pt idx="284">
                  <c:v>285.75989782886336</c:v>
                </c:pt>
                <c:pt idx="285">
                  <c:v>286.71775223499367</c:v>
                </c:pt>
                <c:pt idx="286">
                  <c:v>287.67560664112386</c:v>
                </c:pt>
                <c:pt idx="287">
                  <c:v>288.63346104725417</c:v>
                </c:pt>
                <c:pt idx="288">
                  <c:v>289.59131545338448</c:v>
                </c:pt>
                <c:pt idx="289">
                  <c:v>290.86845466155808</c:v>
                </c:pt>
                <c:pt idx="290">
                  <c:v>291.82630906768844</c:v>
                </c:pt>
                <c:pt idx="291">
                  <c:v>292.78416347381869</c:v>
                </c:pt>
                <c:pt idx="292">
                  <c:v>293.74201787994889</c:v>
                </c:pt>
                <c:pt idx="293">
                  <c:v>294.69987228607926</c:v>
                </c:pt>
                <c:pt idx="294">
                  <c:v>295.65772669220945</c:v>
                </c:pt>
                <c:pt idx="295">
                  <c:v>296.61558109833976</c:v>
                </c:pt>
                <c:pt idx="296">
                  <c:v>297.89272030651347</c:v>
                </c:pt>
                <c:pt idx="297">
                  <c:v>298.85057471264366</c:v>
                </c:pt>
                <c:pt idx="298">
                  <c:v>299.80842911877397</c:v>
                </c:pt>
                <c:pt idx="299">
                  <c:v>300.76628352490428</c:v>
                </c:pt>
                <c:pt idx="300">
                  <c:v>301.72413793103448</c:v>
                </c:pt>
                <c:pt idx="301">
                  <c:v>302.68199233716479</c:v>
                </c:pt>
                <c:pt idx="302">
                  <c:v>303.63984674329504</c:v>
                </c:pt>
                <c:pt idx="303">
                  <c:v>304.91698595146869</c:v>
                </c:pt>
                <c:pt idx="304">
                  <c:v>305.87484035759906</c:v>
                </c:pt>
                <c:pt idx="305">
                  <c:v>306.83269476372925</c:v>
                </c:pt>
                <c:pt idx="306">
                  <c:v>307.79054916985956</c:v>
                </c:pt>
                <c:pt idx="307">
                  <c:v>308.74840357598987</c:v>
                </c:pt>
                <c:pt idx="308">
                  <c:v>309.70625798212006</c:v>
                </c:pt>
                <c:pt idx="309">
                  <c:v>310.98339719029377</c:v>
                </c:pt>
                <c:pt idx="310">
                  <c:v>311.94125159642402</c:v>
                </c:pt>
                <c:pt idx="311">
                  <c:v>312.89910600255428</c:v>
                </c:pt>
                <c:pt idx="312">
                  <c:v>313.85696040868459</c:v>
                </c:pt>
                <c:pt idx="313">
                  <c:v>314.81481481481484</c:v>
                </c:pt>
                <c:pt idx="314">
                  <c:v>315.77266922094509</c:v>
                </c:pt>
                <c:pt idx="315">
                  <c:v>316.73052362707546</c:v>
                </c:pt>
                <c:pt idx="316">
                  <c:v>318.00766283524905</c:v>
                </c:pt>
                <c:pt idx="317">
                  <c:v>318.96551724137936</c:v>
                </c:pt>
                <c:pt idx="318">
                  <c:v>319.92337164750967</c:v>
                </c:pt>
                <c:pt idx="319">
                  <c:v>320.88122605363981</c:v>
                </c:pt>
                <c:pt idx="320">
                  <c:v>321.83908045977017</c:v>
                </c:pt>
                <c:pt idx="321">
                  <c:v>322.79693486590037</c:v>
                </c:pt>
                <c:pt idx="322">
                  <c:v>323.75478927203068</c:v>
                </c:pt>
                <c:pt idx="323">
                  <c:v>325.03192848020439</c:v>
                </c:pt>
                <c:pt idx="324">
                  <c:v>325.98978288633464</c:v>
                </c:pt>
                <c:pt idx="325">
                  <c:v>326.94763729246489</c:v>
                </c:pt>
                <c:pt idx="326">
                  <c:v>327.90549169859526</c:v>
                </c:pt>
                <c:pt idx="327">
                  <c:v>328.86334610472545</c:v>
                </c:pt>
                <c:pt idx="328">
                  <c:v>329.8212005108557</c:v>
                </c:pt>
                <c:pt idx="329">
                  <c:v>331.09833971902947</c:v>
                </c:pt>
                <c:pt idx="330">
                  <c:v>332.05619412515961</c:v>
                </c:pt>
                <c:pt idx="331">
                  <c:v>333.01404853128997</c:v>
                </c:pt>
                <c:pt idx="332">
                  <c:v>333.97190293742017</c:v>
                </c:pt>
                <c:pt idx="333">
                  <c:v>334.92975734355048</c:v>
                </c:pt>
                <c:pt idx="334">
                  <c:v>335.88761174968079</c:v>
                </c:pt>
                <c:pt idx="335">
                  <c:v>336.84546615581104</c:v>
                </c:pt>
                <c:pt idx="336">
                  <c:v>338.12260536398469</c:v>
                </c:pt>
                <c:pt idx="337">
                  <c:v>339.08045977011506</c:v>
                </c:pt>
                <c:pt idx="338">
                  <c:v>340.03831417624525</c:v>
                </c:pt>
                <c:pt idx="339">
                  <c:v>340.9961685823755</c:v>
                </c:pt>
                <c:pt idx="340">
                  <c:v>341.95402298850576</c:v>
                </c:pt>
                <c:pt idx="341">
                  <c:v>342.91187739463601</c:v>
                </c:pt>
                <c:pt idx="342">
                  <c:v>343.86973180076637</c:v>
                </c:pt>
                <c:pt idx="343">
                  <c:v>345.14687100893997</c:v>
                </c:pt>
                <c:pt idx="344">
                  <c:v>346.10472541507028</c:v>
                </c:pt>
                <c:pt idx="345">
                  <c:v>347.06257982120059</c:v>
                </c:pt>
                <c:pt idx="346">
                  <c:v>348.02043422733084</c:v>
                </c:pt>
                <c:pt idx="347">
                  <c:v>348.97828863346109</c:v>
                </c:pt>
                <c:pt idx="348">
                  <c:v>349.93614303959129</c:v>
                </c:pt>
                <c:pt idx="349">
                  <c:v>351.21328224776505</c:v>
                </c:pt>
                <c:pt idx="350">
                  <c:v>352.1711366538953</c:v>
                </c:pt>
                <c:pt idx="351">
                  <c:v>353.12899106002556</c:v>
                </c:pt>
                <c:pt idx="352">
                  <c:v>354.08684546615581</c:v>
                </c:pt>
                <c:pt idx="353">
                  <c:v>355.04469987228617</c:v>
                </c:pt>
                <c:pt idx="354">
                  <c:v>356.00255427841637</c:v>
                </c:pt>
                <c:pt idx="355">
                  <c:v>356.96040868454662</c:v>
                </c:pt>
                <c:pt idx="356">
                  <c:v>358.23754789272039</c:v>
                </c:pt>
                <c:pt idx="357">
                  <c:v>359.19540229885058</c:v>
                </c:pt>
                <c:pt idx="358">
                  <c:v>360.15325670498089</c:v>
                </c:pt>
                <c:pt idx="359">
                  <c:v>361.11111111111109</c:v>
                </c:pt>
                <c:pt idx="360">
                  <c:v>362.06896551724145</c:v>
                </c:pt>
                <c:pt idx="361">
                  <c:v>363.0268199233717</c:v>
                </c:pt>
                <c:pt idx="362">
                  <c:v>364.30395913154535</c:v>
                </c:pt>
                <c:pt idx="363">
                  <c:v>365.26181353767561</c:v>
                </c:pt>
                <c:pt idx="364">
                  <c:v>366.21966794380597</c:v>
                </c:pt>
                <c:pt idx="365">
                  <c:v>367.17752234993617</c:v>
                </c:pt>
                <c:pt idx="366">
                  <c:v>368.13537675606642</c:v>
                </c:pt>
                <c:pt idx="367">
                  <c:v>369.09323116219667</c:v>
                </c:pt>
                <c:pt idx="368">
                  <c:v>370.05108556832698</c:v>
                </c:pt>
                <c:pt idx="369">
                  <c:v>371.32822477650069</c:v>
                </c:pt>
                <c:pt idx="370">
                  <c:v>372.28607918263089</c:v>
                </c:pt>
                <c:pt idx="371">
                  <c:v>373.24393358876125</c:v>
                </c:pt>
                <c:pt idx="372">
                  <c:v>374.2017879948915</c:v>
                </c:pt>
                <c:pt idx="373">
                  <c:v>375.15964240102176</c:v>
                </c:pt>
                <c:pt idx="374">
                  <c:v>376.11749680715201</c:v>
                </c:pt>
                <c:pt idx="375">
                  <c:v>377.0753512132822</c:v>
                </c:pt>
                <c:pt idx="376">
                  <c:v>378.35249042145597</c:v>
                </c:pt>
                <c:pt idx="377">
                  <c:v>379.31034482758622</c:v>
                </c:pt>
                <c:pt idx="378">
                  <c:v>380.26819923371647</c:v>
                </c:pt>
                <c:pt idx="379">
                  <c:v>381.22605363984678</c:v>
                </c:pt>
                <c:pt idx="380">
                  <c:v>382.18390804597709</c:v>
                </c:pt>
                <c:pt idx="381">
                  <c:v>383.14176245210729</c:v>
                </c:pt>
                <c:pt idx="382">
                  <c:v>384.41890166028099</c:v>
                </c:pt>
                <c:pt idx="383">
                  <c:v>385.3767560664113</c:v>
                </c:pt>
                <c:pt idx="384">
                  <c:v>386.33461047254156</c:v>
                </c:pt>
                <c:pt idx="385">
                  <c:v>387.29246487867181</c:v>
                </c:pt>
                <c:pt idx="386">
                  <c:v>388.250319284802</c:v>
                </c:pt>
                <c:pt idx="387">
                  <c:v>389.20817369093237</c:v>
                </c:pt>
                <c:pt idx="388">
                  <c:v>390.16602809706262</c:v>
                </c:pt>
                <c:pt idx="389">
                  <c:v>391.44316730523627</c:v>
                </c:pt>
                <c:pt idx="390">
                  <c:v>392.40102171136658</c:v>
                </c:pt>
                <c:pt idx="391">
                  <c:v>393.35887611749689</c:v>
                </c:pt>
                <c:pt idx="392">
                  <c:v>394.31673052362709</c:v>
                </c:pt>
                <c:pt idx="393">
                  <c:v>395.27458492975734</c:v>
                </c:pt>
                <c:pt idx="394">
                  <c:v>396.23243933588759</c:v>
                </c:pt>
                <c:pt idx="395">
                  <c:v>397.1902937420179</c:v>
                </c:pt>
                <c:pt idx="396">
                  <c:v>398.46743295019161</c:v>
                </c:pt>
                <c:pt idx="397">
                  <c:v>399.4252873563218</c:v>
                </c:pt>
                <c:pt idx="398">
                  <c:v>400.38314176245217</c:v>
                </c:pt>
                <c:pt idx="399">
                  <c:v>401.34099616858242</c:v>
                </c:pt>
                <c:pt idx="400">
                  <c:v>402.29885057471267</c:v>
                </c:pt>
                <c:pt idx="401">
                  <c:v>403.25670498084298</c:v>
                </c:pt>
                <c:pt idx="402">
                  <c:v>404.53384418901669</c:v>
                </c:pt>
                <c:pt idx="403">
                  <c:v>405.49169859514689</c:v>
                </c:pt>
                <c:pt idx="404">
                  <c:v>406.44955300127714</c:v>
                </c:pt>
                <c:pt idx="405">
                  <c:v>407.40740740740739</c:v>
                </c:pt>
                <c:pt idx="406">
                  <c:v>408.3652618135377</c:v>
                </c:pt>
                <c:pt idx="407">
                  <c:v>409.32311621966801</c:v>
                </c:pt>
                <c:pt idx="408">
                  <c:v>410.2809706257982</c:v>
                </c:pt>
                <c:pt idx="409">
                  <c:v>411.55810983397197</c:v>
                </c:pt>
                <c:pt idx="410">
                  <c:v>412.51596424010222</c:v>
                </c:pt>
                <c:pt idx="411">
                  <c:v>413.47381864623247</c:v>
                </c:pt>
                <c:pt idx="412">
                  <c:v>414.43167305236278</c:v>
                </c:pt>
                <c:pt idx="413">
                  <c:v>415.38952745849292</c:v>
                </c:pt>
                <c:pt idx="414">
                  <c:v>416.34738186462329</c:v>
                </c:pt>
                <c:pt idx="415">
                  <c:v>417.30523627075354</c:v>
                </c:pt>
                <c:pt idx="416">
                  <c:v>418.58237547892719</c:v>
                </c:pt>
                <c:pt idx="417">
                  <c:v>419.5402298850575</c:v>
                </c:pt>
                <c:pt idx="418">
                  <c:v>420.49808429118781</c:v>
                </c:pt>
                <c:pt idx="419">
                  <c:v>421.455938697318</c:v>
                </c:pt>
                <c:pt idx="420">
                  <c:v>422.41379310344837</c:v>
                </c:pt>
                <c:pt idx="421">
                  <c:v>423.37164750957857</c:v>
                </c:pt>
                <c:pt idx="422">
                  <c:v>424.64878671775227</c:v>
                </c:pt>
                <c:pt idx="423">
                  <c:v>425.60664112388258</c:v>
                </c:pt>
                <c:pt idx="424">
                  <c:v>426.56449553001272</c:v>
                </c:pt>
                <c:pt idx="425">
                  <c:v>427.52234993614309</c:v>
                </c:pt>
                <c:pt idx="426">
                  <c:v>428.48020434227334</c:v>
                </c:pt>
                <c:pt idx="427">
                  <c:v>429.43805874840359</c:v>
                </c:pt>
                <c:pt idx="428">
                  <c:v>430.3959131545339</c:v>
                </c:pt>
                <c:pt idx="429">
                  <c:v>431.67305236270761</c:v>
                </c:pt>
                <c:pt idx="430">
                  <c:v>432.6309067688378</c:v>
                </c:pt>
                <c:pt idx="431">
                  <c:v>433.58876117496811</c:v>
                </c:pt>
                <c:pt idx="432">
                  <c:v>434.54661558109837</c:v>
                </c:pt>
                <c:pt idx="433">
                  <c:v>435.50446998722862</c:v>
                </c:pt>
                <c:pt idx="434">
                  <c:v>436.46232439335898</c:v>
                </c:pt>
                <c:pt idx="435">
                  <c:v>437.73946360153252</c:v>
                </c:pt>
                <c:pt idx="436">
                  <c:v>438.69731800766289</c:v>
                </c:pt>
                <c:pt idx="437">
                  <c:v>439.65517241379314</c:v>
                </c:pt>
                <c:pt idx="438">
                  <c:v>440.61302681992339</c:v>
                </c:pt>
                <c:pt idx="439">
                  <c:v>441.5708812260537</c:v>
                </c:pt>
                <c:pt idx="440">
                  <c:v>442.5287356321839</c:v>
                </c:pt>
                <c:pt idx="441">
                  <c:v>443.4865900383142</c:v>
                </c:pt>
                <c:pt idx="442">
                  <c:v>444.76372924648791</c:v>
                </c:pt>
                <c:pt idx="443">
                  <c:v>445.72158365261816</c:v>
                </c:pt>
                <c:pt idx="444">
                  <c:v>446.67943805874842</c:v>
                </c:pt>
                <c:pt idx="445">
                  <c:v>447.63729246487878</c:v>
                </c:pt>
                <c:pt idx="446">
                  <c:v>448.59514687100892</c:v>
                </c:pt>
                <c:pt idx="447">
                  <c:v>449.55300127713929</c:v>
                </c:pt>
                <c:pt idx="448">
                  <c:v>450.51085568326948</c:v>
                </c:pt>
                <c:pt idx="449">
                  <c:v>451.78799489144319</c:v>
                </c:pt>
                <c:pt idx="450">
                  <c:v>452.7458492975735</c:v>
                </c:pt>
                <c:pt idx="451">
                  <c:v>453.7037037037037</c:v>
                </c:pt>
                <c:pt idx="452">
                  <c:v>454.661558109834</c:v>
                </c:pt>
                <c:pt idx="453">
                  <c:v>455.61941251596431</c:v>
                </c:pt>
                <c:pt idx="454">
                  <c:v>456.57726692209457</c:v>
                </c:pt>
                <c:pt idx="455">
                  <c:v>457.85440613026822</c:v>
                </c:pt>
                <c:pt idx="456">
                  <c:v>458.81226053639858</c:v>
                </c:pt>
                <c:pt idx="457">
                  <c:v>459.77011494252872</c:v>
                </c:pt>
                <c:pt idx="458">
                  <c:v>460.72796934865909</c:v>
                </c:pt>
                <c:pt idx="459">
                  <c:v>461.68582375478928</c:v>
                </c:pt>
                <c:pt idx="460">
                  <c:v>462.64367816091954</c:v>
                </c:pt>
                <c:pt idx="461">
                  <c:v>463.6015325670499</c:v>
                </c:pt>
                <c:pt idx="462">
                  <c:v>464.87867177522349</c:v>
                </c:pt>
                <c:pt idx="463">
                  <c:v>465.8365261813538</c:v>
                </c:pt>
                <c:pt idx="464">
                  <c:v>466.79438058748411</c:v>
                </c:pt>
                <c:pt idx="465">
                  <c:v>467.75223499361437</c:v>
                </c:pt>
                <c:pt idx="466">
                  <c:v>468.71008939974462</c:v>
                </c:pt>
                <c:pt idx="467">
                  <c:v>469.66794380587487</c:v>
                </c:pt>
                <c:pt idx="468">
                  <c:v>470.62579821200512</c:v>
                </c:pt>
                <c:pt idx="469">
                  <c:v>471.90293742017889</c:v>
                </c:pt>
                <c:pt idx="470">
                  <c:v>472.86079182630908</c:v>
                </c:pt>
                <c:pt idx="471">
                  <c:v>473.81864623243933</c:v>
                </c:pt>
                <c:pt idx="472">
                  <c:v>474.7765006385697</c:v>
                </c:pt>
                <c:pt idx="473">
                  <c:v>475.7343550446999</c:v>
                </c:pt>
                <c:pt idx="474">
                  <c:v>476.69220945083021</c:v>
                </c:pt>
                <c:pt idx="475">
                  <c:v>477.96934865900391</c:v>
                </c:pt>
                <c:pt idx="476">
                  <c:v>478.92720306513417</c:v>
                </c:pt>
                <c:pt idx="477">
                  <c:v>479.88505747126442</c:v>
                </c:pt>
                <c:pt idx="478">
                  <c:v>480.84291187739461</c:v>
                </c:pt>
                <c:pt idx="479">
                  <c:v>481.80076628352492</c:v>
                </c:pt>
                <c:pt idx="480">
                  <c:v>482.75862068965523</c:v>
                </c:pt>
                <c:pt idx="481">
                  <c:v>483.71647509578548</c:v>
                </c:pt>
                <c:pt idx="482">
                  <c:v>484.99361430395913</c:v>
                </c:pt>
                <c:pt idx="483">
                  <c:v>485.9514687100895</c:v>
                </c:pt>
                <c:pt idx="484">
                  <c:v>486.9093231162197</c:v>
                </c:pt>
                <c:pt idx="485">
                  <c:v>487.86717752235</c:v>
                </c:pt>
                <c:pt idx="486">
                  <c:v>488.8250319284802</c:v>
                </c:pt>
                <c:pt idx="487">
                  <c:v>489.78288633461051</c:v>
                </c:pt>
                <c:pt idx="488">
                  <c:v>490.74074074074082</c:v>
                </c:pt>
                <c:pt idx="489">
                  <c:v>492.01787994891441</c:v>
                </c:pt>
                <c:pt idx="490">
                  <c:v>492.97573435504472</c:v>
                </c:pt>
                <c:pt idx="491">
                  <c:v>493.93358876117503</c:v>
                </c:pt>
                <c:pt idx="492">
                  <c:v>494.89144316730528</c:v>
                </c:pt>
                <c:pt idx="493">
                  <c:v>495.84929757343554</c:v>
                </c:pt>
                <c:pt idx="494">
                  <c:v>496.80715197956579</c:v>
                </c:pt>
                <c:pt idx="495">
                  <c:v>498.0842911877395</c:v>
                </c:pt>
                <c:pt idx="496">
                  <c:v>499.0421455938698</c:v>
                </c:pt>
                <c:pt idx="497">
                  <c:v>500</c:v>
                </c:pt>
                <c:pt idx="498">
                  <c:v>498.79807692307696</c:v>
                </c:pt>
                <c:pt idx="499">
                  <c:v>500</c:v>
                </c:pt>
                <c:pt idx="500">
                  <c:v>500</c:v>
                </c:pt>
              </c:numCache>
            </c:numRef>
          </c:xVal>
          <c:yVal>
            <c:numRef>
              <c:f>'sheet 1'!$R$39:$R$841</c:f>
              <c:numCache>
                <c:formatCode>General</c:formatCode>
                <c:ptCount val="8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621-4875-B88C-B488B95351CA}"/>
            </c:ext>
          </c:extLst>
        </c:ser>
        <c:ser>
          <c:idx val="5"/>
          <c:order val="5"/>
          <c:tx>
            <c:strRef>
              <c:f>'sheet 1'!$S$38</c:f>
              <c:strCache>
                <c:ptCount val="1"/>
                <c:pt idx="0">
                  <c:v>I4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</c:v>
                </c:pt>
                <c:pt idx="1">
                  <c:v>0.95785440613030459</c:v>
                </c:pt>
                <c:pt idx="2">
                  <c:v>1.9157088122605637</c:v>
                </c:pt>
                <c:pt idx="3">
                  <c:v>2.8735632183908226</c:v>
                </c:pt>
                <c:pt idx="4">
                  <c:v>4.150702426564532</c:v>
                </c:pt>
                <c:pt idx="5">
                  <c:v>5.1085568326947906</c:v>
                </c:pt>
                <c:pt idx="6">
                  <c:v>6.06641123882505</c:v>
                </c:pt>
                <c:pt idx="7">
                  <c:v>7.0242656449553094</c:v>
                </c:pt>
                <c:pt idx="8">
                  <c:v>7.9821200510855688</c:v>
                </c:pt>
                <c:pt idx="9">
                  <c:v>8.9399744572158735</c:v>
                </c:pt>
                <c:pt idx="10">
                  <c:v>9.8978288633461311</c:v>
                </c:pt>
                <c:pt idx="11">
                  <c:v>11.174968071519796</c:v>
                </c:pt>
                <c:pt idx="12">
                  <c:v>12.1328224776501</c:v>
                </c:pt>
                <c:pt idx="13">
                  <c:v>13.090676883780361</c:v>
                </c:pt>
                <c:pt idx="14">
                  <c:v>14.048531289910619</c:v>
                </c:pt>
                <c:pt idx="15">
                  <c:v>15.006385696040878</c:v>
                </c:pt>
                <c:pt idx="16">
                  <c:v>15.964240102171138</c:v>
                </c:pt>
                <c:pt idx="17">
                  <c:v>17.241379310344843</c:v>
                </c:pt>
                <c:pt idx="18">
                  <c:v>18.199233716475106</c:v>
                </c:pt>
                <c:pt idx="19">
                  <c:v>19.157088122605366</c:v>
                </c:pt>
                <c:pt idx="20">
                  <c:v>20.114942528735671</c:v>
                </c:pt>
                <c:pt idx="21">
                  <c:v>21.072796934865931</c:v>
                </c:pt>
                <c:pt idx="22">
                  <c:v>22.030651340996187</c:v>
                </c:pt>
                <c:pt idx="23">
                  <c:v>22.988505747126446</c:v>
                </c:pt>
                <c:pt idx="24">
                  <c:v>24.265644955300154</c:v>
                </c:pt>
                <c:pt idx="25">
                  <c:v>25.223499361430413</c:v>
                </c:pt>
                <c:pt idx="26">
                  <c:v>26.181353767560676</c:v>
                </c:pt>
                <c:pt idx="27">
                  <c:v>27.139208173690935</c:v>
                </c:pt>
                <c:pt idx="28">
                  <c:v>28.097062579821237</c:v>
                </c:pt>
                <c:pt idx="29">
                  <c:v>29.054916985951497</c:v>
                </c:pt>
                <c:pt idx="30">
                  <c:v>30.012771392081756</c:v>
                </c:pt>
                <c:pt idx="31">
                  <c:v>31.289910600255467</c:v>
                </c:pt>
                <c:pt idx="32">
                  <c:v>32.24776500638572</c:v>
                </c:pt>
                <c:pt idx="33">
                  <c:v>33.205619412515986</c:v>
                </c:pt>
                <c:pt idx="34">
                  <c:v>34.163473818646239</c:v>
                </c:pt>
                <c:pt idx="35">
                  <c:v>35.121328224776505</c:v>
                </c:pt>
                <c:pt idx="36">
                  <c:v>36.079182630906807</c:v>
                </c:pt>
                <c:pt idx="37">
                  <c:v>37.356321839080472</c:v>
                </c:pt>
                <c:pt idx="38">
                  <c:v>38.314176245210732</c:v>
                </c:pt>
                <c:pt idx="39">
                  <c:v>39.272030651341034</c:v>
                </c:pt>
                <c:pt idx="40">
                  <c:v>40.229885057471293</c:v>
                </c:pt>
                <c:pt idx="41">
                  <c:v>41.187739463601552</c:v>
                </c:pt>
                <c:pt idx="42">
                  <c:v>42.145593869731812</c:v>
                </c:pt>
                <c:pt idx="43">
                  <c:v>43.103448275862071</c:v>
                </c:pt>
                <c:pt idx="44">
                  <c:v>44.380587484035786</c:v>
                </c:pt>
                <c:pt idx="45">
                  <c:v>45.338441890166038</c:v>
                </c:pt>
                <c:pt idx="46">
                  <c:v>46.296296296296298</c:v>
                </c:pt>
                <c:pt idx="47">
                  <c:v>47.254150702426607</c:v>
                </c:pt>
                <c:pt idx="48">
                  <c:v>48.212005108556859</c:v>
                </c:pt>
                <c:pt idx="49">
                  <c:v>49.169859514687126</c:v>
                </c:pt>
                <c:pt idx="50">
                  <c:v>50.127713920817378</c:v>
                </c:pt>
                <c:pt idx="51">
                  <c:v>51.404853128991085</c:v>
                </c:pt>
                <c:pt idx="52">
                  <c:v>52.362707535121352</c:v>
                </c:pt>
                <c:pt idx="53">
                  <c:v>53.320561941251604</c:v>
                </c:pt>
                <c:pt idx="54">
                  <c:v>54.278416347381871</c:v>
                </c:pt>
                <c:pt idx="55">
                  <c:v>55.236270753512173</c:v>
                </c:pt>
                <c:pt idx="56">
                  <c:v>56.194125159642432</c:v>
                </c:pt>
                <c:pt idx="57">
                  <c:v>57.47126436781609</c:v>
                </c:pt>
                <c:pt idx="58">
                  <c:v>58.429118773946392</c:v>
                </c:pt>
                <c:pt idx="59">
                  <c:v>59.386973180076659</c:v>
                </c:pt>
                <c:pt idx="60">
                  <c:v>60.344827586206918</c:v>
                </c:pt>
                <c:pt idx="61">
                  <c:v>61.302681992337178</c:v>
                </c:pt>
                <c:pt idx="62">
                  <c:v>62.260536398467437</c:v>
                </c:pt>
                <c:pt idx="63">
                  <c:v>63.218390804597732</c:v>
                </c:pt>
                <c:pt idx="64">
                  <c:v>64.495530012771411</c:v>
                </c:pt>
                <c:pt idx="65">
                  <c:v>65.453384418901663</c:v>
                </c:pt>
                <c:pt idx="66">
                  <c:v>66.411238825031973</c:v>
                </c:pt>
                <c:pt idx="67">
                  <c:v>67.369093231162239</c:v>
                </c:pt>
                <c:pt idx="68">
                  <c:v>68.326947637292477</c:v>
                </c:pt>
                <c:pt idx="69">
                  <c:v>69.284802043422744</c:v>
                </c:pt>
                <c:pt idx="70">
                  <c:v>70.561941251596451</c:v>
                </c:pt>
                <c:pt idx="71">
                  <c:v>71.519795657726718</c:v>
                </c:pt>
                <c:pt idx="72">
                  <c:v>72.47765006385697</c:v>
                </c:pt>
                <c:pt idx="73">
                  <c:v>73.435504469987222</c:v>
                </c:pt>
                <c:pt idx="74">
                  <c:v>74.393358876117532</c:v>
                </c:pt>
                <c:pt idx="75">
                  <c:v>75.351213282247798</c:v>
                </c:pt>
                <c:pt idx="76">
                  <c:v>76.30906768837805</c:v>
                </c:pt>
                <c:pt idx="77">
                  <c:v>77.586206896551772</c:v>
                </c:pt>
                <c:pt idx="78">
                  <c:v>78.54406130268201</c:v>
                </c:pt>
                <c:pt idx="79">
                  <c:v>79.501915708812277</c:v>
                </c:pt>
                <c:pt idx="80">
                  <c:v>80.459770114942543</c:v>
                </c:pt>
                <c:pt idx="81">
                  <c:v>81.41762452107281</c:v>
                </c:pt>
                <c:pt idx="82">
                  <c:v>82.375478927203105</c:v>
                </c:pt>
                <c:pt idx="83">
                  <c:v>83.333333333333371</c:v>
                </c:pt>
                <c:pt idx="84">
                  <c:v>84.610472541507022</c:v>
                </c:pt>
                <c:pt idx="85">
                  <c:v>85.568326947637331</c:v>
                </c:pt>
                <c:pt idx="86">
                  <c:v>86.526181353767598</c:v>
                </c:pt>
                <c:pt idx="87">
                  <c:v>87.48403575989785</c:v>
                </c:pt>
                <c:pt idx="88">
                  <c:v>88.441890166028102</c:v>
                </c:pt>
                <c:pt idx="89">
                  <c:v>89.399744572158369</c:v>
                </c:pt>
                <c:pt idx="90">
                  <c:v>90.676883780332076</c:v>
                </c:pt>
                <c:pt idx="91">
                  <c:v>91.634738186462343</c:v>
                </c:pt>
                <c:pt idx="92">
                  <c:v>92.592592592592595</c:v>
                </c:pt>
                <c:pt idx="93">
                  <c:v>93.550446998722904</c:v>
                </c:pt>
                <c:pt idx="94">
                  <c:v>94.508301404853157</c:v>
                </c:pt>
                <c:pt idx="95">
                  <c:v>95.466155810983423</c:v>
                </c:pt>
                <c:pt idx="96">
                  <c:v>96.424010217113675</c:v>
                </c:pt>
                <c:pt idx="97">
                  <c:v>97.701149425287383</c:v>
                </c:pt>
                <c:pt idx="98">
                  <c:v>98.65900383141765</c:v>
                </c:pt>
                <c:pt idx="99">
                  <c:v>99.616858237547902</c:v>
                </c:pt>
                <c:pt idx="100">
                  <c:v>100.57471264367817</c:v>
                </c:pt>
                <c:pt idx="101">
                  <c:v>101.53256704980846</c:v>
                </c:pt>
                <c:pt idx="102">
                  <c:v>102.49042145593873</c:v>
                </c:pt>
                <c:pt idx="103">
                  <c:v>103.448275862069</c:v>
                </c:pt>
                <c:pt idx="104">
                  <c:v>104.7254150702427</c:v>
                </c:pt>
                <c:pt idx="105">
                  <c:v>105.68326947637296</c:v>
                </c:pt>
                <c:pt idx="106">
                  <c:v>106.64112388250321</c:v>
                </c:pt>
                <c:pt idx="107">
                  <c:v>107.59897828863348</c:v>
                </c:pt>
                <c:pt idx="108">
                  <c:v>108.55683269476374</c:v>
                </c:pt>
                <c:pt idx="109">
                  <c:v>109.51468710089404</c:v>
                </c:pt>
                <c:pt idx="110">
                  <c:v>110.7918263090677</c:v>
                </c:pt>
                <c:pt idx="111">
                  <c:v>111.74968071519795</c:v>
                </c:pt>
                <c:pt idx="112">
                  <c:v>112.70753512132826</c:v>
                </c:pt>
                <c:pt idx="113">
                  <c:v>113.66538952745853</c:v>
                </c:pt>
                <c:pt idx="114">
                  <c:v>114.6232439335888</c:v>
                </c:pt>
                <c:pt idx="115">
                  <c:v>115.58109833971903</c:v>
                </c:pt>
                <c:pt idx="116">
                  <c:v>116.5389527458493</c:v>
                </c:pt>
                <c:pt idx="117">
                  <c:v>117.81609195402301</c:v>
                </c:pt>
                <c:pt idx="118">
                  <c:v>118.77394636015327</c:v>
                </c:pt>
                <c:pt idx="119">
                  <c:v>119.73180076628354</c:v>
                </c:pt>
                <c:pt idx="120">
                  <c:v>120.68965517241384</c:v>
                </c:pt>
                <c:pt idx="121">
                  <c:v>121.64750957854409</c:v>
                </c:pt>
                <c:pt idx="122">
                  <c:v>122.60536398467436</c:v>
                </c:pt>
                <c:pt idx="123">
                  <c:v>123.56321839080461</c:v>
                </c:pt>
                <c:pt idx="124">
                  <c:v>124.84035759897833</c:v>
                </c:pt>
                <c:pt idx="125">
                  <c:v>125.79821200510857</c:v>
                </c:pt>
                <c:pt idx="126">
                  <c:v>126.75606641123885</c:v>
                </c:pt>
                <c:pt idx="127">
                  <c:v>127.7139208173691</c:v>
                </c:pt>
                <c:pt idx="128">
                  <c:v>128.6717752234994</c:v>
                </c:pt>
                <c:pt idx="129">
                  <c:v>129.62962962962965</c:v>
                </c:pt>
                <c:pt idx="130">
                  <c:v>130.90676883780333</c:v>
                </c:pt>
                <c:pt idx="131">
                  <c:v>131.86462324393364</c:v>
                </c:pt>
                <c:pt idx="132">
                  <c:v>132.82247765006389</c:v>
                </c:pt>
                <c:pt idx="133">
                  <c:v>133.78033205619414</c:v>
                </c:pt>
                <c:pt idx="134">
                  <c:v>134.73818646232442</c:v>
                </c:pt>
                <c:pt idx="135">
                  <c:v>135.69604086845465</c:v>
                </c:pt>
                <c:pt idx="136">
                  <c:v>136.65389527458495</c:v>
                </c:pt>
                <c:pt idx="137">
                  <c:v>137.93103448275863</c:v>
                </c:pt>
                <c:pt idx="138">
                  <c:v>138.88888888888889</c:v>
                </c:pt>
                <c:pt idx="139">
                  <c:v>139.84674329501919</c:v>
                </c:pt>
                <c:pt idx="140">
                  <c:v>140.80459770114945</c:v>
                </c:pt>
                <c:pt idx="141">
                  <c:v>141.76245210727973</c:v>
                </c:pt>
                <c:pt idx="142">
                  <c:v>142.72030651340998</c:v>
                </c:pt>
                <c:pt idx="143">
                  <c:v>143.99744572158369</c:v>
                </c:pt>
                <c:pt idx="144">
                  <c:v>144.95530012771394</c:v>
                </c:pt>
                <c:pt idx="145">
                  <c:v>145.91315453384422</c:v>
                </c:pt>
                <c:pt idx="146">
                  <c:v>146.87100893997444</c:v>
                </c:pt>
                <c:pt idx="147">
                  <c:v>147.82886334610475</c:v>
                </c:pt>
                <c:pt idx="148">
                  <c:v>148.78671775223503</c:v>
                </c:pt>
                <c:pt idx="149">
                  <c:v>149.74457215836529</c:v>
                </c:pt>
                <c:pt idx="150">
                  <c:v>151.02171136653899</c:v>
                </c:pt>
                <c:pt idx="151">
                  <c:v>151.97956577266925</c:v>
                </c:pt>
                <c:pt idx="152">
                  <c:v>152.93742017879953</c:v>
                </c:pt>
                <c:pt idx="153">
                  <c:v>153.89527458492978</c:v>
                </c:pt>
                <c:pt idx="154">
                  <c:v>154.85312899106003</c:v>
                </c:pt>
                <c:pt idx="155">
                  <c:v>155.81098339719031</c:v>
                </c:pt>
                <c:pt idx="156">
                  <c:v>156.76883780332059</c:v>
                </c:pt>
                <c:pt idx="157">
                  <c:v>158.04597701149424</c:v>
                </c:pt>
                <c:pt idx="158">
                  <c:v>159.00383141762455</c:v>
                </c:pt>
                <c:pt idx="159">
                  <c:v>159.96168582375483</c:v>
                </c:pt>
                <c:pt idx="160">
                  <c:v>160.91954022988509</c:v>
                </c:pt>
                <c:pt idx="161">
                  <c:v>161.87739463601534</c:v>
                </c:pt>
                <c:pt idx="162">
                  <c:v>162.83524904214562</c:v>
                </c:pt>
                <c:pt idx="163">
                  <c:v>164.11238825031933</c:v>
                </c:pt>
                <c:pt idx="164">
                  <c:v>165.07024265644958</c:v>
                </c:pt>
                <c:pt idx="165">
                  <c:v>166.0280970625798</c:v>
                </c:pt>
                <c:pt idx="166">
                  <c:v>166.98595146871011</c:v>
                </c:pt>
                <c:pt idx="167">
                  <c:v>167.94380587484039</c:v>
                </c:pt>
                <c:pt idx="168">
                  <c:v>168.90166028097065</c:v>
                </c:pt>
                <c:pt idx="169">
                  <c:v>169.85951468710093</c:v>
                </c:pt>
                <c:pt idx="170">
                  <c:v>171.13665389527463</c:v>
                </c:pt>
                <c:pt idx="171">
                  <c:v>172.09450830140489</c:v>
                </c:pt>
                <c:pt idx="172">
                  <c:v>173.05236270753514</c:v>
                </c:pt>
                <c:pt idx="173">
                  <c:v>174.01021711366542</c:v>
                </c:pt>
                <c:pt idx="174">
                  <c:v>174.9680715197957</c:v>
                </c:pt>
                <c:pt idx="175">
                  <c:v>175.9259259259259</c:v>
                </c:pt>
                <c:pt idx="176">
                  <c:v>176.8837803320562</c:v>
                </c:pt>
                <c:pt idx="177">
                  <c:v>178.16091954022991</c:v>
                </c:pt>
                <c:pt idx="178">
                  <c:v>179.11877394636014</c:v>
                </c:pt>
                <c:pt idx="179">
                  <c:v>180.07662835249045</c:v>
                </c:pt>
                <c:pt idx="180">
                  <c:v>181.03448275862075</c:v>
                </c:pt>
                <c:pt idx="181">
                  <c:v>181.99233716475098</c:v>
                </c:pt>
                <c:pt idx="182">
                  <c:v>182.95019157088126</c:v>
                </c:pt>
                <c:pt idx="183">
                  <c:v>184.22733077905499</c:v>
                </c:pt>
                <c:pt idx="184">
                  <c:v>185.18518518518519</c:v>
                </c:pt>
                <c:pt idx="185">
                  <c:v>186.1430395913155</c:v>
                </c:pt>
                <c:pt idx="186">
                  <c:v>187.1008939974457</c:v>
                </c:pt>
                <c:pt idx="187">
                  <c:v>188.058748403576</c:v>
                </c:pt>
                <c:pt idx="188">
                  <c:v>189.01660280970631</c:v>
                </c:pt>
                <c:pt idx="189">
                  <c:v>189.97445721583654</c:v>
                </c:pt>
                <c:pt idx="190">
                  <c:v>191.25159642401024</c:v>
                </c:pt>
                <c:pt idx="191">
                  <c:v>192.20945083014055</c:v>
                </c:pt>
                <c:pt idx="192">
                  <c:v>193.16730523627078</c:v>
                </c:pt>
                <c:pt idx="193">
                  <c:v>194.12515964240106</c:v>
                </c:pt>
                <c:pt idx="194">
                  <c:v>195.08301404853128</c:v>
                </c:pt>
                <c:pt idx="195">
                  <c:v>196.04086845466159</c:v>
                </c:pt>
                <c:pt idx="196">
                  <c:v>196.9987228607919</c:v>
                </c:pt>
                <c:pt idx="197">
                  <c:v>198.27586206896549</c:v>
                </c:pt>
                <c:pt idx="198">
                  <c:v>199.2337164750958</c:v>
                </c:pt>
                <c:pt idx="199">
                  <c:v>200.19157088122611</c:v>
                </c:pt>
                <c:pt idx="200">
                  <c:v>201.14942528735634</c:v>
                </c:pt>
                <c:pt idx="201">
                  <c:v>202.10727969348662</c:v>
                </c:pt>
                <c:pt idx="202">
                  <c:v>203.06513409961684</c:v>
                </c:pt>
                <c:pt idx="203">
                  <c:v>204.34227330779055</c:v>
                </c:pt>
                <c:pt idx="204">
                  <c:v>205.30012771392086</c:v>
                </c:pt>
                <c:pt idx="205">
                  <c:v>206.25798212005108</c:v>
                </c:pt>
                <c:pt idx="206">
                  <c:v>207.21583652618139</c:v>
                </c:pt>
                <c:pt idx="207">
                  <c:v>208.1736909323117</c:v>
                </c:pt>
                <c:pt idx="208">
                  <c:v>209.1315453384419</c:v>
                </c:pt>
                <c:pt idx="209">
                  <c:v>210.08939974457221</c:v>
                </c:pt>
                <c:pt idx="210">
                  <c:v>211.36653895274591</c:v>
                </c:pt>
                <c:pt idx="211">
                  <c:v>212.32439335887614</c:v>
                </c:pt>
                <c:pt idx="212">
                  <c:v>213.28224776500642</c:v>
                </c:pt>
                <c:pt idx="213">
                  <c:v>214.24010217113664</c:v>
                </c:pt>
                <c:pt idx="214">
                  <c:v>215.19795657726695</c:v>
                </c:pt>
                <c:pt idx="215">
                  <c:v>216.15581098339726</c:v>
                </c:pt>
                <c:pt idx="216">
                  <c:v>217.43295019157088</c:v>
                </c:pt>
                <c:pt idx="217">
                  <c:v>218.39080459770119</c:v>
                </c:pt>
                <c:pt idx="218">
                  <c:v>219.3486590038315</c:v>
                </c:pt>
                <c:pt idx="219">
                  <c:v>220.3065134099617</c:v>
                </c:pt>
                <c:pt idx="220">
                  <c:v>221.26436781609198</c:v>
                </c:pt>
                <c:pt idx="221">
                  <c:v>222.2222222222222</c:v>
                </c:pt>
                <c:pt idx="222">
                  <c:v>223.18007662835251</c:v>
                </c:pt>
                <c:pt idx="223">
                  <c:v>224.45721583652622</c:v>
                </c:pt>
                <c:pt idx="224">
                  <c:v>225.41507024265644</c:v>
                </c:pt>
                <c:pt idx="225">
                  <c:v>226.37292464878675</c:v>
                </c:pt>
                <c:pt idx="226">
                  <c:v>227.33077905491706</c:v>
                </c:pt>
                <c:pt idx="227">
                  <c:v>228.28863346104728</c:v>
                </c:pt>
                <c:pt idx="228">
                  <c:v>229.24648786717759</c:v>
                </c:pt>
                <c:pt idx="229">
                  <c:v>230.20434227330776</c:v>
                </c:pt>
                <c:pt idx="230">
                  <c:v>231.4814814814815</c:v>
                </c:pt>
                <c:pt idx="231">
                  <c:v>232.43933588761178</c:v>
                </c:pt>
                <c:pt idx="232">
                  <c:v>233.397190293742</c:v>
                </c:pt>
                <c:pt idx="233">
                  <c:v>234.35504469987231</c:v>
                </c:pt>
                <c:pt idx="234">
                  <c:v>235.31289910600262</c:v>
                </c:pt>
                <c:pt idx="235">
                  <c:v>236.27075351213284</c:v>
                </c:pt>
                <c:pt idx="236">
                  <c:v>237.54789272030655</c:v>
                </c:pt>
                <c:pt idx="237">
                  <c:v>238.50574712643686</c:v>
                </c:pt>
                <c:pt idx="238">
                  <c:v>239.46360153256708</c:v>
                </c:pt>
                <c:pt idx="239">
                  <c:v>240.42145593869736</c:v>
                </c:pt>
                <c:pt idx="240">
                  <c:v>241.37931034482756</c:v>
                </c:pt>
                <c:pt idx="241">
                  <c:v>242.33716475095787</c:v>
                </c:pt>
                <c:pt idx="242">
                  <c:v>243.29501915708818</c:v>
                </c:pt>
                <c:pt idx="243">
                  <c:v>244.5721583652618</c:v>
                </c:pt>
                <c:pt idx="244">
                  <c:v>245.53001277139211</c:v>
                </c:pt>
                <c:pt idx="245">
                  <c:v>246.48786717752242</c:v>
                </c:pt>
                <c:pt idx="246">
                  <c:v>247.44572158365264</c:v>
                </c:pt>
                <c:pt idx="247">
                  <c:v>248.40357598978295</c:v>
                </c:pt>
                <c:pt idx="248">
                  <c:v>249.36143039591315</c:v>
                </c:pt>
                <c:pt idx="249">
                  <c:v>250.31928480204346</c:v>
                </c:pt>
                <c:pt idx="250">
                  <c:v>251.59642401021713</c:v>
                </c:pt>
                <c:pt idx="251">
                  <c:v>252.55427841634736</c:v>
                </c:pt>
                <c:pt idx="252">
                  <c:v>253.5121328224777</c:v>
                </c:pt>
                <c:pt idx="253">
                  <c:v>254.46998722860798</c:v>
                </c:pt>
                <c:pt idx="254">
                  <c:v>255.4278416347382</c:v>
                </c:pt>
                <c:pt idx="255">
                  <c:v>256.38569604086854</c:v>
                </c:pt>
                <c:pt idx="256">
                  <c:v>257.66283524904219</c:v>
                </c:pt>
                <c:pt idx="257">
                  <c:v>258.62068965517244</c:v>
                </c:pt>
                <c:pt idx="258">
                  <c:v>259.57854406130269</c:v>
                </c:pt>
                <c:pt idx="259">
                  <c:v>260.53639846743295</c:v>
                </c:pt>
                <c:pt idx="260">
                  <c:v>261.49425287356325</c:v>
                </c:pt>
                <c:pt idx="261">
                  <c:v>262.45210727969356</c:v>
                </c:pt>
                <c:pt idx="262">
                  <c:v>263.40996168582376</c:v>
                </c:pt>
                <c:pt idx="263">
                  <c:v>264.68710089399747</c:v>
                </c:pt>
                <c:pt idx="264">
                  <c:v>265.64495530012778</c:v>
                </c:pt>
                <c:pt idx="265">
                  <c:v>266.60280970625797</c:v>
                </c:pt>
                <c:pt idx="266">
                  <c:v>267.56066411238828</c:v>
                </c:pt>
                <c:pt idx="267">
                  <c:v>268.51851851851848</c:v>
                </c:pt>
                <c:pt idx="268">
                  <c:v>269.47637292464884</c:v>
                </c:pt>
                <c:pt idx="269">
                  <c:v>270.43422733077909</c:v>
                </c:pt>
                <c:pt idx="270">
                  <c:v>271.71136653895275</c:v>
                </c:pt>
                <c:pt idx="271">
                  <c:v>272.66922094508305</c:v>
                </c:pt>
                <c:pt idx="272">
                  <c:v>273.62707535121331</c:v>
                </c:pt>
                <c:pt idx="273">
                  <c:v>274.58492975734356</c:v>
                </c:pt>
                <c:pt idx="274">
                  <c:v>275.54278416347387</c:v>
                </c:pt>
                <c:pt idx="275">
                  <c:v>276.50063856960406</c:v>
                </c:pt>
                <c:pt idx="276">
                  <c:v>277.77777777777777</c:v>
                </c:pt>
                <c:pt idx="277">
                  <c:v>278.73563218390808</c:v>
                </c:pt>
                <c:pt idx="278">
                  <c:v>279.69348659003828</c:v>
                </c:pt>
                <c:pt idx="279">
                  <c:v>280.65134099616864</c:v>
                </c:pt>
                <c:pt idx="280">
                  <c:v>281.60919540229889</c:v>
                </c:pt>
                <c:pt idx="281">
                  <c:v>282.56704980842909</c:v>
                </c:pt>
                <c:pt idx="282">
                  <c:v>283.52490421455946</c:v>
                </c:pt>
                <c:pt idx="283">
                  <c:v>284.80204342273311</c:v>
                </c:pt>
                <c:pt idx="284">
                  <c:v>285.75989782886336</c:v>
                </c:pt>
                <c:pt idx="285">
                  <c:v>286.71775223499367</c:v>
                </c:pt>
                <c:pt idx="286">
                  <c:v>287.67560664112386</c:v>
                </c:pt>
                <c:pt idx="287">
                  <c:v>288.63346104725417</c:v>
                </c:pt>
                <c:pt idx="288">
                  <c:v>289.59131545338448</c:v>
                </c:pt>
                <c:pt idx="289">
                  <c:v>290.86845466155808</c:v>
                </c:pt>
                <c:pt idx="290">
                  <c:v>291.82630906768844</c:v>
                </c:pt>
                <c:pt idx="291">
                  <c:v>292.78416347381869</c:v>
                </c:pt>
                <c:pt idx="292">
                  <c:v>293.74201787994889</c:v>
                </c:pt>
                <c:pt idx="293">
                  <c:v>294.69987228607926</c:v>
                </c:pt>
                <c:pt idx="294">
                  <c:v>295.65772669220945</c:v>
                </c:pt>
                <c:pt idx="295">
                  <c:v>296.61558109833976</c:v>
                </c:pt>
                <c:pt idx="296">
                  <c:v>297.89272030651347</c:v>
                </c:pt>
                <c:pt idx="297">
                  <c:v>298.85057471264366</c:v>
                </c:pt>
                <c:pt idx="298">
                  <c:v>299.80842911877397</c:v>
                </c:pt>
                <c:pt idx="299">
                  <c:v>300.76628352490428</c:v>
                </c:pt>
                <c:pt idx="300">
                  <c:v>301.72413793103448</c:v>
                </c:pt>
                <c:pt idx="301">
                  <c:v>302.68199233716479</c:v>
                </c:pt>
                <c:pt idx="302">
                  <c:v>303.63984674329504</c:v>
                </c:pt>
                <c:pt idx="303">
                  <c:v>304.91698595146869</c:v>
                </c:pt>
                <c:pt idx="304">
                  <c:v>305.87484035759906</c:v>
                </c:pt>
                <c:pt idx="305">
                  <c:v>306.83269476372925</c:v>
                </c:pt>
                <c:pt idx="306">
                  <c:v>307.79054916985956</c:v>
                </c:pt>
                <c:pt idx="307">
                  <c:v>308.74840357598987</c:v>
                </c:pt>
                <c:pt idx="308">
                  <c:v>309.70625798212006</c:v>
                </c:pt>
                <c:pt idx="309">
                  <c:v>310.98339719029377</c:v>
                </c:pt>
                <c:pt idx="310">
                  <c:v>311.94125159642402</c:v>
                </c:pt>
                <c:pt idx="311">
                  <c:v>312.89910600255428</c:v>
                </c:pt>
                <c:pt idx="312">
                  <c:v>313.85696040868459</c:v>
                </c:pt>
                <c:pt idx="313">
                  <c:v>314.81481481481484</c:v>
                </c:pt>
                <c:pt idx="314">
                  <c:v>315.77266922094509</c:v>
                </c:pt>
                <c:pt idx="315">
                  <c:v>316.73052362707546</c:v>
                </c:pt>
                <c:pt idx="316">
                  <c:v>318.00766283524905</c:v>
                </c:pt>
                <c:pt idx="317">
                  <c:v>318.96551724137936</c:v>
                </c:pt>
                <c:pt idx="318">
                  <c:v>319.92337164750967</c:v>
                </c:pt>
                <c:pt idx="319">
                  <c:v>320.88122605363981</c:v>
                </c:pt>
                <c:pt idx="320">
                  <c:v>321.83908045977017</c:v>
                </c:pt>
                <c:pt idx="321">
                  <c:v>322.79693486590037</c:v>
                </c:pt>
                <c:pt idx="322">
                  <c:v>323.75478927203068</c:v>
                </c:pt>
                <c:pt idx="323">
                  <c:v>325.03192848020439</c:v>
                </c:pt>
                <c:pt idx="324">
                  <c:v>325.98978288633464</c:v>
                </c:pt>
                <c:pt idx="325">
                  <c:v>326.94763729246489</c:v>
                </c:pt>
                <c:pt idx="326">
                  <c:v>327.90549169859526</c:v>
                </c:pt>
                <c:pt idx="327">
                  <c:v>328.86334610472545</c:v>
                </c:pt>
                <c:pt idx="328">
                  <c:v>329.8212005108557</c:v>
                </c:pt>
                <c:pt idx="329">
                  <c:v>331.09833971902947</c:v>
                </c:pt>
                <c:pt idx="330">
                  <c:v>332.05619412515961</c:v>
                </c:pt>
                <c:pt idx="331">
                  <c:v>333.01404853128997</c:v>
                </c:pt>
                <c:pt idx="332">
                  <c:v>333.97190293742017</c:v>
                </c:pt>
                <c:pt idx="333">
                  <c:v>334.92975734355048</c:v>
                </c:pt>
                <c:pt idx="334">
                  <c:v>335.88761174968079</c:v>
                </c:pt>
                <c:pt idx="335">
                  <c:v>336.84546615581104</c:v>
                </c:pt>
                <c:pt idx="336">
                  <c:v>338.12260536398469</c:v>
                </c:pt>
                <c:pt idx="337">
                  <c:v>339.08045977011506</c:v>
                </c:pt>
                <c:pt idx="338">
                  <c:v>340.03831417624525</c:v>
                </c:pt>
                <c:pt idx="339">
                  <c:v>340.9961685823755</c:v>
                </c:pt>
                <c:pt idx="340">
                  <c:v>341.95402298850576</c:v>
                </c:pt>
                <c:pt idx="341">
                  <c:v>342.91187739463601</c:v>
                </c:pt>
                <c:pt idx="342">
                  <c:v>343.86973180076637</c:v>
                </c:pt>
                <c:pt idx="343">
                  <c:v>345.14687100893997</c:v>
                </c:pt>
                <c:pt idx="344">
                  <c:v>346.10472541507028</c:v>
                </c:pt>
                <c:pt idx="345">
                  <c:v>347.06257982120059</c:v>
                </c:pt>
                <c:pt idx="346">
                  <c:v>348.02043422733084</c:v>
                </c:pt>
                <c:pt idx="347">
                  <c:v>348.97828863346109</c:v>
                </c:pt>
                <c:pt idx="348">
                  <c:v>349.93614303959129</c:v>
                </c:pt>
                <c:pt idx="349">
                  <c:v>351.21328224776505</c:v>
                </c:pt>
                <c:pt idx="350">
                  <c:v>352.1711366538953</c:v>
                </c:pt>
                <c:pt idx="351">
                  <c:v>353.12899106002556</c:v>
                </c:pt>
                <c:pt idx="352">
                  <c:v>354.08684546615581</c:v>
                </c:pt>
                <c:pt idx="353">
                  <c:v>355.04469987228617</c:v>
                </c:pt>
                <c:pt idx="354">
                  <c:v>356.00255427841637</c:v>
                </c:pt>
                <c:pt idx="355">
                  <c:v>356.96040868454662</c:v>
                </c:pt>
                <c:pt idx="356">
                  <c:v>358.23754789272039</c:v>
                </c:pt>
                <c:pt idx="357">
                  <c:v>359.19540229885058</c:v>
                </c:pt>
                <c:pt idx="358">
                  <c:v>360.15325670498089</c:v>
                </c:pt>
                <c:pt idx="359">
                  <c:v>361.11111111111109</c:v>
                </c:pt>
                <c:pt idx="360">
                  <c:v>362.06896551724145</c:v>
                </c:pt>
                <c:pt idx="361">
                  <c:v>363.0268199233717</c:v>
                </c:pt>
                <c:pt idx="362">
                  <c:v>364.30395913154535</c:v>
                </c:pt>
                <c:pt idx="363">
                  <c:v>365.26181353767561</c:v>
                </c:pt>
                <c:pt idx="364">
                  <c:v>366.21966794380597</c:v>
                </c:pt>
                <c:pt idx="365">
                  <c:v>367.17752234993617</c:v>
                </c:pt>
                <c:pt idx="366">
                  <c:v>368.13537675606642</c:v>
                </c:pt>
                <c:pt idx="367">
                  <c:v>369.09323116219667</c:v>
                </c:pt>
                <c:pt idx="368">
                  <c:v>370.05108556832698</c:v>
                </c:pt>
                <c:pt idx="369">
                  <c:v>371.32822477650069</c:v>
                </c:pt>
                <c:pt idx="370">
                  <c:v>372.28607918263089</c:v>
                </c:pt>
                <c:pt idx="371">
                  <c:v>373.24393358876125</c:v>
                </c:pt>
                <c:pt idx="372">
                  <c:v>374.2017879948915</c:v>
                </c:pt>
                <c:pt idx="373">
                  <c:v>375.15964240102176</c:v>
                </c:pt>
                <c:pt idx="374">
                  <c:v>376.11749680715201</c:v>
                </c:pt>
                <c:pt idx="375">
                  <c:v>377.0753512132822</c:v>
                </c:pt>
                <c:pt idx="376">
                  <c:v>378.35249042145597</c:v>
                </c:pt>
                <c:pt idx="377">
                  <c:v>379.31034482758622</c:v>
                </c:pt>
                <c:pt idx="378">
                  <c:v>380.26819923371647</c:v>
                </c:pt>
                <c:pt idx="379">
                  <c:v>381.22605363984678</c:v>
                </c:pt>
                <c:pt idx="380">
                  <c:v>382.18390804597709</c:v>
                </c:pt>
                <c:pt idx="381">
                  <c:v>383.14176245210729</c:v>
                </c:pt>
                <c:pt idx="382">
                  <c:v>384.41890166028099</c:v>
                </c:pt>
                <c:pt idx="383">
                  <c:v>385.3767560664113</c:v>
                </c:pt>
                <c:pt idx="384">
                  <c:v>386.33461047254156</c:v>
                </c:pt>
                <c:pt idx="385">
                  <c:v>387.29246487867181</c:v>
                </c:pt>
                <c:pt idx="386">
                  <c:v>388.250319284802</c:v>
                </c:pt>
                <c:pt idx="387">
                  <c:v>389.20817369093237</c:v>
                </c:pt>
                <c:pt idx="388">
                  <c:v>390.16602809706262</c:v>
                </c:pt>
                <c:pt idx="389">
                  <c:v>391.44316730523627</c:v>
                </c:pt>
                <c:pt idx="390">
                  <c:v>392.40102171136658</c:v>
                </c:pt>
                <c:pt idx="391">
                  <c:v>393.35887611749689</c:v>
                </c:pt>
                <c:pt idx="392">
                  <c:v>394.31673052362709</c:v>
                </c:pt>
                <c:pt idx="393">
                  <c:v>395.27458492975734</c:v>
                </c:pt>
                <c:pt idx="394">
                  <c:v>396.23243933588759</c:v>
                </c:pt>
                <c:pt idx="395">
                  <c:v>397.1902937420179</c:v>
                </c:pt>
                <c:pt idx="396">
                  <c:v>398.46743295019161</c:v>
                </c:pt>
                <c:pt idx="397">
                  <c:v>399.4252873563218</c:v>
                </c:pt>
                <c:pt idx="398">
                  <c:v>400.38314176245217</c:v>
                </c:pt>
                <c:pt idx="399">
                  <c:v>401.34099616858242</c:v>
                </c:pt>
                <c:pt idx="400">
                  <c:v>402.29885057471267</c:v>
                </c:pt>
                <c:pt idx="401">
                  <c:v>403.25670498084298</c:v>
                </c:pt>
                <c:pt idx="402">
                  <c:v>404.53384418901669</c:v>
                </c:pt>
                <c:pt idx="403">
                  <c:v>405.49169859514689</c:v>
                </c:pt>
                <c:pt idx="404">
                  <c:v>406.44955300127714</c:v>
                </c:pt>
                <c:pt idx="405">
                  <c:v>407.40740740740739</c:v>
                </c:pt>
                <c:pt idx="406">
                  <c:v>408.3652618135377</c:v>
                </c:pt>
                <c:pt idx="407">
                  <c:v>409.32311621966801</c:v>
                </c:pt>
                <c:pt idx="408">
                  <c:v>410.2809706257982</c:v>
                </c:pt>
                <c:pt idx="409">
                  <c:v>411.55810983397197</c:v>
                </c:pt>
                <c:pt idx="410">
                  <c:v>412.51596424010222</c:v>
                </c:pt>
                <c:pt idx="411">
                  <c:v>413.47381864623247</c:v>
                </c:pt>
                <c:pt idx="412">
                  <c:v>414.43167305236278</c:v>
                </c:pt>
                <c:pt idx="413">
                  <c:v>415.38952745849292</c:v>
                </c:pt>
                <c:pt idx="414">
                  <c:v>416.34738186462329</c:v>
                </c:pt>
                <c:pt idx="415">
                  <c:v>417.30523627075354</c:v>
                </c:pt>
                <c:pt idx="416">
                  <c:v>418.58237547892719</c:v>
                </c:pt>
                <c:pt idx="417">
                  <c:v>419.5402298850575</c:v>
                </c:pt>
                <c:pt idx="418">
                  <c:v>420.49808429118781</c:v>
                </c:pt>
                <c:pt idx="419">
                  <c:v>421.455938697318</c:v>
                </c:pt>
                <c:pt idx="420">
                  <c:v>422.41379310344837</c:v>
                </c:pt>
                <c:pt idx="421">
                  <c:v>423.37164750957857</c:v>
                </c:pt>
                <c:pt idx="422">
                  <c:v>424.64878671775227</c:v>
                </c:pt>
                <c:pt idx="423">
                  <c:v>425.60664112388258</c:v>
                </c:pt>
                <c:pt idx="424">
                  <c:v>426.56449553001272</c:v>
                </c:pt>
                <c:pt idx="425">
                  <c:v>427.52234993614309</c:v>
                </c:pt>
                <c:pt idx="426">
                  <c:v>428.48020434227334</c:v>
                </c:pt>
                <c:pt idx="427">
                  <c:v>429.43805874840359</c:v>
                </c:pt>
                <c:pt idx="428">
                  <c:v>430.3959131545339</c:v>
                </c:pt>
                <c:pt idx="429">
                  <c:v>431.67305236270761</c:v>
                </c:pt>
                <c:pt idx="430">
                  <c:v>432.6309067688378</c:v>
                </c:pt>
                <c:pt idx="431">
                  <c:v>433.58876117496811</c:v>
                </c:pt>
                <c:pt idx="432">
                  <c:v>434.54661558109837</c:v>
                </c:pt>
                <c:pt idx="433">
                  <c:v>435.50446998722862</c:v>
                </c:pt>
                <c:pt idx="434">
                  <c:v>436.46232439335898</c:v>
                </c:pt>
                <c:pt idx="435">
                  <c:v>437.73946360153252</c:v>
                </c:pt>
                <c:pt idx="436">
                  <c:v>438.69731800766289</c:v>
                </c:pt>
                <c:pt idx="437">
                  <c:v>439.65517241379314</c:v>
                </c:pt>
                <c:pt idx="438">
                  <c:v>440.61302681992339</c:v>
                </c:pt>
                <c:pt idx="439">
                  <c:v>441.5708812260537</c:v>
                </c:pt>
                <c:pt idx="440">
                  <c:v>442.5287356321839</c:v>
                </c:pt>
                <c:pt idx="441">
                  <c:v>443.4865900383142</c:v>
                </c:pt>
                <c:pt idx="442">
                  <c:v>444.76372924648791</c:v>
                </c:pt>
                <c:pt idx="443">
                  <c:v>445.72158365261816</c:v>
                </c:pt>
                <c:pt idx="444">
                  <c:v>446.67943805874842</c:v>
                </c:pt>
                <c:pt idx="445">
                  <c:v>447.63729246487878</c:v>
                </c:pt>
                <c:pt idx="446">
                  <c:v>448.59514687100892</c:v>
                </c:pt>
                <c:pt idx="447">
                  <c:v>449.55300127713929</c:v>
                </c:pt>
                <c:pt idx="448">
                  <c:v>450.51085568326948</c:v>
                </c:pt>
                <c:pt idx="449">
                  <c:v>451.78799489144319</c:v>
                </c:pt>
                <c:pt idx="450">
                  <c:v>452.7458492975735</c:v>
                </c:pt>
                <c:pt idx="451">
                  <c:v>453.7037037037037</c:v>
                </c:pt>
                <c:pt idx="452">
                  <c:v>454.661558109834</c:v>
                </c:pt>
                <c:pt idx="453">
                  <c:v>455.61941251596431</c:v>
                </c:pt>
                <c:pt idx="454">
                  <c:v>456.57726692209457</c:v>
                </c:pt>
                <c:pt idx="455">
                  <c:v>457.85440613026822</c:v>
                </c:pt>
                <c:pt idx="456">
                  <c:v>458.81226053639858</c:v>
                </c:pt>
                <c:pt idx="457">
                  <c:v>459.77011494252872</c:v>
                </c:pt>
                <c:pt idx="458">
                  <c:v>460.72796934865909</c:v>
                </c:pt>
                <c:pt idx="459">
                  <c:v>461.68582375478928</c:v>
                </c:pt>
                <c:pt idx="460">
                  <c:v>462.64367816091954</c:v>
                </c:pt>
                <c:pt idx="461">
                  <c:v>463.6015325670499</c:v>
                </c:pt>
                <c:pt idx="462">
                  <c:v>464.87867177522349</c:v>
                </c:pt>
                <c:pt idx="463">
                  <c:v>465.8365261813538</c:v>
                </c:pt>
                <c:pt idx="464">
                  <c:v>466.79438058748411</c:v>
                </c:pt>
                <c:pt idx="465">
                  <c:v>467.75223499361437</c:v>
                </c:pt>
                <c:pt idx="466">
                  <c:v>468.71008939974462</c:v>
                </c:pt>
                <c:pt idx="467">
                  <c:v>469.66794380587487</c:v>
                </c:pt>
                <c:pt idx="468">
                  <c:v>470.62579821200512</c:v>
                </c:pt>
                <c:pt idx="469">
                  <c:v>471.90293742017889</c:v>
                </c:pt>
                <c:pt idx="470">
                  <c:v>472.86079182630908</c:v>
                </c:pt>
                <c:pt idx="471">
                  <c:v>473.81864623243933</c:v>
                </c:pt>
                <c:pt idx="472">
                  <c:v>474.7765006385697</c:v>
                </c:pt>
                <c:pt idx="473">
                  <c:v>475.7343550446999</c:v>
                </c:pt>
                <c:pt idx="474">
                  <c:v>476.69220945083021</c:v>
                </c:pt>
                <c:pt idx="475">
                  <c:v>477.96934865900391</c:v>
                </c:pt>
                <c:pt idx="476">
                  <c:v>478.92720306513417</c:v>
                </c:pt>
                <c:pt idx="477">
                  <c:v>479.88505747126442</c:v>
                </c:pt>
                <c:pt idx="478">
                  <c:v>480.84291187739461</c:v>
                </c:pt>
                <c:pt idx="479">
                  <c:v>481.80076628352492</c:v>
                </c:pt>
                <c:pt idx="480">
                  <c:v>482.75862068965523</c:v>
                </c:pt>
                <c:pt idx="481">
                  <c:v>483.71647509578548</c:v>
                </c:pt>
                <c:pt idx="482">
                  <c:v>484.99361430395913</c:v>
                </c:pt>
                <c:pt idx="483">
                  <c:v>485.9514687100895</c:v>
                </c:pt>
                <c:pt idx="484">
                  <c:v>486.9093231162197</c:v>
                </c:pt>
                <c:pt idx="485">
                  <c:v>487.86717752235</c:v>
                </c:pt>
                <c:pt idx="486">
                  <c:v>488.8250319284802</c:v>
                </c:pt>
                <c:pt idx="487">
                  <c:v>489.78288633461051</c:v>
                </c:pt>
                <c:pt idx="488">
                  <c:v>490.74074074074082</c:v>
                </c:pt>
                <c:pt idx="489">
                  <c:v>492.01787994891441</c:v>
                </c:pt>
                <c:pt idx="490">
                  <c:v>492.97573435504472</c:v>
                </c:pt>
                <c:pt idx="491">
                  <c:v>493.93358876117503</c:v>
                </c:pt>
                <c:pt idx="492">
                  <c:v>494.89144316730528</c:v>
                </c:pt>
                <c:pt idx="493">
                  <c:v>495.84929757343554</c:v>
                </c:pt>
                <c:pt idx="494">
                  <c:v>496.80715197956579</c:v>
                </c:pt>
                <c:pt idx="495">
                  <c:v>498.0842911877395</c:v>
                </c:pt>
                <c:pt idx="496">
                  <c:v>499.0421455938698</c:v>
                </c:pt>
                <c:pt idx="497">
                  <c:v>500</c:v>
                </c:pt>
                <c:pt idx="498">
                  <c:v>498.79807692307696</c:v>
                </c:pt>
                <c:pt idx="499">
                  <c:v>500</c:v>
                </c:pt>
                <c:pt idx="500">
                  <c:v>500</c:v>
                </c:pt>
              </c:numCache>
            </c:numRef>
          </c:xVal>
          <c:yVal>
            <c:numRef>
              <c:f>'sheet 1'!$S$39:$S$841</c:f>
              <c:numCache>
                <c:formatCode>General</c:formatCode>
                <c:ptCount val="8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621-4875-B88C-B488B95351CA}"/>
            </c:ext>
          </c:extLst>
        </c:ser>
        <c:ser>
          <c:idx val="6"/>
          <c:order val="6"/>
          <c:tx>
            <c:strRef>
              <c:f>'sheet 1'!$T$38</c:f>
              <c:strCache>
                <c:ptCount val="1"/>
                <c:pt idx="0">
                  <c:v>I5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</c:v>
                </c:pt>
                <c:pt idx="1">
                  <c:v>0.95785440613030459</c:v>
                </c:pt>
                <c:pt idx="2">
                  <c:v>1.9157088122605637</c:v>
                </c:pt>
                <c:pt idx="3">
                  <c:v>2.8735632183908226</c:v>
                </c:pt>
                <c:pt idx="4">
                  <c:v>4.150702426564532</c:v>
                </c:pt>
                <c:pt idx="5">
                  <c:v>5.1085568326947906</c:v>
                </c:pt>
                <c:pt idx="6">
                  <c:v>6.06641123882505</c:v>
                </c:pt>
                <c:pt idx="7">
                  <c:v>7.0242656449553094</c:v>
                </c:pt>
                <c:pt idx="8">
                  <c:v>7.9821200510855688</c:v>
                </c:pt>
                <c:pt idx="9">
                  <c:v>8.9399744572158735</c:v>
                </c:pt>
                <c:pt idx="10">
                  <c:v>9.8978288633461311</c:v>
                </c:pt>
                <c:pt idx="11">
                  <c:v>11.174968071519796</c:v>
                </c:pt>
                <c:pt idx="12">
                  <c:v>12.1328224776501</c:v>
                </c:pt>
                <c:pt idx="13">
                  <c:v>13.090676883780361</c:v>
                </c:pt>
                <c:pt idx="14">
                  <c:v>14.048531289910619</c:v>
                </c:pt>
                <c:pt idx="15">
                  <c:v>15.006385696040878</c:v>
                </c:pt>
                <c:pt idx="16">
                  <c:v>15.964240102171138</c:v>
                </c:pt>
                <c:pt idx="17">
                  <c:v>17.241379310344843</c:v>
                </c:pt>
                <c:pt idx="18">
                  <c:v>18.199233716475106</c:v>
                </c:pt>
                <c:pt idx="19">
                  <c:v>19.157088122605366</c:v>
                </c:pt>
                <c:pt idx="20">
                  <c:v>20.114942528735671</c:v>
                </c:pt>
                <c:pt idx="21">
                  <c:v>21.072796934865931</c:v>
                </c:pt>
                <c:pt idx="22">
                  <c:v>22.030651340996187</c:v>
                </c:pt>
                <c:pt idx="23">
                  <c:v>22.988505747126446</c:v>
                </c:pt>
                <c:pt idx="24">
                  <c:v>24.265644955300154</c:v>
                </c:pt>
                <c:pt idx="25">
                  <c:v>25.223499361430413</c:v>
                </c:pt>
                <c:pt idx="26">
                  <c:v>26.181353767560676</c:v>
                </c:pt>
                <c:pt idx="27">
                  <c:v>27.139208173690935</c:v>
                </c:pt>
                <c:pt idx="28">
                  <c:v>28.097062579821237</c:v>
                </c:pt>
                <c:pt idx="29">
                  <c:v>29.054916985951497</c:v>
                </c:pt>
                <c:pt idx="30">
                  <c:v>30.012771392081756</c:v>
                </c:pt>
                <c:pt idx="31">
                  <c:v>31.289910600255467</c:v>
                </c:pt>
                <c:pt idx="32">
                  <c:v>32.24776500638572</c:v>
                </c:pt>
                <c:pt idx="33">
                  <c:v>33.205619412515986</c:v>
                </c:pt>
                <c:pt idx="34">
                  <c:v>34.163473818646239</c:v>
                </c:pt>
                <c:pt idx="35">
                  <c:v>35.121328224776505</c:v>
                </c:pt>
                <c:pt idx="36">
                  <c:v>36.079182630906807</c:v>
                </c:pt>
                <c:pt idx="37">
                  <c:v>37.356321839080472</c:v>
                </c:pt>
                <c:pt idx="38">
                  <c:v>38.314176245210732</c:v>
                </c:pt>
                <c:pt idx="39">
                  <c:v>39.272030651341034</c:v>
                </c:pt>
                <c:pt idx="40">
                  <c:v>40.229885057471293</c:v>
                </c:pt>
                <c:pt idx="41">
                  <c:v>41.187739463601552</c:v>
                </c:pt>
                <c:pt idx="42">
                  <c:v>42.145593869731812</c:v>
                </c:pt>
                <c:pt idx="43">
                  <c:v>43.103448275862071</c:v>
                </c:pt>
                <c:pt idx="44">
                  <c:v>44.380587484035786</c:v>
                </c:pt>
                <c:pt idx="45">
                  <c:v>45.338441890166038</c:v>
                </c:pt>
                <c:pt idx="46">
                  <c:v>46.296296296296298</c:v>
                </c:pt>
                <c:pt idx="47">
                  <c:v>47.254150702426607</c:v>
                </c:pt>
                <c:pt idx="48">
                  <c:v>48.212005108556859</c:v>
                </c:pt>
                <c:pt idx="49">
                  <c:v>49.169859514687126</c:v>
                </c:pt>
                <c:pt idx="50">
                  <c:v>50.127713920817378</c:v>
                </c:pt>
                <c:pt idx="51">
                  <c:v>51.404853128991085</c:v>
                </c:pt>
                <c:pt idx="52">
                  <c:v>52.362707535121352</c:v>
                </c:pt>
                <c:pt idx="53">
                  <c:v>53.320561941251604</c:v>
                </c:pt>
                <c:pt idx="54">
                  <c:v>54.278416347381871</c:v>
                </c:pt>
                <c:pt idx="55">
                  <c:v>55.236270753512173</c:v>
                </c:pt>
                <c:pt idx="56">
                  <c:v>56.194125159642432</c:v>
                </c:pt>
                <c:pt idx="57">
                  <c:v>57.47126436781609</c:v>
                </c:pt>
                <c:pt idx="58">
                  <c:v>58.429118773946392</c:v>
                </c:pt>
                <c:pt idx="59">
                  <c:v>59.386973180076659</c:v>
                </c:pt>
                <c:pt idx="60">
                  <c:v>60.344827586206918</c:v>
                </c:pt>
                <c:pt idx="61">
                  <c:v>61.302681992337178</c:v>
                </c:pt>
                <c:pt idx="62">
                  <c:v>62.260536398467437</c:v>
                </c:pt>
                <c:pt idx="63">
                  <c:v>63.218390804597732</c:v>
                </c:pt>
                <c:pt idx="64">
                  <c:v>64.495530012771411</c:v>
                </c:pt>
                <c:pt idx="65">
                  <c:v>65.453384418901663</c:v>
                </c:pt>
                <c:pt idx="66">
                  <c:v>66.411238825031973</c:v>
                </c:pt>
                <c:pt idx="67">
                  <c:v>67.369093231162239</c:v>
                </c:pt>
                <c:pt idx="68">
                  <c:v>68.326947637292477</c:v>
                </c:pt>
                <c:pt idx="69">
                  <c:v>69.284802043422744</c:v>
                </c:pt>
                <c:pt idx="70">
                  <c:v>70.561941251596451</c:v>
                </c:pt>
                <c:pt idx="71">
                  <c:v>71.519795657726718</c:v>
                </c:pt>
                <c:pt idx="72">
                  <c:v>72.47765006385697</c:v>
                </c:pt>
                <c:pt idx="73">
                  <c:v>73.435504469987222</c:v>
                </c:pt>
                <c:pt idx="74">
                  <c:v>74.393358876117532</c:v>
                </c:pt>
                <c:pt idx="75">
                  <c:v>75.351213282247798</c:v>
                </c:pt>
                <c:pt idx="76">
                  <c:v>76.30906768837805</c:v>
                </c:pt>
                <c:pt idx="77">
                  <c:v>77.586206896551772</c:v>
                </c:pt>
                <c:pt idx="78">
                  <c:v>78.54406130268201</c:v>
                </c:pt>
                <c:pt idx="79">
                  <c:v>79.501915708812277</c:v>
                </c:pt>
                <c:pt idx="80">
                  <c:v>80.459770114942543</c:v>
                </c:pt>
                <c:pt idx="81">
                  <c:v>81.41762452107281</c:v>
                </c:pt>
                <c:pt idx="82">
                  <c:v>82.375478927203105</c:v>
                </c:pt>
                <c:pt idx="83">
                  <c:v>83.333333333333371</c:v>
                </c:pt>
                <c:pt idx="84">
                  <c:v>84.610472541507022</c:v>
                </c:pt>
                <c:pt idx="85">
                  <c:v>85.568326947637331</c:v>
                </c:pt>
                <c:pt idx="86">
                  <c:v>86.526181353767598</c:v>
                </c:pt>
                <c:pt idx="87">
                  <c:v>87.48403575989785</c:v>
                </c:pt>
                <c:pt idx="88">
                  <c:v>88.441890166028102</c:v>
                </c:pt>
                <c:pt idx="89">
                  <c:v>89.399744572158369</c:v>
                </c:pt>
                <c:pt idx="90">
                  <c:v>90.676883780332076</c:v>
                </c:pt>
                <c:pt idx="91">
                  <c:v>91.634738186462343</c:v>
                </c:pt>
                <c:pt idx="92">
                  <c:v>92.592592592592595</c:v>
                </c:pt>
                <c:pt idx="93">
                  <c:v>93.550446998722904</c:v>
                </c:pt>
                <c:pt idx="94">
                  <c:v>94.508301404853157</c:v>
                </c:pt>
                <c:pt idx="95">
                  <c:v>95.466155810983423</c:v>
                </c:pt>
                <c:pt idx="96">
                  <c:v>96.424010217113675</c:v>
                </c:pt>
                <c:pt idx="97">
                  <c:v>97.701149425287383</c:v>
                </c:pt>
                <c:pt idx="98">
                  <c:v>98.65900383141765</c:v>
                </c:pt>
                <c:pt idx="99">
                  <c:v>99.616858237547902</c:v>
                </c:pt>
                <c:pt idx="100">
                  <c:v>100.57471264367817</c:v>
                </c:pt>
                <c:pt idx="101">
                  <c:v>101.53256704980846</c:v>
                </c:pt>
                <c:pt idx="102">
                  <c:v>102.49042145593873</c:v>
                </c:pt>
                <c:pt idx="103">
                  <c:v>103.448275862069</c:v>
                </c:pt>
                <c:pt idx="104">
                  <c:v>104.7254150702427</c:v>
                </c:pt>
                <c:pt idx="105">
                  <c:v>105.68326947637296</c:v>
                </c:pt>
                <c:pt idx="106">
                  <c:v>106.64112388250321</c:v>
                </c:pt>
                <c:pt idx="107">
                  <c:v>107.59897828863348</c:v>
                </c:pt>
                <c:pt idx="108">
                  <c:v>108.55683269476374</c:v>
                </c:pt>
                <c:pt idx="109">
                  <c:v>109.51468710089404</c:v>
                </c:pt>
                <c:pt idx="110">
                  <c:v>110.7918263090677</c:v>
                </c:pt>
                <c:pt idx="111">
                  <c:v>111.74968071519795</c:v>
                </c:pt>
                <c:pt idx="112">
                  <c:v>112.70753512132826</c:v>
                </c:pt>
                <c:pt idx="113">
                  <c:v>113.66538952745853</c:v>
                </c:pt>
                <c:pt idx="114">
                  <c:v>114.6232439335888</c:v>
                </c:pt>
                <c:pt idx="115">
                  <c:v>115.58109833971903</c:v>
                </c:pt>
                <c:pt idx="116">
                  <c:v>116.5389527458493</c:v>
                </c:pt>
                <c:pt idx="117">
                  <c:v>117.81609195402301</c:v>
                </c:pt>
                <c:pt idx="118">
                  <c:v>118.77394636015327</c:v>
                </c:pt>
                <c:pt idx="119">
                  <c:v>119.73180076628354</c:v>
                </c:pt>
                <c:pt idx="120">
                  <c:v>120.68965517241384</c:v>
                </c:pt>
                <c:pt idx="121">
                  <c:v>121.64750957854409</c:v>
                </c:pt>
                <c:pt idx="122">
                  <c:v>122.60536398467436</c:v>
                </c:pt>
                <c:pt idx="123">
                  <c:v>123.56321839080461</c:v>
                </c:pt>
                <c:pt idx="124">
                  <c:v>124.84035759897833</c:v>
                </c:pt>
                <c:pt idx="125">
                  <c:v>125.79821200510857</c:v>
                </c:pt>
                <c:pt idx="126">
                  <c:v>126.75606641123885</c:v>
                </c:pt>
                <c:pt idx="127">
                  <c:v>127.7139208173691</c:v>
                </c:pt>
                <c:pt idx="128">
                  <c:v>128.6717752234994</c:v>
                </c:pt>
                <c:pt idx="129">
                  <c:v>129.62962962962965</c:v>
                </c:pt>
                <c:pt idx="130">
                  <c:v>130.90676883780333</c:v>
                </c:pt>
                <c:pt idx="131">
                  <c:v>131.86462324393364</c:v>
                </c:pt>
                <c:pt idx="132">
                  <c:v>132.82247765006389</c:v>
                </c:pt>
                <c:pt idx="133">
                  <c:v>133.78033205619414</c:v>
                </c:pt>
                <c:pt idx="134">
                  <c:v>134.73818646232442</c:v>
                </c:pt>
                <c:pt idx="135">
                  <c:v>135.69604086845465</c:v>
                </c:pt>
                <c:pt idx="136">
                  <c:v>136.65389527458495</c:v>
                </c:pt>
                <c:pt idx="137">
                  <c:v>137.93103448275863</c:v>
                </c:pt>
                <c:pt idx="138">
                  <c:v>138.88888888888889</c:v>
                </c:pt>
                <c:pt idx="139">
                  <c:v>139.84674329501919</c:v>
                </c:pt>
                <c:pt idx="140">
                  <c:v>140.80459770114945</c:v>
                </c:pt>
                <c:pt idx="141">
                  <c:v>141.76245210727973</c:v>
                </c:pt>
                <c:pt idx="142">
                  <c:v>142.72030651340998</c:v>
                </c:pt>
                <c:pt idx="143">
                  <c:v>143.99744572158369</c:v>
                </c:pt>
                <c:pt idx="144">
                  <c:v>144.95530012771394</c:v>
                </c:pt>
                <c:pt idx="145">
                  <c:v>145.91315453384422</c:v>
                </c:pt>
                <c:pt idx="146">
                  <c:v>146.87100893997444</c:v>
                </c:pt>
                <c:pt idx="147">
                  <c:v>147.82886334610475</c:v>
                </c:pt>
                <c:pt idx="148">
                  <c:v>148.78671775223503</c:v>
                </c:pt>
                <c:pt idx="149">
                  <c:v>149.74457215836529</c:v>
                </c:pt>
                <c:pt idx="150">
                  <c:v>151.02171136653899</c:v>
                </c:pt>
                <c:pt idx="151">
                  <c:v>151.97956577266925</c:v>
                </c:pt>
                <c:pt idx="152">
                  <c:v>152.93742017879953</c:v>
                </c:pt>
                <c:pt idx="153">
                  <c:v>153.89527458492978</c:v>
                </c:pt>
                <c:pt idx="154">
                  <c:v>154.85312899106003</c:v>
                </c:pt>
                <c:pt idx="155">
                  <c:v>155.81098339719031</c:v>
                </c:pt>
                <c:pt idx="156">
                  <c:v>156.76883780332059</c:v>
                </c:pt>
                <c:pt idx="157">
                  <c:v>158.04597701149424</c:v>
                </c:pt>
                <c:pt idx="158">
                  <c:v>159.00383141762455</c:v>
                </c:pt>
                <c:pt idx="159">
                  <c:v>159.96168582375483</c:v>
                </c:pt>
                <c:pt idx="160">
                  <c:v>160.91954022988509</c:v>
                </c:pt>
                <c:pt idx="161">
                  <c:v>161.87739463601534</c:v>
                </c:pt>
                <c:pt idx="162">
                  <c:v>162.83524904214562</c:v>
                </c:pt>
                <c:pt idx="163">
                  <c:v>164.11238825031933</c:v>
                </c:pt>
                <c:pt idx="164">
                  <c:v>165.07024265644958</c:v>
                </c:pt>
                <c:pt idx="165">
                  <c:v>166.0280970625798</c:v>
                </c:pt>
                <c:pt idx="166">
                  <c:v>166.98595146871011</c:v>
                </c:pt>
                <c:pt idx="167">
                  <c:v>167.94380587484039</c:v>
                </c:pt>
                <c:pt idx="168">
                  <c:v>168.90166028097065</c:v>
                </c:pt>
                <c:pt idx="169">
                  <c:v>169.85951468710093</c:v>
                </c:pt>
                <c:pt idx="170">
                  <c:v>171.13665389527463</c:v>
                </c:pt>
                <c:pt idx="171">
                  <c:v>172.09450830140489</c:v>
                </c:pt>
                <c:pt idx="172">
                  <c:v>173.05236270753514</c:v>
                </c:pt>
                <c:pt idx="173">
                  <c:v>174.01021711366542</c:v>
                </c:pt>
                <c:pt idx="174">
                  <c:v>174.9680715197957</c:v>
                </c:pt>
                <c:pt idx="175">
                  <c:v>175.9259259259259</c:v>
                </c:pt>
                <c:pt idx="176">
                  <c:v>176.8837803320562</c:v>
                </c:pt>
                <c:pt idx="177">
                  <c:v>178.16091954022991</c:v>
                </c:pt>
                <c:pt idx="178">
                  <c:v>179.11877394636014</c:v>
                </c:pt>
                <c:pt idx="179">
                  <c:v>180.07662835249045</c:v>
                </c:pt>
                <c:pt idx="180">
                  <c:v>181.03448275862075</c:v>
                </c:pt>
                <c:pt idx="181">
                  <c:v>181.99233716475098</c:v>
                </c:pt>
                <c:pt idx="182">
                  <c:v>182.95019157088126</c:v>
                </c:pt>
                <c:pt idx="183">
                  <c:v>184.22733077905499</c:v>
                </c:pt>
                <c:pt idx="184">
                  <c:v>185.18518518518519</c:v>
                </c:pt>
                <c:pt idx="185">
                  <c:v>186.1430395913155</c:v>
                </c:pt>
                <c:pt idx="186">
                  <c:v>187.1008939974457</c:v>
                </c:pt>
                <c:pt idx="187">
                  <c:v>188.058748403576</c:v>
                </c:pt>
                <c:pt idx="188">
                  <c:v>189.01660280970631</c:v>
                </c:pt>
                <c:pt idx="189">
                  <c:v>189.97445721583654</c:v>
                </c:pt>
                <c:pt idx="190">
                  <c:v>191.25159642401024</c:v>
                </c:pt>
                <c:pt idx="191">
                  <c:v>192.20945083014055</c:v>
                </c:pt>
                <c:pt idx="192">
                  <c:v>193.16730523627078</c:v>
                </c:pt>
                <c:pt idx="193">
                  <c:v>194.12515964240106</c:v>
                </c:pt>
                <c:pt idx="194">
                  <c:v>195.08301404853128</c:v>
                </c:pt>
                <c:pt idx="195">
                  <c:v>196.04086845466159</c:v>
                </c:pt>
                <c:pt idx="196">
                  <c:v>196.9987228607919</c:v>
                </c:pt>
                <c:pt idx="197">
                  <c:v>198.27586206896549</c:v>
                </c:pt>
                <c:pt idx="198">
                  <c:v>199.2337164750958</c:v>
                </c:pt>
                <c:pt idx="199">
                  <c:v>200.19157088122611</c:v>
                </c:pt>
                <c:pt idx="200">
                  <c:v>201.14942528735634</c:v>
                </c:pt>
                <c:pt idx="201">
                  <c:v>202.10727969348662</c:v>
                </c:pt>
                <c:pt idx="202">
                  <c:v>203.06513409961684</c:v>
                </c:pt>
                <c:pt idx="203">
                  <c:v>204.34227330779055</c:v>
                </c:pt>
                <c:pt idx="204">
                  <c:v>205.30012771392086</c:v>
                </c:pt>
                <c:pt idx="205">
                  <c:v>206.25798212005108</c:v>
                </c:pt>
                <c:pt idx="206">
                  <c:v>207.21583652618139</c:v>
                </c:pt>
                <c:pt idx="207">
                  <c:v>208.1736909323117</c:v>
                </c:pt>
                <c:pt idx="208">
                  <c:v>209.1315453384419</c:v>
                </c:pt>
                <c:pt idx="209">
                  <c:v>210.08939974457221</c:v>
                </c:pt>
                <c:pt idx="210">
                  <c:v>211.36653895274591</c:v>
                </c:pt>
                <c:pt idx="211">
                  <c:v>212.32439335887614</c:v>
                </c:pt>
                <c:pt idx="212">
                  <c:v>213.28224776500642</c:v>
                </c:pt>
                <c:pt idx="213">
                  <c:v>214.24010217113664</c:v>
                </c:pt>
                <c:pt idx="214">
                  <c:v>215.19795657726695</c:v>
                </c:pt>
                <c:pt idx="215">
                  <c:v>216.15581098339726</c:v>
                </c:pt>
                <c:pt idx="216">
                  <c:v>217.43295019157088</c:v>
                </c:pt>
                <c:pt idx="217">
                  <c:v>218.39080459770119</c:v>
                </c:pt>
                <c:pt idx="218">
                  <c:v>219.3486590038315</c:v>
                </c:pt>
                <c:pt idx="219">
                  <c:v>220.3065134099617</c:v>
                </c:pt>
                <c:pt idx="220">
                  <c:v>221.26436781609198</c:v>
                </c:pt>
                <c:pt idx="221">
                  <c:v>222.2222222222222</c:v>
                </c:pt>
                <c:pt idx="222">
                  <c:v>223.18007662835251</c:v>
                </c:pt>
                <c:pt idx="223">
                  <c:v>224.45721583652622</c:v>
                </c:pt>
                <c:pt idx="224">
                  <c:v>225.41507024265644</c:v>
                </c:pt>
                <c:pt idx="225">
                  <c:v>226.37292464878675</c:v>
                </c:pt>
                <c:pt idx="226">
                  <c:v>227.33077905491706</c:v>
                </c:pt>
                <c:pt idx="227">
                  <c:v>228.28863346104728</c:v>
                </c:pt>
                <c:pt idx="228">
                  <c:v>229.24648786717759</c:v>
                </c:pt>
                <c:pt idx="229">
                  <c:v>230.20434227330776</c:v>
                </c:pt>
                <c:pt idx="230">
                  <c:v>231.4814814814815</c:v>
                </c:pt>
                <c:pt idx="231">
                  <c:v>232.43933588761178</c:v>
                </c:pt>
                <c:pt idx="232">
                  <c:v>233.397190293742</c:v>
                </c:pt>
                <c:pt idx="233">
                  <c:v>234.35504469987231</c:v>
                </c:pt>
                <c:pt idx="234">
                  <c:v>235.31289910600262</c:v>
                </c:pt>
                <c:pt idx="235">
                  <c:v>236.27075351213284</c:v>
                </c:pt>
                <c:pt idx="236">
                  <c:v>237.54789272030655</c:v>
                </c:pt>
                <c:pt idx="237">
                  <c:v>238.50574712643686</c:v>
                </c:pt>
                <c:pt idx="238">
                  <c:v>239.46360153256708</c:v>
                </c:pt>
                <c:pt idx="239">
                  <c:v>240.42145593869736</c:v>
                </c:pt>
                <c:pt idx="240">
                  <c:v>241.37931034482756</c:v>
                </c:pt>
                <c:pt idx="241">
                  <c:v>242.33716475095787</c:v>
                </c:pt>
                <c:pt idx="242">
                  <c:v>243.29501915708818</c:v>
                </c:pt>
                <c:pt idx="243">
                  <c:v>244.5721583652618</c:v>
                </c:pt>
                <c:pt idx="244">
                  <c:v>245.53001277139211</c:v>
                </c:pt>
                <c:pt idx="245">
                  <c:v>246.48786717752242</c:v>
                </c:pt>
                <c:pt idx="246">
                  <c:v>247.44572158365264</c:v>
                </c:pt>
                <c:pt idx="247">
                  <c:v>248.40357598978295</c:v>
                </c:pt>
                <c:pt idx="248">
                  <c:v>249.36143039591315</c:v>
                </c:pt>
                <c:pt idx="249">
                  <c:v>250.31928480204346</c:v>
                </c:pt>
                <c:pt idx="250">
                  <c:v>251.59642401021713</c:v>
                </c:pt>
                <c:pt idx="251">
                  <c:v>252.55427841634736</c:v>
                </c:pt>
                <c:pt idx="252">
                  <c:v>253.5121328224777</c:v>
                </c:pt>
                <c:pt idx="253">
                  <c:v>254.46998722860798</c:v>
                </c:pt>
                <c:pt idx="254">
                  <c:v>255.4278416347382</c:v>
                </c:pt>
                <c:pt idx="255">
                  <c:v>256.38569604086854</c:v>
                </c:pt>
                <c:pt idx="256">
                  <c:v>257.66283524904219</c:v>
                </c:pt>
                <c:pt idx="257">
                  <c:v>258.62068965517244</c:v>
                </c:pt>
                <c:pt idx="258">
                  <c:v>259.57854406130269</c:v>
                </c:pt>
                <c:pt idx="259">
                  <c:v>260.53639846743295</c:v>
                </c:pt>
                <c:pt idx="260">
                  <c:v>261.49425287356325</c:v>
                </c:pt>
                <c:pt idx="261">
                  <c:v>262.45210727969356</c:v>
                </c:pt>
                <c:pt idx="262">
                  <c:v>263.40996168582376</c:v>
                </c:pt>
                <c:pt idx="263">
                  <c:v>264.68710089399747</c:v>
                </c:pt>
                <c:pt idx="264">
                  <c:v>265.64495530012778</c:v>
                </c:pt>
                <c:pt idx="265">
                  <c:v>266.60280970625797</c:v>
                </c:pt>
                <c:pt idx="266">
                  <c:v>267.56066411238828</c:v>
                </c:pt>
                <c:pt idx="267">
                  <c:v>268.51851851851848</c:v>
                </c:pt>
                <c:pt idx="268">
                  <c:v>269.47637292464884</c:v>
                </c:pt>
                <c:pt idx="269">
                  <c:v>270.43422733077909</c:v>
                </c:pt>
                <c:pt idx="270">
                  <c:v>271.71136653895275</c:v>
                </c:pt>
                <c:pt idx="271">
                  <c:v>272.66922094508305</c:v>
                </c:pt>
                <c:pt idx="272">
                  <c:v>273.62707535121331</c:v>
                </c:pt>
                <c:pt idx="273">
                  <c:v>274.58492975734356</c:v>
                </c:pt>
                <c:pt idx="274">
                  <c:v>275.54278416347387</c:v>
                </c:pt>
                <c:pt idx="275">
                  <c:v>276.50063856960406</c:v>
                </c:pt>
                <c:pt idx="276">
                  <c:v>277.77777777777777</c:v>
                </c:pt>
                <c:pt idx="277">
                  <c:v>278.73563218390808</c:v>
                </c:pt>
                <c:pt idx="278">
                  <c:v>279.69348659003828</c:v>
                </c:pt>
                <c:pt idx="279">
                  <c:v>280.65134099616864</c:v>
                </c:pt>
                <c:pt idx="280">
                  <c:v>281.60919540229889</c:v>
                </c:pt>
                <c:pt idx="281">
                  <c:v>282.56704980842909</c:v>
                </c:pt>
                <c:pt idx="282">
                  <c:v>283.52490421455946</c:v>
                </c:pt>
                <c:pt idx="283">
                  <c:v>284.80204342273311</c:v>
                </c:pt>
                <c:pt idx="284">
                  <c:v>285.75989782886336</c:v>
                </c:pt>
                <c:pt idx="285">
                  <c:v>286.71775223499367</c:v>
                </c:pt>
                <c:pt idx="286">
                  <c:v>287.67560664112386</c:v>
                </c:pt>
                <c:pt idx="287">
                  <c:v>288.63346104725417</c:v>
                </c:pt>
                <c:pt idx="288">
                  <c:v>289.59131545338448</c:v>
                </c:pt>
                <c:pt idx="289">
                  <c:v>290.86845466155808</c:v>
                </c:pt>
                <c:pt idx="290">
                  <c:v>291.82630906768844</c:v>
                </c:pt>
                <c:pt idx="291">
                  <c:v>292.78416347381869</c:v>
                </c:pt>
                <c:pt idx="292">
                  <c:v>293.74201787994889</c:v>
                </c:pt>
                <c:pt idx="293">
                  <c:v>294.69987228607926</c:v>
                </c:pt>
                <c:pt idx="294">
                  <c:v>295.65772669220945</c:v>
                </c:pt>
                <c:pt idx="295">
                  <c:v>296.61558109833976</c:v>
                </c:pt>
                <c:pt idx="296">
                  <c:v>297.89272030651347</c:v>
                </c:pt>
                <c:pt idx="297">
                  <c:v>298.85057471264366</c:v>
                </c:pt>
                <c:pt idx="298">
                  <c:v>299.80842911877397</c:v>
                </c:pt>
                <c:pt idx="299">
                  <c:v>300.76628352490428</c:v>
                </c:pt>
                <c:pt idx="300">
                  <c:v>301.72413793103448</c:v>
                </c:pt>
                <c:pt idx="301">
                  <c:v>302.68199233716479</c:v>
                </c:pt>
                <c:pt idx="302">
                  <c:v>303.63984674329504</c:v>
                </c:pt>
                <c:pt idx="303">
                  <c:v>304.91698595146869</c:v>
                </c:pt>
                <c:pt idx="304">
                  <c:v>305.87484035759906</c:v>
                </c:pt>
                <c:pt idx="305">
                  <c:v>306.83269476372925</c:v>
                </c:pt>
                <c:pt idx="306">
                  <c:v>307.79054916985956</c:v>
                </c:pt>
                <c:pt idx="307">
                  <c:v>308.74840357598987</c:v>
                </c:pt>
                <c:pt idx="308">
                  <c:v>309.70625798212006</c:v>
                </c:pt>
                <c:pt idx="309">
                  <c:v>310.98339719029377</c:v>
                </c:pt>
                <c:pt idx="310">
                  <c:v>311.94125159642402</c:v>
                </c:pt>
                <c:pt idx="311">
                  <c:v>312.89910600255428</c:v>
                </c:pt>
                <c:pt idx="312">
                  <c:v>313.85696040868459</c:v>
                </c:pt>
                <c:pt idx="313">
                  <c:v>314.81481481481484</c:v>
                </c:pt>
                <c:pt idx="314">
                  <c:v>315.77266922094509</c:v>
                </c:pt>
                <c:pt idx="315">
                  <c:v>316.73052362707546</c:v>
                </c:pt>
                <c:pt idx="316">
                  <c:v>318.00766283524905</c:v>
                </c:pt>
                <c:pt idx="317">
                  <c:v>318.96551724137936</c:v>
                </c:pt>
                <c:pt idx="318">
                  <c:v>319.92337164750967</c:v>
                </c:pt>
                <c:pt idx="319">
                  <c:v>320.88122605363981</c:v>
                </c:pt>
                <c:pt idx="320">
                  <c:v>321.83908045977017</c:v>
                </c:pt>
                <c:pt idx="321">
                  <c:v>322.79693486590037</c:v>
                </c:pt>
                <c:pt idx="322">
                  <c:v>323.75478927203068</c:v>
                </c:pt>
                <c:pt idx="323">
                  <c:v>325.03192848020439</c:v>
                </c:pt>
                <c:pt idx="324">
                  <c:v>325.98978288633464</c:v>
                </c:pt>
                <c:pt idx="325">
                  <c:v>326.94763729246489</c:v>
                </c:pt>
                <c:pt idx="326">
                  <c:v>327.90549169859526</c:v>
                </c:pt>
                <c:pt idx="327">
                  <c:v>328.86334610472545</c:v>
                </c:pt>
                <c:pt idx="328">
                  <c:v>329.8212005108557</c:v>
                </c:pt>
                <c:pt idx="329">
                  <c:v>331.09833971902947</c:v>
                </c:pt>
                <c:pt idx="330">
                  <c:v>332.05619412515961</c:v>
                </c:pt>
                <c:pt idx="331">
                  <c:v>333.01404853128997</c:v>
                </c:pt>
                <c:pt idx="332">
                  <c:v>333.97190293742017</c:v>
                </c:pt>
                <c:pt idx="333">
                  <c:v>334.92975734355048</c:v>
                </c:pt>
                <c:pt idx="334">
                  <c:v>335.88761174968079</c:v>
                </c:pt>
                <c:pt idx="335">
                  <c:v>336.84546615581104</c:v>
                </c:pt>
                <c:pt idx="336">
                  <c:v>338.12260536398469</c:v>
                </c:pt>
                <c:pt idx="337">
                  <c:v>339.08045977011506</c:v>
                </c:pt>
                <c:pt idx="338">
                  <c:v>340.03831417624525</c:v>
                </c:pt>
                <c:pt idx="339">
                  <c:v>340.9961685823755</c:v>
                </c:pt>
                <c:pt idx="340">
                  <c:v>341.95402298850576</c:v>
                </c:pt>
                <c:pt idx="341">
                  <c:v>342.91187739463601</c:v>
                </c:pt>
                <c:pt idx="342">
                  <c:v>343.86973180076637</c:v>
                </c:pt>
                <c:pt idx="343">
                  <c:v>345.14687100893997</c:v>
                </c:pt>
                <c:pt idx="344">
                  <c:v>346.10472541507028</c:v>
                </c:pt>
                <c:pt idx="345">
                  <c:v>347.06257982120059</c:v>
                </c:pt>
                <c:pt idx="346">
                  <c:v>348.02043422733084</c:v>
                </c:pt>
                <c:pt idx="347">
                  <c:v>348.97828863346109</c:v>
                </c:pt>
                <c:pt idx="348">
                  <c:v>349.93614303959129</c:v>
                </c:pt>
                <c:pt idx="349">
                  <c:v>351.21328224776505</c:v>
                </c:pt>
                <c:pt idx="350">
                  <c:v>352.1711366538953</c:v>
                </c:pt>
                <c:pt idx="351">
                  <c:v>353.12899106002556</c:v>
                </c:pt>
                <c:pt idx="352">
                  <c:v>354.08684546615581</c:v>
                </c:pt>
                <c:pt idx="353">
                  <c:v>355.04469987228617</c:v>
                </c:pt>
                <c:pt idx="354">
                  <c:v>356.00255427841637</c:v>
                </c:pt>
                <c:pt idx="355">
                  <c:v>356.96040868454662</c:v>
                </c:pt>
                <c:pt idx="356">
                  <c:v>358.23754789272039</c:v>
                </c:pt>
                <c:pt idx="357">
                  <c:v>359.19540229885058</c:v>
                </c:pt>
                <c:pt idx="358">
                  <c:v>360.15325670498089</c:v>
                </c:pt>
                <c:pt idx="359">
                  <c:v>361.11111111111109</c:v>
                </c:pt>
                <c:pt idx="360">
                  <c:v>362.06896551724145</c:v>
                </c:pt>
                <c:pt idx="361">
                  <c:v>363.0268199233717</c:v>
                </c:pt>
                <c:pt idx="362">
                  <c:v>364.30395913154535</c:v>
                </c:pt>
                <c:pt idx="363">
                  <c:v>365.26181353767561</c:v>
                </c:pt>
                <c:pt idx="364">
                  <c:v>366.21966794380597</c:v>
                </c:pt>
                <c:pt idx="365">
                  <c:v>367.17752234993617</c:v>
                </c:pt>
                <c:pt idx="366">
                  <c:v>368.13537675606642</c:v>
                </c:pt>
                <c:pt idx="367">
                  <c:v>369.09323116219667</c:v>
                </c:pt>
                <c:pt idx="368">
                  <c:v>370.05108556832698</c:v>
                </c:pt>
                <c:pt idx="369">
                  <c:v>371.32822477650069</c:v>
                </c:pt>
                <c:pt idx="370">
                  <c:v>372.28607918263089</c:v>
                </c:pt>
                <c:pt idx="371">
                  <c:v>373.24393358876125</c:v>
                </c:pt>
                <c:pt idx="372">
                  <c:v>374.2017879948915</c:v>
                </c:pt>
                <c:pt idx="373">
                  <c:v>375.15964240102176</c:v>
                </c:pt>
                <c:pt idx="374">
                  <c:v>376.11749680715201</c:v>
                </c:pt>
                <c:pt idx="375">
                  <c:v>377.0753512132822</c:v>
                </c:pt>
                <c:pt idx="376">
                  <c:v>378.35249042145597</c:v>
                </c:pt>
                <c:pt idx="377">
                  <c:v>379.31034482758622</c:v>
                </c:pt>
                <c:pt idx="378">
                  <c:v>380.26819923371647</c:v>
                </c:pt>
                <c:pt idx="379">
                  <c:v>381.22605363984678</c:v>
                </c:pt>
                <c:pt idx="380">
                  <c:v>382.18390804597709</c:v>
                </c:pt>
                <c:pt idx="381">
                  <c:v>383.14176245210729</c:v>
                </c:pt>
                <c:pt idx="382">
                  <c:v>384.41890166028099</c:v>
                </c:pt>
                <c:pt idx="383">
                  <c:v>385.3767560664113</c:v>
                </c:pt>
                <c:pt idx="384">
                  <c:v>386.33461047254156</c:v>
                </c:pt>
                <c:pt idx="385">
                  <c:v>387.29246487867181</c:v>
                </c:pt>
                <c:pt idx="386">
                  <c:v>388.250319284802</c:v>
                </c:pt>
                <c:pt idx="387">
                  <c:v>389.20817369093237</c:v>
                </c:pt>
                <c:pt idx="388">
                  <c:v>390.16602809706262</c:v>
                </c:pt>
                <c:pt idx="389">
                  <c:v>391.44316730523627</c:v>
                </c:pt>
                <c:pt idx="390">
                  <c:v>392.40102171136658</c:v>
                </c:pt>
                <c:pt idx="391">
                  <c:v>393.35887611749689</c:v>
                </c:pt>
                <c:pt idx="392">
                  <c:v>394.31673052362709</c:v>
                </c:pt>
                <c:pt idx="393">
                  <c:v>395.27458492975734</c:v>
                </c:pt>
                <c:pt idx="394">
                  <c:v>396.23243933588759</c:v>
                </c:pt>
                <c:pt idx="395">
                  <c:v>397.1902937420179</c:v>
                </c:pt>
                <c:pt idx="396">
                  <c:v>398.46743295019161</c:v>
                </c:pt>
                <c:pt idx="397">
                  <c:v>399.4252873563218</c:v>
                </c:pt>
                <c:pt idx="398">
                  <c:v>400.38314176245217</c:v>
                </c:pt>
                <c:pt idx="399">
                  <c:v>401.34099616858242</c:v>
                </c:pt>
                <c:pt idx="400">
                  <c:v>402.29885057471267</c:v>
                </c:pt>
                <c:pt idx="401">
                  <c:v>403.25670498084298</c:v>
                </c:pt>
                <c:pt idx="402">
                  <c:v>404.53384418901669</c:v>
                </c:pt>
                <c:pt idx="403">
                  <c:v>405.49169859514689</c:v>
                </c:pt>
                <c:pt idx="404">
                  <c:v>406.44955300127714</c:v>
                </c:pt>
                <c:pt idx="405">
                  <c:v>407.40740740740739</c:v>
                </c:pt>
                <c:pt idx="406">
                  <c:v>408.3652618135377</c:v>
                </c:pt>
                <c:pt idx="407">
                  <c:v>409.32311621966801</c:v>
                </c:pt>
                <c:pt idx="408">
                  <c:v>410.2809706257982</c:v>
                </c:pt>
                <c:pt idx="409">
                  <c:v>411.55810983397197</c:v>
                </c:pt>
                <c:pt idx="410">
                  <c:v>412.51596424010222</c:v>
                </c:pt>
                <c:pt idx="411">
                  <c:v>413.47381864623247</c:v>
                </c:pt>
                <c:pt idx="412">
                  <c:v>414.43167305236278</c:v>
                </c:pt>
                <c:pt idx="413">
                  <c:v>415.38952745849292</c:v>
                </c:pt>
                <c:pt idx="414">
                  <c:v>416.34738186462329</c:v>
                </c:pt>
                <c:pt idx="415">
                  <c:v>417.30523627075354</c:v>
                </c:pt>
                <c:pt idx="416">
                  <c:v>418.58237547892719</c:v>
                </c:pt>
                <c:pt idx="417">
                  <c:v>419.5402298850575</c:v>
                </c:pt>
                <c:pt idx="418">
                  <c:v>420.49808429118781</c:v>
                </c:pt>
                <c:pt idx="419">
                  <c:v>421.455938697318</c:v>
                </c:pt>
                <c:pt idx="420">
                  <c:v>422.41379310344837</c:v>
                </c:pt>
                <c:pt idx="421">
                  <c:v>423.37164750957857</c:v>
                </c:pt>
                <c:pt idx="422">
                  <c:v>424.64878671775227</c:v>
                </c:pt>
                <c:pt idx="423">
                  <c:v>425.60664112388258</c:v>
                </c:pt>
                <c:pt idx="424">
                  <c:v>426.56449553001272</c:v>
                </c:pt>
                <c:pt idx="425">
                  <c:v>427.52234993614309</c:v>
                </c:pt>
                <c:pt idx="426">
                  <c:v>428.48020434227334</c:v>
                </c:pt>
                <c:pt idx="427">
                  <c:v>429.43805874840359</c:v>
                </c:pt>
                <c:pt idx="428">
                  <c:v>430.3959131545339</c:v>
                </c:pt>
                <c:pt idx="429">
                  <c:v>431.67305236270761</c:v>
                </c:pt>
                <c:pt idx="430">
                  <c:v>432.6309067688378</c:v>
                </c:pt>
                <c:pt idx="431">
                  <c:v>433.58876117496811</c:v>
                </c:pt>
                <c:pt idx="432">
                  <c:v>434.54661558109837</c:v>
                </c:pt>
                <c:pt idx="433">
                  <c:v>435.50446998722862</c:v>
                </c:pt>
                <c:pt idx="434">
                  <c:v>436.46232439335898</c:v>
                </c:pt>
                <c:pt idx="435">
                  <c:v>437.73946360153252</c:v>
                </c:pt>
                <c:pt idx="436">
                  <c:v>438.69731800766289</c:v>
                </c:pt>
                <c:pt idx="437">
                  <c:v>439.65517241379314</c:v>
                </c:pt>
                <c:pt idx="438">
                  <c:v>440.61302681992339</c:v>
                </c:pt>
                <c:pt idx="439">
                  <c:v>441.5708812260537</c:v>
                </c:pt>
                <c:pt idx="440">
                  <c:v>442.5287356321839</c:v>
                </c:pt>
                <c:pt idx="441">
                  <c:v>443.4865900383142</c:v>
                </c:pt>
                <c:pt idx="442">
                  <c:v>444.76372924648791</c:v>
                </c:pt>
                <c:pt idx="443">
                  <c:v>445.72158365261816</c:v>
                </c:pt>
                <c:pt idx="444">
                  <c:v>446.67943805874842</c:v>
                </c:pt>
                <c:pt idx="445">
                  <c:v>447.63729246487878</c:v>
                </c:pt>
                <c:pt idx="446">
                  <c:v>448.59514687100892</c:v>
                </c:pt>
                <c:pt idx="447">
                  <c:v>449.55300127713929</c:v>
                </c:pt>
                <c:pt idx="448">
                  <c:v>450.51085568326948</c:v>
                </c:pt>
                <c:pt idx="449">
                  <c:v>451.78799489144319</c:v>
                </c:pt>
                <c:pt idx="450">
                  <c:v>452.7458492975735</c:v>
                </c:pt>
                <c:pt idx="451">
                  <c:v>453.7037037037037</c:v>
                </c:pt>
                <c:pt idx="452">
                  <c:v>454.661558109834</c:v>
                </c:pt>
                <c:pt idx="453">
                  <c:v>455.61941251596431</c:v>
                </c:pt>
                <c:pt idx="454">
                  <c:v>456.57726692209457</c:v>
                </c:pt>
                <c:pt idx="455">
                  <c:v>457.85440613026822</c:v>
                </c:pt>
                <c:pt idx="456">
                  <c:v>458.81226053639858</c:v>
                </c:pt>
                <c:pt idx="457">
                  <c:v>459.77011494252872</c:v>
                </c:pt>
                <c:pt idx="458">
                  <c:v>460.72796934865909</c:v>
                </c:pt>
                <c:pt idx="459">
                  <c:v>461.68582375478928</c:v>
                </c:pt>
                <c:pt idx="460">
                  <c:v>462.64367816091954</c:v>
                </c:pt>
                <c:pt idx="461">
                  <c:v>463.6015325670499</c:v>
                </c:pt>
                <c:pt idx="462">
                  <c:v>464.87867177522349</c:v>
                </c:pt>
                <c:pt idx="463">
                  <c:v>465.8365261813538</c:v>
                </c:pt>
                <c:pt idx="464">
                  <c:v>466.79438058748411</c:v>
                </c:pt>
                <c:pt idx="465">
                  <c:v>467.75223499361437</c:v>
                </c:pt>
                <c:pt idx="466">
                  <c:v>468.71008939974462</c:v>
                </c:pt>
                <c:pt idx="467">
                  <c:v>469.66794380587487</c:v>
                </c:pt>
                <c:pt idx="468">
                  <c:v>470.62579821200512</c:v>
                </c:pt>
                <c:pt idx="469">
                  <c:v>471.90293742017889</c:v>
                </c:pt>
                <c:pt idx="470">
                  <c:v>472.86079182630908</c:v>
                </c:pt>
                <c:pt idx="471">
                  <c:v>473.81864623243933</c:v>
                </c:pt>
                <c:pt idx="472">
                  <c:v>474.7765006385697</c:v>
                </c:pt>
                <c:pt idx="473">
                  <c:v>475.7343550446999</c:v>
                </c:pt>
                <c:pt idx="474">
                  <c:v>476.69220945083021</c:v>
                </c:pt>
                <c:pt idx="475">
                  <c:v>477.96934865900391</c:v>
                </c:pt>
                <c:pt idx="476">
                  <c:v>478.92720306513417</c:v>
                </c:pt>
                <c:pt idx="477">
                  <c:v>479.88505747126442</c:v>
                </c:pt>
                <c:pt idx="478">
                  <c:v>480.84291187739461</c:v>
                </c:pt>
                <c:pt idx="479">
                  <c:v>481.80076628352492</c:v>
                </c:pt>
                <c:pt idx="480">
                  <c:v>482.75862068965523</c:v>
                </c:pt>
                <c:pt idx="481">
                  <c:v>483.71647509578548</c:v>
                </c:pt>
                <c:pt idx="482">
                  <c:v>484.99361430395913</c:v>
                </c:pt>
                <c:pt idx="483">
                  <c:v>485.9514687100895</c:v>
                </c:pt>
                <c:pt idx="484">
                  <c:v>486.9093231162197</c:v>
                </c:pt>
                <c:pt idx="485">
                  <c:v>487.86717752235</c:v>
                </c:pt>
                <c:pt idx="486">
                  <c:v>488.8250319284802</c:v>
                </c:pt>
                <c:pt idx="487">
                  <c:v>489.78288633461051</c:v>
                </c:pt>
                <c:pt idx="488">
                  <c:v>490.74074074074082</c:v>
                </c:pt>
                <c:pt idx="489">
                  <c:v>492.01787994891441</c:v>
                </c:pt>
                <c:pt idx="490">
                  <c:v>492.97573435504472</c:v>
                </c:pt>
                <c:pt idx="491">
                  <c:v>493.93358876117503</c:v>
                </c:pt>
                <c:pt idx="492">
                  <c:v>494.89144316730528</c:v>
                </c:pt>
                <c:pt idx="493">
                  <c:v>495.84929757343554</c:v>
                </c:pt>
                <c:pt idx="494">
                  <c:v>496.80715197956579</c:v>
                </c:pt>
                <c:pt idx="495">
                  <c:v>498.0842911877395</c:v>
                </c:pt>
                <c:pt idx="496">
                  <c:v>499.0421455938698</c:v>
                </c:pt>
                <c:pt idx="497">
                  <c:v>500</c:v>
                </c:pt>
                <c:pt idx="498">
                  <c:v>498.79807692307696</c:v>
                </c:pt>
                <c:pt idx="499">
                  <c:v>500</c:v>
                </c:pt>
                <c:pt idx="500">
                  <c:v>500</c:v>
                </c:pt>
              </c:numCache>
            </c:numRef>
          </c:xVal>
          <c:yVal>
            <c:numRef>
              <c:f>'sheet 1'!$T$39:$T$841</c:f>
              <c:numCache>
                <c:formatCode>General</c:formatCode>
                <c:ptCount val="803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50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50</c:v>
                </c:pt>
                <c:pt idx="47">
                  <c:v>50</c:v>
                </c:pt>
                <c:pt idx="48">
                  <c:v>50</c:v>
                </c:pt>
                <c:pt idx="49">
                  <c:v>50</c:v>
                </c:pt>
                <c:pt idx="50">
                  <c:v>50</c:v>
                </c:pt>
                <c:pt idx="51">
                  <c:v>50</c:v>
                </c:pt>
                <c:pt idx="52">
                  <c:v>50</c:v>
                </c:pt>
                <c:pt idx="53">
                  <c:v>50</c:v>
                </c:pt>
                <c:pt idx="54">
                  <c:v>50</c:v>
                </c:pt>
                <c:pt idx="55">
                  <c:v>50</c:v>
                </c:pt>
                <c:pt idx="56">
                  <c:v>50</c:v>
                </c:pt>
                <c:pt idx="57">
                  <c:v>50</c:v>
                </c:pt>
                <c:pt idx="58">
                  <c:v>50</c:v>
                </c:pt>
                <c:pt idx="59">
                  <c:v>50</c:v>
                </c:pt>
                <c:pt idx="60">
                  <c:v>50</c:v>
                </c:pt>
                <c:pt idx="61">
                  <c:v>50</c:v>
                </c:pt>
                <c:pt idx="62">
                  <c:v>50</c:v>
                </c:pt>
                <c:pt idx="63">
                  <c:v>50</c:v>
                </c:pt>
                <c:pt idx="64">
                  <c:v>50</c:v>
                </c:pt>
                <c:pt idx="65">
                  <c:v>50</c:v>
                </c:pt>
                <c:pt idx="66">
                  <c:v>50</c:v>
                </c:pt>
                <c:pt idx="67">
                  <c:v>50</c:v>
                </c:pt>
                <c:pt idx="68">
                  <c:v>50</c:v>
                </c:pt>
                <c:pt idx="69">
                  <c:v>50</c:v>
                </c:pt>
                <c:pt idx="70">
                  <c:v>50</c:v>
                </c:pt>
                <c:pt idx="71">
                  <c:v>50</c:v>
                </c:pt>
                <c:pt idx="72">
                  <c:v>50</c:v>
                </c:pt>
                <c:pt idx="73">
                  <c:v>50</c:v>
                </c:pt>
                <c:pt idx="74">
                  <c:v>50</c:v>
                </c:pt>
                <c:pt idx="75">
                  <c:v>50</c:v>
                </c:pt>
                <c:pt idx="76">
                  <c:v>50</c:v>
                </c:pt>
                <c:pt idx="77">
                  <c:v>50</c:v>
                </c:pt>
                <c:pt idx="78">
                  <c:v>50</c:v>
                </c:pt>
                <c:pt idx="79">
                  <c:v>50</c:v>
                </c:pt>
                <c:pt idx="80">
                  <c:v>50</c:v>
                </c:pt>
                <c:pt idx="81">
                  <c:v>50</c:v>
                </c:pt>
                <c:pt idx="82">
                  <c:v>50</c:v>
                </c:pt>
                <c:pt idx="83">
                  <c:v>50</c:v>
                </c:pt>
                <c:pt idx="84">
                  <c:v>50</c:v>
                </c:pt>
                <c:pt idx="85">
                  <c:v>50</c:v>
                </c:pt>
                <c:pt idx="86">
                  <c:v>50</c:v>
                </c:pt>
                <c:pt idx="87">
                  <c:v>50</c:v>
                </c:pt>
                <c:pt idx="88">
                  <c:v>50</c:v>
                </c:pt>
                <c:pt idx="89">
                  <c:v>50</c:v>
                </c:pt>
                <c:pt idx="90">
                  <c:v>50</c:v>
                </c:pt>
                <c:pt idx="91">
                  <c:v>50</c:v>
                </c:pt>
                <c:pt idx="92">
                  <c:v>50</c:v>
                </c:pt>
                <c:pt idx="93">
                  <c:v>50</c:v>
                </c:pt>
                <c:pt idx="94">
                  <c:v>50</c:v>
                </c:pt>
                <c:pt idx="95">
                  <c:v>50</c:v>
                </c:pt>
                <c:pt idx="96">
                  <c:v>50</c:v>
                </c:pt>
                <c:pt idx="97">
                  <c:v>50</c:v>
                </c:pt>
                <c:pt idx="98">
                  <c:v>50</c:v>
                </c:pt>
                <c:pt idx="99">
                  <c:v>50</c:v>
                </c:pt>
                <c:pt idx="100">
                  <c:v>50</c:v>
                </c:pt>
                <c:pt idx="101">
                  <c:v>50</c:v>
                </c:pt>
                <c:pt idx="102">
                  <c:v>50</c:v>
                </c:pt>
                <c:pt idx="103">
                  <c:v>50</c:v>
                </c:pt>
                <c:pt idx="104">
                  <c:v>50</c:v>
                </c:pt>
                <c:pt idx="105">
                  <c:v>50</c:v>
                </c:pt>
                <c:pt idx="106">
                  <c:v>50</c:v>
                </c:pt>
                <c:pt idx="107">
                  <c:v>50</c:v>
                </c:pt>
                <c:pt idx="108">
                  <c:v>50</c:v>
                </c:pt>
                <c:pt idx="109">
                  <c:v>50</c:v>
                </c:pt>
                <c:pt idx="110">
                  <c:v>50</c:v>
                </c:pt>
                <c:pt idx="111">
                  <c:v>50</c:v>
                </c:pt>
                <c:pt idx="112">
                  <c:v>50</c:v>
                </c:pt>
                <c:pt idx="113">
                  <c:v>50</c:v>
                </c:pt>
                <c:pt idx="114">
                  <c:v>50</c:v>
                </c:pt>
                <c:pt idx="115">
                  <c:v>50</c:v>
                </c:pt>
                <c:pt idx="116">
                  <c:v>50</c:v>
                </c:pt>
                <c:pt idx="117">
                  <c:v>50</c:v>
                </c:pt>
                <c:pt idx="118">
                  <c:v>50</c:v>
                </c:pt>
                <c:pt idx="119">
                  <c:v>50</c:v>
                </c:pt>
                <c:pt idx="120">
                  <c:v>50</c:v>
                </c:pt>
                <c:pt idx="121">
                  <c:v>50</c:v>
                </c:pt>
                <c:pt idx="122">
                  <c:v>50</c:v>
                </c:pt>
                <c:pt idx="123">
                  <c:v>50</c:v>
                </c:pt>
                <c:pt idx="124">
                  <c:v>50</c:v>
                </c:pt>
                <c:pt idx="125">
                  <c:v>50</c:v>
                </c:pt>
                <c:pt idx="126">
                  <c:v>50</c:v>
                </c:pt>
                <c:pt idx="127">
                  <c:v>50</c:v>
                </c:pt>
                <c:pt idx="128">
                  <c:v>50</c:v>
                </c:pt>
                <c:pt idx="129">
                  <c:v>50</c:v>
                </c:pt>
                <c:pt idx="130">
                  <c:v>50</c:v>
                </c:pt>
                <c:pt idx="131">
                  <c:v>50</c:v>
                </c:pt>
                <c:pt idx="132">
                  <c:v>50</c:v>
                </c:pt>
                <c:pt idx="133">
                  <c:v>50</c:v>
                </c:pt>
                <c:pt idx="134">
                  <c:v>50</c:v>
                </c:pt>
                <c:pt idx="135">
                  <c:v>50</c:v>
                </c:pt>
                <c:pt idx="136">
                  <c:v>50</c:v>
                </c:pt>
                <c:pt idx="137">
                  <c:v>50</c:v>
                </c:pt>
                <c:pt idx="138">
                  <c:v>50</c:v>
                </c:pt>
                <c:pt idx="139">
                  <c:v>50</c:v>
                </c:pt>
                <c:pt idx="140">
                  <c:v>50</c:v>
                </c:pt>
                <c:pt idx="141">
                  <c:v>50</c:v>
                </c:pt>
                <c:pt idx="142">
                  <c:v>50</c:v>
                </c:pt>
                <c:pt idx="143">
                  <c:v>50</c:v>
                </c:pt>
                <c:pt idx="144">
                  <c:v>50</c:v>
                </c:pt>
                <c:pt idx="145">
                  <c:v>50</c:v>
                </c:pt>
                <c:pt idx="146">
                  <c:v>50</c:v>
                </c:pt>
                <c:pt idx="147">
                  <c:v>50</c:v>
                </c:pt>
                <c:pt idx="148">
                  <c:v>50</c:v>
                </c:pt>
                <c:pt idx="149">
                  <c:v>50</c:v>
                </c:pt>
                <c:pt idx="150">
                  <c:v>50</c:v>
                </c:pt>
                <c:pt idx="151">
                  <c:v>50</c:v>
                </c:pt>
                <c:pt idx="152">
                  <c:v>50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50</c:v>
                </c:pt>
                <c:pt idx="158">
                  <c:v>50</c:v>
                </c:pt>
                <c:pt idx="159">
                  <c:v>50</c:v>
                </c:pt>
                <c:pt idx="160">
                  <c:v>50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50</c:v>
                </c:pt>
                <c:pt idx="167">
                  <c:v>50</c:v>
                </c:pt>
                <c:pt idx="168">
                  <c:v>50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50</c:v>
                </c:pt>
                <c:pt idx="173">
                  <c:v>50</c:v>
                </c:pt>
                <c:pt idx="174">
                  <c:v>50</c:v>
                </c:pt>
                <c:pt idx="175">
                  <c:v>50</c:v>
                </c:pt>
                <c:pt idx="176">
                  <c:v>50</c:v>
                </c:pt>
                <c:pt idx="177">
                  <c:v>50</c:v>
                </c:pt>
                <c:pt idx="178">
                  <c:v>50</c:v>
                </c:pt>
                <c:pt idx="179">
                  <c:v>50</c:v>
                </c:pt>
                <c:pt idx="180">
                  <c:v>50</c:v>
                </c:pt>
                <c:pt idx="181">
                  <c:v>50</c:v>
                </c:pt>
                <c:pt idx="182">
                  <c:v>50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50</c:v>
                </c:pt>
                <c:pt idx="188">
                  <c:v>50</c:v>
                </c:pt>
                <c:pt idx="189">
                  <c:v>50</c:v>
                </c:pt>
                <c:pt idx="190">
                  <c:v>50</c:v>
                </c:pt>
                <c:pt idx="191">
                  <c:v>50</c:v>
                </c:pt>
                <c:pt idx="192">
                  <c:v>50</c:v>
                </c:pt>
                <c:pt idx="193">
                  <c:v>50</c:v>
                </c:pt>
                <c:pt idx="194">
                  <c:v>50</c:v>
                </c:pt>
                <c:pt idx="195">
                  <c:v>50</c:v>
                </c:pt>
                <c:pt idx="196">
                  <c:v>50</c:v>
                </c:pt>
                <c:pt idx="197">
                  <c:v>50</c:v>
                </c:pt>
                <c:pt idx="198">
                  <c:v>50</c:v>
                </c:pt>
                <c:pt idx="199">
                  <c:v>50</c:v>
                </c:pt>
                <c:pt idx="200">
                  <c:v>50</c:v>
                </c:pt>
                <c:pt idx="201">
                  <c:v>50</c:v>
                </c:pt>
                <c:pt idx="202">
                  <c:v>50</c:v>
                </c:pt>
                <c:pt idx="203">
                  <c:v>50</c:v>
                </c:pt>
                <c:pt idx="204">
                  <c:v>50</c:v>
                </c:pt>
                <c:pt idx="205">
                  <c:v>50</c:v>
                </c:pt>
                <c:pt idx="206">
                  <c:v>50</c:v>
                </c:pt>
                <c:pt idx="207">
                  <c:v>50</c:v>
                </c:pt>
                <c:pt idx="208">
                  <c:v>50</c:v>
                </c:pt>
                <c:pt idx="209">
                  <c:v>50</c:v>
                </c:pt>
                <c:pt idx="210">
                  <c:v>50</c:v>
                </c:pt>
                <c:pt idx="211">
                  <c:v>50</c:v>
                </c:pt>
                <c:pt idx="212">
                  <c:v>50</c:v>
                </c:pt>
                <c:pt idx="213">
                  <c:v>50</c:v>
                </c:pt>
                <c:pt idx="214">
                  <c:v>50</c:v>
                </c:pt>
                <c:pt idx="215">
                  <c:v>50</c:v>
                </c:pt>
                <c:pt idx="216">
                  <c:v>50</c:v>
                </c:pt>
                <c:pt idx="217">
                  <c:v>50</c:v>
                </c:pt>
                <c:pt idx="218">
                  <c:v>50</c:v>
                </c:pt>
                <c:pt idx="219">
                  <c:v>50</c:v>
                </c:pt>
                <c:pt idx="220">
                  <c:v>50</c:v>
                </c:pt>
                <c:pt idx="221">
                  <c:v>50</c:v>
                </c:pt>
                <c:pt idx="222">
                  <c:v>50</c:v>
                </c:pt>
                <c:pt idx="223">
                  <c:v>50</c:v>
                </c:pt>
                <c:pt idx="224">
                  <c:v>50</c:v>
                </c:pt>
                <c:pt idx="225">
                  <c:v>50</c:v>
                </c:pt>
                <c:pt idx="226">
                  <c:v>50</c:v>
                </c:pt>
                <c:pt idx="227">
                  <c:v>50</c:v>
                </c:pt>
                <c:pt idx="228">
                  <c:v>50</c:v>
                </c:pt>
                <c:pt idx="229">
                  <c:v>50</c:v>
                </c:pt>
                <c:pt idx="230">
                  <c:v>50</c:v>
                </c:pt>
                <c:pt idx="231">
                  <c:v>50</c:v>
                </c:pt>
                <c:pt idx="232">
                  <c:v>50</c:v>
                </c:pt>
                <c:pt idx="233">
                  <c:v>50</c:v>
                </c:pt>
                <c:pt idx="234">
                  <c:v>50</c:v>
                </c:pt>
                <c:pt idx="235">
                  <c:v>50</c:v>
                </c:pt>
                <c:pt idx="236">
                  <c:v>50</c:v>
                </c:pt>
                <c:pt idx="237">
                  <c:v>50</c:v>
                </c:pt>
                <c:pt idx="238">
                  <c:v>50</c:v>
                </c:pt>
                <c:pt idx="239">
                  <c:v>50</c:v>
                </c:pt>
                <c:pt idx="240">
                  <c:v>50</c:v>
                </c:pt>
                <c:pt idx="241">
                  <c:v>50</c:v>
                </c:pt>
                <c:pt idx="242">
                  <c:v>50</c:v>
                </c:pt>
                <c:pt idx="243">
                  <c:v>50</c:v>
                </c:pt>
                <c:pt idx="244">
                  <c:v>50</c:v>
                </c:pt>
                <c:pt idx="245">
                  <c:v>50</c:v>
                </c:pt>
                <c:pt idx="246">
                  <c:v>50</c:v>
                </c:pt>
                <c:pt idx="247">
                  <c:v>50</c:v>
                </c:pt>
                <c:pt idx="248">
                  <c:v>50</c:v>
                </c:pt>
                <c:pt idx="249">
                  <c:v>50</c:v>
                </c:pt>
                <c:pt idx="250">
                  <c:v>50</c:v>
                </c:pt>
                <c:pt idx="251">
                  <c:v>50</c:v>
                </c:pt>
                <c:pt idx="252">
                  <c:v>50</c:v>
                </c:pt>
                <c:pt idx="253">
                  <c:v>50</c:v>
                </c:pt>
                <c:pt idx="254">
                  <c:v>50</c:v>
                </c:pt>
                <c:pt idx="255">
                  <c:v>50</c:v>
                </c:pt>
                <c:pt idx="256">
                  <c:v>50</c:v>
                </c:pt>
                <c:pt idx="257">
                  <c:v>50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50</c:v>
                </c:pt>
                <c:pt idx="265">
                  <c:v>50</c:v>
                </c:pt>
                <c:pt idx="266">
                  <c:v>50</c:v>
                </c:pt>
                <c:pt idx="267">
                  <c:v>50</c:v>
                </c:pt>
                <c:pt idx="268">
                  <c:v>50</c:v>
                </c:pt>
                <c:pt idx="269">
                  <c:v>50</c:v>
                </c:pt>
                <c:pt idx="270">
                  <c:v>50</c:v>
                </c:pt>
                <c:pt idx="271">
                  <c:v>50</c:v>
                </c:pt>
                <c:pt idx="272">
                  <c:v>50</c:v>
                </c:pt>
                <c:pt idx="273">
                  <c:v>50</c:v>
                </c:pt>
                <c:pt idx="274">
                  <c:v>50</c:v>
                </c:pt>
                <c:pt idx="275">
                  <c:v>50</c:v>
                </c:pt>
                <c:pt idx="276">
                  <c:v>50</c:v>
                </c:pt>
                <c:pt idx="277">
                  <c:v>50</c:v>
                </c:pt>
                <c:pt idx="278">
                  <c:v>50</c:v>
                </c:pt>
                <c:pt idx="279">
                  <c:v>50</c:v>
                </c:pt>
                <c:pt idx="280">
                  <c:v>50</c:v>
                </c:pt>
                <c:pt idx="281">
                  <c:v>50</c:v>
                </c:pt>
                <c:pt idx="282">
                  <c:v>50</c:v>
                </c:pt>
                <c:pt idx="283">
                  <c:v>50</c:v>
                </c:pt>
                <c:pt idx="284">
                  <c:v>50</c:v>
                </c:pt>
                <c:pt idx="285">
                  <c:v>50</c:v>
                </c:pt>
                <c:pt idx="286">
                  <c:v>50</c:v>
                </c:pt>
                <c:pt idx="287">
                  <c:v>50</c:v>
                </c:pt>
                <c:pt idx="288">
                  <c:v>50</c:v>
                </c:pt>
                <c:pt idx="289">
                  <c:v>50</c:v>
                </c:pt>
                <c:pt idx="290">
                  <c:v>50</c:v>
                </c:pt>
                <c:pt idx="291">
                  <c:v>50</c:v>
                </c:pt>
                <c:pt idx="292">
                  <c:v>50</c:v>
                </c:pt>
                <c:pt idx="293">
                  <c:v>50</c:v>
                </c:pt>
                <c:pt idx="294">
                  <c:v>50</c:v>
                </c:pt>
                <c:pt idx="295">
                  <c:v>50</c:v>
                </c:pt>
                <c:pt idx="296">
                  <c:v>50</c:v>
                </c:pt>
                <c:pt idx="297">
                  <c:v>50</c:v>
                </c:pt>
                <c:pt idx="298">
                  <c:v>50</c:v>
                </c:pt>
                <c:pt idx="299">
                  <c:v>50</c:v>
                </c:pt>
                <c:pt idx="300">
                  <c:v>50</c:v>
                </c:pt>
                <c:pt idx="301">
                  <c:v>50</c:v>
                </c:pt>
                <c:pt idx="302">
                  <c:v>50</c:v>
                </c:pt>
                <c:pt idx="303">
                  <c:v>50</c:v>
                </c:pt>
                <c:pt idx="304">
                  <c:v>50</c:v>
                </c:pt>
                <c:pt idx="305">
                  <c:v>50</c:v>
                </c:pt>
                <c:pt idx="306">
                  <c:v>50</c:v>
                </c:pt>
                <c:pt idx="307">
                  <c:v>50</c:v>
                </c:pt>
                <c:pt idx="308">
                  <c:v>50</c:v>
                </c:pt>
                <c:pt idx="309">
                  <c:v>50</c:v>
                </c:pt>
                <c:pt idx="310">
                  <c:v>50</c:v>
                </c:pt>
                <c:pt idx="311">
                  <c:v>50</c:v>
                </c:pt>
                <c:pt idx="312">
                  <c:v>50</c:v>
                </c:pt>
                <c:pt idx="313">
                  <c:v>50</c:v>
                </c:pt>
                <c:pt idx="314">
                  <c:v>50</c:v>
                </c:pt>
                <c:pt idx="315">
                  <c:v>50</c:v>
                </c:pt>
                <c:pt idx="316">
                  <c:v>50</c:v>
                </c:pt>
                <c:pt idx="317">
                  <c:v>50</c:v>
                </c:pt>
                <c:pt idx="318">
                  <c:v>50</c:v>
                </c:pt>
                <c:pt idx="319">
                  <c:v>50</c:v>
                </c:pt>
                <c:pt idx="320">
                  <c:v>50</c:v>
                </c:pt>
                <c:pt idx="321">
                  <c:v>50</c:v>
                </c:pt>
                <c:pt idx="322">
                  <c:v>50</c:v>
                </c:pt>
                <c:pt idx="323">
                  <c:v>50</c:v>
                </c:pt>
                <c:pt idx="324">
                  <c:v>50</c:v>
                </c:pt>
                <c:pt idx="325">
                  <c:v>50</c:v>
                </c:pt>
                <c:pt idx="326">
                  <c:v>50</c:v>
                </c:pt>
                <c:pt idx="327">
                  <c:v>50</c:v>
                </c:pt>
                <c:pt idx="328">
                  <c:v>50</c:v>
                </c:pt>
                <c:pt idx="329">
                  <c:v>50</c:v>
                </c:pt>
                <c:pt idx="330">
                  <c:v>50</c:v>
                </c:pt>
                <c:pt idx="331">
                  <c:v>50</c:v>
                </c:pt>
                <c:pt idx="332">
                  <c:v>50</c:v>
                </c:pt>
                <c:pt idx="333">
                  <c:v>50</c:v>
                </c:pt>
                <c:pt idx="334">
                  <c:v>50</c:v>
                </c:pt>
                <c:pt idx="335">
                  <c:v>50</c:v>
                </c:pt>
                <c:pt idx="336">
                  <c:v>50</c:v>
                </c:pt>
                <c:pt idx="337">
                  <c:v>50</c:v>
                </c:pt>
                <c:pt idx="338">
                  <c:v>50</c:v>
                </c:pt>
                <c:pt idx="339">
                  <c:v>50</c:v>
                </c:pt>
                <c:pt idx="340">
                  <c:v>50</c:v>
                </c:pt>
                <c:pt idx="341">
                  <c:v>50</c:v>
                </c:pt>
                <c:pt idx="342">
                  <c:v>50</c:v>
                </c:pt>
                <c:pt idx="343">
                  <c:v>50</c:v>
                </c:pt>
                <c:pt idx="344">
                  <c:v>50</c:v>
                </c:pt>
                <c:pt idx="345">
                  <c:v>50</c:v>
                </c:pt>
                <c:pt idx="346">
                  <c:v>50</c:v>
                </c:pt>
                <c:pt idx="347">
                  <c:v>50</c:v>
                </c:pt>
                <c:pt idx="348">
                  <c:v>50</c:v>
                </c:pt>
                <c:pt idx="349">
                  <c:v>50</c:v>
                </c:pt>
                <c:pt idx="350">
                  <c:v>50</c:v>
                </c:pt>
                <c:pt idx="351">
                  <c:v>50</c:v>
                </c:pt>
                <c:pt idx="352">
                  <c:v>50</c:v>
                </c:pt>
                <c:pt idx="353">
                  <c:v>50</c:v>
                </c:pt>
                <c:pt idx="354">
                  <c:v>50</c:v>
                </c:pt>
                <c:pt idx="355">
                  <c:v>50</c:v>
                </c:pt>
                <c:pt idx="356">
                  <c:v>50</c:v>
                </c:pt>
                <c:pt idx="357">
                  <c:v>50</c:v>
                </c:pt>
                <c:pt idx="358">
                  <c:v>50</c:v>
                </c:pt>
                <c:pt idx="359">
                  <c:v>50</c:v>
                </c:pt>
                <c:pt idx="360">
                  <c:v>50</c:v>
                </c:pt>
                <c:pt idx="361">
                  <c:v>50</c:v>
                </c:pt>
                <c:pt idx="362">
                  <c:v>50</c:v>
                </c:pt>
                <c:pt idx="363">
                  <c:v>50</c:v>
                </c:pt>
                <c:pt idx="364">
                  <c:v>50</c:v>
                </c:pt>
                <c:pt idx="365">
                  <c:v>50</c:v>
                </c:pt>
                <c:pt idx="366">
                  <c:v>50</c:v>
                </c:pt>
                <c:pt idx="367">
                  <c:v>50</c:v>
                </c:pt>
                <c:pt idx="368">
                  <c:v>50</c:v>
                </c:pt>
                <c:pt idx="369">
                  <c:v>50</c:v>
                </c:pt>
                <c:pt idx="370">
                  <c:v>50</c:v>
                </c:pt>
                <c:pt idx="371">
                  <c:v>50</c:v>
                </c:pt>
                <c:pt idx="372">
                  <c:v>50</c:v>
                </c:pt>
                <c:pt idx="373">
                  <c:v>50</c:v>
                </c:pt>
                <c:pt idx="374">
                  <c:v>50</c:v>
                </c:pt>
                <c:pt idx="375">
                  <c:v>50</c:v>
                </c:pt>
                <c:pt idx="376">
                  <c:v>50</c:v>
                </c:pt>
                <c:pt idx="377">
                  <c:v>50</c:v>
                </c:pt>
                <c:pt idx="378">
                  <c:v>50</c:v>
                </c:pt>
                <c:pt idx="379">
                  <c:v>50</c:v>
                </c:pt>
                <c:pt idx="380">
                  <c:v>50</c:v>
                </c:pt>
                <c:pt idx="381">
                  <c:v>50</c:v>
                </c:pt>
                <c:pt idx="382">
                  <c:v>50</c:v>
                </c:pt>
                <c:pt idx="383">
                  <c:v>50</c:v>
                </c:pt>
                <c:pt idx="384">
                  <c:v>50</c:v>
                </c:pt>
                <c:pt idx="385">
                  <c:v>50</c:v>
                </c:pt>
                <c:pt idx="386">
                  <c:v>50</c:v>
                </c:pt>
                <c:pt idx="387">
                  <c:v>50</c:v>
                </c:pt>
                <c:pt idx="388">
                  <c:v>50</c:v>
                </c:pt>
                <c:pt idx="389">
                  <c:v>50</c:v>
                </c:pt>
                <c:pt idx="390">
                  <c:v>50</c:v>
                </c:pt>
                <c:pt idx="391">
                  <c:v>50</c:v>
                </c:pt>
                <c:pt idx="392">
                  <c:v>50</c:v>
                </c:pt>
                <c:pt idx="393">
                  <c:v>50</c:v>
                </c:pt>
                <c:pt idx="394">
                  <c:v>50</c:v>
                </c:pt>
                <c:pt idx="395">
                  <c:v>50</c:v>
                </c:pt>
                <c:pt idx="396">
                  <c:v>50</c:v>
                </c:pt>
                <c:pt idx="397">
                  <c:v>50</c:v>
                </c:pt>
                <c:pt idx="398">
                  <c:v>50</c:v>
                </c:pt>
                <c:pt idx="399">
                  <c:v>50</c:v>
                </c:pt>
                <c:pt idx="400">
                  <c:v>50</c:v>
                </c:pt>
                <c:pt idx="401">
                  <c:v>50</c:v>
                </c:pt>
                <c:pt idx="402">
                  <c:v>50</c:v>
                </c:pt>
                <c:pt idx="403">
                  <c:v>50</c:v>
                </c:pt>
                <c:pt idx="404">
                  <c:v>50</c:v>
                </c:pt>
                <c:pt idx="405">
                  <c:v>50</c:v>
                </c:pt>
                <c:pt idx="406">
                  <c:v>50</c:v>
                </c:pt>
                <c:pt idx="407">
                  <c:v>50</c:v>
                </c:pt>
                <c:pt idx="408">
                  <c:v>50</c:v>
                </c:pt>
                <c:pt idx="409">
                  <c:v>50</c:v>
                </c:pt>
                <c:pt idx="410">
                  <c:v>50</c:v>
                </c:pt>
                <c:pt idx="411">
                  <c:v>50</c:v>
                </c:pt>
                <c:pt idx="412">
                  <c:v>50</c:v>
                </c:pt>
                <c:pt idx="413">
                  <c:v>50</c:v>
                </c:pt>
                <c:pt idx="414">
                  <c:v>50</c:v>
                </c:pt>
                <c:pt idx="415">
                  <c:v>50</c:v>
                </c:pt>
                <c:pt idx="416">
                  <c:v>50</c:v>
                </c:pt>
                <c:pt idx="417">
                  <c:v>50</c:v>
                </c:pt>
                <c:pt idx="418">
                  <c:v>50</c:v>
                </c:pt>
                <c:pt idx="419">
                  <c:v>50</c:v>
                </c:pt>
                <c:pt idx="420">
                  <c:v>50</c:v>
                </c:pt>
                <c:pt idx="421">
                  <c:v>50</c:v>
                </c:pt>
                <c:pt idx="422">
                  <c:v>50</c:v>
                </c:pt>
                <c:pt idx="423">
                  <c:v>50</c:v>
                </c:pt>
                <c:pt idx="424">
                  <c:v>50</c:v>
                </c:pt>
                <c:pt idx="425">
                  <c:v>50</c:v>
                </c:pt>
                <c:pt idx="426">
                  <c:v>50</c:v>
                </c:pt>
                <c:pt idx="427">
                  <c:v>50</c:v>
                </c:pt>
                <c:pt idx="428">
                  <c:v>50</c:v>
                </c:pt>
                <c:pt idx="429">
                  <c:v>50</c:v>
                </c:pt>
                <c:pt idx="430">
                  <c:v>50</c:v>
                </c:pt>
                <c:pt idx="431">
                  <c:v>50</c:v>
                </c:pt>
                <c:pt idx="432">
                  <c:v>50</c:v>
                </c:pt>
                <c:pt idx="433">
                  <c:v>50</c:v>
                </c:pt>
                <c:pt idx="434">
                  <c:v>50</c:v>
                </c:pt>
                <c:pt idx="435">
                  <c:v>50</c:v>
                </c:pt>
                <c:pt idx="436">
                  <c:v>50</c:v>
                </c:pt>
                <c:pt idx="437">
                  <c:v>50</c:v>
                </c:pt>
                <c:pt idx="438">
                  <c:v>50</c:v>
                </c:pt>
                <c:pt idx="439">
                  <c:v>50</c:v>
                </c:pt>
                <c:pt idx="440">
                  <c:v>50</c:v>
                </c:pt>
                <c:pt idx="441">
                  <c:v>50</c:v>
                </c:pt>
                <c:pt idx="442">
                  <c:v>50</c:v>
                </c:pt>
                <c:pt idx="443">
                  <c:v>50</c:v>
                </c:pt>
                <c:pt idx="444">
                  <c:v>50</c:v>
                </c:pt>
                <c:pt idx="445">
                  <c:v>50</c:v>
                </c:pt>
                <c:pt idx="446">
                  <c:v>50</c:v>
                </c:pt>
                <c:pt idx="447">
                  <c:v>50</c:v>
                </c:pt>
                <c:pt idx="448">
                  <c:v>50</c:v>
                </c:pt>
                <c:pt idx="449">
                  <c:v>50</c:v>
                </c:pt>
                <c:pt idx="450">
                  <c:v>50</c:v>
                </c:pt>
                <c:pt idx="451">
                  <c:v>50</c:v>
                </c:pt>
                <c:pt idx="452">
                  <c:v>50</c:v>
                </c:pt>
                <c:pt idx="453">
                  <c:v>50</c:v>
                </c:pt>
                <c:pt idx="454">
                  <c:v>50</c:v>
                </c:pt>
                <c:pt idx="455">
                  <c:v>50</c:v>
                </c:pt>
                <c:pt idx="456">
                  <c:v>50</c:v>
                </c:pt>
                <c:pt idx="457">
                  <c:v>50</c:v>
                </c:pt>
                <c:pt idx="458">
                  <c:v>50</c:v>
                </c:pt>
                <c:pt idx="459">
                  <c:v>50</c:v>
                </c:pt>
                <c:pt idx="460">
                  <c:v>50</c:v>
                </c:pt>
                <c:pt idx="461">
                  <c:v>50</c:v>
                </c:pt>
                <c:pt idx="462">
                  <c:v>50</c:v>
                </c:pt>
                <c:pt idx="463">
                  <c:v>50</c:v>
                </c:pt>
                <c:pt idx="464">
                  <c:v>50</c:v>
                </c:pt>
                <c:pt idx="465">
                  <c:v>50</c:v>
                </c:pt>
                <c:pt idx="466">
                  <c:v>50</c:v>
                </c:pt>
                <c:pt idx="467">
                  <c:v>50</c:v>
                </c:pt>
                <c:pt idx="468">
                  <c:v>50</c:v>
                </c:pt>
                <c:pt idx="469">
                  <c:v>50</c:v>
                </c:pt>
                <c:pt idx="470">
                  <c:v>50</c:v>
                </c:pt>
                <c:pt idx="471">
                  <c:v>50</c:v>
                </c:pt>
                <c:pt idx="472">
                  <c:v>50</c:v>
                </c:pt>
                <c:pt idx="473">
                  <c:v>50</c:v>
                </c:pt>
                <c:pt idx="474">
                  <c:v>50</c:v>
                </c:pt>
                <c:pt idx="475">
                  <c:v>50</c:v>
                </c:pt>
                <c:pt idx="476">
                  <c:v>50</c:v>
                </c:pt>
                <c:pt idx="477">
                  <c:v>50</c:v>
                </c:pt>
                <c:pt idx="478">
                  <c:v>50</c:v>
                </c:pt>
                <c:pt idx="479">
                  <c:v>50</c:v>
                </c:pt>
                <c:pt idx="480">
                  <c:v>50</c:v>
                </c:pt>
                <c:pt idx="481">
                  <c:v>50</c:v>
                </c:pt>
                <c:pt idx="482">
                  <c:v>50</c:v>
                </c:pt>
                <c:pt idx="483">
                  <c:v>50</c:v>
                </c:pt>
                <c:pt idx="484">
                  <c:v>50</c:v>
                </c:pt>
                <c:pt idx="485">
                  <c:v>50</c:v>
                </c:pt>
                <c:pt idx="486">
                  <c:v>50</c:v>
                </c:pt>
                <c:pt idx="487">
                  <c:v>50</c:v>
                </c:pt>
                <c:pt idx="488">
                  <c:v>50</c:v>
                </c:pt>
                <c:pt idx="489">
                  <c:v>50</c:v>
                </c:pt>
                <c:pt idx="490">
                  <c:v>50</c:v>
                </c:pt>
                <c:pt idx="491">
                  <c:v>50</c:v>
                </c:pt>
                <c:pt idx="492">
                  <c:v>50</c:v>
                </c:pt>
                <c:pt idx="493">
                  <c:v>50</c:v>
                </c:pt>
                <c:pt idx="494">
                  <c:v>50</c:v>
                </c:pt>
                <c:pt idx="495">
                  <c:v>50</c:v>
                </c:pt>
                <c:pt idx="496">
                  <c:v>50</c:v>
                </c:pt>
                <c:pt idx="497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621-4875-B88C-B488B9535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29312"/>
        <c:axId val="90530176"/>
      </c:scatterChart>
      <c:valAx>
        <c:axId val="8682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Τ(</a:t>
                </a:r>
                <a:r>
                  <a:rPr lang="en-US"/>
                  <a:t>s)</a:t>
                </a:r>
                <a:endParaRPr lang="el-G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90530176"/>
        <c:crosses val="autoZero"/>
        <c:crossBetween val="midCat"/>
      </c:valAx>
      <c:valAx>
        <c:axId val="90530176"/>
        <c:scaling>
          <c:logBase val="10"/>
          <c:orientation val="minMax"/>
          <c:min val="1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CW OSL Intensity (au)</a:t>
                </a:r>
                <a:endParaRPr lang="el-G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868293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142874</xdr:colOff>
      <xdr:row>2</xdr:row>
      <xdr:rowOff>33867</xdr:rowOff>
    </xdr:from>
    <xdr:to>
      <xdr:col>5</xdr:col>
      <xdr:colOff>585612</xdr:colOff>
      <xdr:row>13</xdr:row>
      <xdr:rowOff>70555</xdr:rowOff>
    </xdr:to>
    <xdr:sp macro="" textlink="">
      <xdr:nvSpPr>
        <xdr:cNvPr id="2" name="1 - TextBox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49652" y="400756"/>
          <a:ext cx="3935238" cy="205457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 u="sng"/>
            <a:t>CW - OSL fitting</a:t>
          </a:r>
          <a:r>
            <a:rPr lang="en-US" sz="1100" b="1" u="sng" baseline="0"/>
            <a:t> with Lambert W0 function:</a:t>
          </a:r>
        </a:p>
        <a:p>
          <a:endParaRPr lang="en-US" sz="1100" b="1" baseline="0"/>
        </a:p>
        <a:p>
          <a:r>
            <a:rPr lang="en-US" sz="1100" b="1" baseline="0"/>
            <a:t>r=AD/am</a:t>
          </a:r>
        </a:p>
        <a:p>
          <a:endParaRPr lang="en-US" sz="1100" b="1" baseline="0"/>
        </a:p>
        <a:p>
          <a:r>
            <a:rPr lang="en-US" sz="1100" b="1" baseline="0"/>
            <a:t>zi=r/n0-ln[n0/r]+</a:t>
          </a:r>
          <a:r>
            <a:rPr lang="el-GR" sz="1100" b="1" baseline="0"/>
            <a:t>λ</a:t>
          </a:r>
          <a:r>
            <a:rPr lang="en-US" sz="1100" b="1" baseline="0"/>
            <a:t>t </a:t>
          </a:r>
        </a:p>
        <a:p>
          <a:endParaRPr lang="en-US" sz="1100" b="1" baseline="0"/>
        </a:p>
        <a:p>
          <a:r>
            <a:rPr lang="en-US" sz="1100" b="1" baseline="0"/>
            <a:t>C=r/n0</a:t>
          </a:r>
        </a:p>
        <a:p>
          <a:endParaRPr lang="en-US" sz="1100" b="1" baseline="0"/>
        </a:p>
        <a:p>
          <a:r>
            <a:rPr lang="en-US" sz="1100" b="1" baseline="0"/>
            <a:t>I0=</a:t>
          </a:r>
          <a:r>
            <a:rPr lang="el-GR" sz="1100" b="1" baseline="0"/>
            <a:t>λ*</a:t>
          </a:r>
          <a:r>
            <a:rPr lang="en-US" sz="1100" b="1" baseline="0"/>
            <a:t>r</a:t>
          </a:r>
        </a:p>
        <a:p>
          <a:endParaRPr lang="en-US" sz="1100" b="1" baseline="0"/>
        </a:p>
        <a:p>
          <a:r>
            <a:rPr lang="en-US" sz="1100" b="1" baseline="0"/>
            <a:t>Itot= </a:t>
          </a:r>
          <a:r>
            <a:rPr lang="el-GR" sz="1100" b="1" baseline="0"/>
            <a:t>Σ</a:t>
          </a:r>
          <a:r>
            <a:rPr lang="en-US" sz="1100" b="1" baseline="0"/>
            <a:t>(Ii)=[I01</a:t>
          </a:r>
          <a:r>
            <a:rPr lang="el-GR" sz="1100" b="1" baseline="0"/>
            <a:t>/</a:t>
          </a:r>
          <a:r>
            <a:rPr lang="en-US" sz="1100" b="1" baseline="0"/>
            <a:t>(W(e^z1)+W(e^z1)^2)+ I02</a:t>
          </a:r>
          <a:r>
            <a:rPr lang="el-GR" sz="1100" b="1" baseline="0"/>
            <a:t>/(</a:t>
          </a:r>
          <a:r>
            <a:rPr lang="en-US" sz="1100" b="1" baseline="0"/>
            <a:t>W(e^z2)+W(e^z2)+...</a:t>
          </a:r>
          <a:endParaRPr lang="el-GR" sz="1100" b="1"/>
        </a:p>
      </xdr:txBody>
    </xdr:sp>
    <xdr:clientData/>
  </xdr:twoCellAnchor>
  <xdr:twoCellAnchor>
    <xdr:from>
      <xdr:col>7</xdr:col>
      <xdr:colOff>400406</xdr:colOff>
      <xdr:row>2</xdr:row>
      <xdr:rowOff>143225</xdr:rowOff>
    </xdr:from>
    <xdr:to>
      <xdr:col>18</xdr:col>
      <xdr:colOff>553160</xdr:colOff>
      <xdr:row>30</xdr:row>
      <xdr:rowOff>4232</xdr:rowOff>
    </xdr:to>
    <xdr:graphicFrame macro="">
      <xdr:nvGraphicFramePr>
        <xdr:cNvPr id="4" name="3 - Γράφημα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____2"/>
  <dimension ref="A2:AB838"/>
  <sheetViews>
    <sheetView tabSelected="1" zoomScale="90" zoomScaleNormal="90" workbookViewId="0">
      <selection activeCell="C33" sqref="C33"/>
    </sheetView>
  </sheetViews>
  <sheetFormatPr defaultRowHeight="14.5" x14ac:dyDescent="0.35"/>
  <cols>
    <col min="1" max="1" width="10" bestFit="1" customWidth="1"/>
    <col min="2" max="3" width="14.453125" customWidth="1"/>
    <col min="4" max="4" width="10" bestFit="1" customWidth="1"/>
    <col min="5" max="5" width="11.08984375" customWidth="1"/>
    <col min="9" max="9" width="5.90625" customWidth="1"/>
    <col min="10" max="10" width="12" customWidth="1"/>
    <col min="11" max="11" width="13" customWidth="1"/>
    <col min="12" max="12" width="14.08984375" customWidth="1"/>
    <col min="13" max="13" width="15.54296875" customWidth="1"/>
    <col min="14" max="14" width="14" customWidth="1"/>
    <col min="15" max="15" width="5.90625" customWidth="1"/>
    <col min="16" max="16" width="12" bestFit="1" customWidth="1"/>
    <col min="21" max="21" width="4.6328125" customWidth="1"/>
    <col min="22" max="22" width="15.453125" customWidth="1"/>
    <col min="23" max="23" width="6.08984375" customWidth="1"/>
    <col min="24" max="24" width="23.36328125" customWidth="1"/>
    <col min="25" max="25" width="19.54296875" customWidth="1"/>
    <col min="26" max="26" width="12.1796875" bestFit="1" customWidth="1"/>
  </cols>
  <sheetData>
    <row r="2" spans="11:11" x14ac:dyDescent="0.35">
      <c r="K2" s="13"/>
    </row>
    <row r="3" spans="11:11" x14ac:dyDescent="0.35">
      <c r="K3" s="14"/>
    </row>
    <row r="4" spans="11:11" x14ac:dyDescent="0.35">
      <c r="K4" s="14"/>
    </row>
    <row r="5" spans="11:11" x14ac:dyDescent="0.35">
      <c r="K5" s="14"/>
    </row>
    <row r="6" spans="11:11" x14ac:dyDescent="0.35">
      <c r="K6" s="14"/>
    </row>
    <row r="19" spans="1:7" x14ac:dyDescent="0.35">
      <c r="E19" s="17" t="s">
        <v>29</v>
      </c>
    </row>
    <row r="20" spans="1:7" x14ac:dyDescent="0.35">
      <c r="A20" s="16" t="s">
        <v>28</v>
      </c>
      <c r="B20" s="8"/>
      <c r="C20" s="1">
        <v>1</v>
      </c>
      <c r="D20" s="1">
        <v>2</v>
      </c>
      <c r="E20" s="1">
        <v>3</v>
      </c>
      <c r="F20" s="1">
        <v>4</v>
      </c>
      <c r="G20" s="1">
        <v>5</v>
      </c>
    </row>
    <row r="21" spans="1:7" x14ac:dyDescent="0.35">
      <c r="A21" s="18">
        <v>100000000</v>
      </c>
      <c r="B21" s="6" t="s">
        <v>34</v>
      </c>
      <c r="C21">
        <v>2.2960833578086404E-4</v>
      </c>
      <c r="D21">
        <v>0.6228933968939121</v>
      </c>
      <c r="E21">
        <v>0</v>
      </c>
      <c r="F21">
        <v>0</v>
      </c>
      <c r="G21">
        <v>0</v>
      </c>
    </row>
    <row r="22" spans="1:7" x14ac:dyDescent="0.35">
      <c r="B22" s="6" t="s">
        <v>0</v>
      </c>
      <c r="C22">
        <v>4.1585303894187416E-2</v>
      </c>
      <c r="D22">
        <v>0.41472559393200525</v>
      </c>
      <c r="E22">
        <v>0.1</v>
      </c>
      <c r="F22">
        <v>0.1</v>
      </c>
      <c r="G22">
        <v>0.1</v>
      </c>
    </row>
    <row r="23" spans="1:7" x14ac:dyDescent="0.35">
      <c r="B23" s="6" t="s">
        <v>33</v>
      </c>
      <c r="C23">
        <v>1.6656384120258529</v>
      </c>
      <c r="D23">
        <v>142.64610174085229</v>
      </c>
      <c r="E23">
        <v>0.1</v>
      </c>
      <c r="F23">
        <v>0.1</v>
      </c>
      <c r="G23">
        <v>0.1</v>
      </c>
    </row>
    <row r="24" spans="1:7" x14ac:dyDescent="0.35">
      <c r="G24" s="15"/>
    </row>
    <row r="25" spans="1:7" x14ac:dyDescent="0.35">
      <c r="B25" s="6" t="s">
        <v>30</v>
      </c>
      <c r="C25">
        <f>1/C22</f>
        <v>24.046956649504608</v>
      </c>
      <c r="D25">
        <f t="shared" ref="D25:G25" si="0">1/D22</f>
        <v>2.4112329082924919</v>
      </c>
      <c r="E25">
        <f t="shared" si="0"/>
        <v>10</v>
      </c>
      <c r="F25">
        <f t="shared" si="0"/>
        <v>10</v>
      </c>
      <c r="G25">
        <f t="shared" si="0"/>
        <v>10</v>
      </c>
    </row>
    <row r="26" spans="1:7" x14ac:dyDescent="0.35">
      <c r="B26" s="6" t="s">
        <v>32</v>
      </c>
      <c r="C26">
        <f>10^(-17)*C22/1.13</f>
        <v>3.6801153888661435E-19</v>
      </c>
      <c r="D26">
        <f t="shared" ref="D26:G26" si="1">10^(-17)*D22/1.13</f>
        <v>3.6701379993982772E-18</v>
      </c>
      <c r="E26">
        <f t="shared" si="1"/>
        <v>8.8495575221238944E-19</v>
      </c>
      <c r="F26">
        <f t="shared" si="1"/>
        <v>8.8495575221238944E-19</v>
      </c>
      <c r="G26">
        <f t="shared" si="1"/>
        <v>8.8495575221238944E-19</v>
      </c>
    </row>
    <row r="28" spans="1:7" x14ac:dyDescent="0.35">
      <c r="C28" s="1">
        <v>1</v>
      </c>
      <c r="D28" s="1">
        <v>2</v>
      </c>
      <c r="E28" s="1">
        <v>3</v>
      </c>
      <c r="F28" s="1">
        <v>4</v>
      </c>
      <c r="G28" s="1">
        <v>5</v>
      </c>
    </row>
    <row r="29" spans="1:7" x14ac:dyDescent="0.35">
      <c r="B29" s="10" t="s">
        <v>14</v>
      </c>
      <c r="C29">
        <f>SUM(P39:P838)</f>
        <v>304743.86975144863</v>
      </c>
      <c r="D29">
        <f t="shared" ref="D29:G29" si="2">SUM(Q39:Q838)</f>
        <v>620799.37347215833</v>
      </c>
      <c r="E29">
        <f t="shared" si="2"/>
        <v>0</v>
      </c>
      <c r="F29">
        <f t="shared" si="2"/>
        <v>0</v>
      </c>
      <c r="G29">
        <f t="shared" si="2"/>
        <v>24900</v>
      </c>
    </row>
    <row r="30" spans="1:7" x14ac:dyDescent="0.35">
      <c r="B30" s="10" t="s">
        <v>31</v>
      </c>
      <c r="C30">
        <f>100*C29/SUM($C$29:$G$29)</f>
        <v>32.063342227343583</v>
      </c>
      <c r="D30">
        <f t="shared" ref="D30:G30" si="3">100*D29/SUM($C$29:$G$29)</f>
        <v>65.316827480050307</v>
      </c>
      <c r="E30">
        <f t="shared" si="3"/>
        <v>0</v>
      </c>
      <c r="F30">
        <f t="shared" si="3"/>
        <v>0</v>
      </c>
      <c r="G30">
        <f t="shared" si="3"/>
        <v>2.6198302926061077</v>
      </c>
    </row>
    <row r="31" spans="1:7" x14ac:dyDescent="0.35">
      <c r="B31" s="10"/>
    </row>
    <row r="32" spans="1:7" x14ac:dyDescent="0.35">
      <c r="B32" s="10" t="s">
        <v>15</v>
      </c>
      <c r="C32">
        <f>SUM(X39:X138)</f>
        <v>546017.15325801133</v>
      </c>
    </row>
    <row r="33" spans="2:28" x14ac:dyDescent="0.35">
      <c r="B33" s="10" t="s">
        <v>16</v>
      </c>
      <c r="C33">
        <f>SUM(AA39:AA850)*100</f>
        <v>1.7617373353709394</v>
      </c>
    </row>
    <row r="37" spans="2:28" x14ac:dyDescent="0.35">
      <c r="B37" s="5"/>
      <c r="C37" s="7" t="s">
        <v>1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2" t="s">
        <v>23</v>
      </c>
      <c r="W37" s="3"/>
      <c r="X37" s="3"/>
      <c r="Y37" s="3"/>
      <c r="Z37" s="3"/>
      <c r="AA37" s="3"/>
      <c r="AB37" s="3"/>
    </row>
    <row r="38" spans="2:28" x14ac:dyDescent="0.35">
      <c r="B38" s="10" t="s">
        <v>2</v>
      </c>
      <c r="C38" s="11" t="s">
        <v>3</v>
      </c>
      <c r="D38" s="9" t="s">
        <v>4</v>
      </c>
      <c r="E38" s="9" t="s">
        <v>5</v>
      </c>
      <c r="F38" s="9" t="s">
        <v>6</v>
      </c>
      <c r="G38" s="9" t="s">
        <v>7</v>
      </c>
      <c r="H38" s="9" t="s">
        <v>8</v>
      </c>
      <c r="I38" s="3"/>
      <c r="J38" s="12" t="s">
        <v>9</v>
      </c>
      <c r="K38" s="12" t="s">
        <v>10</v>
      </c>
      <c r="L38" s="12" t="s">
        <v>11</v>
      </c>
      <c r="M38" s="12" t="s">
        <v>12</v>
      </c>
      <c r="N38" s="12" t="s">
        <v>13</v>
      </c>
      <c r="O38" s="3"/>
      <c r="P38" s="4" t="s">
        <v>17</v>
      </c>
      <c r="Q38" s="4" t="s">
        <v>18</v>
      </c>
      <c r="R38" s="4" t="s">
        <v>19</v>
      </c>
      <c r="S38" s="4" t="s">
        <v>20</v>
      </c>
      <c r="T38" s="4" t="s">
        <v>21</v>
      </c>
      <c r="U38" s="3"/>
      <c r="V38" s="11" t="s">
        <v>22</v>
      </c>
      <c r="W38" s="3"/>
      <c r="X38" s="10" t="s">
        <v>26</v>
      </c>
      <c r="Y38" s="10" t="s">
        <v>27</v>
      </c>
      <c r="Z38" s="10" t="s">
        <v>24</v>
      </c>
      <c r="AA38" s="10" t="s">
        <v>25</v>
      </c>
      <c r="AB38" s="3"/>
    </row>
    <row r="39" spans="2:28" x14ac:dyDescent="0.35">
      <c r="B39">
        <v>0</v>
      </c>
      <c r="C39">
        <v>8170</v>
      </c>
      <c r="D39">
        <f>C$23-LN(1/C$23)+$B39*C$22</f>
        <v>2.1758468926136731</v>
      </c>
      <c r="E39">
        <f t="shared" ref="E39:H39" si="4">D$23-LN(1/D$23)+$B39*D$22</f>
        <v>147.60646849069957</v>
      </c>
      <c r="F39">
        <f t="shared" si="4"/>
        <v>-2.2025850929940458</v>
      </c>
      <c r="G39">
        <f t="shared" si="4"/>
        <v>-2.2025850929940458</v>
      </c>
      <c r="H39">
        <f t="shared" si="4"/>
        <v>-2.2025850929940458</v>
      </c>
      <c r="I39" s="3"/>
      <c r="J39">
        <f>lmb_2(D39)</f>
        <v>1.6656384120258532</v>
      </c>
      <c r="K39">
        <f>lmb_2(E39)</f>
        <v>142.64610174085229</v>
      </c>
      <c r="L39">
        <f t="shared" ref="L39:N39" si="5">lmb_2(F39)</f>
        <v>9.9999999999999978E-2</v>
      </c>
      <c r="M39">
        <f t="shared" si="5"/>
        <v>9.9999999999999978E-2</v>
      </c>
      <c r="N39">
        <f t="shared" si="5"/>
        <v>9.9999999999999978E-2</v>
      </c>
      <c r="O39" s="3"/>
      <c r="P39">
        <f>(C$21*$A$21)/(J39+J39^2)</f>
        <v>5171.3708737780671</v>
      </c>
      <c r="Q39">
        <f t="shared" ref="Q39:S54" si="6">(D$21*$A$21)/(K39+K39^2)</f>
        <v>3039.9047415249283</v>
      </c>
      <c r="R39">
        <f t="shared" si="6"/>
        <v>0</v>
      </c>
      <c r="S39">
        <f t="shared" si="6"/>
        <v>0</v>
      </c>
      <c r="T39">
        <v>50</v>
      </c>
      <c r="U39" s="3"/>
      <c r="V39">
        <f>SUM(P39:T39)</f>
        <v>8261.275615302995</v>
      </c>
      <c r="W39" s="3"/>
      <c r="X39">
        <f>(V39-C39)^2</f>
        <v>8331.2379489403338</v>
      </c>
      <c r="Y39">
        <f>ABS(V39-C39)</f>
        <v>91.275615302994993</v>
      </c>
      <c r="Z39">
        <f>SUM(V39:V838)</f>
        <v>950443.24322360789</v>
      </c>
      <c r="AA39">
        <f>Y39/$Z$39</f>
        <v>9.6034787930541216E-5</v>
      </c>
      <c r="AB39" s="3"/>
    </row>
    <row r="40" spans="2:28" x14ac:dyDescent="0.35">
      <c r="B40">
        <v>0.95785440613030459</v>
      </c>
      <c r="C40">
        <v>8121</v>
      </c>
      <c r="D40">
        <f t="shared" ref="D40:H82" si="7">C$23-LN(1/C$23)+$B40*C$22</f>
        <v>2.2156795591789882</v>
      </c>
      <c r="E40">
        <f t="shared" si="7"/>
        <v>148.00371522818236</v>
      </c>
      <c r="F40">
        <f t="shared" si="7"/>
        <v>-2.1067996523810155</v>
      </c>
      <c r="G40">
        <f t="shared" si="7"/>
        <v>-2.1067996523810155</v>
      </c>
      <c r="H40">
        <f t="shared" si="7"/>
        <v>-2.1067996523810155</v>
      </c>
      <c r="I40" s="3"/>
      <c r="J40">
        <f t="shared" ref="J40:J82" si="8">lmb_2(D40)</f>
        <v>1.6905975266617306</v>
      </c>
      <c r="K40">
        <f t="shared" ref="K40:K82" si="9">lmb_2(E40)</f>
        <v>143.0405868143165</v>
      </c>
      <c r="L40">
        <f t="shared" ref="L40:L82" si="10">lmb_2(F40)</f>
        <v>0.10905974797645471</v>
      </c>
      <c r="M40">
        <f t="shared" ref="M40:M82" si="11">lmb_2(G40)</f>
        <v>0.10905974797645471</v>
      </c>
      <c r="N40">
        <f t="shared" ref="N40:N82" si="12">lmb_2(H40)</f>
        <v>0.10905974797645471</v>
      </c>
      <c r="O40" s="3"/>
      <c r="P40">
        <f t="shared" ref="P40:P82" si="13">(C$21*$A$21)/(J40+J40^2)</f>
        <v>5047.7598263392865</v>
      </c>
      <c r="Q40">
        <f t="shared" si="6"/>
        <v>3023.2186772214377</v>
      </c>
      <c r="R40">
        <f t="shared" si="6"/>
        <v>0</v>
      </c>
      <c r="S40">
        <f t="shared" si="6"/>
        <v>0</v>
      </c>
      <c r="T40">
        <v>50</v>
      </c>
      <c r="U40" s="3"/>
      <c r="V40">
        <f t="shared" ref="V40:V82" si="14">SUM(P40:T40)</f>
        <v>8120.9785035607238</v>
      </c>
      <c r="W40" s="3"/>
      <c r="X40">
        <f t="shared" ref="X40:X82" si="15">(V40-C40)^2</f>
        <v>4.6209690155681635E-4</v>
      </c>
      <c r="Y40">
        <f t="shared" ref="Y40:Y82" si="16">ABS(V40-C40)</f>
        <v>2.1496439276234014E-2</v>
      </c>
      <c r="AA40">
        <f t="shared" ref="AA40:AA82" si="17">Y40/$Z$39</f>
        <v>2.2617278232548402E-8</v>
      </c>
      <c r="AB40" s="3"/>
    </row>
    <row r="41" spans="2:28" x14ac:dyDescent="0.35">
      <c r="B41">
        <v>1.9157088122605637</v>
      </c>
      <c r="C41">
        <v>7993</v>
      </c>
      <c r="D41">
        <f t="shared" si="7"/>
        <v>2.2555122257443014</v>
      </c>
      <c r="E41">
        <f t="shared" si="7"/>
        <v>148.40096196566512</v>
      </c>
      <c r="F41">
        <f t="shared" si="7"/>
        <v>-2.0110142117679892</v>
      </c>
      <c r="G41">
        <f t="shared" si="7"/>
        <v>-2.0110142117679892</v>
      </c>
      <c r="H41">
        <f t="shared" si="7"/>
        <v>-2.0110142117679892</v>
      </c>
      <c r="I41" s="3"/>
      <c r="J41">
        <f t="shared" si="8"/>
        <v>1.7156943552177844</v>
      </c>
      <c r="K41">
        <f t="shared" si="9"/>
        <v>143.43507944091013</v>
      </c>
      <c r="L41">
        <f t="shared" si="10"/>
        <v>0.11885306711722711</v>
      </c>
      <c r="M41">
        <f t="shared" si="11"/>
        <v>0.11885306711722711</v>
      </c>
      <c r="N41">
        <f t="shared" si="12"/>
        <v>0.11885306711722711</v>
      </c>
      <c r="O41" s="3"/>
      <c r="P41">
        <f t="shared" si="13"/>
        <v>4927.9561963567157</v>
      </c>
      <c r="Q41">
        <f t="shared" si="6"/>
        <v>3006.6693067351807</v>
      </c>
      <c r="R41">
        <f t="shared" si="6"/>
        <v>0</v>
      </c>
      <c r="S41">
        <f t="shared" si="6"/>
        <v>0</v>
      </c>
      <c r="T41">
        <v>50</v>
      </c>
      <c r="U41" s="3"/>
      <c r="V41">
        <f t="shared" si="14"/>
        <v>7984.6255030918965</v>
      </c>
      <c r="W41" s="3"/>
      <c r="X41">
        <f t="shared" si="15"/>
        <v>70.132198463835721</v>
      </c>
      <c r="Y41">
        <f t="shared" si="16"/>
        <v>8.3744969081035379</v>
      </c>
      <c r="AA41">
        <f t="shared" si="17"/>
        <v>8.8111488695525352E-6</v>
      </c>
      <c r="AB41" s="3"/>
    </row>
    <row r="42" spans="2:28" x14ac:dyDescent="0.35">
      <c r="B42">
        <v>2.8735632183908226</v>
      </c>
      <c r="C42">
        <v>7881</v>
      </c>
      <c r="D42">
        <f t="shared" si="7"/>
        <v>2.2953448923096147</v>
      </c>
      <c r="E42">
        <f t="shared" si="7"/>
        <v>148.79820870314788</v>
      </c>
      <c r="F42">
        <f t="shared" si="7"/>
        <v>-1.9152287711549636</v>
      </c>
      <c r="G42">
        <f t="shared" si="7"/>
        <v>-1.9152287711549636</v>
      </c>
      <c r="H42">
        <f t="shared" si="7"/>
        <v>-1.9152287711549636</v>
      </c>
      <c r="I42" s="3"/>
      <c r="J42">
        <f t="shared" si="8"/>
        <v>1.7409271031042275</v>
      </c>
      <c r="K42">
        <f t="shared" si="9"/>
        <v>143.82957957957345</v>
      </c>
      <c r="L42">
        <f t="shared" si="10"/>
        <v>0.12942499370183916</v>
      </c>
      <c r="M42">
        <f t="shared" si="11"/>
        <v>0.12942499370183916</v>
      </c>
      <c r="N42">
        <f t="shared" si="12"/>
        <v>0.12942499370183916</v>
      </c>
      <c r="O42" s="3"/>
      <c r="P42">
        <f t="shared" si="13"/>
        <v>4811.8222825210996</v>
      </c>
      <c r="Q42">
        <f t="shared" si="6"/>
        <v>2990.2551436184981</v>
      </c>
      <c r="R42">
        <f t="shared" si="6"/>
        <v>0</v>
      </c>
      <c r="S42">
        <f t="shared" si="6"/>
        <v>0</v>
      </c>
      <c r="T42">
        <v>50</v>
      </c>
      <c r="U42" s="3"/>
      <c r="V42">
        <f t="shared" si="14"/>
        <v>7852.0774261395982</v>
      </c>
      <c r="W42" s="3"/>
      <c r="X42">
        <f t="shared" si="15"/>
        <v>836.515278710399</v>
      </c>
      <c r="Y42">
        <f t="shared" si="16"/>
        <v>28.922573860401826</v>
      </c>
      <c r="AA42">
        <f t="shared" si="17"/>
        <v>3.0430616521935017E-5</v>
      </c>
      <c r="AB42" s="3"/>
    </row>
    <row r="43" spans="2:28" x14ac:dyDescent="0.35">
      <c r="B43">
        <v>4.150702426564532</v>
      </c>
      <c r="C43">
        <v>7844</v>
      </c>
      <c r="D43">
        <f t="shared" si="7"/>
        <v>2.3484551143967005</v>
      </c>
      <c r="E43">
        <f t="shared" si="7"/>
        <v>149.32787101979156</v>
      </c>
      <c r="F43">
        <f t="shared" si="7"/>
        <v>-1.7875148503375926</v>
      </c>
      <c r="G43">
        <f t="shared" si="7"/>
        <v>-1.7875148503375926</v>
      </c>
      <c r="H43">
        <f t="shared" si="7"/>
        <v>-1.7875148503375926</v>
      </c>
      <c r="I43" s="3"/>
      <c r="J43">
        <f t="shared" si="8"/>
        <v>1.7747791319282136</v>
      </c>
      <c r="K43">
        <f t="shared" si="9"/>
        <v>144.35559137955536</v>
      </c>
      <c r="L43">
        <f t="shared" si="10"/>
        <v>0.14481099806812181</v>
      </c>
      <c r="M43">
        <f t="shared" si="11"/>
        <v>0.14481099806812181</v>
      </c>
      <c r="N43">
        <f t="shared" si="12"/>
        <v>0.14481099806812181</v>
      </c>
      <c r="O43" s="3"/>
      <c r="P43">
        <f t="shared" si="13"/>
        <v>4662.4578376081035</v>
      </c>
      <c r="Q43">
        <f t="shared" si="6"/>
        <v>2968.5773838396622</v>
      </c>
      <c r="R43">
        <f t="shared" si="6"/>
        <v>0</v>
      </c>
      <c r="S43">
        <f t="shared" si="6"/>
        <v>0</v>
      </c>
      <c r="T43">
        <v>50</v>
      </c>
      <c r="U43" s="3"/>
      <c r="V43">
        <f t="shared" si="14"/>
        <v>7681.0352214477662</v>
      </c>
      <c r="W43" s="3"/>
      <c r="X43">
        <f t="shared" si="15"/>
        <v>26557.519048578615</v>
      </c>
      <c r="Y43">
        <f t="shared" si="16"/>
        <v>162.96477855223384</v>
      </c>
      <c r="AA43">
        <f t="shared" si="17"/>
        <v>1.7146187288312765E-4</v>
      </c>
      <c r="AB43" s="3"/>
    </row>
    <row r="44" spans="2:28" x14ac:dyDescent="0.35">
      <c r="B44">
        <v>5.1085568326947906</v>
      </c>
      <c r="C44">
        <v>7729</v>
      </c>
      <c r="D44">
        <f t="shared" si="7"/>
        <v>2.3882877809620133</v>
      </c>
      <c r="E44">
        <f t="shared" si="7"/>
        <v>149.72511775727432</v>
      </c>
      <c r="F44">
        <f t="shared" si="7"/>
        <v>-1.6917294097245668</v>
      </c>
      <c r="G44">
        <f t="shared" si="7"/>
        <v>-1.6917294097245668</v>
      </c>
      <c r="H44">
        <f t="shared" si="7"/>
        <v>-1.6917294097245668</v>
      </c>
      <c r="I44" s="3"/>
      <c r="J44">
        <f t="shared" si="8"/>
        <v>1.8003221563333767</v>
      </c>
      <c r="K44">
        <f t="shared" si="9"/>
        <v>144.75010888856886</v>
      </c>
      <c r="L44">
        <f t="shared" si="10"/>
        <v>0.15737763480773406</v>
      </c>
      <c r="M44">
        <f t="shared" si="11"/>
        <v>0.15737763480773406</v>
      </c>
      <c r="N44">
        <f t="shared" si="12"/>
        <v>0.15737763480773406</v>
      </c>
      <c r="O44" s="3"/>
      <c r="P44">
        <f t="shared" si="13"/>
        <v>4554.3817222213647</v>
      </c>
      <c r="Q44">
        <f t="shared" si="6"/>
        <v>2952.4730363806998</v>
      </c>
      <c r="R44">
        <f t="shared" si="6"/>
        <v>0</v>
      </c>
      <c r="S44">
        <f t="shared" si="6"/>
        <v>0</v>
      </c>
      <c r="T44">
        <v>50</v>
      </c>
      <c r="U44" s="3"/>
      <c r="V44">
        <f t="shared" si="14"/>
        <v>7556.854758602065</v>
      </c>
      <c r="W44" s="3"/>
      <c r="X44">
        <f t="shared" si="15"/>
        <v>29633.984135953324</v>
      </c>
      <c r="Y44">
        <f t="shared" si="16"/>
        <v>172.14524139793502</v>
      </c>
      <c r="AA44">
        <f t="shared" si="17"/>
        <v>1.8112101130212879E-4</v>
      </c>
      <c r="AB44" s="3"/>
    </row>
    <row r="45" spans="2:28" x14ac:dyDescent="0.35">
      <c r="B45">
        <v>6.06641123882505</v>
      </c>
      <c r="C45">
        <v>7414</v>
      </c>
      <c r="D45">
        <f t="shared" si="7"/>
        <v>2.428120447527327</v>
      </c>
      <c r="E45">
        <f t="shared" si="7"/>
        <v>150.12236449475708</v>
      </c>
      <c r="F45">
        <f t="shared" si="7"/>
        <v>-1.5959439691115409</v>
      </c>
      <c r="G45">
        <f t="shared" si="7"/>
        <v>-1.5959439691115409</v>
      </c>
      <c r="H45">
        <f t="shared" si="7"/>
        <v>-1.5959439691115409</v>
      </c>
      <c r="I45" s="3"/>
      <c r="J45">
        <f t="shared" si="8"/>
        <v>1.8259952607726677</v>
      </c>
      <c r="K45">
        <f t="shared" si="9"/>
        <v>145.14463377517191</v>
      </c>
      <c r="L45">
        <f t="shared" si="10"/>
        <v>0.17087558591607108</v>
      </c>
      <c r="M45">
        <f t="shared" si="11"/>
        <v>0.17087558591607108</v>
      </c>
      <c r="N45">
        <f t="shared" si="12"/>
        <v>0.17087558591607108</v>
      </c>
      <c r="O45" s="3"/>
      <c r="P45">
        <f t="shared" si="13"/>
        <v>4449.5549611717361</v>
      </c>
      <c r="Q45">
        <f t="shared" si="6"/>
        <v>2936.4990849776505</v>
      </c>
      <c r="R45">
        <f t="shared" si="6"/>
        <v>0</v>
      </c>
      <c r="S45">
        <f t="shared" si="6"/>
        <v>0</v>
      </c>
      <c r="T45">
        <v>50</v>
      </c>
      <c r="U45" s="3"/>
      <c r="V45">
        <f t="shared" si="14"/>
        <v>7436.0540461493865</v>
      </c>
      <c r="W45" s="3"/>
      <c r="X45">
        <f t="shared" si="15"/>
        <v>486.3809515592705</v>
      </c>
      <c r="Y45">
        <f t="shared" si="16"/>
        <v>22.054046149386522</v>
      </c>
      <c r="AA45">
        <f t="shared" si="17"/>
        <v>2.3203959107106762E-5</v>
      </c>
      <c r="AB45" s="3"/>
    </row>
    <row r="46" spans="2:28" x14ac:dyDescent="0.35">
      <c r="B46">
        <v>7.0242656449553094</v>
      </c>
      <c r="C46">
        <v>7300</v>
      </c>
      <c r="D46">
        <f t="shared" si="7"/>
        <v>2.4679531140926398</v>
      </c>
      <c r="E46">
        <f t="shared" si="7"/>
        <v>150.51961123223984</v>
      </c>
      <c r="F46">
        <f t="shared" si="7"/>
        <v>-1.5001585284985148</v>
      </c>
      <c r="G46">
        <f t="shared" si="7"/>
        <v>-1.5001585284985148</v>
      </c>
      <c r="H46">
        <f t="shared" si="7"/>
        <v>-1.5001585284985148</v>
      </c>
      <c r="I46" s="3"/>
      <c r="J46">
        <f t="shared" si="8"/>
        <v>1.8517967370855319</v>
      </c>
      <c r="K46">
        <f t="shared" si="9"/>
        <v>145.53916599972263</v>
      </c>
      <c r="L46">
        <f t="shared" si="10"/>
        <v>0.18535012835991718</v>
      </c>
      <c r="M46">
        <f t="shared" si="11"/>
        <v>0.18535012835991718</v>
      </c>
      <c r="N46">
        <f t="shared" si="12"/>
        <v>0.18535012835991718</v>
      </c>
      <c r="O46" s="3"/>
      <c r="P46">
        <f t="shared" si="13"/>
        <v>4347.8621726996662</v>
      </c>
      <c r="Q46">
        <f t="shared" si="6"/>
        <v>2920.6541280629817</v>
      </c>
      <c r="R46">
        <f t="shared" si="6"/>
        <v>0</v>
      </c>
      <c r="S46">
        <f t="shared" si="6"/>
        <v>0</v>
      </c>
      <c r="T46">
        <v>50</v>
      </c>
      <c r="U46" s="3"/>
      <c r="V46">
        <f t="shared" si="14"/>
        <v>7318.5163007626479</v>
      </c>
      <c r="W46" s="3"/>
      <c r="X46">
        <f t="shared" si="15"/>
        <v>342.85339393283579</v>
      </c>
      <c r="Y46">
        <f t="shared" si="16"/>
        <v>18.516300762647916</v>
      </c>
      <c r="AA46">
        <f t="shared" si="17"/>
        <v>1.9481753271080537E-5</v>
      </c>
      <c r="AB46" s="3"/>
    </row>
    <row r="47" spans="2:28" x14ac:dyDescent="0.35">
      <c r="B47">
        <v>7.9821200510855688</v>
      </c>
      <c r="C47">
        <v>7185</v>
      </c>
      <c r="D47">
        <f t="shared" si="7"/>
        <v>2.5077857806579535</v>
      </c>
      <c r="E47">
        <f t="shared" si="7"/>
        <v>150.9168579697226</v>
      </c>
      <c r="F47">
        <f t="shared" si="7"/>
        <v>-1.4043730878854888</v>
      </c>
      <c r="G47">
        <f t="shared" si="7"/>
        <v>-1.4043730878854888</v>
      </c>
      <c r="H47">
        <f t="shared" si="7"/>
        <v>-1.4043730878854888</v>
      </c>
      <c r="I47" s="3"/>
      <c r="J47">
        <f t="shared" si="8"/>
        <v>1.8777248975367691</v>
      </c>
      <c r="K47">
        <f t="shared" si="9"/>
        <v>145.93370552289704</v>
      </c>
      <c r="L47">
        <f t="shared" si="10"/>
        <v>0.20084562298514613</v>
      </c>
      <c r="M47">
        <f t="shared" si="11"/>
        <v>0.20084562298514613</v>
      </c>
      <c r="N47">
        <f t="shared" si="12"/>
        <v>0.20084562298514613</v>
      </c>
      <c r="O47" s="3"/>
      <c r="P47">
        <f t="shared" si="13"/>
        <v>4249.1925536493354</v>
      </c>
      <c r="Q47">
        <f t="shared" si="6"/>
        <v>2904.9367828241566</v>
      </c>
      <c r="R47">
        <f t="shared" si="6"/>
        <v>0</v>
      </c>
      <c r="S47">
        <f t="shared" si="6"/>
        <v>0</v>
      </c>
      <c r="T47">
        <v>50</v>
      </c>
      <c r="U47" s="3"/>
      <c r="V47">
        <f t="shared" si="14"/>
        <v>7204.129336473492</v>
      </c>
      <c r="W47" s="3"/>
      <c r="X47">
        <f t="shared" si="15"/>
        <v>365.93151391607148</v>
      </c>
      <c r="Y47">
        <f t="shared" si="16"/>
        <v>19.129336473492003</v>
      </c>
      <c r="AA47">
        <f t="shared" si="17"/>
        <v>2.0126753080606101E-5</v>
      </c>
      <c r="AB47" s="3"/>
    </row>
    <row r="48" spans="2:28" x14ac:dyDescent="0.35">
      <c r="B48">
        <v>8.9399744572158735</v>
      </c>
      <c r="C48">
        <v>7154</v>
      </c>
      <c r="D48">
        <f t="shared" si="7"/>
        <v>2.5476184472232686</v>
      </c>
      <c r="E48">
        <f t="shared" si="7"/>
        <v>151.31410470720539</v>
      </c>
      <c r="F48">
        <f t="shared" si="7"/>
        <v>-1.3085876472724585</v>
      </c>
      <c r="G48">
        <f t="shared" si="7"/>
        <v>-1.3085876472724585</v>
      </c>
      <c r="H48">
        <f t="shared" si="7"/>
        <v>-1.3085876472724585</v>
      </c>
      <c r="I48" s="3"/>
      <c r="J48">
        <f t="shared" si="8"/>
        <v>1.9037780749313684</v>
      </c>
      <c r="K48">
        <f t="shared" si="9"/>
        <v>146.32825230568577</v>
      </c>
      <c r="L48">
        <f t="shared" si="10"/>
        <v>0.21740511754307418</v>
      </c>
      <c r="M48">
        <f t="shared" si="11"/>
        <v>0.21740511754307418</v>
      </c>
      <c r="N48">
        <f t="shared" si="12"/>
        <v>0.21740511754307418</v>
      </c>
      <c r="O48" s="3"/>
      <c r="P48">
        <f t="shared" si="13"/>
        <v>4153.4396845779611</v>
      </c>
      <c r="Q48">
        <f t="shared" si="6"/>
        <v>2889.3456849036111</v>
      </c>
      <c r="R48">
        <f t="shared" si="6"/>
        <v>0</v>
      </c>
      <c r="S48">
        <f t="shared" si="6"/>
        <v>0</v>
      </c>
      <c r="T48">
        <v>50</v>
      </c>
      <c r="U48" s="3"/>
      <c r="V48">
        <f t="shared" si="14"/>
        <v>7092.7853694815722</v>
      </c>
      <c r="W48" s="3"/>
      <c r="X48">
        <f t="shared" si="15"/>
        <v>3747.2309895076369</v>
      </c>
      <c r="Y48">
        <f t="shared" si="16"/>
        <v>61.214630518427839</v>
      </c>
      <c r="AA48">
        <f t="shared" si="17"/>
        <v>6.4406402965006991E-5</v>
      </c>
      <c r="AB48" s="3"/>
    </row>
    <row r="49" spans="2:28" x14ac:dyDescent="0.35">
      <c r="B49">
        <v>9.8978288633461311</v>
      </c>
      <c r="C49">
        <v>7082</v>
      </c>
      <c r="D49">
        <f t="shared" si="7"/>
        <v>2.5874511137885818</v>
      </c>
      <c r="E49">
        <f t="shared" si="7"/>
        <v>151.71135144468815</v>
      </c>
      <c r="F49">
        <f t="shared" si="7"/>
        <v>-1.2128022066594326</v>
      </c>
      <c r="G49">
        <f t="shared" si="7"/>
        <v>-1.2128022066594326</v>
      </c>
      <c r="H49">
        <f t="shared" si="7"/>
        <v>-1.2128022066594326</v>
      </c>
      <c r="I49" s="3"/>
      <c r="J49">
        <f t="shared" si="8"/>
        <v>1.9299546227017077</v>
      </c>
      <c r="K49">
        <f t="shared" si="9"/>
        <v>146.72280630939051</v>
      </c>
      <c r="L49">
        <f t="shared" si="10"/>
        <v>0.2350699486478818</v>
      </c>
      <c r="M49">
        <f t="shared" si="11"/>
        <v>0.2350699486478818</v>
      </c>
      <c r="N49">
        <f t="shared" si="12"/>
        <v>0.2350699486478818</v>
      </c>
      <c r="O49" s="3"/>
      <c r="P49">
        <f t="shared" si="13"/>
        <v>4060.5013434344582</v>
      </c>
      <c r="Q49">
        <f t="shared" si="6"/>
        <v>2873.8794881043236</v>
      </c>
      <c r="R49">
        <f t="shared" si="6"/>
        <v>0</v>
      </c>
      <c r="S49">
        <f t="shared" si="6"/>
        <v>0</v>
      </c>
      <c r="T49">
        <v>50</v>
      </c>
      <c r="U49" s="3"/>
      <c r="V49">
        <f t="shared" si="14"/>
        <v>6984.3808315387814</v>
      </c>
      <c r="W49" s="3"/>
      <c r="X49">
        <f t="shared" si="15"/>
        <v>9529.5020510597715</v>
      </c>
      <c r="Y49">
        <f t="shared" si="16"/>
        <v>97.619168461218578</v>
      </c>
      <c r="AA49">
        <f t="shared" si="17"/>
        <v>1.0270909826253772E-4</v>
      </c>
      <c r="AB49" s="3"/>
    </row>
    <row r="50" spans="2:28" x14ac:dyDescent="0.35">
      <c r="B50">
        <v>11.174968071519796</v>
      </c>
      <c r="C50">
        <v>6920</v>
      </c>
      <c r="D50">
        <f t="shared" si="7"/>
        <v>2.6405613358756654</v>
      </c>
      <c r="E50">
        <f t="shared" si="7"/>
        <v>152.2410137613318</v>
      </c>
      <c r="F50">
        <f t="shared" si="7"/>
        <v>-1.0850882858420661</v>
      </c>
      <c r="G50">
        <f t="shared" si="7"/>
        <v>-1.0850882858420661</v>
      </c>
      <c r="H50">
        <f t="shared" si="7"/>
        <v>-1.0850882858420661</v>
      </c>
      <c r="I50" s="3"/>
      <c r="J50">
        <f t="shared" si="8"/>
        <v>1.9650457886923964</v>
      </c>
      <c r="K50">
        <f t="shared" si="9"/>
        <v>147.2488894805565</v>
      </c>
      <c r="L50">
        <f t="shared" si="10"/>
        <v>0.26040993410986873</v>
      </c>
      <c r="M50">
        <f t="shared" si="11"/>
        <v>0.26040993410986873</v>
      </c>
      <c r="N50">
        <f t="shared" si="12"/>
        <v>0.26040993410986873</v>
      </c>
      <c r="O50" s="3"/>
      <c r="P50">
        <f t="shared" si="13"/>
        <v>3940.7925341365985</v>
      </c>
      <c r="Q50">
        <f t="shared" si="6"/>
        <v>2853.4498896724431</v>
      </c>
      <c r="R50">
        <f t="shared" si="6"/>
        <v>0</v>
      </c>
      <c r="S50">
        <f t="shared" si="6"/>
        <v>0</v>
      </c>
      <c r="T50">
        <v>50</v>
      </c>
      <c r="U50" s="3"/>
      <c r="V50">
        <f t="shared" si="14"/>
        <v>6844.2424238090416</v>
      </c>
      <c r="W50" s="3"/>
      <c r="X50">
        <f t="shared" si="15"/>
        <v>5739.2103503288654</v>
      </c>
      <c r="Y50">
        <f t="shared" si="16"/>
        <v>75.757576190958389</v>
      </c>
      <c r="AA50">
        <f t="shared" si="17"/>
        <v>7.9707627710637674E-5</v>
      </c>
      <c r="AB50" s="3"/>
    </row>
    <row r="51" spans="2:28" x14ac:dyDescent="0.35">
      <c r="B51">
        <v>12.1328224776501</v>
      </c>
      <c r="C51">
        <v>6817</v>
      </c>
      <c r="D51">
        <f t="shared" si="7"/>
        <v>2.6803940024409805</v>
      </c>
      <c r="E51">
        <f t="shared" si="7"/>
        <v>152.63826049881459</v>
      </c>
      <c r="F51">
        <f t="shared" si="7"/>
        <v>-0.98930284522903578</v>
      </c>
      <c r="G51">
        <f t="shared" si="7"/>
        <v>-0.98930284522903578</v>
      </c>
      <c r="H51">
        <f t="shared" si="7"/>
        <v>-0.98930284522903578</v>
      </c>
      <c r="I51" s="3"/>
      <c r="J51">
        <f t="shared" si="8"/>
        <v>1.9915039136342538</v>
      </c>
      <c r="K51">
        <f t="shared" si="9"/>
        <v>147.64346018429578</v>
      </c>
      <c r="L51">
        <f t="shared" si="10"/>
        <v>0.2808021401201134</v>
      </c>
      <c r="M51">
        <f t="shared" si="11"/>
        <v>0.2808021401201134</v>
      </c>
      <c r="N51">
        <f t="shared" si="12"/>
        <v>0.2808021401201134</v>
      </c>
      <c r="O51" s="3"/>
      <c r="P51">
        <f t="shared" si="13"/>
        <v>3854.0461540871302</v>
      </c>
      <c r="Q51">
        <f t="shared" si="6"/>
        <v>2838.269993471285</v>
      </c>
      <c r="R51">
        <f t="shared" si="6"/>
        <v>0</v>
      </c>
      <c r="S51">
        <f t="shared" si="6"/>
        <v>0</v>
      </c>
      <c r="T51">
        <v>50</v>
      </c>
      <c r="U51" s="3"/>
      <c r="V51">
        <f t="shared" si="14"/>
        <v>6742.3161475584147</v>
      </c>
      <c r="W51" s="3"/>
      <c r="X51">
        <f t="shared" si="15"/>
        <v>5577.6778155164802</v>
      </c>
      <c r="Y51">
        <f t="shared" si="16"/>
        <v>74.683852441585259</v>
      </c>
      <c r="AA51">
        <f t="shared" si="17"/>
        <v>7.857791927509618E-5</v>
      </c>
      <c r="AB51" s="3"/>
    </row>
    <row r="52" spans="2:28" x14ac:dyDescent="0.35">
      <c r="B52">
        <v>13.090676883780361</v>
      </c>
      <c r="C52">
        <v>6659</v>
      </c>
      <c r="D52">
        <f t="shared" si="7"/>
        <v>2.7202266690062937</v>
      </c>
      <c r="E52">
        <f t="shared" si="7"/>
        <v>153.03550723629735</v>
      </c>
      <c r="F52">
        <f t="shared" si="7"/>
        <v>-0.8935174046160097</v>
      </c>
      <c r="G52">
        <f t="shared" si="7"/>
        <v>-0.8935174046160097</v>
      </c>
      <c r="H52">
        <f t="shared" si="7"/>
        <v>-0.8935174046160097</v>
      </c>
      <c r="I52" s="3"/>
      <c r="J52">
        <f t="shared" si="8"/>
        <v>2.0180800699753356</v>
      </c>
      <c r="K52">
        <f t="shared" si="9"/>
        <v>148.03803798216254</v>
      </c>
      <c r="L52">
        <f t="shared" si="10"/>
        <v>0.30242025418353341</v>
      </c>
      <c r="M52">
        <f t="shared" si="11"/>
        <v>0.30242025418353341</v>
      </c>
      <c r="N52">
        <f t="shared" si="12"/>
        <v>0.30242025418353341</v>
      </c>
      <c r="O52" s="3"/>
      <c r="P52">
        <f t="shared" si="13"/>
        <v>3769.8016472961954</v>
      </c>
      <c r="Q52">
        <f t="shared" si="6"/>
        <v>2823.2106385568636</v>
      </c>
      <c r="R52">
        <f t="shared" si="6"/>
        <v>0</v>
      </c>
      <c r="S52">
        <f t="shared" si="6"/>
        <v>0</v>
      </c>
      <c r="T52">
        <v>50</v>
      </c>
      <c r="U52" s="3"/>
      <c r="V52">
        <f t="shared" si="14"/>
        <v>6643.0122858530594</v>
      </c>
      <c r="W52" s="3"/>
      <c r="X52">
        <f t="shared" si="15"/>
        <v>255.60700364428337</v>
      </c>
      <c r="Y52">
        <f t="shared" si="16"/>
        <v>15.987714146940561</v>
      </c>
      <c r="AA52">
        <f t="shared" si="17"/>
        <v>1.6821324430394398E-5</v>
      </c>
      <c r="AB52" s="3"/>
    </row>
    <row r="53" spans="2:28" x14ac:dyDescent="0.35">
      <c r="B53">
        <v>14.048531289910619</v>
      </c>
      <c r="C53">
        <v>6330</v>
      </c>
      <c r="D53">
        <f t="shared" si="7"/>
        <v>2.760059335571607</v>
      </c>
      <c r="E53">
        <f t="shared" si="7"/>
        <v>153.43275397378011</v>
      </c>
      <c r="F53">
        <f t="shared" si="7"/>
        <v>-0.79773196400298385</v>
      </c>
      <c r="G53">
        <f t="shared" si="7"/>
        <v>-0.79773196400298385</v>
      </c>
      <c r="H53">
        <f t="shared" si="7"/>
        <v>-0.79773196400298385</v>
      </c>
      <c r="I53" s="3"/>
      <c r="J53">
        <f t="shared" si="8"/>
        <v>2.0447727009392689</v>
      </c>
      <c r="K53">
        <f t="shared" si="9"/>
        <v>148.43262283676955</v>
      </c>
      <c r="L53">
        <f t="shared" si="10"/>
        <v>0.32529398188151309</v>
      </c>
      <c r="M53">
        <f t="shared" si="11"/>
        <v>0.32529398188151309</v>
      </c>
      <c r="N53">
        <f t="shared" si="12"/>
        <v>0.32529398188151309</v>
      </c>
      <c r="O53" s="3"/>
      <c r="P53">
        <f t="shared" si="13"/>
        <v>3687.9730202010687</v>
      </c>
      <c r="Q53">
        <f t="shared" si="6"/>
        <v>2808.2705541562932</v>
      </c>
      <c r="R53">
        <f t="shared" si="6"/>
        <v>0</v>
      </c>
      <c r="S53">
        <f t="shared" si="6"/>
        <v>0</v>
      </c>
      <c r="T53">
        <v>50</v>
      </c>
      <c r="U53" s="3"/>
      <c r="V53">
        <f t="shared" si="14"/>
        <v>6546.2435743573624</v>
      </c>
      <c r="W53" s="3"/>
      <c r="X53">
        <f t="shared" si="15"/>
        <v>46761.28345084811</v>
      </c>
      <c r="Y53">
        <f t="shared" si="16"/>
        <v>216.24357435736238</v>
      </c>
      <c r="AA53">
        <f t="shared" si="17"/>
        <v>2.2751866131840912E-4</v>
      </c>
      <c r="AB53" s="3"/>
    </row>
    <row r="54" spans="2:28" x14ac:dyDescent="0.35">
      <c r="B54">
        <v>15.006385696040878</v>
      </c>
      <c r="C54">
        <v>6360</v>
      </c>
      <c r="D54">
        <f t="shared" si="7"/>
        <v>2.7998920021369202</v>
      </c>
      <c r="E54">
        <f t="shared" si="7"/>
        <v>153.83000071126287</v>
      </c>
      <c r="F54">
        <f t="shared" si="7"/>
        <v>-0.701946523389958</v>
      </c>
      <c r="G54">
        <f t="shared" si="7"/>
        <v>-0.701946523389958</v>
      </c>
      <c r="H54">
        <f t="shared" si="7"/>
        <v>-0.701946523389958</v>
      </c>
      <c r="I54" s="3"/>
      <c r="J54">
        <f t="shared" si="8"/>
        <v>2.0715802704411237</v>
      </c>
      <c r="K54">
        <f t="shared" si="9"/>
        <v>148.82721471102371</v>
      </c>
      <c r="L54">
        <f t="shared" si="10"/>
        <v>0.34944955088245949</v>
      </c>
      <c r="M54">
        <f t="shared" si="11"/>
        <v>0.34944955088245949</v>
      </c>
      <c r="N54">
        <f t="shared" si="12"/>
        <v>0.34944955088245949</v>
      </c>
      <c r="O54" s="3"/>
      <c r="P54">
        <f t="shared" si="13"/>
        <v>3608.4776129257334</v>
      </c>
      <c r="Q54">
        <f t="shared" si="6"/>
        <v>2793.448486176349</v>
      </c>
      <c r="R54">
        <f t="shared" si="6"/>
        <v>0</v>
      </c>
      <c r="S54">
        <f t="shared" si="6"/>
        <v>0</v>
      </c>
      <c r="T54">
        <v>50</v>
      </c>
      <c r="U54" s="3"/>
      <c r="V54">
        <f t="shared" si="14"/>
        <v>6451.9260991020819</v>
      </c>
      <c r="W54" s="3"/>
      <c r="X54">
        <f t="shared" si="15"/>
        <v>8450.4076961257888</v>
      </c>
      <c r="Y54">
        <f t="shared" si="16"/>
        <v>91.926099102081935</v>
      </c>
      <c r="AA54">
        <f t="shared" si="17"/>
        <v>9.671918839708639E-5</v>
      </c>
      <c r="AB54" s="3"/>
    </row>
    <row r="55" spans="2:28" x14ac:dyDescent="0.35">
      <c r="B55">
        <v>15.964240102171138</v>
      </c>
      <c r="C55">
        <v>6342</v>
      </c>
      <c r="D55">
        <f t="shared" si="7"/>
        <v>2.8397246687022335</v>
      </c>
      <c r="E55">
        <f t="shared" si="7"/>
        <v>154.22724744874563</v>
      </c>
      <c r="F55">
        <f t="shared" si="7"/>
        <v>-0.60616108277693193</v>
      </c>
      <c r="G55">
        <f t="shared" si="7"/>
        <v>-0.60616108277693193</v>
      </c>
      <c r="H55">
        <f t="shared" si="7"/>
        <v>-0.60616108277693193</v>
      </c>
      <c r="I55" s="3"/>
      <c r="J55">
        <f t="shared" si="8"/>
        <v>2.0985012630355127</v>
      </c>
      <c r="K55">
        <f t="shared" si="9"/>
        <v>149.22181356812297</v>
      </c>
      <c r="L55">
        <f t="shared" si="10"/>
        <v>0.37490950891489933</v>
      </c>
      <c r="M55">
        <f t="shared" si="11"/>
        <v>0.37490950891489933</v>
      </c>
      <c r="N55">
        <f t="shared" si="12"/>
        <v>0.37490950891489933</v>
      </c>
      <c r="O55" s="3"/>
      <c r="P55">
        <f t="shared" si="13"/>
        <v>3531.2359591803865</v>
      </c>
      <c r="Q55">
        <f t="shared" ref="Q55:Q82" si="18">(D$21*$A$21)/(K55+K55^2)</f>
        <v>2778.7431969417253</v>
      </c>
      <c r="R55">
        <f t="shared" ref="R55:R82" si="19">(E$21*$A$21)/(L55+L55^2)</f>
        <v>0</v>
      </c>
      <c r="S55">
        <f t="shared" ref="S55:S82" si="20">(F$21*$A$21)/(M55+M55^2)</f>
        <v>0</v>
      </c>
      <c r="T55">
        <v>50</v>
      </c>
      <c r="U55" s="3"/>
      <c r="V55">
        <f t="shared" si="14"/>
        <v>6359.9791561221118</v>
      </c>
      <c r="W55" s="3"/>
      <c r="X55">
        <f t="shared" si="15"/>
        <v>323.25005486327086</v>
      </c>
      <c r="Y55">
        <f t="shared" si="16"/>
        <v>17.979156122111817</v>
      </c>
      <c r="AA55">
        <f t="shared" si="17"/>
        <v>1.8916601543856644E-5</v>
      </c>
      <c r="AB55" s="3"/>
    </row>
    <row r="56" spans="2:28" x14ac:dyDescent="0.35">
      <c r="B56">
        <v>17.241379310344843</v>
      </c>
      <c r="C56">
        <v>6189</v>
      </c>
      <c r="D56">
        <f t="shared" si="7"/>
        <v>2.8928348907893189</v>
      </c>
      <c r="E56">
        <f t="shared" si="7"/>
        <v>154.75690976538931</v>
      </c>
      <c r="F56">
        <f t="shared" si="7"/>
        <v>-0.47844716195956138</v>
      </c>
      <c r="G56">
        <f t="shared" si="7"/>
        <v>-0.47844716195956138</v>
      </c>
      <c r="H56">
        <f t="shared" si="7"/>
        <v>-0.47844716195956138</v>
      </c>
      <c r="I56" s="3"/>
      <c r="J56">
        <f t="shared" si="8"/>
        <v>2.1345697749682317</v>
      </c>
      <c r="K56">
        <f t="shared" si="9"/>
        <v>149.74795617672245</v>
      </c>
      <c r="L56">
        <f t="shared" si="10"/>
        <v>0.41091696196167132</v>
      </c>
      <c r="M56">
        <f t="shared" si="11"/>
        <v>0.41091696196167132</v>
      </c>
      <c r="N56">
        <f t="shared" si="12"/>
        <v>0.41091696196167132</v>
      </c>
      <c r="O56" s="3"/>
      <c r="P56">
        <f t="shared" si="13"/>
        <v>3431.6212901165486</v>
      </c>
      <c r="Q56">
        <f t="shared" si="18"/>
        <v>2759.3156914917408</v>
      </c>
      <c r="R56">
        <f t="shared" si="19"/>
        <v>0</v>
      </c>
      <c r="S56">
        <f t="shared" si="20"/>
        <v>0</v>
      </c>
      <c r="T56">
        <v>50</v>
      </c>
      <c r="U56" s="3"/>
      <c r="V56">
        <f t="shared" si="14"/>
        <v>6240.936981608289</v>
      </c>
      <c r="W56" s="3"/>
      <c r="X56">
        <f t="shared" si="15"/>
        <v>2697.4500585797487</v>
      </c>
      <c r="Y56">
        <f t="shared" si="16"/>
        <v>51.936981608288988</v>
      </c>
      <c r="AA56">
        <f t="shared" si="17"/>
        <v>5.4645011134105075E-5</v>
      </c>
      <c r="AB56" s="3"/>
    </row>
    <row r="57" spans="2:28" x14ac:dyDescent="0.35">
      <c r="B57">
        <v>18.199233716475106</v>
      </c>
      <c r="C57">
        <v>6222</v>
      </c>
      <c r="D57">
        <f t="shared" si="7"/>
        <v>2.9326675573546321</v>
      </c>
      <c r="E57">
        <f t="shared" si="7"/>
        <v>155.15415650287207</v>
      </c>
      <c r="F57">
        <f t="shared" si="7"/>
        <v>-0.38266172134653509</v>
      </c>
      <c r="G57">
        <f t="shared" si="7"/>
        <v>-0.38266172134653509</v>
      </c>
      <c r="H57">
        <f t="shared" si="7"/>
        <v>-0.38266172134653509</v>
      </c>
      <c r="I57" s="3"/>
      <c r="J57">
        <f t="shared" si="8"/>
        <v>2.1617496434377337</v>
      </c>
      <c r="K57">
        <f t="shared" si="9"/>
        <v>150.14257118561994</v>
      </c>
      <c r="L57">
        <f t="shared" si="10"/>
        <v>0.43948651761799862</v>
      </c>
      <c r="M57">
        <f t="shared" si="11"/>
        <v>0.43948651761799862</v>
      </c>
      <c r="N57">
        <f t="shared" si="12"/>
        <v>0.43948651761799862</v>
      </c>
      <c r="O57" s="3"/>
      <c r="P57">
        <f t="shared" si="13"/>
        <v>3359.3463069246109</v>
      </c>
      <c r="Q57">
        <f t="shared" si="18"/>
        <v>2744.8781631233355</v>
      </c>
      <c r="R57">
        <f t="shared" si="19"/>
        <v>0</v>
      </c>
      <c r="S57">
        <f t="shared" si="20"/>
        <v>0</v>
      </c>
      <c r="T57">
        <v>50</v>
      </c>
      <c r="U57" s="3"/>
      <c r="V57">
        <f t="shared" si="14"/>
        <v>6154.2244700479459</v>
      </c>
      <c r="W57" s="3"/>
      <c r="X57">
        <f t="shared" si="15"/>
        <v>4593.5224602817771</v>
      </c>
      <c r="Y57">
        <f t="shared" si="16"/>
        <v>67.775529952054058</v>
      </c>
      <c r="AA57">
        <f t="shared" si="17"/>
        <v>7.1309392154949238E-5</v>
      </c>
      <c r="AB57" s="3"/>
    </row>
    <row r="58" spans="2:28" x14ac:dyDescent="0.35">
      <c r="B58">
        <v>19.157088122605366</v>
      </c>
      <c r="C58">
        <v>6047</v>
      </c>
      <c r="D58">
        <f t="shared" si="7"/>
        <v>2.9725002239199454</v>
      </c>
      <c r="E58">
        <f t="shared" si="7"/>
        <v>155.55140324035483</v>
      </c>
      <c r="F58">
        <f t="shared" si="7"/>
        <v>-0.28687628073350924</v>
      </c>
      <c r="G58">
        <f t="shared" si="7"/>
        <v>-0.28687628073350924</v>
      </c>
      <c r="H58">
        <f t="shared" si="7"/>
        <v>-0.28687628073350924</v>
      </c>
      <c r="I58" s="3"/>
      <c r="J58">
        <f t="shared" si="8"/>
        <v>2.1890380315790177</v>
      </c>
      <c r="K58">
        <f t="shared" si="9"/>
        <v>150.53719305675227</v>
      </c>
      <c r="L58">
        <f t="shared" si="10"/>
        <v>0.46940757574733549</v>
      </c>
      <c r="M58">
        <f t="shared" si="11"/>
        <v>0.46940757574733549</v>
      </c>
      <c r="N58">
        <f t="shared" si="12"/>
        <v>0.46940757574733549</v>
      </c>
      <c r="O58" s="3"/>
      <c r="P58">
        <f t="shared" si="13"/>
        <v>3289.0815783742437</v>
      </c>
      <c r="Q58">
        <f t="shared" si="18"/>
        <v>2730.5534032253254</v>
      </c>
      <c r="R58">
        <f t="shared" si="19"/>
        <v>0</v>
      </c>
      <c r="S58">
        <f t="shared" si="20"/>
        <v>0</v>
      </c>
      <c r="T58">
        <v>50</v>
      </c>
      <c r="U58" s="3"/>
      <c r="V58">
        <f t="shared" si="14"/>
        <v>6069.6349815995691</v>
      </c>
      <c r="W58" s="3"/>
      <c r="X58">
        <f t="shared" si="15"/>
        <v>512.34239201283049</v>
      </c>
      <c r="Y58">
        <f t="shared" si="16"/>
        <v>22.634981599569073</v>
      </c>
      <c r="AA58">
        <f t="shared" si="17"/>
        <v>2.3815184926559375E-5</v>
      </c>
      <c r="AB58" s="3"/>
    </row>
    <row r="59" spans="2:28" x14ac:dyDescent="0.35">
      <c r="B59">
        <v>20.114942528735671</v>
      </c>
      <c r="C59">
        <v>5875</v>
      </c>
      <c r="D59">
        <f t="shared" si="7"/>
        <v>3.0123328904852609</v>
      </c>
      <c r="E59">
        <f t="shared" si="7"/>
        <v>155.94864997783762</v>
      </c>
      <c r="F59">
        <f t="shared" si="7"/>
        <v>-0.1910908401204785</v>
      </c>
      <c r="G59">
        <f t="shared" si="7"/>
        <v>-0.1910908401204785</v>
      </c>
      <c r="H59">
        <f t="shared" si="7"/>
        <v>-0.1910908401204785</v>
      </c>
      <c r="I59" s="3"/>
      <c r="J59">
        <f t="shared" si="8"/>
        <v>2.2164335123955907</v>
      </c>
      <c r="K59">
        <f t="shared" si="9"/>
        <v>150.93182175454405</v>
      </c>
      <c r="L59">
        <f t="shared" si="10"/>
        <v>0.50068576003801202</v>
      </c>
      <c r="M59">
        <f t="shared" si="11"/>
        <v>0.50068576003801202</v>
      </c>
      <c r="N59">
        <f t="shared" si="12"/>
        <v>0.50068576003801202</v>
      </c>
      <c r="O59" s="3"/>
      <c r="P59">
        <f t="shared" si="13"/>
        <v>3220.7600030733092</v>
      </c>
      <c r="Q59">
        <f t="shared" si="18"/>
        <v>2716.340242356689</v>
      </c>
      <c r="R59">
        <f t="shared" si="19"/>
        <v>0</v>
      </c>
      <c r="S59">
        <f t="shared" si="20"/>
        <v>0</v>
      </c>
      <c r="T59">
        <v>50</v>
      </c>
      <c r="U59" s="3"/>
      <c r="V59">
        <f t="shared" si="14"/>
        <v>5987.1002454299978</v>
      </c>
      <c r="W59" s="3"/>
      <c r="X59">
        <f t="shared" si="15"/>
        <v>12566.465025465746</v>
      </c>
      <c r="Y59">
        <f t="shared" si="16"/>
        <v>112.10024542999781</v>
      </c>
      <c r="AA59">
        <f t="shared" si="17"/>
        <v>1.1794522842814753E-4</v>
      </c>
      <c r="AB59" s="3"/>
    </row>
    <row r="60" spans="2:28" x14ac:dyDescent="0.35">
      <c r="B60">
        <v>21.072796934865931</v>
      </c>
      <c r="C60">
        <v>5980</v>
      </c>
      <c r="D60">
        <f t="shared" si="7"/>
        <v>3.0521655570505741</v>
      </c>
      <c r="E60">
        <f t="shared" si="7"/>
        <v>156.34589671532038</v>
      </c>
      <c r="F60">
        <f t="shared" si="7"/>
        <v>-9.5305399507452648E-2</v>
      </c>
      <c r="G60">
        <f t="shared" si="7"/>
        <v>-9.5305399507452648E-2</v>
      </c>
      <c r="H60">
        <f t="shared" si="7"/>
        <v>-9.5305399507452648E-2</v>
      </c>
      <c r="I60" s="3"/>
      <c r="J60">
        <f t="shared" si="8"/>
        <v>2.2439346789957391</v>
      </c>
      <c r="K60">
        <f t="shared" si="9"/>
        <v>151.3264572436951</v>
      </c>
      <c r="L60">
        <f t="shared" si="10"/>
        <v>0.53332287308078552</v>
      </c>
      <c r="M60">
        <f t="shared" si="11"/>
        <v>0.53332287308078552</v>
      </c>
      <c r="N60">
        <f t="shared" si="12"/>
        <v>0.53332287308078552</v>
      </c>
      <c r="O60" s="3"/>
      <c r="P60">
        <f t="shared" si="13"/>
        <v>3154.3170237040094</v>
      </c>
      <c r="Q60">
        <f t="shared" si="18"/>
        <v>2702.2375261766601</v>
      </c>
      <c r="R60">
        <f t="shared" si="19"/>
        <v>0</v>
      </c>
      <c r="S60">
        <f t="shared" si="20"/>
        <v>0</v>
      </c>
      <c r="T60">
        <v>50</v>
      </c>
      <c r="U60" s="3"/>
      <c r="V60">
        <f t="shared" si="14"/>
        <v>5906.5545498806696</v>
      </c>
      <c r="W60" s="3"/>
      <c r="X60">
        <f t="shared" si="15"/>
        <v>5394.2341432310523</v>
      </c>
      <c r="Y60">
        <f t="shared" si="16"/>
        <v>73.445450119330417</v>
      </c>
      <c r="AA60">
        <f t="shared" si="17"/>
        <v>7.7274945813940763E-5</v>
      </c>
      <c r="AB60" s="3"/>
    </row>
    <row r="61" spans="2:28" x14ac:dyDescent="0.35">
      <c r="B61">
        <v>22.030651340996187</v>
      </c>
      <c r="C61">
        <v>5807</v>
      </c>
      <c r="D61">
        <f t="shared" si="7"/>
        <v>3.0919982236158869</v>
      </c>
      <c r="E61">
        <f t="shared" si="7"/>
        <v>156.74314345280314</v>
      </c>
      <c r="F61">
        <f t="shared" si="7"/>
        <v>4.8004110557275936E-4</v>
      </c>
      <c r="G61">
        <f t="shared" si="7"/>
        <v>4.8004110557275936E-4</v>
      </c>
      <c r="H61">
        <f t="shared" si="7"/>
        <v>4.8004110557275936E-4</v>
      </c>
      <c r="I61" s="3"/>
      <c r="J61">
        <f t="shared" si="8"/>
        <v>2.2715401444522625</v>
      </c>
      <c r="K61">
        <f t="shared" si="9"/>
        <v>151.72109948917785</v>
      </c>
      <c r="L61">
        <f t="shared" si="10"/>
        <v>0.56731703246704679</v>
      </c>
      <c r="M61">
        <f t="shared" si="11"/>
        <v>0.56731703246704679</v>
      </c>
      <c r="N61">
        <f t="shared" si="12"/>
        <v>0.56731703246704679</v>
      </c>
      <c r="O61" s="3"/>
      <c r="P61">
        <f t="shared" si="13"/>
        <v>3089.69052162558</v>
      </c>
      <c r="Q61">
        <f t="shared" si="18"/>
        <v>2688.2441152116048</v>
      </c>
      <c r="R61">
        <f t="shared" si="19"/>
        <v>0</v>
      </c>
      <c r="S61">
        <f t="shared" si="20"/>
        <v>0</v>
      </c>
      <c r="T61">
        <v>50</v>
      </c>
      <c r="U61" s="3"/>
      <c r="V61">
        <f t="shared" si="14"/>
        <v>5827.9346368371844</v>
      </c>
      <c r="W61" s="3"/>
      <c r="X61">
        <f t="shared" si="15"/>
        <v>438.25901950479687</v>
      </c>
      <c r="Y61">
        <f t="shared" si="16"/>
        <v>20.934636837184371</v>
      </c>
      <c r="AA61">
        <f t="shared" si="17"/>
        <v>2.2026183032435049E-5</v>
      </c>
      <c r="AB61" s="3"/>
    </row>
    <row r="62" spans="2:28" x14ac:dyDescent="0.35">
      <c r="B62">
        <v>22.988505747126446</v>
      </c>
      <c r="C62">
        <v>5805</v>
      </c>
      <c r="D62">
        <f t="shared" si="7"/>
        <v>3.1318308901812002</v>
      </c>
      <c r="E62">
        <f t="shared" si="7"/>
        <v>157.1403901902859</v>
      </c>
      <c r="F62">
        <f t="shared" si="7"/>
        <v>9.6265481718599055E-2</v>
      </c>
      <c r="G62">
        <f t="shared" si="7"/>
        <v>9.6265481718599055E-2</v>
      </c>
      <c r="H62">
        <f t="shared" si="7"/>
        <v>9.6265481718599055E-2</v>
      </c>
      <c r="I62" s="3"/>
      <c r="J62">
        <f t="shared" si="8"/>
        <v>2.2992485416519353</v>
      </c>
      <c r="K62">
        <f t="shared" si="9"/>
        <v>152.11574845623437</v>
      </c>
      <c r="L62">
        <f t="shared" si="10"/>
        <v>0.60266284676658788</v>
      </c>
      <c r="M62">
        <f t="shared" si="11"/>
        <v>0.60266284676658788</v>
      </c>
      <c r="N62">
        <f t="shared" si="12"/>
        <v>0.60266284676658788</v>
      </c>
      <c r="O62" s="3"/>
      <c r="P62">
        <f t="shared" si="13"/>
        <v>3026.8207160955503</v>
      </c>
      <c r="Q62">
        <f t="shared" si="18"/>
        <v>2674.3588846260873</v>
      </c>
      <c r="R62">
        <f t="shared" si="19"/>
        <v>0</v>
      </c>
      <c r="S62">
        <f t="shared" si="20"/>
        <v>0</v>
      </c>
      <c r="T62">
        <v>50</v>
      </c>
      <c r="U62" s="3"/>
      <c r="V62">
        <f t="shared" si="14"/>
        <v>5751.1796007216381</v>
      </c>
      <c r="W62" s="3"/>
      <c r="X62">
        <f t="shared" si="15"/>
        <v>2896.6353784823032</v>
      </c>
      <c r="Y62">
        <f t="shared" si="16"/>
        <v>53.820399278361947</v>
      </c>
      <c r="AA62">
        <f t="shared" si="17"/>
        <v>5.6626631481770435E-5</v>
      </c>
      <c r="AB62" s="3"/>
    </row>
    <row r="63" spans="2:28" x14ac:dyDescent="0.35">
      <c r="B63">
        <v>24.265644955300154</v>
      </c>
      <c r="C63">
        <v>5734</v>
      </c>
      <c r="D63">
        <f t="shared" si="7"/>
        <v>3.1849411122682856</v>
      </c>
      <c r="E63">
        <f t="shared" si="7"/>
        <v>157.67005250692961</v>
      </c>
      <c r="F63">
        <f t="shared" si="7"/>
        <v>0.22397940253596982</v>
      </c>
      <c r="G63">
        <f t="shared" si="7"/>
        <v>0.22397940253596982</v>
      </c>
      <c r="H63">
        <f t="shared" si="7"/>
        <v>0.22397940253596982</v>
      </c>
      <c r="I63" s="3"/>
      <c r="J63">
        <f t="shared" si="8"/>
        <v>2.3363508611644983</v>
      </c>
      <c r="K63">
        <f t="shared" si="9"/>
        <v>152.64195747518201</v>
      </c>
      <c r="L63">
        <f t="shared" si="10"/>
        <v>0.65187770547478807</v>
      </c>
      <c r="M63">
        <f t="shared" si="11"/>
        <v>0.65187770547478807</v>
      </c>
      <c r="N63">
        <f t="shared" si="12"/>
        <v>0.65187770547478807</v>
      </c>
      <c r="O63" s="3"/>
      <c r="P63">
        <f t="shared" si="13"/>
        <v>2945.6278086029547</v>
      </c>
      <c r="Q63">
        <f t="shared" si="18"/>
        <v>2656.0116072361416</v>
      </c>
      <c r="R63">
        <f t="shared" si="19"/>
        <v>0</v>
      </c>
      <c r="S63">
        <f t="shared" si="20"/>
        <v>0</v>
      </c>
      <c r="T63">
        <v>50</v>
      </c>
      <c r="U63" s="3"/>
      <c r="V63">
        <f t="shared" si="14"/>
        <v>5651.6394158390958</v>
      </c>
      <c r="W63" s="3"/>
      <c r="X63">
        <f t="shared" si="15"/>
        <v>6783.2658233253806</v>
      </c>
      <c r="Y63">
        <f t="shared" si="16"/>
        <v>82.360584160904182</v>
      </c>
      <c r="AA63">
        <f t="shared" si="17"/>
        <v>8.6654921004606958E-5</v>
      </c>
      <c r="AB63" s="3"/>
    </row>
    <row r="64" spans="2:28" x14ac:dyDescent="0.35">
      <c r="B64">
        <v>25.223499361430413</v>
      </c>
      <c r="C64">
        <v>5768</v>
      </c>
      <c r="D64">
        <f t="shared" si="7"/>
        <v>3.2247737788335993</v>
      </c>
      <c r="E64">
        <f t="shared" si="7"/>
        <v>158.06729924441234</v>
      </c>
      <c r="F64">
        <f t="shared" si="7"/>
        <v>0.31976484314899567</v>
      </c>
      <c r="G64">
        <f t="shared" si="7"/>
        <v>0.31976484314899567</v>
      </c>
      <c r="H64">
        <f t="shared" si="7"/>
        <v>0.31976484314899567</v>
      </c>
      <c r="I64" s="3"/>
      <c r="J64">
        <f t="shared" si="8"/>
        <v>2.3642942259658986</v>
      </c>
      <c r="K64">
        <f t="shared" si="9"/>
        <v>153.03662199223544</v>
      </c>
      <c r="L64">
        <f t="shared" si="10"/>
        <v>0.69033832239579185</v>
      </c>
      <c r="M64">
        <f t="shared" si="11"/>
        <v>0.69033832239579185</v>
      </c>
      <c r="N64">
        <f t="shared" si="12"/>
        <v>0.69033832239579185</v>
      </c>
      <c r="O64" s="3"/>
      <c r="P64">
        <f t="shared" si="13"/>
        <v>2886.6369002904826</v>
      </c>
      <c r="Q64">
        <f t="shared" si="18"/>
        <v>2642.3745037271651</v>
      </c>
      <c r="R64">
        <f t="shared" si="19"/>
        <v>0</v>
      </c>
      <c r="S64">
        <f t="shared" si="20"/>
        <v>0</v>
      </c>
      <c r="T64">
        <v>50</v>
      </c>
      <c r="U64" s="3"/>
      <c r="V64">
        <f t="shared" si="14"/>
        <v>5579.0114040176477</v>
      </c>
      <c r="W64" s="3"/>
      <c r="X64">
        <f t="shared" si="15"/>
        <v>35716.689411380794</v>
      </c>
      <c r="Y64">
        <f t="shared" si="16"/>
        <v>188.98859598235231</v>
      </c>
      <c r="AA64">
        <f t="shared" si="17"/>
        <v>1.9884258984404136E-4</v>
      </c>
      <c r="AB64" s="3"/>
    </row>
    <row r="65" spans="2:28" x14ac:dyDescent="0.35">
      <c r="B65">
        <v>26.181353767560676</v>
      </c>
      <c r="C65">
        <v>5485</v>
      </c>
      <c r="D65">
        <f t="shared" si="7"/>
        <v>3.2646064453989125</v>
      </c>
      <c r="E65">
        <f t="shared" si="7"/>
        <v>158.46454598189513</v>
      </c>
      <c r="F65">
        <f t="shared" si="7"/>
        <v>0.41555028376202197</v>
      </c>
      <c r="G65">
        <f t="shared" si="7"/>
        <v>0.41555028376202197</v>
      </c>
      <c r="H65">
        <f t="shared" si="7"/>
        <v>0.41555028376202197</v>
      </c>
      <c r="I65" s="3"/>
      <c r="J65">
        <f t="shared" si="8"/>
        <v>2.3923361064511166</v>
      </c>
      <c r="K65">
        <f t="shared" si="9"/>
        <v>153.43129311691567</v>
      </c>
      <c r="L65">
        <f t="shared" si="10"/>
        <v>0.73011014982004818</v>
      </c>
      <c r="M65">
        <f t="shared" si="11"/>
        <v>0.73011014982004818</v>
      </c>
      <c r="N65">
        <f t="shared" si="12"/>
        <v>0.73011014982004818</v>
      </c>
      <c r="O65" s="3"/>
      <c r="P65">
        <f t="shared" si="13"/>
        <v>2829.2190980785363</v>
      </c>
      <c r="Q65">
        <f t="shared" si="18"/>
        <v>2628.841934009733</v>
      </c>
      <c r="R65">
        <f t="shared" si="19"/>
        <v>0</v>
      </c>
      <c r="S65">
        <f t="shared" si="20"/>
        <v>0</v>
      </c>
      <c r="T65">
        <v>50</v>
      </c>
      <c r="U65" s="3"/>
      <c r="V65">
        <f t="shared" si="14"/>
        <v>5508.0610320882697</v>
      </c>
      <c r="W65" s="3"/>
      <c r="X65">
        <f t="shared" si="15"/>
        <v>531.81120097620533</v>
      </c>
      <c r="Y65">
        <f t="shared" si="16"/>
        <v>23.061032088269712</v>
      </c>
      <c r="AA65">
        <f t="shared" si="17"/>
        <v>2.426344997735358E-5</v>
      </c>
      <c r="AB65" s="3"/>
    </row>
    <row r="66" spans="2:28" x14ac:dyDescent="0.35">
      <c r="B66">
        <v>27.139208173690935</v>
      </c>
      <c r="C66">
        <v>5238</v>
      </c>
      <c r="D66">
        <f t="shared" si="7"/>
        <v>3.3044391119642258</v>
      </c>
      <c r="E66">
        <f t="shared" si="7"/>
        <v>158.86179271937789</v>
      </c>
      <c r="F66">
        <f t="shared" si="7"/>
        <v>0.51133572437504782</v>
      </c>
      <c r="G66">
        <f t="shared" si="7"/>
        <v>0.51133572437504782</v>
      </c>
      <c r="H66">
        <f t="shared" si="7"/>
        <v>0.51133572437504782</v>
      </c>
      <c r="I66" s="3"/>
      <c r="J66">
        <f t="shared" si="8"/>
        <v>2.4204752194149508</v>
      </c>
      <c r="K66">
        <f t="shared" si="9"/>
        <v>153.82597081560206</v>
      </c>
      <c r="L66">
        <f t="shared" si="10"/>
        <v>0.77117529502859095</v>
      </c>
      <c r="M66">
        <f t="shared" si="11"/>
        <v>0.77117529502859095</v>
      </c>
      <c r="N66">
        <f t="shared" si="12"/>
        <v>0.77117529502859095</v>
      </c>
      <c r="O66" s="3"/>
      <c r="P66">
        <f t="shared" si="13"/>
        <v>2773.3236912385619</v>
      </c>
      <c r="Q66">
        <f t="shared" si="18"/>
        <v>2615.4128341334467</v>
      </c>
      <c r="R66">
        <f t="shared" si="19"/>
        <v>0</v>
      </c>
      <c r="S66">
        <f t="shared" si="20"/>
        <v>0</v>
      </c>
      <c r="T66">
        <v>50</v>
      </c>
      <c r="U66" s="3"/>
      <c r="V66">
        <f t="shared" si="14"/>
        <v>5438.7365253720091</v>
      </c>
      <c r="W66" s="3"/>
      <c r="X66">
        <f t="shared" si="15"/>
        <v>40295.152618427237</v>
      </c>
      <c r="Y66">
        <f t="shared" si="16"/>
        <v>200.73652537200905</v>
      </c>
      <c r="AA66">
        <f t="shared" si="17"/>
        <v>2.1120306425786477E-4</v>
      </c>
      <c r="AB66" s="3"/>
    </row>
    <row r="67" spans="2:28" x14ac:dyDescent="0.35">
      <c r="B67">
        <v>28.097062579821237</v>
      </c>
      <c r="C67">
        <v>5479</v>
      </c>
      <c r="D67">
        <f t="shared" si="7"/>
        <v>3.3442717785295408</v>
      </c>
      <c r="E67">
        <f t="shared" si="7"/>
        <v>159.25903945686065</v>
      </c>
      <c r="F67">
        <f t="shared" si="7"/>
        <v>0.60712116498807811</v>
      </c>
      <c r="G67">
        <f t="shared" si="7"/>
        <v>0.60712116498807811</v>
      </c>
      <c r="H67">
        <f t="shared" si="7"/>
        <v>0.60712116498807811</v>
      </c>
      <c r="I67" s="3"/>
      <c r="J67">
        <f t="shared" si="8"/>
        <v>2.4487103005237163</v>
      </c>
      <c r="K67">
        <f t="shared" si="9"/>
        <v>154.22065505492932</v>
      </c>
      <c r="L67">
        <f t="shared" si="10"/>
        <v>0.8135136895217977</v>
      </c>
      <c r="M67">
        <f t="shared" si="11"/>
        <v>0.8135136895217977</v>
      </c>
      <c r="N67">
        <f t="shared" si="12"/>
        <v>0.8135136895217977</v>
      </c>
      <c r="O67" s="3"/>
      <c r="P67">
        <f t="shared" si="13"/>
        <v>2718.9018393033052</v>
      </c>
      <c r="Q67">
        <f t="shared" si="18"/>
        <v>2602.0861536323455</v>
      </c>
      <c r="R67">
        <f t="shared" si="19"/>
        <v>0</v>
      </c>
      <c r="S67">
        <f t="shared" si="20"/>
        <v>0</v>
      </c>
      <c r="T67">
        <v>50</v>
      </c>
      <c r="U67" s="3"/>
      <c r="V67">
        <f t="shared" si="14"/>
        <v>5370.9879929356503</v>
      </c>
      <c r="W67" s="3"/>
      <c r="X67">
        <f t="shared" si="15"/>
        <v>11666.59367006914</v>
      </c>
      <c r="Y67">
        <f t="shared" si="16"/>
        <v>108.01200706434975</v>
      </c>
      <c r="AA67">
        <f t="shared" si="17"/>
        <v>1.1364382653508757E-4</v>
      </c>
      <c r="AB67" s="3"/>
    </row>
    <row r="68" spans="2:28" x14ac:dyDescent="0.35">
      <c r="B68">
        <v>29.054916985951497</v>
      </c>
      <c r="C68">
        <v>5367</v>
      </c>
      <c r="D68">
        <f t="shared" si="7"/>
        <v>3.3841044450948541</v>
      </c>
      <c r="E68">
        <f t="shared" si="7"/>
        <v>159.65628619434341</v>
      </c>
      <c r="F68">
        <f t="shared" si="7"/>
        <v>0.70290660560110396</v>
      </c>
      <c r="G68">
        <f t="shared" si="7"/>
        <v>0.70290660560110396</v>
      </c>
      <c r="H68">
        <f t="shared" si="7"/>
        <v>0.70290660560110396</v>
      </c>
      <c r="I68" s="3"/>
      <c r="J68">
        <f t="shared" si="8"/>
        <v>2.4770401041179797</v>
      </c>
      <c r="K68">
        <f t="shared" si="9"/>
        <v>154.61534580178508</v>
      </c>
      <c r="L68">
        <f t="shared" si="10"/>
        <v>0.8571033629953464</v>
      </c>
      <c r="M68">
        <f t="shared" si="11"/>
        <v>0.8571033629953464</v>
      </c>
      <c r="N68">
        <f t="shared" si="12"/>
        <v>0.8571033629953464</v>
      </c>
      <c r="O68" s="3"/>
      <c r="P68">
        <f t="shared" si="13"/>
        <v>2665.9064960899386</v>
      </c>
      <c r="Q68">
        <f t="shared" si="18"/>
        <v>2588.8608553205568</v>
      </c>
      <c r="R68">
        <f t="shared" si="19"/>
        <v>0</v>
      </c>
      <c r="S68">
        <f t="shared" si="20"/>
        <v>0</v>
      </c>
      <c r="T68">
        <v>50</v>
      </c>
      <c r="U68" s="3"/>
      <c r="V68">
        <f t="shared" si="14"/>
        <v>5304.7673514104954</v>
      </c>
      <c r="W68" s="3"/>
      <c r="X68">
        <f t="shared" si="15"/>
        <v>3872.9025504647698</v>
      </c>
      <c r="Y68">
        <f t="shared" si="16"/>
        <v>62.232648589504606</v>
      </c>
      <c r="AA68">
        <f t="shared" si="17"/>
        <v>6.5477501190319183E-5</v>
      </c>
      <c r="AB68" s="3"/>
    </row>
    <row r="69" spans="2:28" x14ac:dyDescent="0.35">
      <c r="B69">
        <v>30.012771392081756</v>
      </c>
      <c r="C69">
        <v>5195</v>
      </c>
      <c r="D69">
        <f t="shared" si="7"/>
        <v>3.4239371116601673</v>
      </c>
      <c r="E69">
        <f t="shared" si="7"/>
        <v>160.05353293182617</v>
      </c>
      <c r="F69">
        <f t="shared" si="7"/>
        <v>0.79869204621412981</v>
      </c>
      <c r="G69">
        <f t="shared" si="7"/>
        <v>0.79869204621412981</v>
      </c>
      <c r="H69">
        <f t="shared" si="7"/>
        <v>0.79869204621412981</v>
      </c>
      <c r="I69" s="3"/>
      <c r="J69">
        <f t="shared" si="8"/>
        <v>2.5054634030103919</v>
      </c>
      <c r="K69">
        <f t="shared" si="9"/>
        <v>155.01004302330719</v>
      </c>
      <c r="L69">
        <f t="shared" si="10"/>
        <v>0.90192071173269095</v>
      </c>
      <c r="M69">
        <f t="shared" si="11"/>
        <v>0.90192071173269095</v>
      </c>
      <c r="N69">
        <f t="shared" si="12"/>
        <v>0.90192071173269095</v>
      </c>
      <c r="O69" s="3"/>
      <c r="P69">
        <f t="shared" si="13"/>
        <v>2614.2923370199537</v>
      </c>
      <c r="Q69">
        <f t="shared" si="18"/>
        <v>2575.7359150915581</v>
      </c>
      <c r="R69">
        <f t="shared" si="19"/>
        <v>0</v>
      </c>
      <c r="S69">
        <f t="shared" si="20"/>
        <v>0</v>
      </c>
      <c r="T69">
        <v>50</v>
      </c>
      <c r="U69" s="3"/>
      <c r="V69">
        <f t="shared" si="14"/>
        <v>5240.0282521115114</v>
      </c>
      <c r="W69" s="3"/>
      <c r="X69">
        <f t="shared" si="15"/>
        <v>2027.5434882178301</v>
      </c>
      <c r="Y69">
        <f t="shared" si="16"/>
        <v>45.028252111511392</v>
      </c>
      <c r="AA69">
        <f t="shared" si="17"/>
        <v>4.737605578507725E-5</v>
      </c>
      <c r="AB69" s="3"/>
    </row>
    <row r="70" spans="2:28" x14ac:dyDescent="0.35">
      <c r="B70">
        <v>31.289910600255467</v>
      </c>
      <c r="C70">
        <v>5249</v>
      </c>
      <c r="D70">
        <f t="shared" si="7"/>
        <v>3.4770473337472527</v>
      </c>
      <c r="E70">
        <f t="shared" si="7"/>
        <v>160.58319524846988</v>
      </c>
      <c r="F70">
        <f t="shared" si="7"/>
        <v>0.92640596703150102</v>
      </c>
      <c r="G70">
        <f t="shared" si="7"/>
        <v>0.92640596703150102</v>
      </c>
      <c r="H70">
        <f t="shared" si="7"/>
        <v>0.92640596703150102</v>
      </c>
      <c r="I70" s="3"/>
      <c r="J70">
        <f t="shared" si="8"/>
        <v>2.5435044851075705</v>
      </c>
      <c r="K70">
        <f t="shared" si="9"/>
        <v>155.53631600070472</v>
      </c>
      <c r="L70">
        <f t="shared" si="10"/>
        <v>0.96354355460698227</v>
      </c>
      <c r="M70">
        <f t="shared" si="11"/>
        <v>0.96354355460698227</v>
      </c>
      <c r="N70">
        <f t="shared" si="12"/>
        <v>0.96354355460698227</v>
      </c>
      <c r="O70" s="3"/>
      <c r="P70">
        <f t="shared" si="13"/>
        <v>2547.5467131924302</v>
      </c>
      <c r="Q70">
        <f t="shared" si="18"/>
        <v>2558.3903613954362</v>
      </c>
      <c r="R70">
        <f t="shared" si="19"/>
        <v>0</v>
      </c>
      <c r="S70">
        <f t="shared" si="20"/>
        <v>0</v>
      </c>
      <c r="T70">
        <v>50</v>
      </c>
      <c r="U70" s="3"/>
      <c r="V70">
        <f t="shared" si="14"/>
        <v>5155.9370745878659</v>
      </c>
      <c r="W70" s="3"/>
      <c r="X70">
        <f t="shared" si="15"/>
        <v>8660.7080862644289</v>
      </c>
      <c r="Y70">
        <f t="shared" si="16"/>
        <v>93.062925412134064</v>
      </c>
      <c r="AA70">
        <f t="shared" si="17"/>
        <v>9.7915289603715385E-5</v>
      </c>
      <c r="AB70" s="3"/>
    </row>
    <row r="71" spans="2:28" x14ac:dyDescent="0.35">
      <c r="B71">
        <v>32.24776500638572</v>
      </c>
      <c r="C71">
        <v>4905</v>
      </c>
      <c r="D71">
        <f t="shared" si="7"/>
        <v>3.516880000312566</v>
      </c>
      <c r="E71">
        <f t="shared" si="7"/>
        <v>160.98044198595261</v>
      </c>
      <c r="F71">
        <f t="shared" si="7"/>
        <v>1.0221914076445264</v>
      </c>
      <c r="G71">
        <f t="shared" si="7"/>
        <v>1.0221914076445264</v>
      </c>
      <c r="H71">
        <f t="shared" si="7"/>
        <v>1.0221914076445264</v>
      </c>
      <c r="I71" s="3"/>
      <c r="J71">
        <f t="shared" si="8"/>
        <v>2.5721412695089581</v>
      </c>
      <c r="K71">
        <f t="shared" si="9"/>
        <v>155.93102820337145</v>
      </c>
      <c r="L71">
        <f t="shared" si="10"/>
        <v>1.011126425486798</v>
      </c>
      <c r="M71">
        <f t="shared" si="11"/>
        <v>1.011126425486798</v>
      </c>
      <c r="N71">
        <f t="shared" si="12"/>
        <v>1.011126425486798</v>
      </c>
      <c r="O71" s="3"/>
      <c r="P71">
        <f t="shared" si="13"/>
        <v>2498.9882108324705</v>
      </c>
      <c r="Q71">
        <f t="shared" si="18"/>
        <v>2545.4956793900433</v>
      </c>
      <c r="R71">
        <f t="shared" si="19"/>
        <v>0</v>
      </c>
      <c r="S71">
        <f t="shared" si="20"/>
        <v>0</v>
      </c>
      <c r="T71">
        <v>50</v>
      </c>
      <c r="U71" s="3"/>
      <c r="V71">
        <f t="shared" si="14"/>
        <v>5094.4838902225138</v>
      </c>
      <c r="W71" s="3"/>
      <c r="X71">
        <f t="shared" si="15"/>
        <v>35904.144653857649</v>
      </c>
      <c r="Y71">
        <f t="shared" si="16"/>
        <v>189.48389022251376</v>
      </c>
      <c r="AA71">
        <f t="shared" si="17"/>
        <v>1.9936370906256678E-4</v>
      </c>
      <c r="AB71" s="3"/>
    </row>
    <row r="72" spans="2:28" x14ac:dyDescent="0.35">
      <c r="B72">
        <v>33.205619412515986</v>
      </c>
      <c r="C72">
        <v>4935</v>
      </c>
      <c r="D72">
        <f t="shared" si="7"/>
        <v>3.5567126668778792</v>
      </c>
      <c r="E72">
        <f t="shared" si="7"/>
        <v>161.3776887234354</v>
      </c>
      <c r="F72">
        <f t="shared" si="7"/>
        <v>1.1179768482575532</v>
      </c>
      <c r="G72">
        <f t="shared" si="7"/>
        <v>1.1179768482575532</v>
      </c>
      <c r="H72">
        <f t="shared" si="7"/>
        <v>1.1179768482575532</v>
      </c>
      <c r="I72" s="3"/>
      <c r="J72">
        <f t="shared" si="8"/>
        <v>2.6008675893141988</v>
      </c>
      <c r="K72">
        <f t="shared" si="9"/>
        <v>156.32574677293962</v>
      </c>
      <c r="L72">
        <f t="shared" si="10"/>
        <v>1.0598497219394132</v>
      </c>
      <c r="M72">
        <f t="shared" si="11"/>
        <v>1.0598497219394132</v>
      </c>
      <c r="N72">
        <f t="shared" si="12"/>
        <v>1.0598497219394132</v>
      </c>
      <c r="O72" s="3"/>
      <c r="P72">
        <f t="shared" si="13"/>
        <v>2451.6713739949387</v>
      </c>
      <c r="Q72">
        <f t="shared" si="18"/>
        <v>2532.6980337346163</v>
      </c>
      <c r="R72">
        <f t="shared" si="19"/>
        <v>0</v>
      </c>
      <c r="S72">
        <f t="shared" si="20"/>
        <v>0</v>
      </c>
      <c r="T72">
        <v>50</v>
      </c>
      <c r="U72" s="3"/>
      <c r="V72">
        <f t="shared" si="14"/>
        <v>5034.369407729555</v>
      </c>
      <c r="W72" s="3"/>
      <c r="X72">
        <f t="shared" si="15"/>
        <v>9874.2791925225356</v>
      </c>
      <c r="Y72">
        <f t="shared" si="16"/>
        <v>99.36940772955495</v>
      </c>
      <c r="AA72">
        <f t="shared" si="17"/>
        <v>1.045505961960704E-4</v>
      </c>
      <c r="AB72" s="3"/>
    </row>
    <row r="73" spans="2:28" x14ac:dyDescent="0.35">
      <c r="B73">
        <v>34.163473818646239</v>
      </c>
      <c r="C73">
        <v>4928</v>
      </c>
      <c r="D73">
        <f t="shared" si="7"/>
        <v>3.5965453334431925</v>
      </c>
      <c r="E73">
        <f t="shared" si="7"/>
        <v>161.77493546091813</v>
      </c>
      <c r="F73">
        <f t="shared" si="7"/>
        <v>1.2137622888705781</v>
      </c>
      <c r="G73">
        <f t="shared" si="7"/>
        <v>1.2137622888705781</v>
      </c>
      <c r="H73">
        <f t="shared" si="7"/>
        <v>1.2137622888705781</v>
      </c>
      <c r="I73" s="3"/>
      <c r="J73">
        <f t="shared" si="8"/>
        <v>2.6296822949497933</v>
      </c>
      <c r="K73">
        <f t="shared" si="9"/>
        <v>156.72047167760283</v>
      </c>
      <c r="L73">
        <f t="shared" si="10"/>
        <v>1.1096855773351191</v>
      </c>
      <c r="M73">
        <f t="shared" si="11"/>
        <v>1.1096855773351191</v>
      </c>
      <c r="N73">
        <f t="shared" si="12"/>
        <v>1.1096855773351191</v>
      </c>
      <c r="O73" s="3"/>
      <c r="P73">
        <f t="shared" si="13"/>
        <v>2405.5575725145522</v>
      </c>
      <c r="Q73">
        <f t="shared" si="18"/>
        <v>2519.9964547647696</v>
      </c>
      <c r="R73">
        <f t="shared" si="19"/>
        <v>0</v>
      </c>
      <c r="S73">
        <f t="shared" si="20"/>
        <v>0</v>
      </c>
      <c r="T73">
        <v>50</v>
      </c>
      <c r="U73" s="3"/>
      <c r="V73">
        <f t="shared" si="14"/>
        <v>4975.5540272793223</v>
      </c>
      <c r="W73" s="3"/>
      <c r="X73">
        <f t="shared" si="15"/>
        <v>2261.385510482532</v>
      </c>
      <c r="Y73">
        <f t="shared" si="16"/>
        <v>47.554027279322327</v>
      </c>
      <c r="AA73">
        <f t="shared" si="17"/>
        <v>5.0033526587062529E-5</v>
      </c>
      <c r="AB73" s="3"/>
    </row>
    <row r="74" spans="2:28" x14ac:dyDescent="0.35">
      <c r="B74">
        <v>35.121328224776505</v>
      </c>
      <c r="C74">
        <v>4924</v>
      </c>
      <c r="D74">
        <f t="shared" si="7"/>
        <v>3.6363780000085058</v>
      </c>
      <c r="E74">
        <f t="shared" si="7"/>
        <v>162.17218219840092</v>
      </c>
      <c r="F74">
        <f t="shared" si="7"/>
        <v>1.3095477294836049</v>
      </c>
      <c r="G74">
        <f t="shared" si="7"/>
        <v>1.3095477294836049</v>
      </c>
      <c r="H74">
        <f t="shared" si="7"/>
        <v>1.3095477294836049</v>
      </c>
      <c r="I74" s="3"/>
      <c r="J74">
        <f t="shared" si="8"/>
        <v>2.6585842541749445</v>
      </c>
      <c r="K74">
        <f t="shared" si="9"/>
        <v>157.11520288579223</v>
      </c>
      <c r="L74">
        <f t="shared" si="10"/>
        <v>1.1606057029374934</v>
      </c>
      <c r="M74">
        <f t="shared" si="11"/>
        <v>1.1606057029374934</v>
      </c>
      <c r="N74">
        <f t="shared" si="12"/>
        <v>1.1606057029374934</v>
      </c>
      <c r="O74" s="3"/>
      <c r="P74">
        <f t="shared" si="13"/>
        <v>2360.6095600484623</v>
      </c>
      <c r="Q74">
        <f t="shared" si="18"/>
        <v>2507.3899848827218</v>
      </c>
      <c r="R74">
        <f t="shared" si="19"/>
        <v>0</v>
      </c>
      <c r="S74">
        <f t="shared" si="20"/>
        <v>0</v>
      </c>
      <c r="T74">
        <v>50</v>
      </c>
      <c r="U74" s="3"/>
      <c r="V74">
        <f t="shared" si="14"/>
        <v>4917.9995449311846</v>
      </c>
      <c r="W74" s="3"/>
      <c r="X74">
        <f t="shared" si="15"/>
        <v>36.005461032872745</v>
      </c>
      <c r="Y74">
        <f t="shared" si="16"/>
        <v>6.0004550688154268</v>
      </c>
      <c r="AA74">
        <f t="shared" si="17"/>
        <v>6.3133228749817289E-6</v>
      </c>
      <c r="AB74" s="3"/>
    </row>
    <row r="75" spans="2:28" x14ac:dyDescent="0.35">
      <c r="B75">
        <v>36.079182630906807</v>
      </c>
      <c r="C75">
        <v>4833</v>
      </c>
      <c r="D75">
        <f t="shared" si="7"/>
        <v>3.6762106665738212</v>
      </c>
      <c r="E75">
        <f t="shared" si="7"/>
        <v>162.56942893588368</v>
      </c>
      <c r="F75">
        <f t="shared" si="7"/>
        <v>1.4053331700966352</v>
      </c>
      <c r="G75">
        <f t="shared" si="7"/>
        <v>1.4053331700966352</v>
      </c>
      <c r="H75">
        <f t="shared" si="7"/>
        <v>1.4053331700966352</v>
      </c>
      <c r="I75" s="3"/>
      <c r="J75">
        <f t="shared" si="8"/>
        <v>2.6875723518600694</v>
      </c>
      <c r="K75">
        <f t="shared" si="9"/>
        <v>157.50994036617354</v>
      </c>
      <c r="L75">
        <f t="shared" si="10"/>
        <v>1.2125815613975039</v>
      </c>
      <c r="M75">
        <f t="shared" si="11"/>
        <v>1.2125815613975039</v>
      </c>
      <c r="N75">
        <f t="shared" si="12"/>
        <v>1.2125815613975039</v>
      </c>
      <c r="O75" s="3"/>
      <c r="P75">
        <f t="shared" si="13"/>
        <v>2316.7914190943138</v>
      </c>
      <c r="Q75">
        <f t="shared" si="18"/>
        <v>2494.8776783777625</v>
      </c>
      <c r="R75">
        <f t="shared" si="19"/>
        <v>0</v>
      </c>
      <c r="S75">
        <f t="shared" si="20"/>
        <v>0</v>
      </c>
      <c r="T75">
        <v>50</v>
      </c>
      <c r="U75" s="3"/>
      <c r="V75">
        <f t="shared" si="14"/>
        <v>4861.6690974720768</v>
      </c>
      <c r="W75" s="3"/>
      <c r="X75">
        <f t="shared" si="15"/>
        <v>821.91714986344198</v>
      </c>
      <c r="Y75">
        <f t="shared" si="16"/>
        <v>28.669097472076828</v>
      </c>
      <c r="AA75">
        <f t="shared" si="17"/>
        <v>3.016392370241927E-5</v>
      </c>
      <c r="AB75" s="3"/>
    </row>
    <row r="76" spans="2:28" x14ac:dyDescent="0.35">
      <c r="B76">
        <v>37.356321839080472</v>
      </c>
      <c r="C76">
        <v>4769</v>
      </c>
      <c r="D76">
        <f t="shared" si="7"/>
        <v>3.7293208886609044</v>
      </c>
      <c r="E76">
        <f t="shared" si="7"/>
        <v>163.09909125252736</v>
      </c>
      <c r="F76">
        <f t="shared" si="7"/>
        <v>1.5330470909140015</v>
      </c>
      <c r="G76">
        <f t="shared" si="7"/>
        <v>1.5330470909140015</v>
      </c>
      <c r="H76">
        <f t="shared" si="7"/>
        <v>1.5330470909140015</v>
      </c>
      <c r="I76" s="3"/>
      <c r="J76">
        <f t="shared" si="8"/>
        <v>2.7263552461431018</v>
      </c>
      <c r="K76">
        <f t="shared" si="9"/>
        <v>158.03626670970243</v>
      </c>
      <c r="L76">
        <f t="shared" si="10"/>
        <v>1.2834754765038581</v>
      </c>
      <c r="M76">
        <f t="shared" si="11"/>
        <v>1.2834754765038581</v>
      </c>
      <c r="N76">
        <f t="shared" si="12"/>
        <v>1.2834754765038581</v>
      </c>
      <c r="O76" s="3"/>
      <c r="P76">
        <f t="shared" si="13"/>
        <v>2260.0651127238325</v>
      </c>
      <c r="Q76">
        <f t="shared" si="18"/>
        <v>2478.339466746042</v>
      </c>
      <c r="R76">
        <f t="shared" si="19"/>
        <v>0</v>
      </c>
      <c r="S76">
        <f t="shared" si="20"/>
        <v>0</v>
      </c>
      <c r="T76">
        <v>50</v>
      </c>
      <c r="U76" s="3"/>
      <c r="V76">
        <f t="shared" si="14"/>
        <v>4788.4045794698741</v>
      </c>
      <c r="W76" s="3"/>
      <c r="X76">
        <f t="shared" si="15"/>
        <v>376.53770440265862</v>
      </c>
      <c r="Y76">
        <f t="shared" si="16"/>
        <v>19.404579469874079</v>
      </c>
      <c r="AA76">
        <f t="shared" si="17"/>
        <v>2.0416347433919127E-5</v>
      </c>
      <c r="AB76" s="3"/>
    </row>
    <row r="77" spans="2:28" x14ac:dyDescent="0.35">
      <c r="B77">
        <v>38.314176245210732</v>
      </c>
      <c r="C77">
        <v>4633</v>
      </c>
      <c r="D77">
        <f t="shared" si="7"/>
        <v>3.7691535552262181</v>
      </c>
      <c r="E77">
        <f t="shared" si="7"/>
        <v>163.49633799001012</v>
      </c>
      <c r="F77">
        <f t="shared" si="7"/>
        <v>1.6288325315270273</v>
      </c>
      <c r="G77">
        <f t="shared" si="7"/>
        <v>1.6288325315270273</v>
      </c>
      <c r="H77">
        <f t="shared" si="7"/>
        <v>1.6288325315270273</v>
      </c>
      <c r="I77" s="3"/>
      <c r="J77">
        <f t="shared" si="8"/>
        <v>2.7555400913994013</v>
      </c>
      <c r="K77">
        <f t="shared" si="9"/>
        <v>158.43101870464545</v>
      </c>
      <c r="L77">
        <f t="shared" si="10"/>
        <v>1.3378034665765184</v>
      </c>
      <c r="M77">
        <f t="shared" si="11"/>
        <v>1.3378034665765184</v>
      </c>
      <c r="N77">
        <f t="shared" si="12"/>
        <v>1.3378034665765184</v>
      </c>
      <c r="O77" s="3"/>
      <c r="P77">
        <f t="shared" si="13"/>
        <v>2218.7507342292015</v>
      </c>
      <c r="Q77">
        <f t="shared" si="18"/>
        <v>2466.0432624812693</v>
      </c>
      <c r="R77">
        <f t="shared" si="19"/>
        <v>0</v>
      </c>
      <c r="S77">
        <f t="shared" si="20"/>
        <v>0</v>
      </c>
      <c r="T77">
        <v>50</v>
      </c>
      <c r="U77" s="3"/>
      <c r="V77">
        <f t="shared" si="14"/>
        <v>4734.7939967104703</v>
      </c>
      <c r="W77" s="3"/>
      <c r="X77">
        <f t="shared" si="15"/>
        <v>10362.017766291241</v>
      </c>
      <c r="Y77">
        <f t="shared" si="16"/>
        <v>101.79399671047031</v>
      </c>
      <c r="AA77">
        <f t="shared" si="17"/>
        <v>1.071016048945929E-4</v>
      </c>
      <c r="AB77" s="3"/>
    </row>
    <row r="78" spans="2:28" x14ac:dyDescent="0.35">
      <c r="B78">
        <v>39.272030651341034</v>
      </c>
      <c r="C78">
        <v>4688</v>
      </c>
      <c r="D78">
        <f t="shared" si="7"/>
        <v>3.8089862217915327</v>
      </c>
      <c r="E78">
        <f t="shared" si="7"/>
        <v>163.89358472749291</v>
      </c>
      <c r="F78">
        <f t="shared" si="7"/>
        <v>1.7246179721400576</v>
      </c>
      <c r="G78">
        <f t="shared" si="7"/>
        <v>1.7246179721400576</v>
      </c>
      <c r="H78">
        <f t="shared" si="7"/>
        <v>1.7246179721400576</v>
      </c>
      <c r="I78" s="3"/>
      <c r="J78">
        <f t="shared" si="8"/>
        <v>2.7848074787272972</v>
      </c>
      <c r="K78">
        <f t="shared" si="9"/>
        <v>158.82577686900015</v>
      </c>
      <c r="L78">
        <f t="shared" si="10"/>
        <v>1.3930921368094038</v>
      </c>
      <c r="M78">
        <f t="shared" si="11"/>
        <v>1.3930921368094038</v>
      </c>
      <c r="N78">
        <f t="shared" si="12"/>
        <v>1.3930921368094038</v>
      </c>
      <c r="O78" s="3"/>
      <c r="P78">
        <f t="shared" si="13"/>
        <v>2178.4554403178445</v>
      </c>
      <c r="Q78">
        <f t="shared" si="18"/>
        <v>2453.8381528327336</v>
      </c>
      <c r="R78">
        <f t="shared" si="19"/>
        <v>0</v>
      </c>
      <c r="S78">
        <f t="shared" si="20"/>
        <v>0</v>
      </c>
      <c r="T78">
        <v>50</v>
      </c>
      <c r="U78" s="3"/>
      <c r="V78">
        <f t="shared" si="14"/>
        <v>4682.2935931505781</v>
      </c>
      <c r="W78" s="3"/>
      <c r="X78">
        <f t="shared" si="15"/>
        <v>32.563079131129292</v>
      </c>
      <c r="Y78">
        <f t="shared" si="16"/>
        <v>5.70640684942191</v>
      </c>
      <c r="AA78">
        <f t="shared" si="17"/>
        <v>6.0039427815463789E-6</v>
      </c>
      <c r="AB78" s="3"/>
    </row>
    <row r="79" spans="2:28" x14ac:dyDescent="0.35">
      <c r="B79">
        <v>40.229885057471293</v>
      </c>
      <c r="C79">
        <v>4504</v>
      </c>
      <c r="D79">
        <f t="shared" si="7"/>
        <v>3.8488188883568464</v>
      </c>
      <c r="E79">
        <f t="shared" si="7"/>
        <v>164.29083146497567</v>
      </c>
      <c r="F79">
        <f t="shared" si="7"/>
        <v>1.8204034127530835</v>
      </c>
      <c r="G79">
        <f t="shared" si="7"/>
        <v>1.8204034127530835</v>
      </c>
      <c r="H79">
        <f t="shared" si="7"/>
        <v>1.8204034127530835</v>
      </c>
      <c r="I79" s="3"/>
      <c r="J79">
        <f t="shared" si="8"/>
        <v>2.8141563645570238</v>
      </c>
      <c r="K79">
        <f t="shared" si="9"/>
        <v>159.22054117242374</v>
      </c>
      <c r="L79">
        <f t="shared" si="10"/>
        <v>1.4493134507145506</v>
      </c>
      <c r="M79">
        <f t="shared" si="11"/>
        <v>1.4493134507145506</v>
      </c>
      <c r="N79">
        <f t="shared" si="12"/>
        <v>1.4493134507145506</v>
      </c>
      <c r="O79" s="3"/>
      <c r="P79">
        <f t="shared" si="13"/>
        <v>2139.1484917448306</v>
      </c>
      <c r="Q79">
        <f t="shared" si="18"/>
        <v>2441.7232416000334</v>
      </c>
      <c r="R79">
        <f t="shared" si="19"/>
        <v>0</v>
      </c>
      <c r="S79">
        <f t="shared" si="20"/>
        <v>0</v>
      </c>
      <c r="T79">
        <v>50</v>
      </c>
      <c r="U79" s="3"/>
      <c r="V79">
        <f t="shared" si="14"/>
        <v>4630.871733344864</v>
      </c>
      <c r="W79" s="3"/>
      <c r="X79">
        <f t="shared" si="15"/>
        <v>16096.436721930268</v>
      </c>
      <c r="Y79">
        <f t="shared" si="16"/>
        <v>126.87173334486397</v>
      </c>
      <c r="AA79">
        <f t="shared" si="17"/>
        <v>1.3348691176398342E-4</v>
      </c>
      <c r="AB79" s="3"/>
    </row>
    <row r="80" spans="2:28" x14ac:dyDescent="0.35">
      <c r="B80">
        <v>41.187739463601552</v>
      </c>
      <c r="C80">
        <v>4481</v>
      </c>
      <c r="D80">
        <f t="shared" si="7"/>
        <v>3.8886515549221592</v>
      </c>
      <c r="E80">
        <f t="shared" si="7"/>
        <v>164.68807820245843</v>
      </c>
      <c r="F80">
        <f t="shared" si="7"/>
        <v>1.9161888533661098</v>
      </c>
      <c r="G80">
        <f t="shared" si="7"/>
        <v>1.9161888533661098</v>
      </c>
      <c r="H80">
        <f t="shared" si="7"/>
        <v>1.9161888533661098</v>
      </c>
      <c r="I80" s="3"/>
      <c r="J80">
        <f t="shared" si="8"/>
        <v>2.8435857212317552</v>
      </c>
      <c r="K80">
        <f t="shared" si="9"/>
        <v>159.6153115847963</v>
      </c>
      <c r="L80">
        <f t="shared" si="10"/>
        <v>1.5064397607822835</v>
      </c>
      <c r="M80">
        <f t="shared" si="11"/>
        <v>1.5064397607822835</v>
      </c>
      <c r="N80">
        <f t="shared" si="12"/>
        <v>1.5064397607822835</v>
      </c>
      <c r="O80" s="3"/>
      <c r="P80">
        <f t="shared" si="13"/>
        <v>2100.8002221253892</v>
      </c>
      <c r="Q80">
        <f t="shared" si="18"/>
        <v>2429.69764356321</v>
      </c>
      <c r="R80">
        <f t="shared" si="19"/>
        <v>0</v>
      </c>
      <c r="S80">
        <f t="shared" si="20"/>
        <v>0</v>
      </c>
      <c r="T80">
        <v>50</v>
      </c>
      <c r="U80" s="3"/>
      <c r="V80">
        <f t="shared" si="14"/>
        <v>4580.4978656885996</v>
      </c>
      <c r="W80" s="3"/>
      <c r="X80">
        <f t="shared" si="15"/>
        <v>9899.8252765866109</v>
      </c>
      <c r="Y80">
        <f t="shared" si="16"/>
        <v>99.497865688599632</v>
      </c>
      <c r="AA80">
        <f t="shared" si="17"/>
        <v>1.0468575204042045E-4</v>
      </c>
      <c r="AB80" s="3"/>
    </row>
    <row r="81" spans="2:28" x14ac:dyDescent="0.35">
      <c r="B81">
        <v>42.145593869731812</v>
      </c>
      <c r="C81">
        <v>4455</v>
      </c>
      <c r="D81">
        <f t="shared" si="7"/>
        <v>3.9284842214874729</v>
      </c>
      <c r="E81">
        <f t="shared" si="7"/>
        <v>165.08532493994119</v>
      </c>
      <c r="F81">
        <f t="shared" si="7"/>
        <v>2.0119742939791352</v>
      </c>
      <c r="G81">
        <f t="shared" si="7"/>
        <v>2.0119742939791352</v>
      </c>
      <c r="H81">
        <f t="shared" si="7"/>
        <v>2.0119742939791352</v>
      </c>
      <c r="I81" s="3"/>
      <c r="J81">
        <f t="shared" si="8"/>
        <v>2.8730945367820899</v>
      </c>
      <c r="K81">
        <f t="shared" si="9"/>
        <v>160.01008807621858</v>
      </c>
      <c r="L81">
        <f t="shared" si="10"/>
        <v>1.5644438808424681</v>
      </c>
      <c r="M81">
        <f t="shared" si="11"/>
        <v>1.5644438808424681</v>
      </c>
      <c r="N81">
        <f t="shared" si="12"/>
        <v>1.5644438808424681</v>
      </c>
      <c r="O81" s="3"/>
      <c r="P81">
        <f t="shared" si="13"/>
        <v>2063.3819961844661</v>
      </c>
      <c r="Q81">
        <f t="shared" si="18"/>
        <v>2417.7604843218674</v>
      </c>
      <c r="R81">
        <f t="shared" si="19"/>
        <v>0</v>
      </c>
      <c r="S81">
        <f t="shared" si="20"/>
        <v>0</v>
      </c>
      <c r="T81">
        <v>50</v>
      </c>
      <c r="U81" s="3"/>
      <c r="V81">
        <f t="shared" si="14"/>
        <v>4531.1424805063334</v>
      </c>
      <c r="W81" s="3"/>
      <c r="X81">
        <f t="shared" si="15"/>
        <v>5797.6773376573638</v>
      </c>
      <c r="Y81">
        <f t="shared" si="16"/>
        <v>76.142480506333413</v>
      </c>
      <c r="AA81">
        <f t="shared" si="17"/>
        <v>8.0112601198659481E-5</v>
      </c>
      <c r="AB81" s="3"/>
    </row>
    <row r="82" spans="2:28" x14ac:dyDescent="0.35">
      <c r="B82">
        <v>43.103448275862071</v>
      </c>
      <c r="C82">
        <v>4432</v>
      </c>
      <c r="D82">
        <f t="shared" si="7"/>
        <v>3.9683168880527857</v>
      </c>
      <c r="E82">
        <f t="shared" si="7"/>
        <v>165.48257167742395</v>
      </c>
      <c r="F82">
        <f t="shared" si="7"/>
        <v>2.1077597345921615</v>
      </c>
      <c r="G82">
        <f t="shared" si="7"/>
        <v>2.1077597345921615</v>
      </c>
      <c r="H82">
        <f t="shared" si="7"/>
        <v>2.1077597345921615</v>
      </c>
      <c r="I82" s="3"/>
      <c r="J82">
        <f t="shared" si="8"/>
        <v>2.9026818147008999</v>
      </c>
      <c r="K82">
        <f t="shared" si="9"/>
        <v>160.40487061700986</v>
      </c>
      <c r="L82">
        <f t="shared" si="10"/>
        <v>1.6232991462143953</v>
      </c>
      <c r="M82">
        <f t="shared" si="11"/>
        <v>1.6232991462143953</v>
      </c>
      <c r="N82">
        <f t="shared" si="12"/>
        <v>1.6232991462143953</v>
      </c>
      <c r="O82" s="3"/>
      <c r="P82">
        <f t="shared" si="13"/>
        <v>2026.8661697668913</v>
      </c>
      <c r="Q82">
        <f t="shared" si="18"/>
        <v>2405.910900137033</v>
      </c>
      <c r="R82">
        <f t="shared" si="19"/>
        <v>0</v>
      </c>
      <c r="S82">
        <f t="shared" si="20"/>
        <v>0</v>
      </c>
      <c r="T82">
        <v>50</v>
      </c>
      <c r="U82" s="3"/>
      <c r="V82">
        <f t="shared" si="14"/>
        <v>4482.7770699039247</v>
      </c>
      <c r="W82" s="3"/>
      <c r="X82">
        <f t="shared" si="15"/>
        <v>2578.3108280280567</v>
      </c>
      <c r="Y82">
        <f t="shared" si="16"/>
        <v>50.777069903924712</v>
      </c>
      <c r="AA82">
        <f t="shared" si="17"/>
        <v>5.3424620845011938E-5</v>
      </c>
      <c r="AB82" s="3"/>
    </row>
    <row r="83" spans="2:28" x14ac:dyDescent="0.35">
      <c r="B83">
        <v>44.380587484035786</v>
      </c>
      <c r="C83">
        <v>4369</v>
      </c>
      <c r="D83">
        <f t="shared" ref="D83:D86" si="21">C$23-LN(1/C$23)+$B83*C$22</f>
        <v>4.0214271101398715</v>
      </c>
      <c r="E83">
        <f t="shared" ref="E83:E86" si="22">D$23-LN(1/D$23)+$B83*D$22</f>
        <v>166.01223399406763</v>
      </c>
      <c r="F83">
        <f t="shared" ref="F83:F86" si="23">E$23-LN(1/E$23)+$B83*E$22</f>
        <v>2.2354736554095331</v>
      </c>
      <c r="G83">
        <f t="shared" ref="G83:G86" si="24">F$23-LN(1/F$23)+$B83*F$22</f>
        <v>2.2354736554095331</v>
      </c>
      <c r="H83">
        <f t="shared" ref="H83:H86" si="25">G$23-LN(1/G$23)+$B83*G$22</f>
        <v>2.2354736554095331</v>
      </c>
      <c r="I83" s="3"/>
      <c r="J83">
        <f t="shared" ref="J83:J86" si="26">lmb_2(D83)</f>
        <v>2.9422518773114401</v>
      </c>
      <c r="K83">
        <f t="shared" ref="K83:K86" si="27">lmb_2(E83)</f>
        <v>160.93125669729923</v>
      </c>
      <c r="L83">
        <f t="shared" ref="L83:L86" si="28">lmb_2(F83)</f>
        <v>1.7030518234883287</v>
      </c>
      <c r="M83">
        <f t="shared" ref="M83:M86" si="29">lmb_2(G83)</f>
        <v>1.7030518234883287</v>
      </c>
      <c r="N83">
        <f t="shared" ref="N83:N86" si="30">lmb_2(H83)</f>
        <v>1.7030518234883287</v>
      </c>
      <c r="O83" s="3"/>
      <c r="P83">
        <f t="shared" ref="P83:P86" si="31">(C$21*$A$21)/(J83+J83^2)</f>
        <v>1979.5361332501132</v>
      </c>
      <c r="Q83">
        <f t="shared" ref="Q83:Q86" si="32">(D$21*$A$21)/(K83+K83^2)</f>
        <v>2390.2462091933262</v>
      </c>
      <c r="R83">
        <f t="shared" ref="R83:R86" si="33">(E$21*$A$21)/(L83+L83^2)</f>
        <v>0</v>
      </c>
      <c r="S83">
        <f t="shared" ref="S83:S86" si="34">(F$21*$A$21)/(M83+M83^2)</f>
        <v>0</v>
      </c>
      <c r="T83">
        <v>50</v>
      </c>
      <c r="U83" s="3"/>
      <c r="V83">
        <f t="shared" ref="V83:V86" si="35">SUM(P83:T83)</f>
        <v>4419.7823424434391</v>
      </c>
      <c r="W83" s="3"/>
      <c r="X83">
        <f t="shared" ref="X83:X86" si="36">(V83-C83)^2</f>
        <v>2578.8463040427182</v>
      </c>
      <c r="Y83">
        <f t="shared" ref="Y83:Y86" si="37">ABS(V83-C83)</f>
        <v>50.78234244343912</v>
      </c>
      <c r="AA83">
        <f t="shared" ref="AA83:AA86" si="38">Y83/$Z$39</f>
        <v>5.3430168298320696E-5</v>
      </c>
      <c r="AB83" s="3"/>
    </row>
    <row r="84" spans="2:28" x14ac:dyDescent="0.35">
      <c r="B84">
        <v>45.338441890166038</v>
      </c>
      <c r="C84">
        <v>4450</v>
      </c>
      <c r="D84">
        <f t="shared" si="21"/>
        <v>4.0612597767051852</v>
      </c>
      <c r="E84">
        <f t="shared" si="22"/>
        <v>166.40948073155039</v>
      </c>
      <c r="F84">
        <f t="shared" si="23"/>
        <v>2.3312590960225585</v>
      </c>
      <c r="G84">
        <f t="shared" si="24"/>
        <v>2.3312590960225585</v>
      </c>
      <c r="H84">
        <f t="shared" si="25"/>
        <v>2.3312590960225585</v>
      </c>
      <c r="I84" s="3"/>
      <c r="J84">
        <f t="shared" si="26"/>
        <v>2.9720184439603368</v>
      </c>
      <c r="K84">
        <f t="shared" si="27"/>
        <v>161.32605323907123</v>
      </c>
      <c r="L84">
        <f t="shared" si="28"/>
        <v>1.7637926759728566</v>
      </c>
      <c r="M84">
        <f t="shared" si="29"/>
        <v>1.7637926759728566</v>
      </c>
      <c r="N84">
        <f t="shared" si="30"/>
        <v>1.7637926759728566</v>
      </c>
      <c r="O84" s="3"/>
      <c r="P84">
        <f t="shared" si="31"/>
        <v>1945.0236843628436</v>
      </c>
      <c r="Q84">
        <f t="shared" si="32"/>
        <v>2378.5976665513372</v>
      </c>
      <c r="R84">
        <f t="shared" si="33"/>
        <v>0</v>
      </c>
      <c r="S84">
        <f t="shared" si="34"/>
        <v>0</v>
      </c>
      <c r="T84">
        <v>50</v>
      </c>
      <c r="U84" s="3"/>
      <c r="V84">
        <f t="shared" si="35"/>
        <v>4373.6213509141808</v>
      </c>
      <c r="W84" s="3"/>
      <c r="X84">
        <f t="shared" si="36"/>
        <v>5833.6980361747155</v>
      </c>
      <c r="Y84">
        <f t="shared" si="37"/>
        <v>76.378649085819234</v>
      </c>
      <c r="AA84">
        <f t="shared" si="38"/>
        <v>8.0361083768417996E-5</v>
      </c>
      <c r="AB84" s="3"/>
    </row>
    <row r="85" spans="2:28" x14ac:dyDescent="0.35">
      <c r="B85">
        <v>46.296296296296298</v>
      </c>
      <c r="C85">
        <v>4327</v>
      </c>
      <c r="D85">
        <f t="shared" si="21"/>
        <v>4.101092443270498</v>
      </c>
      <c r="E85">
        <f t="shared" si="22"/>
        <v>166.80672746903315</v>
      </c>
      <c r="F85">
        <f t="shared" si="23"/>
        <v>2.4270445366355839</v>
      </c>
      <c r="G85">
        <f t="shared" si="24"/>
        <v>2.4270445366355839</v>
      </c>
      <c r="H85">
        <f t="shared" si="25"/>
        <v>2.4270445366355839</v>
      </c>
      <c r="I85" s="3"/>
      <c r="J85">
        <f t="shared" si="26"/>
        <v>3.0018602600825277</v>
      </c>
      <c r="K85">
        <f t="shared" si="27"/>
        <v>161.72085573282746</v>
      </c>
      <c r="L85">
        <f t="shared" si="28"/>
        <v>1.8253001159985707</v>
      </c>
      <c r="M85">
        <f t="shared" si="29"/>
        <v>1.8253001159985707</v>
      </c>
      <c r="N85">
        <f t="shared" si="30"/>
        <v>1.8253001159985707</v>
      </c>
      <c r="O85" s="3"/>
      <c r="P85">
        <f t="shared" si="31"/>
        <v>1911.3281659470063</v>
      </c>
      <c r="Q85">
        <f t="shared" si="32"/>
        <v>2367.0338948588369</v>
      </c>
      <c r="R85">
        <f t="shared" si="33"/>
        <v>0</v>
      </c>
      <c r="S85">
        <f t="shared" si="34"/>
        <v>0</v>
      </c>
      <c r="T85">
        <v>50</v>
      </c>
      <c r="U85" s="3"/>
      <c r="V85">
        <f t="shared" si="35"/>
        <v>4328.3620608058427</v>
      </c>
      <c r="W85" s="3"/>
      <c r="X85">
        <f t="shared" si="36"/>
        <v>1.8552096388128718</v>
      </c>
      <c r="Y85">
        <f t="shared" si="37"/>
        <v>1.3620608058427024</v>
      </c>
      <c r="AA85">
        <f t="shared" si="38"/>
        <v>1.4330795821358208E-6</v>
      </c>
      <c r="AB85" s="3"/>
    </row>
    <row r="86" spans="2:28" x14ac:dyDescent="0.35">
      <c r="B86">
        <v>47.254150702426607</v>
      </c>
      <c r="C86">
        <v>4333</v>
      </c>
      <c r="D86">
        <f t="shared" si="21"/>
        <v>4.1409251098358135</v>
      </c>
      <c r="E86">
        <f t="shared" si="22"/>
        <v>167.20397420651594</v>
      </c>
      <c r="F86">
        <f t="shared" si="23"/>
        <v>2.5228299772486147</v>
      </c>
      <c r="G86">
        <f t="shared" si="24"/>
        <v>2.5228299772486147</v>
      </c>
      <c r="H86">
        <f t="shared" si="25"/>
        <v>2.5228299772486147</v>
      </c>
      <c r="I86" s="3"/>
      <c r="J86">
        <f t="shared" si="26"/>
        <v>3.0317763935909241</v>
      </c>
      <c r="K86">
        <f t="shared" si="27"/>
        <v>162.11566414980993</v>
      </c>
      <c r="L86">
        <f t="shared" si="28"/>
        <v>1.8875501865567907</v>
      </c>
      <c r="M86">
        <f t="shared" si="29"/>
        <v>1.8875501865567907</v>
      </c>
      <c r="N86">
        <f t="shared" si="30"/>
        <v>1.8875501865567907</v>
      </c>
      <c r="O86" s="3"/>
      <c r="P86">
        <f t="shared" si="31"/>
        <v>1878.4258061419901</v>
      </c>
      <c r="Q86">
        <f t="shared" si="32"/>
        <v>2355.5540748134863</v>
      </c>
      <c r="R86">
        <f t="shared" si="33"/>
        <v>0</v>
      </c>
      <c r="S86">
        <f t="shared" si="34"/>
        <v>0</v>
      </c>
      <c r="T86">
        <v>50</v>
      </c>
      <c r="U86" s="3"/>
      <c r="V86">
        <f t="shared" si="35"/>
        <v>4283.9798809554759</v>
      </c>
      <c r="W86" s="3"/>
      <c r="X86">
        <f t="shared" si="36"/>
        <v>2402.9720711393152</v>
      </c>
      <c r="Y86">
        <f t="shared" si="37"/>
        <v>49.020119044524108</v>
      </c>
      <c r="AA86">
        <f t="shared" si="38"/>
        <v>5.1576061373494654E-5</v>
      </c>
      <c r="AB86" s="3"/>
    </row>
    <row r="87" spans="2:28" x14ac:dyDescent="0.35">
      <c r="B87">
        <v>48.212005108556859</v>
      </c>
      <c r="C87">
        <v>4154</v>
      </c>
      <c r="D87">
        <f t="shared" ref="D87:D88" si="39">C$23-LN(1/C$23)+$B87*C$22</f>
        <v>4.1807577764011263</v>
      </c>
      <c r="E87">
        <f t="shared" ref="E87:E88" si="40">D$23-LN(1/D$23)+$B87*D$22</f>
        <v>167.60122094399867</v>
      </c>
      <c r="F87">
        <f t="shared" ref="F87:F88" si="41">E$23-LN(1/E$23)+$B87*E$22</f>
        <v>2.6186154178616401</v>
      </c>
      <c r="G87">
        <f t="shared" ref="G87:G88" si="42">F$23-LN(1/F$23)+$B87*F$22</f>
        <v>2.6186154178616401</v>
      </c>
      <c r="H87">
        <f t="shared" ref="H87:H88" si="43">G$23-LN(1/G$23)+$B87*G$22</f>
        <v>2.6186154178616401</v>
      </c>
      <c r="I87" s="3"/>
      <c r="J87">
        <f t="shared" ref="J87:J88" si="44">lmb_2(D87)</f>
        <v>3.0617659266746546</v>
      </c>
      <c r="K87">
        <f t="shared" ref="K87:K88" si="45">lmb_2(E87)</f>
        <v>162.51047846146801</v>
      </c>
      <c r="L87">
        <f t="shared" ref="L87:L88" si="46">lmb_2(F87)</f>
        <v>1.9505196127204987</v>
      </c>
      <c r="M87">
        <f t="shared" ref="M87:M88" si="47">lmb_2(G87)</f>
        <v>1.9505196127204987</v>
      </c>
      <c r="N87">
        <f t="shared" ref="N87:N88" si="48">lmb_2(H87)</f>
        <v>1.9505196127204987</v>
      </c>
      <c r="O87" s="3"/>
      <c r="P87">
        <f t="shared" ref="P87:P88" si="49">(C$21*$A$21)/(J87+J87^2)</f>
        <v>1846.293637579784</v>
      </c>
      <c r="Q87">
        <f t="shared" ref="Q87:Q88" si="50">(D$21*$A$21)/(K87+K87^2)</f>
        <v>2344.1573969751071</v>
      </c>
      <c r="R87">
        <f t="shared" ref="R87:R88" si="51">(E$21*$A$21)/(L87+L87^2)</f>
        <v>0</v>
      </c>
      <c r="S87">
        <f t="shared" ref="S87:S88" si="52">(F$21*$A$21)/(M87+M87^2)</f>
        <v>0</v>
      </c>
      <c r="T87">
        <v>50</v>
      </c>
      <c r="U87" s="3"/>
      <c r="V87">
        <f t="shared" ref="V87:V88" si="53">SUM(P87:T87)</f>
        <v>4240.4510345548915</v>
      </c>
      <c r="W87" s="3"/>
      <c r="X87">
        <f t="shared" ref="X87:X88" si="54">(V87-C87)^2</f>
        <v>7473.7813756110481</v>
      </c>
      <c r="Y87">
        <f t="shared" ref="Y87:Y88" si="55">ABS(V87-C87)</f>
        <v>86.451034554891521</v>
      </c>
      <c r="AA87">
        <f t="shared" ref="AA87:AA88" si="56">Y87/$Z$39</f>
        <v>9.0958650262667448E-5</v>
      </c>
      <c r="AB87" s="3"/>
    </row>
    <row r="88" spans="2:28" x14ac:dyDescent="0.35">
      <c r="B88">
        <v>49.169859514687126</v>
      </c>
      <c r="C88">
        <v>4256</v>
      </c>
      <c r="D88">
        <f t="shared" si="39"/>
        <v>4.22059044296644</v>
      </c>
      <c r="E88">
        <f t="shared" si="40"/>
        <v>167.99846768148146</v>
      </c>
      <c r="F88">
        <f t="shared" si="41"/>
        <v>2.7144008584746673</v>
      </c>
      <c r="G88">
        <f t="shared" si="42"/>
        <v>2.7144008584746673</v>
      </c>
      <c r="H88">
        <f t="shared" si="43"/>
        <v>2.7144008584746673</v>
      </c>
      <c r="I88" s="3"/>
      <c r="J88">
        <f t="shared" si="44"/>
        <v>3.0918279555807913</v>
      </c>
      <c r="K88">
        <f t="shared" si="45"/>
        <v>162.90529863945673</v>
      </c>
      <c r="L88">
        <f t="shared" si="46"/>
        <v>2.0141858094976297</v>
      </c>
      <c r="M88">
        <f t="shared" si="47"/>
        <v>2.0141858094976297</v>
      </c>
      <c r="N88">
        <f t="shared" si="48"/>
        <v>2.0141858094976297</v>
      </c>
      <c r="O88" s="3"/>
      <c r="P88">
        <f t="shared" si="49"/>
        <v>1814.9094668651653</v>
      </c>
      <c r="Q88">
        <f t="shared" si="50"/>
        <v>2332.8430616237065</v>
      </c>
      <c r="R88">
        <f t="shared" si="51"/>
        <v>0</v>
      </c>
      <c r="S88">
        <f t="shared" si="52"/>
        <v>0</v>
      </c>
      <c r="T88">
        <v>50</v>
      </c>
      <c r="U88" s="3"/>
      <c r="V88">
        <f t="shared" si="53"/>
        <v>4197.7525284888716</v>
      </c>
      <c r="W88" s="3"/>
      <c r="X88">
        <f t="shared" si="54"/>
        <v>3392.7679374397176</v>
      </c>
      <c r="Y88">
        <f t="shared" si="55"/>
        <v>58.247471511128424</v>
      </c>
      <c r="AA88">
        <f t="shared" si="56"/>
        <v>6.1284534270106568E-5</v>
      </c>
      <c r="AB88" s="3"/>
    </row>
    <row r="89" spans="2:28" x14ac:dyDescent="0.35">
      <c r="B89">
        <v>50.127713920817378</v>
      </c>
      <c r="C89">
        <v>4075</v>
      </c>
      <c r="D89">
        <f t="shared" ref="D89:D93" si="57">C$23-LN(1/C$23)+$B89*C$22</f>
        <v>4.2604231095317528</v>
      </c>
      <c r="E89">
        <f t="shared" ref="E89:E93" si="58">D$23-LN(1/D$23)+$B89*D$22</f>
        <v>168.39571441896419</v>
      </c>
      <c r="F89">
        <f t="shared" ref="F89:F93" si="59">E$23-LN(1/E$23)+$B89*E$22</f>
        <v>2.8101862990876927</v>
      </c>
      <c r="G89">
        <f t="shared" ref="G89:G93" si="60">F$23-LN(1/F$23)+$B89*F$22</f>
        <v>2.8101862990876927</v>
      </c>
      <c r="H89">
        <f t="shared" ref="H89:H93" si="61">G$23-LN(1/G$23)+$B89*G$22</f>
        <v>2.8101862990876927</v>
      </c>
      <c r="I89" s="3"/>
      <c r="J89">
        <f t="shared" ref="J89:J93" si="62">lmb_2(D89)</f>
        <v>3.1219615903976985</v>
      </c>
      <c r="K89">
        <f t="shared" ref="K89:K93" si="63">lmb_2(E89)</f>
        <v>163.30012465563451</v>
      </c>
      <c r="L89">
        <f t="shared" ref="L89:L93" si="64">lmb_2(F89)</f>
        <v>2.0785268847650649</v>
      </c>
      <c r="M89">
        <f t="shared" ref="M89:M93" si="65">lmb_2(G89)</f>
        <v>2.0785268847650649</v>
      </c>
      <c r="N89">
        <f t="shared" ref="N89:N93" si="66">lmb_2(H89)</f>
        <v>2.0785268847650649</v>
      </c>
      <c r="O89" s="3"/>
      <c r="P89">
        <f t="shared" ref="P89:P93" si="67">(C$21*$A$21)/(J89+J89^2)</f>
        <v>1784.2518453182977</v>
      </c>
      <c r="Q89">
        <f t="shared" ref="Q89:Q93" si="68">(D$21*$A$21)/(K89+K89^2)</f>
        <v>2321.610278619894</v>
      </c>
      <c r="R89">
        <f t="shared" ref="R89:R93" si="69">(E$21*$A$21)/(L89+L89^2)</f>
        <v>0</v>
      </c>
      <c r="S89">
        <f t="shared" ref="S89:S93" si="70">(F$21*$A$21)/(M89+M89^2)</f>
        <v>0</v>
      </c>
      <c r="T89">
        <v>50</v>
      </c>
      <c r="U89" s="3"/>
      <c r="V89">
        <f t="shared" ref="V89:V93" si="71">SUM(P89:T89)</f>
        <v>4155.8621239381919</v>
      </c>
      <c r="W89" s="3"/>
      <c r="X89">
        <f t="shared" ref="X89:X93" si="72">(V89-C89)^2</f>
        <v>6538.6830877955026</v>
      </c>
      <c r="Y89">
        <f t="shared" ref="Y89:Y93" si="73">ABS(V89-C89)</f>
        <v>80.862123938191871</v>
      </c>
      <c r="AA89">
        <f t="shared" ref="AA89:AA93" si="74">Y89/$Z$39</f>
        <v>8.5078330047286878E-5</v>
      </c>
      <c r="AB89" s="3"/>
    </row>
    <row r="90" spans="2:28" x14ac:dyDescent="0.35">
      <c r="B90">
        <v>51.404853128991085</v>
      </c>
      <c r="C90">
        <v>4018</v>
      </c>
      <c r="D90">
        <f t="shared" si="57"/>
        <v>4.3135333316188387</v>
      </c>
      <c r="E90">
        <f t="shared" si="58"/>
        <v>168.9253767356079</v>
      </c>
      <c r="F90">
        <f t="shared" si="59"/>
        <v>2.9379002199050634</v>
      </c>
      <c r="G90">
        <f t="shared" si="60"/>
        <v>2.9379002199050634</v>
      </c>
      <c r="H90">
        <f t="shared" si="61"/>
        <v>2.9379002199050634</v>
      </c>
      <c r="I90" s="3"/>
      <c r="J90">
        <f t="shared" si="62"/>
        <v>3.1622496444948984</v>
      </c>
      <c r="K90">
        <f t="shared" si="63"/>
        <v>163.82656837723673</v>
      </c>
      <c r="L90">
        <f t="shared" si="64"/>
        <v>2.1653282522677659</v>
      </c>
      <c r="M90">
        <f t="shared" si="65"/>
        <v>2.1653282522677659</v>
      </c>
      <c r="N90">
        <f t="shared" si="66"/>
        <v>2.1653282522677659</v>
      </c>
      <c r="O90" s="3"/>
      <c r="P90">
        <f t="shared" si="67"/>
        <v>1744.4694709212542</v>
      </c>
      <c r="Q90">
        <f t="shared" si="68"/>
        <v>2306.7587458142229</v>
      </c>
      <c r="R90">
        <f t="shared" si="69"/>
        <v>0</v>
      </c>
      <c r="S90">
        <f t="shared" si="70"/>
        <v>0</v>
      </c>
      <c r="T90">
        <v>50</v>
      </c>
      <c r="U90" s="3"/>
      <c r="V90">
        <f t="shared" si="71"/>
        <v>4101.228216735477</v>
      </c>
      <c r="W90" s="3"/>
      <c r="X90">
        <f t="shared" si="72"/>
        <v>6926.9360609675277</v>
      </c>
      <c r="Y90">
        <f t="shared" si="73"/>
        <v>83.228216735476963</v>
      </c>
      <c r="AA90">
        <f t="shared" si="74"/>
        <v>8.756779253140118E-5</v>
      </c>
      <c r="AB90" s="3"/>
    </row>
    <row r="91" spans="2:28" x14ac:dyDescent="0.35">
      <c r="B91">
        <v>52.362707535121352</v>
      </c>
      <c r="C91">
        <v>4043</v>
      </c>
      <c r="D91">
        <f t="shared" si="57"/>
        <v>4.3533659981841524</v>
      </c>
      <c r="E91">
        <f t="shared" si="58"/>
        <v>169.32262347309066</v>
      </c>
      <c r="F91">
        <f t="shared" si="59"/>
        <v>3.0336856605180897</v>
      </c>
      <c r="G91">
        <f t="shared" si="60"/>
        <v>3.0336856605180897</v>
      </c>
      <c r="H91">
        <f t="shared" si="61"/>
        <v>3.0336856605180897</v>
      </c>
      <c r="I91" s="3"/>
      <c r="J91">
        <f t="shared" si="62"/>
        <v>3.1925469751477293</v>
      </c>
      <c r="K91">
        <f t="shared" si="63"/>
        <v>164.22140790754543</v>
      </c>
      <c r="L91">
        <f t="shared" si="64"/>
        <v>2.2311627834058894</v>
      </c>
      <c r="M91">
        <f t="shared" si="65"/>
        <v>2.2311627834058894</v>
      </c>
      <c r="N91">
        <f t="shared" si="66"/>
        <v>2.2311627834058894</v>
      </c>
      <c r="O91" s="3"/>
      <c r="P91">
        <f t="shared" si="67"/>
        <v>1715.4276947182816</v>
      </c>
      <c r="Q91">
        <f t="shared" si="68"/>
        <v>2295.7132316505822</v>
      </c>
      <c r="R91">
        <f t="shared" si="69"/>
        <v>0</v>
      </c>
      <c r="S91">
        <f t="shared" si="70"/>
        <v>0</v>
      </c>
      <c r="T91">
        <v>50</v>
      </c>
      <c r="U91" s="3"/>
      <c r="V91">
        <f t="shared" si="71"/>
        <v>4061.1409263688638</v>
      </c>
      <c r="W91" s="3"/>
      <c r="X91">
        <f t="shared" si="72"/>
        <v>329.09320952053798</v>
      </c>
      <c r="Y91">
        <f t="shared" si="73"/>
        <v>18.140926368863802</v>
      </c>
      <c r="AA91">
        <f t="shared" si="74"/>
        <v>1.9086806601239461E-5</v>
      </c>
      <c r="AB91" s="3"/>
    </row>
    <row r="92" spans="2:28" x14ac:dyDescent="0.35">
      <c r="B92">
        <v>53.320561941251604</v>
      </c>
      <c r="C92">
        <v>4027</v>
      </c>
      <c r="D92">
        <f t="shared" si="57"/>
        <v>4.3931986647494643</v>
      </c>
      <c r="E92">
        <f t="shared" si="58"/>
        <v>169.71987021057342</v>
      </c>
      <c r="F92">
        <f t="shared" si="59"/>
        <v>3.1294711011311152</v>
      </c>
      <c r="G92">
        <f t="shared" si="60"/>
        <v>3.1294711011311152</v>
      </c>
      <c r="H92">
        <f t="shared" si="61"/>
        <v>3.1294711011311152</v>
      </c>
      <c r="I92" s="3"/>
      <c r="J92">
        <f t="shared" si="62"/>
        <v>3.2229130425595276</v>
      </c>
      <c r="K92">
        <f t="shared" si="63"/>
        <v>164.61625318368351</v>
      </c>
      <c r="L92">
        <f t="shared" si="64"/>
        <v>2.297604181373508</v>
      </c>
      <c r="M92">
        <f t="shared" si="65"/>
        <v>2.297604181373508</v>
      </c>
      <c r="N92">
        <f t="shared" si="66"/>
        <v>2.297604181373508</v>
      </c>
      <c r="O92" s="3"/>
      <c r="P92">
        <f t="shared" si="67"/>
        <v>1687.0459989674289</v>
      </c>
      <c r="Q92">
        <f t="shared" si="68"/>
        <v>2284.746703484418</v>
      </c>
      <c r="R92">
        <f t="shared" si="69"/>
        <v>0</v>
      </c>
      <c r="S92">
        <f t="shared" si="70"/>
        <v>0</v>
      </c>
      <c r="T92">
        <v>50</v>
      </c>
      <c r="U92" s="3"/>
      <c r="V92">
        <f t="shared" si="71"/>
        <v>4021.7927024518467</v>
      </c>
      <c r="W92" s="3"/>
      <c r="X92">
        <f t="shared" si="72"/>
        <v>27.115947755003287</v>
      </c>
      <c r="Y92">
        <f t="shared" si="73"/>
        <v>5.2072975481532922</v>
      </c>
      <c r="AA92">
        <f t="shared" si="74"/>
        <v>5.4788095820343338E-6</v>
      </c>
      <c r="AB92" s="3"/>
    </row>
    <row r="93" spans="2:28" x14ac:dyDescent="0.35">
      <c r="B93">
        <v>54.278416347381871</v>
      </c>
      <c r="C93">
        <v>4033</v>
      </c>
      <c r="D93">
        <f t="shared" si="57"/>
        <v>4.433031331314778</v>
      </c>
      <c r="E93">
        <f t="shared" si="58"/>
        <v>170.11711694805618</v>
      </c>
      <c r="F93">
        <f t="shared" si="59"/>
        <v>3.2252565417441414</v>
      </c>
      <c r="G93">
        <f t="shared" si="60"/>
        <v>3.2252565417441414</v>
      </c>
      <c r="H93">
        <f t="shared" si="61"/>
        <v>3.2252565417441414</v>
      </c>
      <c r="I93" s="3"/>
      <c r="J93">
        <f t="shared" si="62"/>
        <v>3.2533470143394414</v>
      </c>
      <c r="K93">
        <f t="shared" si="63"/>
        <v>165.01110417836929</v>
      </c>
      <c r="L93">
        <f t="shared" si="64"/>
        <v>2.3646335000678875</v>
      </c>
      <c r="M93">
        <f t="shared" si="65"/>
        <v>2.3646335000678875</v>
      </c>
      <c r="N93">
        <f t="shared" si="66"/>
        <v>2.3646335000678875</v>
      </c>
      <c r="O93" s="3"/>
      <c r="P93">
        <f t="shared" si="67"/>
        <v>1659.305852386851</v>
      </c>
      <c r="Q93">
        <f t="shared" si="68"/>
        <v>2273.8584111351638</v>
      </c>
      <c r="R93">
        <f t="shared" si="69"/>
        <v>0</v>
      </c>
      <c r="S93">
        <f t="shared" si="70"/>
        <v>0</v>
      </c>
      <c r="T93">
        <v>50</v>
      </c>
      <c r="U93" s="3"/>
      <c r="V93">
        <f t="shared" si="71"/>
        <v>3983.1642635220151</v>
      </c>
      <c r="W93" s="3"/>
      <c r="X93">
        <f t="shared" si="72"/>
        <v>2483.6006303031586</v>
      </c>
      <c r="Y93">
        <f t="shared" si="73"/>
        <v>49.835736477984938</v>
      </c>
      <c r="AA93">
        <f t="shared" si="74"/>
        <v>5.2434205654361453E-5</v>
      </c>
    </row>
    <row r="94" spans="2:28" x14ac:dyDescent="0.35">
      <c r="B94">
        <v>55.236270753512173</v>
      </c>
      <c r="C94">
        <v>3929</v>
      </c>
      <c r="D94">
        <f t="shared" ref="D94:D110" si="75">C$23-LN(1/C$23)+$B94*C$22</f>
        <v>4.4728639978800935</v>
      </c>
      <c r="E94">
        <f t="shared" ref="E94:E110" si="76">D$23-LN(1/D$23)+$B94*D$22</f>
        <v>170.51436368553897</v>
      </c>
      <c r="F94">
        <f t="shared" ref="F94:F110" si="77">E$23-LN(1/E$23)+$B94*E$22</f>
        <v>3.3210419823571722</v>
      </c>
      <c r="G94">
        <f t="shared" ref="G94:G110" si="78">F$23-LN(1/F$23)+$B94*F$22</f>
        <v>3.3210419823571722</v>
      </c>
      <c r="H94">
        <f t="shared" ref="H94:H110" si="79">G$23-LN(1/G$23)+$B94*G$22</f>
        <v>3.3210419823571722</v>
      </c>
      <c r="I94" s="3"/>
      <c r="J94">
        <f t="shared" ref="J94:J110" si="80">lmb_2(D94)</f>
        <v>3.2838480708147904</v>
      </c>
      <c r="K94">
        <f t="shared" ref="K94:K110" si="81">lmb_2(E94)</f>
        <v>165.40596086451464</v>
      </c>
      <c r="L94">
        <f t="shared" ref="L94:L110" si="82">lmb_2(F94)</f>
        <v>2.4322324450756083</v>
      </c>
      <c r="M94">
        <f t="shared" ref="M94:M110" si="83">lmb_2(G94)</f>
        <v>2.4322324450756083</v>
      </c>
      <c r="N94">
        <f t="shared" ref="N94:N110" si="84">lmb_2(H94)</f>
        <v>2.4322324450756083</v>
      </c>
      <c r="O94" s="3"/>
      <c r="P94">
        <f t="shared" ref="P94:P110" si="85">(C$21*$A$21)/(J94+J94^2)</f>
        <v>1632.189331505798</v>
      </c>
      <c r="Q94">
        <f t="shared" ref="Q94:Q110" si="86">(D$21*$A$21)/(K94+K94^2)</f>
        <v>2263.0476132966601</v>
      </c>
      <c r="R94">
        <f t="shared" ref="R94:R110" si="87">(E$21*$A$21)/(L94+L94^2)</f>
        <v>0</v>
      </c>
      <c r="S94">
        <f t="shared" ref="S94:S110" si="88">(F$21*$A$21)/(M94+M94^2)</f>
        <v>0</v>
      </c>
      <c r="T94">
        <v>50</v>
      </c>
      <c r="U94" s="3"/>
      <c r="V94">
        <f t="shared" ref="V94:V110" si="89">SUM(P94:T94)</f>
        <v>3945.2369448024583</v>
      </c>
      <c r="W94" s="3"/>
      <c r="X94">
        <f t="shared" ref="X94:X110" si="90">(V94-C94)^2</f>
        <v>263.63837651807796</v>
      </c>
      <c r="Y94">
        <f t="shared" ref="Y94:Y110" si="91">ABS(V94-C94)</f>
        <v>16.236944802458311</v>
      </c>
      <c r="AA94">
        <f t="shared" ref="AA94:AA110" si="92">Y94/$Z$39</f>
        <v>1.7083550141708246E-5</v>
      </c>
      <c r="AB94" s="3"/>
    </row>
    <row r="95" spans="2:28" x14ac:dyDescent="0.35">
      <c r="B95">
        <v>56.194125159642432</v>
      </c>
      <c r="C95">
        <v>3873</v>
      </c>
      <c r="D95">
        <f t="shared" si="75"/>
        <v>4.5126966644454072</v>
      </c>
      <c r="E95">
        <f t="shared" si="76"/>
        <v>170.91161042302173</v>
      </c>
      <c r="F95">
        <f t="shared" si="77"/>
        <v>3.4168274229701976</v>
      </c>
      <c r="G95">
        <f t="shared" si="78"/>
        <v>3.4168274229701976</v>
      </c>
      <c r="H95">
        <f t="shared" si="79"/>
        <v>3.4168274229701976</v>
      </c>
      <c r="I95" s="3"/>
      <c r="J95">
        <f t="shared" si="80"/>
        <v>3.314415404827213</v>
      </c>
      <c r="K95">
        <f t="shared" si="81"/>
        <v>165.80082321522295</v>
      </c>
      <c r="L95">
        <f t="shared" si="82"/>
        <v>2.5003833591799869</v>
      </c>
      <c r="M95">
        <f t="shared" si="83"/>
        <v>2.5003833591799869</v>
      </c>
      <c r="N95">
        <f t="shared" si="84"/>
        <v>2.5003833591799869</v>
      </c>
      <c r="O95" s="3"/>
      <c r="P95">
        <f t="shared" si="85"/>
        <v>1605.6790982111625</v>
      </c>
      <c r="Q95">
        <f t="shared" si="86"/>
        <v>2252.3135774116076</v>
      </c>
      <c r="R95">
        <f t="shared" si="87"/>
        <v>0</v>
      </c>
      <c r="S95">
        <f t="shared" si="88"/>
        <v>0</v>
      </c>
      <c r="T95">
        <v>50</v>
      </c>
      <c r="U95" s="3"/>
      <c r="V95">
        <f t="shared" si="89"/>
        <v>3907.9926756227701</v>
      </c>
      <c r="W95" s="3"/>
      <c r="X95">
        <f t="shared" si="90"/>
        <v>1224.4873472404083</v>
      </c>
      <c r="Y95">
        <f t="shared" si="91"/>
        <v>34.992675622770093</v>
      </c>
      <c r="AA95">
        <f t="shared" si="92"/>
        <v>3.6817217516414572E-5</v>
      </c>
      <c r="AB95" s="3"/>
    </row>
    <row r="96" spans="2:28" x14ac:dyDescent="0.35">
      <c r="B96">
        <v>57.47126436781609</v>
      </c>
      <c r="C96">
        <v>3829</v>
      </c>
      <c r="D96">
        <f t="shared" si="75"/>
        <v>4.5658068865324903</v>
      </c>
      <c r="E96">
        <f t="shared" si="76"/>
        <v>171.44127273966538</v>
      </c>
      <c r="F96">
        <f t="shared" si="77"/>
        <v>3.5445413437875639</v>
      </c>
      <c r="G96">
        <f t="shared" si="78"/>
        <v>3.5445413437875639</v>
      </c>
      <c r="H96">
        <f t="shared" si="79"/>
        <v>3.5445413437875639</v>
      </c>
      <c r="I96" s="3"/>
      <c r="J96">
        <f t="shared" si="80"/>
        <v>3.3552735765094566</v>
      </c>
      <c r="K96">
        <f t="shared" si="81"/>
        <v>166.32731511491042</v>
      </c>
      <c r="L96">
        <f t="shared" si="82"/>
        <v>2.5920805062643177</v>
      </c>
      <c r="M96">
        <f t="shared" si="83"/>
        <v>2.5920805062643177</v>
      </c>
      <c r="N96">
        <f t="shared" si="84"/>
        <v>2.5920805062643177</v>
      </c>
      <c r="O96" s="3"/>
      <c r="P96">
        <f t="shared" si="85"/>
        <v>1571.2463205066933</v>
      </c>
      <c r="Q96">
        <f t="shared" si="86"/>
        <v>2238.1196870347817</v>
      </c>
      <c r="R96">
        <f t="shared" si="87"/>
        <v>0</v>
      </c>
      <c r="S96">
        <f t="shared" si="88"/>
        <v>0</v>
      </c>
      <c r="T96">
        <v>50</v>
      </c>
      <c r="U96" s="3"/>
      <c r="V96">
        <f t="shared" si="89"/>
        <v>3859.366007541475</v>
      </c>
      <c r="W96" s="3"/>
      <c r="X96">
        <f t="shared" si="90"/>
        <v>922.09441400891831</v>
      </c>
      <c r="Y96">
        <f t="shared" si="91"/>
        <v>30.366007541475028</v>
      </c>
      <c r="AA96">
        <f t="shared" si="92"/>
        <v>3.1949311816330008E-5</v>
      </c>
      <c r="AB96" s="3"/>
    </row>
    <row r="97" spans="2:28" x14ac:dyDescent="0.35">
      <c r="B97">
        <v>58.429118773946392</v>
      </c>
      <c r="C97">
        <v>3790</v>
      </c>
      <c r="D97">
        <f t="shared" si="75"/>
        <v>4.6056395530978049</v>
      </c>
      <c r="E97">
        <f t="shared" si="76"/>
        <v>171.83851947714817</v>
      </c>
      <c r="F97">
        <f t="shared" si="77"/>
        <v>3.6403267844005938</v>
      </c>
      <c r="G97">
        <f t="shared" si="78"/>
        <v>3.6403267844005938</v>
      </c>
      <c r="H97">
        <f t="shared" si="79"/>
        <v>3.6403267844005938</v>
      </c>
      <c r="I97" s="3"/>
      <c r="J97">
        <f t="shared" si="80"/>
        <v>3.3859924879508081</v>
      </c>
      <c r="K97">
        <f t="shared" si="81"/>
        <v>166.72219057939768</v>
      </c>
      <c r="L97">
        <f t="shared" si="82"/>
        <v>2.6614541413107267</v>
      </c>
      <c r="M97">
        <f t="shared" si="83"/>
        <v>2.6614541413107267</v>
      </c>
      <c r="N97">
        <f t="shared" si="84"/>
        <v>2.6614541413107267</v>
      </c>
      <c r="O97" s="3"/>
      <c r="P97">
        <f t="shared" si="85"/>
        <v>1546.0864607440644</v>
      </c>
      <c r="Q97">
        <f t="shared" si="86"/>
        <v>2227.5619617644475</v>
      </c>
      <c r="R97">
        <f t="shared" si="87"/>
        <v>0</v>
      </c>
      <c r="S97">
        <f t="shared" si="88"/>
        <v>0</v>
      </c>
      <c r="T97">
        <v>50</v>
      </c>
      <c r="U97" s="3"/>
      <c r="V97">
        <f t="shared" si="89"/>
        <v>3823.6484225085119</v>
      </c>
      <c r="W97" s="3"/>
      <c r="X97">
        <f t="shared" si="90"/>
        <v>1132.2163373113292</v>
      </c>
      <c r="Y97">
        <f t="shared" si="91"/>
        <v>33.648422508511885</v>
      </c>
      <c r="AA97">
        <f t="shared" si="92"/>
        <v>3.5402874131007443E-5</v>
      </c>
      <c r="AB97" s="3"/>
    </row>
    <row r="98" spans="2:28" x14ac:dyDescent="0.35">
      <c r="B98">
        <v>59.386973180076659</v>
      </c>
      <c r="C98">
        <v>3798</v>
      </c>
      <c r="D98">
        <f t="shared" si="75"/>
        <v>4.6454722196631186</v>
      </c>
      <c r="E98">
        <f t="shared" si="76"/>
        <v>172.23576621463093</v>
      </c>
      <c r="F98">
        <f t="shared" si="77"/>
        <v>3.7361122250136201</v>
      </c>
      <c r="G98">
        <f t="shared" si="78"/>
        <v>3.7361122250136201</v>
      </c>
      <c r="H98">
        <f t="shared" si="79"/>
        <v>3.7361122250136201</v>
      </c>
      <c r="I98" s="3"/>
      <c r="J98">
        <f t="shared" si="80"/>
        <v>3.416775074212393</v>
      </c>
      <c r="K98">
        <f t="shared" si="81"/>
        <v>167.11707162015369</v>
      </c>
      <c r="L98">
        <f t="shared" si="82"/>
        <v>2.7313252822401348</v>
      </c>
      <c r="M98">
        <f t="shared" si="83"/>
        <v>2.7313252822401348</v>
      </c>
      <c r="N98">
        <f t="shared" si="84"/>
        <v>2.7313252822401348</v>
      </c>
      <c r="O98" s="3"/>
      <c r="P98">
        <f t="shared" si="85"/>
        <v>1521.479052261398</v>
      </c>
      <c r="Q98">
        <f t="shared" si="86"/>
        <v>2217.0786182056413</v>
      </c>
      <c r="R98">
        <f t="shared" si="87"/>
        <v>0</v>
      </c>
      <c r="S98">
        <f t="shared" si="88"/>
        <v>0</v>
      </c>
      <c r="T98">
        <v>50</v>
      </c>
      <c r="U98" s="3"/>
      <c r="V98">
        <f t="shared" si="89"/>
        <v>3788.5576704670393</v>
      </c>
      <c r="W98" s="3"/>
      <c r="X98">
        <f t="shared" si="90"/>
        <v>89.15758700902154</v>
      </c>
      <c r="Y98">
        <f t="shared" si="91"/>
        <v>9.4423295329606844</v>
      </c>
      <c r="AA98">
        <f t="shared" si="92"/>
        <v>9.9346590133412275E-6</v>
      </c>
      <c r="AB98" s="3"/>
    </row>
    <row r="99" spans="2:28" x14ac:dyDescent="0.35">
      <c r="B99">
        <v>60.344827586206918</v>
      </c>
      <c r="C99">
        <v>3757</v>
      </c>
      <c r="D99">
        <f t="shared" si="75"/>
        <v>4.6853048862284314</v>
      </c>
      <c r="E99">
        <f t="shared" si="76"/>
        <v>172.63301295211369</v>
      </c>
      <c r="F99">
        <f t="shared" si="77"/>
        <v>3.8318976656266464</v>
      </c>
      <c r="G99">
        <f t="shared" si="78"/>
        <v>3.8318976656266464</v>
      </c>
      <c r="H99">
        <f t="shared" si="79"/>
        <v>3.8318976656266464</v>
      </c>
      <c r="I99" s="3"/>
      <c r="J99">
        <f t="shared" si="80"/>
        <v>3.4476205800660007</v>
      </c>
      <c r="K99">
        <f t="shared" si="81"/>
        <v>167.51195821109184</v>
      </c>
      <c r="L99">
        <f t="shared" si="82"/>
        <v>2.8016788417767313</v>
      </c>
      <c r="M99">
        <f t="shared" si="83"/>
        <v>2.8016788417767313</v>
      </c>
      <c r="N99">
        <f t="shared" si="84"/>
        <v>2.8016788417767313</v>
      </c>
      <c r="O99" s="3"/>
      <c r="P99">
        <f t="shared" si="85"/>
        <v>1497.4090554273023</v>
      </c>
      <c r="Q99">
        <f t="shared" si="86"/>
        <v>2206.6689603115274</v>
      </c>
      <c r="R99">
        <f t="shared" si="87"/>
        <v>0</v>
      </c>
      <c r="S99">
        <f t="shared" si="88"/>
        <v>0</v>
      </c>
      <c r="T99">
        <v>50</v>
      </c>
      <c r="U99" s="3"/>
      <c r="V99">
        <f t="shared" si="89"/>
        <v>3754.0780157388299</v>
      </c>
      <c r="W99" s="3"/>
      <c r="X99">
        <f t="shared" si="90"/>
        <v>8.537992022525831</v>
      </c>
      <c r="Y99">
        <f t="shared" si="91"/>
        <v>2.9219842611701097</v>
      </c>
      <c r="AA99">
        <f t="shared" si="92"/>
        <v>3.0743385067998884E-6</v>
      </c>
      <c r="AB99" s="3"/>
    </row>
    <row r="100" spans="2:28" x14ac:dyDescent="0.35">
      <c r="B100">
        <v>61.302681992337178</v>
      </c>
      <c r="C100">
        <v>3626</v>
      </c>
      <c r="D100">
        <f t="shared" si="75"/>
        <v>4.7251375527937451</v>
      </c>
      <c r="E100">
        <f t="shared" si="76"/>
        <v>173.03025968959645</v>
      </c>
      <c r="F100">
        <f t="shared" si="77"/>
        <v>3.9276831062396727</v>
      </c>
      <c r="G100">
        <f t="shared" si="78"/>
        <v>3.9276831062396727</v>
      </c>
      <c r="H100">
        <f t="shared" si="79"/>
        <v>3.9276831062396727</v>
      </c>
      <c r="I100" s="3"/>
      <c r="J100">
        <f t="shared" si="80"/>
        <v>3.4785282617504962</v>
      </c>
      <c r="K100">
        <f t="shared" si="81"/>
        <v>167.90685032630768</v>
      </c>
      <c r="L100">
        <f t="shared" si="82"/>
        <v>2.8725002785334026</v>
      </c>
      <c r="M100">
        <f t="shared" si="83"/>
        <v>2.8725002785334026</v>
      </c>
      <c r="N100">
        <f t="shared" si="84"/>
        <v>2.8725002785334026</v>
      </c>
      <c r="O100" s="3"/>
      <c r="P100">
        <f t="shared" si="85"/>
        <v>1473.86191064442</v>
      </c>
      <c r="Q100">
        <f t="shared" si="86"/>
        <v>2196.3323001484614</v>
      </c>
      <c r="R100">
        <f t="shared" si="87"/>
        <v>0</v>
      </c>
      <c r="S100">
        <f t="shared" si="88"/>
        <v>0</v>
      </c>
      <c r="T100">
        <v>50</v>
      </c>
      <c r="U100" s="3"/>
      <c r="V100">
        <f t="shared" si="89"/>
        <v>3720.1942107928817</v>
      </c>
      <c r="W100" s="3"/>
      <c r="X100">
        <f t="shared" si="90"/>
        <v>8872.5493468938275</v>
      </c>
      <c r="Y100">
        <f t="shared" si="91"/>
        <v>94.194210792881677</v>
      </c>
      <c r="AA100">
        <f t="shared" si="92"/>
        <v>9.9105560973219409E-5</v>
      </c>
      <c r="AB100" s="3"/>
    </row>
    <row r="101" spans="2:28" x14ac:dyDescent="0.35">
      <c r="B101">
        <v>62.260536398467437</v>
      </c>
      <c r="C101">
        <v>3730</v>
      </c>
      <c r="D101">
        <f t="shared" si="75"/>
        <v>4.7649702193590588</v>
      </c>
      <c r="E101">
        <f t="shared" si="76"/>
        <v>173.42750642707921</v>
      </c>
      <c r="F101">
        <f t="shared" si="77"/>
        <v>4.0234685468526976</v>
      </c>
      <c r="G101">
        <f t="shared" si="78"/>
        <v>4.0234685468526976</v>
      </c>
      <c r="H101">
        <f t="shared" si="79"/>
        <v>4.0234685468526976</v>
      </c>
      <c r="I101" s="3"/>
      <c r="J101">
        <f t="shared" si="80"/>
        <v>3.5094973867832606</v>
      </c>
      <c r="K101">
        <f t="shared" si="81"/>
        <v>168.30174794007735</v>
      </c>
      <c r="L101">
        <f t="shared" si="82"/>
        <v>2.9437755788887494</v>
      </c>
      <c r="M101">
        <f t="shared" si="83"/>
        <v>2.9437755788887494</v>
      </c>
      <c r="N101">
        <f t="shared" si="84"/>
        <v>2.9437755788887494</v>
      </c>
      <c r="O101" s="3"/>
      <c r="P101">
        <f t="shared" si="85"/>
        <v>1450.8235210299015</v>
      </c>
      <c r="Q101">
        <f t="shared" si="86"/>
        <v>2186.0679577828832</v>
      </c>
      <c r="R101">
        <f t="shared" si="87"/>
        <v>0</v>
      </c>
      <c r="S101">
        <f t="shared" si="88"/>
        <v>0</v>
      </c>
      <c r="T101">
        <v>50</v>
      </c>
      <c r="U101" s="3"/>
      <c r="V101">
        <f t="shared" si="89"/>
        <v>3686.891478812785</v>
      </c>
      <c r="W101" s="3"/>
      <c r="X101">
        <f t="shared" si="90"/>
        <v>1858.3445989485685</v>
      </c>
      <c r="Y101">
        <f t="shared" si="91"/>
        <v>43.108521187215047</v>
      </c>
      <c r="AA101">
        <f t="shared" si="92"/>
        <v>4.535622878542894E-5</v>
      </c>
      <c r="AB101" s="3"/>
    </row>
    <row r="102" spans="2:28" x14ac:dyDescent="0.35">
      <c r="B102">
        <v>63.218390804597732</v>
      </c>
      <c r="C102">
        <v>3741</v>
      </c>
      <c r="D102">
        <f t="shared" si="75"/>
        <v>4.8048028859243725</v>
      </c>
      <c r="E102">
        <f t="shared" si="76"/>
        <v>173.82475316456197</v>
      </c>
      <c r="F102">
        <f t="shared" si="77"/>
        <v>4.1192539874657275</v>
      </c>
      <c r="G102">
        <f t="shared" si="78"/>
        <v>4.1192539874657275</v>
      </c>
      <c r="H102">
        <f t="shared" si="79"/>
        <v>4.1192539874657275</v>
      </c>
      <c r="I102" s="3"/>
      <c r="J102">
        <f t="shared" si="80"/>
        <v>3.5405272337741702</v>
      </c>
      <c r="K102">
        <f t="shared" si="81"/>
        <v>168.69665102685585</v>
      </c>
      <c r="L102">
        <f t="shared" si="82"/>
        <v>3.0154912389125457</v>
      </c>
      <c r="M102">
        <f t="shared" si="83"/>
        <v>3.0154912389125457</v>
      </c>
      <c r="N102">
        <f t="shared" si="84"/>
        <v>3.0154912389125457</v>
      </c>
      <c r="O102" s="3"/>
      <c r="P102">
        <f t="shared" si="85"/>
        <v>1428.2802357835524</v>
      </c>
      <c r="Q102">
        <f t="shared" si="86"/>
        <v>2175.8752611700452</v>
      </c>
      <c r="R102">
        <f t="shared" si="87"/>
        <v>0</v>
      </c>
      <c r="S102">
        <f t="shared" si="88"/>
        <v>0</v>
      </c>
      <c r="T102">
        <v>50</v>
      </c>
      <c r="U102" s="3"/>
      <c r="V102">
        <f t="shared" si="89"/>
        <v>3654.1554969535973</v>
      </c>
      <c r="W102" s="3"/>
      <c r="X102">
        <f t="shared" si="90"/>
        <v>7541.9677093766441</v>
      </c>
      <c r="Y102">
        <f t="shared" si="91"/>
        <v>86.844503046402679</v>
      </c>
      <c r="AA102">
        <f t="shared" si="92"/>
        <v>9.1372634468790716E-5</v>
      </c>
      <c r="AB102" s="3"/>
    </row>
    <row r="103" spans="2:28" x14ac:dyDescent="0.35">
      <c r="B103">
        <v>64.495530012771411</v>
      </c>
      <c r="C103">
        <v>3599</v>
      </c>
      <c r="D103">
        <f t="shared" si="75"/>
        <v>4.8579131080114575</v>
      </c>
      <c r="E103">
        <f t="shared" si="76"/>
        <v>174.35441548120565</v>
      </c>
      <c r="F103">
        <f t="shared" si="77"/>
        <v>4.2469679082830964</v>
      </c>
      <c r="G103">
        <f t="shared" si="78"/>
        <v>4.2469679082830964</v>
      </c>
      <c r="H103">
        <f t="shared" si="79"/>
        <v>4.2469679082830964</v>
      </c>
      <c r="I103" s="3"/>
      <c r="J103">
        <f t="shared" si="80"/>
        <v>3.5819935930313385</v>
      </c>
      <c r="K103">
        <f t="shared" si="81"/>
        <v>169.22319694564308</v>
      </c>
      <c r="L103">
        <f t="shared" si="82"/>
        <v>3.111774701331953</v>
      </c>
      <c r="M103">
        <f t="shared" si="83"/>
        <v>3.111774701331953</v>
      </c>
      <c r="N103">
        <f t="shared" si="84"/>
        <v>3.111774701331953</v>
      </c>
      <c r="O103" s="3"/>
      <c r="P103">
        <f t="shared" si="85"/>
        <v>1398.9698939211285</v>
      </c>
      <c r="Q103">
        <f t="shared" si="86"/>
        <v>2162.3953009622583</v>
      </c>
      <c r="R103">
        <f t="shared" si="87"/>
        <v>0</v>
      </c>
      <c r="S103">
        <f t="shared" si="88"/>
        <v>0</v>
      </c>
      <c r="T103">
        <v>50</v>
      </c>
      <c r="U103" s="3"/>
      <c r="V103">
        <f t="shared" si="89"/>
        <v>3611.3651948833867</v>
      </c>
      <c r="W103" s="3"/>
      <c r="X103">
        <f t="shared" si="90"/>
        <v>152.89804450413314</v>
      </c>
      <c r="Y103">
        <f t="shared" si="91"/>
        <v>12.365194883386721</v>
      </c>
      <c r="AA103">
        <f t="shared" si="92"/>
        <v>1.3009924549989776E-5</v>
      </c>
      <c r="AB103" s="3"/>
    </row>
    <row r="104" spans="2:28" x14ac:dyDescent="0.35">
      <c r="B104">
        <v>65.453384418901663</v>
      </c>
      <c r="C104">
        <v>3607</v>
      </c>
      <c r="D104">
        <f t="shared" si="75"/>
        <v>4.8977457745767703</v>
      </c>
      <c r="E104">
        <f t="shared" si="76"/>
        <v>174.75166221868841</v>
      </c>
      <c r="F104">
        <f t="shared" si="77"/>
        <v>4.342753348896121</v>
      </c>
      <c r="G104">
        <f t="shared" si="78"/>
        <v>4.342753348896121</v>
      </c>
      <c r="H104">
        <f t="shared" si="79"/>
        <v>4.342753348896121</v>
      </c>
      <c r="I104" s="3"/>
      <c r="J104">
        <f t="shared" si="80"/>
        <v>3.6131623801258939</v>
      </c>
      <c r="K104">
        <f t="shared" si="81"/>
        <v>169.61811270442666</v>
      </c>
      <c r="L104">
        <f t="shared" si="82"/>
        <v>3.1844680812698791</v>
      </c>
      <c r="M104">
        <f t="shared" si="83"/>
        <v>3.1844680812698791</v>
      </c>
      <c r="N104">
        <f t="shared" si="84"/>
        <v>3.1844680812698791</v>
      </c>
      <c r="O104" s="3"/>
      <c r="P104">
        <f t="shared" si="85"/>
        <v>1377.531153146474</v>
      </c>
      <c r="Q104">
        <f t="shared" si="86"/>
        <v>2152.3672077624246</v>
      </c>
      <c r="R104">
        <f t="shared" si="87"/>
        <v>0</v>
      </c>
      <c r="S104">
        <f t="shared" si="88"/>
        <v>0</v>
      </c>
      <c r="T104">
        <v>50</v>
      </c>
      <c r="U104" s="3"/>
      <c r="V104">
        <f t="shared" si="89"/>
        <v>3579.8983609088987</v>
      </c>
      <c r="W104" s="3"/>
      <c r="X104">
        <f t="shared" si="90"/>
        <v>734.49884142431188</v>
      </c>
      <c r="Y104">
        <f t="shared" si="91"/>
        <v>27.101639091101333</v>
      </c>
      <c r="AA104">
        <f t="shared" si="92"/>
        <v>2.851473697596187E-5</v>
      </c>
      <c r="AB104" s="3"/>
    </row>
    <row r="105" spans="2:28" x14ac:dyDescent="0.35">
      <c r="B105">
        <v>66.411238825031973</v>
      </c>
      <c r="C105">
        <v>3525</v>
      </c>
      <c r="D105">
        <f t="shared" si="75"/>
        <v>4.9375784411420858</v>
      </c>
      <c r="E105">
        <f t="shared" si="76"/>
        <v>175.1489089561712</v>
      </c>
      <c r="F105">
        <f t="shared" si="77"/>
        <v>4.4385387895091526</v>
      </c>
      <c r="G105">
        <f t="shared" si="78"/>
        <v>4.4385387895091526</v>
      </c>
      <c r="H105">
        <f t="shared" si="79"/>
        <v>4.4385387895091526</v>
      </c>
      <c r="I105" s="3"/>
      <c r="J105">
        <f t="shared" si="80"/>
        <v>3.6443895623208702</v>
      </c>
      <c r="K105">
        <f t="shared" si="81"/>
        <v>170.01303385234027</v>
      </c>
      <c r="L105">
        <f t="shared" si="82"/>
        <v>3.2575602606232552</v>
      </c>
      <c r="M105">
        <f t="shared" si="83"/>
        <v>3.2575602606232552</v>
      </c>
      <c r="N105">
        <f t="shared" si="84"/>
        <v>3.2575602606232552</v>
      </c>
      <c r="O105" s="3"/>
      <c r="P105">
        <f t="shared" si="85"/>
        <v>1356.5450353545868</v>
      </c>
      <c r="Q105">
        <f t="shared" si="86"/>
        <v>2142.4085757485104</v>
      </c>
      <c r="R105">
        <f t="shared" si="87"/>
        <v>0</v>
      </c>
      <c r="S105">
        <f t="shared" si="88"/>
        <v>0</v>
      </c>
      <c r="T105">
        <v>50</v>
      </c>
      <c r="U105" s="3"/>
      <c r="V105">
        <f t="shared" si="89"/>
        <v>3548.9536111030975</v>
      </c>
      <c r="W105" s="3"/>
      <c r="X105">
        <f t="shared" si="90"/>
        <v>573.77548487843592</v>
      </c>
      <c r="Y105">
        <f t="shared" si="91"/>
        <v>23.953611103097501</v>
      </c>
      <c r="AA105">
        <f t="shared" si="92"/>
        <v>2.5202568668755328E-5</v>
      </c>
      <c r="AB105" s="3"/>
    </row>
    <row r="106" spans="2:28" x14ac:dyDescent="0.35">
      <c r="B106">
        <v>67.369093231162239</v>
      </c>
      <c r="C106">
        <v>3470</v>
      </c>
      <c r="D106">
        <f t="shared" si="75"/>
        <v>4.9774111077073995</v>
      </c>
      <c r="E106">
        <f t="shared" si="76"/>
        <v>175.54615569365396</v>
      </c>
      <c r="F106">
        <f t="shared" si="77"/>
        <v>4.5343242301221789</v>
      </c>
      <c r="G106">
        <f t="shared" si="78"/>
        <v>4.5343242301221789</v>
      </c>
      <c r="H106">
        <f t="shared" si="79"/>
        <v>4.5343242301221789</v>
      </c>
      <c r="I106" s="3"/>
      <c r="J106">
        <f t="shared" si="80"/>
        <v>3.6756744642065038</v>
      </c>
      <c r="K106">
        <f t="shared" si="81"/>
        <v>170.40796036459523</v>
      </c>
      <c r="L106">
        <f t="shared" si="82"/>
        <v>3.3310397404849663</v>
      </c>
      <c r="M106">
        <f t="shared" si="83"/>
        <v>3.3310397404849663</v>
      </c>
      <c r="N106">
        <f t="shared" si="84"/>
        <v>3.3310397404849663</v>
      </c>
      <c r="O106" s="3"/>
      <c r="P106">
        <f t="shared" si="85"/>
        <v>1335.9996460797361</v>
      </c>
      <c r="Q106">
        <f t="shared" si="86"/>
        <v>2132.5187658180471</v>
      </c>
      <c r="R106">
        <f t="shared" si="87"/>
        <v>0</v>
      </c>
      <c r="S106">
        <f t="shared" si="88"/>
        <v>0</v>
      </c>
      <c r="T106">
        <v>50</v>
      </c>
      <c r="U106" s="3"/>
      <c r="V106">
        <f t="shared" si="89"/>
        <v>3518.5184118977832</v>
      </c>
      <c r="W106" s="3"/>
      <c r="X106">
        <f t="shared" si="90"/>
        <v>2354.036293082946</v>
      </c>
      <c r="Y106">
        <f t="shared" si="91"/>
        <v>48.518411897783153</v>
      </c>
      <c r="AA106">
        <f t="shared" si="92"/>
        <v>5.1048194875081427E-5</v>
      </c>
      <c r="AB106" s="3"/>
    </row>
    <row r="107" spans="2:28" x14ac:dyDescent="0.35">
      <c r="B107">
        <v>68.326947637292477</v>
      </c>
      <c r="C107">
        <v>3437</v>
      </c>
      <c r="D107">
        <f t="shared" si="75"/>
        <v>5.0172437742727123</v>
      </c>
      <c r="E107">
        <f t="shared" si="76"/>
        <v>175.94340243113672</v>
      </c>
      <c r="F107">
        <f t="shared" si="77"/>
        <v>4.6301096707352016</v>
      </c>
      <c r="G107">
        <f t="shared" si="78"/>
        <v>4.6301096707352016</v>
      </c>
      <c r="H107">
        <f t="shared" si="79"/>
        <v>4.6301096707352016</v>
      </c>
      <c r="I107" s="3"/>
      <c r="J107">
        <f t="shared" si="80"/>
        <v>3.7070164205167475</v>
      </c>
      <c r="K107">
        <f t="shared" si="81"/>
        <v>170.80289221657333</v>
      </c>
      <c r="L107">
        <f t="shared" si="82"/>
        <v>3.4048954395268529</v>
      </c>
      <c r="M107">
        <f t="shared" si="83"/>
        <v>3.4048954395268529</v>
      </c>
      <c r="N107">
        <f t="shared" si="84"/>
        <v>3.4048954395268529</v>
      </c>
      <c r="O107" s="3"/>
      <c r="P107">
        <f t="shared" si="85"/>
        <v>1315.8834586935375</v>
      </c>
      <c r="Q107">
        <f t="shared" si="86"/>
        <v>2122.6971461935209</v>
      </c>
      <c r="R107">
        <f t="shared" si="87"/>
        <v>0</v>
      </c>
      <c r="S107">
        <f t="shared" si="88"/>
        <v>0</v>
      </c>
      <c r="T107">
        <v>50</v>
      </c>
      <c r="U107" s="3"/>
      <c r="V107">
        <f t="shared" si="89"/>
        <v>3488.5806048870581</v>
      </c>
      <c r="W107" s="3"/>
      <c r="X107">
        <f t="shared" si="90"/>
        <v>2660.5588005148065</v>
      </c>
      <c r="Y107">
        <f t="shared" si="91"/>
        <v>51.580604887058144</v>
      </c>
      <c r="AA107">
        <f t="shared" si="92"/>
        <v>5.4270052688378082E-5</v>
      </c>
      <c r="AB107" s="3"/>
    </row>
    <row r="108" spans="2:28" ht="13.5" customHeight="1" x14ac:dyDescent="0.35">
      <c r="B108">
        <v>69.284802043422744</v>
      </c>
      <c r="C108">
        <v>3424</v>
      </c>
      <c r="D108">
        <f t="shared" si="75"/>
        <v>5.0570764408380251</v>
      </c>
      <c r="E108">
        <f t="shared" si="76"/>
        <v>176.34064916861948</v>
      </c>
      <c r="F108">
        <f t="shared" si="77"/>
        <v>4.7258951113482297</v>
      </c>
      <c r="G108">
        <f t="shared" si="78"/>
        <v>4.7258951113482297</v>
      </c>
      <c r="H108">
        <f t="shared" si="79"/>
        <v>4.7258951113482297</v>
      </c>
      <c r="I108" s="3"/>
      <c r="J108">
        <f t="shared" si="80"/>
        <v>3.7384147759595359</v>
      </c>
      <c r="K108">
        <f t="shared" si="81"/>
        <v>171.19782938382502</v>
      </c>
      <c r="L108">
        <f t="shared" si="82"/>
        <v>3.4791166779554046</v>
      </c>
      <c r="M108">
        <f t="shared" si="83"/>
        <v>3.4791166779554046</v>
      </c>
      <c r="N108">
        <f t="shared" si="84"/>
        <v>3.4791166779554046</v>
      </c>
      <c r="O108" s="3"/>
      <c r="P108">
        <f t="shared" si="85"/>
        <v>1296.1853014977605</v>
      </c>
      <c r="Q108">
        <f t="shared" si="86"/>
        <v>2112.943092321967</v>
      </c>
      <c r="R108">
        <f t="shared" si="87"/>
        <v>0</v>
      </c>
      <c r="S108">
        <f t="shared" si="88"/>
        <v>0</v>
      </c>
      <c r="T108">
        <v>50</v>
      </c>
      <c r="U108" s="3"/>
      <c r="V108">
        <f t="shared" si="89"/>
        <v>3459.1283938197275</v>
      </c>
      <c r="W108" s="3"/>
      <c r="X108">
        <f t="shared" si="90"/>
        <v>1234.0040523538717</v>
      </c>
      <c r="Y108">
        <f t="shared" si="91"/>
        <v>35.128393819727535</v>
      </c>
      <c r="AA108">
        <f t="shared" si="92"/>
        <v>3.6960012152417377E-5</v>
      </c>
      <c r="AB108" s="3"/>
    </row>
    <row r="109" spans="2:28" x14ac:dyDescent="0.35">
      <c r="B109">
        <v>70.561941251596451</v>
      </c>
      <c r="C109">
        <v>3443</v>
      </c>
      <c r="D109">
        <f t="shared" si="75"/>
        <v>5.1101866629251109</v>
      </c>
      <c r="E109">
        <f t="shared" si="76"/>
        <v>176.87031148526316</v>
      </c>
      <c r="F109">
        <f t="shared" si="77"/>
        <v>4.8536090321656005</v>
      </c>
      <c r="G109">
        <f t="shared" si="78"/>
        <v>4.8536090321656005</v>
      </c>
      <c r="H109">
        <f t="shared" si="79"/>
        <v>4.8536090321656005</v>
      </c>
      <c r="I109" s="3"/>
      <c r="J109">
        <f t="shared" si="80"/>
        <v>3.7803658676056382</v>
      </c>
      <c r="K109">
        <f t="shared" si="81"/>
        <v>171.7244204997518</v>
      </c>
      <c r="L109">
        <f t="shared" si="82"/>
        <v>3.5786292079001751</v>
      </c>
      <c r="M109">
        <f t="shared" si="83"/>
        <v>3.5786292079001751</v>
      </c>
      <c r="N109">
        <f t="shared" si="84"/>
        <v>3.5786292079001751</v>
      </c>
      <c r="O109" s="3"/>
      <c r="P109">
        <f t="shared" si="85"/>
        <v>1270.5526918355747</v>
      </c>
      <c r="Q109">
        <f t="shared" si="86"/>
        <v>2100.0417232982909</v>
      </c>
      <c r="R109">
        <f t="shared" si="87"/>
        <v>0</v>
      </c>
      <c r="S109">
        <f t="shared" si="88"/>
        <v>0</v>
      </c>
      <c r="T109">
        <v>50</v>
      </c>
      <c r="U109" s="3"/>
      <c r="V109">
        <f t="shared" si="89"/>
        <v>3420.5944151338654</v>
      </c>
      <c r="W109" s="3"/>
      <c r="X109">
        <f t="shared" si="90"/>
        <v>502.01023319356125</v>
      </c>
      <c r="Y109">
        <f t="shared" si="91"/>
        <v>22.405584866134632</v>
      </c>
      <c r="AA109">
        <f t="shared" si="92"/>
        <v>2.3573827291508596E-5</v>
      </c>
      <c r="AB109" s="3"/>
    </row>
    <row r="110" spans="2:28" x14ac:dyDescent="0.35">
      <c r="B110">
        <v>71.519795657726718</v>
      </c>
      <c r="C110">
        <v>3450</v>
      </c>
      <c r="D110">
        <f t="shared" si="75"/>
        <v>5.1500193294904246</v>
      </c>
      <c r="E110">
        <f t="shared" si="76"/>
        <v>177.26755822274595</v>
      </c>
      <c r="F110">
        <f t="shared" si="77"/>
        <v>4.9493944727786268</v>
      </c>
      <c r="G110">
        <f t="shared" si="78"/>
        <v>4.9493944727786268</v>
      </c>
      <c r="H110">
        <f t="shared" si="79"/>
        <v>4.9493944727786268</v>
      </c>
      <c r="I110" s="3"/>
      <c r="J110">
        <f t="shared" si="80"/>
        <v>3.8118933274462008</v>
      </c>
      <c r="K110">
        <f t="shared" si="81"/>
        <v>172.11936997516358</v>
      </c>
      <c r="L110">
        <f t="shared" si="82"/>
        <v>3.6536639788598455</v>
      </c>
      <c r="M110">
        <f t="shared" si="83"/>
        <v>3.6536639788598455</v>
      </c>
      <c r="N110">
        <f t="shared" si="84"/>
        <v>3.6536639788598455</v>
      </c>
      <c r="O110" s="3"/>
      <c r="P110">
        <f t="shared" si="85"/>
        <v>1251.7883947002999</v>
      </c>
      <c r="Q110">
        <f t="shared" si="86"/>
        <v>2090.4429338786072</v>
      </c>
      <c r="R110">
        <f t="shared" si="87"/>
        <v>0</v>
      </c>
      <c r="S110">
        <f t="shared" si="88"/>
        <v>0</v>
      </c>
      <c r="T110">
        <v>50</v>
      </c>
      <c r="U110" s="3"/>
      <c r="V110">
        <f t="shared" si="89"/>
        <v>3392.2313285789069</v>
      </c>
      <c r="W110" s="3"/>
      <c r="X110">
        <f t="shared" si="90"/>
        <v>3337.2193977582224</v>
      </c>
      <c r="Y110">
        <f t="shared" si="91"/>
        <v>57.768671421093131</v>
      </c>
      <c r="AA110">
        <f t="shared" si="92"/>
        <v>6.0780769217906965E-5</v>
      </c>
      <c r="AB110" s="3"/>
    </row>
    <row r="111" spans="2:28" x14ac:dyDescent="0.35">
      <c r="B111">
        <v>72.47765006385697</v>
      </c>
      <c r="C111">
        <v>3327</v>
      </c>
      <c r="D111">
        <f t="shared" ref="D111" si="93">C$23-LN(1/C$23)+$B111*C$22</f>
        <v>5.1898519960557365</v>
      </c>
      <c r="E111">
        <f t="shared" ref="E111" si="94">D$23-LN(1/D$23)+$B111*D$22</f>
        <v>177.66480496022868</v>
      </c>
      <c r="F111">
        <f t="shared" ref="F111" si="95">E$23-LN(1/E$23)+$B111*E$22</f>
        <v>5.0451799133916513</v>
      </c>
      <c r="G111">
        <f t="shared" ref="G111" si="96">F$23-LN(1/F$23)+$B111*F$22</f>
        <v>5.0451799133916513</v>
      </c>
      <c r="H111">
        <f t="shared" ref="H111" si="97">G$23-LN(1/G$23)+$B111*G$22</f>
        <v>5.0451799133916513</v>
      </c>
      <c r="I111" s="3"/>
      <c r="J111">
        <f t="shared" ref="J111" si="98">lmb_2(D111)</f>
        <v>3.8434750720197517</v>
      </c>
      <c r="K111">
        <f t="shared" ref="K111" si="99">lmb_2(E111)</f>
        <v>172.51432468554967</v>
      </c>
      <c r="L111">
        <f t="shared" ref="L111" si="100">lmb_2(F111)</f>
        <v>3.7290313934885138</v>
      </c>
      <c r="M111">
        <f t="shared" ref="M111" si="101">lmb_2(G111)</f>
        <v>3.7290313934885138</v>
      </c>
      <c r="N111">
        <f t="shared" ref="N111" si="102">lmb_2(H111)</f>
        <v>3.7290313934885138</v>
      </c>
      <c r="O111" s="3"/>
      <c r="P111">
        <f t="shared" ref="P111" si="103">(C$21*$A$21)/(J111+J111^2)</f>
        <v>1233.4072964005484</v>
      </c>
      <c r="Q111">
        <f t="shared" ref="Q111" si="104">(D$21*$A$21)/(K111+K111^2)</f>
        <v>2080.90967928892</v>
      </c>
      <c r="R111">
        <f t="shared" ref="R111" si="105">(E$21*$A$21)/(L111+L111^2)</f>
        <v>0</v>
      </c>
      <c r="S111">
        <f t="shared" ref="S111" si="106">(F$21*$A$21)/(M111+M111^2)</f>
        <v>0</v>
      </c>
      <c r="T111">
        <v>50</v>
      </c>
      <c r="U111" s="3"/>
      <c r="V111">
        <f t="shared" ref="V111" si="107">SUM(P111:T111)</f>
        <v>3364.3169756894686</v>
      </c>
      <c r="W111" s="3"/>
      <c r="X111">
        <f t="shared" ref="X111" si="108">(V111-C111)^2</f>
        <v>1392.5566746083878</v>
      </c>
      <c r="Y111">
        <f t="shared" ref="Y111" si="109">ABS(V111-C111)</f>
        <v>37.316975689468563</v>
      </c>
      <c r="AA111">
        <f t="shared" ref="AA111" si="110">Y111/$Z$39</f>
        <v>3.9262708168560371E-5</v>
      </c>
      <c r="AB111" s="3"/>
    </row>
    <row r="112" spans="2:28" x14ac:dyDescent="0.35">
      <c r="B112">
        <v>73.435504469987222</v>
      </c>
      <c r="C112">
        <v>3222</v>
      </c>
      <c r="D112">
        <f t="shared" ref="D112:D140" si="111">C$23-LN(1/C$23)+$B112*C$22</f>
        <v>5.2296846626210503</v>
      </c>
      <c r="E112">
        <f t="shared" ref="E112:E140" si="112">D$23-LN(1/D$23)+$B112*D$22</f>
        <v>178.06205169771144</v>
      </c>
      <c r="F112">
        <f t="shared" ref="F112:F140" si="113">E$23-LN(1/E$23)+$B112*E$22</f>
        <v>5.1409653540046776</v>
      </c>
      <c r="G112">
        <f t="shared" ref="G112:G140" si="114">F$23-LN(1/F$23)+$B112*F$22</f>
        <v>5.1409653540046776</v>
      </c>
      <c r="H112">
        <f t="shared" ref="H112:H140" si="115">G$23-LN(1/G$23)+$B112*G$22</f>
        <v>5.1409653540046776</v>
      </c>
      <c r="I112" s="3"/>
      <c r="J112">
        <f t="shared" ref="J112:J140" si="116">lmb_2(D112)</f>
        <v>3.8751104873561268</v>
      </c>
      <c r="K112">
        <f t="shared" ref="K112:K140" si="117">lmb_2(E112)</f>
        <v>172.90928460717433</v>
      </c>
      <c r="L112">
        <f t="shared" ref="L112:L140" si="118">lmb_2(F112)</f>
        <v>3.8047223382249209</v>
      </c>
      <c r="M112">
        <f t="shared" ref="M112:M140" si="119">lmb_2(G112)</f>
        <v>3.8047223382249209</v>
      </c>
      <c r="N112">
        <f t="shared" ref="N112:N140" si="120">lmb_2(H112)</f>
        <v>3.8047223382249209</v>
      </c>
      <c r="O112" s="3"/>
      <c r="P112">
        <f t="shared" ref="P112:P140" si="121">(C$21*$A$21)/(J112+J112^2)</f>
        <v>1215.3996259097066</v>
      </c>
      <c r="Q112">
        <f t="shared" ref="Q112:Q140" si="122">(D$21*$A$21)/(K112+K112^2)</f>
        <v>2071.4413651607251</v>
      </c>
      <c r="R112">
        <f t="shared" ref="R112:R140" si="123">(E$21*$A$21)/(L112+L112^2)</f>
        <v>0</v>
      </c>
      <c r="S112">
        <f t="shared" ref="S112:S140" si="124">(F$21*$A$21)/(M112+M112^2)</f>
        <v>0</v>
      </c>
      <c r="T112">
        <v>50</v>
      </c>
      <c r="U112" s="3"/>
      <c r="V112">
        <f t="shared" ref="V112:V140" si="125">SUM(P112:T112)</f>
        <v>3336.8409910704318</v>
      </c>
      <c r="W112" s="3"/>
      <c r="X112">
        <f t="shared" ref="X112:X140" si="126">(V112-C112)^2</f>
        <v>13188.453230038986</v>
      </c>
      <c r="Y112">
        <f t="shared" ref="Y112:Y140" si="127">ABS(V112-C112)</f>
        <v>114.84099107043176</v>
      </c>
      <c r="AA112">
        <f t="shared" ref="AA112:AA140" si="128">Y112/$Z$39</f>
        <v>1.2082887840932704E-4</v>
      </c>
      <c r="AB112" s="3"/>
    </row>
    <row r="113" spans="2:28" x14ac:dyDescent="0.35">
      <c r="B113">
        <v>74.393358876117532</v>
      </c>
      <c r="C113">
        <v>3428</v>
      </c>
      <c r="D113">
        <f t="shared" si="111"/>
        <v>5.2695173291863657</v>
      </c>
      <c r="E113">
        <f t="shared" si="112"/>
        <v>178.45929843519423</v>
      </c>
      <c r="F113">
        <f t="shared" si="113"/>
        <v>5.2367507946177074</v>
      </c>
      <c r="G113">
        <f t="shared" si="114"/>
        <v>5.2367507946177074</v>
      </c>
      <c r="H113">
        <f t="shared" si="115"/>
        <v>5.2367507946177074</v>
      </c>
      <c r="I113" s="3"/>
      <c r="J113">
        <f t="shared" si="116"/>
        <v>3.9067989685971689</v>
      </c>
      <c r="K113">
        <f t="shared" si="117"/>
        <v>173.30424971646252</v>
      </c>
      <c r="L113">
        <f t="shared" si="118"/>
        <v>3.8807280236280732</v>
      </c>
      <c r="M113">
        <f t="shared" si="119"/>
        <v>3.8807280236280732</v>
      </c>
      <c r="N113">
        <f t="shared" si="120"/>
        <v>3.8807280236280732</v>
      </c>
      <c r="O113" s="3"/>
      <c r="P113">
        <f t="shared" si="121"/>
        <v>1197.7559062516309</v>
      </c>
      <c r="Q113">
        <f t="shared" si="122"/>
        <v>2062.0374038408499</v>
      </c>
      <c r="R113">
        <f t="shared" si="123"/>
        <v>0</v>
      </c>
      <c r="S113">
        <f t="shared" si="124"/>
        <v>0</v>
      </c>
      <c r="T113">
        <v>50</v>
      </c>
      <c r="U113" s="3"/>
      <c r="V113">
        <f t="shared" si="125"/>
        <v>3309.7933100924811</v>
      </c>
      <c r="W113" s="3"/>
      <c r="X113">
        <f t="shared" si="126"/>
        <v>13972.821538892336</v>
      </c>
      <c r="Y113">
        <f t="shared" si="127"/>
        <v>118.20668990751892</v>
      </c>
      <c r="AA113">
        <f t="shared" si="128"/>
        <v>1.2437006707165238E-4</v>
      </c>
      <c r="AB113" s="3"/>
    </row>
    <row r="114" spans="2:28" x14ac:dyDescent="0.35">
      <c r="B114">
        <v>75.351213282247798</v>
      </c>
      <c r="C114">
        <v>3346</v>
      </c>
      <c r="D114">
        <f t="shared" si="111"/>
        <v>5.3093499957516794</v>
      </c>
      <c r="E114">
        <f t="shared" si="112"/>
        <v>178.85654517267699</v>
      </c>
      <c r="F114">
        <f t="shared" si="113"/>
        <v>5.3325362352307337</v>
      </c>
      <c r="G114">
        <f t="shared" si="114"/>
        <v>5.3325362352307337</v>
      </c>
      <c r="H114">
        <f t="shared" si="115"/>
        <v>5.3325362352307337</v>
      </c>
      <c r="I114" s="3"/>
      <c r="J114">
        <f t="shared" si="116"/>
        <v>3.9385399198431199</v>
      </c>
      <c r="K114">
        <f t="shared" si="117"/>
        <v>173.69921998999845</v>
      </c>
      <c r="L114">
        <f t="shared" si="118"/>
        <v>3.9570399714303184</v>
      </c>
      <c r="M114">
        <f t="shared" si="119"/>
        <v>3.9570399714303184</v>
      </c>
      <c r="N114">
        <f t="shared" si="120"/>
        <v>3.9570399714303184</v>
      </c>
      <c r="O114" s="3"/>
      <c r="P114">
        <f t="shared" si="121"/>
        <v>1180.4669444304307</v>
      </c>
      <c r="Q114">
        <f t="shared" si="122"/>
        <v>2052.6972143007029</v>
      </c>
      <c r="R114">
        <f t="shared" si="123"/>
        <v>0</v>
      </c>
      <c r="S114">
        <f t="shared" si="124"/>
        <v>0</v>
      </c>
      <c r="T114">
        <v>50</v>
      </c>
      <c r="U114" s="3"/>
      <c r="V114">
        <f t="shared" si="125"/>
        <v>3283.1641587311333</v>
      </c>
      <c r="W114" s="3"/>
      <c r="X114">
        <f t="shared" si="126"/>
        <v>3948.3429479662136</v>
      </c>
      <c r="Y114">
        <f t="shared" si="127"/>
        <v>62.835841268866716</v>
      </c>
      <c r="AA114">
        <f t="shared" si="128"/>
        <v>6.6112144746010377E-5</v>
      </c>
      <c r="AB114" s="3"/>
    </row>
    <row r="115" spans="2:28" x14ac:dyDescent="0.35">
      <c r="B115">
        <v>76.30906768837805</v>
      </c>
      <c r="C115">
        <v>3244</v>
      </c>
      <c r="D115">
        <f t="shared" si="111"/>
        <v>5.3491826623169914</v>
      </c>
      <c r="E115">
        <f t="shared" si="112"/>
        <v>179.25379191015975</v>
      </c>
      <c r="F115">
        <f t="shared" si="113"/>
        <v>5.42832167584376</v>
      </c>
      <c r="G115">
        <f t="shared" si="114"/>
        <v>5.42832167584376</v>
      </c>
      <c r="H115">
        <f t="shared" si="115"/>
        <v>5.42832167584376</v>
      </c>
      <c r="I115" s="3"/>
      <c r="J115">
        <f t="shared" si="116"/>
        <v>3.9703327540015083</v>
      </c>
      <c r="K115">
        <f t="shared" si="117"/>
        <v>174.09419540452427</v>
      </c>
      <c r="L115">
        <f t="shared" si="118"/>
        <v>4.0336500020790025</v>
      </c>
      <c r="M115">
        <f t="shared" si="119"/>
        <v>4.0336500020790025</v>
      </c>
      <c r="N115">
        <f t="shared" si="120"/>
        <v>4.0336500020790025</v>
      </c>
      <c r="O115" s="3"/>
      <c r="P115">
        <f t="shared" si="121"/>
        <v>1163.5238217425258</v>
      </c>
      <c r="Q115">
        <f t="shared" si="122"/>
        <v>2043.4202220469383</v>
      </c>
      <c r="R115">
        <f t="shared" si="123"/>
        <v>0</v>
      </c>
      <c r="S115">
        <f t="shared" si="124"/>
        <v>0</v>
      </c>
      <c r="T115">
        <v>50</v>
      </c>
      <c r="U115" s="3"/>
      <c r="V115">
        <f t="shared" si="125"/>
        <v>3256.9440437894641</v>
      </c>
      <c r="W115" s="3"/>
      <c r="X115">
        <f t="shared" si="126"/>
        <v>167.54826962356424</v>
      </c>
      <c r="Y115">
        <f t="shared" si="127"/>
        <v>12.944043789464104</v>
      </c>
      <c r="AA115">
        <f t="shared" si="128"/>
        <v>1.3618955031509227E-5</v>
      </c>
      <c r="AB115" s="3"/>
    </row>
    <row r="116" spans="2:28" x14ac:dyDescent="0.35">
      <c r="B116">
        <v>77.586206896551772</v>
      </c>
      <c r="C116">
        <v>3176</v>
      </c>
      <c r="D116">
        <f t="shared" si="111"/>
        <v>5.4022928844040781</v>
      </c>
      <c r="E116">
        <f t="shared" si="112"/>
        <v>179.78345422680343</v>
      </c>
      <c r="F116">
        <f t="shared" si="113"/>
        <v>5.5560355966611326</v>
      </c>
      <c r="G116">
        <f t="shared" si="114"/>
        <v>5.5560355966611326</v>
      </c>
      <c r="H116">
        <f t="shared" si="115"/>
        <v>5.5560355966611326</v>
      </c>
      <c r="I116" s="3"/>
      <c r="J116">
        <f t="shared" si="116"/>
        <v>4.0128029077653782</v>
      </c>
      <c r="K116">
        <f t="shared" si="117"/>
        <v>174.62083724774811</v>
      </c>
      <c r="L116">
        <f t="shared" si="118"/>
        <v>4.1362467919915407</v>
      </c>
      <c r="M116">
        <f t="shared" si="119"/>
        <v>4.1362467919915407</v>
      </c>
      <c r="N116">
        <f t="shared" si="120"/>
        <v>4.1362467919915407</v>
      </c>
      <c r="O116" s="3"/>
      <c r="P116">
        <f t="shared" si="121"/>
        <v>1141.4560434483728</v>
      </c>
      <c r="Q116">
        <f t="shared" si="122"/>
        <v>2031.1482250417152</v>
      </c>
      <c r="R116">
        <f t="shared" si="123"/>
        <v>0</v>
      </c>
      <c r="S116">
        <f t="shared" si="124"/>
        <v>0</v>
      </c>
      <c r="T116">
        <v>50</v>
      </c>
      <c r="U116" s="3"/>
      <c r="V116">
        <f t="shared" si="125"/>
        <v>3222.6042684900881</v>
      </c>
      <c r="W116" s="3"/>
      <c r="X116">
        <f t="shared" si="126"/>
        <v>2171.9578414962175</v>
      </c>
      <c r="Y116">
        <f t="shared" si="127"/>
        <v>46.604268490088089</v>
      </c>
      <c r="AA116">
        <f t="shared" si="128"/>
        <v>4.9034246728948177E-5</v>
      </c>
      <c r="AB116" s="3"/>
    </row>
    <row r="117" spans="2:28" x14ac:dyDescent="0.35">
      <c r="B117">
        <v>78.54406130268201</v>
      </c>
      <c r="C117">
        <v>3173</v>
      </c>
      <c r="D117">
        <f t="shared" si="111"/>
        <v>5.44212555096939</v>
      </c>
      <c r="E117">
        <f t="shared" si="112"/>
        <v>180.18070096428619</v>
      </c>
      <c r="F117">
        <f t="shared" si="113"/>
        <v>5.6518210372741553</v>
      </c>
      <c r="G117">
        <f t="shared" si="114"/>
        <v>5.6518210372741553</v>
      </c>
      <c r="H117">
        <f t="shared" si="115"/>
        <v>5.6518210372741553</v>
      </c>
      <c r="I117" s="3"/>
      <c r="J117">
        <f t="shared" si="116"/>
        <v>4.04471456727999</v>
      </c>
      <c r="K117">
        <f t="shared" si="117"/>
        <v>175.01582456834603</v>
      </c>
      <c r="L117">
        <f t="shared" si="118"/>
        <v>4.2135221291045397</v>
      </c>
      <c r="M117">
        <f t="shared" si="119"/>
        <v>4.2135221291045397</v>
      </c>
      <c r="N117">
        <f t="shared" si="120"/>
        <v>4.2135221291045397</v>
      </c>
      <c r="O117" s="3"/>
      <c r="P117">
        <f t="shared" si="121"/>
        <v>1125.2866665543129</v>
      </c>
      <c r="Q117">
        <f t="shared" si="122"/>
        <v>2022.0164950366195</v>
      </c>
      <c r="R117">
        <f t="shared" si="123"/>
        <v>0</v>
      </c>
      <c r="S117">
        <f t="shared" si="124"/>
        <v>0</v>
      </c>
      <c r="T117">
        <v>50</v>
      </c>
      <c r="U117" s="3"/>
      <c r="V117">
        <f t="shared" si="125"/>
        <v>3197.3031615909322</v>
      </c>
      <c r="W117" s="3"/>
      <c r="X117">
        <f t="shared" si="126"/>
        <v>590.64366331496103</v>
      </c>
      <c r="Y117">
        <f t="shared" si="127"/>
        <v>24.303161590932177</v>
      </c>
      <c r="AA117">
        <f t="shared" si="128"/>
        <v>2.5570344956636665E-5</v>
      </c>
      <c r="AB117" s="3"/>
    </row>
    <row r="118" spans="2:28" ht="13" customHeight="1" x14ac:dyDescent="0.35">
      <c r="B118">
        <v>79.501915708812277</v>
      </c>
      <c r="C118">
        <v>3217</v>
      </c>
      <c r="D118">
        <f t="shared" si="111"/>
        <v>5.4819582175347037</v>
      </c>
      <c r="E118">
        <f t="shared" si="112"/>
        <v>180.57794770176895</v>
      </c>
      <c r="F118">
        <f t="shared" si="113"/>
        <v>5.7476064778871816</v>
      </c>
      <c r="G118">
        <f t="shared" si="114"/>
        <v>5.7476064778871816</v>
      </c>
      <c r="H118">
        <f t="shared" si="115"/>
        <v>5.7476064778871816</v>
      </c>
      <c r="I118" s="3"/>
      <c r="J118">
        <f t="shared" si="116"/>
        <v>4.0766762144500452</v>
      </c>
      <c r="K118">
        <f t="shared" si="117"/>
        <v>175.41081695352983</v>
      </c>
      <c r="L118">
        <f t="shared" si="118"/>
        <v>4.2910702909853198</v>
      </c>
      <c r="M118">
        <f t="shared" si="119"/>
        <v>4.2910702909853198</v>
      </c>
      <c r="N118">
        <f t="shared" si="120"/>
        <v>4.2910702909853198</v>
      </c>
      <c r="O118" s="3"/>
      <c r="P118">
        <f t="shared" si="121"/>
        <v>1109.435263702866</v>
      </c>
      <c r="Q118">
        <f t="shared" si="122"/>
        <v>2012.9460934204465</v>
      </c>
      <c r="R118">
        <f t="shared" si="123"/>
        <v>0</v>
      </c>
      <c r="S118">
        <f t="shared" si="124"/>
        <v>0</v>
      </c>
      <c r="T118">
        <v>50</v>
      </c>
      <c r="U118" s="3"/>
      <c r="V118">
        <f t="shared" si="125"/>
        <v>3172.3813571233122</v>
      </c>
      <c r="W118" s="3"/>
      <c r="X118">
        <f t="shared" si="126"/>
        <v>1990.8232921574006</v>
      </c>
      <c r="Y118">
        <f t="shared" si="127"/>
        <v>44.618642876687773</v>
      </c>
      <c r="AA118">
        <f t="shared" si="128"/>
        <v>4.6945089246313341E-5</v>
      </c>
      <c r="AB118" s="3"/>
    </row>
    <row r="119" spans="2:28" x14ac:dyDescent="0.35">
      <c r="B119">
        <v>80.459770114942543</v>
      </c>
      <c r="C119">
        <v>3203</v>
      </c>
      <c r="D119">
        <f t="shared" si="111"/>
        <v>5.5217908841000174</v>
      </c>
      <c r="E119">
        <f t="shared" si="112"/>
        <v>180.97519443925171</v>
      </c>
      <c r="F119">
        <f t="shared" si="113"/>
        <v>5.8433919185002097</v>
      </c>
      <c r="G119">
        <f t="shared" si="114"/>
        <v>5.8433919185002097</v>
      </c>
      <c r="H119">
        <f t="shared" si="115"/>
        <v>5.8433919185002097</v>
      </c>
      <c r="I119" s="3"/>
      <c r="J119">
        <f t="shared" si="116"/>
        <v>4.1086872986615335</v>
      </c>
      <c r="K119">
        <f t="shared" si="117"/>
        <v>175.80581438070962</v>
      </c>
      <c r="L119">
        <f t="shared" si="118"/>
        <v>4.3688842600567366</v>
      </c>
      <c r="M119">
        <f t="shared" si="119"/>
        <v>4.3688842600567366</v>
      </c>
      <c r="N119">
        <f t="shared" si="120"/>
        <v>4.3688842600567366</v>
      </c>
      <c r="O119" s="3"/>
      <c r="P119">
        <f t="shared" si="121"/>
        <v>1093.894001482244</v>
      </c>
      <c r="Q119">
        <f t="shared" si="122"/>
        <v>2003.9364730207153</v>
      </c>
      <c r="R119">
        <f t="shared" si="123"/>
        <v>0</v>
      </c>
      <c r="S119">
        <f t="shared" si="124"/>
        <v>0</v>
      </c>
      <c r="T119">
        <v>50</v>
      </c>
      <c r="U119" s="3"/>
      <c r="V119">
        <f t="shared" si="125"/>
        <v>3147.8304745029591</v>
      </c>
      <c r="W119" s="3"/>
      <c r="X119">
        <f t="shared" si="126"/>
        <v>3043.6765435686484</v>
      </c>
      <c r="Y119">
        <f t="shared" si="127"/>
        <v>55.169525497040922</v>
      </c>
      <c r="AA119">
        <f t="shared" si="128"/>
        <v>5.8046102058575376E-5</v>
      </c>
      <c r="AB119" s="3"/>
    </row>
    <row r="120" spans="2:28" x14ac:dyDescent="0.35">
      <c r="B120">
        <v>81.41762452107281</v>
      </c>
      <c r="C120">
        <v>3131</v>
      </c>
      <c r="D120">
        <f t="shared" si="111"/>
        <v>5.5616235506653311</v>
      </c>
      <c r="E120">
        <f t="shared" si="112"/>
        <v>181.37244117673447</v>
      </c>
      <c r="F120">
        <f t="shared" si="113"/>
        <v>5.939177359113236</v>
      </c>
      <c r="G120">
        <f t="shared" si="114"/>
        <v>5.939177359113236</v>
      </c>
      <c r="H120">
        <f t="shared" si="115"/>
        <v>5.939177359113236</v>
      </c>
      <c r="I120" s="3"/>
      <c r="J120">
        <f t="shared" si="116"/>
        <v>4.1407472773429372</v>
      </c>
      <c r="K120">
        <f t="shared" si="117"/>
        <v>176.20081682744606</v>
      </c>
      <c r="L120">
        <f t="shared" si="118"/>
        <v>4.4469572588607411</v>
      </c>
      <c r="M120">
        <f t="shared" si="119"/>
        <v>4.4469572588607411</v>
      </c>
      <c r="N120">
        <f t="shared" si="120"/>
        <v>4.4469572588607411</v>
      </c>
      <c r="O120" s="3"/>
      <c r="P120">
        <f t="shared" si="121"/>
        <v>1078.6552749397742</v>
      </c>
      <c r="Q120">
        <f t="shared" si="122"/>
        <v>1994.9870927468419</v>
      </c>
      <c r="R120">
        <f t="shared" si="123"/>
        <v>0</v>
      </c>
      <c r="S120">
        <f t="shared" si="124"/>
        <v>0</v>
      </c>
      <c r="T120">
        <v>50</v>
      </c>
      <c r="U120" s="3"/>
      <c r="V120">
        <f t="shared" si="125"/>
        <v>3123.6423676866161</v>
      </c>
      <c r="W120" s="3"/>
      <c r="X120">
        <f t="shared" si="126"/>
        <v>54.134753258950539</v>
      </c>
      <c r="Y120">
        <f t="shared" si="127"/>
        <v>7.3576323133838741</v>
      </c>
      <c r="AA120">
        <f t="shared" si="128"/>
        <v>7.7412642636387979E-6</v>
      </c>
      <c r="AB120" s="3"/>
    </row>
    <row r="121" spans="2:28" x14ac:dyDescent="0.35">
      <c r="B121">
        <v>82.375478927203105</v>
      </c>
      <c r="C121">
        <v>3164</v>
      </c>
      <c r="D121">
        <f t="shared" si="111"/>
        <v>5.6014562172306457</v>
      </c>
      <c r="E121">
        <f t="shared" si="112"/>
        <v>181.76968791421726</v>
      </c>
      <c r="F121">
        <f t="shared" si="113"/>
        <v>6.0349627997262658</v>
      </c>
      <c r="G121">
        <f t="shared" si="114"/>
        <v>6.0349627997262658</v>
      </c>
      <c r="H121">
        <f t="shared" si="115"/>
        <v>6.0349627997262658</v>
      </c>
      <c r="I121" s="3"/>
      <c r="J121">
        <f t="shared" si="116"/>
        <v>4.1728556158293584</v>
      </c>
      <c r="K121">
        <f t="shared" si="117"/>
        <v>176.59582427144898</v>
      </c>
      <c r="L121">
        <f t="shared" si="118"/>
        <v>4.5252827404492439</v>
      </c>
      <c r="M121">
        <f t="shared" si="119"/>
        <v>4.5252827404492439</v>
      </c>
      <c r="N121">
        <f t="shared" si="120"/>
        <v>4.5252827404492439</v>
      </c>
      <c r="O121" s="3"/>
      <c r="P121">
        <f t="shared" si="121"/>
        <v>1063.7116999763787</v>
      </c>
      <c r="Q121">
        <f t="shared" si="122"/>
        <v>1986.0974175092751</v>
      </c>
      <c r="R121">
        <f t="shared" si="123"/>
        <v>0</v>
      </c>
      <c r="S121">
        <f t="shared" si="124"/>
        <v>0</v>
      </c>
      <c r="T121">
        <v>50</v>
      </c>
      <c r="U121" s="3"/>
      <c r="V121">
        <f t="shared" si="125"/>
        <v>3099.8091174856536</v>
      </c>
      <c r="W121" s="3"/>
      <c r="X121">
        <f t="shared" si="126"/>
        <v>4120.4693979706244</v>
      </c>
      <c r="Y121">
        <f t="shared" si="127"/>
        <v>64.190882514346413</v>
      </c>
      <c r="AA121">
        <f t="shared" si="128"/>
        <v>6.7537838763134239E-5</v>
      </c>
      <c r="AB121" s="3"/>
    </row>
    <row r="122" spans="2:28" x14ac:dyDescent="0.35">
      <c r="B122">
        <v>83.333333333333371</v>
      </c>
      <c r="C122">
        <v>3151</v>
      </c>
      <c r="D122">
        <f t="shared" si="111"/>
        <v>5.6412888837959594</v>
      </c>
      <c r="E122">
        <f t="shared" si="112"/>
        <v>182.16693465170002</v>
      </c>
      <c r="F122">
        <f t="shared" si="113"/>
        <v>6.1307482403392921</v>
      </c>
      <c r="G122">
        <f t="shared" si="114"/>
        <v>6.1307482403392921</v>
      </c>
      <c r="H122">
        <f t="shared" si="115"/>
        <v>6.1307482403392921</v>
      </c>
      <c r="I122" s="3"/>
      <c r="J122">
        <f t="shared" si="116"/>
        <v>4.2050117872289681</v>
      </c>
      <c r="K122">
        <f t="shared" si="117"/>
        <v>176.99083669057606</v>
      </c>
      <c r="L122">
        <f t="shared" si="118"/>
        <v>4.6038543791768944</v>
      </c>
      <c r="M122">
        <f t="shared" si="119"/>
        <v>4.6038543791768944</v>
      </c>
      <c r="N122">
        <f t="shared" si="120"/>
        <v>4.6038543791768944</v>
      </c>
      <c r="O122" s="3"/>
      <c r="P122">
        <f t="shared" si="121"/>
        <v>1049.0561060226091</v>
      </c>
      <c r="Q122">
        <f t="shared" si="122"/>
        <v>1977.266918139881</v>
      </c>
      <c r="R122">
        <f t="shared" si="123"/>
        <v>0</v>
      </c>
      <c r="S122">
        <f t="shared" si="124"/>
        <v>0</v>
      </c>
      <c r="T122">
        <v>50</v>
      </c>
      <c r="U122" s="3"/>
      <c r="V122">
        <f t="shared" si="125"/>
        <v>3076.3230241624901</v>
      </c>
      <c r="W122" s="3"/>
      <c r="X122">
        <f t="shared" si="126"/>
        <v>5576.6507202360335</v>
      </c>
      <c r="Y122">
        <f t="shared" si="127"/>
        <v>74.676975837509872</v>
      </c>
      <c r="AA122">
        <f t="shared" si="128"/>
        <v>7.8570684120209851E-5</v>
      </c>
      <c r="AB122" s="3"/>
    </row>
    <row r="123" spans="2:28" x14ac:dyDescent="0.35">
      <c r="B123">
        <v>84.610472541507022</v>
      </c>
      <c r="C123">
        <v>3028</v>
      </c>
      <c r="D123">
        <f t="shared" si="111"/>
        <v>5.6943991058830425</v>
      </c>
      <c r="E123">
        <f t="shared" si="112"/>
        <v>182.6965969683437</v>
      </c>
      <c r="F123">
        <f t="shared" si="113"/>
        <v>6.2584621611566575</v>
      </c>
      <c r="G123">
        <f t="shared" si="114"/>
        <v>6.2584621611566575</v>
      </c>
      <c r="H123">
        <f t="shared" si="115"/>
        <v>6.2584621611566575</v>
      </c>
      <c r="I123" s="3"/>
      <c r="J123">
        <f t="shared" si="116"/>
        <v>4.247960192797656</v>
      </c>
      <c r="K123">
        <f t="shared" si="117"/>
        <v>177.51752761716446</v>
      </c>
      <c r="L123">
        <f t="shared" si="118"/>
        <v>4.708988938838619</v>
      </c>
      <c r="M123">
        <f t="shared" si="119"/>
        <v>4.708988938838619</v>
      </c>
      <c r="N123">
        <f t="shared" si="120"/>
        <v>4.708988938838619</v>
      </c>
      <c r="O123" s="3"/>
      <c r="P123">
        <f t="shared" si="121"/>
        <v>1029.9512767264289</v>
      </c>
      <c r="Q123">
        <f t="shared" si="122"/>
        <v>1965.584066650596</v>
      </c>
      <c r="R123">
        <f t="shared" si="123"/>
        <v>0</v>
      </c>
      <c r="S123">
        <f t="shared" si="124"/>
        <v>0</v>
      </c>
      <c r="T123">
        <v>50</v>
      </c>
      <c r="U123" s="3"/>
      <c r="V123">
        <f t="shared" si="125"/>
        <v>3045.5353433770251</v>
      </c>
      <c r="W123" s="3"/>
      <c r="X123">
        <f t="shared" si="126"/>
        <v>307.48826735017906</v>
      </c>
      <c r="Y123">
        <f t="shared" si="127"/>
        <v>17.535343377025129</v>
      </c>
      <c r="AA123">
        <f t="shared" si="128"/>
        <v>1.8449648100554325E-5</v>
      </c>
      <c r="AB123" s="3"/>
    </row>
    <row r="124" spans="2:28" x14ac:dyDescent="0.35">
      <c r="B124">
        <v>85.568326947637331</v>
      </c>
      <c r="C124">
        <v>3047</v>
      </c>
      <c r="D124">
        <f t="shared" si="111"/>
        <v>5.734231772448358</v>
      </c>
      <c r="E124">
        <f t="shared" si="112"/>
        <v>183.09384370582649</v>
      </c>
      <c r="F124">
        <f t="shared" si="113"/>
        <v>6.3542476017696874</v>
      </c>
      <c r="G124">
        <f t="shared" si="114"/>
        <v>6.3542476017696874</v>
      </c>
      <c r="H124">
        <f t="shared" si="115"/>
        <v>6.3542476017696874</v>
      </c>
      <c r="I124" s="3"/>
      <c r="J124">
        <f t="shared" si="116"/>
        <v>4.280225967989173</v>
      </c>
      <c r="K124">
        <f t="shared" si="117"/>
        <v>177.91255155962651</v>
      </c>
      <c r="L124">
        <f t="shared" si="118"/>
        <v>4.7881115223021586</v>
      </c>
      <c r="M124">
        <f t="shared" si="119"/>
        <v>4.7881115223021586</v>
      </c>
      <c r="N124">
        <f t="shared" si="120"/>
        <v>4.7881115223021586</v>
      </c>
      <c r="O124" s="3"/>
      <c r="P124">
        <f t="shared" si="121"/>
        <v>1015.9409000567153</v>
      </c>
      <c r="Q124">
        <f t="shared" si="122"/>
        <v>1956.8896191084648</v>
      </c>
      <c r="R124">
        <f t="shared" si="123"/>
        <v>0</v>
      </c>
      <c r="S124">
        <f t="shared" si="124"/>
        <v>0</v>
      </c>
      <c r="T124">
        <v>50</v>
      </c>
      <c r="U124" s="3"/>
      <c r="V124">
        <f t="shared" si="125"/>
        <v>3022.8305191651802</v>
      </c>
      <c r="W124" s="3"/>
      <c r="X124">
        <f t="shared" si="126"/>
        <v>584.16380382471925</v>
      </c>
      <c r="Y124">
        <f t="shared" si="127"/>
        <v>24.169480834819751</v>
      </c>
      <c r="AA124">
        <f t="shared" si="128"/>
        <v>2.5429693995029507E-5</v>
      </c>
      <c r="AB124" s="3"/>
    </row>
    <row r="125" spans="2:28" x14ac:dyDescent="0.35">
      <c r="B125">
        <v>86.526181353767598</v>
      </c>
      <c r="C125">
        <v>2982</v>
      </c>
      <c r="D125">
        <f t="shared" si="111"/>
        <v>5.7740644390136708</v>
      </c>
      <c r="E125">
        <f t="shared" si="112"/>
        <v>183.49109044330925</v>
      </c>
      <c r="F125">
        <f t="shared" si="113"/>
        <v>6.4500330423827155</v>
      </c>
      <c r="G125">
        <f t="shared" si="114"/>
        <v>6.4500330423827155</v>
      </c>
      <c r="H125">
        <f t="shared" si="115"/>
        <v>6.4500330423827155</v>
      </c>
      <c r="I125" s="3"/>
      <c r="J125">
        <f t="shared" si="116"/>
        <v>4.3125378742580978</v>
      </c>
      <c r="K125">
        <f t="shared" si="117"/>
        <v>178.3075804044563</v>
      </c>
      <c r="L125">
        <f t="shared" si="118"/>
        <v>4.8674606652502295</v>
      </c>
      <c r="M125">
        <f t="shared" si="119"/>
        <v>4.8674606652502295</v>
      </c>
      <c r="N125">
        <f t="shared" si="120"/>
        <v>4.8674606652502295</v>
      </c>
      <c r="O125" s="3"/>
      <c r="P125">
        <f t="shared" si="121"/>
        <v>1002.1960560118366</v>
      </c>
      <c r="Q125">
        <f t="shared" si="122"/>
        <v>1948.2526253090789</v>
      </c>
      <c r="R125">
        <f t="shared" si="123"/>
        <v>0</v>
      </c>
      <c r="S125">
        <f t="shared" si="124"/>
        <v>0</v>
      </c>
      <c r="T125">
        <v>50</v>
      </c>
      <c r="U125" s="3"/>
      <c r="V125">
        <f t="shared" si="125"/>
        <v>3000.4486813209155</v>
      </c>
      <c r="W125" s="3"/>
      <c r="X125">
        <f t="shared" si="126"/>
        <v>340.35384248069693</v>
      </c>
      <c r="Y125">
        <f t="shared" si="127"/>
        <v>18.448681320915512</v>
      </c>
      <c r="AA125">
        <f t="shared" si="128"/>
        <v>1.941060810569111E-5</v>
      </c>
      <c r="AB125" s="3"/>
    </row>
    <row r="126" spans="2:28" x14ac:dyDescent="0.35">
      <c r="B126">
        <v>87.48403575989785</v>
      </c>
      <c r="C126">
        <v>3019</v>
      </c>
      <c r="D126">
        <f t="shared" si="111"/>
        <v>5.8138971055789845</v>
      </c>
      <c r="E126">
        <f t="shared" si="112"/>
        <v>183.88833718079201</v>
      </c>
      <c r="F126">
        <f t="shared" si="113"/>
        <v>6.54581848299574</v>
      </c>
      <c r="G126">
        <f t="shared" si="114"/>
        <v>6.54581848299574</v>
      </c>
      <c r="H126">
        <f t="shared" si="115"/>
        <v>6.54581848299574</v>
      </c>
      <c r="I126" s="3"/>
      <c r="J126">
        <f t="shared" si="116"/>
        <v>4.3448954169078471</v>
      </c>
      <c r="K126">
        <f t="shared" si="117"/>
        <v>178.70261413013745</v>
      </c>
      <c r="L126">
        <f t="shared" si="118"/>
        <v>4.9470309037931077</v>
      </c>
      <c r="M126">
        <f t="shared" si="119"/>
        <v>4.9470309037931077</v>
      </c>
      <c r="N126">
        <f t="shared" si="120"/>
        <v>4.9470309037931077</v>
      </c>
      <c r="O126" s="3"/>
      <c r="P126">
        <f t="shared" si="121"/>
        <v>988.71042106013874</v>
      </c>
      <c r="Q126">
        <f t="shared" si="122"/>
        <v>1939.6725808533236</v>
      </c>
      <c r="R126">
        <f t="shared" si="123"/>
        <v>0</v>
      </c>
      <c r="S126">
        <f t="shared" si="124"/>
        <v>0</v>
      </c>
      <c r="T126">
        <v>50</v>
      </c>
      <c r="U126" s="3"/>
      <c r="V126">
        <f t="shared" si="125"/>
        <v>2978.3830019134621</v>
      </c>
      <c r="W126" s="3"/>
      <c r="X126">
        <f t="shared" si="126"/>
        <v>1649.7405335618262</v>
      </c>
      <c r="Y126">
        <f t="shared" si="127"/>
        <v>40.616998086537933</v>
      </c>
      <c r="AA126">
        <f t="shared" si="128"/>
        <v>4.2734795976641073E-5</v>
      </c>
      <c r="AB126" s="3"/>
    </row>
    <row r="127" spans="2:28" x14ac:dyDescent="0.35">
      <c r="B127">
        <v>88.441890166028102</v>
      </c>
      <c r="C127">
        <v>2968</v>
      </c>
      <c r="D127">
        <f t="shared" si="111"/>
        <v>5.8537297721442973</v>
      </c>
      <c r="E127">
        <f t="shared" si="112"/>
        <v>184.28558391827474</v>
      </c>
      <c r="F127">
        <f t="shared" si="113"/>
        <v>6.6416039236087645</v>
      </c>
      <c r="G127">
        <f t="shared" si="114"/>
        <v>6.6416039236087645</v>
      </c>
      <c r="H127">
        <f t="shared" si="115"/>
        <v>6.6416039236087645</v>
      </c>
      <c r="I127" s="3"/>
      <c r="J127">
        <f t="shared" si="116"/>
        <v>4.3772981083405549</v>
      </c>
      <c r="K127">
        <f t="shared" si="117"/>
        <v>179.09765271529454</v>
      </c>
      <c r="L127">
        <f t="shared" si="118"/>
        <v>5.0268169524431077</v>
      </c>
      <c r="M127">
        <f t="shared" si="119"/>
        <v>5.0268169524431077</v>
      </c>
      <c r="N127">
        <f t="shared" si="120"/>
        <v>5.0268169524431077</v>
      </c>
      <c r="O127" s="3"/>
      <c r="P127">
        <f t="shared" si="121"/>
        <v>975.47785044616091</v>
      </c>
      <c r="Q127">
        <f t="shared" si="122"/>
        <v>1931.1489868591204</v>
      </c>
      <c r="R127">
        <f t="shared" si="123"/>
        <v>0</v>
      </c>
      <c r="S127">
        <f t="shared" si="124"/>
        <v>0</v>
      </c>
      <c r="T127">
        <v>50</v>
      </c>
      <c r="U127" s="3"/>
      <c r="V127">
        <f t="shared" si="125"/>
        <v>2956.6268373052812</v>
      </c>
      <c r="W127" s="3"/>
      <c r="X127">
        <f t="shared" si="126"/>
        <v>129.34882968054245</v>
      </c>
      <c r="Y127">
        <f t="shared" si="127"/>
        <v>11.373162694718758</v>
      </c>
      <c r="AA127">
        <f t="shared" si="128"/>
        <v>1.1966167128659389E-5</v>
      </c>
      <c r="AB127" s="3"/>
    </row>
    <row r="128" spans="2:28" x14ac:dyDescent="0.35">
      <c r="B128">
        <v>89.399744572158369</v>
      </c>
      <c r="C128">
        <v>2890</v>
      </c>
      <c r="D128">
        <f t="shared" si="111"/>
        <v>5.8935624387096111</v>
      </c>
      <c r="E128">
        <f t="shared" si="112"/>
        <v>184.68283065575753</v>
      </c>
      <c r="F128">
        <f t="shared" si="113"/>
        <v>6.7373893642217926</v>
      </c>
      <c r="G128">
        <f t="shared" si="114"/>
        <v>6.7373893642217926</v>
      </c>
      <c r="H128">
        <f t="shared" si="115"/>
        <v>6.7373893642217926</v>
      </c>
      <c r="I128" s="3"/>
      <c r="J128">
        <f t="shared" si="116"/>
        <v>4.409745467937519</v>
      </c>
      <c r="K128">
        <f t="shared" si="117"/>
        <v>179.4926961386922</v>
      </c>
      <c r="L128">
        <f t="shared" si="118"/>
        <v>5.1068136971264435</v>
      </c>
      <c r="M128">
        <f t="shared" si="119"/>
        <v>5.1068136971264435</v>
      </c>
      <c r="N128">
        <f t="shared" si="120"/>
        <v>5.1068136971264435</v>
      </c>
      <c r="O128" s="3"/>
      <c r="P128">
        <f t="shared" si="121"/>
        <v>962.49237240543755</v>
      </c>
      <c r="Q128">
        <f t="shared" si="122"/>
        <v>1922.6813498892379</v>
      </c>
      <c r="R128">
        <f t="shared" si="123"/>
        <v>0</v>
      </c>
      <c r="S128">
        <f t="shared" si="124"/>
        <v>0</v>
      </c>
      <c r="T128">
        <v>50</v>
      </c>
      <c r="U128" s="3"/>
      <c r="V128">
        <f t="shared" si="125"/>
        <v>2935.1737222946754</v>
      </c>
      <c r="W128" s="3"/>
      <c r="X128">
        <f t="shared" si="126"/>
        <v>2040.6651859564508</v>
      </c>
      <c r="Y128">
        <f t="shared" si="127"/>
        <v>45.173722294675372</v>
      </c>
      <c r="AA128">
        <f t="shared" si="128"/>
        <v>4.752911088247643E-5</v>
      </c>
      <c r="AB128" s="3"/>
    </row>
    <row r="129" spans="2:28" x14ac:dyDescent="0.35">
      <c r="B129">
        <v>90.676883780332076</v>
      </c>
      <c r="C129">
        <v>2942</v>
      </c>
      <c r="D129">
        <f t="shared" si="111"/>
        <v>5.9466726607966969</v>
      </c>
      <c r="E129">
        <f t="shared" si="112"/>
        <v>185.21249297240121</v>
      </c>
      <c r="F129">
        <f t="shared" si="113"/>
        <v>6.8651032850391633</v>
      </c>
      <c r="G129">
        <f t="shared" si="114"/>
        <v>6.8651032850391633</v>
      </c>
      <c r="H129">
        <f t="shared" si="115"/>
        <v>6.8651032850391633</v>
      </c>
      <c r="I129" s="3"/>
      <c r="J129">
        <f t="shared" si="116"/>
        <v>4.4530772800125034</v>
      </c>
      <c r="K129">
        <f t="shared" si="117"/>
        <v>180.01942819293032</v>
      </c>
      <c r="L129">
        <f t="shared" si="118"/>
        <v>5.2137952412518294</v>
      </c>
      <c r="M129">
        <f t="shared" si="119"/>
        <v>5.2137952412518294</v>
      </c>
      <c r="N129">
        <f t="shared" si="120"/>
        <v>5.2137952412518294</v>
      </c>
      <c r="O129" s="3"/>
      <c r="P129">
        <f t="shared" si="121"/>
        <v>945.55275913932769</v>
      </c>
      <c r="Q129">
        <f t="shared" si="122"/>
        <v>1911.4773687215318</v>
      </c>
      <c r="R129">
        <f t="shared" si="123"/>
        <v>0</v>
      </c>
      <c r="S129">
        <f t="shared" si="124"/>
        <v>0</v>
      </c>
      <c r="T129">
        <v>50</v>
      </c>
      <c r="U129" s="3"/>
      <c r="V129">
        <f t="shared" si="125"/>
        <v>2907.0301278608595</v>
      </c>
      <c r="W129" s="3"/>
      <c r="X129">
        <f t="shared" si="126"/>
        <v>1222.8919574278373</v>
      </c>
      <c r="Y129">
        <f t="shared" si="127"/>
        <v>34.969872139140534</v>
      </c>
      <c r="AA129">
        <f t="shared" si="128"/>
        <v>3.6793225043647642E-5</v>
      </c>
      <c r="AB129" s="3"/>
    </row>
    <row r="130" spans="2:28" x14ac:dyDescent="0.35">
      <c r="B130">
        <v>91.634738186462343</v>
      </c>
      <c r="C130">
        <v>2904</v>
      </c>
      <c r="D130">
        <f t="shared" si="111"/>
        <v>5.9865053273620097</v>
      </c>
      <c r="E130">
        <f t="shared" si="112"/>
        <v>185.60973970988397</v>
      </c>
      <c r="F130">
        <f t="shared" si="113"/>
        <v>6.9608887256521896</v>
      </c>
      <c r="G130">
        <f t="shared" si="114"/>
        <v>6.9608887256521896</v>
      </c>
      <c r="H130">
        <f t="shared" si="115"/>
        <v>6.9608887256521896</v>
      </c>
      <c r="I130" s="3"/>
      <c r="J130">
        <f t="shared" si="116"/>
        <v>4.4856270345817135</v>
      </c>
      <c r="K130">
        <f t="shared" si="117"/>
        <v>180.41448282374975</v>
      </c>
      <c r="L130">
        <f t="shared" si="118"/>
        <v>5.294264635315149</v>
      </c>
      <c r="M130">
        <f t="shared" si="119"/>
        <v>5.294264635315149</v>
      </c>
      <c r="N130">
        <f t="shared" si="120"/>
        <v>5.294264635315149</v>
      </c>
      <c r="O130" s="3"/>
      <c r="P130">
        <f t="shared" si="121"/>
        <v>933.12153728125713</v>
      </c>
      <c r="Q130">
        <f t="shared" si="122"/>
        <v>1903.1384092741368</v>
      </c>
      <c r="R130">
        <f t="shared" si="123"/>
        <v>0</v>
      </c>
      <c r="S130">
        <f t="shared" si="124"/>
        <v>0</v>
      </c>
      <c r="T130">
        <v>50</v>
      </c>
      <c r="U130" s="3"/>
      <c r="V130">
        <f t="shared" si="125"/>
        <v>2886.259946555394</v>
      </c>
      <c r="W130" s="3"/>
      <c r="X130">
        <f t="shared" si="126"/>
        <v>314.70949621747786</v>
      </c>
      <c r="Y130">
        <f t="shared" si="127"/>
        <v>17.740053444606019</v>
      </c>
      <c r="AA130">
        <f t="shared" si="128"/>
        <v>1.8665031890212901E-5</v>
      </c>
      <c r="AB130" s="3"/>
    </row>
    <row r="131" spans="2:28" ht="15.5" customHeight="1" x14ac:dyDescent="0.35">
      <c r="B131">
        <v>92.592592592592595</v>
      </c>
      <c r="C131">
        <v>2992</v>
      </c>
      <c r="D131">
        <f t="shared" si="111"/>
        <v>6.0263379939273225</v>
      </c>
      <c r="E131">
        <f t="shared" si="112"/>
        <v>186.00698644736673</v>
      </c>
      <c r="F131">
        <f t="shared" si="113"/>
        <v>7.0566741662652142</v>
      </c>
      <c r="G131">
        <f t="shared" si="114"/>
        <v>7.0566741662652142</v>
      </c>
      <c r="H131">
        <f t="shared" si="115"/>
        <v>7.0566741662652142</v>
      </c>
      <c r="I131" s="3"/>
      <c r="J131">
        <f t="shared" si="116"/>
        <v>4.5182199041653099</v>
      </c>
      <c r="K131">
        <f t="shared" si="117"/>
        <v>180.80954222301918</v>
      </c>
      <c r="L131">
        <f t="shared" si="118"/>
        <v>5.3749288327565319</v>
      </c>
      <c r="M131">
        <f t="shared" si="119"/>
        <v>5.3749288327565319</v>
      </c>
      <c r="N131">
        <f t="shared" si="120"/>
        <v>5.3749288327565319</v>
      </c>
      <c r="O131" s="3"/>
      <c r="P131">
        <f t="shared" si="121"/>
        <v>920.91868138234156</v>
      </c>
      <c r="Q131">
        <f t="shared" si="122"/>
        <v>1894.8538004794871</v>
      </c>
      <c r="R131">
        <f t="shared" si="123"/>
        <v>0</v>
      </c>
      <c r="S131">
        <f t="shared" si="124"/>
        <v>0</v>
      </c>
      <c r="T131">
        <v>50</v>
      </c>
      <c r="U131" s="3"/>
      <c r="V131">
        <f t="shared" si="125"/>
        <v>2865.7724818618285</v>
      </c>
      <c r="W131" s="3"/>
      <c r="X131">
        <f t="shared" si="126"/>
        <v>15933.386335322413</v>
      </c>
      <c r="Y131">
        <f t="shared" si="127"/>
        <v>126.22751813817149</v>
      </c>
      <c r="AA131">
        <f t="shared" si="128"/>
        <v>1.3280910673850129E-4</v>
      </c>
      <c r="AB131" s="3"/>
    </row>
    <row r="132" spans="2:28" x14ac:dyDescent="0.35">
      <c r="B132">
        <v>93.550446998722904</v>
      </c>
      <c r="C132">
        <v>2848</v>
      </c>
      <c r="D132">
        <f t="shared" si="111"/>
        <v>6.066170660492638</v>
      </c>
      <c r="E132">
        <f t="shared" si="112"/>
        <v>186.40423318484949</v>
      </c>
      <c r="F132">
        <f t="shared" si="113"/>
        <v>7.1524596068782458</v>
      </c>
      <c r="G132">
        <f t="shared" si="114"/>
        <v>7.1524596068782458</v>
      </c>
      <c r="H132">
        <f t="shared" si="115"/>
        <v>7.1524596068782458</v>
      </c>
      <c r="I132" s="3"/>
      <c r="J132">
        <f t="shared" si="116"/>
        <v>4.5508554370567538</v>
      </c>
      <c r="K132">
        <f t="shared" si="117"/>
        <v>181.20460637009521</v>
      </c>
      <c r="L132">
        <f t="shared" si="118"/>
        <v>5.4557833886237832</v>
      </c>
      <c r="M132">
        <f t="shared" si="119"/>
        <v>5.4557833886237832</v>
      </c>
      <c r="N132">
        <f t="shared" si="120"/>
        <v>5.4557833886237832</v>
      </c>
      <c r="O132" s="3"/>
      <c r="P132">
        <f t="shared" si="121"/>
        <v>908.93890738384198</v>
      </c>
      <c r="Q132">
        <f t="shared" si="122"/>
        <v>1886.6230716869329</v>
      </c>
      <c r="R132">
        <f t="shared" si="123"/>
        <v>0</v>
      </c>
      <c r="S132">
        <f t="shared" si="124"/>
        <v>0</v>
      </c>
      <c r="T132">
        <v>50</v>
      </c>
      <c r="U132" s="3"/>
      <c r="V132">
        <f t="shared" si="125"/>
        <v>2845.5619790707751</v>
      </c>
      <c r="W132" s="3"/>
      <c r="X132">
        <f t="shared" si="126"/>
        <v>5.9439460513385303</v>
      </c>
      <c r="Y132">
        <f t="shared" si="127"/>
        <v>2.4380209292248765</v>
      </c>
      <c r="AA132">
        <f t="shared" si="128"/>
        <v>2.5651409977473958E-6</v>
      </c>
      <c r="AB132" s="3"/>
    </row>
    <row r="133" spans="2:28" x14ac:dyDescent="0.35">
      <c r="B133">
        <v>94.508301404853157</v>
      </c>
      <c r="C133">
        <v>2808</v>
      </c>
      <c r="D133">
        <f t="shared" si="111"/>
        <v>6.1060033270579517</v>
      </c>
      <c r="E133">
        <f t="shared" si="112"/>
        <v>186.80147992233225</v>
      </c>
      <c r="F133">
        <f t="shared" si="113"/>
        <v>7.2482450474912703</v>
      </c>
      <c r="G133">
        <f t="shared" si="114"/>
        <v>7.2482450474912703</v>
      </c>
      <c r="H133">
        <f t="shared" si="115"/>
        <v>7.2482450474912703</v>
      </c>
      <c r="I133" s="3"/>
      <c r="J133">
        <f t="shared" si="116"/>
        <v>4.5835331879257835</v>
      </c>
      <c r="K133">
        <f t="shared" si="117"/>
        <v>181.59967524446805</v>
      </c>
      <c r="L133">
        <f t="shared" si="118"/>
        <v>5.5368239968841717</v>
      </c>
      <c r="M133">
        <f t="shared" si="119"/>
        <v>5.5368239968841717</v>
      </c>
      <c r="N133">
        <f t="shared" si="120"/>
        <v>5.5368239968841717</v>
      </c>
      <c r="O133" s="3"/>
      <c r="P133">
        <f t="shared" si="121"/>
        <v>897.17707669585081</v>
      </c>
      <c r="Q133">
        <f t="shared" si="122"/>
        <v>1878.4457573237662</v>
      </c>
      <c r="R133">
        <f t="shared" si="123"/>
        <v>0</v>
      </c>
      <c r="S133">
        <f t="shared" si="124"/>
        <v>0</v>
      </c>
      <c r="T133">
        <v>50</v>
      </c>
      <c r="U133" s="3"/>
      <c r="V133">
        <f t="shared" si="125"/>
        <v>2825.6228340196171</v>
      </c>
      <c r="W133" s="3"/>
      <c r="X133">
        <f t="shared" si="126"/>
        <v>310.56427888297486</v>
      </c>
      <c r="Y133">
        <f t="shared" si="127"/>
        <v>17.62283401961713</v>
      </c>
      <c r="AA133">
        <f t="shared" si="128"/>
        <v>1.8541700564723841E-5</v>
      </c>
      <c r="AB133" s="3"/>
    </row>
    <row r="134" spans="2:28" x14ac:dyDescent="0.35">
      <c r="B134">
        <v>95.466155810983423</v>
      </c>
      <c r="C134">
        <v>2877</v>
      </c>
      <c r="D134">
        <f t="shared" si="111"/>
        <v>6.1458359936232645</v>
      </c>
      <c r="E134">
        <f t="shared" si="112"/>
        <v>187.19872665981501</v>
      </c>
      <c r="F134">
        <f t="shared" si="113"/>
        <v>7.3440304881042966</v>
      </c>
      <c r="G134">
        <f t="shared" si="114"/>
        <v>7.3440304881042966</v>
      </c>
      <c r="H134">
        <f t="shared" si="115"/>
        <v>7.3440304881042966</v>
      </c>
      <c r="I134" s="3"/>
      <c r="J134">
        <f t="shared" si="116"/>
        <v>4.6162527177116619</v>
      </c>
      <c r="K134">
        <f t="shared" si="117"/>
        <v>181.99474882576018</v>
      </c>
      <c r="L134">
        <f t="shared" si="118"/>
        <v>5.6180464851354612</v>
      </c>
      <c r="M134">
        <f t="shared" si="119"/>
        <v>5.6180464851354612</v>
      </c>
      <c r="N134">
        <f t="shared" si="120"/>
        <v>5.6180464851354612</v>
      </c>
      <c r="O134" s="3"/>
      <c r="P134">
        <f t="shared" si="121"/>
        <v>885.62819160351353</v>
      </c>
      <c r="Q134">
        <f t="shared" si="122"/>
        <v>1870.321396829677</v>
      </c>
      <c r="R134">
        <f t="shared" si="123"/>
        <v>0</v>
      </c>
      <c r="S134">
        <f t="shared" si="124"/>
        <v>0</v>
      </c>
      <c r="T134">
        <v>50</v>
      </c>
      <c r="U134" s="3"/>
      <c r="V134">
        <f t="shared" si="125"/>
        <v>2805.9495884331905</v>
      </c>
      <c r="W134" s="3"/>
      <c r="X134">
        <f t="shared" si="126"/>
        <v>5048.1609838130234</v>
      </c>
      <c r="Y134">
        <f t="shared" si="127"/>
        <v>71.050411566809544</v>
      </c>
      <c r="AA134">
        <f t="shared" si="128"/>
        <v>7.4755028323236482E-5</v>
      </c>
      <c r="AB134" s="3"/>
    </row>
    <row r="135" spans="2:28" x14ac:dyDescent="0.35">
      <c r="B135">
        <v>96.424010217113675</v>
      </c>
      <c r="C135">
        <v>2837</v>
      </c>
      <c r="D135">
        <f t="shared" si="111"/>
        <v>6.1856686601885773</v>
      </c>
      <c r="E135">
        <f t="shared" si="112"/>
        <v>187.59597339729777</v>
      </c>
      <c r="F135">
        <f t="shared" si="113"/>
        <v>7.4398159287173229</v>
      </c>
      <c r="G135">
        <f t="shared" si="114"/>
        <v>7.4398159287173229</v>
      </c>
      <c r="H135">
        <f t="shared" si="115"/>
        <v>7.4398159287173229</v>
      </c>
      <c r="I135" s="3"/>
      <c r="J135">
        <f t="shared" si="116"/>
        <v>4.6490135935183208</v>
      </c>
      <c r="K135">
        <f t="shared" si="117"/>
        <v>182.38982709372536</v>
      </c>
      <c r="L135">
        <f t="shared" si="118"/>
        <v>5.6994468095437956</v>
      </c>
      <c r="M135">
        <f t="shared" si="119"/>
        <v>5.6994468095437956</v>
      </c>
      <c r="N135">
        <f t="shared" si="120"/>
        <v>5.6994468095437956</v>
      </c>
      <c r="O135" s="3"/>
      <c r="P135">
        <f t="shared" si="121"/>
        <v>874.28739083540574</v>
      </c>
      <c r="Q135">
        <f t="shared" si="122"/>
        <v>1862.2495345921964</v>
      </c>
      <c r="R135">
        <f t="shared" si="123"/>
        <v>0</v>
      </c>
      <c r="S135">
        <f t="shared" si="124"/>
        <v>0</v>
      </c>
      <c r="T135">
        <v>50</v>
      </c>
      <c r="U135" s="3"/>
      <c r="V135">
        <f t="shared" si="125"/>
        <v>2786.536925427602</v>
      </c>
      <c r="W135" s="3"/>
      <c r="X135">
        <f t="shared" si="126"/>
        <v>2546.5218952994014</v>
      </c>
      <c r="Y135">
        <f t="shared" si="127"/>
        <v>50.463074572398</v>
      </c>
      <c r="AA135">
        <f t="shared" si="128"/>
        <v>5.3094253583457486E-5</v>
      </c>
      <c r="AB135" s="3"/>
    </row>
    <row r="136" spans="2:28" x14ac:dyDescent="0.35">
      <c r="B136">
        <v>97.701149425287383</v>
      </c>
      <c r="C136">
        <v>2818</v>
      </c>
      <c r="D136">
        <f t="shared" si="111"/>
        <v>6.238778882275664</v>
      </c>
      <c r="E136">
        <f t="shared" si="112"/>
        <v>188.12563571394148</v>
      </c>
      <c r="F136">
        <f t="shared" si="113"/>
        <v>7.5675298495346937</v>
      </c>
      <c r="G136">
        <f t="shared" si="114"/>
        <v>7.5675298495346937</v>
      </c>
      <c r="H136">
        <f t="shared" si="115"/>
        <v>7.5675298495346937</v>
      </c>
      <c r="I136" s="3"/>
      <c r="J136">
        <f t="shared" si="116"/>
        <v>4.6927583404148665</v>
      </c>
      <c r="K136">
        <f t="shared" si="117"/>
        <v>182.91660537330924</v>
      </c>
      <c r="L136">
        <f t="shared" si="118"/>
        <v>5.8082504511819391</v>
      </c>
      <c r="M136">
        <f t="shared" si="119"/>
        <v>5.8082504511819391</v>
      </c>
      <c r="N136">
        <f t="shared" si="120"/>
        <v>5.8082504511819391</v>
      </c>
      <c r="O136" s="3"/>
      <c r="P136">
        <f t="shared" si="121"/>
        <v>859.48185463108075</v>
      </c>
      <c r="Q136">
        <f t="shared" si="122"/>
        <v>1851.5679372228385</v>
      </c>
      <c r="R136">
        <f t="shared" si="123"/>
        <v>0</v>
      </c>
      <c r="S136">
        <f t="shared" si="124"/>
        <v>0</v>
      </c>
      <c r="T136">
        <v>50</v>
      </c>
      <c r="U136" s="3"/>
      <c r="V136">
        <f t="shared" si="125"/>
        <v>2761.0497918539195</v>
      </c>
      <c r="W136" s="3"/>
      <c r="X136">
        <f t="shared" si="126"/>
        <v>3243.3262078818952</v>
      </c>
      <c r="Y136">
        <f t="shared" si="127"/>
        <v>56.950208146080513</v>
      </c>
      <c r="AA136">
        <f t="shared" si="128"/>
        <v>5.9919630711375379E-5</v>
      </c>
      <c r="AB136" s="3"/>
    </row>
    <row r="137" spans="2:28" x14ac:dyDescent="0.35">
      <c r="B137">
        <v>98.65900383141765</v>
      </c>
      <c r="C137">
        <v>2751</v>
      </c>
      <c r="D137">
        <f t="shared" si="111"/>
        <v>6.2786115488409759</v>
      </c>
      <c r="E137">
        <f t="shared" si="112"/>
        <v>188.52288245142424</v>
      </c>
      <c r="F137">
        <f t="shared" si="113"/>
        <v>7.6633152901477199</v>
      </c>
      <c r="G137">
        <f t="shared" si="114"/>
        <v>7.6633152901477199</v>
      </c>
      <c r="H137">
        <f t="shared" si="115"/>
        <v>7.6633152901477199</v>
      </c>
      <c r="I137" s="3"/>
      <c r="J137">
        <f t="shared" si="116"/>
        <v>4.7256140406464162</v>
      </c>
      <c r="K137">
        <f t="shared" si="117"/>
        <v>183.31169449883825</v>
      </c>
      <c r="L137">
        <f t="shared" si="118"/>
        <v>5.8900506869303593</v>
      </c>
      <c r="M137">
        <f t="shared" si="119"/>
        <v>5.8900506869303593</v>
      </c>
      <c r="N137">
        <f t="shared" si="120"/>
        <v>5.8900506869303593</v>
      </c>
      <c r="O137" s="3"/>
      <c r="P137">
        <f t="shared" si="121"/>
        <v>848.60841372450284</v>
      </c>
      <c r="Q137">
        <f t="shared" si="122"/>
        <v>1843.616826410205</v>
      </c>
      <c r="R137">
        <f t="shared" si="123"/>
        <v>0</v>
      </c>
      <c r="S137">
        <f t="shared" si="124"/>
        <v>0</v>
      </c>
      <c r="T137">
        <v>50</v>
      </c>
      <c r="U137" s="3"/>
      <c r="V137">
        <f t="shared" si="125"/>
        <v>2742.2252401347077</v>
      </c>
      <c r="W137" s="3"/>
      <c r="X137">
        <f t="shared" si="126"/>
        <v>76.996410693543723</v>
      </c>
      <c r="Y137">
        <f t="shared" si="127"/>
        <v>8.7747598652922534</v>
      </c>
      <c r="AA137">
        <f t="shared" si="128"/>
        <v>9.2322818094124136E-6</v>
      </c>
      <c r="AB137" s="3"/>
    </row>
    <row r="138" spans="2:28" x14ac:dyDescent="0.35">
      <c r="B138">
        <v>99.616858237547902</v>
      </c>
      <c r="C138">
        <v>2828</v>
      </c>
      <c r="D138">
        <f t="shared" si="111"/>
        <v>6.3184442154062896</v>
      </c>
      <c r="E138">
        <f t="shared" si="112"/>
        <v>188.920129188907</v>
      </c>
      <c r="F138">
        <f t="shared" si="113"/>
        <v>7.7591007307607462</v>
      </c>
      <c r="G138">
        <f t="shared" si="114"/>
        <v>7.7591007307607462</v>
      </c>
      <c r="H138">
        <f t="shared" si="115"/>
        <v>7.7591007307607462</v>
      </c>
      <c r="I138" s="3"/>
      <c r="J138">
        <f t="shared" si="116"/>
        <v>4.7585096871260646</v>
      </c>
      <c r="K138">
        <f t="shared" si="117"/>
        <v>183.70678824448632</v>
      </c>
      <c r="L138">
        <f t="shared" si="118"/>
        <v>5.9720161472596525</v>
      </c>
      <c r="M138">
        <f t="shared" si="119"/>
        <v>5.9720161472596525</v>
      </c>
      <c r="N138">
        <f t="shared" si="120"/>
        <v>5.9720161472596525</v>
      </c>
      <c r="O138" s="3"/>
      <c r="P138">
        <f t="shared" si="121"/>
        <v>837.92778454140978</v>
      </c>
      <c r="Q138">
        <f t="shared" si="122"/>
        <v>1835.7167300709459</v>
      </c>
      <c r="R138">
        <f t="shared" si="123"/>
        <v>0</v>
      </c>
      <c r="S138">
        <f t="shared" si="124"/>
        <v>0</v>
      </c>
      <c r="T138">
        <v>50</v>
      </c>
      <c r="U138" s="3"/>
      <c r="V138">
        <f t="shared" si="125"/>
        <v>2723.6445146123556</v>
      </c>
      <c r="W138" s="3"/>
      <c r="X138">
        <f t="shared" si="126"/>
        <v>10890.067330490869</v>
      </c>
      <c r="Y138">
        <f t="shared" si="127"/>
        <v>104.35548538764442</v>
      </c>
      <c r="AA138">
        <f t="shared" si="128"/>
        <v>1.0979665133259622E-4</v>
      </c>
      <c r="AB138" s="3"/>
    </row>
    <row r="139" spans="2:28" x14ac:dyDescent="0.35">
      <c r="B139">
        <v>100.57471264367817</v>
      </c>
      <c r="C139">
        <v>2773</v>
      </c>
      <c r="D139">
        <f t="shared" si="111"/>
        <v>6.3582768819716033</v>
      </c>
      <c r="E139">
        <f t="shared" si="112"/>
        <v>189.31737592638976</v>
      </c>
      <c r="F139">
        <f t="shared" si="113"/>
        <v>7.8548861713737725</v>
      </c>
      <c r="G139">
        <f t="shared" si="114"/>
        <v>7.8548861713737725</v>
      </c>
      <c r="H139">
        <f t="shared" si="115"/>
        <v>7.8548861713737725</v>
      </c>
      <c r="I139" s="3"/>
      <c r="J139">
        <f t="shared" si="116"/>
        <v>4.7914448725048464</v>
      </c>
      <c r="K139">
        <f t="shared" si="117"/>
        <v>184.10188659056303</v>
      </c>
      <c r="L139">
        <f t="shared" si="118"/>
        <v>6.0541432920645093</v>
      </c>
      <c r="M139">
        <f t="shared" si="119"/>
        <v>6.0541432920645093</v>
      </c>
      <c r="N139">
        <f t="shared" si="120"/>
        <v>6.0541432920645093</v>
      </c>
      <c r="O139" s="3"/>
      <c r="P139">
        <f t="shared" si="121"/>
        <v>827.4356495382267</v>
      </c>
      <c r="Q139">
        <f t="shared" si="122"/>
        <v>1827.867213310481</v>
      </c>
      <c r="R139">
        <f t="shared" si="123"/>
        <v>0</v>
      </c>
      <c r="S139">
        <f t="shared" si="124"/>
        <v>0</v>
      </c>
      <c r="T139">
        <v>50</v>
      </c>
      <c r="U139" s="3"/>
      <c r="V139">
        <f t="shared" si="125"/>
        <v>2705.3028628487077</v>
      </c>
      <c r="W139" s="3"/>
      <c r="X139">
        <f t="shared" si="126"/>
        <v>4582.9023784808778</v>
      </c>
      <c r="Y139">
        <f t="shared" si="127"/>
        <v>67.697137151292281</v>
      </c>
      <c r="AA139">
        <f t="shared" si="128"/>
        <v>7.1226911900267332E-5</v>
      </c>
    </row>
    <row r="140" spans="2:28" x14ac:dyDescent="0.35">
      <c r="B140">
        <v>101.53256704980846</v>
      </c>
      <c r="C140">
        <v>2735</v>
      </c>
      <c r="D140">
        <f t="shared" si="111"/>
        <v>6.398109548536917</v>
      </c>
      <c r="E140">
        <f t="shared" si="112"/>
        <v>189.71462266387255</v>
      </c>
      <c r="F140">
        <f t="shared" si="113"/>
        <v>7.9506716119868024</v>
      </c>
      <c r="G140">
        <f t="shared" si="114"/>
        <v>7.9506716119868024</v>
      </c>
      <c r="H140">
        <f t="shared" si="115"/>
        <v>7.9506716119868024</v>
      </c>
      <c r="I140" s="3"/>
      <c r="J140">
        <f t="shared" si="116"/>
        <v>4.8244191950702193</v>
      </c>
      <c r="K140">
        <f t="shared" si="117"/>
        <v>184.49698951750338</v>
      </c>
      <c r="L140">
        <f t="shared" si="118"/>
        <v>6.1364286862419632</v>
      </c>
      <c r="M140">
        <f t="shared" si="119"/>
        <v>6.1364286862419632</v>
      </c>
      <c r="N140">
        <f t="shared" si="120"/>
        <v>6.1364286862419632</v>
      </c>
      <c r="O140" s="3"/>
      <c r="P140">
        <f t="shared" si="121"/>
        <v>817.12780647046884</v>
      </c>
      <c r="Q140">
        <f t="shared" si="122"/>
        <v>1820.0678458536931</v>
      </c>
      <c r="R140">
        <f t="shared" si="123"/>
        <v>0</v>
      </c>
      <c r="S140">
        <f t="shared" si="124"/>
        <v>0</v>
      </c>
      <c r="T140">
        <v>50</v>
      </c>
      <c r="U140" s="3"/>
      <c r="V140">
        <f t="shared" si="125"/>
        <v>2687.195652324162</v>
      </c>
      <c r="W140" s="3"/>
      <c r="X140">
        <f t="shared" si="126"/>
        <v>2285.2556567123997</v>
      </c>
      <c r="Y140">
        <f t="shared" si="127"/>
        <v>47.804347675838017</v>
      </c>
      <c r="AA140">
        <f t="shared" si="128"/>
        <v>5.0296898859210717E-5</v>
      </c>
    </row>
    <row r="141" spans="2:28" x14ac:dyDescent="0.35">
      <c r="B141">
        <v>102.49042145593873</v>
      </c>
      <c r="C141">
        <v>2675</v>
      </c>
      <c r="D141">
        <f t="shared" ref="D141:D156" si="129">C$23-LN(1/C$23)+$B141*C$22</f>
        <v>6.4379422151022307</v>
      </c>
      <c r="E141">
        <f t="shared" ref="E141:E156" si="130">D$23-LN(1/D$23)+$B141*D$22</f>
        <v>190.11186940135531</v>
      </c>
      <c r="F141">
        <f t="shared" ref="F141:F156" si="131">E$23-LN(1/E$23)+$B141*E$22</f>
        <v>8.0464570525998287</v>
      </c>
      <c r="G141">
        <f t="shared" ref="G141:G156" si="132">F$23-LN(1/F$23)+$B141*F$22</f>
        <v>8.0464570525998287</v>
      </c>
      <c r="H141">
        <f t="shared" ref="H141:H156" si="133">G$23-LN(1/G$23)+$B141*G$22</f>
        <v>8.0464570525998287</v>
      </c>
      <c r="I141" s="3"/>
      <c r="J141">
        <f t="shared" ref="J141:J156" si="134">lmb_2(D141)</f>
        <v>4.8574322586525902</v>
      </c>
      <c r="K141">
        <f t="shared" ref="K141:K156" si="135">lmb_2(E141)</f>
        <v>184.89209700586667</v>
      </c>
      <c r="L141">
        <f t="shared" ref="L141:L156" si="136">lmb_2(F141)</f>
        <v>6.2188689958474841</v>
      </c>
      <c r="M141">
        <f t="shared" ref="M141:M156" si="137">lmb_2(G141)</f>
        <v>6.2188689958474841</v>
      </c>
      <c r="N141">
        <f t="shared" ref="N141:N156" si="138">lmb_2(H141)</f>
        <v>6.2188689958474841</v>
      </c>
      <c r="O141" s="3"/>
      <c r="P141">
        <f t="shared" ref="P141:P156" si="139">(C$21*$A$21)/(J141+J141^2)</f>
        <v>807.00016485272295</v>
      </c>
      <c r="Q141">
        <f t="shared" ref="Q141:Q156" si="140">(D$21*$A$21)/(K141+K141^2)</f>
        <v>1812.3182019862281</v>
      </c>
      <c r="R141">
        <f t="shared" ref="R141:R156" si="141">(E$21*$A$21)/(L141+L141^2)</f>
        <v>0</v>
      </c>
      <c r="S141">
        <f t="shared" ref="S141:S156" si="142">(F$21*$A$21)/(M141+M141^2)</f>
        <v>0</v>
      </c>
      <c r="T141">
        <v>50</v>
      </c>
      <c r="U141" s="3"/>
      <c r="V141">
        <f t="shared" ref="V141:V156" si="143">SUM(P141:T141)</f>
        <v>2669.3183668389511</v>
      </c>
      <c r="W141" s="3"/>
      <c r="X141">
        <f t="shared" ref="X141:X156" si="144">(V141-C141)^2</f>
        <v>32.280955376730759</v>
      </c>
      <c r="Y141">
        <f t="shared" ref="Y141:Y156" si="145">ABS(V141-C141)</f>
        <v>5.6816331610489215</v>
      </c>
      <c r="AA141">
        <f t="shared" ref="AA141:AA156" si="146">Y141/$Z$39</f>
        <v>5.9778773762214238E-6</v>
      </c>
    </row>
    <row r="142" spans="2:28" x14ac:dyDescent="0.35">
      <c r="B142">
        <v>103.448275862069</v>
      </c>
      <c r="C142">
        <v>2661</v>
      </c>
      <c r="D142">
        <f t="shared" si="129"/>
        <v>6.4777748816675444</v>
      </c>
      <c r="E142">
        <f t="shared" si="130"/>
        <v>190.50911613883807</v>
      </c>
      <c r="F142">
        <f t="shared" si="131"/>
        <v>8.142242493212855</v>
      </c>
      <c r="G142">
        <f t="shared" si="132"/>
        <v>8.142242493212855</v>
      </c>
      <c r="H142">
        <f t="shared" si="133"/>
        <v>8.142242493212855</v>
      </c>
      <c r="I142" s="3"/>
      <c r="J142">
        <f t="shared" si="134"/>
        <v>4.8904836725335334</v>
      </c>
      <c r="K142">
        <f t="shared" si="135"/>
        <v>185.2872090363355</v>
      </c>
      <c r="L142">
        <f t="shared" si="136"/>
        <v>6.3014609844128007</v>
      </c>
      <c r="M142">
        <f t="shared" si="137"/>
        <v>6.3014609844128007</v>
      </c>
      <c r="N142">
        <f t="shared" si="138"/>
        <v>6.3014609844128007</v>
      </c>
      <c r="O142" s="3"/>
      <c r="P142">
        <f t="shared" si="139"/>
        <v>797.04874254040328</v>
      </c>
      <c r="Q142">
        <f t="shared" si="140"/>
        <v>1804.6178604966549</v>
      </c>
      <c r="R142">
        <f t="shared" si="141"/>
        <v>0</v>
      </c>
      <c r="S142">
        <f t="shared" si="142"/>
        <v>0</v>
      </c>
      <c r="T142">
        <v>50</v>
      </c>
      <c r="U142" s="3"/>
      <c r="V142">
        <f t="shared" si="143"/>
        <v>2651.6666030370579</v>
      </c>
      <c r="W142" s="3"/>
      <c r="X142">
        <f t="shared" si="144"/>
        <v>87.112298867856083</v>
      </c>
      <c r="Y142">
        <f t="shared" si="145"/>
        <v>9.3333969629420608</v>
      </c>
      <c r="AA142">
        <f t="shared" si="146"/>
        <v>9.8200466250736673E-6</v>
      </c>
    </row>
    <row r="143" spans="2:28" x14ac:dyDescent="0.35">
      <c r="B143">
        <v>104.7254150702427</v>
      </c>
      <c r="C143">
        <v>2627</v>
      </c>
      <c r="D143">
        <f t="shared" si="129"/>
        <v>6.5308851037546312</v>
      </c>
      <c r="E143">
        <f t="shared" si="130"/>
        <v>191.03877845548175</v>
      </c>
      <c r="F143">
        <f t="shared" si="131"/>
        <v>8.2699564140302257</v>
      </c>
      <c r="G143">
        <f t="shared" si="132"/>
        <v>8.2699564140302257</v>
      </c>
      <c r="H143">
        <f t="shared" si="133"/>
        <v>8.2699564140302257</v>
      </c>
      <c r="I143" s="3"/>
      <c r="J143">
        <f t="shared" si="134"/>
        <v>4.9346112151060986</v>
      </c>
      <c r="K143">
        <f t="shared" si="135"/>
        <v>185.81403210929869</v>
      </c>
      <c r="L143">
        <f t="shared" si="136"/>
        <v>6.4118141624737151</v>
      </c>
      <c r="M143">
        <f t="shared" si="137"/>
        <v>6.4118141624737151</v>
      </c>
      <c r="N143">
        <f t="shared" si="138"/>
        <v>6.4118141624737151</v>
      </c>
      <c r="O143" s="3"/>
      <c r="P143">
        <f t="shared" si="139"/>
        <v>784.04761193769207</v>
      </c>
      <c r="Q143">
        <f t="shared" si="140"/>
        <v>1794.426711396319</v>
      </c>
      <c r="R143">
        <f t="shared" si="141"/>
        <v>0</v>
      </c>
      <c r="S143">
        <f t="shared" si="142"/>
        <v>0</v>
      </c>
      <c r="T143">
        <v>50</v>
      </c>
      <c r="U143" s="3"/>
      <c r="V143">
        <f t="shared" si="143"/>
        <v>2628.4743233340109</v>
      </c>
      <c r="W143" s="3"/>
      <c r="X143">
        <f t="shared" si="144"/>
        <v>2.1736292932091121</v>
      </c>
      <c r="Y143">
        <f t="shared" si="145"/>
        <v>1.4743233340109327</v>
      </c>
      <c r="AA143">
        <f t="shared" si="146"/>
        <v>1.5511955548344859E-6</v>
      </c>
    </row>
    <row r="144" spans="2:28" x14ac:dyDescent="0.35">
      <c r="B144">
        <v>105.68326947637296</v>
      </c>
      <c r="C144">
        <v>2627</v>
      </c>
      <c r="D144">
        <f t="shared" si="129"/>
        <v>6.5707177703199431</v>
      </c>
      <c r="E144">
        <f t="shared" si="130"/>
        <v>191.43602519296451</v>
      </c>
      <c r="F144">
        <f t="shared" si="131"/>
        <v>8.3657418546432503</v>
      </c>
      <c r="G144">
        <f t="shared" si="132"/>
        <v>8.3657418546432503</v>
      </c>
      <c r="H144">
        <f t="shared" si="133"/>
        <v>8.3657418546432503</v>
      </c>
      <c r="I144" s="3"/>
      <c r="J144">
        <f t="shared" si="134"/>
        <v>4.9677506235055153</v>
      </c>
      <c r="K144">
        <f t="shared" si="135"/>
        <v>186.20915466357516</v>
      </c>
      <c r="L144">
        <f t="shared" si="136"/>
        <v>6.4947480037692502</v>
      </c>
      <c r="M144">
        <f t="shared" si="137"/>
        <v>6.4947480037692502</v>
      </c>
      <c r="N144">
        <f t="shared" si="138"/>
        <v>6.4947480037692502</v>
      </c>
      <c r="O144" s="3"/>
      <c r="P144">
        <f t="shared" si="139"/>
        <v>774.49246596872081</v>
      </c>
      <c r="Q144">
        <f t="shared" si="140"/>
        <v>1786.8397956131359</v>
      </c>
      <c r="R144">
        <f t="shared" si="141"/>
        <v>0</v>
      </c>
      <c r="S144">
        <f t="shared" si="142"/>
        <v>0</v>
      </c>
      <c r="T144">
        <v>50</v>
      </c>
      <c r="U144" s="3"/>
      <c r="V144">
        <f t="shared" si="143"/>
        <v>2611.332261581857</v>
      </c>
      <c r="W144" s="3"/>
      <c r="X144">
        <f t="shared" si="144"/>
        <v>245.47802713935465</v>
      </c>
      <c r="Y144">
        <f t="shared" si="145"/>
        <v>15.667738418143017</v>
      </c>
      <c r="AA144">
        <f t="shared" si="146"/>
        <v>1.6484664949590175E-5</v>
      </c>
    </row>
    <row r="145" spans="2:27" x14ac:dyDescent="0.35">
      <c r="B145">
        <v>106.64112388250321</v>
      </c>
      <c r="C145">
        <v>2633</v>
      </c>
      <c r="D145">
        <f t="shared" si="129"/>
        <v>6.6105504368852568</v>
      </c>
      <c r="E145">
        <f t="shared" si="130"/>
        <v>191.83327193044727</v>
      </c>
      <c r="F145">
        <f t="shared" si="131"/>
        <v>8.4615272952562766</v>
      </c>
      <c r="G145">
        <f t="shared" si="132"/>
        <v>8.4615272952562766</v>
      </c>
      <c r="H145">
        <f t="shared" si="133"/>
        <v>8.4615272952562766</v>
      </c>
      <c r="I145" s="3"/>
      <c r="J145">
        <f t="shared" si="134"/>
        <v>5.0009271180333235</v>
      </c>
      <c r="K145">
        <f t="shared" si="135"/>
        <v>186.60428169644283</v>
      </c>
      <c r="L145">
        <f t="shared" si="136"/>
        <v>6.5778233955867123</v>
      </c>
      <c r="M145">
        <f t="shared" si="137"/>
        <v>6.5778233955867123</v>
      </c>
      <c r="N145">
        <f t="shared" si="138"/>
        <v>6.5778233955867123</v>
      </c>
      <c r="O145" s="3"/>
      <c r="P145">
        <f t="shared" si="139"/>
        <v>765.10100640338749</v>
      </c>
      <c r="Q145">
        <f t="shared" si="140"/>
        <v>1779.3008099654862</v>
      </c>
      <c r="R145">
        <f t="shared" si="141"/>
        <v>0</v>
      </c>
      <c r="S145">
        <f t="shared" si="142"/>
        <v>0</v>
      </c>
      <c r="T145">
        <v>50</v>
      </c>
      <c r="U145" s="3"/>
      <c r="V145">
        <f t="shared" si="143"/>
        <v>2594.4018163688738</v>
      </c>
      <c r="W145" s="3"/>
      <c r="X145">
        <f t="shared" si="144"/>
        <v>1489.8197796221366</v>
      </c>
      <c r="Y145">
        <f t="shared" si="145"/>
        <v>38.598183631126176</v>
      </c>
      <c r="AA145">
        <f t="shared" si="146"/>
        <v>4.061071916321183E-5</v>
      </c>
    </row>
    <row r="146" spans="2:27" x14ac:dyDescent="0.35">
      <c r="B146">
        <v>107.59897828863348</v>
      </c>
      <c r="C146">
        <v>2610</v>
      </c>
      <c r="D146">
        <f t="shared" si="129"/>
        <v>6.6503831034505705</v>
      </c>
      <c r="E146">
        <f t="shared" si="130"/>
        <v>192.23051866793003</v>
      </c>
      <c r="F146">
        <f t="shared" si="131"/>
        <v>8.5573127358693029</v>
      </c>
      <c r="G146">
        <f t="shared" si="132"/>
        <v>8.5573127358693029</v>
      </c>
      <c r="H146">
        <f t="shared" si="133"/>
        <v>8.5573127358693029</v>
      </c>
      <c r="I146" s="3"/>
      <c r="J146">
        <f t="shared" si="134"/>
        <v>5.0341403305721304</v>
      </c>
      <c r="K146">
        <f t="shared" si="135"/>
        <v>186.99941318910652</v>
      </c>
      <c r="L146">
        <f t="shared" si="136"/>
        <v>6.6610374849310441</v>
      </c>
      <c r="M146">
        <f t="shared" si="137"/>
        <v>6.6610374849310441</v>
      </c>
      <c r="N146">
        <f t="shared" si="138"/>
        <v>6.6610374849310441</v>
      </c>
      <c r="O146" s="3"/>
      <c r="P146">
        <f t="shared" si="139"/>
        <v>755.86968384470879</v>
      </c>
      <c r="Q146">
        <f t="shared" si="140"/>
        <v>1771.8093521068083</v>
      </c>
      <c r="R146">
        <f t="shared" si="141"/>
        <v>0</v>
      </c>
      <c r="S146">
        <f t="shared" si="142"/>
        <v>0</v>
      </c>
      <c r="T146">
        <v>50</v>
      </c>
      <c r="U146" s="3"/>
      <c r="V146">
        <f t="shared" si="143"/>
        <v>2577.6790359515171</v>
      </c>
      <c r="W146" s="3"/>
      <c r="X146">
        <f t="shared" si="144"/>
        <v>1044.6447170233237</v>
      </c>
      <c r="Y146">
        <f t="shared" si="145"/>
        <v>32.320964048482892</v>
      </c>
      <c r="AA146">
        <f t="shared" si="146"/>
        <v>3.4006201084517404E-5</v>
      </c>
    </row>
    <row r="147" spans="2:27" x14ac:dyDescent="0.35">
      <c r="B147">
        <v>108.55683269476374</v>
      </c>
      <c r="C147">
        <v>2533</v>
      </c>
      <c r="D147">
        <f t="shared" si="129"/>
        <v>6.6902157700158842</v>
      </c>
      <c r="E147">
        <f t="shared" si="130"/>
        <v>192.62776540541279</v>
      </c>
      <c r="F147">
        <f t="shared" si="131"/>
        <v>8.6530981764823292</v>
      </c>
      <c r="G147">
        <f t="shared" si="132"/>
        <v>8.6530981764823292</v>
      </c>
      <c r="H147">
        <f t="shared" si="133"/>
        <v>8.6530981764823292</v>
      </c>
      <c r="I147" s="3"/>
      <c r="J147">
        <f t="shared" si="134"/>
        <v>5.0673898979935386</v>
      </c>
      <c r="K147">
        <f t="shared" si="135"/>
        <v>187.39454912288909</v>
      </c>
      <c r="L147">
        <f t="shared" si="136"/>
        <v>6.7443874990871819</v>
      </c>
      <c r="M147">
        <f t="shared" si="137"/>
        <v>6.7443874990871819</v>
      </c>
      <c r="N147">
        <f t="shared" si="138"/>
        <v>6.7443874990871819</v>
      </c>
      <c r="O147" s="3"/>
      <c r="P147">
        <f t="shared" si="139"/>
        <v>746.79504088071428</v>
      </c>
      <c r="Q147">
        <f t="shared" si="140"/>
        <v>1764.365023899069</v>
      </c>
      <c r="R147">
        <f t="shared" si="141"/>
        <v>0</v>
      </c>
      <c r="S147">
        <f t="shared" si="142"/>
        <v>0</v>
      </c>
      <c r="T147">
        <v>50</v>
      </c>
      <c r="U147" s="3"/>
      <c r="V147">
        <f t="shared" si="143"/>
        <v>2561.1600647797832</v>
      </c>
      <c r="W147" s="3"/>
      <c r="X147">
        <f t="shared" si="144"/>
        <v>792.98924840158452</v>
      </c>
      <c r="Y147">
        <f t="shared" si="145"/>
        <v>28.16006477978317</v>
      </c>
      <c r="AA147">
        <f t="shared" si="146"/>
        <v>2.96283496995286E-5</v>
      </c>
    </row>
    <row r="148" spans="2:27" x14ac:dyDescent="0.35">
      <c r="B148">
        <v>109.51468710089404</v>
      </c>
      <c r="C148">
        <v>2612</v>
      </c>
      <c r="D148">
        <f t="shared" si="129"/>
        <v>6.7300484365811979</v>
      </c>
      <c r="E148">
        <f t="shared" si="130"/>
        <v>193.02501214289555</v>
      </c>
      <c r="F148">
        <f t="shared" si="131"/>
        <v>8.748883617095359</v>
      </c>
      <c r="G148">
        <f t="shared" si="132"/>
        <v>8.748883617095359</v>
      </c>
      <c r="H148">
        <f t="shared" si="133"/>
        <v>8.748883617095359</v>
      </c>
      <c r="I148" s="3"/>
      <c r="J148">
        <f t="shared" si="134"/>
        <v>5.1006754620763983</v>
      </c>
      <c r="K148">
        <f t="shared" si="135"/>
        <v>187.78968947923008</v>
      </c>
      <c r="L148">
        <f t="shared" si="136"/>
        <v>6.8278707428044907</v>
      </c>
      <c r="M148">
        <f t="shared" si="137"/>
        <v>6.8278707428044907</v>
      </c>
      <c r="N148">
        <f t="shared" si="138"/>
        <v>6.8278707428044907</v>
      </c>
      <c r="O148" s="3"/>
      <c r="P148">
        <f t="shared" si="139"/>
        <v>737.87370933798013</v>
      </c>
      <c r="Q148">
        <f t="shared" si="140"/>
        <v>1756.9674313600974</v>
      </c>
      <c r="R148">
        <f t="shared" si="141"/>
        <v>0</v>
      </c>
      <c r="S148">
        <f t="shared" si="142"/>
        <v>0</v>
      </c>
      <c r="T148">
        <v>50</v>
      </c>
      <c r="U148" s="3"/>
      <c r="V148">
        <f t="shared" si="143"/>
        <v>2544.8411406980777</v>
      </c>
      <c r="W148" s="3"/>
      <c r="X148">
        <f t="shared" si="144"/>
        <v>4510.312382735402</v>
      </c>
      <c r="Y148">
        <f t="shared" si="145"/>
        <v>67.158859301922348</v>
      </c>
      <c r="AA148">
        <f t="shared" si="146"/>
        <v>7.0660567877930706E-5</v>
      </c>
    </row>
    <row r="149" spans="2:27" x14ac:dyDescent="0.35">
      <c r="B149">
        <v>110.7918263090677</v>
      </c>
      <c r="C149">
        <v>2570</v>
      </c>
      <c r="D149">
        <f t="shared" si="129"/>
        <v>6.7831586586682828</v>
      </c>
      <c r="E149">
        <f t="shared" si="130"/>
        <v>193.55467445953923</v>
      </c>
      <c r="F149">
        <f t="shared" si="131"/>
        <v>8.8765975379127262</v>
      </c>
      <c r="G149">
        <f t="shared" si="132"/>
        <v>8.8765975379127262</v>
      </c>
      <c r="H149">
        <f t="shared" si="133"/>
        <v>8.8765975379127262</v>
      </c>
      <c r="I149" s="3"/>
      <c r="J149">
        <f t="shared" si="134"/>
        <v>5.1451115988742213</v>
      </c>
      <c r="K149">
        <f t="shared" si="135"/>
        <v>188.31655013535735</v>
      </c>
      <c r="L149">
        <f t="shared" si="136"/>
        <v>6.9393844616188209</v>
      </c>
      <c r="M149">
        <f t="shared" si="137"/>
        <v>6.9393844616188209</v>
      </c>
      <c r="N149">
        <f t="shared" si="138"/>
        <v>6.9393844616188209</v>
      </c>
      <c r="O149" s="3"/>
      <c r="P149">
        <f t="shared" si="139"/>
        <v>726.21142531421435</v>
      </c>
      <c r="Q149">
        <f t="shared" si="140"/>
        <v>1747.1760012917973</v>
      </c>
      <c r="R149">
        <f t="shared" si="141"/>
        <v>0</v>
      </c>
      <c r="S149">
        <f t="shared" si="142"/>
        <v>0</v>
      </c>
      <c r="T149">
        <v>50</v>
      </c>
      <c r="U149" s="3"/>
      <c r="V149">
        <f t="shared" si="143"/>
        <v>2523.3874266060116</v>
      </c>
      <c r="W149" s="3"/>
      <c r="X149">
        <f t="shared" si="144"/>
        <v>2172.731998409959</v>
      </c>
      <c r="Y149">
        <f t="shared" si="145"/>
        <v>46.612573393988441</v>
      </c>
      <c r="AA149">
        <f t="shared" si="146"/>
        <v>4.9042984656183245E-5</v>
      </c>
    </row>
    <row r="150" spans="2:27" x14ac:dyDescent="0.35">
      <c r="B150">
        <v>111.74968071519795</v>
      </c>
      <c r="C150">
        <v>2538</v>
      </c>
      <c r="D150">
        <f t="shared" si="129"/>
        <v>6.8229913252335948</v>
      </c>
      <c r="E150">
        <f t="shared" si="130"/>
        <v>193.95192119702199</v>
      </c>
      <c r="F150">
        <f t="shared" si="131"/>
        <v>8.9723829785257507</v>
      </c>
      <c r="G150">
        <f t="shared" si="132"/>
        <v>8.9723829785257507</v>
      </c>
      <c r="H150">
        <f t="shared" si="133"/>
        <v>8.9723829785257507</v>
      </c>
      <c r="I150" s="3"/>
      <c r="J150">
        <f t="shared" si="134"/>
        <v>5.1784797890519991</v>
      </c>
      <c r="K150">
        <f t="shared" si="135"/>
        <v>188.71170073947144</v>
      </c>
      <c r="L150">
        <f t="shared" si="136"/>
        <v>7.0231685079140753</v>
      </c>
      <c r="M150">
        <f t="shared" si="137"/>
        <v>7.0231685079140753</v>
      </c>
      <c r="N150">
        <f t="shared" si="138"/>
        <v>7.0231685079140753</v>
      </c>
      <c r="O150" s="3"/>
      <c r="P150">
        <f t="shared" si="139"/>
        <v>717.63520354323248</v>
      </c>
      <c r="Q150">
        <f t="shared" si="140"/>
        <v>1739.8859494511576</v>
      </c>
      <c r="R150">
        <f t="shared" si="141"/>
        <v>0</v>
      </c>
      <c r="S150">
        <f t="shared" si="142"/>
        <v>0</v>
      </c>
      <c r="T150">
        <v>50</v>
      </c>
      <c r="U150" s="3"/>
      <c r="V150">
        <f t="shared" si="143"/>
        <v>2507.5211529943899</v>
      </c>
      <c r="W150" s="3"/>
      <c r="X150">
        <f t="shared" si="144"/>
        <v>928.96011479138645</v>
      </c>
      <c r="Y150">
        <f t="shared" si="145"/>
        <v>30.478847005610078</v>
      </c>
      <c r="AA150">
        <f t="shared" si="146"/>
        <v>3.2068034806828981E-5</v>
      </c>
    </row>
    <row r="151" spans="2:27" x14ac:dyDescent="0.35">
      <c r="B151">
        <v>112.70753512132826</v>
      </c>
      <c r="C151">
        <v>2403</v>
      </c>
      <c r="D151">
        <f t="shared" si="129"/>
        <v>6.8628239917989102</v>
      </c>
      <c r="E151">
        <f t="shared" si="130"/>
        <v>194.34916793450478</v>
      </c>
      <c r="F151">
        <f t="shared" si="131"/>
        <v>9.0681684191387824</v>
      </c>
      <c r="G151">
        <f t="shared" si="132"/>
        <v>9.0681684191387824</v>
      </c>
      <c r="H151">
        <f t="shared" si="133"/>
        <v>9.0681684191387824</v>
      </c>
      <c r="I151" s="3"/>
      <c r="J151">
        <f t="shared" si="134"/>
        <v>5.2118828162422126</v>
      </c>
      <c r="K151">
        <f t="shared" si="135"/>
        <v>189.10685570510776</v>
      </c>
      <c r="L151">
        <f t="shared" si="136"/>
        <v>7.1070773252060295</v>
      </c>
      <c r="M151">
        <f t="shared" si="137"/>
        <v>7.1070773252060295</v>
      </c>
      <c r="N151">
        <f t="shared" si="138"/>
        <v>7.1070773252060295</v>
      </c>
      <c r="O151" s="3"/>
      <c r="P151">
        <f t="shared" si="139"/>
        <v>709.20167702589958</v>
      </c>
      <c r="Q151">
        <f t="shared" si="140"/>
        <v>1732.641349359166</v>
      </c>
      <c r="R151">
        <f t="shared" si="141"/>
        <v>0</v>
      </c>
      <c r="S151">
        <f t="shared" si="142"/>
        <v>0</v>
      </c>
      <c r="T151">
        <v>50</v>
      </c>
      <c r="U151" s="3"/>
      <c r="V151">
        <f t="shared" si="143"/>
        <v>2491.8430263850655</v>
      </c>
      <c r="W151" s="3"/>
      <c r="X151">
        <f t="shared" si="144"/>
        <v>7893.0833372574471</v>
      </c>
      <c r="Y151">
        <f t="shared" si="145"/>
        <v>88.843026385065514</v>
      </c>
      <c r="AA151">
        <f t="shared" si="146"/>
        <v>9.3475362172850638E-5</v>
      </c>
    </row>
    <row r="152" spans="2:27" x14ac:dyDescent="0.35">
      <c r="B152">
        <v>113.66538952745853</v>
      </c>
      <c r="C152">
        <v>2485</v>
      </c>
      <c r="D152">
        <f t="shared" si="129"/>
        <v>6.9026566583642239</v>
      </c>
      <c r="E152">
        <f t="shared" si="130"/>
        <v>194.74641467198754</v>
      </c>
      <c r="F152">
        <f t="shared" si="131"/>
        <v>9.1639538597518087</v>
      </c>
      <c r="G152">
        <f t="shared" si="132"/>
        <v>9.1639538597518087</v>
      </c>
      <c r="H152">
        <f t="shared" si="133"/>
        <v>9.1639538597518087</v>
      </c>
      <c r="I152" s="3"/>
      <c r="J152">
        <f t="shared" si="134"/>
        <v>5.2453203425794106</v>
      </c>
      <c r="K152">
        <f t="shared" si="135"/>
        <v>189.50201501420128</v>
      </c>
      <c r="L152">
        <f t="shared" si="136"/>
        <v>7.1911085240904242</v>
      </c>
      <c r="M152">
        <f t="shared" si="137"/>
        <v>7.1911085240904242</v>
      </c>
      <c r="N152">
        <f t="shared" si="138"/>
        <v>7.1911085240904242</v>
      </c>
      <c r="O152" s="3"/>
      <c r="P152">
        <f t="shared" si="139"/>
        <v>700.90783473049692</v>
      </c>
      <c r="Q152">
        <f t="shared" si="140"/>
        <v>1725.4418244522226</v>
      </c>
      <c r="R152">
        <f t="shared" si="141"/>
        <v>0</v>
      </c>
      <c r="S152">
        <f t="shared" si="142"/>
        <v>0</v>
      </c>
      <c r="T152">
        <v>50</v>
      </c>
      <c r="U152" s="3"/>
      <c r="V152">
        <f t="shared" si="143"/>
        <v>2476.3496591827197</v>
      </c>
      <c r="W152" s="3"/>
      <c r="X152">
        <f t="shared" si="144"/>
        <v>74.828396255105034</v>
      </c>
      <c r="Y152">
        <f t="shared" si="145"/>
        <v>8.6503408172802665</v>
      </c>
      <c r="AA152">
        <f t="shared" si="146"/>
        <v>9.1013754676618053E-6</v>
      </c>
    </row>
    <row r="153" spans="2:27" x14ac:dyDescent="0.35">
      <c r="B153">
        <v>114.6232439335888</v>
      </c>
      <c r="C153">
        <v>2450</v>
      </c>
      <c r="D153">
        <f t="shared" si="129"/>
        <v>6.9424893249295376</v>
      </c>
      <c r="E153">
        <f t="shared" si="130"/>
        <v>195.1436614094703</v>
      </c>
      <c r="F153">
        <f t="shared" si="131"/>
        <v>9.2597393003648349</v>
      </c>
      <c r="G153">
        <f t="shared" si="132"/>
        <v>9.2597393003648349</v>
      </c>
      <c r="H153">
        <f t="shared" si="133"/>
        <v>9.2597393003648349</v>
      </c>
      <c r="I153" s="3"/>
      <c r="J153">
        <f t="shared" si="134"/>
        <v>5.2787920346937964</v>
      </c>
      <c r="K153">
        <f t="shared" si="135"/>
        <v>189.89717864879876</v>
      </c>
      <c r="L153">
        <f t="shared" si="136"/>
        <v>7.2752597794318445</v>
      </c>
      <c r="M153">
        <f t="shared" si="137"/>
        <v>7.2752597794318445</v>
      </c>
      <c r="N153">
        <f t="shared" si="138"/>
        <v>7.2752597794318445</v>
      </c>
      <c r="O153" s="3"/>
      <c r="P153">
        <f t="shared" si="139"/>
        <v>692.75074169081643</v>
      </c>
      <c r="Q153">
        <f t="shared" si="140"/>
        <v>1718.2870020543326</v>
      </c>
      <c r="R153">
        <f t="shared" si="141"/>
        <v>0</v>
      </c>
      <c r="S153">
        <f t="shared" si="142"/>
        <v>0</v>
      </c>
      <c r="T153">
        <v>50</v>
      </c>
      <c r="U153" s="3"/>
      <c r="V153">
        <f t="shared" si="143"/>
        <v>2461.0377437451489</v>
      </c>
      <c r="W153" s="3"/>
      <c r="X153">
        <f t="shared" si="144"/>
        <v>121.83178698357307</v>
      </c>
      <c r="Y153">
        <f t="shared" si="145"/>
        <v>11.037743745148873</v>
      </c>
      <c r="AA153">
        <f t="shared" si="146"/>
        <v>1.1613259207054047E-5</v>
      </c>
    </row>
    <row r="154" spans="2:27" x14ac:dyDescent="0.35">
      <c r="B154">
        <v>115.58109833971903</v>
      </c>
      <c r="C154">
        <v>2411</v>
      </c>
      <c r="D154">
        <f t="shared" si="129"/>
        <v>6.9823219914948496</v>
      </c>
      <c r="E154">
        <f t="shared" si="130"/>
        <v>195.54090814695306</v>
      </c>
      <c r="F154">
        <f t="shared" si="131"/>
        <v>9.3555247409778595</v>
      </c>
      <c r="G154">
        <f t="shared" si="132"/>
        <v>9.3555247409778595</v>
      </c>
      <c r="H154">
        <f t="shared" si="133"/>
        <v>9.3555247409778595</v>
      </c>
      <c r="I154" s="3"/>
      <c r="J154">
        <f t="shared" si="134"/>
        <v>5.3122975636384169</v>
      </c>
      <c r="K154">
        <f t="shared" si="135"/>
        <v>190.29234659105794</v>
      </c>
      <c r="L154">
        <f t="shared" si="136"/>
        <v>7.3595288281946445</v>
      </c>
      <c r="M154">
        <f t="shared" si="137"/>
        <v>7.3595288281946445</v>
      </c>
      <c r="N154">
        <f t="shared" si="138"/>
        <v>7.3595288281946445</v>
      </c>
      <c r="O154" s="3"/>
      <c r="P154">
        <f t="shared" si="139"/>
        <v>684.72753678861739</v>
      </c>
      <c r="Q154">
        <f t="shared" si="140"/>
        <v>1711.1765133290867</v>
      </c>
      <c r="R154">
        <f t="shared" si="141"/>
        <v>0</v>
      </c>
      <c r="S154">
        <f t="shared" si="142"/>
        <v>0</v>
      </c>
      <c r="T154">
        <v>50</v>
      </c>
      <c r="U154" s="3"/>
      <c r="V154">
        <f t="shared" si="143"/>
        <v>2445.9040501177042</v>
      </c>
      <c r="W154" s="3"/>
      <c r="X154">
        <f t="shared" si="144"/>
        <v>1218.2927146192046</v>
      </c>
      <c r="Y154">
        <f t="shared" si="145"/>
        <v>34.904050117704173</v>
      </c>
      <c r="AA154">
        <f t="shared" si="146"/>
        <v>3.6723971017270314E-5</v>
      </c>
    </row>
    <row r="155" spans="2:27" x14ac:dyDescent="0.35">
      <c r="B155">
        <v>116.5389527458493</v>
      </c>
      <c r="C155">
        <v>2495</v>
      </c>
      <c r="D155">
        <f t="shared" si="129"/>
        <v>7.0221546580601633</v>
      </c>
      <c r="E155">
        <f t="shared" si="130"/>
        <v>195.93815488443582</v>
      </c>
      <c r="F155">
        <f t="shared" si="131"/>
        <v>9.4513101815908858</v>
      </c>
      <c r="G155">
        <f t="shared" si="132"/>
        <v>9.4513101815908858</v>
      </c>
      <c r="H155">
        <f t="shared" si="133"/>
        <v>9.4513101815908858</v>
      </c>
      <c r="I155" s="3"/>
      <c r="J155">
        <f t="shared" si="134"/>
        <v>5.3458366048176904</v>
      </c>
      <c r="K155">
        <f t="shared" si="135"/>
        <v>190.68751882324639</v>
      </c>
      <c r="L155">
        <f t="shared" si="136"/>
        <v>7.443913467359919</v>
      </c>
      <c r="M155">
        <f t="shared" si="137"/>
        <v>7.443913467359919</v>
      </c>
      <c r="N155">
        <f t="shared" si="138"/>
        <v>7.443913467359919</v>
      </c>
      <c r="O155" s="3"/>
      <c r="P155">
        <f t="shared" si="139"/>
        <v>676.83543060878753</v>
      </c>
      <c r="Q155">
        <f t="shared" si="140"/>
        <v>1704.1099932323357</v>
      </c>
      <c r="R155">
        <f t="shared" si="141"/>
        <v>0</v>
      </c>
      <c r="S155">
        <f t="shared" si="142"/>
        <v>0</v>
      </c>
      <c r="T155">
        <v>50</v>
      </c>
      <c r="U155" s="3"/>
      <c r="V155">
        <f t="shared" si="143"/>
        <v>2430.9454238411231</v>
      </c>
      <c r="W155" s="3"/>
      <c r="X155">
        <f t="shared" si="144"/>
        <v>4102.9887268933608</v>
      </c>
      <c r="Y155">
        <f t="shared" si="145"/>
        <v>64.054576158876898</v>
      </c>
      <c r="AA155">
        <f t="shared" si="146"/>
        <v>6.7394425301634743E-5</v>
      </c>
    </row>
    <row r="156" spans="2:27" x14ac:dyDescent="0.35">
      <c r="B156">
        <v>117.81609195402301</v>
      </c>
      <c r="C156">
        <v>2441</v>
      </c>
      <c r="D156">
        <f t="shared" si="129"/>
        <v>7.0752648801472482</v>
      </c>
      <c r="E156">
        <f t="shared" si="130"/>
        <v>196.4678172010795</v>
      </c>
      <c r="F156">
        <f t="shared" si="131"/>
        <v>9.5790241024082565</v>
      </c>
      <c r="G156">
        <f t="shared" si="132"/>
        <v>9.5790241024082565</v>
      </c>
      <c r="H156">
        <f t="shared" si="133"/>
        <v>9.5790241024082565</v>
      </c>
      <c r="I156" s="3"/>
      <c r="J156">
        <f t="shared" si="134"/>
        <v>5.3906069035110322</v>
      </c>
      <c r="K156">
        <f t="shared" si="135"/>
        <v>191.21442177561002</v>
      </c>
      <c r="L156">
        <f t="shared" si="136"/>
        <v>7.5566024275755632</v>
      </c>
      <c r="M156">
        <f t="shared" si="137"/>
        <v>7.5566024275755632</v>
      </c>
      <c r="N156">
        <f t="shared" si="138"/>
        <v>7.5566024275755632</v>
      </c>
      <c r="O156" s="3"/>
      <c r="P156">
        <f t="shared" si="139"/>
        <v>666.51186262625322</v>
      </c>
      <c r="Q156">
        <f t="shared" si="140"/>
        <v>1694.7557381481047</v>
      </c>
      <c r="R156">
        <f t="shared" si="141"/>
        <v>0</v>
      </c>
      <c r="S156">
        <f t="shared" si="142"/>
        <v>0</v>
      </c>
      <c r="T156">
        <v>50</v>
      </c>
      <c r="U156" s="3"/>
      <c r="V156">
        <f t="shared" si="143"/>
        <v>2411.267600774358</v>
      </c>
      <c r="W156" s="3"/>
      <c r="X156">
        <f t="shared" si="144"/>
        <v>884.01556371295601</v>
      </c>
      <c r="Y156">
        <f t="shared" si="145"/>
        <v>29.732399225641984</v>
      </c>
      <c r="AA156">
        <f t="shared" si="146"/>
        <v>3.1282666732206896E-5</v>
      </c>
    </row>
    <row r="157" spans="2:27" ht="14" customHeight="1" x14ac:dyDescent="0.35">
      <c r="B157">
        <v>118.77394636015327</v>
      </c>
      <c r="C157">
        <v>2462</v>
      </c>
      <c r="D157">
        <f t="shared" ref="D157:D220" si="147">C$23-LN(1/C$23)+$B157*C$22</f>
        <v>7.1150975467125619</v>
      </c>
      <c r="E157">
        <f t="shared" ref="E157:E220" si="148">D$23-LN(1/D$23)+$B157*D$22</f>
        <v>196.86506393856229</v>
      </c>
      <c r="F157">
        <f t="shared" ref="F157:F220" si="149">E$23-LN(1/E$23)+$B157*E$22</f>
        <v>9.6748095430212828</v>
      </c>
      <c r="G157">
        <f t="shared" ref="G157:G220" si="150">F$23-LN(1/F$23)+$B157*F$22</f>
        <v>9.6748095430212828</v>
      </c>
      <c r="H157">
        <f t="shared" ref="H157:H220" si="151">G$23-LN(1/G$23)+$B157*G$22</f>
        <v>9.6748095430212828</v>
      </c>
      <c r="I157" s="3"/>
      <c r="J157">
        <f t="shared" ref="J157:J220" si="152">lmb_2(D157)</f>
        <v>5.4242229015080792</v>
      </c>
      <c r="K157">
        <f t="shared" ref="K157:K220" si="153">lmb_2(E157)</f>
        <v>191.60960394928549</v>
      </c>
      <c r="L157">
        <f t="shared" ref="L157:L220" si="154">lmb_2(F157)</f>
        <v>7.6412485326859043</v>
      </c>
      <c r="M157">
        <f t="shared" ref="M157:M220" si="155">lmb_2(G157)</f>
        <v>7.6412485326859043</v>
      </c>
      <c r="N157">
        <f t="shared" ref="N157:N220" si="156">lmb_2(H157)</f>
        <v>7.6412485326859043</v>
      </c>
      <c r="O157" s="3"/>
      <c r="P157">
        <f t="shared" ref="P157:P220" si="157">(C$21*$A$21)/(J157+J157^2)</f>
        <v>658.91519311196839</v>
      </c>
      <c r="Q157">
        <f t="shared" ref="Q157:Q220" si="158">(D$21*$A$21)/(K157+K157^2)</f>
        <v>1687.7904128557886</v>
      </c>
      <c r="R157">
        <f t="shared" ref="R157:R220" si="159">(E$21*$A$21)/(L157+L157^2)</f>
        <v>0</v>
      </c>
      <c r="S157">
        <f t="shared" ref="S157:S220" si="160">(F$21*$A$21)/(M157+M157^2)</f>
        <v>0</v>
      </c>
      <c r="T157">
        <v>50</v>
      </c>
      <c r="U157" s="3"/>
      <c r="V157">
        <f t="shared" ref="V157:V220" si="161">SUM(P157:T157)</f>
        <v>2396.705605967757</v>
      </c>
      <c r="W157" s="3"/>
      <c r="X157">
        <f t="shared" ref="X157:X220" si="162">(V157-C157)^2</f>
        <v>4263.357892037805</v>
      </c>
      <c r="Y157">
        <f t="shared" ref="Y157:Y220" si="163">ABS(V157-C157)</f>
        <v>65.294394032242963</v>
      </c>
      <c r="AA157">
        <f t="shared" ref="AA157:AA220" si="164">Y157/$Z$39</f>
        <v>6.8698888121698551E-5</v>
      </c>
    </row>
    <row r="158" spans="2:27" x14ac:dyDescent="0.35">
      <c r="B158">
        <v>119.73180076628354</v>
      </c>
      <c r="C158">
        <v>2365</v>
      </c>
      <c r="D158">
        <f t="shared" si="147"/>
        <v>7.1549302132778756</v>
      </c>
      <c r="E158">
        <f t="shared" si="148"/>
        <v>197.26231067604505</v>
      </c>
      <c r="F158">
        <f t="shared" si="149"/>
        <v>9.7705949836343091</v>
      </c>
      <c r="G158">
        <f t="shared" si="150"/>
        <v>9.7705949836343091</v>
      </c>
      <c r="H158">
        <f t="shared" si="151"/>
        <v>9.7705949836343091</v>
      </c>
      <c r="I158" s="3"/>
      <c r="J158">
        <f t="shared" si="152"/>
        <v>5.4578713602893831</v>
      </c>
      <c r="K158">
        <f t="shared" si="153"/>
        <v>192.00479035456516</v>
      </c>
      <c r="L158">
        <f t="shared" si="154"/>
        <v>7.7260032931480103</v>
      </c>
      <c r="M158">
        <f t="shared" si="155"/>
        <v>7.7260032931480103</v>
      </c>
      <c r="N158">
        <f t="shared" si="156"/>
        <v>7.7260032931480103</v>
      </c>
      <c r="O158" s="3"/>
      <c r="P158">
        <f t="shared" si="157"/>
        <v>651.44081598780565</v>
      </c>
      <c r="Q158">
        <f t="shared" si="158"/>
        <v>1680.8678661726276</v>
      </c>
      <c r="R158">
        <f t="shared" si="159"/>
        <v>0</v>
      </c>
      <c r="S158">
        <f t="shared" si="160"/>
        <v>0</v>
      </c>
      <c r="T158">
        <v>50</v>
      </c>
      <c r="U158" s="3"/>
      <c r="V158">
        <f t="shared" si="161"/>
        <v>2382.3086821604334</v>
      </c>
      <c r="W158" s="3"/>
      <c r="X158">
        <f t="shared" si="162"/>
        <v>299.59047813090416</v>
      </c>
      <c r="Y158">
        <f t="shared" si="163"/>
        <v>17.308682160433364</v>
      </c>
      <c r="AA158">
        <f t="shared" si="164"/>
        <v>1.8211168614053898E-5</v>
      </c>
    </row>
    <row r="159" spans="2:27" x14ac:dyDescent="0.35">
      <c r="B159">
        <v>120.68965517241384</v>
      </c>
      <c r="C159">
        <v>2380</v>
      </c>
      <c r="D159">
        <f t="shared" si="147"/>
        <v>7.1947628798431911</v>
      </c>
      <c r="E159">
        <f t="shared" si="148"/>
        <v>197.65955741352781</v>
      </c>
      <c r="F159">
        <f t="shared" si="149"/>
        <v>9.866380424247339</v>
      </c>
      <c r="G159">
        <f t="shared" si="150"/>
        <v>9.866380424247339</v>
      </c>
      <c r="H159">
        <f t="shared" si="151"/>
        <v>9.866380424247339</v>
      </c>
      <c r="I159" s="3"/>
      <c r="J159">
        <f t="shared" si="152"/>
        <v>5.4915519733204148</v>
      </c>
      <c r="K159">
        <f t="shared" si="153"/>
        <v>192.39998097418299</v>
      </c>
      <c r="L159">
        <f t="shared" si="154"/>
        <v>7.8108647438774801</v>
      </c>
      <c r="M159">
        <f t="shared" si="155"/>
        <v>7.8108647438774801</v>
      </c>
      <c r="N159">
        <f t="shared" si="156"/>
        <v>7.8108647438774801</v>
      </c>
      <c r="O159" s="3"/>
      <c r="P159">
        <f t="shared" si="157"/>
        <v>644.08622942652835</v>
      </c>
      <c r="Q159">
        <f t="shared" si="158"/>
        <v>1673.9877489569744</v>
      </c>
      <c r="R159">
        <f t="shared" si="159"/>
        <v>0</v>
      </c>
      <c r="S159">
        <f t="shared" si="160"/>
        <v>0</v>
      </c>
      <c r="T159">
        <v>50</v>
      </c>
      <c r="U159" s="3"/>
      <c r="V159">
        <f t="shared" si="161"/>
        <v>2368.0739783835029</v>
      </c>
      <c r="W159" s="3"/>
      <c r="X159">
        <f t="shared" si="162"/>
        <v>142.22999159715633</v>
      </c>
      <c r="Y159">
        <f t="shared" si="163"/>
        <v>11.92602161649711</v>
      </c>
      <c r="AA159">
        <f t="shared" si="164"/>
        <v>1.2547852490431468E-5</v>
      </c>
    </row>
    <row r="160" spans="2:27" x14ac:dyDescent="0.35">
      <c r="B160">
        <v>121.64750957854409</v>
      </c>
      <c r="C160">
        <v>2352</v>
      </c>
      <c r="D160">
        <f t="shared" si="147"/>
        <v>7.234595546408503</v>
      </c>
      <c r="E160">
        <f t="shared" si="148"/>
        <v>198.05680415101057</v>
      </c>
      <c r="F160">
        <f t="shared" si="149"/>
        <v>9.9621658648603635</v>
      </c>
      <c r="G160">
        <f t="shared" si="150"/>
        <v>9.9621658648603635</v>
      </c>
      <c r="H160">
        <f t="shared" si="151"/>
        <v>9.9621658648603635</v>
      </c>
      <c r="I160" s="3"/>
      <c r="J160">
        <f t="shared" si="152"/>
        <v>5.5252644380580795</v>
      </c>
      <c r="K160">
        <f t="shared" si="153"/>
        <v>192.79517579097819</v>
      </c>
      <c r="L160">
        <f t="shared" si="154"/>
        <v>7.8958309699998734</v>
      </c>
      <c r="M160">
        <f t="shared" si="155"/>
        <v>7.8958309699998734</v>
      </c>
      <c r="N160">
        <f t="shared" si="156"/>
        <v>7.8958309699998734</v>
      </c>
      <c r="O160" s="3"/>
      <c r="P160">
        <f t="shared" si="157"/>
        <v>636.84899298876667</v>
      </c>
      <c r="Q160">
        <f t="shared" si="158"/>
        <v>1667.1497156182049</v>
      </c>
      <c r="R160">
        <f t="shared" si="159"/>
        <v>0</v>
      </c>
      <c r="S160">
        <f t="shared" si="160"/>
        <v>0</v>
      </c>
      <c r="T160">
        <v>50</v>
      </c>
      <c r="U160" s="3"/>
      <c r="V160">
        <f t="shared" si="161"/>
        <v>2353.9987086069714</v>
      </c>
      <c r="W160" s="3"/>
      <c r="X160">
        <f t="shared" si="162"/>
        <v>3.9948360955814617</v>
      </c>
      <c r="Y160">
        <f t="shared" si="163"/>
        <v>1.9987086069713769</v>
      </c>
      <c r="AA160">
        <f t="shared" si="164"/>
        <v>2.1029226323840009E-6</v>
      </c>
    </row>
    <row r="161" spans="2:27" x14ac:dyDescent="0.35">
      <c r="B161">
        <v>122.60536398467436</v>
      </c>
      <c r="C161">
        <v>2308</v>
      </c>
      <c r="D161">
        <f t="shared" si="147"/>
        <v>7.2744282129738167</v>
      </c>
      <c r="E161">
        <f t="shared" si="148"/>
        <v>198.45405088849333</v>
      </c>
      <c r="F161">
        <f t="shared" si="149"/>
        <v>10.057951305473392</v>
      </c>
      <c r="G161">
        <f t="shared" si="150"/>
        <v>10.057951305473392</v>
      </c>
      <c r="H161">
        <f t="shared" si="151"/>
        <v>10.057951305473392</v>
      </c>
      <c r="I161" s="3"/>
      <c r="J161">
        <f t="shared" si="152"/>
        <v>5.5590084558870627</v>
      </c>
      <c r="K161">
        <f t="shared" si="153"/>
        <v>193.1903747878944</v>
      </c>
      <c r="L161">
        <f t="shared" si="154"/>
        <v>7.9809001052308561</v>
      </c>
      <c r="M161">
        <f t="shared" si="155"/>
        <v>7.9809001052308561</v>
      </c>
      <c r="N161">
        <f t="shared" si="156"/>
        <v>7.9809001052308561</v>
      </c>
      <c r="O161" s="3"/>
      <c r="P161">
        <f t="shared" si="157"/>
        <v>629.72672588166427</v>
      </c>
      <c r="Q161">
        <f t="shared" si="158"/>
        <v>1660.3534240734987</v>
      </c>
      <c r="R161">
        <f t="shared" si="159"/>
        <v>0</v>
      </c>
      <c r="S161">
        <f t="shared" si="160"/>
        <v>0</v>
      </c>
      <c r="T161">
        <v>50</v>
      </c>
      <c r="U161" s="3"/>
      <c r="V161">
        <f t="shared" si="161"/>
        <v>2340.0801499551631</v>
      </c>
      <c r="W161" s="3"/>
      <c r="X161">
        <f t="shared" si="162"/>
        <v>1029.1360211457479</v>
      </c>
      <c r="Y161">
        <f t="shared" si="163"/>
        <v>32.080149955163051</v>
      </c>
      <c r="AA161">
        <f t="shared" si="164"/>
        <v>3.3752830780675717E-5</v>
      </c>
    </row>
    <row r="162" spans="2:27" x14ac:dyDescent="0.35">
      <c r="B162">
        <v>123.56321839080461</v>
      </c>
      <c r="C162">
        <v>2367</v>
      </c>
      <c r="D162">
        <f t="shared" si="147"/>
        <v>7.3142608795391304</v>
      </c>
      <c r="E162">
        <f t="shared" si="148"/>
        <v>198.85129762597609</v>
      </c>
      <c r="F162">
        <f t="shared" si="149"/>
        <v>10.153736746086416</v>
      </c>
      <c r="G162">
        <f t="shared" si="150"/>
        <v>10.153736746086416</v>
      </c>
      <c r="H162">
        <f t="shared" si="151"/>
        <v>10.153736746086416</v>
      </c>
      <c r="I162" s="3"/>
      <c r="J162">
        <f t="shared" si="152"/>
        <v>5.5927837320572875</v>
      </c>
      <c r="K162">
        <f t="shared" si="153"/>
        <v>193.58557794797878</v>
      </c>
      <c r="L162">
        <f t="shared" si="154"/>
        <v>8.066070330318162</v>
      </c>
      <c r="M162">
        <f t="shared" si="155"/>
        <v>8.066070330318162</v>
      </c>
      <c r="N162">
        <f t="shared" si="156"/>
        <v>8.066070330318162</v>
      </c>
      <c r="O162" s="3"/>
      <c r="P162">
        <f t="shared" si="157"/>
        <v>622.71710527318555</v>
      </c>
      <c r="Q162">
        <f t="shared" si="158"/>
        <v>1653.5985357052414</v>
      </c>
      <c r="R162">
        <f t="shared" si="159"/>
        <v>0</v>
      </c>
      <c r="S162">
        <f t="shared" si="160"/>
        <v>0</v>
      </c>
      <c r="T162">
        <v>50</v>
      </c>
      <c r="U162" s="3"/>
      <c r="V162">
        <f t="shared" si="161"/>
        <v>2326.3156409784269</v>
      </c>
      <c r="W162" s="3"/>
      <c r="X162">
        <f t="shared" si="162"/>
        <v>1655.2170689962543</v>
      </c>
      <c r="Y162">
        <f t="shared" si="163"/>
        <v>40.684359021573073</v>
      </c>
      <c r="AA162">
        <f t="shared" si="164"/>
        <v>4.2805669156618314E-5</v>
      </c>
    </row>
    <row r="163" spans="2:27" x14ac:dyDescent="0.35">
      <c r="B163">
        <v>124.84035759897833</v>
      </c>
      <c r="C163">
        <v>2287</v>
      </c>
      <c r="D163">
        <f t="shared" si="147"/>
        <v>7.3673711016262153</v>
      </c>
      <c r="E163">
        <f t="shared" si="148"/>
        <v>199.38095994261977</v>
      </c>
      <c r="F163">
        <f t="shared" si="149"/>
        <v>10.281450666903789</v>
      </c>
      <c r="G163">
        <f t="shared" si="150"/>
        <v>10.281450666903789</v>
      </c>
      <c r="H163">
        <f t="shared" si="151"/>
        <v>10.281450666903789</v>
      </c>
      <c r="I163" s="3"/>
      <c r="J163">
        <f t="shared" si="152"/>
        <v>5.6378655553742956</v>
      </c>
      <c r="K163">
        <f t="shared" si="153"/>
        <v>194.11252194168853</v>
      </c>
      <c r="L163">
        <f t="shared" si="154"/>
        <v>8.1797848220125626</v>
      </c>
      <c r="M163">
        <f t="shared" si="155"/>
        <v>8.1797848220125626</v>
      </c>
      <c r="N163">
        <f t="shared" si="156"/>
        <v>8.1797848220125626</v>
      </c>
      <c r="O163" s="3"/>
      <c r="P163">
        <f t="shared" si="157"/>
        <v>613.54226285088475</v>
      </c>
      <c r="Q163">
        <f t="shared" si="158"/>
        <v>1644.6558439615478</v>
      </c>
      <c r="R163">
        <f t="shared" si="159"/>
        <v>0</v>
      </c>
      <c r="S163">
        <f t="shared" si="160"/>
        <v>0</v>
      </c>
      <c r="T163">
        <v>50</v>
      </c>
      <c r="U163" s="3"/>
      <c r="V163">
        <f t="shared" si="161"/>
        <v>2308.1981068124323</v>
      </c>
      <c r="W163" s="3"/>
      <c r="X163">
        <f t="shared" si="162"/>
        <v>449.35973243129052</v>
      </c>
      <c r="Y163">
        <f t="shared" si="163"/>
        <v>21.198106812432343</v>
      </c>
      <c r="AA163">
        <f t="shared" si="164"/>
        <v>2.2303390511289192E-5</v>
      </c>
    </row>
    <row r="164" spans="2:27" x14ac:dyDescent="0.35">
      <c r="B164">
        <v>125.79821200510857</v>
      </c>
      <c r="C164">
        <v>2291</v>
      </c>
      <c r="D164">
        <f t="shared" si="147"/>
        <v>7.407203768191529</v>
      </c>
      <c r="E164">
        <f t="shared" si="148"/>
        <v>199.77820668010253</v>
      </c>
      <c r="F164">
        <f t="shared" si="149"/>
        <v>10.377236107516811</v>
      </c>
      <c r="G164">
        <f t="shared" si="150"/>
        <v>10.377236107516811</v>
      </c>
      <c r="H164">
        <f t="shared" si="151"/>
        <v>10.377236107516811</v>
      </c>
      <c r="I164" s="3"/>
      <c r="J164">
        <f t="shared" si="152"/>
        <v>5.6717126426783775</v>
      </c>
      <c r="K164">
        <f t="shared" si="153"/>
        <v>194.50773475048007</v>
      </c>
      <c r="L164">
        <f t="shared" si="154"/>
        <v>8.2651841016411858</v>
      </c>
      <c r="M164">
        <f t="shared" si="155"/>
        <v>8.2651841016411858</v>
      </c>
      <c r="N164">
        <f t="shared" si="156"/>
        <v>8.2651841016411858</v>
      </c>
      <c r="O164" s="3"/>
      <c r="P164">
        <f t="shared" si="157"/>
        <v>606.78676429915151</v>
      </c>
      <c r="Q164">
        <f t="shared" si="158"/>
        <v>1637.9962653103587</v>
      </c>
      <c r="R164">
        <f t="shared" si="159"/>
        <v>0</v>
      </c>
      <c r="S164">
        <f t="shared" si="160"/>
        <v>0</v>
      </c>
      <c r="T164">
        <v>50</v>
      </c>
      <c r="U164" s="3"/>
      <c r="V164">
        <f t="shared" si="161"/>
        <v>2294.7830296095103</v>
      </c>
      <c r="W164" s="3"/>
      <c r="X164">
        <f t="shared" si="162"/>
        <v>14.31131302643182</v>
      </c>
      <c r="Y164">
        <f t="shared" si="163"/>
        <v>3.7830296095103222</v>
      </c>
      <c r="AA164">
        <f t="shared" si="164"/>
        <v>3.9802793449080264E-6</v>
      </c>
    </row>
    <row r="165" spans="2:27" x14ac:dyDescent="0.35">
      <c r="B165">
        <v>126.75606641123885</v>
      </c>
      <c r="C165">
        <v>2297</v>
      </c>
      <c r="D165">
        <f t="shared" si="147"/>
        <v>7.4470364347568427</v>
      </c>
      <c r="E165">
        <f t="shared" si="148"/>
        <v>200.17545341758529</v>
      </c>
      <c r="F165">
        <f t="shared" si="149"/>
        <v>10.473021548129839</v>
      </c>
      <c r="G165">
        <f t="shared" si="150"/>
        <v>10.473021548129839</v>
      </c>
      <c r="H165">
        <f t="shared" si="151"/>
        <v>10.473021548129839</v>
      </c>
      <c r="I165" s="3"/>
      <c r="J165">
        <f t="shared" si="152"/>
        <v>5.7055900329591092</v>
      </c>
      <c r="K165">
        <f t="shared" si="153"/>
        <v>194.90295166666789</v>
      </c>
      <c r="L165">
        <f t="shared" si="154"/>
        <v>8.3506787278036043</v>
      </c>
      <c r="M165">
        <f t="shared" si="155"/>
        <v>8.3506787278036043</v>
      </c>
      <c r="N165">
        <f t="shared" si="156"/>
        <v>8.3506787278036043</v>
      </c>
      <c r="O165" s="3"/>
      <c r="P165">
        <f t="shared" si="157"/>
        <v>600.13656750858286</v>
      </c>
      <c r="Q165">
        <f t="shared" si="158"/>
        <v>1631.3769856018491</v>
      </c>
      <c r="R165">
        <f t="shared" si="159"/>
        <v>0</v>
      </c>
      <c r="S165">
        <f t="shared" si="160"/>
        <v>0</v>
      </c>
      <c r="T165">
        <v>50</v>
      </c>
      <c r="U165" s="3"/>
      <c r="V165">
        <f t="shared" si="161"/>
        <v>2281.513553110432</v>
      </c>
      <c r="W165" s="3"/>
      <c r="X165">
        <f t="shared" si="162"/>
        <v>239.83003726341084</v>
      </c>
      <c r="Y165">
        <f t="shared" si="163"/>
        <v>15.486446889568015</v>
      </c>
      <c r="AA165">
        <f t="shared" si="164"/>
        <v>1.6293920757480272E-5</v>
      </c>
    </row>
    <row r="166" spans="2:27" x14ac:dyDescent="0.35">
      <c r="B166">
        <v>127.7139208173691</v>
      </c>
      <c r="C166">
        <v>2323</v>
      </c>
      <c r="D166">
        <f t="shared" si="147"/>
        <v>7.4868691013221564</v>
      </c>
      <c r="E166">
        <f t="shared" si="148"/>
        <v>200.57270015506805</v>
      </c>
      <c r="F166">
        <f t="shared" si="149"/>
        <v>10.568806988742866</v>
      </c>
      <c r="G166">
        <f t="shared" si="150"/>
        <v>10.568806988742866</v>
      </c>
      <c r="H166">
        <f t="shared" si="151"/>
        <v>10.568806988742866</v>
      </c>
      <c r="I166" s="3"/>
      <c r="J166">
        <f t="shared" si="152"/>
        <v>5.7394974475204315</v>
      </c>
      <c r="K166">
        <f t="shared" si="153"/>
        <v>195.29817267373846</v>
      </c>
      <c r="L166">
        <f t="shared" si="154"/>
        <v>8.4362670684431063</v>
      </c>
      <c r="M166">
        <f t="shared" si="155"/>
        <v>8.4362670684431063</v>
      </c>
      <c r="N166">
        <f t="shared" si="156"/>
        <v>8.4362670684431063</v>
      </c>
      <c r="O166" s="3"/>
      <c r="P166">
        <f t="shared" si="157"/>
        <v>593.58958260344332</v>
      </c>
      <c r="Q166">
        <f t="shared" si="158"/>
        <v>1624.7976807564764</v>
      </c>
      <c r="R166">
        <f t="shared" si="159"/>
        <v>0</v>
      </c>
      <c r="S166">
        <f t="shared" si="160"/>
        <v>0</v>
      </c>
      <c r="T166">
        <v>50</v>
      </c>
      <c r="U166" s="3"/>
      <c r="V166">
        <f t="shared" si="161"/>
        <v>2268.3872633599199</v>
      </c>
      <c r="W166" s="3"/>
      <c r="X166">
        <f t="shared" si="162"/>
        <v>2982.5510033187506</v>
      </c>
      <c r="Y166">
        <f t="shared" si="163"/>
        <v>54.612736640080129</v>
      </c>
      <c r="AA166">
        <f t="shared" si="164"/>
        <v>5.7460281852129027E-5</v>
      </c>
    </row>
    <row r="167" spans="2:27" x14ac:dyDescent="0.35">
      <c r="B167">
        <v>128.6717752234994</v>
      </c>
      <c r="C167">
        <v>2364</v>
      </c>
      <c r="D167">
        <f t="shared" si="147"/>
        <v>7.5267017678874701</v>
      </c>
      <c r="E167">
        <f t="shared" si="148"/>
        <v>200.96994689255084</v>
      </c>
      <c r="F167">
        <f t="shared" si="149"/>
        <v>10.664592429355896</v>
      </c>
      <c r="G167">
        <f t="shared" si="150"/>
        <v>10.664592429355896</v>
      </c>
      <c r="H167">
        <f t="shared" si="151"/>
        <v>10.664592429355896</v>
      </c>
      <c r="I167" s="3"/>
      <c r="J167">
        <f t="shared" si="152"/>
        <v>5.7734346112166195</v>
      </c>
      <c r="K167">
        <f t="shared" si="153"/>
        <v>195.69339775527754</v>
      </c>
      <c r="L167">
        <f t="shared" si="154"/>
        <v>8.5219475311657362</v>
      </c>
      <c r="M167">
        <f t="shared" si="155"/>
        <v>8.5219475311657362</v>
      </c>
      <c r="N167">
        <f t="shared" si="156"/>
        <v>8.5219475311657362</v>
      </c>
      <c r="O167" s="3"/>
      <c r="P167">
        <f t="shared" si="157"/>
        <v>587.14376954046247</v>
      </c>
      <c r="Q167">
        <f t="shared" si="158"/>
        <v>1618.2580299426213</v>
      </c>
      <c r="R167">
        <f t="shared" si="159"/>
        <v>0</v>
      </c>
      <c r="S167">
        <f t="shared" si="160"/>
        <v>0</v>
      </c>
      <c r="T167">
        <v>50</v>
      </c>
      <c r="U167" s="3"/>
      <c r="V167">
        <f t="shared" si="161"/>
        <v>2255.4017994830838</v>
      </c>
      <c r="W167" s="3"/>
      <c r="X167">
        <f t="shared" si="162"/>
        <v>11793.569155512343</v>
      </c>
      <c r="Y167">
        <f t="shared" si="163"/>
        <v>108.59820051691622</v>
      </c>
      <c r="AA167">
        <f t="shared" si="164"/>
        <v>1.142605845127426E-4</v>
      </c>
    </row>
    <row r="168" spans="2:27" x14ac:dyDescent="0.35">
      <c r="B168">
        <v>129.62962962962965</v>
      </c>
      <c r="C168">
        <v>2291</v>
      </c>
      <c r="D168">
        <f t="shared" si="147"/>
        <v>7.5665344344527838</v>
      </c>
      <c r="E168">
        <f t="shared" si="148"/>
        <v>201.3671936300336</v>
      </c>
      <c r="F168">
        <f t="shared" si="149"/>
        <v>10.76037786996892</v>
      </c>
      <c r="G168">
        <f t="shared" si="150"/>
        <v>10.76037786996892</v>
      </c>
      <c r="H168">
        <f t="shared" si="151"/>
        <v>10.76037786996892</v>
      </c>
      <c r="I168" s="3"/>
      <c r="J168">
        <f t="shared" si="152"/>
        <v>5.8074012523965521</v>
      </c>
      <c r="K168">
        <f t="shared" si="153"/>
        <v>196.0886268949692</v>
      </c>
      <c r="L168">
        <f t="shared" si="154"/>
        <v>8.6077185620169576</v>
      </c>
      <c r="M168">
        <f t="shared" si="155"/>
        <v>8.6077185620169576</v>
      </c>
      <c r="N168">
        <f t="shared" si="156"/>
        <v>8.6077185620169576</v>
      </c>
      <c r="O168" s="3"/>
      <c r="P168">
        <f t="shared" si="157"/>
        <v>580.79713673293566</v>
      </c>
      <c r="Q168">
        <f t="shared" si="158"/>
        <v>1611.7577155376373</v>
      </c>
      <c r="R168">
        <f t="shared" si="159"/>
        <v>0</v>
      </c>
      <c r="S168">
        <f t="shared" si="160"/>
        <v>0</v>
      </c>
      <c r="T168">
        <v>50</v>
      </c>
      <c r="U168" s="3"/>
      <c r="V168">
        <f t="shared" si="161"/>
        <v>2242.5548522705731</v>
      </c>
      <c r="W168" s="3"/>
      <c r="X168">
        <f t="shared" si="162"/>
        <v>2346.932338526</v>
      </c>
      <c r="Y168">
        <f t="shared" si="163"/>
        <v>48.445147729426935</v>
      </c>
      <c r="AA168">
        <f t="shared" si="164"/>
        <v>5.0971110663184959E-5</v>
      </c>
    </row>
    <row r="169" spans="2:27" x14ac:dyDescent="0.35">
      <c r="B169">
        <v>130.90676883780333</v>
      </c>
      <c r="C169">
        <v>2287</v>
      </c>
      <c r="D169">
        <f t="shared" si="147"/>
        <v>7.619644656539867</v>
      </c>
      <c r="E169">
        <f t="shared" si="148"/>
        <v>201.89685594667728</v>
      </c>
      <c r="F169">
        <f t="shared" si="149"/>
        <v>10.888091790786287</v>
      </c>
      <c r="G169">
        <f t="shared" si="150"/>
        <v>10.888091790786287</v>
      </c>
      <c r="H169">
        <f t="shared" si="151"/>
        <v>10.888091790786287</v>
      </c>
      <c r="I169" s="3"/>
      <c r="J169">
        <f t="shared" si="152"/>
        <v>5.8527354980804738</v>
      </c>
      <c r="K169">
        <f t="shared" si="153"/>
        <v>196.61560536588905</v>
      </c>
      <c r="L169">
        <f t="shared" si="154"/>
        <v>8.7222182040198692</v>
      </c>
      <c r="M169">
        <f t="shared" si="155"/>
        <v>8.7222182040198692</v>
      </c>
      <c r="N169">
        <f t="shared" si="156"/>
        <v>8.7222182040198692</v>
      </c>
      <c r="O169" s="3"/>
      <c r="P169">
        <f t="shared" si="157"/>
        <v>572.48588587861775</v>
      </c>
      <c r="Q169">
        <f t="shared" si="158"/>
        <v>1603.1512765881894</v>
      </c>
      <c r="R169">
        <f t="shared" si="159"/>
        <v>0</v>
      </c>
      <c r="S169">
        <f t="shared" si="160"/>
        <v>0</v>
      </c>
      <c r="T169">
        <v>50</v>
      </c>
      <c r="U169" s="3"/>
      <c r="V169">
        <f t="shared" si="161"/>
        <v>2225.6371624668072</v>
      </c>
      <c r="W169" s="3"/>
      <c r="X169">
        <f t="shared" si="162"/>
        <v>3765.3978301250099</v>
      </c>
      <c r="Y169">
        <f t="shared" si="163"/>
        <v>61.36283753319276</v>
      </c>
      <c r="AA169">
        <f t="shared" si="164"/>
        <v>6.456233759426718E-5</v>
      </c>
    </row>
    <row r="170" spans="2:27" x14ac:dyDescent="0.35">
      <c r="B170">
        <v>131.86462324393364</v>
      </c>
      <c r="C170">
        <v>2261</v>
      </c>
      <c r="D170">
        <f t="shared" si="147"/>
        <v>7.6594773231051825</v>
      </c>
      <c r="E170">
        <f t="shared" si="148"/>
        <v>202.29410268416007</v>
      </c>
      <c r="F170">
        <f t="shared" si="149"/>
        <v>10.983877231399319</v>
      </c>
      <c r="G170">
        <f t="shared" si="150"/>
        <v>10.983877231399319</v>
      </c>
      <c r="H170">
        <f t="shared" si="151"/>
        <v>10.983877231399319</v>
      </c>
      <c r="I170" s="3"/>
      <c r="J170">
        <f t="shared" si="152"/>
        <v>5.8867698828570232</v>
      </c>
      <c r="K170">
        <f t="shared" si="153"/>
        <v>197.01084391169996</v>
      </c>
      <c r="L170">
        <f t="shared" si="154"/>
        <v>8.8081947245333332</v>
      </c>
      <c r="M170">
        <f t="shared" si="155"/>
        <v>8.8081947245333332</v>
      </c>
      <c r="N170">
        <f t="shared" si="156"/>
        <v>8.8081947245333332</v>
      </c>
      <c r="O170" s="3"/>
      <c r="P170">
        <f t="shared" si="157"/>
        <v>566.36319090054087</v>
      </c>
      <c r="Q170">
        <f t="shared" si="158"/>
        <v>1596.7415296771851</v>
      </c>
      <c r="R170">
        <f t="shared" si="159"/>
        <v>0</v>
      </c>
      <c r="S170">
        <f t="shared" si="160"/>
        <v>0</v>
      </c>
      <c r="T170">
        <v>50</v>
      </c>
      <c r="U170" s="3"/>
      <c r="V170">
        <f t="shared" si="161"/>
        <v>2213.1047205777259</v>
      </c>
      <c r="W170" s="3"/>
      <c r="X170">
        <f t="shared" si="162"/>
        <v>2293.9577909377172</v>
      </c>
      <c r="Y170">
        <f t="shared" si="163"/>
        <v>47.895279422274143</v>
      </c>
      <c r="AA170">
        <f t="shared" si="164"/>
        <v>5.0392571848717923E-5</v>
      </c>
    </row>
    <row r="171" spans="2:27" x14ac:dyDescent="0.35">
      <c r="B171">
        <v>132.82247765006389</v>
      </c>
      <c r="C171">
        <v>2297</v>
      </c>
      <c r="D171">
        <f t="shared" si="147"/>
        <v>7.6993099896704962</v>
      </c>
      <c r="E171">
        <f t="shared" si="148"/>
        <v>202.69134942164283</v>
      </c>
      <c r="F171">
        <f t="shared" si="149"/>
        <v>11.079662672012343</v>
      </c>
      <c r="G171">
        <f t="shared" si="150"/>
        <v>11.079662672012343</v>
      </c>
      <c r="H171">
        <f t="shared" si="151"/>
        <v>11.079662672012343</v>
      </c>
      <c r="I171" s="3"/>
      <c r="J171">
        <f t="shared" si="152"/>
        <v>5.9208328641569956</v>
      </c>
      <c r="K171">
        <f t="shared" si="153"/>
        <v>197.40608646197805</v>
      </c>
      <c r="L171">
        <f t="shared" si="154"/>
        <v>8.8942568961342907</v>
      </c>
      <c r="M171">
        <f t="shared" si="155"/>
        <v>8.8942568961342907</v>
      </c>
      <c r="N171">
        <f t="shared" si="156"/>
        <v>8.8942568961342907</v>
      </c>
      <c r="O171" s="3"/>
      <c r="P171">
        <f t="shared" si="157"/>
        <v>560.33337071139442</v>
      </c>
      <c r="Q171">
        <f t="shared" si="158"/>
        <v>1590.370083119687</v>
      </c>
      <c r="R171">
        <f t="shared" si="159"/>
        <v>0</v>
      </c>
      <c r="S171">
        <f t="shared" si="160"/>
        <v>0</v>
      </c>
      <c r="T171">
        <v>50</v>
      </c>
      <c r="U171" s="3"/>
      <c r="V171">
        <f t="shared" si="161"/>
        <v>2200.7034538310813</v>
      </c>
      <c r="W171" s="3"/>
      <c r="X171">
        <f t="shared" si="162"/>
        <v>9273.0248040626848</v>
      </c>
      <c r="Y171">
        <f t="shared" si="163"/>
        <v>96.296546168918667</v>
      </c>
      <c r="AA171">
        <f t="shared" si="164"/>
        <v>1.013175135448496E-4</v>
      </c>
    </row>
    <row r="172" spans="2:27" x14ac:dyDescent="0.35">
      <c r="B172">
        <v>133.78033205619414</v>
      </c>
      <c r="C172">
        <v>2182</v>
      </c>
      <c r="D172">
        <f t="shared" si="147"/>
        <v>7.7391426562358081</v>
      </c>
      <c r="E172">
        <f t="shared" si="148"/>
        <v>203.08859615912556</v>
      </c>
      <c r="F172">
        <f t="shared" si="149"/>
        <v>11.17544811262537</v>
      </c>
      <c r="G172">
        <f t="shared" si="150"/>
        <v>11.17544811262537</v>
      </c>
      <c r="H172">
        <f t="shared" si="151"/>
        <v>11.17544811262537</v>
      </c>
      <c r="I172" s="3"/>
      <c r="J172">
        <f t="shared" si="152"/>
        <v>5.9549241848525662</v>
      </c>
      <c r="K172">
        <f t="shared" si="153"/>
        <v>197.80133300082505</v>
      </c>
      <c r="L172">
        <f t="shared" si="154"/>
        <v>8.9804033183619207</v>
      </c>
      <c r="M172">
        <f t="shared" si="155"/>
        <v>8.9804033183619207</v>
      </c>
      <c r="N172">
        <f t="shared" si="156"/>
        <v>8.9804033183619207</v>
      </c>
      <c r="O172" s="3"/>
      <c r="P172">
        <f t="shared" si="157"/>
        <v>554.39462881992608</v>
      </c>
      <c r="Q172">
        <f t="shared" si="158"/>
        <v>1584.0366327615964</v>
      </c>
      <c r="R172">
        <f t="shared" si="159"/>
        <v>0</v>
      </c>
      <c r="S172">
        <f t="shared" si="160"/>
        <v>0</v>
      </c>
      <c r="T172">
        <v>50</v>
      </c>
      <c r="U172" s="3"/>
      <c r="V172">
        <f t="shared" si="161"/>
        <v>2188.4312615815224</v>
      </c>
      <c r="W172" s="3"/>
      <c r="X172">
        <f t="shared" si="162"/>
        <v>41.361125529966628</v>
      </c>
      <c r="Y172">
        <f t="shared" si="163"/>
        <v>6.431261581522449</v>
      </c>
      <c r="AA172">
        <f t="shared" si="164"/>
        <v>6.7665919321069715E-6</v>
      </c>
    </row>
    <row r="173" spans="2:27" x14ac:dyDescent="0.35">
      <c r="B173">
        <v>134.73818646232442</v>
      </c>
      <c r="C173">
        <v>2229</v>
      </c>
      <c r="D173">
        <f t="shared" si="147"/>
        <v>7.7789753228011236</v>
      </c>
      <c r="E173">
        <f t="shared" si="148"/>
        <v>203.48584289660835</v>
      </c>
      <c r="F173">
        <f t="shared" si="149"/>
        <v>11.271233553238398</v>
      </c>
      <c r="G173">
        <f t="shared" si="150"/>
        <v>11.271233553238398</v>
      </c>
      <c r="H173">
        <f t="shared" si="151"/>
        <v>11.271233553238398</v>
      </c>
      <c r="I173" s="3"/>
      <c r="J173">
        <f t="shared" si="152"/>
        <v>5.9890435910297208</v>
      </c>
      <c r="K173">
        <f t="shared" si="153"/>
        <v>198.19658351243703</v>
      </c>
      <c r="L173">
        <f t="shared" si="154"/>
        <v>9.0666326233852867</v>
      </c>
      <c r="M173">
        <f t="shared" si="155"/>
        <v>9.0666326233852867</v>
      </c>
      <c r="N173">
        <f t="shared" si="156"/>
        <v>9.0666326233852867</v>
      </c>
      <c r="O173" s="3"/>
      <c r="P173">
        <f t="shared" si="157"/>
        <v>548.54521054238046</v>
      </c>
      <c r="Q173">
        <f t="shared" si="158"/>
        <v>1577.7408774590278</v>
      </c>
      <c r="R173">
        <f t="shared" si="159"/>
        <v>0</v>
      </c>
      <c r="S173">
        <f t="shared" si="160"/>
        <v>0</v>
      </c>
      <c r="T173">
        <v>50</v>
      </c>
      <c r="U173" s="3"/>
      <c r="V173">
        <f t="shared" si="161"/>
        <v>2176.2860880014082</v>
      </c>
      <c r="W173" s="3"/>
      <c r="X173">
        <f t="shared" si="162"/>
        <v>2778.7565181952818</v>
      </c>
      <c r="Y173">
        <f t="shared" si="163"/>
        <v>52.713911998591811</v>
      </c>
      <c r="AA173">
        <f t="shared" si="164"/>
        <v>5.5462451203085642E-5</v>
      </c>
    </row>
    <row r="174" spans="2:27" x14ac:dyDescent="0.35">
      <c r="B174">
        <v>135.69604086845465</v>
      </c>
      <c r="C174">
        <v>2210</v>
      </c>
      <c r="D174">
        <f t="shared" si="147"/>
        <v>7.8188079893664355</v>
      </c>
      <c r="E174">
        <f t="shared" si="148"/>
        <v>203.88308963409108</v>
      </c>
      <c r="F174">
        <f t="shared" si="149"/>
        <v>11.367018993851421</v>
      </c>
      <c r="G174">
        <f t="shared" si="150"/>
        <v>11.367018993851421</v>
      </c>
      <c r="H174">
        <f t="shared" si="151"/>
        <v>11.367018993851421</v>
      </c>
      <c r="I174" s="3"/>
      <c r="J174">
        <f t="shared" si="152"/>
        <v>6.0231908319385168</v>
      </c>
      <c r="K174">
        <f t="shared" si="153"/>
        <v>198.59183798110348</v>
      </c>
      <c r="L174">
        <f t="shared" si="154"/>
        <v>9.1529434750348866</v>
      </c>
      <c r="M174">
        <f t="shared" si="155"/>
        <v>9.1529434750348866</v>
      </c>
      <c r="N174">
        <f t="shared" si="156"/>
        <v>9.1529434750348866</v>
      </c>
      <c r="O174" s="3"/>
      <c r="P174">
        <f t="shared" si="157"/>
        <v>542.78340187445303</v>
      </c>
      <c r="Q174">
        <f t="shared" si="158"/>
        <v>1571.4825190426593</v>
      </c>
      <c r="R174">
        <f t="shared" si="159"/>
        <v>0</v>
      </c>
      <c r="S174">
        <f t="shared" si="160"/>
        <v>0</v>
      </c>
      <c r="T174">
        <v>50</v>
      </c>
      <c r="U174" s="3"/>
      <c r="V174">
        <f t="shared" si="161"/>
        <v>2164.2659209171125</v>
      </c>
      <c r="W174" s="3"/>
      <c r="X174">
        <f t="shared" si="162"/>
        <v>2091.6059895598123</v>
      </c>
      <c r="Y174">
        <f t="shared" si="163"/>
        <v>45.734079082887547</v>
      </c>
      <c r="AA174">
        <f t="shared" si="164"/>
        <v>4.8118685054534952E-5</v>
      </c>
    </row>
    <row r="175" spans="2:27" x14ac:dyDescent="0.35">
      <c r="B175">
        <v>136.65389527458495</v>
      </c>
      <c r="C175">
        <v>2156</v>
      </c>
      <c r="D175">
        <f t="shared" si="147"/>
        <v>7.858640655931751</v>
      </c>
      <c r="E175">
        <f t="shared" si="148"/>
        <v>204.28033637157387</v>
      </c>
      <c r="F175">
        <f t="shared" si="149"/>
        <v>11.46280443446445</v>
      </c>
      <c r="G175">
        <f t="shared" si="150"/>
        <v>11.46280443446445</v>
      </c>
      <c r="H175">
        <f t="shared" si="151"/>
        <v>11.46280443446445</v>
      </c>
      <c r="I175" s="3"/>
      <c r="J175">
        <f t="shared" si="152"/>
        <v>6.0573656599442804</v>
      </c>
      <c r="K175">
        <f t="shared" si="153"/>
        <v>198.98709639120696</v>
      </c>
      <c r="L175">
        <f t="shared" si="154"/>
        <v>9.239334567868605</v>
      </c>
      <c r="M175">
        <f t="shared" si="155"/>
        <v>9.239334567868605</v>
      </c>
      <c r="N175">
        <f t="shared" si="156"/>
        <v>9.239334567868605</v>
      </c>
      <c r="O175" s="3"/>
      <c r="P175">
        <f t="shared" si="157"/>
        <v>537.10752839762517</v>
      </c>
      <c r="Q175">
        <f t="shared" si="158"/>
        <v>1565.2612622825702</v>
      </c>
      <c r="R175">
        <f t="shared" si="159"/>
        <v>0</v>
      </c>
      <c r="S175">
        <f t="shared" si="160"/>
        <v>0</v>
      </c>
      <c r="T175">
        <v>50</v>
      </c>
      <c r="U175" s="3"/>
      <c r="V175">
        <f t="shared" si="161"/>
        <v>2152.3687906801952</v>
      </c>
      <c r="W175" s="3"/>
      <c r="X175">
        <f t="shared" si="162"/>
        <v>13.18568112423752</v>
      </c>
      <c r="Y175">
        <f t="shared" si="163"/>
        <v>3.6312093198048387</v>
      </c>
      <c r="AA175">
        <f t="shared" si="164"/>
        <v>3.8205430420957132E-6</v>
      </c>
    </row>
    <row r="176" spans="2:27" x14ac:dyDescent="0.35">
      <c r="B176">
        <v>137.93103448275863</v>
      </c>
      <c r="C176">
        <v>2137</v>
      </c>
      <c r="D176">
        <f t="shared" si="147"/>
        <v>7.9117508780188341</v>
      </c>
      <c r="E176">
        <f t="shared" si="148"/>
        <v>204.80999868821755</v>
      </c>
      <c r="F176">
        <f t="shared" si="149"/>
        <v>11.590518355281819</v>
      </c>
      <c r="G176">
        <f t="shared" si="150"/>
        <v>11.590518355281819</v>
      </c>
      <c r="H176">
        <f t="shared" si="151"/>
        <v>11.590518355281819</v>
      </c>
      <c r="I176" s="3"/>
      <c r="J176">
        <f t="shared" si="152"/>
        <v>6.102974588274078</v>
      </c>
      <c r="K176">
        <f t="shared" si="153"/>
        <v>199.51411370898154</v>
      </c>
      <c r="L176">
        <f t="shared" si="154"/>
        <v>9.354645310685493</v>
      </c>
      <c r="M176">
        <f t="shared" si="155"/>
        <v>9.354645310685493</v>
      </c>
      <c r="N176">
        <f t="shared" si="156"/>
        <v>9.354645310685493</v>
      </c>
      <c r="O176" s="3"/>
      <c r="P176">
        <f t="shared" si="157"/>
        <v>529.67055200958464</v>
      </c>
      <c r="Q176">
        <f t="shared" si="158"/>
        <v>1557.0234621173493</v>
      </c>
      <c r="R176">
        <f t="shared" si="159"/>
        <v>0</v>
      </c>
      <c r="S176">
        <f t="shared" si="160"/>
        <v>0</v>
      </c>
      <c r="T176">
        <v>50</v>
      </c>
      <c r="U176" s="3"/>
      <c r="V176">
        <f t="shared" si="161"/>
        <v>2136.6940141269338</v>
      </c>
      <c r="W176" s="3"/>
      <c r="X176">
        <f t="shared" si="162"/>
        <v>9.3627354516096856E-2</v>
      </c>
      <c r="Y176">
        <f t="shared" si="163"/>
        <v>0.30598587306621994</v>
      </c>
      <c r="AA176">
        <f t="shared" si="164"/>
        <v>3.21940184485305E-7</v>
      </c>
    </row>
    <row r="177" spans="2:27" x14ac:dyDescent="0.35">
      <c r="B177">
        <v>138.88888888888889</v>
      </c>
      <c r="C177">
        <v>2148</v>
      </c>
      <c r="D177">
        <f t="shared" si="147"/>
        <v>7.9515835445841478</v>
      </c>
      <c r="E177">
        <f t="shared" si="148"/>
        <v>205.20724542570031</v>
      </c>
      <c r="F177">
        <f t="shared" si="149"/>
        <v>11.686303795894844</v>
      </c>
      <c r="G177">
        <f t="shared" si="150"/>
        <v>11.686303795894844</v>
      </c>
      <c r="H177">
        <f t="shared" si="151"/>
        <v>11.686303795894844</v>
      </c>
      <c r="I177" s="3"/>
      <c r="J177">
        <f t="shared" si="152"/>
        <v>6.137212840290756</v>
      </c>
      <c r="K177">
        <f t="shared" si="153"/>
        <v>199.90938125555249</v>
      </c>
      <c r="L177">
        <f t="shared" si="154"/>
        <v>9.4412187221479211</v>
      </c>
      <c r="M177">
        <f t="shared" si="155"/>
        <v>9.4412187221479211</v>
      </c>
      <c r="N177">
        <f t="shared" si="156"/>
        <v>9.4412187221479211</v>
      </c>
      <c r="O177" s="3"/>
      <c r="P177">
        <f t="shared" si="157"/>
        <v>524.18889683739269</v>
      </c>
      <c r="Q177">
        <f t="shared" si="158"/>
        <v>1550.8876440249339</v>
      </c>
      <c r="R177">
        <f t="shared" si="159"/>
        <v>0</v>
      </c>
      <c r="S177">
        <f t="shared" si="160"/>
        <v>0</v>
      </c>
      <c r="T177">
        <v>50</v>
      </c>
      <c r="U177" s="3"/>
      <c r="V177">
        <f t="shared" si="161"/>
        <v>2125.0765408623265</v>
      </c>
      <c r="W177" s="3"/>
      <c r="X177">
        <f t="shared" si="162"/>
        <v>525.48497883658627</v>
      </c>
      <c r="Y177">
        <f t="shared" si="163"/>
        <v>22.92345913767349</v>
      </c>
      <c r="AA177">
        <f t="shared" si="164"/>
        <v>2.4118703879596477E-5</v>
      </c>
    </row>
    <row r="178" spans="2:27" x14ac:dyDescent="0.35">
      <c r="B178">
        <v>139.84674329501919</v>
      </c>
      <c r="C178">
        <v>2138</v>
      </c>
      <c r="D178">
        <f t="shared" si="147"/>
        <v>7.9914162111494633</v>
      </c>
      <c r="E178">
        <f t="shared" si="148"/>
        <v>205.60449216318307</v>
      </c>
      <c r="F178">
        <f t="shared" si="149"/>
        <v>11.782089236507876</v>
      </c>
      <c r="G178">
        <f t="shared" si="150"/>
        <v>11.782089236507876</v>
      </c>
      <c r="H178">
        <f t="shared" si="151"/>
        <v>11.782089236507876</v>
      </c>
      <c r="I178" s="3"/>
      <c r="J178">
        <f t="shared" si="152"/>
        <v>6.1714778758450635</v>
      </c>
      <c r="K178">
        <f t="shared" si="153"/>
        <v>200.30465269216319</v>
      </c>
      <c r="L178">
        <f t="shared" si="154"/>
        <v>9.5278682339055081</v>
      </c>
      <c r="M178">
        <f t="shared" si="155"/>
        <v>9.5278682339055081</v>
      </c>
      <c r="N178">
        <f t="shared" si="156"/>
        <v>9.5278682339055081</v>
      </c>
      <c r="O178" s="3"/>
      <c r="P178">
        <f t="shared" si="157"/>
        <v>518.78786798154056</v>
      </c>
      <c r="Q178">
        <f t="shared" si="158"/>
        <v>1544.7879642764296</v>
      </c>
      <c r="R178">
        <f t="shared" si="159"/>
        <v>0</v>
      </c>
      <c r="S178">
        <f t="shared" si="160"/>
        <v>0</v>
      </c>
      <c r="T178">
        <v>50</v>
      </c>
      <c r="U178" s="3"/>
      <c r="V178">
        <f t="shared" si="161"/>
        <v>2113.5758322579704</v>
      </c>
      <c r="W178" s="3"/>
      <c r="X178">
        <f t="shared" si="162"/>
        <v>596.53996989079769</v>
      </c>
      <c r="Y178">
        <f t="shared" si="163"/>
        <v>24.424167742029567</v>
      </c>
      <c r="AA178">
        <f t="shared" si="164"/>
        <v>2.5697660450707593E-5</v>
      </c>
    </row>
    <row r="179" spans="2:27" x14ac:dyDescent="0.35">
      <c r="B179">
        <v>140.80459770114945</v>
      </c>
      <c r="C179">
        <v>2128</v>
      </c>
      <c r="D179">
        <f t="shared" si="147"/>
        <v>8.0312488777147752</v>
      </c>
      <c r="E179">
        <f t="shared" si="148"/>
        <v>206.00173890066583</v>
      </c>
      <c r="F179">
        <f t="shared" si="149"/>
        <v>11.8778746771209</v>
      </c>
      <c r="G179">
        <f t="shared" si="150"/>
        <v>11.8778746771209</v>
      </c>
      <c r="H179">
        <f t="shared" si="151"/>
        <v>11.8778746771209</v>
      </c>
      <c r="I179" s="3"/>
      <c r="J179">
        <f t="shared" si="152"/>
        <v>6.2057694602583275</v>
      </c>
      <c r="K179">
        <f t="shared" si="153"/>
        <v>200.69992800359012</v>
      </c>
      <c r="L179">
        <f t="shared" si="154"/>
        <v>9.6145926636523118</v>
      </c>
      <c r="M179">
        <f t="shared" si="155"/>
        <v>9.6145926636523118</v>
      </c>
      <c r="N179">
        <f t="shared" si="156"/>
        <v>9.6145926636523118</v>
      </c>
      <c r="O179" s="3"/>
      <c r="P179">
        <f t="shared" si="157"/>
        <v>513.4659507123414</v>
      </c>
      <c r="Q179">
        <f t="shared" si="158"/>
        <v>1538.7241399846955</v>
      </c>
      <c r="R179">
        <f t="shared" si="159"/>
        <v>0</v>
      </c>
      <c r="S179">
        <f t="shared" si="160"/>
        <v>0</v>
      </c>
      <c r="T179">
        <v>50</v>
      </c>
      <c r="U179" s="3"/>
      <c r="V179">
        <f t="shared" si="161"/>
        <v>2102.1900906970368</v>
      </c>
      <c r="W179" s="3"/>
      <c r="X179">
        <f t="shared" si="162"/>
        <v>666.15141822718658</v>
      </c>
      <c r="Y179">
        <f t="shared" si="163"/>
        <v>25.809909302963206</v>
      </c>
      <c r="AA179">
        <f t="shared" si="164"/>
        <v>2.715565551860206E-5</v>
      </c>
    </row>
    <row r="180" spans="2:27" x14ac:dyDescent="0.35">
      <c r="B180">
        <v>141.76245210727973</v>
      </c>
      <c r="C180">
        <v>2165</v>
      </c>
      <c r="D180">
        <f t="shared" si="147"/>
        <v>8.0710815442800889</v>
      </c>
      <c r="E180">
        <f t="shared" si="148"/>
        <v>206.39898563814859</v>
      </c>
      <c r="F180">
        <f t="shared" si="149"/>
        <v>11.973660117733928</v>
      </c>
      <c r="G180">
        <f t="shared" si="150"/>
        <v>11.973660117733928</v>
      </c>
      <c r="H180">
        <f t="shared" si="151"/>
        <v>11.973660117733928</v>
      </c>
      <c r="I180" s="3"/>
      <c r="J180">
        <f t="shared" si="152"/>
        <v>6.2400873617209607</v>
      </c>
      <c r="K180">
        <f t="shared" si="153"/>
        <v>201.09520717469874</v>
      </c>
      <c r="L180">
        <f t="shared" si="154"/>
        <v>9.7013908553536812</v>
      </c>
      <c r="M180">
        <f t="shared" si="155"/>
        <v>9.7013908553536812</v>
      </c>
      <c r="N180">
        <f t="shared" si="156"/>
        <v>9.7013908553536812</v>
      </c>
      <c r="O180" s="3"/>
      <c r="P180">
        <f t="shared" si="157"/>
        <v>508.22166458776383</v>
      </c>
      <c r="Q180">
        <f t="shared" si="158"/>
        <v>1532.6958910224664</v>
      </c>
      <c r="R180">
        <f t="shared" si="159"/>
        <v>0</v>
      </c>
      <c r="S180">
        <f t="shared" si="160"/>
        <v>0</v>
      </c>
      <c r="T180">
        <v>50</v>
      </c>
      <c r="U180" s="3"/>
      <c r="V180">
        <f t="shared" si="161"/>
        <v>2090.91755561023</v>
      </c>
      <c r="W180" s="3"/>
      <c r="X180">
        <f t="shared" si="162"/>
        <v>5488.2085667633628</v>
      </c>
      <c r="Y180">
        <f t="shared" si="163"/>
        <v>74.082444389769989</v>
      </c>
      <c r="AA180">
        <f t="shared" si="164"/>
        <v>7.7945153398645227E-5</v>
      </c>
    </row>
    <row r="181" spans="2:27" x14ac:dyDescent="0.35">
      <c r="B181">
        <v>142.72030651340998</v>
      </c>
      <c r="C181">
        <v>2147</v>
      </c>
      <c r="D181">
        <f t="shared" si="147"/>
        <v>8.1109142108454026</v>
      </c>
      <c r="E181">
        <f t="shared" si="148"/>
        <v>206.79623237563135</v>
      </c>
      <c r="F181">
        <f t="shared" si="149"/>
        <v>12.069445558346953</v>
      </c>
      <c r="G181">
        <f t="shared" si="150"/>
        <v>12.069445558346953</v>
      </c>
      <c r="H181">
        <f t="shared" si="151"/>
        <v>12.069445558346953</v>
      </c>
      <c r="I181" s="3"/>
      <c r="J181">
        <f t="shared" si="152"/>
        <v>6.2744313512488405</v>
      </c>
      <c r="K181">
        <f t="shared" si="153"/>
        <v>201.49049019044298</v>
      </c>
      <c r="L181">
        <f t="shared" si="154"/>
        <v>9.7882616784998753</v>
      </c>
      <c r="M181">
        <f t="shared" si="155"/>
        <v>9.7882616784998753</v>
      </c>
      <c r="N181">
        <f t="shared" si="156"/>
        <v>9.7882616784998753</v>
      </c>
      <c r="O181" s="3"/>
      <c r="P181">
        <f t="shared" si="157"/>
        <v>503.05356255229384</v>
      </c>
      <c r="Q181">
        <f t="shared" si="158"/>
        <v>1526.7029399901282</v>
      </c>
      <c r="R181">
        <f t="shared" si="159"/>
        <v>0</v>
      </c>
      <c r="S181">
        <f t="shared" si="160"/>
        <v>0</v>
      </c>
      <c r="T181">
        <v>50</v>
      </c>
      <c r="U181" s="3"/>
      <c r="V181">
        <f t="shared" si="161"/>
        <v>2079.7565025424219</v>
      </c>
      <c r="W181" s="3"/>
      <c r="X181">
        <f t="shared" si="162"/>
        <v>4521.6879503273103</v>
      </c>
      <c r="Y181">
        <f t="shared" si="163"/>
        <v>67.243497457578087</v>
      </c>
      <c r="AA181">
        <f t="shared" si="164"/>
        <v>7.074961912455609E-5</v>
      </c>
    </row>
    <row r="182" spans="2:27" x14ac:dyDescent="0.35">
      <c r="B182">
        <v>143.99744572158369</v>
      </c>
      <c r="C182">
        <v>2054</v>
      </c>
      <c r="D182">
        <f t="shared" si="147"/>
        <v>8.1640244329324876</v>
      </c>
      <c r="E182">
        <f t="shared" si="148"/>
        <v>207.32589469227506</v>
      </c>
      <c r="F182">
        <f t="shared" si="149"/>
        <v>12.197159479164323</v>
      </c>
      <c r="G182">
        <f t="shared" si="150"/>
        <v>12.197159479164323</v>
      </c>
      <c r="H182">
        <f t="shared" si="151"/>
        <v>12.197159479164323</v>
      </c>
      <c r="I182" s="3"/>
      <c r="J182">
        <f t="shared" si="152"/>
        <v>6.3202635281508197</v>
      </c>
      <c r="K182">
        <f t="shared" si="153"/>
        <v>202.01754016613793</v>
      </c>
      <c r="L182">
        <f t="shared" si="154"/>
        <v>9.9042005173313772</v>
      </c>
      <c r="M182">
        <f t="shared" si="155"/>
        <v>9.9042005173313772</v>
      </c>
      <c r="N182">
        <f t="shared" si="156"/>
        <v>9.9042005173313772</v>
      </c>
      <c r="O182" s="3"/>
      <c r="P182">
        <f t="shared" si="157"/>
        <v>496.27882810823223</v>
      </c>
      <c r="Q182">
        <f t="shared" si="158"/>
        <v>1518.7667720923982</v>
      </c>
      <c r="R182">
        <f t="shared" si="159"/>
        <v>0</v>
      </c>
      <c r="S182">
        <f t="shared" si="160"/>
        <v>0</v>
      </c>
      <c r="T182">
        <v>50</v>
      </c>
      <c r="U182" s="3"/>
      <c r="V182">
        <f t="shared" si="161"/>
        <v>2065.0456002006304</v>
      </c>
      <c r="W182" s="3"/>
      <c r="X182">
        <f t="shared" si="162"/>
        <v>122.00528379216546</v>
      </c>
      <c r="Y182">
        <f t="shared" si="163"/>
        <v>11.045600200630361</v>
      </c>
      <c r="AA182">
        <f t="shared" si="164"/>
        <v>1.1621525303464855E-5</v>
      </c>
    </row>
    <row r="183" spans="2:27" x14ac:dyDescent="0.35">
      <c r="B183">
        <v>144.95530012771394</v>
      </c>
      <c r="C183">
        <v>2105</v>
      </c>
      <c r="D183">
        <f t="shared" si="147"/>
        <v>8.2038570994978013</v>
      </c>
      <c r="E183">
        <f t="shared" si="148"/>
        <v>207.72314142975782</v>
      </c>
      <c r="F183">
        <f t="shared" si="149"/>
        <v>12.29294491977735</v>
      </c>
      <c r="G183">
        <f t="shared" si="150"/>
        <v>12.29294491977735</v>
      </c>
      <c r="H183">
        <f t="shared" si="151"/>
        <v>12.29294491977735</v>
      </c>
      <c r="I183" s="3"/>
      <c r="J183">
        <f t="shared" si="152"/>
        <v>6.3546675148892193</v>
      </c>
      <c r="K183">
        <f t="shared" si="153"/>
        <v>202.41283209467693</v>
      </c>
      <c r="L183">
        <f t="shared" si="154"/>
        <v>9.991236555452355</v>
      </c>
      <c r="M183">
        <f t="shared" si="155"/>
        <v>9.991236555452355</v>
      </c>
      <c r="N183">
        <f t="shared" si="156"/>
        <v>9.991236555452355</v>
      </c>
      <c r="O183" s="3"/>
      <c r="P183">
        <f t="shared" si="157"/>
        <v>491.28304255386723</v>
      </c>
      <c r="Q183">
        <f t="shared" si="158"/>
        <v>1512.8551192050099</v>
      </c>
      <c r="R183">
        <f t="shared" si="159"/>
        <v>0</v>
      </c>
      <c r="S183">
        <f t="shared" si="160"/>
        <v>0</v>
      </c>
      <c r="T183">
        <v>50</v>
      </c>
      <c r="U183" s="3"/>
      <c r="V183">
        <f t="shared" si="161"/>
        <v>2054.1381617588772</v>
      </c>
      <c r="W183" s="3"/>
      <c r="X183">
        <f t="shared" si="162"/>
        <v>2586.9265892661383</v>
      </c>
      <c r="Y183">
        <f t="shared" si="163"/>
        <v>50.861838241122769</v>
      </c>
      <c r="AA183">
        <f t="shared" si="164"/>
        <v>5.3513809060933748E-5</v>
      </c>
    </row>
    <row r="184" spans="2:27" x14ac:dyDescent="0.35">
      <c r="B184">
        <v>145.91315453384422</v>
      </c>
      <c r="C184">
        <v>1999</v>
      </c>
      <c r="D184">
        <f t="shared" si="147"/>
        <v>8.243689766063115</v>
      </c>
      <c r="E184">
        <f t="shared" si="148"/>
        <v>208.12038816724058</v>
      </c>
      <c r="F184">
        <f t="shared" si="149"/>
        <v>12.388730360390378</v>
      </c>
      <c r="G184">
        <f t="shared" si="150"/>
        <v>12.388730360390378</v>
      </c>
      <c r="H184">
        <f t="shared" si="151"/>
        <v>12.388730360390378</v>
      </c>
      <c r="I184" s="3"/>
      <c r="J184">
        <f t="shared" si="152"/>
        <v>6.3890968462741569</v>
      </c>
      <c r="K184">
        <f t="shared" si="153"/>
        <v>202.80812781832702</v>
      </c>
      <c r="L184">
        <f t="shared" si="154"/>
        <v>10.078341631924564</v>
      </c>
      <c r="M184">
        <f t="shared" si="155"/>
        <v>10.078341631924564</v>
      </c>
      <c r="N184">
        <f t="shared" si="156"/>
        <v>10.078341631924564</v>
      </c>
      <c r="O184" s="3"/>
      <c r="P184">
        <f t="shared" si="157"/>
        <v>486.3588476613254</v>
      </c>
      <c r="Q184">
        <f t="shared" si="158"/>
        <v>1506.9778588769802</v>
      </c>
      <c r="R184">
        <f t="shared" si="159"/>
        <v>0</v>
      </c>
      <c r="S184">
        <f t="shared" si="160"/>
        <v>0</v>
      </c>
      <c r="T184">
        <v>50</v>
      </c>
      <c r="U184" s="3"/>
      <c r="V184">
        <f t="shared" si="161"/>
        <v>2043.3367065383056</v>
      </c>
      <c r="W184" s="3"/>
      <c r="X184">
        <f t="shared" si="162"/>
        <v>1965.7435466638335</v>
      </c>
      <c r="Y184">
        <f t="shared" si="163"/>
        <v>44.336706538305634</v>
      </c>
      <c r="AA184">
        <f t="shared" si="164"/>
        <v>4.6648452555598496E-5</v>
      </c>
    </row>
    <row r="185" spans="2:27" x14ac:dyDescent="0.35">
      <c r="B185">
        <v>146.87100893997444</v>
      </c>
      <c r="C185">
        <v>2057</v>
      </c>
      <c r="D185">
        <f t="shared" si="147"/>
        <v>8.2835224326284269</v>
      </c>
      <c r="E185">
        <f t="shared" si="148"/>
        <v>208.51763490472331</v>
      </c>
      <c r="F185">
        <f t="shared" si="149"/>
        <v>12.484515801003401</v>
      </c>
      <c r="G185">
        <f t="shared" si="150"/>
        <v>12.484515801003401</v>
      </c>
      <c r="H185">
        <f t="shared" si="151"/>
        <v>12.484515801003401</v>
      </c>
      <c r="I185" s="3"/>
      <c r="J185">
        <f t="shared" si="152"/>
        <v>6.4235513050796937</v>
      </c>
      <c r="K185">
        <f t="shared" si="153"/>
        <v>203.20342732241704</v>
      </c>
      <c r="L185">
        <f t="shared" si="154"/>
        <v>10.165514718823065</v>
      </c>
      <c r="M185">
        <f t="shared" si="155"/>
        <v>10.165514718823065</v>
      </c>
      <c r="N185">
        <f t="shared" si="156"/>
        <v>10.165514718823065</v>
      </c>
      <c r="O185" s="3"/>
      <c r="P185">
        <f t="shared" si="157"/>
        <v>481.50493127286666</v>
      </c>
      <c r="Q185">
        <f t="shared" si="158"/>
        <v>1501.1347251667323</v>
      </c>
      <c r="R185">
        <f t="shared" si="159"/>
        <v>0</v>
      </c>
      <c r="S185">
        <f t="shared" si="160"/>
        <v>0</v>
      </c>
      <c r="T185">
        <v>50</v>
      </c>
      <c r="U185" s="3"/>
      <c r="V185">
        <f t="shared" si="161"/>
        <v>2032.6396564395991</v>
      </c>
      <c r="W185" s="3"/>
      <c r="X185">
        <f t="shared" si="162"/>
        <v>593.42633838076586</v>
      </c>
      <c r="Y185">
        <f t="shared" si="163"/>
        <v>24.360343560400906</v>
      </c>
      <c r="AA185">
        <f t="shared" si="164"/>
        <v>2.5630508432863594E-5</v>
      </c>
    </row>
    <row r="186" spans="2:27" x14ac:dyDescent="0.35">
      <c r="B186">
        <v>147.82886334610475</v>
      </c>
      <c r="C186">
        <v>1987</v>
      </c>
      <c r="D186">
        <f t="shared" si="147"/>
        <v>8.3233550991937424</v>
      </c>
      <c r="E186">
        <f t="shared" si="148"/>
        <v>208.9148816422061</v>
      </c>
      <c r="F186">
        <f t="shared" si="149"/>
        <v>12.58030124161643</v>
      </c>
      <c r="G186">
        <f t="shared" si="150"/>
        <v>12.58030124161643</v>
      </c>
      <c r="H186">
        <f t="shared" si="151"/>
        <v>12.58030124161643</v>
      </c>
      <c r="I186" s="3"/>
      <c r="J186">
        <f t="shared" si="152"/>
        <v>6.4580306766853877</v>
      </c>
      <c r="K186">
        <f t="shared" si="153"/>
        <v>203.59873059236077</v>
      </c>
      <c r="L186">
        <f t="shared" si="154"/>
        <v>10.25275481017386</v>
      </c>
      <c r="M186">
        <f t="shared" si="155"/>
        <v>10.25275481017386</v>
      </c>
      <c r="N186">
        <f t="shared" si="156"/>
        <v>10.25275481017386</v>
      </c>
      <c r="O186" s="3"/>
      <c r="P186">
        <f t="shared" si="157"/>
        <v>476.72001024282304</v>
      </c>
      <c r="Q186">
        <f t="shared" si="158"/>
        <v>1495.3254546957246</v>
      </c>
      <c r="R186">
        <f t="shared" si="159"/>
        <v>0</v>
      </c>
      <c r="S186">
        <f t="shared" si="160"/>
        <v>0</v>
      </c>
      <c r="T186">
        <v>50</v>
      </c>
      <c r="U186" s="3"/>
      <c r="V186">
        <f t="shared" si="161"/>
        <v>2022.0454649385476</v>
      </c>
      <c r="W186" s="3"/>
      <c r="X186">
        <f t="shared" si="162"/>
        <v>1228.1846127589718</v>
      </c>
      <c r="Y186">
        <f t="shared" si="163"/>
        <v>35.045464938547639</v>
      </c>
      <c r="AA186">
        <f t="shared" si="164"/>
        <v>3.6872759303000902E-5</v>
      </c>
    </row>
    <row r="187" spans="2:27" x14ac:dyDescent="0.35">
      <c r="B187">
        <v>148.78671775223503</v>
      </c>
      <c r="C187">
        <v>2006</v>
      </c>
      <c r="D187">
        <f t="shared" si="147"/>
        <v>8.3631877657590561</v>
      </c>
      <c r="E187">
        <f t="shared" si="148"/>
        <v>209.31212837968889</v>
      </c>
      <c r="F187">
        <f t="shared" si="149"/>
        <v>12.676086682229458</v>
      </c>
      <c r="G187">
        <f t="shared" si="150"/>
        <v>12.676086682229458</v>
      </c>
      <c r="H187">
        <f t="shared" si="151"/>
        <v>12.676086682229458</v>
      </c>
      <c r="I187" s="3"/>
      <c r="J187">
        <f t="shared" si="152"/>
        <v>6.4925347490372829</v>
      </c>
      <c r="K187">
        <f t="shared" si="153"/>
        <v>203.99403761365585</v>
      </c>
      <c r="L187">
        <f t="shared" si="154"/>
        <v>10.340060921352904</v>
      </c>
      <c r="M187">
        <f t="shared" si="155"/>
        <v>10.340060921352904</v>
      </c>
      <c r="N187">
        <f t="shared" si="156"/>
        <v>10.340060921352904</v>
      </c>
      <c r="O187" s="3"/>
      <c r="P187">
        <f t="shared" si="157"/>
        <v>472.00282969199259</v>
      </c>
      <c r="Q187">
        <f t="shared" si="158"/>
        <v>1489.5497866188919</v>
      </c>
      <c r="R187">
        <f t="shared" si="159"/>
        <v>0</v>
      </c>
      <c r="S187">
        <f t="shared" si="160"/>
        <v>0</v>
      </c>
      <c r="T187">
        <v>50</v>
      </c>
      <c r="U187" s="3"/>
      <c r="V187">
        <f t="shared" si="161"/>
        <v>2011.5526163108843</v>
      </c>
      <c r="W187" s="3"/>
      <c r="X187">
        <f t="shared" si="162"/>
        <v>30.83154789589873</v>
      </c>
      <c r="Y187">
        <f t="shared" si="163"/>
        <v>5.5526163108843321</v>
      </c>
      <c r="AA187">
        <f t="shared" si="164"/>
        <v>5.8421334997885665E-6</v>
      </c>
    </row>
    <row r="188" spans="2:27" x14ac:dyDescent="0.35">
      <c r="B188">
        <v>149.74457215836529</v>
      </c>
      <c r="C188">
        <v>1997</v>
      </c>
      <c r="D188">
        <f t="shared" si="147"/>
        <v>8.4030204323243698</v>
      </c>
      <c r="E188">
        <f t="shared" si="148"/>
        <v>209.70937511717165</v>
      </c>
      <c r="F188">
        <f t="shared" si="149"/>
        <v>12.771872122842485</v>
      </c>
      <c r="G188">
        <f t="shared" si="150"/>
        <v>12.771872122842485</v>
      </c>
      <c r="H188">
        <f t="shared" si="151"/>
        <v>12.771872122842485</v>
      </c>
      <c r="I188" s="3"/>
      <c r="J188">
        <f t="shared" si="152"/>
        <v>6.5270633126096156</v>
      </c>
      <c r="K188">
        <f t="shared" si="153"/>
        <v>204.3893483718835</v>
      </c>
      <c r="L188">
        <f t="shared" si="154"/>
        <v>10.427432088505009</v>
      </c>
      <c r="M188">
        <f t="shared" si="155"/>
        <v>10.427432088505009</v>
      </c>
      <c r="N188">
        <f t="shared" si="156"/>
        <v>10.427432088505009</v>
      </c>
      <c r="O188" s="3"/>
      <c r="P188">
        <f t="shared" si="157"/>
        <v>467.352162283734</v>
      </c>
      <c r="Q188">
        <f t="shared" si="158"/>
        <v>1483.8074625954807</v>
      </c>
      <c r="R188">
        <f t="shared" si="159"/>
        <v>0</v>
      </c>
      <c r="S188">
        <f t="shared" si="160"/>
        <v>0</v>
      </c>
      <c r="T188">
        <v>50</v>
      </c>
      <c r="U188" s="3"/>
      <c r="V188">
        <f t="shared" si="161"/>
        <v>2001.1596248792148</v>
      </c>
      <c r="W188" s="3"/>
      <c r="X188">
        <f t="shared" si="162"/>
        <v>17.302479135782647</v>
      </c>
      <c r="Y188">
        <f t="shared" si="163"/>
        <v>4.159624879214789</v>
      </c>
      <c r="AA188">
        <f t="shared" si="164"/>
        <v>4.3765105479698449E-6</v>
      </c>
    </row>
    <row r="189" spans="2:27" x14ac:dyDescent="0.35">
      <c r="B189">
        <v>151.02171136653899</v>
      </c>
      <c r="C189">
        <v>1961</v>
      </c>
      <c r="D189">
        <f t="shared" si="147"/>
        <v>8.4561306544114547</v>
      </c>
      <c r="E189">
        <f t="shared" si="148"/>
        <v>210.23903743381533</v>
      </c>
      <c r="F189">
        <f t="shared" si="149"/>
        <v>12.899586043659856</v>
      </c>
      <c r="G189">
        <f t="shared" si="150"/>
        <v>12.899586043659856</v>
      </c>
      <c r="H189">
        <f t="shared" si="151"/>
        <v>12.899586043659856</v>
      </c>
      <c r="I189" s="3"/>
      <c r="J189">
        <f t="shared" si="152"/>
        <v>6.5731391373421628</v>
      </c>
      <c r="K189">
        <f t="shared" si="153"/>
        <v>204.9164351710937</v>
      </c>
      <c r="L189">
        <f t="shared" si="154"/>
        <v>10.544026548066519</v>
      </c>
      <c r="M189">
        <f t="shared" si="155"/>
        <v>10.544026548066519</v>
      </c>
      <c r="N189">
        <f t="shared" si="156"/>
        <v>10.544026548066519</v>
      </c>
      <c r="O189" s="3"/>
      <c r="P189">
        <f t="shared" si="157"/>
        <v>461.25266614176593</v>
      </c>
      <c r="Q189">
        <f t="shared" si="158"/>
        <v>1476.202457208642</v>
      </c>
      <c r="R189">
        <f t="shared" si="159"/>
        <v>0</v>
      </c>
      <c r="S189">
        <f t="shared" si="160"/>
        <v>0</v>
      </c>
      <c r="T189">
        <v>50</v>
      </c>
      <c r="U189" s="3"/>
      <c r="V189">
        <f t="shared" si="161"/>
        <v>1987.455123350408</v>
      </c>
      <c r="W189" s="3"/>
      <c r="X189">
        <f t="shared" si="162"/>
        <v>699.87355148530423</v>
      </c>
      <c r="Y189">
        <f t="shared" si="163"/>
        <v>26.45512335040803</v>
      </c>
      <c r="AA189">
        <f t="shared" si="164"/>
        <v>2.7834511465072316E-5</v>
      </c>
    </row>
    <row r="190" spans="2:27" x14ac:dyDescent="0.35">
      <c r="B190">
        <v>151.97956577266925</v>
      </c>
      <c r="C190">
        <v>2055</v>
      </c>
      <c r="D190">
        <f t="shared" si="147"/>
        <v>8.4959633209767684</v>
      </c>
      <c r="E190">
        <f t="shared" si="148"/>
        <v>210.63628417129809</v>
      </c>
      <c r="F190">
        <f t="shared" si="149"/>
        <v>12.99537148427288</v>
      </c>
      <c r="G190">
        <f t="shared" si="150"/>
        <v>12.99537148427288</v>
      </c>
      <c r="H190">
        <f t="shared" si="151"/>
        <v>12.99537148427288</v>
      </c>
      <c r="I190" s="3"/>
      <c r="J190">
        <f t="shared" si="152"/>
        <v>6.6077240461939564</v>
      </c>
      <c r="K190">
        <f t="shared" si="153"/>
        <v>205.31175459322193</v>
      </c>
      <c r="L190">
        <f t="shared" si="154"/>
        <v>10.631545876654645</v>
      </c>
      <c r="M190">
        <f t="shared" si="155"/>
        <v>10.631545876654645</v>
      </c>
      <c r="N190">
        <f t="shared" si="156"/>
        <v>10.631545876654645</v>
      </c>
      <c r="O190" s="3"/>
      <c r="P190">
        <f t="shared" si="157"/>
        <v>456.75257258074402</v>
      </c>
      <c r="Q190">
        <f t="shared" si="158"/>
        <v>1470.5369451707468</v>
      </c>
      <c r="R190">
        <f t="shared" si="159"/>
        <v>0</v>
      </c>
      <c r="S190">
        <f t="shared" si="160"/>
        <v>0</v>
      </c>
      <c r="T190">
        <v>50</v>
      </c>
      <c r="U190" s="3"/>
      <c r="V190">
        <f t="shared" si="161"/>
        <v>1977.2895177514908</v>
      </c>
      <c r="W190" s="3"/>
      <c r="X190">
        <f t="shared" si="162"/>
        <v>6038.9190512958558</v>
      </c>
      <c r="Y190">
        <f t="shared" si="163"/>
        <v>77.710482248509152</v>
      </c>
      <c r="AA190">
        <f t="shared" si="164"/>
        <v>8.1762359617539463E-5</v>
      </c>
    </row>
    <row r="191" spans="2:27" x14ac:dyDescent="0.35">
      <c r="B191">
        <v>152.93742017879953</v>
      </c>
      <c r="C191">
        <v>2018</v>
      </c>
      <c r="D191">
        <f t="shared" si="147"/>
        <v>8.5357959875420821</v>
      </c>
      <c r="E191">
        <f t="shared" si="148"/>
        <v>211.03353090878085</v>
      </c>
      <c r="F191">
        <f t="shared" si="149"/>
        <v>13.091156924885908</v>
      </c>
      <c r="G191">
        <f t="shared" si="150"/>
        <v>13.091156924885908</v>
      </c>
      <c r="H191">
        <f t="shared" si="151"/>
        <v>13.091156924885908</v>
      </c>
      <c r="I191" s="3"/>
      <c r="J191">
        <f t="shared" si="152"/>
        <v>6.6423327656275708</v>
      </c>
      <c r="K191">
        <f t="shared" si="153"/>
        <v>205.70707770481491</v>
      </c>
      <c r="L191">
        <f t="shared" si="154"/>
        <v>10.719127191281663</v>
      </c>
      <c r="M191">
        <f t="shared" si="155"/>
        <v>10.719127191281663</v>
      </c>
      <c r="N191">
        <f t="shared" si="156"/>
        <v>10.719127191281663</v>
      </c>
      <c r="O191" s="3"/>
      <c r="P191">
        <f t="shared" si="157"/>
        <v>452.31509108470289</v>
      </c>
      <c r="Q191">
        <f t="shared" si="158"/>
        <v>1464.9039337705517</v>
      </c>
      <c r="R191">
        <f t="shared" si="159"/>
        <v>0</v>
      </c>
      <c r="S191">
        <f t="shared" si="160"/>
        <v>0</v>
      </c>
      <c r="T191">
        <v>50</v>
      </c>
      <c r="U191" s="3"/>
      <c r="V191">
        <f t="shared" si="161"/>
        <v>1967.2190248552547</v>
      </c>
      <c r="W191" s="3"/>
      <c r="X191">
        <f t="shared" si="162"/>
        <v>2578.7074366512397</v>
      </c>
      <c r="Y191">
        <f t="shared" si="163"/>
        <v>50.780975144745298</v>
      </c>
      <c r="AA191">
        <f t="shared" si="164"/>
        <v>5.3428729707743541E-5</v>
      </c>
    </row>
    <row r="192" spans="2:27" x14ac:dyDescent="0.35">
      <c r="B192">
        <v>153.89527458492978</v>
      </c>
      <c r="C192">
        <v>1948</v>
      </c>
      <c r="D192">
        <f t="shared" si="147"/>
        <v>8.5756286541073958</v>
      </c>
      <c r="E192">
        <f t="shared" si="148"/>
        <v>211.43077764626361</v>
      </c>
      <c r="F192">
        <f t="shared" si="149"/>
        <v>13.186942365498933</v>
      </c>
      <c r="G192">
        <f t="shared" si="150"/>
        <v>13.186942365498933</v>
      </c>
      <c r="H192">
        <f t="shared" si="151"/>
        <v>13.186942365498933</v>
      </c>
      <c r="I192" s="3"/>
      <c r="J192">
        <f t="shared" si="152"/>
        <v>6.6769650966459615</v>
      </c>
      <c r="K192">
        <f t="shared" si="153"/>
        <v>206.10240449180833</v>
      </c>
      <c r="L192">
        <f t="shared" si="154"/>
        <v>10.806769611825985</v>
      </c>
      <c r="M192">
        <f t="shared" si="155"/>
        <v>10.806769611825985</v>
      </c>
      <c r="N192">
        <f t="shared" si="156"/>
        <v>10.806769611825985</v>
      </c>
      <c r="O192" s="3"/>
      <c r="P192">
        <f t="shared" si="157"/>
        <v>447.93910580182973</v>
      </c>
      <c r="Q192">
        <f t="shared" si="158"/>
        <v>1459.3031751917197</v>
      </c>
      <c r="R192">
        <f t="shared" si="159"/>
        <v>0</v>
      </c>
      <c r="S192">
        <f t="shared" si="160"/>
        <v>0</v>
      </c>
      <c r="T192">
        <v>50</v>
      </c>
      <c r="U192" s="3"/>
      <c r="V192">
        <f t="shared" si="161"/>
        <v>1957.2422809935495</v>
      </c>
      <c r="W192" s="3"/>
      <c r="X192">
        <f t="shared" si="162"/>
        <v>85.419757963725544</v>
      </c>
      <c r="Y192">
        <f t="shared" si="163"/>
        <v>9.242280993549457</v>
      </c>
      <c r="AA192">
        <f t="shared" si="164"/>
        <v>9.724179807099806E-6</v>
      </c>
    </row>
    <row r="193" spans="2:27" x14ac:dyDescent="0.35">
      <c r="B193">
        <v>154.85312899106003</v>
      </c>
      <c r="C193">
        <v>1936</v>
      </c>
      <c r="D193">
        <f t="shared" si="147"/>
        <v>8.6154613206727078</v>
      </c>
      <c r="E193">
        <f t="shared" si="148"/>
        <v>211.82802438374637</v>
      </c>
      <c r="F193">
        <f t="shared" si="149"/>
        <v>13.282727806111959</v>
      </c>
      <c r="G193">
        <f t="shared" si="150"/>
        <v>13.282727806111959</v>
      </c>
      <c r="H193">
        <f t="shared" si="151"/>
        <v>13.282727806111959</v>
      </c>
      <c r="I193" s="3"/>
      <c r="J193">
        <f t="shared" si="152"/>
        <v>6.7116208425868749</v>
      </c>
      <c r="K193">
        <f t="shared" si="153"/>
        <v>206.49773494021795</v>
      </c>
      <c r="L193">
        <f t="shared" si="154"/>
        <v>10.89447227614041</v>
      </c>
      <c r="M193">
        <f t="shared" si="155"/>
        <v>10.89447227614041</v>
      </c>
      <c r="N193">
        <f t="shared" si="156"/>
        <v>10.89447227614041</v>
      </c>
      <c r="O193" s="3"/>
      <c r="P193">
        <f t="shared" si="157"/>
        <v>443.62352490073147</v>
      </c>
      <c r="Q193">
        <f t="shared" si="158"/>
        <v>1453.7344239731408</v>
      </c>
      <c r="R193">
        <f t="shared" si="159"/>
        <v>0</v>
      </c>
      <c r="S193">
        <f t="shared" si="160"/>
        <v>0</v>
      </c>
      <c r="T193">
        <v>50</v>
      </c>
      <c r="U193" s="3"/>
      <c r="V193">
        <f t="shared" si="161"/>
        <v>1947.3579488738724</v>
      </c>
      <c r="W193" s="3"/>
      <c r="X193">
        <f t="shared" si="162"/>
        <v>129.00300262149872</v>
      </c>
      <c r="Y193">
        <f t="shared" si="163"/>
        <v>11.357948873872374</v>
      </c>
      <c r="AA193">
        <f t="shared" si="164"/>
        <v>1.1950160048852305E-5</v>
      </c>
    </row>
    <row r="194" spans="2:27" x14ac:dyDescent="0.35">
      <c r="B194">
        <v>155.81098339719031</v>
      </c>
      <c r="C194">
        <v>1879</v>
      </c>
      <c r="D194">
        <f t="shared" si="147"/>
        <v>8.6552939872380215</v>
      </c>
      <c r="E194">
        <f t="shared" si="148"/>
        <v>212.22527112122913</v>
      </c>
      <c r="F194">
        <f t="shared" si="149"/>
        <v>13.378513246724987</v>
      </c>
      <c r="G194">
        <f t="shared" si="150"/>
        <v>13.378513246724987</v>
      </c>
      <c r="H194">
        <f t="shared" si="151"/>
        <v>13.378513246724987</v>
      </c>
      <c r="I194" s="3"/>
      <c r="J194">
        <f t="shared" si="152"/>
        <v>6.7462998090885415</v>
      </c>
      <c r="K194">
        <f t="shared" si="153"/>
        <v>206.89306903613908</v>
      </c>
      <c r="L194">
        <f t="shared" si="154"/>
        <v>10.982234339580199</v>
      </c>
      <c r="M194">
        <f t="shared" si="155"/>
        <v>10.982234339580199</v>
      </c>
      <c r="N194">
        <f t="shared" si="156"/>
        <v>10.982234339580199</v>
      </c>
      <c r="O194" s="3"/>
      <c r="P194">
        <f t="shared" si="157"/>
        <v>439.36727996867916</v>
      </c>
      <c r="Q194">
        <f t="shared" si="158"/>
        <v>1448.197436982141</v>
      </c>
      <c r="R194">
        <f t="shared" si="159"/>
        <v>0</v>
      </c>
      <c r="S194">
        <f t="shared" si="160"/>
        <v>0</v>
      </c>
      <c r="T194">
        <v>50</v>
      </c>
      <c r="U194" s="3"/>
      <c r="V194">
        <f t="shared" si="161"/>
        <v>1937.5647169508202</v>
      </c>
      <c r="W194" s="3"/>
      <c r="X194">
        <f t="shared" si="162"/>
        <v>3429.8260715296851</v>
      </c>
      <c r="Y194">
        <f t="shared" si="163"/>
        <v>58.564716950820184</v>
      </c>
      <c r="AA194">
        <f t="shared" si="164"/>
        <v>6.1618321102675081E-5</v>
      </c>
    </row>
    <row r="195" spans="2:27" x14ac:dyDescent="0.35">
      <c r="B195">
        <v>156.76883780332059</v>
      </c>
      <c r="C195">
        <v>1887</v>
      </c>
      <c r="D195">
        <f t="shared" si="147"/>
        <v>8.6951266538033369</v>
      </c>
      <c r="E195">
        <f t="shared" si="148"/>
        <v>212.62251785871189</v>
      </c>
      <c r="F195">
        <f t="shared" si="149"/>
        <v>13.474298687338015</v>
      </c>
      <c r="G195">
        <f t="shared" si="150"/>
        <v>13.474298687338015</v>
      </c>
      <c r="H195">
        <f t="shared" si="151"/>
        <v>13.474298687338015</v>
      </c>
      <c r="I195" s="3"/>
      <c r="J195">
        <f t="shared" si="152"/>
        <v>6.7810018040559576</v>
      </c>
      <c r="K195">
        <f t="shared" si="153"/>
        <v>207.288406765746</v>
      </c>
      <c r="L195">
        <f t="shared" si="154"/>
        <v>11.070054974546139</v>
      </c>
      <c r="M195">
        <f t="shared" si="155"/>
        <v>11.070054974546139</v>
      </c>
      <c r="N195">
        <f t="shared" si="156"/>
        <v>11.070054974546139</v>
      </c>
      <c r="O195" s="3"/>
      <c r="P195">
        <f t="shared" si="157"/>
        <v>435.16932542694775</v>
      </c>
      <c r="Q195">
        <f t="shared" si="158"/>
        <v>1442.6919733880468</v>
      </c>
      <c r="R195">
        <f t="shared" si="159"/>
        <v>0</v>
      </c>
      <c r="S195">
        <f t="shared" si="160"/>
        <v>0</v>
      </c>
      <c r="T195">
        <v>50</v>
      </c>
      <c r="U195" s="3"/>
      <c r="V195">
        <f t="shared" si="161"/>
        <v>1927.8612988149946</v>
      </c>
      <c r="W195" s="3"/>
      <c r="X195">
        <f t="shared" si="162"/>
        <v>1669.6457408482788</v>
      </c>
      <c r="Y195">
        <f t="shared" si="163"/>
        <v>40.861298814994598</v>
      </c>
      <c r="AA195">
        <f t="shared" si="164"/>
        <v>4.2991834711145698E-5</v>
      </c>
    </row>
    <row r="196" spans="2:27" x14ac:dyDescent="0.35">
      <c r="B196">
        <v>158.04597701149424</v>
      </c>
      <c r="C196">
        <v>1916</v>
      </c>
      <c r="D196">
        <f t="shared" si="147"/>
        <v>8.7482368758904201</v>
      </c>
      <c r="E196">
        <f t="shared" si="148"/>
        <v>213.15218017535557</v>
      </c>
      <c r="F196">
        <f t="shared" si="149"/>
        <v>13.60201260815538</v>
      </c>
      <c r="G196">
        <f t="shared" si="150"/>
        <v>13.60201260815538</v>
      </c>
      <c r="H196">
        <f t="shared" si="151"/>
        <v>13.60201260815538</v>
      </c>
      <c r="I196" s="3"/>
      <c r="J196">
        <f t="shared" si="152"/>
        <v>6.8273066248991885</v>
      </c>
      <c r="K196">
        <f t="shared" si="153"/>
        <v>207.81552936720553</v>
      </c>
      <c r="L196">
        <f t="shared" si="154"/>
        <v>11.187238866379495</v>
      </c>
      <c r="M196">
        <f t="shared" si="155"/>
        <v>11.187238866379495</v>
      </c>
      <c r="N196">
        <f t="shared" si="156"/>
        <v>11.187238866379495</v>
      </c>
      <c r="O196" s="3"/>
      <c r="P196">
        <f t="shared" si="157"/>
        <v>429.66096109419527</v>
      </c>
      <c r="Q196">
        <f t="shared" si="158"/>
        <v>1435.3999796655069</v>
      </c>
      <c r="R196">
        <f t="shared" si="159"/>
        <v>0</v>
      </c>
      <c r="S196">
        <f t="shared" si="160"/>
        <v>0</v>
      </c>
      <c r="T196">
        <v>50</v>
      </c>
      <c r="U196" s="3"/>
      <c r="V196">
        <f t="shared" si="161"/>
        <v>1915.0609407597021</v>
      </c>
      <c r="W196" s="3"/>
      <c r="X196">
        <f t="shared" si="162"/>
        <v>0.88183225678880428</v>
      </c>
      <c r="Y196">
        <f t="shared" si="163"/>
        <v>0.93905924029786547</v>
      </c>
      <c r="AA196">
        <f t="shared" si="164"/>
        <v>9.8802242742330264E-7</v>
      </c>
    </row>
    <row r="197" spans="2:27" x14ac:dyDescent="0.35">
      <c r="B197">
        <v>159.00383141762455</v>
      </c>
      <c r="C197">
        <v>1877</v>
      </c>
      <c r="D197">
        <f t="shared" si="147"/>
        <v>8.7880695424557356</v>
      </c>
      <c r="E197">
        <f t="shared" si="148"/>
        <v>213.54942691283836</v>
      </c>
      <c r="F197">
        <f t="shared" si="149"/>
        <v>13.69779804876841</v>
      </c>
      <c r="G197">
        <f t="shared" si="150"/>
        <v>13.69779804876841</v>
      </c>
      <c r="H197">
        <f t="shared" si="151"/>
        <v>13.69779804876841</v>
      </c>
      <c r="I197" s="3"/>
      <c r="J197">
        <f t="shared" si="152"/>
        <v>6.8620616184032448</v>
      </c>
      <c r="K197">
        <f t="shared" si="153"/>
        <v>208.21087552208473</v>
      </c>
      <c r="L197">
        <f t="shared" si="154"/>
        <v>11.275193042261369</v>
      </c>
      <c r="M197">
        <f t="shared" si="155"/>
        <v>11.275193042261369</v>
      </c>
      <c r="N197">
        <f t="shared" si="156"/>
        <v>11.275193042261369</v>
      </c>
      <c r="O197" s="3"/>
      <c r="P197">
        <f t="shared" si="157"/>
        <v>425.59507536583698</v>
      </c>
      <c r="Q197">
        <f t="shared" si="158"/>
        <v>1429.9671468367922</v>
      </c>
      <c r="R197">
        <f t="shared" si="159"/>
        <v>0</v>
      </c>
      <c r="S197">
        <f t="shared" si="160"/>
        <v>0</v>
      </c>
      <c r="T197">
        <v>50</v>
      </c>
      <c r="U197" s="3"/>
      <c r="V197">
        <f t="shared" si="161"/>
        <v>1905.5622222026291</v>
      </c>
      <c r="W197" s="3"/>
      <c r="X197">
        <f t="shared" si="162"/>
        <v>815.80053715235715</v>
      </c>
      <c r="Y197">
        <f t="shared" si="163"/>
        <v>28.562222202629073</v>
      </c>
      <c r="AA197">
        <f t="shared" si="164"/>
        <v>3.0051475883772815E-5</v>
      </c>
    </row>
    <row r="198" spans="2:27" x14ac:dyDescent="0.35">
      <c r="B198">
        <v>159.96168582375483</v>
      </c>
      <c r="C198">
        <v>1844</v>
      </c>
      <c r="D198">
        <f t="shared" si="147"/>
        <v>8.8279022090210493</v>
      </c>
      <c r="E198">
        <f t="shared" si="148"/>
        <v>213.94667365032112</v>
      </c>
      <c r="F198">
        <f t="shared" si="149"/>
        <v>13.793583489381438</v>
      </c>
      <c r="G198">
        <f t="shared" si="150"/>
        <v>13.793583489381438</v>
      </c>
      <c r="H198">
        <f t="shared" si="151"/>
        <v>13.793583489381438</v>
      </c>
      <c r="I198" s="3"/>
      <c r="J198">
        <f t="shared" si="152"/>
        <v>6.8968390160062256</v>
      </c>
      <c r="K198">
        <f t="shared" si="153"/>
        <v>208.60622526512626</v>
      </c>
      <c r="L198">
        <f t="shared" si="154"/>
        <v>11.363203148533277</v>
      </c>
      <c r="M198">
        <f t="shared" si="155"/>
        <v>11.363203148533277</v>
      </c>
      <c r="N198">
        <f t="shared" si="156"/>
        <v>11.363203148533277</v>
      </c>
      <c r="O198" s="3"/>
      <c r="P198">
        <f t="shared" si="157"/>
        <v>421.58415250253609</v>
      </c>
      <c r="Q198">
        <f t="shared" si="158"/>
        <v>1424.5650509293068</v>
      </c>
      <c r="R198">
        <f t="shared" si="159"/>
        <v>0</v>
      </c>
      <c r="S198">
        <f t="shared" si="160"/>
        <v>0</v>
      </c>
      <c r="T198">
        <v>50</v>
      </c>
      <c r="U198" s="3"/>
      <c r="V198">
        <f t="shared" si="161"/>
        <v>1896.149203431843</v>
      </c>
      <c r="W198" s="3"/>
      <c r="X198">
        <f t="shared" si="162"/>
        <v>2719.5394185757491</v>
      </c>
      <c r="Y198">
        <f t="shared" si="163"/>
        <v>52.149203431843034</v>
      </c>
      <c r="AA198">
        <f t="shared" si="164"/>
        <v>5.4868298347799445E-5</v>
      </c>
    </row>
    <row r="199" spans="2:27" x14ac:dyDescent="0.35">
      <c r="B199">
        <v>160.91954022988509</v>
      </c>
      <c r="C199">
        <v>1808</v>
      </c>
      <c r="D199">
        <f t="shared" si="147"/>
        <v>8.8677348755863612</v>
      </c>
      <c r="E199">
        <f t="shared" si="148"/>
        <v>214.34392038780388</v>
      </c>
      <c r="F199">
        <f t="shared" si="149"/>
        <v>13.889368929994465</v>
      </c>
      <c r="G199">
        <f t="shared" si="150"/>
        <v>13.889368929994465</v>
      </c>
      <c r="H199">
        <f t="shared" si="151"/>
        <v>13.889368929994465</v>
      </c>
      <c r="I199" s="3"/>
      <c r="J199">
        <f t="shared" si="152"/>
        <v>6.9316386350600689</v>
      </c>
      <c r="K199">
        <f t="shared" si="153"/>
        <v>209.00157858283964</v>
      </c>
      <c r="L199">
        <f t="shared" si="154"/>
        <v>11.451268426521002</v>
      </c>
      <c r="M199">
        <f t="shared" si="155"/>
        <v>11.451268426521002</v>
      </c>
      <c r="N199">
        <f t="shared" si="156"/>
        <v>11.451268426521002</v>
      </c>
      <c r="O199" s="3"/>
      <c r="P199">
        <f t="shared" si="157"/>
        <v>417.6272395102846</v>
      </c>
      <c r="Q199">
        <f t="shared" si="158"/>
        <v>1419.1934607906799</v>
      </c>
      <c r="R199">
        <f t="shared" si="159"/>
        <v>0</v>
      </c>
      <c r="S199">
        <f t="shared" si="160"/>
        <v>0</v>
      </c>
      <c r="T199">
        <v>50</v>
      </c>
      <c r="U199" s="3"/>
      <c r="V199">
        <f t="shared" si="161"/>
        <v>1886.8207003009645</v>
      </c>
      <c r="W199" s="3"/>
      <c r="X199">
        <f t="shared" si="162"/>
        <v>6212.7027959344678</v>
      </c>
      <c r="Y199">
        <f t="shared" si="163"/>
        <v>78.820700300964518</v>
      </c>
      <c r="AA199">
        <f t="shared" si="164"/>
        <v>8.2930465193933322E-5</v>
      </c>
    </row>
    <row r="200" spans="2:27" x14ac:dyDescent="0.35">
      <c r="B200">
        <v>161.87739463601534</v>
      </c>
      <c r="C200">
        <v>1881</v>
      </c>
      <c r="D200">
        <f t="shared" si="147"/>
        <v>8.9075675421516749</v>
      </c>
      <c r="E200">
        <f t="shared" si="148"/>
        <v>214.74116712528664</v>
      </c>
      <c r="F200">
        <f t="shared" si="149"/>
        <v>13.985154370607489</v>
      </c>
      <c r="G200">
        <f t="shared" si="150"/>
        <v>13.985154370607489</v>
      </c>
      <c r="H200">
        <f t="shared" si="151"/>
        <v>13.985154370607489</v>
      </c>
      <c r="I200" s="3"/>
      <c r="J200">
        <f t="shared" si="152"/>
        <v>6.9664602950131638</v>
      </c>
      <c r="K200">
        <f t="shared" si="153"/>
        <v>209.39693546181016</v>
      </c>
      <c r="L200">
        <f t="shared" si="154"/>
        <v>11.539388132389904</v>
      </c>
      <c r="M200">
        <f t="shared" si="155"/>
        <v>11.539388132389904</v>
      </c>
      <c r="N200">
        <f t="shared" si="156"/>
        <v>11.539388132389904</v>
      </c>
      <c r="O200" s="3"/>
      <c r="P200">
        <f t="shared" si="157"/>
        <v>413.72340337813222</v>
      </c>
      <c r="Q200">
        <f t="shared" si="158"/>
        <v>1413.8521474353358</v>
      </c>
      <c r="R200">
        <f t="shared" si="159"/>
        <v>0</v>
      </c>
      <c r="S200">
        <f t="shared" si="160"/>
        <v>0</v>
      </c>
      <c r="T200">
        <v>50</v>
      </c>
      <c r="U200" s="3"/>
      <c r="V200">
        <f t="shared" si="161"/>
        <v>1877.575550813468</v>
      </c>
      <c r="W200" s="3"/>
      <c r="X200">
        <f t="shared" si="162"/>
        <v>11.726852231139686</v>
      </c>
      <c r="Y200">
        <f t="shared" si="163"/>
        <v>3.4244491865320015</v>
      </c>
      <c r="AA200">
        <f t="shared" si="164"/>
        <v>3.6030022949264543E-6</v>
      </c>
    </row>
    <row r="201" spans="2:27" x14ac:dyDescent="0.35">
      <c r="B201">
        <v>162.83524904214562</v>
      </c>
      <c r="C201">
        <v>1833</v>
      </c>
      <c r="D201">
        <f t="shared" si="147"/>
        <v>8.9474002087169886</v>
      </c>
      <c r="E201">
        <f t="shared" si="148"/>
        <v>215.1384138627694</v>
      </c>
      <c r="F201">
        <f t="shared" si="149"/>
        <v>14.080939811220517</v>
      </c>
      <c r="G201">
        <f t="shared" si="150"/>
        <v>14.080939811220517</v>
      </c>
      <c r="H201">
        <f t="shared" si="151"/>
        <v>14.080939811220517</v>
      </c>
      <c r="I201" s="3"/>
      <c r="J201">
        <f t="shared" si="152"/>
        <v>7.0013038173801148</v>
      </c>
      <c r="K201">
        <f t="shared" si="153"/>
        <v>209.79229588869833</v>
      </c>
      <c r="L201">
        <f t="shared" si="154"/>
        <v>11.627561536770878</v>
      </c>
      <c r="M201">
        <f t="shared" si="155"/>
        <v>11.627561536770878</v>
      </c>
      <c r="N201">
        <f t="shared" si="156"/>
        <v>11.627561536770878</v>
      </c>
      <c r="O201" s="3"/>
      <c r="P201">
        <f t="shared" si="157"/>
        <v>409.87173058999531</v>
      </c>
      <c r="Q201">
        <f t="shared" si="158"/>
        <v>1408.540884020186</v>
      </c>
      <c r="R201">
        <f t="shared" si="159"/>
        <v>0</v>
      </c>
      <c r="S201">
        <f t="shared" si="160"/>
        <v>0</v>
      </c>
      <c r="T201">
        <v>50</v>
      </c>
      <c r="U201" s="3"/>
      <c r="V201">
        <f t="shared" si="161"/>
        <v>1868.4126146101812</v>
      </c>
      <c r="W201" s="3"/>
      <c r="X201">
        <f t="shared" si="162"/>
        <v>1254.0532735292195</v>
      </c>
      <c r="Y201">
        <f t="shared" si="163"/>
        <v>35.412614610181208</v>
      </c>
      <c r="AA201">
        <f t="shared" si="164"/>
        <v>3.7259052408087652E-5</v>
      </c>
    </row>
    <row r="202" spans="2:27" x14ac:dyDescent="0.35">
      <c r="B202">
        <v>164.11238825031933</v>
      </c>
      <c r="C202">
        <v>1827</v>
      </c>
      <c r="D202">
        <f t="shared" si="147"/>
        <v>9.0005104308040753</v>
      </c>
      <c r="E202">
        <f t="shared" si="148"/>
        <v>215.66807617941311</v>
      </c>
      <c r="F202">
        <f t="shared" si="149"/>
        <v>14.208653732037888</v>
      </c>
      <c r="G202">
        <f t="shared" si="150"/>
        <v>14.208653732037888</v>
      </c>
      <c r="H202">
        <f t="shared" si="151"/>
        <v>14.208653732037888</v>
      </c>
      <c r="I202" s="3"/>
      <c r="J202">
        <f t="shared" si="152"/>
        <v>7.047795550718309</v>
      </c>
      <c r="K202">
        <f t="shared" si="153"/>
        <v>210.31944862061619</v>
      </c>
      <c r="L202">
        <f t="shared" si="154"/>
        <v>11.745208372688987</v>
      </c>
      <c r="M202">
        <f t="shared" si="155"/>
        <v>11.745208372688987</v>
      </c>
      <c r="N202">
        <f t="shared" si="156"/>
        <v>11.745208372688987</v>
      </c>
      <c r="O202" s="3"/>
      <c r="P202">
        <f t="shared" si="157"/>
        <v>404.81576649156466</v>
      </c>
      <c r="Q202">
        <f t="shared" si="158"/>
        <v>1401.5055557073592</v>
      </c>
      <c r="R202">
        <f t="shared" si="159"/>
        <v>0</v>
      </c>
      <c r="S202">
        <f t="shared" si="160"/>
        <v>0</v>
      </c>
      <c r="T202">
        <v>50</v>
      </c>
      <c r="U202" s="3"/>
      <c r="V202">
        <f t="shared" si="161"/>
        <v>1856.321322198924</v>
      </c>
      <c r="W202" s="3"/>
      <c r="X202">
        <f t="shared" si="162"/>
        <v>859.73993549311388</v>
      </c>
      <c r="Y202">
        <f t="shared" si="163"/>
        <v>29.321322198924008</v>
      </c>
      <c r="AA202">
        <f t="shared" si="164"/>
        <v>3.0850155869881514E-5</v>
      </c>
    </row>
    <row r="203" spans="2:27" x14ac:dyDescent="0.35">
      <c r="B203">
        <v>165.07024265644958</v>
      </c>
      <c r="C203">
        <v>1802</v>
      </c>
      <c r="D203">
        <f t="shared" si="147"/>
        <v>9.0403430973693872</v>
      </c>
      <c r="E203">
        <f t="shared" si="148"/>
        <v>216.06532291689587</v>
      </c>
      <c r="F203">
        <f t="shared" si="149"/>
        <v>14.304439172650913</v>
      </c>
      <c r="G203">
        <f t="shared" si="150"/>
        <v>14.304439172650913</v>
      </c>
      <c r="H203">
        <f t="shared" si="151"/>
        <v>14.304439172650913</v>
      </c>
      <c r="I203" s="3"/>
      <c r="J203">
        <f t="shared" si="152"/>
        <v>7.0826894026593044</v>
      </c>
      <c r="K203">
        <f t="shared" si="153"/>
        <v>210.71481727452169</v>
      </c>
      <c r="L203">
        <f t="shared" si="154"/>
        <v>11.833504315725778</v>
      </c>
      <c r="M203">
        <f t="shared" si="155"/>
        <v>11.833504315725778</v>
      </c>
      <c r="N203">
        <f t="shared" si="156"/>
        <v>11.833504315725778</v>
      </c>
      <c r="O203" s="3"/>
      <c r="P203">
        <f t="shared" si="157"/>
        <v>401.08236158961364</v>
      </c>
      <c r="Q203">
        <f t="shared" si="158"/>
        <v>1396.2635385076476</v>
      </c>
      <c r="R203">
        <f t="shared" si="159"/>
        <v>0</v>
      </c>
      <c r="S203">
        <f t="shared" si="160"/>
        <v>0</v>
      </c>
      <c r="T203">
        <v>50</v>
      </c>
      <c r="U203" s="3"/>
      <c r="V203">
        <f t="shared" si="161"/>
        <v>1847.3459000972612</v>
      </c>
      <c r="W203" s="3"/>
      <c r="X203">
        <f t="shared" si="162"/>
        <v>2056.2506556307903</v>
      </c>
      <c r="Y203">
        <f t="shared" si="163"/>
        <v>45.345900097261165</v>
      </c>
      <c r="AA203">
        <f t="shared" si="164"/>
        <v>4.771026615272888E-5</v>
      </c>
    </row>
    <row r="204" spans="2:27" x14ac:dyDescent="0.35">
      <c r="B204">
        <v>166.0280970625798</v>
      </c>
      <c r="C204">
        <v>1763</v>
      </c>
      <c r="D204">
        <f t="shared" si="147"/>
        <v>9.0801757639346992</v>
      </c>
      <c r="E204">
        <f t="shared" si="148"/>
        <v>216.4625696543786</v>
      </c>
      <c r="F204">
        <f t="shared" si="149"/>
        <v>14.400224613263937</v>
      </c>
      <c r="G204">
        <f t="shared" si="150"/>
        <v>14.400224613263937</v>
      </c>
      <c r="H204">
        <f t="shared" si="151"/>
        <v>14.400224613263937</v>
      </c>
      <c r="I204" s="3"/>
      <c r="J204">
        <f t="shared" si="152"/>
        <v>7.1176045366076401</v>
      </c>
      <c r="K204">
        <f t="shared" si="153"/>
        <v>211.11018943241626</v>
      </c>
      <c r="L204">
        <f t="shared" si="154"/>
        <v>11.921851625943457</v>
      </c>
      <c r="M204">
        <f t="shared" si="155"/>
        <v>11.921851625943457</v>
      </c>
      <c r="N204">
        <f t="shared" si="156"/>
        <v>11.921851625943457</v>
      </c>
      <c r="O204" s="3"/>
      <c r="P204">
        <f t="shared" si="157"/>
        <v>397.39820977751441</v>
      </c>
      <c r="Q204">
        <f t="shared" si="158"/>
        <v>1391.0508302723044</v>
      </c>
      <c r="R204">
        <f t="shared" si="159"/>
        <v>0</v>
      </c>
      <c r="S204">
        <f t="shared" si="160"/>
        <v>0</v>
      </c>
      <c r="T204">
        <v>50</v>
      </c>
      <c r="U204" s="3"/>
      <c r="V204">
        <f t="shared" si="161"/>
        <v>1838.4490400498189</v>
      </c>
      <c r="W204" s="3"/>
      <c r="X204">
        <f t="shared" si="162"/>
        <v>5692.5576444391772</v>
      </c>
      <c r="Y204">
        <f t="shared" si="163"/>
        <v>75.449040049818905</v>
      </c>
      <c r="AA204">
        <f t="shared" si="164"/>
        <v>7.9383004285368185E-5</v>
      </c>
    </row>
    <row r="205" spans="2:27" x14ac:dyDescent="0.35">
      <c r="B205">
        <v>166.98595146871011</v>
      </c>
      <c r="C205">
        <v>1838</v>
      </c>
      <c r="D205">
        <f t="shared" si="147"/>
        <v>9.1200084305000146</v>
      </c>
      <c r="E205">
        <f t="shared" si="148"/>
        <v>216.85981639186139</v>
      </c>
      <c r="F205">
        <f t="shared" si="149"/>
        <v>14.496010053876965</v>
      </c>
      <c r="G205">
        <f t="shared" si="150"/>
        <v>14.496010053876965</v>
      </c>
      <c r="H205">
        <f t="shared" si="151"/>
        <v>14.496010053876965</v>
      </c>
      <c r="I205" s="3"/>
      <c r="J205">
        <f t="shared" si="152"/>
        <v>7.152540782694456</v>
      </c>
      <c r="K205">
        <f t="shared" si="153"/>
        <v>211.50556508128017</v>
      </c>
      <c r="L205">
        <f t="shared" si="154"/>
        <v>12.010249632605154</v>
      </c>
      <c r="M205">
        <f t="shared" si="155"/>
        <v>12.010249632605154</v>
      </c>
      <c r="N205">
        <f t="shared" si="156"/>
        <v>12.010249632605154</v>
      </c>
      <c r="O205" s="3"/>
      <c r="P205">
        <f t="shared" si="157"/>
        <v>393.76247669756378</v>
      </c>
      <c r="Q205">
        <f t="shared" si="158"/>
        <v>1385.8672131690919</v>
      </c>
      <c r="R205">
        <f t="shared" si="159"/>
        <v>0</v>
      </c>
      <c r="S205">
        <f t="shared" si="160"/>
        <v>0</v>
      </c>
      <c r="T205">
        <v>50</v>
      </c>
      <c r="U205" s="3"/>
      <c r="V205">
        <f t="shared" si="161"/>
        <v>1829.6296898666556</v>
      </c>
      <c r="W205" s="3"/>
      <c r="X205">
        <f t="shared" si="162"/>
        <v>70.062091728368728</v>
      </c>
      <c r="Y205">
        <f t="shared" si="163"/>
        <v>8.3703101333444465</v>
      </c>
      <c r="AA205">
        <f t="shared" si="164"/>
        <v>8.8067437935114959E-6</v>
      </c>
    </row>
    <row r="206" spans="2:27" x14ac:dyDescent="0.35">
      <c r="B206">
        <v>167.94380587484039</v>
      </c>
      <c r="C206">
        <v>1840</v>
      </c>
      <c r="D206">
        <f t="shared" si="147"/>
        <v>9.1598410970653283</v>
      </c>
      <c r="E206">
        <f t="shared" si="148"/>
        <v>217.25706312934415</v>
      </c>
      <c r="F206">
        <f t="shared" si="149"/>
        <v>14.591795494489993</v>
      </c>
      <c r="G206">
        <f t="shared" si="150"/>
        <v>14.591795494489993</v>
      </c>
      <c r="H206">
        <f t="shared" si="151"/>
        <v>14.591795494489993</v>
      </c>
      <c r="I206" s="3"/>
      <c r="J206">
        <f t="shared" si="152"/>
        <v>7.1874979729642625</v>
      </c>
      <c r="K206">
        <f t="shared" si="153"/>
        <v>211.90094420816587</v>
      </c>
      <c r="L206">
        <f t="shared" si="154"/>
        <v>12.098697677627921</v>
      </c>
      <c r="M206">
        <f t="shared" si="155"/>
        <v>12.098697677627921</v>
      </c>
      <c r="N206">
        <f t="shared" si="156"/>
        <v>12.098697677627921</v>
      </c>
      <c r="O206" s="3"/>
      <c r="P206">
        <f t="shared" si="157"/>
        <v>390.17434510200093</v>
      </c>
      <c r="Q206">
        <f t="shared" si="158"/>
        <v>1380.7124713838589</v>
      </c>
      <c r="R206">
        <f t="shared" si="159"/>
        <v>0</v>
      </c>
      <c r="S206">
        <f t="shared" si="160"/>
        <v>0</v>
      </c>
      <c r="T206">
        <v>50</v>
      </c>
      <c r="U206" s="3"/>
      <c r="V206">
        <f t="shared" si="161"/>
        <v>1820.8868164858598</v>
      </c>
      <c r="W206" s="3"/>
      <c r="X206">
        <f t="shared" si="162"/>
        <v>365.31378404520251</v>
      </c>
      <c r="Y206">
        <f t="shared" si="163"/>
        <v>19.113183514140246</v>
      </c>
      <c r="AA206">
        <f t="shared" si="164"/>
        <v>2.0109757894973583E-5</v>
      </c>
    </row>
    <row r="207" spans="2:27" x14ac:dyDescent="0.35">
      <c r="B207">
        <v>168.90166028097065</v>
      </c>
      <c r="C207">
        <v>1852</v>
      </c>
      <c r="D207">
        <f t="shared" si="147"/>
        <v>9.199673763630642</v>
      </c>
      <c r="E207">
        <f t="shared" si="148"/>
        <v>217.65430986682691</v>
      </c>
      <c r="F207">
        <f t="shared" si="149"/>
        <v>14.687580935103021</v>
      </c>
      <c r="G207">
        <f t="shared" si="150"/>
        <v>14.687580935103021</v>
      </c>
      <c r="H207">
        <f t="shared" si="151"/>
        <v>14.687580935103021</v>
      </c>
      <c r="I207" s="3"/>
      <c r="J207">
        <f t="shared" si="152"/>
        <v>7.2224759413478141</v>
      </c>
      <c r="K207">
        <f t="shared" si="153"/>
        <v>212.29632680019768</v>
      </c>
      <c r="L207">
        <f t="shared" si="154"/>
        <v>12.187195115274566</v>
      </c>
      <c r="M207">
        <f t="shared" si="155"/>
        <v>12.187195115274566</v>
      </c>
      <c r="N207">
        <f t="shared" si="156"/>
        <v>12.187195115274566</v>
      </c>
      <c r="O207" s="3"/>
      <c r="P207">
        <f t="shared" si="157"/>
        <v>386.6330144438403</v>
      </c>
      <c r="Q207">
        <f t="shared" si="158"/>
        <v>1375.5863910981636</v>
      </c>
      <c r="R207">
        <f t="shared" si="159"/>
        <v>0</v>
      </c>
      <c r="S207">
        <f t="shared" si="160"/>
        <v>0</v>
      </c>
      <c r="T207">
        <v>50</v>
      </c>
      <c r="U207" s="3"/>
      <c r="V207">
        <f t="shared" si="161"/>
        <v>1812.2194055420039</v>
      </c>
      <c r="W207" s="3"/>
      <c r="X207">
        <f t="shared" si="162"/>
        <v>1582.4956954315523</v>
      </c>
      <c r="Y207">
        <f t="shared" si="163"/>
        <v>39.780594457996131</v>
      </c>
      <c r="AA207">
        <f t="shared" si="164"/>
        <v>4.1854781694352127E-5</v>
      </c>
    </row>
    <row r="208" spans="2:27" x14ac:dyDescent="0.35">
      <c r="B208">
        <v>169.85951468710093</v>
      </c>
      <c r="C208">
        <v>1745</v>
      </c>
      <c r="D208">
        <f t="shared" si="147"/>
        <v>9.2395064301959557</v>
      </c>
      <c r="E208">
        <f t="shared" si="148"/>
        <v>218.05155660430967</v>
      </c>
      <c r="F208">
        <f t="shared" si="149"/>
        <v>14.783366375716049</v>
      </c>
      <c r="G208">
        <f t="shared" si="150"/>
        <v>14.783366375716049</v>
      </c>
      <c r="H208">
        <f t="shared" si="151"/>
        <v>14.783366375716049</v>
      </c>
      <c r="I208" s="3"/>
      <c r="J208">
        <f t="shared" si="152"/>
        <v>7.2574745236353975</v>
      </c>
      <c r="K208">
        <f t="shared" si="153"/>
        <v>212.69171284457116</v>
      </c>
      <c r="L208">
        <f t="shared" si="154"/>
        <v>12.275741311854546</v>
      </c>
      <c r="M208">
        <f t="shared" si="155"/>
        <v>12.275741311854546</v>
      </c>
      <c r="N208">
        <f t="shared" si="156"/>
        <v>12.275741311854546</v>
      </c>
      <c r="O208" s="3"/>
      <c r="P208">
        <f t="shared" si="157"/>
        <v>383.1377004788277</v>
      </c>
      <c r="Q208">
        <f t="shared" si="158"/>
        <v>1370.4887604671849</v>
      </c>
      <c r="R208">
        <f t="shared" si="159"/>
        <v>0</v>
      </c>
      <c r="S208">
        <f t="shared" si="160"/>
        <v>0</v>
      </c>
      <c r="T208">
        <v>50</v>
      </c>
      <c r="U208" s="3"/>
      <c r="V208">
        <f t="shared" si="161"/>
        <v>1803.6264609460127</v>
      </c>
      <c r="W208" s="3"/>
      <c r="X208">
        <f t="shared" si="162"/>
        <v>3437.0619230543507</v>
      </c>
      <c r="Y208">
        <f t="shared" si="163"/>
        <v>58.626460946012685</v>
      </c>
      <c r="AA208">
        <f t="shared" si="164"/>
        <v>6.1683284471748104E-5</v>
      </c>
    </row>
    <row r="209" spans="2:27" x14ac:dyDescent="0.35">
      <c r="B209">
        <v>171.13665389527463</v>
      </c>
      <c r="C209">
        <v>1796</v>
      </c>
      <c r="D209">
        <f t="shared" si="147"/>
        <v>9.2926166522830407</v>
      </c>
      <c r="E209">
        <f t="shared" si="148"/>
        <v>218.58121892095335</v>
      </c>
      <c r="F209">
        <f t="shared" si="149"/>
        <v>14.91108029653342</v>
      </c>
      <c r="G209">
        <f t="shared" si="150"/>
        <v>14.91108029653342</v>
      </c>
      <c r="H209">
        <f t="shared" si="151"/>
        <v>14.91108029653342</v>
      </c>
      <c r="I209" s="3"/>
      <c r="J209">
        <f t="shared" si="152"/>
        <v>7.3041710857019959</v>
      </c>
      <c r="K209">
        <f t="shared" si="153"/>
        <v>213.2188995853796</v>
      </c>
      <c r="L209">
        <f t="shared" si="154"/>
        <v>12.393877681234216</v>
      </c>
      <c r="M209">
        <f t="shared" si="155"/>
        <v>12.393877681234216</v>
      </c>
      <c r="N209">
        <f t="shared" si="156"/>
        <v>12.393877681234216</v>
      </c>
      <c r="O209" s="3"/>
      <c r="P209">
        <f t="shared" si="157"/>
        <v>378.54753765097553</v>
      </c>
      <c r="Q209">
        <f t="shared" si="158"/>
        <v>1363.7358121447351</v>
      </c>
      <c r="R209">
        <f t="shared" si="159"/>
        <v>0</v>
      </c>
      <c r="S209">
        <f t="shared" si="160"/>
        <v>0</v>
      </c>
      <c r="T209">
        <v>50</v>
      </c>
      <c r="U209" s="3"/>
      <c r="V209">
        <f t="shared" si="161"/>
        <v>1792.2833497957106</v>
      </c>
      <c r="W209" s="3"/>
      <c r="X209">
        <f t="shared" si="162"/>
        <v>13.813488741044498</v>
      </c>
      <c r="Y209">
        <f t="shared" si="163"/>
        <v>3.7166502042894081</v>
      </c>
      <c r="AA209">
        <f t="shared" si="164"/>
        <v>3.9104388723767309E-6</v>
      </c>
    </row>
    <row r="210" spans="2:27" x14ac:dyDescent="0.35">
      <c r="B210">
        <v>172.09450830140489</v>
      </c>
      <c r="C210">
        <v>1781</v>
      </c>
      <c r="D210">
        <f t="shared" si="147"/>
        <v>9.3324493188483544</v>
      </c>
      <c r="E210">
        <f t="shared" si="148"/>
        <v>218.97846565843611</v>
      </c>
      <c r="F210">
        <f t="shared" si="149"/>
        <v>15.006865737146445</v>
      </c>
      <c r="G210">
        <f t="shared" si="150"/>
        <v>15.006865737146445</v>
      </c>
      <c r="H210">
        <f t="shared" si="151"/>
        <v>15.006865737146445</v>
      </c>
      <c r="I210" s="3"/>
      <c r="J210">
        <f t="shared" si="152"/>
        <v>7.3392171387554788</v>
      </c>
      <c r="K210">
        <f t="shared" si="153"/>
        <v>213.61429363581829</v>
      </c>
      <c r="L210">
        <f t="shared" si="154"/>
        <v>12.482535249818786</v>
      </c>
      <c r="M210">
        <f t="shared" si="155"/>
        <v>12.482535249818786</v>
      </c>
      <c r="N210">
        <f t="shared" si="156"/>
        <v>12.482535249818786</v>
      </c>
      <c r="O210" s="3"/>
      <c r="P210">
        <f t="shared" si="157"/>
        <v>375.15663482862567</v>
      </c>
      <c r="Q210">
        <f t="shared" si="158"/>
        <v>1358.7037511241083</v>
      </c>
      <c r="R210">
        <f t="shared" si="159"/>
        <v>0</v>
      </c>
      <c r="S210">
        <f t="shared" si="160"/>
        <v>0</v>
      </c>
      <c r="T210">
        <v>50</v>
      </c>
      <c r="U210" s="3"/>
      <c r="V210">
        <f t="shared" si="161"/>
        <v>1783.8603859527338</v>
      </c>
      <c r="W210" s="3"/>
      <c r="X210">
        <f t="shared" si="162"/>
        <v>8.1818077985971343</v>
      </c>
      <c r="Y210">
        <f t="shared" si="163"/>
        <v>2.86038595273385</v>
      </c>
      <c r="AA210">
        <f t="shared" si="164"/>
        <v>3.0095284206896042E-6</v>
      </c>
    </row>
    <row r="211" spans="2:27" x14ac:dyDescent="0.35">
      <c r="B211">
        <v>173.05236270753514</v>
      </c>
      <c r="C211">
        <v>1728</v>
      </c>
      <c r="D211">
        <f t="shared" si="147"/>
        <v>9.3722819854136681</v>
      </c>
      <c r="E211">
        <f t="shared" si="148"/>
        <v>219.37571239591887</v>
      </c>
      <c r="F211">
        <f t="shared" si="149"/>
        <v>15.102651177759469</v>
      </c>
      <c r="G211">
        <f t="shared" si="150"/>
        <v>15.102651177759469</v>
      </c>
      <c r="H211">
        <f t="shared" si="151"/>
        <v>15.102651177759469</v>
      </c>
      <c r="I211" s="3"/>
      <c r="J211">
        <f t="shared" si="152"/>
        <v>7.3742832714434954</v>
      </c>
      <c r="K211">
        <f t="shared" si="153"/>
        <v>214.00969109642506</v>
      </c>
      <c r="L211">
        <f t="shared" si="154"/>
        <v>12.571239548374383</v>
      </c>
      <c r="M211">
        <f t="shared" si="155"/>
        <v>12.571239548374383</v>
      </c>
      <c r="N211">
        <f t="shared" si="156"/>
        <v>12.571239548374383</v>
      </c>
      <c r="O211" s="3"/>
      <c r="P211">
        <f t="shared" si="157"/>
        <v>371.80924739925644</v>
      </c>
      <c r="Q211">
        <f t="shared" si="158"/>
        <v>1353.6994475848744</v>
      </c>
      <c r="R211">
        <f t="shared" si="159"/>
        <v>0</v>
      </c>
      <c r="S211">
        <f t="shared" si="160"/>
        <v>0</v>
      </c>
      <c r="T211">
        <v>50</v>
      </c>
      <c r="U211" s="3"/>
      <c r="V211">
        <f t="shared" si="161"/>
        <v>1775.5086949841309</v>
      </c>
      <c r="W211" s="3"/>
      <c r="X211">
        <f t="shared" si="162"/>
        <v>2257.0760990951844</v>
      </c>
      <c r="Y211">
        <f t="shared" si="163"/>
        <v>47.508694984130898</v>
      </c>
      <c r="AA211">
        <f t="shared" si="164"/>
        <v>4.9985830635184675E-5</v>
      </c>
    </row>
    <row r="212" spans="2:27" x14ac:dyDescent="0.35">
      <c r="B212">
        <v>174.01021711366542</v>
      </c>
      <c r="C212">
        <v>1695</v>
      </c>
      <c r="D212">
        <f t="shared" si="147"/>
        <v>9.4121146519789818</v>
      </c>
      <c r="E212">
        <f t="shared" si="148"/>
        <v>219.77295913340163</v>
      </c>
      <c r="F212">
        <f t="shared" si="149"/>
        <v>15.198436618372497</v>
      </c>
      <c r="G212">
        <f t="shared" si="150"/>
        <v>15.198436618372497</v>
      </c>
      <c r="H212">
        <f t="shared" si="151"/>
        <v>15.198436618372497</v>
      </c>
      <c r="I212" s="3"/>
      <c r="J212">
        <f t="shared" si="152"/>
        <v>7.4093693273165435</v>
      </c>
      <c r="K212">
        <f t="shared" si="153"/>
        <v>214.40509195469829</v>
      </c>
      <c r="L212">
        <f t="shared" si="154"/>
        <v>12.659989992165068</v>
      </c>
      <c r="M212">
        <f t="shared" si="155"/>
        <v>12.659989992165068</v>
      </c>
      <c r="N212">
        <f t="shared" si="156"/>
        <v>12.659989992165068</v>
      </c>
      <c r="O212" s="3"/>
      <c r="P212">
        <f t="shared" si="157"/>
        <v>368.50465742063989</v>
      </c>
      <c r="Q212">
        <f t="shared" si="158"/>
        <v>1348.7226979861887</v>
      </c>
      <c r="R212">
        <f t="shared" si="159"/>
        <v>0</v>
      </c>
      <c r="S212">
        <f t="shared" si="160"/>
        <v>0</v>
      </c>
      <c r="T212">
        <v>50</v>
      </c>
      <c r="U212" s="3"/>
      <c r="V212">
        <f t="shared" si="161"/>
        <v>1767.2273554068286</v>
      </c>
      <c r="W212" s="3"/>
      <c r="X212">
        <f t="shared" si="162"/>
        <v>5216.7908690643271</v>
      </c>
      <c r="Y212">
        <f t="shared" si="163"/>
        <v>72.227355406828565</v>
      </c>
      <c r="AA212">
        <f t="shared" si="164"/>
        <v>7.5993338815115181E-5</v>
      </c>
    </row>
    <row r="213" spans="2:27" x14ac:dyDescent="0.35">
      <c r="B213">
        <v>174.9680715197957</v>
      </c>
      <c r="C213">
        <v>1728</v>
      </c>
      <c r="D213">
        <f t="shared" si="147"/>
        <v>9.4519473185442955</v>
      </c>
      <c r="E213">
        <f t="shared" si="148"/>
        <v>220.17020587088442</v>
      </c>
      <c r="F213">
        <f t="shared" si="149"/>
        <v>15.294222058985525</v>
      </c>
      <c r="G213">
        <f t="shared" si="150"/>
        <v>15.294222058985525</v>
      </c>
      <c r="H213">
        <f t="shared" si="151"/>
        <v>15.294222058985525</v>
      </c>
      <c r="I213" s="3"/>
      <c r="J213">
        <f t="shared" si="152"/>
        <v>7.4444751516496019</v>
      </c>
      <c r="K213">
        <f t="shared" si="153"/>
        <v>214.80049619820485</v>
      </c>
      <c r="L213">
        <f t="shared" si="154"/>
        <v>12.74878600704784</v>
      </c>
      <c r="M213">
        <f t="shared" si="155"/>
        <v>12.74878600704784</v>
      </c>
      <c r="N213">
        <f t="shared" si="156"/>
        <v>12.74878600704784</v>
      </c>
      <c r="O213" s="3"/>
      <c r="P213">
        <f t="shared" si="157"/>
        <v>365.24216130473036</v>
      </c>
      <c r="Q213">
        <f t="shared" si="158"/>
        <v>1343.773300647731</v>
      </c>
      <c r="R213">
        <f t="shared" si="159"/>
        <v>0</v>
      </c>
      <c r="S213">
        <f t="shared" si="160"/>
        <v>0</v>
      </c>
      <c r="T213">
        <v>50</v>
      </c>
      <c r="U213" s="3"/>
      <c r="V213">
        <f t="shared" si="161"/>
        <v>1759.0154619524615</v>
      </c>
      <c r="W213" s="3"/>
      <c r="X213">
        <f t="shared" si="162"/>
        <v>961.95888012458477</v>
      </c>
      <c r="Y213">
        <f t="shared" si="163"/>
        <v>31.015461952461465</v>
      </c>
      <c r="AA213">
        <f t="shared" si="164"/>
        <v>3.2632629221779371E-5</v>
      </c>
    </row>
    <row r="214" spans="2:27" x14ac:dyDescent="0.35">
      <c r="B214">
        <v>175.9259259259259</v>
      </c>
      <c r="C214">
        <v>1763</v>
      </c>
      <c r="D214">
        <f t="shared" si="147"/>
        <v>9.4917799851096056</v>
      </c>
      <c r="E214">
        <f t="shared" si="148"/>
        <v>220.56745260836715</v>
      </c>
      <c r="F214">
        <f t="shared" si="149"/>
        <v>15.390007499598546</v>
      </c>
      <c r="G214">
        <f t="shared" si="150"/>
        <v>15.390007499598546</v>
      </c>
      <c r="H214">
        <f t="shared" si="151"/>
        <v>15.390007499598546</v>
      </c>
      <c r="I214" s="3"/>
      <c r="J214">
        <f t="shared" si="152"/>
        <v>7.4796005914181185</v>
      </c>
      <c r="K214">
        <f t="shared" si="153"/>
        <v>215.19590381457954</v>
      </c>
      <c r="L214">
        <f t="shared" si="154"/>
        <v>12.83762702922442</v>
      </c>
      <c r="M214">
        <f t="shared" si="155"/>
        <v>12.83762702922442</v>
      </c>
      <c r="N214">
        <f t="shared" si="156"/>
        <v>12.83762702922442</v>
      </c>
      <c r="O214" s="3"/>
      <c r="P214">
        <f t="shared" si="157"/>
        <v>362.02106948265947</v>
      </c>
      <c r="Q214">
        <f t="shared" si="158"/>
        <v>1338.8510557293503</v>
      </c>
      <c r="R214">
        <f t="shared" si="159"/>
        <v>0</v>
      </c>
      <c r="S214">
        <f t="shared" si="160"/>
        <v>0</v>
      </c>
      <c r="T214">
        <v>50</v>
      </c>
      <c r="U214" s="3"/>
      <c r="V214">
        <f t="shared" si="161"/>
        <v>1750.8721252120097</v>
      </c>
      <c r="W214" s="3"/>
      <c r="X214">
        <f t="shared" si="162"/>
        <v>147.08534687317129</v>
      </c>
      <c r="Y214">
        <f t="shared" si="163"/>
        <v>12.127874787990322</v>
      </c>
      <c r="AA214">
        <f t="shared" si="164"/>
        <v>1.2760230423498349E-5</v>
      </c>
    </row>
    <row r="215" spans="2:27" x14ac:dyDescent="0.35">
      <c r="B215">
        <v>176.8837803320562</v>
      </c>
      <c r="C215">
        <v>1712</v>
      </c>
      <c r="D215">
        <f t="shared" si="147"/>
        <v>9.5316126516749211</v>
      </c>
      <c r="E215">
        <f t="shared" si="148"/>
        <v>220.96469934584991</v>
      </c>
      <c r="F215">
        <f t="shared" si="149"/>
        <v>15.485792940211574</v>
      </c>
      <c r="G215">
        <f t="shared" si="150"/>
        <v>15.485792940211574</v>
      </c>
      <c r="H215">
        <f t="shared" si="151"/>
        <v>15.485792940211574</v>
      </c>
      <c r="I215" s="3"/>
      <c r="J215">
        <f t="shared" si="152"/>
        <v>7.5147454952744077</v>
      </c>
      <c r="K215">
        <f t="shared" si="153"/>
        <v>215.59131479152478</v>
      </c>
      <c r="L215">
        <f t="shared" si="154"/>
        <v>12.926512505000129</v>
      </c>
      <c r="M215">
        <f t="shared" si="155"/>
        <v>12.926512505000129</v>
      </c>
      <c r="N215">
        <f t="shared" si="156"/>
        <v>12.926512505000129</v>
      </c>
      <c r="O215" s="3"/>
      <c r="P215">
        <f t="shared" si="157"/>
        <v>358.8407060786223</v>
      </c>
      <c r="Q215">
        <f t="shared" si="158"/>
        <v>1333.9557652109663</v>
      </c>
      <c r="R215">
        <f t="shared" si="159"/>
        <v>0</v>
      </c>
      <c r="S215">
        <f t="shared" si="160"/>
        <v>0</v>
      </c>
      <c r="T215">
        <v>50</v>
      </c>
      <c r="U215" s="3"/>
      <c r="V215">
        <f t="shared" si="161"/>
        <v>1742.7964712895887</v>
      </c>
      <c r="W215" s="3"/>
      <c r="X215">
        <f t="shared" si="162"/>
        <v>948.42264389045988</v>
      </c>
      <c r="Y215">
        <f t="shared" si="163"/>
        <v>30.796471289588681</v>
      </c>
      <c r="AA215">
        <f t="shared" si="164"/>
        <v>3.2402220236882983E-5</v>
      </c>
    </row>
    <row r="216" spans="2:27" x14ac:dyDescent="0.35">
      <c r="B216">
        <v>178.16091954022991</v>
      </c>
      <c r="C216">
        <v>1732</v>
      </c>
      <c r="D216">
        <f t="shared" si="147"/>
        <v>9.5847228737620078</v>
      </c>
      <c r="E216">
        <f t="shared" si="148"/>
        <v>221.49436166249362</v>
      </c>
      <c r="F216">
        <f t="shared" si="149"/>
        <v>15.613506861028945</v>
      </c>
      <c r="G216">
        <f t="shared" si="150"/>
        <v>15.613506861028945</v>
      </c>
      <c r="H216">
        <f t="shared" si="151"/>
        <v>15.613506861028945</v>
      </c>
      <c r="I216" s="3"/>
      <c r="J216">
        <f t="shared" si="152"/>
        <v>7.5616353860574854</v>
      </c>
      <c r="K216">
        <f t="shared" si="153"/>
        <v>216.11853463387632</v>
      </c>
      <c r="L216">
        <f t="shared" si="154"/>
        <v>13.045094684192007</v>
      </c>
      <c r="M216">
        <f t="shared" si="155"/>
        <v>13.045094684192007</v>
      </c>
      <c r="N216">
        <f t="shared" si="156"/>
        <v>13.045094684192007</v>
      </c>
      <c r="O216" s="3"/>
      <c r="P216">
        <f t="shared" si="157"/>
        <v>354.66243368255982</v>
      </c>
      <c r="Q216">
        <f t="shared" si="158"/>
        <v>1327.4703013645449</v>
      </c>
      <c r="R216">
        <f t="shared" si="159"/>
        <v>0</v>
      </c>
      <c r="S216">
        <f t="shared" si="160"/>
        <v>0</v>
      </c>
      <c r="T216">
        <v>50</v>
      </c>
      <c r="U216" s="3"/>
      <c r="V216">
        <f t="shared" si="161"/>
        <v>1732.1327350471047</v>
      </c>
      <c r="W216" s="3"/>
      <c r="X216">
        <f t="shared" si="162"/>
        <v>1.7618592729883854E-2</v>
      </c>
      <c r="Y216">
        <f t="shared" si="163"/>
        <v>0.13273504710468842</v>
      </c>
      <c r="AA216">
        <f t="shared" si="164"/>
        <v>1.3965594268889999E-7</v>
      </c>
    </row>
    <row r="217" spans="2:27" x14ac:dyDescent="0.35">
      <c r="B217">
        <v>179.11877394636014</v>
      </c>
      <c r="C217">
        <v>1783</v>
      </c>
      <c r="D217">
        <f t="shared" si="147"/>
        <v>9.624555540327318</v>
      </c>
      <c r="E217">
        <f t="shared" si="148"/>
        <v>221.89160839997635</v>
      </c>
      <c r="F217">
        <f t="shared" si="149"/>
        <v>15.70929230164197</v>
      </c>
      <c r="G217">
        <f t="shared" si="150"/>
        <v>15.70929230164197</v>
      </c>
      <c r="H217">
        <f t="shared" si="151"/>
        <v>15.70929230164197</v>
      </c>
      <c r="I217" s="3"/>
      <c r="J217">
        <f t="shared" si="152"/>
        <v>7.5968251267903533</v>
      </c>
      <c r="K217">
        <f t="shared" si="153"/>
        <v>216.51395340470435</v>
      </c>
      <c r="L217">
        <f t="shared" si="154"/>
        <v>13.134081786788249</v>
      </c>
      <c r="M217">
        <f t="shared" si="155"/>
        <v>13.134081786788249</v>
      </c>
      <c r="N217">
        <f t="shared" si="156"/>
        <v>13.134081786788249</v>
      </c>
      <c r="O217" s="3"/>
      <c r="P217">
        <f t="shared" si="157"/>
        <v>351.57454940470416</v>
      </c>
      <c r="Q217">
        <f t="shared" si="158"/>
        <v>1322.6371444438357</v>
      </c>
      <c r="R217">
        <f t="shared" si="159"/>
        <v>0</v>
      </c>
      <c r="S217">
        <f t="shared" si="160"/>
        <v>0</v>
      </c>
      <c r="T217">
        <v>50</v>
      </c>
      <c r="U217" s="3"/>
      <c r="V217">
        <f t="shared" si="161"/>
        <v>1724.2116938485399</v>
      </c>
      <c r="W217" s="3"/>
      <c r="X217">
        <f t="shared" si="162"/>
        <v>3456.0649401578039</v>
      </c>
      <c r="Y217">
        <f t="shared" si="163"/>
        <v>58.78830615146012</v>
      </c>
      <c r="AA217">
        <f t="shared" si="164"/>
        <v>6.1853568396223716E-5</v>
      </c>
    </row>
    <row r="218" spans="2:27" x14ac:dyDescent="0.35">
      <c r="B218">
        <v>180.07662835249045</v>
      </c>
      <c r="C218">
        <v>1695</v>
      </c>
      <c r="D218">
        <f t="shared" si="147"/>
        <v>9.6643882068926334</v>
      </c>
      <c r="E218">
        <f t="shared" si="148"/>
        <v>222.28885513745917</v>
      </c>
      <c r="F218">
        <f t="shared" si="149"/>
        <v>15.805077742255001</v>
      </c>
      <c r="G218">
        <f t="shared" si="150"/>
        <v>15.805077742255001</v>
      </c>
      <c r="H218">
        <f t="shared" si="151"/>
        <v>15.805077742255001</v>
      </c>
      <c r="I218" s="3"/>
      <c r="J218">
        <f t="shared" si="152"/>
        <v>7.6320338389339009</v>
      </c>
      <c r="K218">
        <f t="shared" si="153"/>
        <v>216.90937549559234</v>
      </c>
      <c r="L218">
        <f t="shared" si="154"/>
        <v>13.223111567345741</v>
      </c>
      <c r="M218">
        <f t="shared" si="155"/>
        <v>13.223111567345741</v>
      </c>
      <c r="N218">
        <f t="shared" si="156"/>
        <v>13.223111567345741</v>
      </c>
      <c r="O218" s="3"/>
      <c r="P218">
        <f t="shared" si="157"/>
        <v>348.52523550579446</v>
      </c>
      <c r="Q218">
        <f t="shared" si="158"/>
        <v>1317.8302947482966</v>
      </c>
      <c r="R218">
        <f t="shared" si="159"/>
        <v>0</v>
      </c>
      <c r="S218">
        <f t="shared" si="160"/>
        <v>0</v>
      </c>
      <c r="T218">
        <v>50</v>
      </c>
      <c r="U218" s="3"/>
      <c r="V218">
        <f t="shared" si="161"/>
        <v>1716.355530254091</v>
      </c>
      <c r="W218" s="3"/>
      <c r="X218">
        <f t="shared" si="162"/>
        <v>456.05867243339753</v>
      </c>
      <c r="Y218">
        <f t="shared" si="163"/>
        <v>21.355530254091036</v>
      </c>
      <c r="AA218">
        <f t="shared" si="164"/>
        <v>2.2469022118206363E-5</v>
      </c>
    </row>
    <row r="219" spans="2:27" x14ac:dyDescent="0.35">
      <c r="B219">
        <v>181.03448275862075</v>
      </c>
      <c r="C219">
        <v>1703</v>
      </c>
      <c r="D219">
        <f t="shared" si="147"/>
        <v>9.7042208734579489</v>
      </c>
      <c r="E219">
        <f t="shared" si="148"/>
        <v>222.68610187494193</v>
      </c>
      <c r="F219">
        <f t="shared" si="149"/>
        <v>15.900863182868029</v>
      </c>
      <c r="G219">
        <f t="shared" si="150"/>
        <v>15.900863182868029</v>
      </c>
      <c r="H219">
        <f t="shared" si="151"/>
        <v>15.900863182868029</v>
      </c>
      <c r="I219" s="3"/>
      <c r="J219">
        <f t="shared" si="152"/>
        <v>7.6672613781432277</v>
      </c>
      <c r="K219">
        <f t="shared" si="153"/>
        <v>217.30480089452954</v>
      </c>
      <c r="L219">
        <f t="shared" si="154"/>
        <v>13.312183513327726</v>
      </c>
      <c r="M219">
        <f t="shared" si="155"/>
        <v>13.312183513327726</v>
      </c>
      <c r="N219">
        <f t="shared" si="156"/>
        <v>13.312183513327726</v>
      </c>
      <c r="O219" s="3"/>
      <c r="P219">
        <f t="shared" si="157"/>
        <v>345.51387188364021</v>
      </c>
      <c r="Q219">
        <f t="shared" si="158"/>
        <v>1313.0495619187679</v>
      </c>
      <c r="R219">
        <f t="shared" si="159"/>
        <v>0</v>
      </c>
      <c r="S219">
        <f t="shared" si="160"/>
        <v>0</v>
      </c>
      <c r="T219">
        <v>50</v>
      </c>
      <c r="U219" s="3"/>
      <c r="V219">
        <f t="shared" si="161"/>
        <v>1708.5634338024081</v>
      </c>
      <c r="W219" s="3"/>
      <c r="X219">
        <f t="shared" si="162"/>
        <v>30.951795673777038</v>
      </c>
      <c r="Y219">
        <f t="shared" si="163"/>
        <v>5.5634338024080989</v>
      </c>
      <c r="AA219">
        <f t="shared" si="164"/>
        <v>5.8535150226736966E-6</v>
      </c>
    </row>
    <row r="220" spans="2:27" x14ac:dyDescent="0.35">
      <c r="B220">
        <v>181.99233716475098</v>
      </c>
      <c r="C220">
        <v>1726</v>
      </c>
      <c r="D220">
        <f t="shared" si="147"/>
        <v>9.7440535400232609</v>
      </c>
      <c r="E220">
        <f t="shared" si="148"/>
        <v>223.08334861242469</v>
      </c>
      <c r="F220">
        <f t="shared" si="149"/>
        <v>15.996648623481054</v>
      </c>
      <c r="G220">
        <f t="shared" si="150"/>
        <v>15.996648623481054</v>
      </c>
      <c r="H220">
        <f t="shared" si="151"/>
        <v>15.996648623481054</v>
      </c>
      <c r="I220" s="3"/>
      <c r="J220">
        <f t="shared" si="152"/>
        <v>7.7025076016307166</v>
      </c>
      <c r="K220">
        <f t="shared" si="153"/>
        <v>217.70022958957026</v>
      </c>
      <c r="L220">
        <f t="shared" si="154"/>
        <v>13.401297121125054</v>
      </c>
      <c r="M220">
        <f t="shared" si="155"/>
        <v>13.401297121125054</v>
      </c>
      <c r="N220">
        <f t="shared" si="156"/>
        <v>13.401297121125054</v>
      </c>
      <c r="O220" s="3"/>
      <c r="P220">
        <f t="shared" si="157"/>
        <v>342.53985052953806</v>
      </c>
      <c r="Q220">
        <f t="shared" si="158"/>
        <v>1308.2947573132076</v>
      </c>
      <c r="R220">
        <f t="shared" si="159"/>
        <v>0</v>
      </c>
      <c r="S220">
        <f t="shared" si="160"/>
        <v>0</v>
      </c>
      <c r="T220">
        <v>50</v>
      </c>
      <c r="U220" s="3"/>
      <c r="V220">
        <f t="shared" si="161"/>
        <v>1700.8346078427458</v>
      </c>
      <c r="W220" s="3"/>
      <c r="X220">
        <f t="shared" si="162"/>
        <v>633.2969624283935</v>
      </c>
      <c r="Y220">
        <f t="shared" si="163"/>
        <v>25.165392157254246</v>
      </c>
      <c r="AA220">
        <f t="shared" si="164"/>
        <v>2.64775328107979E-5</v>
      </c>
    </row>
    <row r="221" spans="2:27" x14ac:dyDescent="0.35">
      <c r="B221">
        <v>182.95019157088126</v>
      </c>
      <c r="C221">
        <v>1641</v>
      </c>
      <c r="D221">
        <f t="shared" ref="D221:D284" si="165">C$23-LN(1/C$23)+$B221*C$22</f>
        <v>9.7838862065885746</v>
      </c>
      <c r="E221">
        <f t="shared" ref="E221:E284" si="166">D$23-LN(1/D$23)+$B221*D$22</f>
        <v>223.48059534990745</v>
      </c>
      <c r="F221">
        <f t="shared" ref="F221:F284" si="167">E$23-LN(1/E$23)+$B221*E$22</f>
        <v>16.092434064094082</v>
      </c>
      <c r="G221">
        <f t="shared" ref="G221:G284" si="168">F$23-LN(1/F$23)+$B221*F$22</f>
        <v>16.092434064094082</v>
      </c>
      <c r="H221">
        <f t="shared" ref="H221:H284" si="169">G$23-LN(1/G$23)+$B221*G$22</f>
        <v>16.092434064094082</v>
      </c>
      <c r="I221" s="3"/>
      <c r="J221">
        <f t="shared" ref="J221:J284" si="170">lmb_2(D221)</f>
        <v>7.7377723681447668</v>
      </c>
      <c r="K221">
        <f t="shared" ref="K221:K284" si="171">lmb_2(E221)</f>
        <v>218.09566156883338</v>
      </c>
      <c r="L221">
        <f t="shared" ref="L221:L284" si="172">lmb_2(F221)</f>
        <v>13.490451895854704</v>
      </c>
      <c r="M221">
        <f t="shared" ref="M221:M284" si="173">lmb_2(G221)</f>
        <v>13.490451895854704</v>
      </c>
      <c r="N221">
        <f t="shared" ref="N221:N284" si="174">lmb_2(H221)</f>
        <v>13.490451895854704</v>
      </c>
      <c r="O221" s="3"/>
      <c r="P221">
        <f t="shared" ref="P221:P284" si="175">(C$21*$A$21)/(J221+J221^2)</f>
        <v>339.60257525270407</v>
      </c>
      <c r="Q221">
        <f t="shared" ref="Q221:Q284" si="176">(D$21*$A$21)/(K221+K221^2)</f>
        <v>1303.5656939881528</v>
      </c>
      <c r="R221">
        <f t="shared" ref="R221:R284" si="177">(E$21*$A$21)/(L221+L221^2)</f>
        <v>0</v>
      </c>
      <c r="S221">
        <f t="shared" ref="S221:S284" si="178">(F$21*$A$21)/(M221+M221^2)</f>
        <v>0</v>
      </c>
      <c r="T221">
        <v>50</v>
      </c>
      <c r="U221" s="3"/>
      <c r="V221">
        <f t="shared" ref="V221:V284" si="179">SUM(P221:T221)</f>
        <v>1693.1682692408569</v>
      </c>
      <c r="W221" s="3"/>
      <c r="X221">
        <f t="shared" ref="X221:X284" si="180">(V221-C221)^2</f>
        <v>2721.5283155865409</v>
      </c>
      <c r="Y221">
        <f t="shared" ref="Y221:Y284" si="181">ABS(V221-C221)</f>
        <v>52.168269240856944</v>
      </c>
      <c r="AA221">
        <f t="shared" ref="AA221:AA284" si="182">Y221/$Z$39</f>
        <v>5.4888358261055547E-5</v>
      </c>
    </row>
    <row r="222" spans="2:27" x14ac:dyDescent="0.35">
      <c r="B222">
        <v>184.22733077905499</v>
      </c>
      <c r="C222">
        <v>1694</v>
      </c>
      <c r="D222">
        <f t="shared" si="165"/>
        <v>9.8369964286756613</v>
      </c>
      <c r="E222">
        <f t="shared" si="166"/>
        <v>224.01025766655113</v>
      </c>
      <c r="F222">
        <f t="shared" si="167"/>
        <v>16.220147984911456</v>
      </c>
      <c r="G222">
        <f t="shared" si="168"/>
        <v>16.220147984911456</v>
      </c>
      <c r="H222">
        <f t="shared" si="169"/>
        <v>16.220147984911456</v>
      </c>
      <c r="I222" s="3"/>
      <c r="J222">
        <f t="shared" si="170"/>
        <v>7.7848206602338683</v>
      </c>
      <c r="K222">
        <f t="shared" si="171"/>
        <v>218.6229092962256</v>
      </c>
      <c r="L222">
        <f t="shared" si="172"/>
        <v>13.609388126872757</v>
      </c>
      <c r="M222">
        <f t="shared" si="173"/>
        <v>13.609388126872757</v>
      </c>
      <c r="N222">
        <f t="shared" si="174"/>
        <v>13.609388126872757</v>
      </c>
      <c r="O222" s="3"/>
      <c r="P222">
        <f t="shared" si="175"/>
        <v>335.74235992123323</v>
      </c>
      <c r="Q222">
        <f t="shared" si="176"/>
        <v>1297.2999982450863</v>
      </c>
      <c r="R222">
        <f t="shared" si="177"/>
        <v>0</v>
      </c>
      <c r="S222">
        <f t="shared" si="178"/>
        <v>0</v>
      </c>
      <c r="T222">
        <v>50</v>
      </c>
      <c r="U222" s="3"/>
      <c r="V222">
        <f t="shared" si="179"/>
        <v>1683.0423581663194</v>
      </c>
      <c r="W222" s="3"/>
      <c r="X222">
        <f t="shared" si="180"/>
        <v>120.06991455522615</v>
      </c>
      <c r="Y222">
        <f t="shared" si="181"/>
        <v>10.957641833680555</v>
      </c>
      <c r="AA222">
        <f t="shared" si="182"/>
        <v>1.1528980727471576E-5</v>
      </c>
    </row>
    <row r="223" spans="2:27" x14ac:dyDescent="0.35">
      <c r="B223">
        <v>185.18518518518519</v>
      </c>
      <c r="C223">
        <v>1761</v>
      </c>
      <c r="D223">
        <f t="shared" si="165"/>
        <v>9.8768290952409732</v>
      </c>
      <c r="E223">
        <f t="shared" si="166"/>
        <v>224.40750440403389</v>
      </c>
      <c r="F223">
        <f t="shared" si="167"/>
        <v>16.315933425524474</v>
      </c>
      <c r="G223">
        <f t="shared" si="168"/>
        <v>16.315933425524474</v>
      </c>
      <c r="H223">
        <f t="shared" si="169"/>
        <v>16.315933425524474</v>
      </c>
      <c r="I223" s="3"/>
      <c r="J223">
        <f t="shared" si="170"/>
        <v>7.8201281529701836</v>
      </c>
      <c r="K223">
        <f t="shared" si="171"/>
        <v>219.01834889282839</v>
      </c>
      <c r="L223">
        <f t="shared" si="172"/>
        <v>13.69863708079297</v>
      </c>
      <c r="M223">
        <f t="shared" si="173"/>
        <v>13.69863708079297</v>
      </c>
      <c r="N223">
        <f t="shared" si="174"/>
        <v>13.69863708079297</v>
      </c>
      <c r="O223" s="3"/>
      <c r="P223">
        <f t="shared" si="175"/>
        <v>332.88857135971625</v>
      </c>
      <c r="Q223">
        <f t="shared" si="176"/>
        <v>1292.630280310279</v>
      </c>
      <c r="R223">
        <f t="shared" si="177"/>
        <v>0</v>
      </c>
      <c r="S223">
        <f t="shared" si="178"/>
        <v>0</v>
      </c>
      <c r="T223">
        <v>50</v>
      </c>
      <c r="U223" s="3"/>
      <c r="V223">
        <f t="shared" si="179"/>
        <v>1675.5188516699952</v>
      </c>
      <c r="W223" s="3"/>
      <c r="X223">
        <f t="shared" si="180"/>
        <v>7307.0267198162774</v>
      </c>
      <c r="Y223">
        <f t="shared" si="181"/>
        <v>85.481148330004771</v>
      </c>
      <c r="AA223">
        <f t="shared" si="182"/>
        <v>8.9938193510723794E-5</v>
      </c>
    </row>
    <row r="224" spans="2:27" x14ac:dyDescent="0.35">
      <c r="B224">
        <v>186.1430395913155</v>
      </c>
      <c r="C224">
        <v>1713</v>
      </c>
      <c r="D224">
        <f t="shared" si="165"/>
        <v>9.9166617618062887</v>
      </c>
      <c r="E224">
        <f t="shared" si="166"/>
        <v>224.80475114151665</v>
      </c>
      <c r="F224">
        <f t="shared" si="167"/>
        <v>16.411718866137505</v>
      </c>
      <c r="G224">
        <f t="shared" si="168"/>
        <v>16.411718866137505</v>
      </c>
      <c r="H224">
        <f t="shared" si="169"/>
        <v>16.411718866137505</v>
      </c>
      <c r="I224" s="3"/>
      <c r="J224">
        <f t="shared" si="170"/>
        <v>7.8554537287215354</v>
      </c>
      <c r="K224">
        <f t="shared" si="171"/>
        <v>219.4137917345094</v>
      </c>
      <c r="L224">
        <f t="shared" si="172"/>
        <v>13.787925612581464</v>
      </c>
      <c r="M224">
        <f t="shared" si="173"/>
        <v>13.787925612581464</v>
      </c>
      <c r="N224">
        <f t="shared" si="174"/>
        <v>13.787925612581464</v>
      </c>
      <c r="O224" s="3"/>
      <c r="P224">
        <f t="shared" si="175"/>
        <v>330.06962352971908</v>
      </c>
      <c r="Q224">
        <f t="shared" si="176"/>
        <v>1287.9856925452927</v>
      </c>
      <c r="R224">
        <f t="shared" si="177"/>
        <v>0</v>
      </c>
      <c r="S224">
        <f t="shared" si="178"/>
        <v>0</v>
      </c>
      <c r="T224">
        <v>50</v>
      </c>
      <c r="U224" s="3"/>
      <c r="V224">
        <f t="shared" si="179"/>
        <v>1668.0553160750119</v>
      </c>
      <c r="W224" s="3"/>
      <c r="X224">
        <f t="shared" si="180"/>
        <v>2020.0246131170848</v>
      </c>
      <c r="Y224">
        <f t="shared" si="181"/>
        <v>44.944683924988112</v>
      </c>
      <c r="AA224">
        <f t="shared" si="182"/>
        <v>4.728813029650221E-5</v>
      </c>
    </row>
    <row r="225" spans="2:27" x14ac:dyDescent="0.35">
      <c r="B225">
        <v>187.1008939974457</v>
      </c>
      <c r="C225">
        <v>1530</v>
      </c>
      <c r="D225">
        <f t="shared" si="165"/>
        <v>9.9564944283715988</v>
      </c>
      <c r="E225">
        <f t="shared" si="166"/>
        <v>225.20199787899941</v>
      </c>
      <c r="F225">
        <f t="shared" si="167"/>
        <v>16.507504306750526</v>
      </c>
      <c r="G225">
        <f t="shared" si="168"/>
        <v>16.507504306750526</v>
      </c>
      <c r="H225">
        <f t="shared" si="169"/>
        <v>16.507504306750526</v>
      </c>
      <c r="I225" s="3"/>
      <c r="J225">
        <f t="shared" si="170"/>
        <v>7.8907972526547665</v>
      </c>
      <c r="K225">
        <f t="shared" si="171"/>
        <v>219.80923780966162</v>
      </c>
      <c r="L225">
        <f t="shared" si="172"/>
        <v>13.877253262971751</v>
      </c>
      <c r="M225">
        <f t="shared" si="173"/>
        <v>13.877253262971751</v>
      </c>
      <c r="N225">
        <f t="shared" si="174"/>
        <v>13.877253262971751</v>
      </c>
      <c r="O225" s="3"/>
      <c r="P225">
        <f t="shared" si="175"/>
        <v>327.28496843734683</v>
      </c>
      <c r="Q225">
        <f t="shared" si="176"/>
        <v>1283.3660551585594</v>
      </c>
      <c r="R225">
        <f t="shared" si="177"/>
        <v>0</v>
      </c>
      <c r="S225">
        <f t="shared" si="178"/>
        <v>0</v>
      </c>
      <c r="T225">
        <v>50</v>
      </c>
      <c r="U225" s="3"/>
      <c r="V225">
        <f t="shared" si="179"/>
        <v>1660.6510235959063</v>
      </c>
      <c r="W225" s="3"/>
      <c r="X225">
        <f t="shared" si="180"/>
        <v>17069.689966658061</v>
      </c>
      <c r="Y225">
        <f t="shared" si="181"/>
        <v>130.65102359590628</v>
      </c>
      <c r="AA225">
        <f t="shared" si="182"/>
        <v>1.3746325677773104E-4</v>
      </c>
    </row>
    <row r="226" spans="2:27" x14ac:dyDescent="0.35">
      <c r="B226">
        <v>188.058748403576</v>
      </c>
      <c r="C226">
        <v>1612</v>
      </c>
      <c r="D226">
        <f t="shared" si="165"/>
        <v>9.9963270949369143</v>
      </c>
      <c r="E226">
        <f t="shared" si="166"/>
        <v>225.59924461648217</v>
      </c>
      <c r="F226">
        <f t="shared" si="167"/>
        <v>16.603289747363554</v>
      </c>
      <c r="G226">
        <f t="shared" si="168"/>
        <v>16.603289747363554</v>
      </c>
      <c r="H226">
        <f t="shared" si="169"/>
        <v>16.603289747363554</v>
      </c>
      <c r="I226" s="3"/>
      <c r="J226">
        <f t="shared" si="170"/>
        <v>7.9261585913649446</v>
      </c>
      <c r="K226">
        <f t="shared" si="171"/>
        <v>220.2046871067401</v>
      </c>
      <c r="L226">
        <f t="shared" si="172"/>
        <v>13.966619580438257</v>
      </c>
      <c r="M226">
        <f t="shared" si="173"/>
        <v>13.966619580438257</v>
      </c>
      <c r="N226">
        <f t="shared" si="174"/>
        <v>13.966619580438257</v>
      </c>
      <c r="O226" s="3"/>
      <c r="P226">
        <f t="shared" si="175"/>
        <v>324.53406855273766</v>
      </c>
      <c r="Q226">
        <f t="shared" si="176"/>
        <v>1278.7711899620699</v>
      </c>
      <c r="R226">
        <f t="shared" si="177"/>
        <v>0</v>
      </c>
      <c r="S226">
        <f t="shared" si="178"/>
        <v>0</v>
      </c>
      <c r="T226">
        <v>50</v>
      </c>
      <c r="U226" s="3"/>
      <c r="V226">
        <f t="shared" si="179"/>
        <v>1653.3052585148075</v>
      </c>
      <c r="W226" s="3"/>
      <c r="X226">
        <f t="shared" si="180"/>
        <v>1706.124380975079</v>
      </c>
      <c r="Y226">
        <f t="shared" si="181"/>
        <v>41.30525851480752</v>
      </c>
      <c r="AA226">
        <f t="shared" si="182"/>
        <v>4.3458942771493573E-5</v>
      </c>
    </row>
    <row r="227" spans="2:27" x14ac:dyDescent="0.35">
      <c r="B227">
        <v>189.01660280970631</v>
      </c>
      <c r="C227">
        <v>1587</v>
      </c>
      <c r="D227">
        <f t="shared" si="165"/>
        <v>10.03615976150223</v>
      </c>
      <c r="E227">
        <f t="shared" si="166"/>
        <v>225.99649135396496</v>
      </c>
      <c r="F227">
        <f t="shared" si="167"/>
        <v>16.699075187976586</v>
      </c>
      <c r="G227">
        <f t="shared" si="168"/>
        <v>16.699075187976586</v>
      </c>
      <c r="H227">
        <f t="shared" si="169"/>
        <v>16.699075187976586</v>
      </c>
      <c r="I227" s="3"/>
      <c r="J227">
        <f t="shared" si="170"/>
        <v>7.9615376128561293</v>
      </c>
      <c r="K227">
        <f t="shared" si="171"/>
        <v>220.60013961426154</v>
      </c>
      <c r="L227">
        <f t="shared" si="172"/>
        <v>14.056024121027026</v>
      </c>
      <c r="M227">
        <f t="shared" si="173"/>
        <v>14.056024121027026</v>
      </c>
      <c r="N227">
        <f t="shared" si="174"/>
        <v>14.056024121027026</v>
      </c>
      <c r="O227" s="3"/>
      <c r="P227">
        <f t="shared" si="175"/>
        <v>321.81639657642995</v>
      </c>
      <c r="Q227">
        <f t="shared" si="176"/>
        <v>1274.2009203542516</v>
      </c>
      <c r="R227">
        <f t="shared" si="177"/>
        <v>0</v>
      </c>
      <c r="S227">
        <f t="shared" si="178"/>
        <v>0</v>
      </c>
      <c r="T227">
        <v>50</v>
      </c>
      <c r="U227" s="3"/>
      <c r="V227">
        <f t="shared" si="179"/>
        <v>1646.0173169306815</v>
      </c>
      <c r="W227" s="3"/>
      <c r="X227">
        <f t="shared" si="180"/>
        <v>3483.0436976965107</v>
      </c>
      <c r="Y227">
        <f t="shared" si="181"/>
        <v>59.017316930681545</v>
      </c>
      <c r="AA227">
        <f t="shared" si="182"/>
        <v>6.2094519953146448E-5</v>
      </c>
    </row>
    <row r="228" spans="2:27" x14ac:dyDescent="0.35">
      <c r="B228">
        <v>189.97445721583654</v>
      </c>
      <c r="C228">
        <v>1607</v>
      </c>
      <c r="D228">
        <f t="shared" si="165"/>
        <v>10.075992428067542</v>
      </c>
      <c r="E228">
        <f t="shared" si="166"/>
        <v>226.39373809144769</v>
      </c>
      <c r="F228">
        <f t="shared" si="167"/>
        <v>16.79486062858961</v>
      </c>
      <c r="G228">
        <f t="shared" si="168"/>
        <v>16.79486062858961</v>
      </c>
      <c r="H228">
        <f t="shared" si="169"/>
        <v>16.79486062858961</v>
      </c>
      <c r="I228" s="3"/>
      <c r="J228">
        <f t="shared" si="170"/>
        <v>7.9969341865225045</v>
      </c>
      <c r="K228">
        <f t="shared" si="171"/>
        <v>220.99559532080366</v>
      </c>
      <c r="L228">
        <f t="shared" si="172"/>
        <v>14.145466448190955</v>
      </c>
      <c r="M228">
        <f t="shared" si="173"/>
        <v>14.145466448190955</v>
      </c>
      <c r="N228">
        <f t="shared" si="174"/>
        <v>14.145466448190955</v>
      </c>
      <c r="O228" s="3"/>
      <c r="P228">
        <f t="shared" si="175"/>
        <v>319.13143521166796</v>
      </c>
      <c r="Q228">
        <f t="shared" si="176"/>
        <v>1269.6550713030661</v>
      </c>
      <c r="R228">
        <f t="shared" si="177"/>
        <v>0</v>
      </c>
      <c r="S228">
        <f t="shared" si="178"/>
        <v>0</v>
      </c>
      <c r="T228">
        <v>50</v>
      </c>
      <c r="U228" s="3"/>
      <c r="V228">
        <f t="shared" si="179"/>
        <v>1638.7865065147339</v>
      </c>
      <c r="W228" s="3"/>
      <c r="X228">
        <f t="shared" si="180"/>
        <v>1010.3819964112207</v>
      </c>
      <c r="Y228">
        <f t="shared" si="181"/>
        <v>31.786506514733901</v>
      </c>
      <c r="AA228">
        <f t="shared" si="182"/>
        <v>3.344387657165509E-5</v>
      </c>
    </row>
    <row r="229" spans="2:27" x14ac:dyDescent="0.35">
      <c r="B229">
        <v>191.25159642401024</v>
      </c>
      <c r="C229">
        <v>1649</v>
      </c>
      <c r="D229">
        <f t="shared" si="165"/>
        <v>10.129102650154627</v>
      </c>
      <c r="E229">
        <f t="shared" si="166"/>
        <v>226.9234004080914</v>
      </c>
      <c r="F229">
        <f t="shared" si="167"/>
        <v>16.922574549406981</v>
      </c>
      <c r="G229">
        <f t="shared" si="168"/>
        <v>16.922574549406981</v>
      </c>
      <c r="H229">
        <f t="shared" si="169"/>
        <v>16.922574549406981</v>
      </c>
      <c r="I229" s="3"/>
      <c r="J229">
        <f t="shared" si="170"/>
        <v>8.0441566982886723</v>
      </c>
      <c r="K229">
        <f t="shared" si="171"/>
        <v>221.52287455281947</v>
      </c>
      <c r="L229">
        <f t="shared" si="172"/>
        <v>14.264780922549626</v>
      </c>
      <c r="M229">
        <f t="shared" si="173"/>
        <v>14.264780922549626</v>
      </c>
      <c r="N229">
        <f t="shared" si="174"/>
        <v>14.264780922549626</v>
      </c>
      <c r="O229" s="3"/>
      <c r="P229">
        <f t="shared" si="175"/>
        <v>315.60149409241717</v>
      </c>
      <c r="Q229">
        <f t="shared" si="176"/>
        <v>1263.6316271483533</v>
      </c>
      <c r="R229">
        <f t="shared" si="177"/>
        <v>0</v>
      </c>
      <c r="S229">
        <f t="shared" si="178"/>
        <v>0</v>
      </c>
      <c r="T229">
        <v>50</v>
      </c>
      <c r="U229" s="3"/>
      <c r="V229">
        <f t="shared" si="179"/>
        <v>1629.2331212407705</v>
      </c>
      <c r="W229" s="3"/>
      <c r="X229">
        <f t="shared" si="180"/>
        <v>390.7294958820778</v>
      </c>
      <c r="Y229">
        <f t="shared" si="181"/>
        <v>19.766878759229485</v>
      </c>
      <c r="AA229">
        <f t="shared" si="182"/>
        <v>2.0797537254498628E-5</v>
      </c>
    </row>
    <row r="230" spans="2:27" x14ac:dyDescent="0.35">
      <c r="B230">
        <v>192.20945083014055</v>
      </c>
      <c r="C230">
        <v>1612</v>
      </c>
      <c r="D230">
        <f t="shared" si="165"/>
        <v>10.168935316719942</v>
      </c>
      <c r="E230">
        <f t="shared" si="166"/>
        <v>227.32064714557418</v>
      </c>
      <c r="F230">
        <f t="shared" si="167"/>
        <v>17.018359990020013</v>
      </c>
      <c r="G230">
        <f t="shared" si="168"/>
        <v>17.018359990020013</v>
      </c>
      <c r="H230">
        <f t="shared" si="169"/>
        <v>17.018359990020013</v>
      </c>
      <c r="I230" s="3"/>
      <c r="J230">
        <f t="shared" si="170"/>
        <v>8.0795937267890725</v>
      </c>
      <c r="K230">
        <f t="shared" si="171"/>
        <v>221.91833767966449</v>
      </c>
      <c r="L230">
        <f t="shared" si="172"/>
        <v>14.354309761119607</v>
      </c>
      <c r="M230">
        <f t="shared" si="173"/>
        <v>14.354309761119607</v>
      </c>
      <c r="N230">
        <f t="shared" si="174"/>
        <v>14.354309761119607</v>
      </c>
      <c r="O230" s="3"/>
      <c r="P230">
        <f t="shared" si="175"/>
        <v>312.9909003154404</v>
      </c>
      <c r="Q230">
        <f t="shared" si="176"/>
        <v>1259.1420874076844</v>
      </c>
      <c r="R230">
        <f t="shared" si="177"/>
        <v>0</v>
      </c>
      <c r="S230">
        <f t="shared" si="178"/>
        <v>0</v>
      </c>
      <c r="T230">
        <v>50</v>
      </c>
      <c r="U230" s="3"/>
      <c r="V230">
        <f t="shared" si="179"/>
        <v>1622.1329877231246</v>
      </c>
      <c r="W230" s="3"/>
      <c r="X230">
        <f t="shared" si="180"/>
        <v>102.67744019699474</v>
      </c>
      <c r="Y230">
        <f t="shared" si="181"/>
        <v>10.132987723124643</v>
      </c>
      <c r="AA230">
        <f t="shared" si="182"/>
        <v>1.0661328591023174E-5</v>
      </c>
    </row>
    <row r="231" spans="2:27" x14ac:dyDescent="0.35">
      <c r="B231">
        <v>193.16730523627078</v>
      </c>
      <c r="C231">
        <v>1579</v>
      </c>
      <c r="D231">
        <f t="shared" si="165"/>
        <v>10.208767983285254</v>
      </c>
      <c r="E231">
        <f t="shared" si="166"/>
        <v>227.71789388305692</v>
      </c>
      <c r="F231">
        <f t="shared" si="167"/>
        <v>17.114145430633034</v>
      </c>
      <c r="G231">
        <f t="shared" si="168"/>
        <v>17.114145430633034</v>
      </c>
      <c r="H231">
        <f t="shared" si="169"/>
        <v>17.114145430633034</v>
      </c>
      <c r="I231" s="3"/>
      <c r="J231">
        <f t="shared" si="170"/>
        <v>8.1150478819152507</v>
      </c>
      <c r="K231">
        <f t="shared" si="171"/>
        <v>222.31380396789277</v>
      </c>
      <c r="L231">
        <f t="shared" si="172"/>
        <v>14.443874982574156</v>
      </c>
      <c r="M231">
        <f t="shared" si="173"/>
        <v>14.443874982574156</v>
      </c>
      <c r="N231">
        <f t="shared" si="174"/>
        <v>14.443874982574156</v>
      </c>
      <c r="O231" s="3"/>
      <c r="P231">
        <f t="shared" si="175"/>
        <v>310.41136226162945</v>
      </c>
      <c r="Q231">
        <f t="shared" si="176"/>
        <v>1254.6763959061873</v>
      </c>
      <c r="R231">
        <f t="shared" si="177"/>
        <v>0</v>
      </c>
      <c r="S231">
        <f t="shared" si="178"/>
        <v>0</v>
      </c>
      <c r="T231">
        <v>50</v>
      </c>
      <c r="U231" s="3"/>
      <c r="V231">
        <f t="shared" si="179"/>
        <v>1615.0877581678167</v>
      </c>
      <c r="W231" s="3"/>
      <c r="X231">
        <f t="shared" si="180"/>
        <v>1302.3262895788191</v>
      </c>
      <c r="Y231">
        <f t="shared" si="181"/>
        <v>36.087758167816673</v>
      </c>
      <c r="AA231">
        <f t="shared" si="182"/>
        <v>3.7969398409754821E-5</v>
      </c>
    </row>
    <row r="232" spans="2:27" x14ac:dyDescent="0.35">
      <c r="B232">
        <v>194.12515964240106</v>
      </c>
      <c r="C232">
        <v>1609</v>
      </c>
      <c r="D232">
        <f t="shared" si="165"/>
        <v>10.248600649850568</v>
      </c>
      <c r="E232">
        <f t="shared" si="166"/>
        <v>228.11514062053971</v>
      </c>
      <c r="F232">
        <f t="shared" si="167"/>
        <v>17.209930871246062</v>
      </c>
      <c r="G232">
        <f t="shared" si="168"/>
        <v>17.209930871246062</v>
      </c>
      <c r="H232">
        <f t="shared" si="169"/>
        <v>17.209930871246062</v>
      </c>
      <c r="I232" s="3"/>
      <c r="J232">
        <f t="shared" si="170"/>
        <v>8.1505190388742115</v>
      </c>
      <c r="K232">
        <f t="shared" si="171"/>
        <v>222.7092734063425</v>
      </c>
      <c r="L232">
        <f t="shared" si="172"/>
        <v>14.533476180662799</v>
      </c>
      <c r="M232">
        <f t="shared" si="173"/>
        <v>14.533476180662799</v>
      </c>
      <c r="N232">
        <f t="shared" si="174"/>
        <v>14.533476180662799</v>
      </c>
      <c r="O232" s="3"/>
      <c r="P232">
        <f t="shared" si="175"/>
        <v>307.862403485747</v>
      </c>
      <c r="Q232">
        <f t="shared" si="176"/>
        <v>1250.2343842228186</v>
      </c>
      <c r="R232">
        <f t="shared" si="177"/>
        <v>0</v>
      </c>
      <c r="S232">
        <f t="shared" si="178"/>
        <v>0</v>
      </c>
      <c r="T232">
        <v>50</v>
      </c>
      <c r="U232" s="3"/>
      <c r="V232">
        <f t="shared" si="179"/>
        <v>1608.0967877085654</v>
      </c>
      <c r="W232" s="3"/>
      <c r="X232">
        <f t="shared" si="180"/>
        <v>0.81579244339846202</v>
      </c>
      <c r="Y232">
        <f t="shared" si="181"/>
        <v>0.90321229143455639</v>
      </c>
      <c r="AA232">
        <f t="shared" si="182"/>
        <v>9.5030639427888532E-7</v>
      </c>
    </row>
    <row r="233" spans="2:27" x14ac:dyDescent="0.35">
      <c r="B233">
        <v>195.08301404853128</v>
      </c>
      <c r="C233">
        <v>1608</v>
      </c>
      <c r="D233">
        <f t="shared" si="165"/>
        <v>10.28843331641588</v>
      </c>
      <c r="E233">
        <f t="shared" si="166"/>
        <v>228.51238735802244</v>
      </c>
      <c r="F233">
        <f t="shared" si="167"/>
        <v>17.305716311859083</v>
      </c>
      <c r="G233">
        <f t="shared" si="168"/>
        <v>17.305716311859083</v>
      </c>
      <c r="H233">
        <f t="shared" si="169"/>
        <v>17.305716311859083</v>
      </c>
      <c r="I233" s="3"/>
      <c r="J233">
        <f t="shared" si="170"/>
        <v>8.1860070741672875</v>
      </c>
      <c r="K233">
        <f t="shared" si="171"/>
        <v>223.10474598391056</v>
      </c>
      <c r="L233">
        <f t="shared" si="172"/>
        <v>14.623112955733848</v>
      </c>
      <c r="M233">
        <f t="shared" si="173"/>
        <v>14.623112955733848</v>
      </c>
      <c r="N233">
        <f t="shared" si="174"/>
        <v>14.623112955733848</v>
      </c>
      <c r="O233" s="3"/>
      <c r="P233">
        <f t="shared" si="175"/>
        <v>305.34355642452522</v>
      </c>
      <c r="Q233">
        <f t="shared" si="176"/>
        <v>1245.8158854193714</v>
      </c>
      <c r="R233">
        <f t="shared" si="177"/>
        <v>0</v>
      </c>
      <c r="S233">
        <f t="shared" si="178"/>
        <v>0</v>
      </c>
      <c r="T233">
        <v>50</v>
      </c>
      <c r="U233" s="3"/>
      <c r="V233">
        <f t="shared" si="179"/>
        <v>1601.1594418438967</v>
      </c>
      <c r="W233" s="3"/>
      <c r="X233">
        <f t="shared" si="180"/>
        <v>46.793235887030974</v>
      </c>
      <c r="Y233">
        <f t="shared" si="181"/>
        <v>6.8405581561032704</v>
      </c>
      <c r="AA233">
        <f t="shared" si="182"/>
        <v>7.1972295083104852E-6</v>
      </c>
    </row>
    <row r="234" spans="2:27" x14ac:dyDescent="0.35">
      <c r="B234">
        <v>196.04086845466159</v>
      </c>
      <c r="C234">
        <v>1623</v>
      </c>
      <c r="D234">
        <f t="shared" si="165"/>
        <v>10.328265982981195</v>
      </c>
      <c r="E234">
        <f t="shared" si="166"/>
        <v>228.90963409550523</v>
      </c>
      <c r="F234">
        <f t="shared" si="167"/>
        <v>17.401501752472115</v>
      </c>
      <c r="G234">
        <f t="shared" si="168"/>
        <v>17.401501752472115</v>
      </c>
      <c r="H234">
        <f t="shared" si="169"/>
        <v>17.401501752472115</v>
      </c>
      <c r="I234" s="3"/>
      <c r="J234">
        <f t="shared" si="170"/>
        <v>8.221511865573083</v>
      </c>
      <c r="K234">
        <f t="shared" si="171"/>
        <v>223.50022168955252</v>
      </c>
      <c r="L234">
        <f t="shared" si="172"/>
        <v>14.712784914595218</v>
      </c>
      <c r="M234">
        <f t="shared" si="173"/>
        <v>14.712784914595218</v>
      </c>
      <c r="N234">
        <f t="shared" si="174"/>
        <v>14.712784914595218</v>
      </c>
      <c r="O234" s="3"/>
      <c r="P234">
        <f t="shared" si="175"/>
        <v>302.85436220289768</v>
      </c>
      <c r="Q234">
        <f t="shared" si="176"/>
        <v>1241.4207340248438</v>
      </c>
      <c r="R234">
        <f t="shared" si="177"/>
        <v>0</v>
      </c>
      <c r="S234">
        <f t="shared" si="178"/>
        <v>0</v>
      </c>
      <c r="T234">
        <v>50</v>
      </c>
      <c r="U234" s="3"/>
      <c r="V234">
        <f t="shared" si="179"/>
        <v>1594.2750962277414</v>
      </c>
      <c r="W234" s="3"/>
      <c r="X234">
        <f t="shared" si="180"/>
        <v>825.12009672551551</v>
      </c>
      <c r="Y234">
        <f t="shared" si="181"/>
        <v>28.724903772258585</v>
      </c>
      <c r="AA234">
        <f t="shared" si="182"/>
        <v>3.0222639781027476E-5</v>
      </c>
    </row>
    <row r="235" spans="2:27" x14ac:dyDescent="0.35">
      <c r="B235">
        <v>196.9987228607919</v>
      </c>
      <c r="C235">
        <v>1579</v>
      </c>
      <c r="D235">
        <f t="shared" si="165"/>
        <v>10.368098649546511</v>
      </c>
      <c r="E235">
        <f t="shared" si="166"/>
        <v>229.30688083298799</v>
      </c>
      <c r="F235">
        <f t="shared" si="167"/>
        <v>17.497287193085146</v>
      </c>
      <c r="G235">
        <f t="shared" si="168"/>
        <v>17.497287193085146</v>
      </c>
      <c r="H235">
        <f t="shared" si="169"/>
        <v>17.497287193085146</v>
      </c>
      <c r="I235" s="3"/>
      <c r="J235">
        <f t="shared" si="170"/>
        <v>8.2570332921306537</v>
      </c>
      <c r="K235">
        <f t="shared" si="171"/>
        <v>223.89570051228188</v>
      </c>
      <c r="L235">
        <f t="shared" si="172"/>
        <v>14.802491670378707</v>
      </c>
      <c r="M235">
        <f t="shared" si="173"/>
        <v>14.802491670378707</v>
      </c>
      <c r="N235">
        <f t="shared" si="174"/>
        <v>14.802491670378707</v>
      </c>
      <c r="O235" s="3"/>
      <c r="P235">
        <f t="shared" si="175"/>
        <v>300.39437044505195</v>
      </c>
      <c r="Q235">
        <f t="shared" si="176"/>
        <v>1237.0487660200079</v>
      </c>
      <c r="R235">
        <f t="shared" si="177"/>
        <v>0</v>
      </c>
      <c r="S235">
        <f t="shared" si="178"/>
        <v>0</v>
      </c>
      <c r="T235">
        <v>50</v>
      </c>
      <c r="U235" s="3"/>
      <c r="V235">
        <f t="shared" si="179"/>
        <v>1587.4431364650598</v>
      </c>
      <c r="W235" s="3"/>
      <c r="X235">
        <f t="shared" si="180"/>
        <v>71.286553367621678</v>
      </c>
      <c r="Y235">
        <f t="shared" si="181"/>
        <v>8.4431364650597516</v>
      </c>
      <c r="AA235">
        <f t="shared" si="182"/>
        <v>8.883367339666973E-6</v>
      </c>
    </row>
    <row r="236" spans="2:27" x14ac:dyDescent="0.35">
      <c r="B236">
        <v>198.27586206896549</v>
      </c>
      <c r="C236">
        <v>1540</v>
      </c>
      <c r="D236">
        <f t="shared" si="165"/>
        <v>10.421208871633592</v>
      </c>
      <c r="E236">
        <f t="shared" si="166"/>
        <v>229.83654314963164</v>
      </c>
      <c r="F236">
        <f t="shared" si="167"/>
        <v>17.625001113902506</v>
      </c>
      <c r="G236">
        <f t="shared" si="168"/>
        <v>17.625001113902506</v>
      </c>
      <c r="H236">
        <f t="shared" si="169"/>
        <v>17.625001113902506</v>
      </c>
      <c r="I236" s="3"/>
      <c r="J236">
        <f t="shared" si="170"/>
        <v>8.3044208643689945</v>
      </c>
      <c r="K236">
        <f t="shared" si="171"/>
        <v>224.4230104391761</v>
      </c>
      <c r="L236">
        <f t="shared" si="172"/>
        <v>14.922154149551904</v>
      </c>
      <c r="M236">
        <f t="shared" si="173"/>
        <v>14.922154149551904</v>
      </c>
      <c r="N236">
        <f t="shared" si="174"/>
        <v>14.922154149551904</v>
      </c>
      <c r="O236" s="3"/>
      <c r="P236">
        <f t="shared" si="175"/>
        <v>297.15904460876123</v>
      </c>
      <c r="Q236">
        <f t="shared" si="176"/>
        <v>1231.2552575954062</v>
      </c>
      <c r="R236">
        <f t="shared" si="177"/>
        <v>0</v>
      </c>
      <c r="S236">
        <f t="shared" si="178"/>
        <v>0</v>
      </c>
      <c r="T236">
        <v>50</v>
      </c>
      <c r="U236" s="3"/>
      <c r="V236">
        <f t="shared" si="179"/>
        <v>1578.4143022041674</v>
      </c>
      <c r="W236" s="3"/>
      <c r="X236">
        <f t="shared" si="180"/>
        <v>1475.6586138330981</v>
      </c>
      <c r="Y236">
        <f t="shared" si="181"/>
        <v>38.41430220416737</v>
      </c>
      <c r="AA236">
        <f t="shared" si="182"/>
        <v>4.0417250033655878E-5</v>
      </c>
    </row>
    <row r="237" spans="2:27" x14ac:dyDescent="0.35">
      <c r="B237">
        <v>199.2337164750958</v>
      </c>
      <c r="C237">
        <v>1458</v>
      </c>
      <c r="D237">
        <f t="shared" si="165"/>
        <v>10.461041538198907</v>
      </c>
      <c r="E237">
        <f t="shared" si="166"/>
        <v>230.23378988711443</v>
      </c>
      <c r="F237">
        <f t="shared" si="167"/>
        <v>17.720786554515538</v>
      </c>
      <c r="G237">
        <f t="shared" si="168"/>
        <v>17.720786554515538</v>
      </c>
      <c r="H237">
        <f t="shared" si="169"/>
        <v>17.720786554515538</v>
      </c>
      <c r="I237" s="3"/>
      <c r="J237">
        <f t="shared" si="170"/>
        <v>8.3399806428340568</v>
      </c>
      <c r="K237">
        <f t="shared" si="171"/>
        <v>224.81849649270785</v>
      </c>
      <c r="L237">
        <f t="shared" si="172"/>
        <v>15.011940628206206</v>
      </c>
      <c r="M237">
        <f t="shared" si="173"/>
        <v>15.011940628206206</v>
      </c>
      <c r="N237">
        <f t="shared" si="174"/>
        <v>15.011940628206206</v>
      </c>
      <c r="O237" s="3"/>
      <c r="P237">
        <f t="shared" si="175"/>
        <v>294.7654868433147</v>
      </c>
      <c r="Q237">
        <f t="shared" si="176"/>
        <v>1226.9367543551518</v>
      </c>
      <c r="R237">
        <f t="shared" si="177"/>
        <v>0</v>
      </c>
      <c r="S237">
        <f t="shared" si="178"/>
        <v>0</v>
      </c>
      <c r="T237">
        <v>50</v>
      </c>
      <c r="U237" s="3"/>
      <c r="V237">
        <f t="shared" si="179"/>
        <v>1571.7022411984665</v>
      </c>
      <c r="W237" s="3"/>
      <c r="X237">
        <f t="shared" si="180"/>
        <v>12928.199653554248</v>
      </c>
      <c r="Y237">
        <f t="shared" si="181"/>
        <v>113.70224119846648</v>
      </c>
      <c r="AA237">
        <f t="shared" si="182"/>
        <v>1.1963075334495919E-4</v>
      </c>
    </row>
    <row r="238" spans="2:27" x14ac:dyDescent="0.35">
      <c r="B238">
        <v>200.19157088122611</v>
      </c>
      <c r="C238">
        <v>1568</v>
      </c>
      <c r="D238">
        <f t="shared" si="165"/>
        <v>10.500874204764221</v>
      </c>
      <c r="E238">
        <f t="shared" si="166"/>
        <v>230.63103662459719</v>
      </c>
      <c r="F238">
        <f t="shared" si="167"/>
        <v>17.816571995128566</v>
      </c>
      <c r="G238">
        <f t="shared" si="168"/>
        <v>17.816571995128566</v>
      </c>
      <c r="H238">
        <f t="shared" si="169"/>
        <v>17.816571995128566</v>
      </c>
      <c r="I238" s="3"/>
      <c r="J238">
        <f t="shared" si="170"/>
        <v>8.3755566621406601</v>
      </c>
      <c r="K238">
        <f t="shared" si="171"/>
        <v>225.21398562712</v>
      </c>
      <c r="L238">
        <f t="shared" si="172"/>
        <v>15.101760658222632</v>
      </c>
      <c r="M238">
        <f t="shared" si="173"/>
        <v>15.101760658222632</v>
      </c>
      <c r="N238">
        <f t="shared" si="174"/>
        <v>15.101760658222632</v>
      </c>
      <c r="O238" s="3"/>
      <c r="P238">
        <f t="shared" si="175"/>
        <v>292.39968934047232</v>
      </c>
      <c r="Q238">
        <f t="shared" si="176"/>
        <v>1222.6408980644753</v>
      </c>
      <c r="R238">
        <f t="shared" si="177"/>
        <v>0</v>
      </c>
      <c r="S238">
        <f t="shared" si="178"/>
        <v>0</v>
      </c>
      <c r="T238">
        <v>50</v>
      </c>
      <c r="U238" s="3"/>
      <c r="V238">
        <f t="shared" si="179"/>
        <v>1565.0405874049477</v>
      </c>
      <c r="W238" s="3"/>
      <c r="X238">
        <f t="shared" si="180"/>
        <v>8.7581229077541849</v>
      </c>
      <c r="Y238">
        <f t="shared" si="181"/>
        <v>2.9594125950522994</v>
      </c>
      <c r="AA238">
        <f t="shared" si="182"/>
        <v>3.1137183794530354E-6</v>
      </c>
    </row>
    <row r="239" spans="2:27" x14ac:dyDescent="0.35">
      <c r="B239">
        <v>201.14942528735634</v>
      </c>
      <c r="C239">
        <v>1525</v>
      </c>
      <c r="D239">
        <f t="shared" si="165"/>
        <v>10.540706871329533</v>
      </c>
      <c r="E239">
        <f t="shared" si="166"/>
        <v>231.02828336207995</v>
      </c>
      <c r="F239">
        <f t="shared" si="167"/>
        <v>17.91235743574159</v>
      </c>
      <c r="G239">
        <f t="shared" si="168"/>
        <v>17.91235743574159</v>
      </c>
      <c r="H239">
        <f t="shared" si="169"/>
        <v>17.91235743574159</v>
      </c>
      <c r="I239" s="3"/>
      <c r="J239">
        <f t="shared" si="170"/>
        <v>8.4111488066020321</v>
      </c>
      <c r="K239">
        <f t="shared" si="171"/>
        <v>225.6094778316733</v>
      </c>
      <c r="L239">
        <f t="shared" si="172"/>
        <v>15.191613878651772</v>
      </c>
      <c r="M239">
        <f t="shared" si="173"/>
        <v>15.191613878651772</v>
      </c>
      <c r="N239">
        <f t="shared" si="174"/>
        <v>15.191613878651772</v>
      </c>
      <c r="O239" s="3"/>
      <c r="P239">
        <f t="shared" si="175"/>
        <v>290.0612364828221</v>
      </c>
      <c r="Q239">
        <f t="shared" si="176"/>
        <v>1218.3675308213478</v>
      </c>
      <c r="R239">
        <f t="shared" si="177"/>
        <v>0</v>
      </c>
      <c r="S239">
        <f t="shared" si="178"/>
        <v>0</v>
      </c>
      <c r="T239">
        <v>50</v>
      </c>
      <c r="U239" s="3"/>
      <c r="V239">
        <f t="shared" si="179"/>
        <v>1558.4287673041699</v>
      </c>
      <c r="W239" s="3"/>
      <c r="X239">
        <f t="shared" si="180"/>
        <v>1117.4824834763401</v>
      </c>
      <c r="Y239">
        <f t="shared" si="181"/>
        <v>33.428767304169924</v>
      </c>
      <c r="AA239">
        <f t="shared" si="182"/>
        <v>3.5171765954997947E-5</v>
      </c>
    </row>
    <row r="240" spans="2:27" x14ac:dyDescent="0.35">
      <c r="B240">
        <v>202.10727969348662</v>
      </c>
      <c r="C240">
        <v>1520</v>
      </c>
      <c r="D240">
        <f t="shared" si="165"/>
        <v>10.580539537894849</v>
      </c>
      <c r="E240">
        <f t="shared" si="166"/>
        <v>231.42553009956271</v>
      </c>
      <c r="F240">
        <f t="shared" si="167"/>
        <v>18.008142876354619</v>
      </c>
      <c r="G240">
        <f t="shared" si="168"/>
        <v>18.008142876354619</v>
      </c>
      <c r="H240">
        <f t="shared" si="169"/>
        <v>18.008142876354619</v>
      </c>
      <c r="I240" s="3"/>
      <c r="J240">
        <f t="shared" si="170"/>
        <v>8.4467569617065905</v>
      </c>
      <c r="K240">
        <f t="shared" si="171"/>
        <v>226.00497309568436</v>
      </c>
      <c r="L240">
        <f t="shared" si="172"/>
        <v>15.281499934200896</v>
      </c>
      <c r="M240">
        <f t="shared" si="173"/>
        <v>15.281499934200896</v>
      </c>
      <c r="N240">
        <f t="shared" si="174"/>
        <v>15.281499934200896</v>
      </c>
      <c r="O240" s="3"/>
      <c r="P240">
        <f t="shared" si="175"/>
        <v>287.74972022052589</v>
      </c>
      <c r="Q240">
        <f t="shared" si="176"/>
        <v>1214.1164960963195</v>
      </c>
      <c r="R240">
        <f t="shared" si="177"/>
        <v>0</v>
      </c>
      <c r="S240">
        <f t="shared" si="178"/>
        <v>0</v>
      </c>
      <c r="T240">
        <v>50</v>
      </c>
      <c r="U240" s="3"/>
      <c r="V240">
        <f t="shared" si="179"/>
        <v>1551.8662163168453</v>
      </c>
      <c r="W240" s="3"/>
      <c r="X240">
        <f t="shared" si="180"/>
        <v>1015.4557423519801</v>
      </c>
      <c r="Y240">
        <f t="shared" si="181"/>
        <v>31.866216316845339</v>
      </c>
      <c r="AA240">
        <f t="shared" si="182"/>
        <v>3.3527742497032275E-5</v>
      </c>
    </row>
    <row r="241" spans="2:27" x14ac:dyDescent="0.35">
      <c r="B241">
        <v>203.06513409961684</v>
      </c>
      <c r="C241">
        <v>1573</v>
      </c>
      <c r="D241">
        <f t="shared" si="165"/>
        <v>10.620372204460159</v>
      </c>
      <c r="E241">
        <f t="shared" si="166"/>
        <v>231.82277683704547</v>
      </c>
      <c r="F241">
        <f t="shared" si="167"/>
        <v>18.103928316967639</v>
      </c>
      <c r="G241">
        <f t="shared" si="168"/>
        <v>18.103928316967639</v>
      </c>
      <c r="H241">
        <f t="shared" si="169"/>
        <v>18.103928316967639</v>
      </c>
      <c r="I241" s="3"/>
      <c r="J241">
        <f t="shared" si="170"/>
        <v>8.4823810141027209</v>
      </c>
      <c r="K241">
        <f t="shared" si="171"/>
        <v>226.40047140852548</v>
      </c>
      <c r="L241">
        <f t="shared" si="172"/>
        <v>15.371418475118622</v>
      </c>
      <c r="M241">
        <f t="shared" si="173"/>
        <v>15.371418475118622</v>
      </c>
      <c r="N241">
        <f t="shared" si="174"/>
        <v>15.371418475118622</v>
      </c>
      <c r="O241" s="3"/>
      <c r="P241">
        <f t="shared" si="175"/>
        <v>285.46473990994616</v>
      </c>
      <c r="Q241">
        <f t="shared" si="176"/>
        <v>1209.8876387182329</v>
      </c>
      <c r="R241">
        <f t="shared" si="177"/>
        <v>0</v>
      </c>
      <c r="S241">
        <f t="shared" si="178"/>
        <v>0</v>
      </c>
      <c r="T241">
        <v>50</v>
      </c>
      <c r="U241" s="3"/>
      <c r="V241">
        <f t="shared" si="179"/>
        <v>1545.3523786281789</v>
      </c>
      <c r="W241" s="3"/>
      <c r="X241">
        <f t="shared" si="180"/>
        <v>764.39096751957663</v>
      </c>
      <c r="Y241">
        <f t="shared" si="181"/>
        <v>27.64762137182106</v>
      </c>
      <c r="AA241">
        <f t="shared" si="182"/>
        <v>2.9089187143936052E-5</v>
      </c>
    </row>
    <row r="242" spans="2:27" x14ac:dyDescent="0.35">
      <c r="B242">
        <v>204.34227330779055</v>
      </c>
      <c r="C242">
        <v>1522</v>
      </c>
      <c r="D242">
        <f t="shared" si="165"/>
        <v>10.673482426547245</v>
      </c>
      <c r="E242">
        <f t="shared" si="166"/>
        <v>232.35243915368915</v>
      </c>
      <c r="F242">
        <f t="shared" si="167"/>
        <v>18.23164223778501</v>
      </c>
      <c r="G242">
        <f t="shared" si="168"/>
        <v>18.23164223778501</v>
      </c>
      <c r="H242">
        <f t="shared" si="169"/>
        <v>18.23164223778501</v>
      </c>
      <c r="I242" s="3"/>
      <c r="J242">
        <f t="shared" si="170"/>
        <v>8.5299042859768512</v>
      </c>
      <c r="K242">
        <f t="shared" si="171"/>
        <v>226.92780721667248</v>
      </c>
      <c r="L242">
        <f t="shared" si="172"/>
        <v>15.491359801447553</v>
      </c>
      <c r="M242">
        <f t="shared" si="173"/>
        <v>15.491359801447553</v>
      </c>
      <c r="N242">
        <f t="shared" si="174"/>
        <v>15.491359801447553</v>
      </c>
      <c r="O242" s="3"/>
      <c r="P242">
        <f t="shared" si="175"/>
        <v>282.45869872600707</v>
      </c>
      <c r="Q242">
        <f t="shared" si="176"/>
        <v>1204.2833946274502</v>
      </c>
      <c r="R242">
        <f t="shared" si="177"/>
        <v>0</v>
      </c>
      <c r="S242">
        <f t="shared" si="178"/>
        <v>0</v>
      </c>
      <c r="T242">
        <v>50</v>
      </c>
      <c r="U242" s="3"/>
      <c r="V242">
        <f t="shared" si="179"/>
        <v>1536.7420933534572</v>
      </c>
      <c r="W242" s="3"/>
      <c r="X242">
        <f t="shared" si="180"/>
        <v>217.32931644204757</v>
      </c>
      <c r="Y242">
        <f t="shared" si="181"/>
        <v>14.742093353457221</v>
      </c>
      <c r="AA242">
        <f t="shared" si="182"/>
        <v>1.5510756122013795E-5</v>
      </c>
    </row>
    <row r="243" spans="2:27" x14ac:dyDescent="0.35">
      <c r="B243">
        <v>205.30012771392086</v>
      </c>
      <c r="C243">
        <v>1557</v>
      </c>
      <c r="D243">
        <f t="shared" si="165"/>
        <v>10.713315093112561</v>
      </c>
      <c r="E243">
        <f t="shared" si="166"/>
        <v>232.74968589117194</v>
      </c>
      <c r="F243">
        <f t="shared" si="167"/>
        <v>18.327427678398042</v>
      </c>
      <c r="G243">
        <f t="shared" si="168"/>
        <v>18.327427678398042</v>
      </c>
      <c r="H243">
        <f t="shared" si="169"/>
        <v>18.327427678398042</v>
      </c>
      <c r="I243" s="3"/>
      <c r="J243">
        <f t="shared" si="170"/>
        <v>8.565564997645728</v>
      </c>
      <c r="K243">
        <f t="shared" si="171"/>
        <v>227.32331260242955</v>
      </c>
      <c r="L243">
        <f t="shared" si="172"/>
        <v>15.581352811705349</v>
      </c>
      <c r="M243">
        <f t="shared" si="173"/>
        <v>15.581352811705349</v>
      </c>
      <c r="N243">
        <f t="shared" si="174"/>
        <v>15.581352811705349</v>
      </c>
      <c r="O243" s="3"/>
      <c r="P243">
        <f t="shared" si="175"/>
        <v>280.23411800861737</v>
      </c>
      <c r="Q243">
        <f t="shared" si="176"/>
        <v>1200.1056884734385</v>
      </c>
      <c r="R243">
        <f t="shared" si="177"/>
        <v>0</v>
      </c>
      <c r="S243">
        <f t="shared" si="178"/>
        <v>0</v>
      </c>
      <c r="T243">
        <v>50</v>
      </c>
      <c r="U243" s="3"/>
      <c r="V243">
        <f t="shared" si="179"/>
        <v>1530.3398064820558</v>
      </c>
      <c r="W243" s="3"/>
      <c r="X243">
        <f t="shared" si="180"/>
        <v>710.76591841423442</v>
      </c>
      <c r="Y243">
        <f t="shared" si="181"/>
        <v>26.660193517944208</v>
      </c>
      <c r="AA243">
        <f t="shared" si="182"/>
        <v>2.8050274130542634E-5</v>
      </c>
    </row>
    <row r="244" spans="2:27" x14ac:dyDescent="0.35">
      <c r="B244">
        <v>206.25798212005108</v>
      </c>
      <c r="C244">
        <v>1544</v>
      </c>
      <c r="D244">
        <f t="shared" si="165"/>
        <v>10.753147759677873</v>
      </c>
      <c r="E244">
        <f t="shared" si="166"/>
        <v>233.14693262865467</v>
      </c>
      <c r="F244">
        <f t="shared" si="167"/>
        <v>18.423213119011063</v>
      </c>
      <c r="G244">
        <f t="shared" si="168"/>
        <v>18.423213119011063</v>
      </c>
      <c r="H244">
        <f t="shared" si="169"/>
        <v>18.423213119011063</v>
      </c>
      <c r="I244" s="3"/>
      <c r="J244">
        <f t="shared" si="170"/>
        <v>8.6012412369545324</v>
      </c>
      <c r="K244">
        <f t="shared" si="171"/>
        <v>227.71882100198732</v>
      </c>
      <c r="L244">
        <f t="shared" si="172"/>
        <v>15.671377180091906</v>
      </c>
      <c r="M244">
        <f t="shared" si="173"/>
        <v>15.671377180091906</v>
      </c>
      <c r="N244">
        <f t="shared" si="174"/>
        <v>15.671377180091906</v>
      </c>
      <c r="O244" s="3"/>
      <c r="P244">
        <f t="shared" si="175"/>
        <v>278.03478926022774</v>
      </c>
      <c r="Q244">
        <f t="shared" si="176"/>
        <v>1195.949652059207</v>
      </c>
      <c r="R244">
        <f t="shared" si="177"/>
        <v>0</v>
      </c>
      <c r="S244">
        <f t="shared" si="178"/>
        <v>0</v>
      </c>
      <c r="T244">
        <v>50</v>
      </c>
      <c r="U244" s="3"/>
      <c r="V244">
        <f t="shared" si="179"/>
        <v>1523.9844413194346</v>
      </c>
      <c r="W244" s="3"/>
      <c r="X244">
        <f t="shared" si="180"/>
        <v>400.62258929515656</v>
      </c>
      <c r="Y244">
        <f t="shared" si="181"/>
        <v>20.015558680565391</v>
      </c>
      <c r="AA244">
        <f t="shared" si="182"/>
        <v>2.1059183515976022E-5</v>
      </c>
    </row>
    <row r="245" spans="2:27" x14ac:dyDescent="0.35">
      <c r="B245">
        <v>207.21583652618139</v>
      </c>
      <c r="C245">
        <v>1555</v>
      </c>
      <c r="D245">
        <f t="shared" si="165"/>
        <v>10.792980426243188</v>
      </c>
      <c r="E245">
        <f t="shared" si="166"/>
        <v>233.54417936613746</v>
      </c>
      <c r="F245">
        <f t="shared" si="167"/>
        <v>18.518998559624094</v>
      </c>
      <c r="G245">
        <f t="shared" si="168"/>
        <v>18.518998559624094</v>
      </c>
      <c r="H245">
        <f t="shared" si="169"/>
        <v>18.518998559624094</v>
      </c>
      <c r="I245" s="3"/>
      <c r="J245">
        <f t="shared" si="170"/>
        <v>8.6369328954081137</v>
      </c>
      <c r="K245">
        <f t="shared" si="171"/>
        <v>228.11433240495455</v>
      </c>
      <c r="L245">
        <f t="shared" si="172"/>
        <v>15.761432579604399</v>
      </c>
      <c r="M245">
        <f t="shared" si="173"/>
        <v>15.761432579604399</v>
      </c>
      <c r="N245">
        <f t="shared" si="174"/>
        <v>15.761432579604399</v>
      </c>
      <c r="O245" s="3"/>
      <c r="P245">
        <f t="shared" si="175"/>
        <v>275.86034215961149</v>
      </c>
      <c r="Q245">
        <f t="shared" si="176"/>
        <v>1191.8151359386763</v>
      </c>
      <c r="R245">
        <f t="shared" si="177"/>
        <v>0</v>
      </c>
      <c r="S245">
        <f t="shared" si="178"/>
        <v>0</v>
      </c>
      <c r="T245">
        <v>50</v>
      </c>
      <c r="U245" s="3"/>
      <c r="V245">
        <f t="shared" si="179"/>
        <v>1517.6754780982878</v>
      </c>
      <c r="W245" s="3"/>
      <c r="X245">
        <f t="shared" si="180"/>
        <v>1393.1199351913906</v>
      </c>
      <c r="Y245">
        <f t="shared" si="181"/>
        <v>37.32452190171216</v>
      </c>
      <c r="AA245">
        <f t="shared" si="182"/>
        <v>3.9270647845439975E-5</v>
      </c>
    </row>
    <row r="246" spans="2:27" x14ac:dyDescent="0.35">
      <c r="B246">
        <v>208.1736909323117</v>
      </c>
      <c r="C246">
        <v>1459</v>
      </c>
      <c r="D246">
        <f t="shared" si="165"/>
        <v>10.832813092808502</v>
      </c>
      <c r="E246">
        <f t="shared" si="166"/>
        <v>233.94142610362024</v>
      </c>
      <c r="F246">
        <f t="shared" si="167"/>
        <v>18.614784000237126</v>
      </c>
      <c r="G246">
        <f t="shared" si="168"/>
        <v>18.614784000237126</v>
      </c>
      <c r="H246">
        <f t="shared" si="169"/>
        <v>18.614784000237126</v>
      </c>
      <c r="I246" s="3"/>
      <c r="J246">
        <f t="shared" si="170"/>
        <v>8.6726398655940429</v>
      </c>
      <c r="K246">
        <f t="shared" si="171"/>
        <v>228.5098468009935</v>
      </c>
      <c r="L246">
        <f t="shared" si="172"/>
        <v>15.85151868821289</v>
      </c>
      <c r="M246">
        <f t="shared" si="173"/>
        <v>15.85151868821289</v>
      </c>
      <c r="N246">
        <f t="shared" si="174"/>
        <v>15.85151868821289</v>
      </c>
      <c r="O246" s="3"/>
      <c r="P246">
        <f t="shared" si="175"/>
        <v>273.71041299485</v>
      </c>
      <c r="Q246">
        <f t="shared" si="176"/>
        <v>1187.701991950755</v>
      </c>
      <c r="R246">
        <f t="shared" si="177"/>
        <v>0</v>
      </c>
      <c r="S246">
        <f t="shared" si="178"/>
        <v>0</v>
      </c>
      <c r="T246">
        <v>50</v>
      </c>
      <c r="U246" s="3"/>
      <c r="V246">
        <f t="shared" si="179"/>
        <v>1511.412404945605</v>
      </c>
      <c r="W246" s="3"/>
      <c r="X246">
        <f t="shared" si="180"/>
        <v>2747.0601921820771</v>
      </c>
      <c r="Y246">
        <f t="shared" si="181"/>
        <v>52.412404945604976</v>
      </c>
      <c r="AA246">
        <f t="shared" si="182"/>
        <v>5.5145223367403188E-5</v>
      </c>
    </row>
    <row r="247" spans="2:27" x14ac:dyDescent="0.35">
      <c r="B247">
        <v>209.1315453384419</v>
      </c>
      <c r="C247">
        <v>1467</v>
      </c>
      <c r="D247">
        <f t="shared" si="165"/>
        <v>10.872645759373814</v>
      </c>
      <c r="E247">
        <f t="shared" si="166"/>
        <v>234.33867284110298</v>
      </c>
      <c r="F247">
        <f t="shared" si="167"/>
        <v>18.710569440850147</v>
      </c>
      <c r="G247">
        <f t="shared" si="168"/>
        <v>18.710569440850147</v>
      </c>
      <c r="H247">
        <f t="shared" si="169"/>
        <v>18.710569440850147</v>
      </c>
      <c r="I247" s="3"/>
      <c r="J247">
        <f t="shared" si="170"/>
        <v>8.7083620411688329</v>
      </c>
      <c r="K247">
        <f t="shared" si="171"/>
        <v>228.90536417981957</v>
      </c>
      <c r="L247">
        <f t="shared" si="172"/>
        <v>15.941635188761884</v>
      </c>
      <c r="M247">
        <f t="shared" si="173"/>
        <v>15.941635188761884</v>
      </c>
      <c r="N247">
        <f t="shared" si="174"/>
        <v>15.941635188761884</v>
      </c>
      <c r="O247" s="3"/>
      <c r="P247">
        <f t="shared" si="175"/>
        <v>271.58464452509628</v>
      </c>
      <c r="Q247">
        <f t="shared" si="176"/>
        <v>1183.6100732061127</v>
      </c>
      <c r="R247">
        <f t="shared" si="177"/>
        <v>0</v>
      </c>
      <c r="S247">
        <f t="shared" si="178"/>
        <v>0</v>
      </c>
      <c r="T247">
        <v>50</v>
      </c>
      <c r="U247" s="3"/>
      <c r="V247">
        <f t="shared" si="179"/>
        <v>1505.194717731209</v>
      </c>
      <c r="W247" s="3"/>
      <c r="X247">
        <f t="shared" si="180"/>
        <v>1458.8364625667341</v>
      </c>
      <c r="Y247">
        <f t="shared" si="181"/>
        <v>38.194717731209039</v>
      </c>
      <c r="AA247">
        <f t="shared" si="182"/>
        <v>4.0186216277012431E-5</v>
      </c>
    </row>
    <row r="248" spans="2:27" x14ac:dyDescent="0.35">
      <c r="B248">
        <v>210.08939974457221</v>
      </c>
      <c r="C248">
        <v>1490</v>
      </c>
      <c r="D248">
        <f t="shared" si="165"/>
        <v>10.912478425939129</v>
      </c>
      <c r="E248">
        <f t="shared" si="166"/>
        <v>234.73591957858577</v>
      </c>
      <c r="F248">
        <f t="shared" si="167"/>
        <v>18.806354881463175</v>
      </c>
      <c r="G248">
        <f t="shared" si="168"/>
        <v>18.806354881463175</v>
      </c>
      <c r="H248">
        <f t="shared" si="169"/>
        <v>18.806354881463175</v>
      </c>
      <c r="I248" s="3"/>
      <c r="J248">
        <f t="shared" si="170"/>
        <v>8.7440993168443608</v>
      </c>
      <c r="K248">
        <f t="shared" si="171"/>
        <v>229.30088453120121</v>
      </c>
      <c r="L248">
        <f t="shared" si="172"/>
        <v>16.031781768874282</v>
      </c>
      <c r="M248">
        <f t="shared" si="173"/>
        <v>16.031781768874282</v>
      </c>
      <c r="N248">
        <f t="shared" si="174"/>
        <v>16.031781768874282</v>
      </c>
      <c r="O248" s="3"/>
      <c r="P248">
        <f t="shared" si="175"/>
        <v>269.48268584563903</v>
      </c>
      <c r="Q248">
        <f t="shared" si="176"/>
        <v>1179.5392340741107</v>
      </c>
      <c r="R248">
        <f t="shared" si="177"/>
        <v>0</v>
      </c>
      <c r="S248">
        <f t="shared" si="178"/>
        <v>0</v>
      </c>
      <c r="T248">
        <v>50</v>
      </c>
      <c r="U248" s="3"/>
      <c r="V248">
        <f t="shared" si="179"/>
        <v>1499.0219199197497</v>
      </c>
      <c r="W248" s="3"/>
      <c r="X248">
        <f t="shared" si="180"/>
        <v>81.395039038377064</v>
      </c>
      <c r="Y248">
        <f t="shared" si="181"/>
        <v>9.0219199197497346</v>
      </c>
      <c r="AA248">
        <f t="shared" si="182"/>
        <v>9.4923289571191941E-6</v>
      </c>
    </row>
    <row r="249" spans="2:27" x14ac:dyDescent="0.35">
      <c r="B249">
        <v>211.36653895274591</v>
      </c>
      <c r="C249">
        <v>1507</v>
      </c>
      <c r="D249">
        <f t="shared" si="165"/>
        <v>10.965588648026214</v>
      </c>
      <c r="E249">
        <f t="shared" si="166"/>
        <v>235.26558189522945</v>
      </c>
      <c r="F249">
        <f t="shared" si="167"/>
        <v>18.934068802280546</v>
      </c>
      <c r="G249">
        <f t="shared" si="168"/>
        <v>18.934068802280546</v>
      </c>
      <c r="H249">
        <f t="shared" si="169"/>
        <v>18.934068802280546</v>
      </c>
      <c r="I249" s="3"/>
      <c r="J249">
        <f t="shared" si="170"/>
        <v>8.7917723267605776</v>
      </c>
      <c r="K249">
        <f t="shared" si="171"/>
        <v>229.82824960609912</v>
      </c>
      <c r="L249">
        <f t="shared" si="172"/>
        <v>16.152023468305167</v>
      </c>
      <c r="M249">
        <f t="shared" si="173"/>
        <v>16.152023468305167</v>
      </c>
      <c r="N249">
        <f t="shared" si="174"/>
        <v>16.152023468305167</v>
      </c>
      <c r="O249" s="3"/>
      <c r="P249">
        <f t="shared" si="175"/>
        <v>266.71651682385351</v>
      </c>
      <c r="Q249">
        <f t="shared" si="176"/>
        <v>1174.1439896970942</v>
      </c>
      <c r="R249">
        <f t="shared" si="177"/>
        <v>0</v>
      </c>
      <c r="S249">
        <f t="shared" si="178"/>
        <v>0</v>
      </c>
      <c r="T249">
        <v>50</v>
      </c>
      <c r="U249" s="3"/>
      <c r="V249">
        <f t="shared" si="179"/>
        <v>1490.8605065209476</v>
      </c>
      <c r="W249" s="3"/>
      <c r="X249">
        <f t="shared" si="180"/>
        <v>260.48324976037372</v>
      </c>
      <c r="Y249">
        <f t="shared" si="181"/>
        <v>16.139493479052362</v>
      </c>
      <c r="AA249">
        <f t="shared" si="182"/>
        <v>1.6981017640056254E-5</v>
      </c>
    </row>
    <row r="250" spans="2:27" x14ac:dyDescent="0.35">
      <c r="B250">
        <v>212.32439335887614</v>
      </c>
      <c r="C250">
        <v>1421</v>
      </c>
      <c r="D250">
        <f t="shared" si="165"/>
        <v>11.005421314591526</v>
      </c>
      <c r="E250">
        <f t="shared" si="166"/>
        <v>235.66282863271221</v>
      </c>
      <c r="F250">
        <f t="shared" si="167"/>
        <v>19.02985424289357</v>
      </c>
      <c r="G250">
        <f t="shared" si="168"/>
        <v>19.02985424289357</v>
      </c>
      <c r="H250">
        <f t="shared" si="169"/>
        <v>19.02985424289357</v>
      </c>
      <c r="I250" s="3"/>
      <c r="J250">
        <f t="shared" si="170"/>
        <v>8.827544432379181</v>
      </c>
      <c r="K250">
        <f t="shared" si="171"/>
        <v>230.22377685394787</v>
      </c>
      <c r="L250">
        <f t="shared" si="172"/>
        <v>16.242239045409278</v>
      </c>
      <c r="M250">
        <f t="shared" si="173"/>
        <v>16.242239045409278</v>
      </c>
      <c r="N250">
        <f t="shared" si="174"/>
        <v>16.242239045409278</v>
      </c>
      <c r="O250" s="3"/>
      <c r="P250">
        <f t="shared" si="175"/>
        <v>264.66878430386691</v>
      </c>
      <c r="Q250">
        <f t="shared" si="176"/>
        <v>1170.1217769605944</v>
      </c>
      <c r="R250">
        <f t="shared" si="177"/>
        <v>0</v>
      </c>
      <c r="S250">
        <f t="shared" si="178"/>
        <v>0</v>
      </c>
      <c r="T250">
        <v>50</v>
      </c>
      <c r="U250" s="3"/>
      <c r="V250">
        <f t="shared" si="179"/>
        <v>1484.7905612644613</v>
      </c>
      <c r="W250" s="3"/>
      <c r="X250">
        <f t="shared" si="180"/>
        <v>4069.2357064349908</v>
      </c>
      <c r="Y250">
        <f t="shared" si="181"/>
        <v>63.790561264461303</v>
      </c>
      <c r="AA250">
        <f t="shared" si="182"/>
        <v>6.7116644491157151E-5</v>
      </c>
    </row>
    <row r="251" spans="2:27" x14ac:dyDescent="0.35">
      <c r="B251">
        <v>213.28224776500642</v>
      </c>
      <c r="C251">
        <v>1493</v>
      </c>
      <c r="D251">
        <f t="shared" si="165"/>
        <v>11.04525398115684</v>
      </c>
      <c r="E251">
        <f t="shared" si="166"/>
        <v>236.06007537019497</v>
      </c>
      <c r="F251">
        <f t="shared" si="167"/>
        <v>19.125639683506598</v>
      </c>
      <c r="G251">
        <f t="shared" si="168"/>
        <v>19.125639683506598</v>
      </c>
      <c r="H251">
        <f t="shared" si="169"/>
        <v>19.125639683506598</v>
      </c>
      <c r="I251" s="3"/>
      <c r="J251">
        <f t="shared" si="170"/>
        <v>8.8633312945899814</v>
      </c>
      <c r="K251">
        <f t="shared" si="171"/>
        <v>230.61930704062357</v>
      </c>
      <c r="L251">
        <f t="shared" si="172"/>
        <v>16.33248369414304</v>
      </c>
      <c r="M251">
        <f t="shared" si="173"/>
        <v>16.33248369414304</v>
      </c>
      <c r="N251">
        <f t="shared" si="174"/>
        <v>16.33248369414304</v>
      </c>
      <c r="O251" s="3"/>
      <c r="P251">
        <f t="shared" si="175"/>
        <v>262.64373598478517</v>
      </c>
      <c r="Q251">
        <f t="shared" si="176"/>
        <v>1166.1201673272135</v>
      </c>
      <c r="R251">
        <f t="shared" si="177"/>
        <v>0</v>
      </c>
      <c r="S251">
        <f t="shared" si="178"/>
        <v>0</v>
      </c>
      <c r="T251">
        <v>50</v>
      </c>
      <c r="U251" s="3"/>
      <c r="V251">
        <f t="shared" si="179"/>
        <v>1478.7639033119985</v>
      </c>
      <c r="W251" s="3"/>
      <c r="X251">
        <f t="shared" si="180"/>
        <v>202.66644891012595</v>
      </c>
      <c r="Y251">
        <f t="shared" si="181"/>
        <v>14.236096688001453</v>
      </c>
      <c r="AA251">
        <f t="shared" si="182"/>
        <v>1.4978376446464116E-5</v>
      </c>
    </row>
    <row r="252" spans="2:27" x14ac:dyDescent="0.35">
      <c r="B252">
        <v>214.24010217113664</v>
      </c>
      <c r="C252">
        <v>1461</v>
      </c>
      <c r="D252">
        <f t="shared" si="165"/>
        <v>11.085086647722152</v>
      </c>
      <c r="E252">
        <f t="shared" si="166"/>
        <v>236.4573221076777</v>
      </c>
      <c r="F252">
        <f t="shared" si="167"/>
        <v>19.221425124119619</v>
      </c>
      <c r="G252">
        <f t="shared" si="168"/>
        <v>19.221425124119619</v>
      </c>
      <c r="H252">
        <f t="shared" si="169"/>
        <v>19.221425124119619</v>
      </c>
      <c r="I252" s="3"/>
      <c r="J252">
        <f t="shared" si="170"/>
        <v>8.8991328125261457</v>
      </c>
      <c r="K252">
        <f t="shared" si="171"/>
        <v>231.01484015611933</v>
      </c>
      <c r="L252">
        <f t="shared" si="172"/>
        <v>16.422757121780542</v>
      </c>
      <c r="M252">
        <f t="shared" si="173"/>
        <v>16.422757121780542</v>
      </c>
      <c r="N252">
        <f t="shared" si="174"/>
        <v>16.422757121780542</v>
      </c>
      <c r="O252" s="3"/>
      <c r="P252">
        <f t="shared" si="175"/>
        <v>260.64104693588547</v>
      </c>
      <c r="Q252">
        <f t="shared" si="176"/>
        <v>1162.1390204734162</v>
      </c>
      <c r="R252">
        <f t="shared" si="177"/>
        <v>0</v>
      </c>
      <c r="S252">
        <f t="shared" si="178"/>
        <v>0</v>
      </c>
      <c r="T252">
        <v>50</v>
      </c>
      <c r="U252" s="3"/>
      <c r="V252">
        <f t="shared" si="179"/>
        <v>1472.7800674093016</v>
      </c>
      <c r="W252" s="3"/>
      <c r="X252">
        <f t="shared" si="180"/>
        <v>138.76998816769057</v>
      </c>
      <c r="Y252">
        <f t="shared" si="181"/>
        <v>11.780067409301637</v>
      </c>
      <c r="AA252">
        <f t="shared" si="182"/>
        <v>1.2394288131658774E-5</v>
      </c>
    </row>
    <row r="253" spans="2:27" x14ac:dyDescent="0.35">
      <c r="B253">
        <v>215.19795657726695</v>
      </c>
      <c r="C253">
        <v>1450</v>
      </c>
      <c r="D253">
        <f t="shared" si="165"/>
        <v>11.124919314287467</v>
      </c>
      <c r="E253">
        <f t="shared" si="166"/>
        <v>236.85456884516049</v>
      </c>
      <c r="F253">
        <f t="shared" si="167"/>
        <v>19.317210564732651</v>
      </c>
      <c r="G253">
        <f t="shared" si="168"/>
        <v>19.317210564732651</v>
      </c>
      <c r="H253">
        <f t="shared" si="169"/>
        <v>19.317210564732651</v>
      </c>
      <c r="I253" s="3"/>
      <c r="J253">
        <f t="shared" si="170"/>
        <v>8.9349488863071915</v>
      </c>
      <c r="K253">
        <f t="shared" si="171"/>
        <v>231.41037619047935</v>
      </c>
      <c r="L253">
        <f t="shared" si="172"/>
        <v>16.513059039899417</v>
      </c>
      <c r="M253">
        <f t="shared" si="173"/>
        <v>16.513059039899417</v>
      </c>
      <c r="N253">
        <f t="shared" si="174"/>
        <v>16.513059039899417</v>
      </c>
      <c r="O253" s="3"/>
      <c r="P253">
        <f t="shared" si="175"/>
        <v>258.66039789514264</v>
      </c>
      <c r="Q253">
        <f t="shared" si="176"/>
        <v>1158.1781972672547</v>
      </c>
      <c r="R253">
        <f t="shared" si="177"/>
        <v>0</v>
      </c>
      <c r="S253">
        <f t="shared" si="178"/>
        <v>0</v>
      </c>
      <c r="T253">
        <v>50</v>
      </c>
      <c r="U253" s="3"/>
      <c r="V253">
        <f t="shared" si="179"/>
        <v>1466.8385951623973</v>
      </c>
      <c r="W253" s="3"/>
      <c r="X253">
        <f t="shared" si="180"/>
        <v>283.53828704310871</v>
      </c>
      <c r="Y253">
        <f t="shared" si="181"/>
        <v>16.838595162397269</v>
      </c>
      <c r="AA253">
        <f t="shared" si="182"/>
        <v>1.7716570960393166E-5</v>
      </c>
    </row>
    <row r="254" spans="2:27" x14ac:dyDescent="0.35">
      <c r="B254">
        <v>216.15581098339726</v>
      </c>
      <c r="C254">
        <v>1431</v>
      </c>
      <c r="D254">
        <f t="shared" si="165"/>
        <v>11.164751980852783</v>
      </c>
      <c r="E254">
        <f t="shared" si="166"/>
        <v>237.25181558264325</v>
      </c>
      <c r="F254">
        <f t="shared" si="167"/>
        <v>19.412996005345683</v>
      </c>
      <c r="G254">
        <f t="shared" si="168"/>
        <v>19.412996005345683</v>
      </c>
      <c r="H254">
        <f t="shared" si="169"/>
        <v>19.412996005345683</v>
      </c>
      <c r="I254" s="3"/>
      <c r="J254">
        <f t="shared" si="170"/>
        <v>8.9707794170266446</v>
      </c>
      <c r="K254">
        <f t="shared" si="171"/>
        <v>231.80591513379829</v>
      </c>
      <c r="L254">
        <f t="shared" si="172"/>
        <v>16.603389164298338</v>
      </c>
      <c r="M254">
        <f t="shared" si="173"/>
        <v>16.603389164298338</v>
      </c>
      <c r="N254">
        <f t="shared" si="174"/>
        <v>16.603389164298338</v>
      </c>
      <c r="O254" s="3"/>
      <c r="P254">
        <f t="shared" si="175"/>
        <v>256.70147515325391</v>
      </c>
      <c r="Q254">
        <f t="shared" si="176"/>
        <v>1154.2375597562555</v>
      </c>
      <c r="R254">
        <f t="shared" si="177"/>
        <v>0</v>
      </c>
      <c r="S254">
        <f t="shared" si="178"/>
        <v>0</v>
      </c>
      <c r="T254">
        <v>50</v>
      </c>
      <c r="U254" s="3"/>
      <c r="V254">
        <f t="shared" si="179"/>
        <v>1460.9390349095092</v>
      </c>
      <c r="W254" s="3"/>
      <c r="X254">
        <f t="shared" si="180"/>
        <v>896.34581131281334</v>
      </c>
      <c r="Y254">
        <f t="shared" si="181"/>
        <v>29.939034909509246</v>
      </c>
      <c r="AA254">
        <f t="shared" si="182"/>
        <v>3.1500076541093972E-5</v>
      </c>
    </row>
    <row r="255" spans="2:27" x14ac:dyDescent="0.35">
      <c r="B255">
        <v>217.43295019157088</v>
      </c>
      <c r="C255">
        <v>1385</v>
      </c>
      <c r="D255">
        <f t="shared" si="165"/>
        <v>11.217862202939864</v>
      </c>
      <c r="E255">
        <f t="shared" si="166"/>
        <v>237.78147789928693</v>
      </c>
      <c r="F255">
        <f t="shared" si="167"/>
        <v>19.540709926163043</v>
      </c>
      <c r="G255">
        <f t="shared" si="168"/>
        <v>19.540709926163043</v>
      </c>
      <c r="H255">
        <f t="shared" si="169"/>
        <v>19.540709926163043</v>
      </c>
      <c r="I255" s="3"/>
      <c r="J255">
        <f t="shared" si="170"/>
        <v>9.0185757774068573</v>
      </c>
      <c r="K255">
        <f t="shared" si="171"/>
        <v>232.33330489957797</v>
      </c>
      <c r="L255">
        <f t="shared" si="172"/>
        <v>16.723872723129997</v>
      </c>
      <c r="M255">
        <f t="shared" si="173"/>
        <v>16.723872723129997</v>
      </c>
      <c r="N255">
        <f t="shared" si="174"/>
        <v>16.723872723129997</v>
      </c>
      <c r="O255" s="3"/>
      <c r="P255">
        <f t="shared" si="175"/>
        <v>254.12284258648896</v>
      </c>
      <c r="Q255">
        <f t="shared" si="176"/>
        <v>1149.0145401267234</v>
      </c>
      <c r="R255">
        <f t="shared" si="177"/>
        <v>0</v>
      </c>
      <c r="S255">
        <f t="shared" si="178"/>
        <v>0</v>
      </c>
      <c r="T255">
        <v>50</v>
      </c>
      <c r="U255" s="3"/>
      <c r="V255">
        <f t="shared" si="179"/>
        <v>1453.1373827132124</v>
      </c>
      <c r="W255" s="3"/>
      <c r="X255">
        <f t="shared" si="180"/>
        <v>4642.7029230067819</v>
      </c>
      <c r="Y255">
        <f t="shared" si="181"/>
        <v>68.137382713212446</v>
      </c>
      <c r="AA255">
        <f t="shared" si="182"/>
        <v>7.1690112165048001E-5</v>
      </c>
    </row>
    <row r="256" spans="2:27" x14ac:dyDescent="0.35">
      <c r="B256">
        <v>218.39080459770119</v>
      </c>
      <c r="C256">
        <v>1423</v>
      </c>
      <c r="D256">
        <f t="shared" si="165"/>
        <v>11.25769486950518</v>
      </c>
      <c r="E256">
        <f t="shared" si="166"/>
        <v>238.17872463676969</v>
      </c>
      <c r="F256">
        <f t="shared" si="167"/>
        <v>19.636495366776074</v>
      </c>
      <c r="G256">
        <f t="shared" si="168"/>
        <v>19.636495366776074</v>
      </c>
      <c r="H256">
        <f t="shared" si="169"/>
        <v>19.636495366776074</v>
      </c>
      <c r="I256" s="3"/>
      <c r="J256">
        <f t="shared" si="170"/>
        <v>9.0544396617270628</v>
      </c>
      <c r="K256">
        <f t="shared" si="171"/>
        <v>232.72885059222895</v>
      </c>
      <c r="L256">
        <f t="shared" si="172"/>
        <v>16.81426758006646</v>
      </c>
      <c r="M256">
        <f t="shared" si="173"/>
        <v>16.81426758006646</v>
      </c>
      <c r="N256">
        <f t="shared" si="174"/>
        <v>16.81426758006646</v>
      </c>
      <c r="O256" s="3"/>
      <c r="P256">
        <f t="shared" si="175"/>
        <v>252.21342490945972</v>
      </c>
      <c r="Q256">
        <f t="shared" si="176"/>
        <v>1145.1204726253334</v>
      </c>
      <c r="R256">
        <f t="shared" si="177"/>
        <v>0</v>
      </c>
      <c r="S256">
        <f t="shared" si="178"/>
        <v>0</v>
      </c>
      <c r="T256">
        <v>50</v>
      </c>
      <c r="U256" s="3"/>
      <c r="V256">
        <f t="shared" si="179"/>
        <v>1447.3338975347931</v>
      </c>
      <c r="W256" s="3"/>
      <c r="X256">
        <f t="shared" si="180"/>
        <v>592.13856923380945</v>
      </c>
      <c r="Y256">
        <f t="shared" si="181"/>
        <v>24.333897534793095</v>
      </c>
      <c r="AA256">
        <f t="shared" si="182"/>
        <v>2.5602683493503602E-5</v>
      </c>
    </row>
    <row r="257" spans="2:27" x14ac:dyDescent="0.35">
      <c r="B257">
        <v>219.3486590038315</v>
      </c>
      <c r="C257">
        <v>1445</v>
      </c>
      <c r="D257">
        <f t="shared" si="165"/>
        <v>11.297527536070495</v>
      </c>
      <c r="E257">
        <f t="shared" si="166"/>
        <v>238.57597137425248</v>
      </c>
      <c r="F257">
        <f t="shared" si="167"/>
        <v>19.732280807389106</v>
      </c>
      <c r="G257">
        <f t="shared" si="168"/>
        <v>19.732280807389106</v>
      </c>
      <c r="H257">
        <f t="shared" si="169"/>
        <v>19.732280807389106</v>
      </c>
      <c r="I257" s="3"/>
      <c r="J257">
        <f t="shared" si="170"/>
        <v>9.0903176801774368</v>
      </c>
      <c r="K257">
        <f t="shared" si="171"/>
        <v>233.1243991611824</v>
      </c>
      <c r="L257">
        <f t="shared" si="172"/>
        <v>16.90468972541067</v>
      </c>
      <c r="M257">
        <f t="shared" si="173"/>
        <v>16.90468972541067</v>
      </c>
      <c r="N257">
        <f t="shared" si="174"/>
        <v>16.90468972541067</v>
      </c>
      <c r="O257" s="3"/>
      <c r="P257">
        <f t="shared" si="175"/>
        <v>250.32472650196326</v>
      </c>
      <c r="Q257">
        <f t="shared" si="176"/>
        <v>1141.2461393433196</v>
      </c>
      <c r="R257">
        <f t="shared" si="177"/>
        <v>0</v>
      </c>
      <c r="S257">
        <f t="shared" si="178"/>
        <v>0</v>
      </c>
      <c r="T257">
        <v>50</v>
      </c>
      <c r="U257" s="3"/>
      <c r="V257">
        <f t="shared" si="179"/>
        <v>1441.5708658452827</v>
      </c>
      <c r="W257" s="3"/>
      <c r="X257">
        <f t="shared" si="180"/>
        <v>11.758961051048754</v>
      </c>
      <c r="Y257">
        <f t="shared" si="181"/>
        <v>3.4291341547173033</v>
      </c>
      <c r="AA257">
        <f t="shared" si="182"/>
        <v>3.607931540537599E-6</v>
      </c>
    </row>
    <row r="258" spans="2:27" x14ac:dyDescent="0.35">
      <c r="B258">
        <v>220.3065134099617</v>
      </c>
      <c r="C258">
        <v>1443</v>
      </c>
      <c r="D258">
        <f t="shared" si="165"/>
        <v>11.337360202635805</v>
      </c>
      <c r="E258">
        <f t="shared" si="166"/>
        <v>238.97321811173521</v>
      </c>
      <c r="F258">
        <f t="shared" si="167"/>
        <v>19.828066248002127</v>
      </c>
      <c r="G258">
        <f t="shared" si="168"/>
        <v>19.828066248002127</v>
      </c>
      <c r="H258">
        <f t="shared" si="169"/>
        <v>19.828066248002127</v>
      </c>
      <c r="I258" s="3"/>
      <c r="J258">
        <f t="shared" si="170"/>
        <v>9.1262097379342197</v>
      </c>
      <c r="K258">
        <f t="shared" si="171"/>
        <v>233.51995059674834</v>
      </c>
      <c r="L258">
        <f t="shared" si="172"/>
        <v>16.995138892345768</v>
      </c>
      <c r="M258">
        <f t="shared" si="173"/>
        <v>16.995138892345768</v>
      </c>
      <c r="N258">
        <f t="shared" si="174"/>
        <v>16.995138892345768</v>
      </c>
      <c r="O258" s="3"/>
      <c r="P258">
        <f t="shared" si="175"/>
        <v>248.45645644102916</v>
      </c>
      <c r="Q258">
        <f t="shared" si="176"/>
        <v>1137.3914073027477</v>
      </c>
      <c r="R258">
        <f t="shared" si="177"/>
        <v>0</v>
      </c>
      <c r="S258">
        <f t="shared" si="178"/>
        <v>0</v>
      </c>
      <c r="T258">
        <v>50</v>
      </c>
      <c r="U258" s="3"/>
      <c r="V258">
        <f t="shared" si="179"/>
        <v>1435.8478637437768</v>
      </c>
      <c r="W258" s="3"/>
      <c r="X258">
        <f t="shared" si="180"/>
        <v>51.153053027582835</v>
      </c>
      <c r="Y258">
        <f t="shared" si="181"/>
        <v>7.1521362562232298</v>
      </c>
      <c r="AA258">
        <f t="shared" si="182"/>
        <v>7.5250535023694921E-6</v>
      </c>
    </row>
    <row r="259" spans="2:27" x14ac:dyDescent="0.35">
      <c r="B259">
        <v>221.26436781609198</v>
      </c>
      <c r="C259">
        <v>1428</v>
      </c>
      <c r="D259">
        <f t="shared" si="165"/>
        <v>11.377192869201119</v>
      </c>
      <c r="E259">
        <f t="shared" si="166"/>
        <v>239.37046484921797</v>
      </c>
      <c r="F259">
        <f t="shared" si="167"/>
        <v>19.923851688615155</v>
      </c>
      <c r="G259">
        <f t="shared" si="168"/>
        <v>19.923851688615155</v>
      </c>
      <c r="H259">
        <f t="shared" si="169"/>
        <v>19.923851688615155</v>
      </c>
      <c r="I259" s="3"/>
      <c r="J259">
        <f t="shared" si="170"/>
        <v>9.162115741084973</v>
      </c>
      <c r="K259">
        <f t="shared" si="171"/>
        <v>233.91550488928576</v>
      </c>
      <c r="L259">
        <f t="shared" si="172"/>
        <v>17.085614817867597</v>
      </c>
      <c r="M259">
        <f t="shared" si="173"/>
        <v>17.085614817867597</v>
      </c>
      <c r="N259">
        <f t="shared" si="174"/>
        <v>17.085614817867597</v>
      </c>
      <c r="O259" s="3"/>
      <c r="P259">
        <f t="shared" si="175"/>
        <v>246.60832878195981</v>
      </c>
      <c r="Q259">
        <f t="shared" si="176"/>
        <v>1133.5561446429272</v>
      </c>
      <c r="R259">
        <f t="shared" si="177"/>
        <v>0</v>
      </c>
      <c r="S259">
        <f t="shared" si="178"/>
        <v>0</v>
      </c>
      <c r="T259">
        <v>50</v>
      </c>
      <c r="U259" s="3"/>
      <c r="V259">
        <f t="shared" si="179"/>
        <v>1430.1644734248871</v>
      </c>
      <c r="W259" s="3"/>
      <c r="X259">
        <f t="shared" si="180"/>
        <v>4.6849452070424569</v>
      </c>
      <c r="Y259">
        <f t="shared" si="181"/>
        <v>2.1644734248870918</v>
      </c>
      <c r="AA259">
        <f t="shared" si="182"/>
        <v>2.2773305405863806E-6</v>
      </c>
    </row>
    <row r="260" spans="2:27" x14ac:dyDescent="0.35">
      <c r="B260">
        <v>222.2222222222222</v>
      </c>
      <c r="C260">
        <v>1389</v>
      </c>
      <c r="D260">
        <f t="shared" si="165"/>
        <v>11.417025535766431</v>
      </c>
      <c r="E260">
        <f t="shared" si="166"/>
        <v>239.76771158670073</v>
      </c>
      <c r="F260">
        <f t="shared" si="167"/>
        <v>20.019637129228176</v>
      </c>
      <c r="G260">
        <f t="shared" si="168"/>
        <v>20.019637129228176</v>
      </c>
      <c r="H260">
        <f t="shared" si="169"/>
        <v>20.019637129228176</v>
      </c>
      <c r="I260" s="3"/>
      <c r="J260">
        <f t="shared" si="170"/>
        <v>9.1980355966173377</v>
      </c>
      <c r="K260">
        <f t="shared" si="171"/>
        <v>234.31106202920202</v>
      </c>
      <c r="L260">
        <f t="shared" si="172"/>
        <v>17.176117242713559</v>
      </c>
      <c r="M260">
        <f t="shared" si="173"/>
        <v>17.176117242713559</v>
      </c>
      <c r="N260">
        <f t="shared" si="174"/>
        <v>17.176117242713559</v>
      </c>
      <c r="O260" s="3"/>
      <c r="P260">
        <f t="shared" si="175"/>
        <v>244.78006245837349</v>
      </c>
      <c r="Q260">
        <f t="shared" si="176"/>
        <v>1129.7402206091756</v>
      </c>
      <c r="R260">
        <f t="shared" si="177"/>
        <v>0</v>
      </c>
      <c r="S260">
        <f t="shared" si="178"/>
        <v>0</v>
      </c>
      <c r="T260">
        <v>50</v>
      </c>
      <c r="U260" s="3"/>
      <c r="V260">
        <f t="shared" si="179"/>
        <v>1424.5202830675491</v>
      </c>
      <c r="W260" s="3"/>
      <c r="X260">
        <f t="shared" si="180"/>
        <v>1261.6905091988185</v>
      </c>
      <c r="Y260">
        <f t="shared" si="181"/>
        <v>35.520283067549144</v>
      </c>
      <c r="AA260">
        <f t="shared" si="182"/>
        <v>3.7372334772011626E-5</v>
      </c>
    </row>
    <row r="261" spans="2:27" x14ac:dyDescent="0.35">
      <c r="B261">
        <v>223.18007662835251</v>
      </c>
      <c r="C261">
        <v>1413</v>
      </c>
      <c r="D261">
        <f t="shared" si="165"/>
        <v>11.456858202331746</v>
      </c>
      <c r="E261">
        <f t="shared" si="166"/>
        <v>240.16495832418349</v>
      </c>
      <c r="F261">
        <f t="shared" si="167"/>
        <v>20.115422569841208</v>
      </c>
      <c r="G261">
        <f t="shared" si="168"/>
        <v>20.115422569841208</v>
      </c>
      <c r="H261">
        <f t="shared" si="169"/>
        <v>20.115422569841208</v>
      </c>
      <c r="I261" s="3"/>
      <c r="J261">
        <f t="shared" si="170"/>
        <v>9.2339692124080184</v>
      </c>
      <c r="K261">
        <f t="shared" si="171"/>
        <v>234.7066220069527</v>
      </c>
      <c r="L261">
        <f t="shared" si="172"/>
        <v>17.266645911293256</v>
      </c>
      <c r="M261">
        <f t="shared" si="173"/>
        <v>17.266645911293256</v>
      </c>
      <c r="N261">
        <f t="shared" si="174"/>
        <v>17.266645911293256</v>
      </c>
      <c r="O261" s="3"/>
      <c r="P261">
        <f t="shared" si="175"/>
        <v>242.9713811845383</v>
      </c>
      <c r="Q261">
        <f t="shared" si="176"/>
        <v>1125.9435055417127</v>
      </c>
      <c r="R261">
        <f t="shared" si="177"/>
        <v>0</v>
      </c>
      <c r="S261">
        <f t="shared" si="178"/>
        <v>0</v>
      </c>
      <c r="T261">
        <v>50</v>
      </c>
      <c r="U261" s="3"/>
      <c r="V261">
        <f t="shared" si="179"/>
        <v>1418.9148867262511</v>
      </c>
      <c r="W261" s="3"/>
      <c r="X261">
        <f t="shared" si="180"/>
        <v>34.985884984381428</v>
      </c>
      <c r="Y261">
        <f t="shared" si="181"/>
        <v>5.9148867262510976</v>
      </c>
      <c r="AA261">
        <f t="shared" si="182"/>
        <v>6.223292940870032E-6</v>
      </c>
    </row>
    <row r="262" spans="2:27" x14ac:dyDescent="0.35">
      <c r="B262">
        <v>224.45721583652622</v>
      </c>
      <c r="C262">
        <v>1439</v>
      </c>
      <c r="D262">
        <f t="shared" si="165"/>
        <v>11.509968424418833</v>
      </c>
      <c r="E262">
        <f t="shared" si="166"/>
        <v>240.6946206408272</v>
      </c>
      <c r="F262">
        <f t="shared" si="167"/>
        <v>20.243136490658578</v>
      </c>
      <c r="G262">
        <f t="shared" si="168"/>
        <v>20.243136490658578</v>
      </c>
      <c r="H262">
        <f t="shared" si="169"/>
        <v>20.243136490658578</v>
      </c>
      <c r="I262" s="3"/>
      <c r="J262">
        <f t="shared" si="170"/>
        <v>9.2819019473926971</v>
      </c>
      <c r="K262">
        <f t="shared" si="171"/>
        <v>235.2340397086223</v>
      </c>
      <c r="L262">
        <f t="shared" si="172"/>
        <v>17.38739119129788</v>
      </c>
      <c r="M262">
        <f t="shared" si="173"/>
        <v>17.38739119129788</v>
      </c>
      <c r="N262">
        <f t="shared" si="174"/>
        <v>17.38739119129788</v>
      </c>
      <c r="O262" s="3"/>
      <c r="P262">
        <f t="shared" si="175"/>
        <v>240.58980301588045</v>
      </c>
      <c r="Q262">
        <f t="shared" si="176"/>
        <v>1120.9108773242169</v>
      </c>
      <c r="R262">
        <f t="shared" si="177"/>
        <v>0</v>
      </c>
      <c r="S262">
        <f t="shared" si="178"/>
        <v>0</v>
      </c>
      <c r="T262">
        <v>50</v>
      </c>
      <c r="U262" s="3"/>
      <c r="V262">
        <f t="shared" si="179"/>
        <v>1411.5006803400975</v>
      </c>
      <c r="W262" s="3"/>
      <c r="X262">
        <f t="shared" si="180"/>
        <v>756.21258175750233</v>
      </c>
      <c r="Y262">
        <f t="shared" si="181"/>
        <v>27.49931965990254</v>
      </c>
      <c r="AA262">
        <f t="shared" si="182"/>
        <v>2.8933152879948307E-5</v>
      </c>
    </row>
    <row r="263" spans="2:27" x14ac:dyDescent="0.35">
      <c r="B263">
        <v>225.41507024265644</v>
      </c>
      <c r="C263">
        <v>1344</v>
      </c>
      <c r="D263">
        <f t="shared" si="165"/>
        <v>11.549801090984145</v>
      </c>
      <c r="E263">
        <f t="shared" si="166"/>
        <v>241.09186737830993</v>
      </c>
      <c r="F263">
        <f t="shared" si="167"/>
        <v>20.338921931271599</v>
      </c>
      <c r="G263">
        <f t="shared" si="168"/>
        <v>20.338921931271599</v>
      </c>
      <c r="H263">
        <f t="shared" si="169"/>
        <v>20.338921931271599</v>
      </c>
      <c r="I263" s="3"/>
      <c r="J263">
        <f t="shared" si="170"/>
        <v>9.3178673171083553</v>
      </c>
      <c r="K263">
        <f t="shared" si="171"/>
        <v>235.62960627113742</v>
      </c>
      <c r="L263">
        <f t="shared" si="172"/>
        <v>17.477980121415801</v>
      </c>
      <c r="M263">
        <f t="shared" si="173"/>
        <v>17.477980121415801</v>
      </c>
      <c r="N263">
        <f t="shared" si="174"/>
        <v>17.477980121415801</v>
      </c>
      <c r="O263" s="3"/>
      <c r="P263">
        <f t="shared" si="175"/>
        <v>238.82577189083216</v>
      </c>
      <c r="Q263">
        <f t="shared" si="176"/>
        <v>1117.1584850140421</v>
      </c>
      <c r="R263">
        <f t="shared" si="177"/>
        <v>0</v>
      </c>
      <c r="S263">
        <f t="shared" si="178"/>
        <v>0</v>
      </c>
      <c r="T263">
        <v>50</v>
      </c>
      <c r="U263" s="3"/>
      <c r="V263">
        <f t="shared" si="179"/>
        <v>1405.9842569048742</v>
      </c>
      <c r="W263" s="3"/>
      <c r="X263">
        <f t="shared" si="180"/>
        <v>3842.0481040494451</v>
      </c>
      <c r="Y263">
        <f t="shared" si="181"/>
        <v>61.984256904874201</v>
      </c>
      <c r="AA263">
        <f t="shared" si="182"/>
        <v>6.5216158194405038E-5</v>
      </c>
    </row>
    <row r="264" spans="2:27" x14ac:dyDescent="0.35">
      <c r="B264">
        <v>226.37292464878675</v>
      </c>
      <c r="C264">
        <v>1378</v>
      </c>
      <c r="D264">
        <f t="shared" si="165"/>
        <v>11.589633757549459</v>
      </c>
      <c r="E264">
        <f t="shared" si="166"/>
        <v>241.48911411579274</v>
      </c>
      <c r="F264">
        <f t="shared" si="167"/>
        <v>20.434707371884631</v>
      </c>
      <c r="G264">
        <f t="shared" si="168"/>
        <v>20.434707371884631</v>
      </c>
      <c r="H264">
        <f t="shared" si="169"/>
        <v>20.434707371884631</v>
      </c>
      <c r="I264" s="3"/>
      <c r="J264">
        <f t="shared" si="170"/>
        <v>9.3538461462870561</v>
      </c>
      <c r="K264">
        <f t="shared" si="171"/>
        <v>236.0251756400159</v>
      </c>
      <c r="L264">
        <f t="shared" si="172"/>
        <v>17.568594468960576</v>
      </c>
      <c r="M264">
        <f t="shared" si="173"/>
        <v>17.568594468960576</v>
      </c>
      <c r="N264">
        <f t="shared" si="174"/>
        <v>17.568594468960576</v>
      </c>
      <c r="O264" s="3"/>
      <c r="P264">
        <f t="shared" si="175"/>
        <v>237.08043818095391</v>
      </c>
      <c r="Q264">
        <f t="shared" si="176"/>
        <v>1113.4248772385449</v>
      </c>
      <c r="R264">
        <f t="shared" si="177"/>
        <v>0</v>
      </c>
      <c r="S264">
        <f t="shared" si="178"/>
        <v>0</v>
      </c>
      <c r="T264">
        <v>50</v>
      </c>
      <c r="U264" s="3"/>
      <c r="V264">
        <f t="shared" si="179"/>
        <v>1400.5053154194989</v>
      </c>
      <c r="W264" s="3"/>
      <c r="X264">
        <f t="shared" si="180"/>
        <v>506.48922213113298</v>
      </c>
      <c r="Y264">
        <f t="shared" si="181"/>
        <v>22.505315419498856</v>
      </c>
      <c r="AA264">
        <f t="shared" si="182"/>
        <v>2.3678757863718222E-5</v>
      </c>
    </row>
    <row r="265" spans="2:27" x14ac:dyDescent="0.35">
      <c r="B265">
        <v>227.33077905491706</v>
      </c>
      <c r="C265">
        <v>1416</v>
      </c>
      <c r="D265">
        <f t="shared" si="165"/>
        <v>11.629466424114774</v>
      </c>
      <c r="E265">
        <f t="shared" si="166"/>
        <v>241.88636085327551</v>
      </c>
      <c r="F265">
        <f t="shared" si="167"/>
        <v>20.530492812497663</v>
      </c>
      <c r="G265">
        <f t="shared" si="168"/>
        <v>20.530492812497663</v>
      </c>
      <c r="H265">
        <f t="shared" si="169"/>
        <v>20.530492812497663</v>
      </c>
      <c r="I265" s="3"/>
      <c r="J265">
        <f t="shared" si="170"/>
        <v>9.3898383465343418</v>
      </c>
      <c r="K265">
        <f t="shared" si="171"/>
        <v>236.42074780591827</v>
      </c>
      <c r="L265">
        <f t="shared" si="172"/>
        <v>17.659233993489668</v>
      </c>
      <c r="M265">
        <f t="shared" si="173"/>
        <v>17.659233993489668</v>
      </c>
      <c r="N265">
        <f t="shared" si="174"/>
        <v>17.659233993489668</v>
      </c>
      <c r="O265" s="3"/>
      <c r="P265">
        <f t="shared" si="175"/>
        <v>235.35354524147667</v>
      </c>
      <c r="Q265">
        <f t="shared" si="176"/>
        <v>1109.7099289573212</v>
      </c>
      <c r="R265">
        <f t="shared" si="177"/>
        <v>0</v>
      </c>
      <c r="S265">
        <f t="shared" si="178"/>
        <v>0</v>
      </c>
      <c r="T265">
        <v>50</v>
      </c>
      <c r="U265" s="3"/>
      <c r="V265">
        <f t="shared" si="179"/>
        <v>1395.0634741987978</v>
      </c>
      <c r="W265" s="3"/>
      <c r="X265">
        <f t="shared" si="180"/>
        <v>438.33811262440338</v>
      </c>
      <c r="Y265">
        <f t="shared" si="181"/>
        <v>20.936525801202151</v>
      </c>
      <c r="AA265">
        <f t="shared" si="182"/>
        <v>2.202817048832076E-5</v>
      </c>
    </row>
    <row r="266" spans="2:27" x14ac:dyDescent="0.35">
      <c r="B266">
        <v>228.28863346104728</v>
      </c>
      <c r="C266">
        <v>1380</v>
      </c>
      <c r="D266">
        <f t="shared" si="165"/>
        <v>11.669299090680086</v>
      </c>
      <c r="E266">
        <f t="shared" si="166"/>
        <v>242.28360759075827</v>
      </c>
      <c r="F266">
        <f t="shared" si="167"/>
        <v>20.626278253110684</v>
      </c>
      <c r="G266">
        <f t="shared" si="168"/>
        <v>20.626278253110684</v>
      </c>
      <c r="H266">
        <f t="shared" si="169"/>
        <v>20.626278253110684</v>
      </c>
      <c r="I266" s="3"/>
      <c r="J266">
        <f t="shared" si="170"/>
        <v>9.4258438302885779</v>
      </c>
      <c r="K266">
        <f t="shared" si="171"/>
        <v>236.81632275955158</v>
      </c>
      <c r="L266">
        <f t="shared" si="172"/>
        <v>17.749898457887991</v>
      </c>
      <c r="M266">
        <f t="shared" si="173"/>
        <v>17.749898457887991</v>
      </c>
      <c r="N266">
        <f t="shared" si="174"/>
        <v>17.749898457887991</v>
      </c>
      <c r="O266" s="3"/>
      <c r="P266">
        <f t="shared" si="175"/>
        <v>233.64484072378809</v>
      </c>
      <c r="Q266">
        <f t="shared" si="176"/>
        <v>1106.0135161677867</v>
      </c>
      <c r="R266">
        <f t="shared" si="177"/>
        <v>0</v>
      </c>
      <c r="S266">
        <f t="shared" si="178"/>
        <v>0</v>
      </c>
      <c r="T266">
        <v>50</v>
      </c>
      <c r="U266" s="3"/>
      <c r="V266">
        <f t="shared" si="179"/>
        <v>1389.6583568915748</v>
      </c>
      <c r="W266" s="3"/>
      <c r="X266">
        <f t="shared" si="180"/>
        <v>93.283857845031207</v>
      </c>
      <c r="Y266">
        <f t="shared" si="181"/>
        <v>9.6583568915748401</v>
      </c>
      <c r="AA266">
        <f t="shared" si="182"/>
        <v>1.0161950185280604E-5</v>
      </c>
    </row>
    <row r="267" spans="2:27" x14ac:dyDescent="0.35">
      <c r="B267">
        <v>229.24648786717759</v>
      </c>
      <c r="C267">
        <v>1332</v>
      </c>
      <c r="D267">
        <f t="shared" si="165"/>
        <v>11.709131757245402</v>
      </c>
      <c r="E267">
        <f t="shared" si="166"/>
        <v>242.68085432824103</v>
      </c>
      <c r="F267">
        <f t="shared" si="167"/>
        <v>20.722063693723715</v>
      </c>
      <c r="G267">
        <f t="shared" si="168"/>
        <v>20.722063693723715</v>
      </c>
      <c r="H267">
        <f t="shared" si="169"/>
        <v>20.722063693723715</v>
      </c>
      <c r="I267" s="3"/>
      <c r="J267">
        <f t="shared" si="170"/>
        <v>9.4618625108109118</v>
      </c>
      <c r="K267">
        <f t="shared" si="171"/>
        <v>237.2119004916691</v>
      </c>
      <c r="L267">
        <f t="shared" si="172"/>
        <v>17.84058762830783</v>
      </c>
      <c r="M267">
        <f t="shared" si="173"/>
        <v>17.84058762830783</v>
      </c>
      <c r="N267">
        <f t="shared" si="174"/>
        <v>17.84058762830783</v>
      </c>
      <c r="O267" s="3"/>
      <c r="P267">
        <f t="shared" si="175"/>
        <v>231.95407649099289</v>
      </c>
      <c r="Q267">
        <f t="shared" si="176"/>
        <v>1102.3355158948682</v>
      </c>
      <c r="R267">
        <f t="shared" si="177"/>
        <v>0</v>
      </c>
      <c r="S267">
        <f t="shared" si="178"/>
        <v>0</v>
      </c>
      <c r="T267">
        <v>50</v>
      </c>
      <c r="U267" s="3"/>
      <c r="V267">
        <f t="shared" si="179"/>
        <v>1384.2895923858612</v>
      </c>
      <c r="W267" s="3"/>
      <c r="X267">
        <f t="shared" si="180"/>
        <v>2734.2014718795103</v>
      </c>
      <c r="Y267">
        <f t="shared" si="181"/>
        <v>52.28959238586117</v>
      </c>
      <c r="AA267">
        <f t="shared" si="182"/>
        <v>5.5016007277311095E-5</v>
      </c>
    </row>
    <row r="268" spans="2:27" x14ac:dyDescent="0.35">
      <c r="B268">
        <v>230.20434227330776</v>
      </c>
      <c r="C268">
        <v>1293</v>
      </c>
      <c r="D268">
        <f t="shared" si="165"/>
        <v>11.748964423810712</v>
      </c>
      <c r="E268">
        <f t="shared" si="166"/>
        <v>243.07810106572376</v>
      </c>
      <c r="F268">
        <f t="shared" si="167"/>
        <v>20.817849134336733</v>
      </c>
      <c r="G268">
        <f t="shared" si="168"/>
        <v>20.817849134336733</v>
      </c>
      <c r="H268">
        <f t="shared" si="169"/>
        <v>20.817849134336733</v>
      </c>
      <c r="I268" s="3"/>
      <c r="J268">
        <f t="shared" si="170"/>
        <v>9.4978943021753377</v>
      </c>
      <c r="K268">
        <f t="shared" si="171"/>
        <v>237.60748099306986</v>
      </c>
      <c r="L268">
        <f t="shared" si="172"/>
        <v>17.93130127410998</v>
      </c>
      <c r="M268">
        <f t="shared" si="173"/>
        <v>17.93130127410998</v>
      </c>
      <c r="N268">
        <f t="shared" si="174"/>
        <v>17.93130127410998</v>
      </c>
      <c r="O268" s="3"/>
      <c r="P268">
        <f t="shared" si="175"/>
        <v>230.28100853537379</v>
      </c>
      <c r="Q268">
        <f t="shared" si="176"/>
        <v>1098.6758061808093</v>
      </c>
      <c r="R268">
        <f t="shared" si="177"/>
        <v>0</v>
      </c>
      <c r="S268">
        <f t="shared" si="178"/>
        <v>0</v>
      </c>
      <c r="T268">
        <v>50</v>
      </c>
      <c r="U268" s="3"/>
      <c r="V268">
        <f t="shared" si="179"/>
        <v>1378.9568147161831</v>
      </c>
      <c r="W268" s="3"/>
      <c r="X268">
        <f t="shared" si="180"/>
        <v>7388.5739961522295</v>
      </c>
      <c r="Y268">
        <f t="shared" si="181"/>
        <v>85.956814716183089</v>
      </c>
      <c r="AA268">
        <f t="shared" si="182"/>
        <v>9.0438661465617147E-5</v>
      </c>
    </row>
    <row r="269" spans="2:27" x14ac:dyDescent="0.35">
      <c r="B269">
        <v>231.4814814814815</v>
      </c>
      <c r="C269">
        <v>1304</v>
      </c>
      <c r="D269">
        <f t="shared" si="165"/>
        <v>11.802074645897799</v>
      </c>
      <c r="E269">
        <f t="shared" si="166"/>
        <v>243.60776338236747</v>
      </c>
      <c r="F269">
        <f t="shared" si="167"/>
        <v>20.945563055154107</v>
      </c>
      <c r="G269">
        <f t="shared" si="168"/>
        <v>20.945563055154107</v>
      </c>
      <c r="H269">
        <f t="shared" si="169"/>
        <v>20.945563055154107</v>
      </c>
      <c r="I269" s="3"/>
      <c r="J269">
        <f t="shared" si="170"/>
        <v>9.5459569382929512</v>
      </c>
      <c r="K269">
        <f t="shared" si="171"/>
        <v>238.13492595356075</v>
      </c>
      <c r="L269">
        <f t="shared" si="172"/>
        <v>18.0522904819206</v>
      </c>
      <c r="M269">
        <f t="shared" si="173"/>
        <v>18.0522904819206</v>
      </c>
      <c r="N269">
        <f t="shared" si="174"/>
        <v>18.0522904819206</v>
      </c>
      <c r="O269" s="3"/>
      <c r="P269">
        <f t="shared" si="175"/>
        <v>228.07736463238285</v>
      </c>
      <c r="Q269">
        <f t="shared" si="176"/>
        <v>1093.8244363027372</v>
      </c>
      <c r="R269">
        <f t="shared" si="177"/>
        <v>0</v>
      </c>
      <c r="S269">
        <f t="shared" si="178"/>
        <v>0</v>
      </c>
      <c r="T269">
        <v>50</v>
      </c>
      <c r="U269" s="3"/>
      <c r="V269">
        <f t="shared" si="179"/>
        <v>1371.90180093512</v>
      </c>
      <c r="W269" s="3"/>
      <c r="X269">
        <f t="shared" si="180"/>
        <v>4610.6545702326684</v>
      </c>
      <c r="Y269">
        <f t="shared" si="181"/>
        <v>67.901800935120036</v>
      </c>
      <c r="AA269">
        <f t="shared" si="182"/>
        <v>7.1442246992906431E-5</v>
      </c>
    </row>
    <row r="270" spans="2:27" x14ac:dyDescent="0.35">
      <c r="B270">
        <v>232.43933588761178</v>
      </c>
      <c r="C270">
        <v>1356</v>
      </c>
      <c r="D270">
        <f t="shared" si="165"/>
        <v>11.841907312463112</v>
      </c>
      <c r="E270">
        <f t="shared" si="166"/>
        <v>244.00501011985023</v>
      </c>
      <c r="F270">
        <f t="shared" si="167"/>
        <v>21.041348495767135</v>
      </c>
      <c r="G270">
        <f t="shared" si="168"/>
        <v>21.041348495767135</v>
      </c>
      <c r="H270">
        <f t="shared" si="169"/>
        <v>21.041348495767135</v>
      </c>
      <c r="I270" s="3"/>
      <c r="J270">
        <f t="shared" si="170"/>
        <v>9.5820189919587726</v>
      </c>
      <c r="K270">
        <f t="shared" si="171"/>
        <v>238.53051288109666</v>
      </c>
      <c r="L270">
        <f t="shared" si="172"/>
        <v>18.143060357613258</v>
      </c>
      <c r="M270">
        <f t="shared" si="173"/>
        <v>18.143060357613258</v>
      </c>
      <c r="N270">
        <f t="shared" si="174"/>
        <v>18.143060357613258</v>
      </c>
      <c r="O270" s="3"/>
      <c r="P270">
        <f t="shared" si="175"/>
        <v>226.44466166528431</v>
      </c>
      <c r="Q270">
        <f t="shared" si="176"/>
        <v>1090.2069359185152</v>
      </c>
      <c r="R270">
        <f t="shared" si="177"/>
        <v>0</v>
      </c>
      <c r="S270">
        <f t="shared" si="178"/>
        <v>0</v>
      </c>
      <c r="T270">
        <v>50</v>
      </c>
      <c r="U270" s="3"/>
      <c r="V270">
        <f t="shared" si="179"/>
        <v>1366.6515975837995</v>
      </c>
      <c r="W270" s="3"/>
      <c r="X270">
        <f t="shared" si="180"/>
        <v>113.45653108720244</v>
      </c>
      <c r="Y270">
        <f t="shared" si="181"/>
        <v>10.651597583799457</v>
      </c>
      <c r="AA270">
        <f t="shared" si="182"/>
        <v>1.1206979122364584E-5</v>
      </c>
    </row>
    <row r="271" spans="2:27" x14ac:dyDescent="0.35">
      <c r="B271">
        <v>233.397190293742</v>
      </c>
      <c r="C271">
        <v>1321</v>
      </c>
      <c r="D271">
        <f t="shared" si="165"/>
        <v>11.881739979028424</v>
      </c>
      <c r="E271">
        <f t="shared" si="166"/>
        <v>244.40225685733299</v>
      </c>
      <c r="F271">
        <f t="shared" si="167"/>
        <v>21.137133936380156</v>
      </c>
      <c r="G271">
        <f t="shared" si="168"/>
        <v>21.137133936380156</v>
      </c>
      <c r="H271">
        <f t="shared" si="169"/>
        <v>21.137133936380156</v>
      </c>
      <c r="I271" s="3"/>
      <c r="J271">
        <f t="shared" si="170"/>
        <v>9.6180938757929546</v>
      </c>
      <c r="K271">
        <f t="shared" si="171"/>
        <v>238.92610254757352</v>
      </c>
      <c r="L271">
        <f t="shared" si="172"/>
        <v>18.233853962335015</v>
      </c>
      <c r="M271">
        <f t="shared" si="173"/>
        <v>18.233853962335015</v>
      </c>
      <c r="N271">
        <f t="shared" si="174"/>
        <v>18.233853962335015</v>
      </c>
      <c r="O271" s="3"/>
      <c r="P271">
        <f t="shared" si="175"/>
        <v>224.82887041553548</v>
      </c>
      <c r="Q271">
        <f t="shared" si="176"/>
        <v>1086.6073267860927</v>
      </c>
      <c r="R271">
        <f t="shared" si="177"/>
        <v>0</v>
      </c>
      <c r="S271">
        <f t="shared" si="178"/>
        <v>0</v>
      </c>
      <c r="T271">
        <v>50</v>
      </c>
      <c r="U271" s="3"/>
      <c r="V271">
        <f t="shared" si="179"/>
        <v>1361.4361972016281</v>
      </c>
      <c r="W271" s="3"/>
      <c r="X271">
        <f t="shared" si="180"/>
        <v>1635.0860441289599</v>
      </c>
      <c r="Y271">
        <f t="shared" si="181"/>
        <v>40.436197201628147</v>
      </c>
      <c r="AA271">
        <f t="shared" si="182"/>
        <v>4.2544568010690611E-5</v>
      </c>
    </row>
    <row r="272" spans="2:27" x14ac:dyDescent="0.35">
      <c r="B272">
        <v>234.35504469987231</v>
      </c>
      <c r="C272">
        <v>1365</v>
      </c>
      <c r="D272">
        <f t="shared" si="165"/>
        <v>11.92157264559374</v>
      </c>
      <c r="E272">
        <f t="shared" si="166"/>
        <v>244.79950359481575</v>
      </c>
      <c r="F272">
        <f t="shared" si="167"/>
        <v>21.232919376993188</v>
      </c>
      <c r="G272">
        <f t="shared" si="168"/>
        <v>21.232919376993188</v>
      </c>
      <c r="H272">
        <f t="shared" si="169"/>
        <v>21.232919376993188</v>
      </c>
      <c r="I272" s="3"/>
      <c r="J272">
        <f t="shared" si="170"/>
        <v>9.6541815072808017</v>
      </c>
      <c r="K272">
        <f t="shared" si="171"/>
        <v>239.32169494398579</v>
      </c>
      <c r="L272">
        <f t="shared" si="172"/>
        <v>18.324671078702053</v>
      </c>
      <c r="M272">
        <f t="shared" si="173"/>
        <v>18.324671078702053</v>
      </c>
      <c r="N272">
        <f t="shared" si="174"/>
        <v>18.324671078702053</v>
      </c>
      <c r="O272" s="3"/>
      <c r="P272">
        <f t="shared" si="175"/>
        <v>223.22976385892207</v>
      </c>
      <c r="Q272">
        <f t="shared" si="176"/>
        <v>1083.0254912411413</v>
      </c>
      <c r="R272">
        <f t="shared" si="177"/>
        <v>0</v>
      </c>
      <c r="S272">
        <f t="shared" si="178"/>
        <v>0</v>
      </c>
      <c r="T272">
        <v>50</v>
      </c>
      <c r="U272" s="3"/>
      <c r="V272">
        <f t="shared" si="179"/>
        <v>1356.2552551000633</v>
      </c>
      <c r="W272" s="3"/>
      <c r="X272">
        <f t="shared" si="180"/>
        <v>76.470563364968527</v>
      </c>
      <c r="Y272">
        <f t="shared" si="181"/>
        <v>8.744744899936677</v>
      </c>
      <c r="AA272">
        <f t="shared" si="182"/>
        <v>9.2007018433601794E-6</v>
      </c>
    </row>
    <row r="273" spans="2:27" x14ac:dyDescent="0.35">
      <c r="B273">
        <v>235.31289910600262</v>
      </c>
      <c r="C273">
        <v>1364</v>
      </c>
      <c r="D273">
        <f t="shared" si="165"/>
        <v>11.961405312159055</v>
      </c>
      <c r="E273">
        <f t="shared" si="166"/>
        <v>245.19675033229854</v>
      </c>
      <c r="F273">
        <f t="shared" si="167"/>
        <v>21.328704817606219</v>
      </c>
      <c r="G273">
        <f t="shared" si="168"/>
        <v>21.328704817606219</v>
      </c>
      <c r="H273">
        <f t="shared" si="169"/>
        <v>21.328704817606219</v>
      </c>
      <c r="I273" s="3"/>
      <c r="J273">
        <f t="shared" si="170"/>
        <v>9.6902818046699686</v>
      </c>
      <c r="K273">
        <f t="shared" si="171"/>
        <v>239.7172900613721</v>
      </c>
      <c r="L273">
        <f t="shared" si="172"/>
        <v>18.415511492246623</v>
      </c>
      <c r="M273">
        <f t="shared" si="173"/>
        <v>18.415511492246623</v>
      </c>
      <c r="N273">
        <f t="shared" si="174"/>
        <v>18.415511492246623</v>
      </c>
      <c r="O273" s="3"/>
      <c r="P273">
        <f t="shared" si="175"/>
        <v>221.64711869033121</v>
      </c>
      <c r="Q273">
        <f t="shared" si="176"/>
        <v>1079.4613125842382</v>
      </c>
      <c r="R273">
        <f t="shared" si="177"/>
        <v>0</v>
      </c>
      <c r="S273">
        <f t="shared" si="178"/>
        <v>0</v>
      </c>
      <c r="T273">
        <v>50</v>
      </c>
      <c r="U273" s="3"/>
      <c r="V273">
        <f t="shared" si="179"/>
        <v>1351.1084312745693</v>
      </c>
      <c r="W273" s="3"/>
      <c r="X273">
        <f t="shared" si="180"/>
        <v>166.19254420250334</v>
      </c>
      <c r="Y273">
        <f t="shared" si="181"/>
        <v>12.891568725430716</v>
      </c>
      <c r="AA273">
        <f t="shared" si="182"/>
        <v>1.3563743881966612E-5</v>
      </c>
    </row>
    <row r="274" spans="2:27" x14ac:dyDescent="0.35">
      <c r="B274">
        <v>236.27075351213284</v>
      </c>
      <c r="C274">
        <v>1378</v>
      </c>
      <c r="D274">
        <f t="shared" si="165"/>
        <v>12.001237978724367</v>
      </c>
      <c r="E274">
        <f t="shared" si="166"/>
        <v>245.59399706978127</v>
      </c>
      <c r="F274">
        <f t="shared" si="167"/>
        <v>21.42449025821924</v>
      </c>
      <c r="G274">
        <f t="shared" si="168"/>
        <v>21.42449025821924</v>
      </c>
      <c r="H274">
        <f t="shared" si="169"/>
        <v>21.42449025821924</v>
      </c>
      <c r="I274" s="3"/>
      <c r="J274">
        <f t="shared" si="170"/>
        <v>9.7263946869614308</v>
      </c>
      <c r="K274">
        <f t="shared" si="171"/>
        <v>240.11288789081505</v>
      </c>
      <c r="L274">
        <f t="shared" si="172"/>
        <v>18.506374991365991</v>
      </c>
      <c r="M274">
        <f t="shared" si="173"/>
        <v>18.506374991365991</v>
      </c>
      <c r="N274">
        <f t="shared" si="174"/>
        <v>18.506374991365991</v>
      </c>
      <c r="O274" s="3"/>
      <c r="P274">
        <f t="shared" si="175"/>
        <v>220.08071525217343</v>
      </c>
      <c r="Q274">
        <f t="shared" si="176"/>
        <v>1075.914675071393</v>
      </c>
      <c r="R274">
        <f t="shared" si="177"/>
        <v>0</v>
      </c>
      <c r="S274">
        <f t="shared" si="178"/>
        <v>0</v>
      </c>
      <c r="T274">
        <v>50</v>
      </c>
      <c r="U274" s="3"/>
      <c r="V274">
        <f t="shared" si="179"/>
        <v>1345.9953903235664</v>
      </c>
      <c r="W274" s="3"/>
      <c r="X274">
        <f t="shared" si="180"/>
        <v>1024.2950405408656</v>
      </c>
      <c r="Y274">
        <f t="shared" si="181"/>
        <v>32.004609676433574</v>
      </c>
      <c r="AA274">
        <f t="shared" si="182"/>
        <v>3.3673351780463918E-5</v>
      </c>
    </row>
    <row r="275" spans="2:27" x14ac:dyDescent="0.35">
      <c r="B275">
        <v>237.54789272030655</v>
      </c>
      <c r="C275">
        <v>1310</v>
      </c>
      <c r="D275">
        <f t="shared" si="165"/>
        <v>12.054348200811452</v>
      </c>
      <c r="E275">
        <f t="shared" si="166"/>
        <v>246.12365938642498</v>
      </c>
      <c r="F275">
        <f t="shared" si="167"/>
        <v>21.552204179036611</v>
      </c>
      <c r="G275">
        <f t="shared" si="168"/>
        <v>21.552204179036611</v>
      </c>
      <c r="H275">
        <f t="shared" si="169"/>
        <v>21.552204179036611</v>
      </c>
      <c r="I275" s="3"/>
      <c r="J275">
        <f t="shared" si="170"/>
        <v>9.7745646345925099</v>
      </c>
      <c r="K275">
        <f t="shared" si="171"/>
        <v>240.64035586682971</v>
      </c>
      <c r="L275">
        <f t="shared" si="172"/>
        <v>18.627561873950917</v>
      </c>
      <c r="M275">
        <f t="shared" si="173"/>
        <v>18.627561873950917</v>
      </c>
      <c r="N275">
        <f t="shared" si="174"/>
        <v>18.627561873950917</v>
      </c>
      <c r="O275" s="3"/>
      <c r="P275">
        <f t="shared" si="175"/>
        <v>218.01706928362941</v>
      </c>
      <c r="Q275">
        <f t="shared" si="176"/>
        <v>1071.2129129972973</v>
      </c>
      <c r="R275">
        <f t="shared" si="177"/>
        <v>0</v>
      </c>
      <c r="S275">
        <f t="shared" si="178"/>
        <v>0</v>
      </c>
      <c r="T275">
        <v>50</v>
      </c>
      <c r="U275" s="3"/>
      <c r="V275">
        <f t="shared" si="179"/>
        <v>1339.2299822809266</v>
      </c>
      <c r="W275" s="3"/>
      <c r="X275">
        <f t="shared" si="180"/>
        <v>854.39186414328333</v>
      </c>
      <c r="Y275">
        <f t="shared" si="181"/>
        <v>29.229982280926606</v>
      </c>
      <c r="AA275">
        <f t="shared" si="182"/>
        <v>3.0754053426470364E-5</v>
      </c>
    </row>
    <row r="276" spans="2:27" x14ac:dyDescent="0.35">
      <c r="B276">
        <v>238.50574712643686</v>
      </c>
      <c r="C276">
        <v>1357</v>
      </c>
      <c r="D276">
        <f t="shared" si="165"/>
        <v>12.094180867376767</v>
      </c>
      <c r="E276">
        <f t="shared" si="166"/>
        <v>246.52090612390776</v>
      </c>
      <c r="F276">
        <f t="shared" si="167"/>
        <v>21.647989619649643</v>
      </c>
      <c r="G276">
        <f t="shared" si="168"/>
        <v>21.647989619649643</v>
      </c>
      <c r="H276">
        <f t="shared" si="169"/>
        <v>21.647989619649643</v>
      </c>
      <c r="I276" s="3"/>
      <c r="J276">
        <f t="shared" si="170"/>
        <v>9.810706570824923</v>
      </c>
      <c r="K276">
        <f t="shared" si="171"/>
        <v>241.03595998997142</v>
      </c>
      <c r="L276">
        <f t="shared" si="172"/>
        <v>18.718478432233052</v>
      </c>
      <c r="M276">
        <f t="shared" si="173"/>
        <v>18.718478432233052</v>
      </c>
      <c r="N276">
        <f t="shared" si="174"/>
        <v>18.718478432233052</v>
      </c>
      <c r="O276" s="3"/>
      <c r="P276">
        <f t="shared" si="175"/>
        <v>216.48772896047674</v>
      </c>
      <c r="Q276">
        <f t="shared" si="176"/>
        <v>1067.7067600020705</v>
      </c>
      <c r="R276">
        <f t="shared" si="177"/>
        <v>0</v>
      </c>
      <c r="S276">
        <f t="shared" si="178"/>
        <v>0</v>
      </c>
      <c r="T276">
        <v>50</v>
      </c>
      <c r="U276" s="3"/>
      <c r="V276">
        <f t="shared" si="179"/>
        <v>1334.1944889625472</v>
      </c>
      <c r="W276" s="3"/>
      <c r="X276">
        <f t="shared" si="180"/>
        <v>520.09133367938091</v>
      </c>
      <c r="Y276">
        <f t="shared" si="181"/>
        <v>22.805511037452789</v>
      </c>
      <c r="AA276">
        <f t="shared" si="182"/>
        <v>2.3994605885253692E-5</v>
      </c>
    </row>
    <row r="277" spans="2:27" x14ac:dyDescent="0.35">
      <c r="B277">
        <v>239.46360153256708</v>
      </c>
      <c r="C277">
        <v>1290</v>
      </c>
      <c r="D277">
        <f t="shared" si="165"/>
        <v>12.134013533942079</v>
      </c>
      <c r="E277">
        <f t="shared" si="166"/>
        <v>246.9181528613905</v>
      </c>
      <c r="F277">
        <f t="shared" si="167"/>
        <v>21.743775060262664</v>
      </c>
      <c r="G277">
        <f t="shared" si="168"/>
        <v>21.743775060262664</v>
      </c>
      <c r="H277">
        <f t="shared" si="169"/>
        <v>21.743775060262664</v>
      </c>
      <c r="I277" s="3"/>
      <c r="J277">
        <f t="shared" si="170"/>
        <v>9.8468608272900493</v>
      </c>
      <c r="K277">
        <f t="shared" si="171"/>
        <v>241.43156679575932</v>
      </c>
      <c r="L277">
        <f t="shared" si="172"/>
        <v>18.809417390805006</v>
      </c>
      <c r="M277">
        <f t="shared" si="173"/>
        <v>18.809417390805006</v>
      </c>
      <c r="N277">
        <f t="shared" si="174"/>
        <v>18.809417390805006</v>
      </c>
      <c r="O277" s="3"/>
      <c r="P277">
        <f t="shared" si="175"/>
        <v>214.97392363167918</v>
      </c>
      <c r="Q277">
        <f t="shared" si="176"/>
        <v>1064.2177691184977</v>
      </c>
      <c r="R277">
        <f t="shared" si="177"/>
        <v>0</v>
      </c>
      <c r="S277">
        <f t="shared" si="178"/>
        <v>0</v>
      </c>
      <c r="T277">
        <v>50</v>
      </c>
      <c r="U277" s="3"/>
      <c r="V277">
        <f t="shared" si="179"/>
        <v>1329.1916927501768</v>
      </c>
      <c r="W277" s="3"/>
      <c r="X277">
        <f t="shared" si="180"/>
        <v>1535.9887806242607</v>
      </c>
      <c r="Y277">
        <f t="shared" si="181"/>
        <v>39.191692750176799</v>
      </c>
      <c r="AA277">
        <f t="shared" si="182"/>
        <v>4.1235174251174397E-5</v>
      </c>
    </row>
    <row r="278" spans="2:27" x14ac:dyDescent="0.35">
      <c r="B278">
        <v>240.42145593869736</v>
      </c>
      <c r="C278">
        <v>1317</v>
      </c>
      <c r="D278">
        <f t="shared" si="165"/>
        <v>12.173846200507393</v>
      </c>
      <c r="E278">
        <f t="shared" si="166"/>
        <v>247.31539959887328</v>
      </c>
      <c r="F278">
        <f t="shared" si="167"/>
        <v>21.839560500875692</v>
      </c>
      <c r="G278">
        <f t="shared" si="168"/>
        <v>21.839560500875692</v>
      </c>
      <c r="H278">
        <f t="shared" si="169"/>
        <v>21.839560500875692</v>
      </c>
      <c r="I278" s="3"/>
      <c r="J278">
        <f t="shared" si="170"/>
        <v>9.8830273261518862</v>
      </c>
      <c r="K278">
        <f t="shared" si="171"/>
        <v>241.82717627546353</v>
      </c>
      <c r="L278">
        <f t="shared" si="172"/>
        <v>18.900378549914659</v>
      </c>
      <c r="M278">
        <f t="shared" si="173"/>
        <v>18.900378549914659</v>
      </c>
      <c r="N278">
        <f t="shared" si="174"/>
        <v>18.900378549914659</v>
      </c>
      <c r="O278" s="3"/>
      <c r="P278">
        <f t="shared" si="175"/>
        <v>213.47544865614091</v>
      </c>
      <c r="Q278">
        <f t="shared" si="176"/>
        <v>1060.7458286359376</v>
      </c>
      <c r="R278">
        <f t="shared" si="177"/>
        <v>0</v>
      </c>
      <c r="S278">
        <f t="shared" si="178"/>
        <v>0</v>
      </c>
      <c r="T278">
        <v>50</v>
      </c>
      <c r="U278" s="3"/>
      <c r="V278">
        <f t="shared" si="179"/>
        <v>1324.2212772920786</v>
      </c>
      <c r="W278" s="3"/>
      <c r="X278">
        <f t="shared" si="180"/>
        <v>52.146845729090607</v>
      </c>
      <c r="Y278">
        <f t="shared" si="181"/>
        <v>7.2212772920786392</v>
      </c>
      <c r="AA278">
        <f t="shared" si="182"/>
        <v>7.5977995988338158E-6</v>
      </c>
    </row>
    <row r="279" spans="2:27" x14ac:dyDescent="0.35">
      <c r="B279">
        <v>241.37931034482756</v>
      </c>
      <c r="C279">
        <v>1319</v>
      </c>
      <c r="D279">
        <f t="shared" si="165"/>
        <v>12.213678867072703</v>
      </c>
      <c r="E279">
        <f t="shared" si="166"/>
        <v>247.71264633635599</v>
      </c>
      <c r="F279">
        <f t="shared" si="167"/>
        <v>21.935345941488713</v>
      </c>
      <c r="G279">
        <f t="shared" si="168"/>
        <v>21.935345941488713</v>
      </c>
      <c r="H279">
        <f t="shared" si="169"/>
        <v>21.935345941488713</v>
      </c>
      <c r="I279" s="3"/>
      <c r="J279">
        <f t="shared" si="170"/>
        <v>9.9192059902816503</v>
      </c>
      <c r="K279">
        <f t="shared" si="171"/>
        <v>242.2227884203964</v>
      </c>
      <c r="L279">
        <f t="shared" si="172"/>
        <v>18.991361712420154</v>
      </c>
      <c r="M279">
        <f t="shared" si="173"/>
        <v>18.991361712420154</v>
      </c>
      <c r="N279">
        <f t="shared" si="174"/>
        <v>18.991361712420154</v>
      </c>
      <c r="O279" s="3"/>
      <c r="P279">
        <f t="shared" si="175"/>
        <v>211.99210268423909</v>
      </c>
      <c r="Q279">
        <f t="shared" si="176"/>
        <v>1057.2908277504537</v>
      </c>
      <c r="R279">
        <f t="shared" si="177"/>
        <v>0</v>
      </c>
      <c r="S279">
        <f t="shared" si="178"/>
        <v>0</v>
      </c>
      <c r="T279">
        <v>50</v>
      </c>
      <c r="U279" s="3"/>
      <c r="V279">
        <f t="shared" si="179"/>
        <v>1319.2829304346928</v>
      </c>
      <c r="W279" s="3"/>
      <c r="X279">
        <f t="shared" si="180"/>
        <v>8.0049630875481573E-2</v>
      </c>
      <c r="Y279">
        <f t="shared" si="181"/>
        <v>0.28293043469284385</v>
      </c>
      <c r="AA279">
        <f t="shared" si="182"/>
        <v>2.9768261988294198E-7</v>
      </c>
    </row>
    <row r="280" spans="2:27" x14ac:dyDescent="0.35">
      <c r="B280">
        <v>242.33716475095787</v>
      </c>
      <c r="C280">
        <v>1305</v>
      </c>
      <c r="D280">
        <f t="shared" si="165"/>
        <v>12.253511533638019</v>
      </c>
      <c r="E280">
        <f t="shared" si="166"/>
        <v>248.10989307383878</v>
      </c>
      <c r="F280">
        <f t="shared" si="167"/>
        <v>22.031131382101744</v>
      </c>
      <c r="G280">
        <f t="shared" si="168"/>
        <v>22.031131382101744</v>
      </c>
      <c r="H280">
        <f t="shared" si="169"/>
        <v>22.031131382101744</v>
      </c>
      <c r="I280" s="3"/>
      <c r="J280">
        <f t="shared" si="170"/>
        <v>9.9553967432495423</v>
      </c>
      <c r="K280">
        <f t="shared" si="171"/>
        <v>242.61840322191279</v>
      </c>
      <c r="L280">
        <f t="shared" si="172"/>
        <v>19.082366683745349</v>
      </c>
      <c r="M280">
        <f t="shared" si="173"/>
        <v>19.082366683745349</v>
      </c>
      <c r="N280">
        <f t="shared" si="174"/>
        <v>19.082366683745349</v>
      </c>
      <c r="O280" s="3"/>
      <c r="P280">
        <f t="shared" si="175"/>
        <v>210.52368759559675</v>
      </c>
      <c r="Q280">
        <f t="shared" si="176"/>
        <v>1053.8526565559996</v>
      </c>
      <c r="R280">
        <f t="shared" si="177"/>
        <v>0</v>
      </c>
      <c r="S280">
        <f t="shared" si="178"/>
        <v>0</v>
      </c>
      <c r="T280">
        <v>50</v>
      </c>
      <c r="U280" s="3"/>
      <c r="V280">
        <f t="shared" si="179"/>
        <v>1314.3763441515964</v>
      </c>
      <c r="W280" s="3"/>
      <c r="X280">
        <f t="shared" si="180"/>
        <v>87.91582964917626</v>
      </c>
      <c r="Y280">
        <f t="shared" si="181"/>
        <v>9.3763441515964132</v>
      </c>
      <c r="AA280">
        <f t="shared" si="182"/>
        <v>9.8652331093383013E-6</v>
      </c>
    </row>
    <row r="281" spans="2:27" x14ac:dyDescent="0.35">
      <c r="B281">
        <v>243.29501915708818</v>
      </c>
      <c r="C281">
        <v>1310</v>
      </c>
      <c r="D281">
        <f t="shared" si="165"/>
        <v>12.293344200203334</v>
      </c>
      <c r="E281">
        <f t="shared" si="166"/>
        <v>248.50713981132157</v>
      </c>
      <c r="F281">
        <f t="shared" si="167"/>
        <v>22.126916822714772</v>
      </c>
      <c r="G281">
        <f t="shared" si="168"/>
        <v>22.126916822714772</v>
      </c>
      <c r="H281">
        <f t="shared" si="169"/>
        <v>22.126916822714772</v>
      </c>
      <c r="I281" s="3"/>
      <c r="J281">
        <f t="shared" si="170"/>
        <v>9.9915995093165773</v>
      </c>
      <c r="K281">
        <f t="shared" si="171"/>
        <v>243.01402067140924</v>
      </c>
      <c r="L281">
        <f t="shared" si="172"/>
        <v>19.173393271836098</v>
      </c>
      <c r="M281">
        <f t="shared" si="173"/>
        <v>19.173393271836098</v>
      </c>
      <c r="N281">
        <f t="shared" si="174"/>
        <v>19.173393271836098</v>
      </c>
      <c r="O281" s="3"/>
      <c r="P281">
        <f t="shared" si="175"/>
        <v>209.07000843820481</v>
      </c>
      <c r="Q281">
        <f t="shared" si="176"/>
        <v>1050.4312060357122</v>
      </c>
      <c r="R281">
        <f t="shared" si="177"/>
        <v>0</v>
      </c>
      <c r="S281">
        <f t="shared" si="178"/>
        <v>0</v>
      </c>
      <c r="T281">
        <v>50</v>
      </c>
      <c r="U281" s="3"/>
      <c r="V281">
        <f t="shared" si="179"/>
        <v>1309.5012144739171</v>
      </c>
      <c r="W281" s="3"/>
      <c r="X281">
        <f t="shared" si="180"/>
        <v>0.2487870010297791</v>
      </c>
      <c r="Y281">
        <f t="shared" si="181"/>
        <v>0.49878552608288373</v>
      </c>
      <c r="AA281">
        <f t="shared" si="182"/>
        <v>5.2479254246803662E-7</v>
      </c>
    </row>
    <row r="282" spans="2:27" x14ac:dyDescent="0.35">
      <c r="B282">
        <v>244.5721583652618</v>
      </c>
      <c r="C282">
        <v>1283</v>
      </c>
      <c r="D282">
        <f t="shared" si="165"/>
        <v>12.346454422290416</v>
      </c>
      <c r="E282">
        <f t="shared" si="166"/>
        <v>249.03680212796522</v>
      </c>
      <c r="F282">
        <f t="shared" si="167"/>
        <v>22.254630743532136</v>
      </c>
      <c r="G282">
        <f t="shared" si="168"/>
        <v>22.254630743532136</v>
      </c>
      <c r="H282">
        <f t="shared" si="169"/>
        <v>22.254630743532136</v>
      </c>
      <c r="I282" s="3"/>
      <c r="J282">
        <f t="shared" si="170"/>
        <v>10.03988842148636</v>
      </c>
      <c r="K282">
        <f t="shared" si="171"/>
        <v>243.54151470835919</v>
      </c>
      <c r="L282">
        <f t="shared" si="172"/>
        <v>19.294795354728446</v>
      </c>
      <c r="M282">
        <f t="shared" si="173"/>
        <v>19.294795354728446</v>
      </c>
      <c r="N282">
        <f t="shared" si="174"/>
        <v>19.294795354728446</v>
      </c>
      <c r="O282" s="3"/>
      <c r="P282">
        <f t="shared" si="175"/>
        <v>207.15436098103038</v>
      </c>
      <c r="Q282">
        <f t="shared" si="176"/>
        <v>1045.8950951697827</v>
      </c>
      <c r="R282">
        <f t="shared" si="177"/>
        <v>0</v>
      </c>
      <c r="S282">
        <f t="shared" si="178"/>
        <v>0</v>
      </c>
      <c r="T282">
        <v>50</v>
      </c>
      <c r="U282" s="3"/>
      <c r="V282">
        <f t="shared" si="179"/>
        <v>1303.0494561508131</v>
      </c>
      <c r="W282" s="3"/>
      <c r="X282">
        <f t="shared" si="180"/>
        <v>401.98069194337552</v>
      </c>
      <c r="Y282">
        <f t="shared" si="181"/>
        <v>20.049456150813057</v>
      </c>
      <c r="AA282">
        <f t="shared" si="182"/>
        <v>2.1094848423364595E-5</v>
      </c>
    </row>
    <row r="283" spans="2:27" x14ac:dyDescent="0.35">
      <c r="B283">
        <v>245.53001277139211</v>
      </c>
      <c r="C283">
        <v>1298</v>
      </c>
      <c r="D283">
        <f t="shared" si="165"/>
        <v>12.386287088855731</v>
      </c>
      <c r="E283">
        <f t="shared" si="166"/>
        <v>249.43404886544801</v>
      </c>
      <c r="F283">
        <f t="shared" si="167"/>
        <v>22.350416184145168</v>
      </c>
      <c r="G283">
        <f t="shared" si="168"/>
        <v>22.350416184145168</v>
      </c>
      <c r="H283">
        <f t="shared" si="169"/>
        <v>22.350416184145168</v>
      </c>
      <c r="I283" s="3"/>
      <c r="J283">
        <f t="shared" si="170"/>
        <v>10.076118927398275</v>
      </c>
      <c r="K283">
        <f t="shared" si="171"/>
        <v>243.9371383032518</v>
      </c>
      <c r="L283">
        <f t="shared" si="172"/>
        <v>19.385871648910136</v>
      </c>
      <c r="M283">
        <f t="shared" si="173"/>
        <v>19.385871648910136</v>
      </c>
      <c r="N283">
        <f t="shared" si="174"/>
        <v>19.385871648910136</v>
      </c>
      <c r="O283" s="3"/>
      <c r="P283">
        <f t="shared" si="175"/>
        <v>205.73432487057028</v>
      </c>
      <c r="Q283">
        <f t="shared" si="176"/>
        <v>1042.5122405318837</v>
      </c>
      <c r="R283">
        <f t="shared" si="177"/>
        <v>0</v>
      </c>
      <c r="S283">
        <f t="shared" si="178"/>
        <v>0</v>
      </c>
      <c r="T283">
        <v>50</v>
      </c>
      <c r="U283" s="3"/>
      <c r="V283">
        <f t="shared" si="179"/>
        <v>1298.2465654024541</v>
      </c>
      <c r="W283" s="3"/>
      <c r="X283">
        <f t="shared" si="180"/>
        <v>6.0794497687328967E-2</v>
      </c>
      <c r="Y283">
        <f t="shared" si="181"/>
        <v>0.24656540245405267</v>
      </c>
      <c r="AA283">
        <f t="shared" si="182"/>
        <v>2.594214901436718E-7</v>
      </c>
    </row>
    <row r="284" spans="2:27" x14ac:dyDescent="0.35">
      <c r="B284">
        <v>246.48786717752242</v>
      </c>
      <c r="C284">
        <v>1293</v>
      </c>
      <c r="D284">
        <f t="shared" si="165"/>
        <v>12.426119755421047</v>
      </c>
      <c r="E284">
        <f t="shared" si="166"/>
        <v>249.83129560293077</v>
      </c>
      <c r="F284">
        <f t="shared" si="167"/>
        <v>22.446201624758199</v>
      </c>
      <c r="G284">
        <f t="shared" si="168"/>
        <v>22.446201624758199</v>
      </c>
      <c r="H284">
        <f t="shared" si="169"/>
        <v>22.446201624758199</v>
      </c>
      <c r="I284" s="3"/>
      <c r="J284">
        <f t="shared" si="170"/>
        <v>10.112361198833165</v>
      </c>
      <c r="K284">
        <f t="shared" si="171"/>
        <v>244.332764517746</v>
      </c>
      <c r="L284">
        <f t="shared" si="172"/>
        <v>19.476968937349248</v>
      </c>
      <c r="M284">
        <f t="shared" si="173"/>
        <v>19.476968937349248</v>
      </c>
      <c r="N284">
        <f t="shared" si="174"/>
        <v>19.476968937349248</v>
      </c>
      <c r="O284" s="3"/>
      <c r="P284">
        <f t="shared" si="175"/>
        <v>204.3283969787372</v>
      </c>
      <c r="Q284">
        <f t="shared" si="176"/>
        <v>1039.1457494906101</v>
      </c>
      <c r="R284">
        <f t="shared" si="177"/>
        <v>0</v>
      </c>
      <c r="S284">
        <f t="shared" si="178"/>
        <v>0</v>
      </c>
      <c r="T284">
        <v>50</v>
      </c>
      <c r="U284" s="3"/>
      <c r="V284">
        <f t="shared" si="179"/>
        <v>1293.4741464693473</v>
      </c>
      <c r="W284" s="3"/>
      <c r="X284">
        <f t="shared" si="180"/>
        <v>0.22481487439447292</v>
      </c>
      <c r="Y284">
        <f t="shared" si="181"/>
        <v>0.47414646934726079</v>
      </c>
      <c r="AA284">
        <f t="shared" si="182"/>
        <v>4.9886878856553644E-7</v>
      </c>
    </row>
    <row r="285" spans="2:27" x14ac:dyDescent="0.35">
      <c r="B285">
        <v>247.44572158365264</v>
      </c>
      <c r="C285">
        <v>1297</v>
      </c>
      <c r="D285">
        <f t="shared" ref="D285:D348" si="183">C$23-LN(1/C$23)+$B285*C$22</f>
        <v>12.465952421986358</v>
      </c>
      <c r="E285">
        <f t="shared" ref="E285:E348" si="184">D$23-LN(1/D$23)+$B285*D$22</f>
        <v>250.22854234041353</v>
      </c>
      <c r="F285">
        <f t="shared" ref="F285:F348" si="185">E$23-LN(1/E$23)+$B285*E$22</f>
        <v>22.54198706537122</v>
      </c>
      <c r="G285">
        <f t="shared" ref="G285:G348" si="186">F$23-LN(1/F$23)+$B285*F$22</f>
        <v>22.54198706537122</v>
      </c>
      <c r="H285">
        <f t="shared" ref="H285:H348" si="187">G$23-LN(1/G$23)+$B285*G$22</f>
        <v>22.54198706537122</v>
      </c>
      <c r="I285" s="3"/>
      <c r="J285">
        <f t="shared" ref="J285:J348" si="188">lmb_2(D285)</f>
        <v>10.148615162954314</v>
      </c>
      <c r="K285">
        <f t="shared" ref="K285:K348" si="189">lmb_2(E285)</f>
        <v>244.72839334341705</v>
      </c>
      <c r="L285">
        <f t="shared" ref="L285:L348" si="190">lmb_2(F285)</f>
        <v>19.568087038437643</v>
      </c>
      <c r="M285">
        <f t="shared" ref="M285:M348" si="191">lmb_2(G285)</f>
        <v>19.568087038437643</v>
      </c>
      <c r="N285">
        <f t="shared" ref="N285:N348" si="192">lmb_2(H285)</f>
        <v>19.568087038437643</v>
      </c>
      <c r="O285" s="3"/>
      <c r="P285">
        <f t="shared" ref="P285:P348" si="193">(C$21*$A$21)/(J285+J285^2)</f>
        <v>202.93639541103857</v>
      </c>
      <c r="Q285">
        <f t="shared" ref="Q285:Q348" si="194">(D$21*$A$21)/(K285+K285^2)</f>
        <v>1035.7955167839295</v>
      </c>
      <c r="R285">
        <f t="shared" ref="R285:R348" si="195">(E$21*$A$21)/(L285+L285^2)</f>
        <v>0</v>
      </c>
      <c r="S285">
        <f t="shared" ref="S285:S348" si="196">(F$21*$A$21)/(M285+M285^2)</f>
        <v>0</v>
      </c>
      <c r="T285">
        <v>50</v>
      </c>
      <c r="U285" s="3"/>
      <c r="V285">
        <f t="shared" ref="V285:V348" si="197">SUM(P285:T285)</f>
        <v>1288.7319121949681</v>
      </c>
      <c r="W285" s="3"/>
      <c r="X285">
        <f t="shared" ref="X285:X348" si="198">(V285-C285)^2</f>
        <v>68.361275951716934</v>
      </c>
      <c r="Y285">
        <f t="shared" ref="Y285:Y348" si="199">ABS(V285-C285)</f>
        <v>8.2680878050318825</v>
      </c>
      <c r="AA285">
        <f t="shared" ref="AA285:AA348" si="200">Y285/$Z$39</f>
        <v>8.6991915235139139E-6</v>
      </c>
    </row>
    <row r="286" spans="2:27" x14ac:dyDescent="0.35">
      <c r="B286">
        <v>248.40357598978295</v>
      </c>
      <c r="C286">
        <v>1262</v>
      </c>
      <c r="D286">
        <f t="shared" si="183"/>
        <v>12.505785088551674</v>
      </c>
      <c r="E286">
        <f t="shared" si="184"/>
        <v>250.62578907789629</v>
      </c>
      <c r="F286">
        <f t="shared" si="185"/>
        <v>22.637772505984252</v>
      </c>
      <c r="G286">
        <f t="shared" si="186"/>
        <v>22.637772505984252</v>
      </c>
      <c r="H286">
        <f t="shared" si="187"/>
        <v>22.637772505984252</v>
      </c>
      <c r="I286" s="3"/>
      <c r="J286">
        <f t="shared" si="188"/>
        <v>10.184880747574311</v>
      </c>
      <c r="K286">
        <f t="shared" si="189"/>
        <v>245.12402477188078</v>
      </c>
      <c r="L286">
        <f t="shared" si="190"/>
        <v>19.659225772871235</v>
      </c>
      <c r="M286">
        <f t="shared" si="191"/>
        <v>19.659225772871235</v>
      </c>
      <c r="N286">
        <f t="shared" si="192"/>
        <v>19.659225772871235</v>
      </c>
      <c r="O286" s="3"/>
      <c r="P286">
        <f t="shared" si="193"/>
        <v>201.5581411380933</v>
      </c>
      <c r="Q286">
        <f t="shared" si="194"/>
        <v>1032.4614379941613</v>
      </c>
      <c r="R286">
        <f t="shared" si="195"/>
        <v>0</v>
      </c>
      <c r="S286">
        <f t="shared" si="196"/>
        <v>0</v>
      </c>
      <c r="T286">
        <v>50</v>
      </c>
      <c r="U286" s="3"/>
      <c r="V286">
        <f t="shared" si="197"/>
        <v>1284.0195791322546</v>
      </c>
      <c r="W286" s="3"/>
      <c r="X286">
        <f t="shared" si="198"/>
        <v>484.86186516162439</v>
      </c>
      <c r="Y286">
        <f t="shared" si="199"/>
        <v>22.019579132254648</v>
      </c>
      <c r="AA286">
        <f t="shared" si="200"/>
        <v>2.3167694956272281E-5</v>
      </c>
    </row>
    <row r="287" spans="2:27" x14ac:dyDescent="0.35">
      <c r="B287">
        <v>249.36143039591315</v>
      </c>
      <c r="C287">
        <v>1255</v>
      </c>
      <c r="D287">
        <f t="shared" si="183"/>
        <v>12.545617755116984</v>
      </c>
      <c r="E287">
        <f t="shared" si="184"/>
        <v>251.02303581537905</v>
      </c>
      <c r="F287">
        <f t="shared" si="185"/>
        <v>22.733557946597269</v>
      </c>
      <c r="G287">
        <f t="shared" si="186"/>
        <v>22.733557946597269</v>
      </c>
      <c r="H287">
        <f t="shared" si="187"/>
        <v>22.733557946597269</v>
      </c>
      <c r="I287" s="3"/>
      <c r="J287">
        <f t="shared" si="188"/>
        <v>10.22115788114758</v>
      </c>
      <c r="K287">
        <f t="shared" si="189"/>
        <v>245.51965879479323</v>
      </c>
      <c r="L287">
        <f t="shared" si="190"/>
        <v>19.750384963611662</v>
      </c>
      <c r="M287">
        <f t="shared" si="191"/>
        <v>19.750384963611662</v>
      </c>
      <c r="N287">
        <f t="shared" si="192"/>
        <v>19.750384963611662</v>
      </c>
      <c r="O287" s="3"/>
      <c r="P287">
        <f t="shared" si="193"/>
        <v>200.19345794255869</v>
      </c>
      <c r="Q287">
        <f t="shared" si="194"/>
        <v>1029.143409539869</v>
      </c>
      <c r="R287">
        <f t="shared" si="195"/>
        <v>0</v>
      </c>
      <c r="S287">
        <f t="shared" si="196"/>
        <v>0</v>
      </c>
      <c r="T287">
        <v>50</v>
      </c>
      <c r="U287" s="3"/>
      <c r="V287">
        <f t="shared" si="197"/>
        <v>1279.3368674824278</v>
      </c>
      <c r="W287" s="3"/>
      <c r="X287">
        <f t="shared" si="198"/>
        <v>592.28311885725191</v>
      </c>
      <c r="Y287">
        <f t="shared" si="199"/>
        <v>24.336867482427806</v>
      </c>
      <c r="AA287">
        <f t="shared" si="200"/>
        <v>2.5605808296226842E-5</v>
      </c>
    </row>
    <row r="288" spans="2:27" x14ac:dyDescent="0.35">
      <c r="B288">
        <v>250.31928480204346</v>
      </c>
      <c r="C288">
        <v>1319</v>
      </c>
      <c r="D288">
        <f t="shared" si="183"/>
        <v>12.5854504216823</v>
      </c>
      <c r="E288">
        <f t="shared" si="184"/>
        <v>251.42028255286181</v>
      </c>
      <c r="F288">
        <f t="shared" si="185"/>
        <v>22.829343387210301</v>
      </c>
      <c r="G288">
        <f t="shared" si="186"/>
        <v>22.829343387210301</v>
      </c>
      <c r="H288">
        <f t="shared" si="187"/>
        <v>22.829343387210301</v>
      </c>
      <c r="I288" s="3"/>
      <c r="J288">
        <f t="shared" si="188"/>
        <v>10.25744649276306</v>
      </c>
      <c r="K288">
        <f t="shared" si="189"/>
        <v>245.91529540385045</v>
      </c>
      <c r="L288">
        <f t="shared" si="190"/>
        <v>19.841564435848923</v>
      </c>
      <c r="M288">
        <f t="shared" si="191"/>
        <v>19.841564435848923</v>
      </c>
      <c r="N288">
        <f t="shared" si="192"/>
        <v>19.841564435848923</v>
      </c>
      <c r="O288" s="3"/>
      <c r="P288">
        <f t="shared" si="193"/>
        <v>198.84217236718129</v>
      </c>
      <c r="Q288">
        <f t="shared" si="194"/>
        <v>1025.8413286678422</v>
      </c>
      <c r="R288">
        <f t="shared" si="195"/>
        <v>0</v>
      </c>
      <c r="S288">
        <f t="shared" si="196"/>
        <v>0</v>
      </c>
      <c r="T288">
        <v>50</v>
      </c>
      <c r="U288" s="3"/>
      <c r="V288">
        <f t="shared" si="197"/>
        <v>1274.6835010350235</v>
      </c>
      <c r="W288" s="3"/>
      <c r="X288">
        <f t="shared" si="198"/>
        <v>1963.9520805127647</v>
      </c>
      <c r="Y288">
        <f t="shared" si="199"/>
        <v>44.316498964976518</v>
      </c>
      <c r="AA288">
        <f t="shared" si="200"/>
        <v>4.6627191345659667E-5</v>
      </c>
    </row>
    <row r="289" spans="2:27" x14ac:dyDescent="0.35">
      <c r="B289">
        <v>251.59642401021713</v>
      </c>
      <c r="C289">
        <v>1312</v>
      </c>
      <c r="D289">
        <f t="shared" si="183"/>
        <v>12.638560643769384</v>
      </c>
      <c r="E289">
        <f t="shared" si="184"/>
        <v>251.94994486950549</v>
      </c>
      <c r="F289">
        <f t="shared" si="185"/>
        <v>22.957057308027668</v>
      </c>
      <c r="G289">
        <f t="shared" si="186"/>
        <v>22.957057308027668</v>
      </c>
      <c r="H289">
        <f t="shared" si="187"/>
        <v>22.957057308027668</v>
      </c>
      <c r="I289" s="3"/>
      <c r="J289">
        <f t="shared" si="188"/>
        <v>10.305849041593959</v>
      </c>
      <c r="K289">
        <f t="shared" si="189"/>
        <v>246.44281489120715</v>
      </c>
      <c r="L289">
        <f t="shared" si="190"/>
        <v>19.96316831645197</v>
      </c>
      <c r="M289">
        <f t="shared" si="191"/>
        <v>19.96316831645197</v>
      </c>
      <c r="N289">
        <f t="shared" si="192"/>
        <v>19.96316831645197</v>
      </c>
      <c r="O289" s="3"/>
      <c r="P289">
        <f t="shared" si="193"/>
        <v>197.06100427311659</v>
      </c>
      <c r="Q289">
        <f t="shared" si="194"/>
        <v>1021.4631854588209</v>
      </c>
      <c r="R289">
        <f t="shared" si="195"/>
        <v>0</v>
      </c>
      <c r="S289">
        <f t="shared" si="196"/>
        <v>0</v>
      </c>
      <c r="T289">
        <v>50</v>
      </c>
      <c r="U289" s="3"/>
      <c r="V289">
        <f t="shared" si="197"/>
        <v>1268.5241897319374</v>
      </c>
      <c r="W289" s="3"/>
      <c r="X289">
        <f t="shared" si="198"/>
        <v>1890.146078464574</v>
      </c>
      <c r="Y289">
        <f t="shared" si="199"/>
        <v>43.47581026806256</v>
      </c>
      <c r="AA289">
        <f t="shared" si="200"/>
        <v>4.5742668568620818E-5</v>
      </c>
    </row>
    <row r="290" spans="2:27" x14ac:dyDescent="0.35">
      <c r="B290">
        <v>252.55427841634736</v>
      </c>
      <c r="C290">
        <v>1228</v>
      </c>
      <c r="D290">
        <f t="shared" si="183"/>
        <v>12.678393310334696</v>
      </c>
      <c r="E290">
        <f t="shared" si="184"/>
        <v>252.34719160698825</v>
      </c>
      <c r="F290">
        <f t="shared" si="185"/>
        <v>23.052842748640693</v>
      </c>
      <c r="G290">
        <f t="shared" si="186"/>
        <v>23.052842748640693</v>
      </c>
      <c r="H290">
        <f t="shared" si="187"/>
        <v>23.052842748640693</v>
      </c>
      <c r="I290" s="3"/>
      <c r="J290">
        <f t="shared" si="188"/>
        <v>10.342164163052805</v>
      </c>
      <c r="K290">
        <f t="shared" si="189"/>
        <v>246.83845750253184</v>
      </c>
      <c r="L290">
        <f t="shared" si="190"/>
        <v>20.054394444608597</v>
      </c>
      <c r="M290">
        <f t="shared" si="191"/>
        <v>20.054394444608597</v>
      </c>
      <c r="N290">
        <f t="shared" si="192"/>
        <v>20.054394444608597</v>
      </c>
      <c r="O290" s="3"/>
      <c r="P290">
        <f t="shared" si="193"/>
        <v>195.74032038096266</v>
      </c>
      <c r="Q290">
        <f t="shared" si="194"/>
        <v>1018.197920609429</v>
      </c>
      <c r="R290">
        <f t="shared" si="195"/>
        <v>0</v>
      </c>
      <c r="S290">
        <f t="shared" si="196"/>
        <v>0</v>
      </c>
      <c r="T290">
        <v>50</v>
      </c>
      <c r="U290" s="3"/>
      <c r="V290">
        <f t="shared" si="197"/>
        <v>1263.9382409903917</v>
      </c>
      <c r="W290" s="3"/>
      <c r="X290">
        <f t="shared" si="198"/>
        <v>1291.5571654834705</v>
      </c>
      <c r="Y290">
        <f t="shared" si="199"/>
        <v>35.938240990391705</v>
      </c>
      <c r="AA290">
        <f t="shared" si="200"/>
        <v>3.7812085305062896E-5</v>
      </c>
    </row>
    <row r="291" spans="2:27" x14ac:dyDescent="0.35">
      <c r="B291">
        <v>253.5121328224777</v>
      </c>
      <c r="C291">
        <v>1221</v>
      </c>
      <c r="D291">
        <f t="shared" si="183"/>
        <v>12.718225976900012</v>
      </c>
      <c r="E291">
        <f t="shared" si="184"/>
        <v>252.74443834447104</v>
      </c>
      <c r="F291">
        <f t="shared" si="185"/>
        <v>23.148628189253724</v>
      </c>
      <c r="G291">
        <f t="shared" si="186"/>
        <v>23.148628189253724</v>
      </c>
      <c r="H291">
        <f t="shared" si="187"/>
        <v>23.148628189253724</v>
      </c>
      <c r="I291" s="3"/>
      <c r="J291">
        <f t="shared" si="188"/>
        <v>10.37849053067392</v>
      </c>
      <c r="K291">
        <f t="shared" si="189"/>
        <v>247.23410267260718</v>
      </c>
      <c r="L291">
        <f t="shared" si="190"/>
        <v>20.145640287189501</v>
      </c>
      <c r="M291">
        <f t="shared" si="191"/>
        <v>20.145640287189501</v>
      </c>
      <c r="N291">
        <f t="shared" si="192"/>
        <v>20.145640287189501</v>
      </c>
      <c r="O291" s="3"/>
      <c r="P291">
        <f t="shared" si="193"/>
        <v>194.43247520721994</v>
      </c>
      <c r="Q291">
        <f t="shared" si="194"/>
        <v>1014.948266712085</v>
      </c>
      <c r="R291">
        <f t="shared" si="195"/>
        <v>0</v>
      </c>
      <c r="S291">
        <f t="shared" si="196"/>
        <v>0</v>
      </c>
      <c r="T291">
        <v>50</v>
      </c>
      <c r="U291" s="3"/>
      <c r="V291">
        <f t="shared" si="197"/>
        <v>1259.3807419193049</v>
      </c>
      <c r="W291" s="3"/>
      <c r="X291">
        <f t="shared" si="198"/>
        <v>1473.0813502762892</v>
      </c>
      <c r="Y291">
        <f t="shared" si="199"/>
        <v>38.38074191930491</v>
      </c>
      <c r="AA291">
        <f t="shared" si="200"/>
        <v>4.0381939892727705E-5</v>
      </c>
    </row>
    <row r="292" spans="2:27" x14ac:dyDescent="0.35">
      <c r="B292">
        <v>254.46998722860798</v>
      </c>
      <c r="C292">
        <v>1301</v>
      </c>
      <c r="D292">
        <f t="shared" si="183"/>
        <v>12.758058643465327</v>
      </c>
      <c r="E292">
        <f t="shared" si="184"/>
        <v>253.14168508195382</v>
      </c>
      <c r="F292">
        <f t="shared" si="185"/>
        <v>23.244413629866752</v>
      </c>
      <c r="G292">
        <f t="shared" si="186"/>
        <v>23.244413629866752</v>
      </c>
      <c r="H292">
        <f t="shared" si="187"/>
        <v>23.244413629866752</v>
      </c>
      <c r="I292" s="3"/>
      <c r="J292">
        <f t="shared" si="188"/>
        <v>10.414828076213331</v>
      </c>
      <c r="K292">
        <f t="shared" si="189"/>
        <v>247.62975039329964</v>
      </c>
      <c r="L292">
        <f t="shared" si="190"/>
        <v>20.23690567862587</v>
      </c>
      <c r="M292">
        <f t="shared" si="191"/>
        <v>20.23690567862587</v>
      </c>
      <c r="N292">
        <f t="shared" si="192"/>
        <v>20.23690567862587</v>
      </c>
      <c r="O292" s="3"/>
      <c r="P292">
        <f t="shared" si="193"/>
        <v>193.1373066810302</v>
      </c>
      <c r="Q292">
        <f t="shared" si="194"/>
        <v>1011.7141245120592</v>
      </c>
      <c r="R292">
        <f t="shared" si="195"/>
        <v>0</v>
      </c>
      <c r="S292">
        <f t="shared" si="196"/>
        <v>0</v>
      </c>
      <c r="T292">
        <v>50</v>
      </c>
      <c r="U292" s="3"/>
      <c r="V292">
        <f t="shared" si="197"/>
        <v>1254.8514311930894</v>
      </c>
      <c r="W292" s="3"/>
      <c r="X292">
        <f t="shared" si="198"/>
        <v>2129.6904029261609</v>
      </c>
      <c r="Y292">
        <f t="shared" si="199"/>
        <v>46.148568806910589</v>
      </c>
      <c r="AA292">
        <f t="shared" si="200"/>
        <v>4.8554786554522702E-5</v>
      </c>
    </row>
    <row r="293" spans="2:27" x14ac:dyDescent="0.35">
      <c r="B293">
        <v>255.4278416347382</v>
      </c>
      <c r="C293">
        <v>1274</v>
      </c>
      <c r="D293">
        <f t="shared" si="183"/>
        <v>12.797891310030639</v>
      </c>
      <c r="E293">
        <f t="shared" si="184"/>
        <v>253.53893181943656</v>
      </c>
      <c r="F293">
        <f t="shared" si="185"/>
        <v>23.340199070479777</v>
      </c>
      <c r="G293">
        <f t="shared" si="186"/>
        <v>23.340199070479777</v>
      </c>
      <c r="H293">
        <f t="shared" si="187"/>
        <v>23.340199070479777</v>
      </c>
      <c r="I293" s="3"/>
      <c r="J293">
        <f t="shared" si="188"/>
        <v>10.451176732024074</v>
      </c>
      <c r="K293">
        <f t="shared" si="189"/>
        <v>248.02540065651428</v>
      </c>
      <c r="L293">
        <f t="shared" si="190"/>
        <v>20.328190455389816</v>
      </c>
      <c r="M293">
        <f t="shared" si="191"/>
        <v>20.328190455389816</v>
      </c>
      <c r="N293">
        <f t="shared" si="192"/>
        <v>20.328190455389816</v>
      </c>
      <c r="O293" s="3"/>
      <c r="P293">
        <f t="shared" si="193"/>
        <v>191.85465523251182</v>
      </c>
      <c r="Q293">
        <f t="shared" si="194"/>
        <v>1008.495395541568</v>
      </c>
      <c r="R293">
        <f t="shared" si="195"/>
        <v>0</v>
      </c>
      <c r="S293">
        <f t="shared" si="196"/>
        <v>0</v>
      </c>
      <c r="T293">
        <v>50</v>
      </c>
      <c r="U293" s="3"/>
      <c r="V293">
        <f t="shared" si="197"/>
        <v>1250.3500507740798</v>
      </c>
      <c r="W293" s="3"/>
      <c r="X293">
        <f t="shared" si="198"/>
        <v>559.32009838860256</v>
      </c>
      <c r="Y293">
        <f t="shared" si="199"/>
        <v>23.649949225920182</v>
      </c>
      <c r="AA293">
        <f t="shared" si="200"/>
        <v>2.4883073654884335E-5</v>
      </c>
    </row>
    <row r="294" spans="2:27" x14ac:dyDescent="0.35">
      <c r="B294">
        <v>256.38569604086854</v>
      </c>
      <c r="C294">
        <v>1221</v>
      </c>
      <c r="D294">
        <f t="shared" si="183"/>
        <v>12.837723976595955</v>
      </c>
      <c r="E294">
        <f t="shared" si="184"/>
        <v>253.93617855691934</v>
      </c>
      <c r="F294">
        <f t="shared" si="185"/>
        <v>23.435984511092808</v>
      </c>
      <c r="G294">
        <f t="shared" si="186"/>
        <v>23.435984511092808</v>
      </c>
      <c r="H294">
        <f t="shared" si="187"/>
        <v>23.435984511092808</v>
      </c>
      <c r="I294" s="3"/>
      <c r="J294">
        <f t="shared" si="188"/>
        <v>10.487536431049476</v>
      </c>
      <c r="K294">
        <f t="shared" si="189"/>
        <v>248.4210534541948</v>
      </c>
      <c r="L294">
        <f t="shared" si="190"/>
        <v>20.419494455961413</v>
      </c>
      <c r="M294">
        <f t="shared" si="191"/>
        <v>20.419494455961413</v>
      </c>
      <c r="N294">
        <f t="shared" si="192"/>
        <v>20.419494455961413</v>
      </c>
      <c r="O294" s="3"/>
      <c r="P294">
        <f t="shared" si="193"/>
        <v>190.5843637473489</v>
      </c>
      <c r="Q294">
        <f t="shared" si="194"/>
        <v>1005.2919821123006</v>
      </c>
      <c r="R294">
        <f t="shared" si="195"/>
        <v>0</v>
      </c>
      <c r="S294">
        <f t="shared" si="196"/>
        <v>0</v>
      </c>
      <c r="T294">
        <v>50</v>
      </c>
      <c r="U294" s="3"/>
      <c r="V294">
        <f t="shared" si="197"/>
        <v>1245.8763458596495</v>
      </c>
      <c r="W294" s="3"/>
      <c r="X294">
        <f t="shared" si="198"/>
        <v>618.83258332890171</v>
      </c>
      <c r="Y294">
        <f t="shared" si="199"/>
        <v>24.876345859649518</v>
      </c>
      <c r="AA294">
        <f t="shared" si="200"/>
        <v>2.617341544275352E-5</v>
      </c>
    </row>
    <row r="295" spans="2:27" x14ac:dyDescent="0.35">
      <c r="B295">
        <v>257.66283524904219</v>
      </c>
      <c r="C295">
        <v>1199</v>
      </c>
      <c r="D295">
        <f t="shared" si="183"/>
        <v>12.890834198683038</v>
      </c>
      <c r="E295">
        <f t="shared" si="184"/>
        <v>254.46584087356302</v>
      </c>
      <c r="F295">
        <f t="shared" si="185"/>
        <v>23.563698431910176</v>
      </c>
      <c r="G295">
        <f t="shared" si="186"/>
        <v>23.563698431910176</v>
      </c>
      <c r="H295">
        <f t="shared" si="187"/>
        <v>23.563698431910176</v>
      </c>
      <c r="I295" s="3"/>
      <c r="J295">
        <f t="shared" si="188"/>
        <v>10.536033093275512</v>
      </c>
      <c r="K295">
        <f t="shared" si="189"/>
        <v>248.94859444641799</v>
      </c>
      <c r="L295">
        <f t="shared" si="190"/>
        <v>20.541262751616085</v>
      </c>
      <c r="M295">
        <f t="shared" si="191"/>
        <v>20.541262751616085</v>
      </c>
      <c r="N295">
        <f t="shared" si="192"/>
        <v>20.541262751616085</v>
      </c>
      <c r="O295" s="3"/>
      <c r="P295">
        <f t="shared" si="193"/>
        <v>188.9096013303521</v>
      </c>
      <c r="Q295">
        <f t="shared" si="194"/>
        <v>1001.0444209826206</v>
      </c>
      <c r="R295">
        <f t="shared" si="195"/>
        <v>0</v>
      </c>
      <c r="S295">
        <f t="shared" si="196"/>
        <v>0</v>
      </c>
      <c r="T295">
        <v>50</v>
      </c>
      <c r="U295" s="3"/>
      <c r="V295">
        <f t="shared" si="197"/>
        <v>1239.9540223129727</v>
      </c>
      <c r="W295" s="3"/>
      <c r="X295">
        <f t="shared" si="198"/>
        <v>1677.2319436114667</v>
      </c>
      <c r="Y295">
        <f t="shared" si="199"/>
        <v>40.954022312972711</v>
      </c>
      <c r="AA295">
        <f t="shared" si="200"/>
        <v>4.3089392875338253E-5</v>
      </c>
    </row>
    <row r="296" spans="2:27" x14ac:dyDescent="0.35">
      <c r="B296">
        <v>258.62068965517244</v>
      </c>
      <c r="C296">
        <v>1225</v>
      </c>
      <c r="D296">
        <f t="shared" si="183"/>
        <v>12.930666865248352</v>
      </c>
      <c r="E296">
        <f t="shared" si="184"/>
        <v>254.86308761104578</v>
      </c>
      <c r="F296">
        <f t="shared" si="185"/>
        <v>23.6594838725232</v>
      </c>
      <c r="G296">
        <f t="shared" si="186"/>
        <v>23.6594838725232</v>
      </c>
      <c r="H296">
        <f t="shared" si="187"/>
        <v>23.6594838725232</v>
      </c>
      <c r="I296" s="3"/>
      <c r="J296">
        <f t="shared" si="188"/>
        <v>10.572418302292082</v>
      </c>
      <c r="K296">
        <f t="shared" si="189"/>
        <v>249.34425312673559</v>
      </c>
      <c r="L296">
        <f t="shared" si="190"/>
        <v>20.632610990644533</v>
      </c>
      <c r="M296">
        <f t="shared" si="191"/>
        <v>20.632610990644533</v>
      </c>
      <c r="N296">
        <f t="shared" si="192"/>
        <v>20.632610990644533</v>
      </c>
      <c r="O296" s="3"/>
      <c r="P296">
        <f t="shared" si="193"/>
        <v>187.66755222198543</v>
      </c>
      <c r="Q296">
        <f t="shared" si="194"/>
        <v>997.87636824058916</v>
      </c>
      <c r="R296">
        <f t="shared" si="195"/>
        <v>0</v>
      </c>
      <c r="S296">
        <f t="shared" si="196"/>
        <v>0</v>
      </c>
      <c r="T296">
        <v>50</v>
      </c>
      <c r="U296" s="3"/>
      <c r="V296">
        <f t="shared" si="197"/>
        <v>1235.5439204625745</v>
      </c>
      <c r="W296" s="3"/>
      <c r="X296">
        <f t="shared" si="198"/>
        <v>111.17425872109796</v>
      </c>
      <c r="Y296">
        <f t="shared" si="199"/>
        <v>10.543920462574533</v>
      </c>
      <c r="AA296">
        <f t="shared" si="200"/>
        <v>1.1093687642844232E-5</v>
      </c>
    </row>
    <row r="297" spans="2:27" x14ac:dyDescent="0.35">
      <c r="B297">
        <v>259.57854406130269</v>
      </c>
      <c r="C297">
        <v>1254</v>
      </c>
      <c r="D297">
        <f t="shared" si="183"/>
        <v>12.970499531813664</v>
      </c>
      <c r="E297">
        <f t="shared" si="184"/>
        <v>255.26033434852854</v>
      </c>
      <c r="F297">
        <f t="shared" si="185"/>
        <v>23.755269313136225</v>
      </c>
      <c r="G297">
        <f t="shared" si="186"/>
        <v>23.755269313136225</v>
      </c>
      <c r="H297">
        <f t="shared" si="187"/>
        <v>23.755269313136225</v>
      </c>
      <c r="I297" s="3"/>
      <c r="J297">
        <f t="shared" si="188"/>
        <v>10.608814335179678</v>
      </c>
      <c r="K297">
        <f t="shared" si="189"/>
        <v>249.73991431493866</v>
      </c>
      <c r="L297">
        <f t="shared" si="190"/>
        <v>20.723977929173007</v>
      </c>
      <c r="M297">
        <f t="shared" si="191"/>
        <v>20.723977929173007</v>
      </c>
      <c r="N297">
        <f t="shared" si="192"/>
        <v>20.723977929173007</v>
      </c>
      <c r="O297" s="3"/>
      <c r="P297">
        <f t="shared" si="193"/>
        <v>186.43735653318305</v>
      </c>
      <c r="Q297">
        <f t="shared" si="194"/>
        <v>994.72331094737626</v>
      </c>
      <c r="R297">
        <f t="shared" si="195"/>
        <v>0</v>
      </c>
      <c r="S297">
        <f t="shared" si="196"/>
        <v>0</v>
      </c>
      <c r="T297">
        <v>50</v>
      </c>
      <c r="U297" s="3"/>
      <c r="V297">
        <f t="shared" si="197"/>
        <v>1231.1606674805594</v>
      </c>
      <c r="W297" s="3"/>
      <c r="X297">
        <f t="shared" si="198"/>
        <v>521.63510993357829</v>
      </c>
      <c r="Y297">
        <f t="shared" si="199"/>
        <v>22.839332519440632</v>
      </c>
      <c r="AA297">
        <f t="shared" si="200"/>
        <v>2.4030190842302924E-5</v>
      </c>
    </row>
    <row r="298" spans="2:27" x14ac:dyDescent="0.35">
      <c r="B298">
        <v>260.53639846743295</v>
      </c>
      <c r="C298">
        <v>1292</v>
      </c>
      <c r="D298">
        <f t="shared" si="183"/>
        <v>13.010332198378977</v>
      </c>
      <c r="E298">
        <f t="shared" si="184"/>
        <v>255.65758108601128</v>
      </c>
      <c r="F298">
        <f t="shared" si="185"/>
        <v>23.851054753749249</v>
      </c>
      <c r="G298">
        <f t="shared" si="186"/>
        <v>23.851054753749249</v>
      </c>
      <c r="H298">
        <f t="shared" si="187"/>
        <v>23.851054753749249</v>
      </c>
      <c r="I298" s="3"/>
      <c r="J298">
        <f t="shared" si="188"/>
        <v>10.645221127363991</v>
      </c>
      <c r="K298">
        <f t="shared" si="189"/>
        <v>250.1355780031345</v>
      </c>
      <c r="L298">
        <f t="shared" si="190"/>
        <v>20.815363414017742</v>
      </c>
      <c r="M298">
        <f t="shared" si="191"/>
        <v>20.815363414017742</v>
      </c>
      <c r="N298">
        <f t="shared" si="192"/>
        <v>20.815363414017742</v>
      </c>
      <c r="O298" s="3"/>
      <c r="P298">
        <f t="shared" si="193"/>
        <v>185.21886728827764</v>
      </c>
      <c r="Q298">
        <f t="shared" si="194"/>
        <v>991.58515470806515</v>
      </c>
      <c r="R298">
        <f t="shared" si="195"/>
        <v>0</v>
      </c>
      <c r="S298">
        <f t="shared" si="196"/>
        <v>0</v>
      </c>
      <c r="T298">
        <v>50</v>
      </c>
      <c r="U298" s="3"/>
      <c r="V298">
        <f t="shared" si="197"/>
        <v>1226.8040219963427</v>
      </c>
      <c r="W298" s="3"/>
      <c r="X298">
        <f t="shared" si="198"/>
        <v>4250.5155478533634</v>
      </c>
      <c r="Y298">
        <f t="shared" si="199"/>
        <v>65.195978003657274</v>
      </c>
      <c r="AA298">
        <f t="shared" si="200"/>
        <v>6.8595340614482979E-5</v>
      </c>
    </row>
    <row r="299" spans="2:27" x14ac:dyDescent="0.35">
      <c r="B299">
        <v>261.49425287356325</v>
      </c>
      <c r="C299">
        <v>1201</v>
      </c>
      <c r="D299">
        <f t="shared" si="183"/>
        <v>13.050164864944293</v>
      </c>
      <c r="E299">
        <f t="shared" si="184"/>
        <v>256.05482782349407</v>
      </c>
      <c r="F299">
        <f t="shared" si="185"/>
        <v>23.946840194362281</v>
      </c>
      <c r="G299">
        <f t="shared" si="186"/>
        <v>23.946840194362281</v>
      </c>
      <c r="H299">
        <f t="shared" si="187"/>
        <v>23.946840194362281</v>
      </c>
      <c r="I299" s="3"/>
      <c r="J299">
        <f t="shared" si="188"/>
        <v>10.681638614826618</v>
      </c>
      <c r="K299">
        <f t="shared" si="189"/>
        <v>250.53124418346763</v>
      </c>
      <c r="L299">
        <f t="shared" si="190"/>
        <v>20.90676729383793</v>
      </c>
      <c r="M299">
        <f t="shared" si="191"/>
        <v>20.90676729383793</v>
      </c>
      <c r="N299">
        <f t="shared" si="192"/>
        <v>20.90676729383793</v>
      </c>
      <c r="O299" s="3"/>
      <c r="P299">
        <f t="shared" si="193"/>
        <v>184.01193974040947</v>
      </c>
      <c r="Q299">
        <f t="shared" si="194"/>
        <v>988.46180586874129</v>
      </c>
      <c r="R299">
        <f t="shared" si="195"/>
        <v>0</v>
      </c>
      <c r="S299">
        <f t="shared" si="196"/>
        <v>0</v>
      </c>
      <c r="T299">
        <v>50</v>
      </c>
      <c r="U299" s="3"/>
      <c r="V299">
        <f t="shared" si="197"/>
        <v>1222.4737456091507</v>
      </c>
      <c r="W299" s="3"/>
      <c r="X299">
        <f t="shared" si="198"/>
        <v>461.12175048651824</v>
      </c>
      <c r="Y299">
        <f t="shared" si="199"/>
        <v>21.473745609150683</v>
      </c>
      <c r="AA299">
        <f t="shared" si="200"/>
        <v>2.2593401302237065E-5</v>
      </c>
    </row>
    <row r="300" spans="2:27" x14ac:dyDescent="0.35">
      <c r="B300">
        <v>262.45210727969356</v>
      </c>
      <c r="C300">
        <v>1199</v>
      </c>
      <c r="D300">
        <f t="shared" si="183"/>
        <v>13.089997531509608</v>
      </c>
      <c r="E300">
        <f t="shared" si="184"/>
        <v>256.45207456097683</v>
      </c>
      <c r="F300">
        <f t="shared" si="185"/>
        <v>24.042625634975312</v>
      </c>
      <c r="G300">
        <f t="shared" si="186"/>
        <v>24.042625634975312</v>
      </c>
      <c r="H300">
        <f t="shared" si="187"/>
        <v>24.042625634975312</v>
      </c>
      <c r="I300" s="3"/>
      <c r="J300">
        <f t="shared" si="188"/>
        <v>10.718066734098906</v>
      </c>
      <c r="K300">
        <f t="shared" si="189"/>
        <v>250.92691284811934</v>
      </c>
      <c r="L300">
        <f t="shared" si="190"/>
        <v>20.998189419106666</v>
      </c>
      <c r="M300">
        <f t="shared" si="191"/>
        <v>20.998189419106666</v>
      </c>
      <c r="N300">
        <f t="shared" si="192"/>
        <v>20.998189419106666</v>
      </c>
      <c r="O300" s="3"/>
      <c r="P300">
        <f t="shared" si="193"/>
        <v>182.81643133174015</v>
      </c>
      <c r="Q300">
        <f t="shared" si="194"/>
        <v>985.35317150952824</v>
      </c>
      <c r="R300">
        <f t="shared" si="195"/>
        <v>0</v>
      </c>
      <c r="S300">
        <f t="shared" si="196"/>
        <v>0</v>
      </c>
      <c r="T300">
        <v>50</v>
      </c>
      <c r="U300" s="3"/>
      <c r="V300">
        <f t="shared" si="197"/>
        <v>1218.1696028412684</v>
      </c>
      <c r="W300" s="3"/>
      <c r="X300">
        <f t="shared" si="198"/>
        <v>367.47367309196716</v>
      </c>
      <c r="Y300">
        <f t="shared" si="199"/>
        <v>19.169602841268443</v>
      </c>
      <c r="AA300">
        <f t="shared" si="200"/>
        <v>2.0169118964169929E-5</v>
      </c>
    </row>
    <row r="301" spans="2:27" x14ac:dyDescent="0.35">
      <c r="B301">
        <v>263.40996168582376</v>
      </c>
      <c r="C301">
        <v>1195</v>
      </c>
      <c r="D301">
        <f t="shared" si="183"/>
        <v>13.129830198074918</v>
      </c>
      <c r="E301">
        <f t="shared" si="184"/>
        <v>256.84932129845959</v>
      </c>
      <c r="F301">
        <f t="shared" si="185"/>
        <v>24.138411075588333</v>
      </c>
      <c r="G301">
        <f t="shared" si="186"/>
        <v>24.138411075588333</v>
      </c>
      <c r="H301">
        <f t="shared" si="187"/>
        <v>24.138411075588333</v>
      </c>
      <c r="I301" s="3"/>
      <c r="J301">
        <f t="shared" si="188"/>
        <v>10.754505422255855</v>
      </c>
      <c r="K301">
        <f t="shared" si="189"/>
        <v>251.32258398930767</v>
      </c>
      <c r="L301">
        <f t="shared" si="190"/>
        <v>21.089629642082453</v>
      </c>
      <c r="M301">
        <f t="shared" si="191"/>
        <v>21.089629642082453</v>
      </c>
      <c r="N301">
        <f t="shared" si="192"/>
        <v>21.089629642082453</v>
      </c>
      <c r="O301" s="3"/>
      <c r="P301">
        <f t="shared" si="193"/>
        <v>181.63220165448158</v>
      </c>
      <c r="Q301">
        <f t="shared" si="194"/>
        <v>982.25915943769826</v>
      </c>
      <c r="R301">
        <f t="shared" si="195"/>
        <v>0</v>
      </c>
      <c r="S301">
        <f t="shared" si="196"/>
        <v>0</v>
      </c>
      <c r="T301">
        <v>50</v>
      </c>
      <c r="U301" s="3"/>
      <c r="V301">
        <f t="shared" si="197"/>
        <v>1213.8913610921797</v>
      </c>
      <c r="W301" s="3"/>
      <c r="X301">
        <f t="shared" si="198"/>
        <v>356.88352391512285</v>
      </c>
      <c r="Y301">
        <f t="shared" si="199"/>
        <v>18.89136109217975</v>
      </c>
      <c r="AA301">
        <f t="shared" si="200"/>
        <v>1.9876369501145725E-5</v>
      </c>
    </row>
    <row r="302" spans="2:27" x14ac:dyDescent="0.35">
      <c r="B302">
        <v>264.68710089399747</v>
      </c>
      <c r="C302">
        <v>1209</v>
      </c>
      <c r="D302">
        <f t="shared" si="183"/>
        <v>13.182940420162003</v>
      </c>
      <c r="E302">
        <f t="shared" si="184"/>
        <v>257.37898361510327</v>
      </c>
      <c r="F302">
        <f t="shared" si="185"/>
        <v>24.266124996405704</v>
      </c>
      <c r="G302">
        <f t="shared" si="186"/>
        <v>24.266124996405704</v>
      </c>
      <c r="H302">
        <f t="shared" si="187"/>
        <v>24.266124996405704</v>
      </c>
      <c r="I302" s="3"/>
      <c r="J302">
        <f t="shared" si="188"/>
        <v>10.803106672532442</v>
      </c>
      <c r="K302">
        <f t="shared" si="189"/>
        <v>251.85014934990048</v>
      </c>
      <c r="L302">
        <f t="shared" si="190"/>
        <v>21.211577839303978</v>
      </c>
      <c r="M302">
        <f t="shared" si="191"/>
        <v>21.211577839303978</v>
      </c>
      <c r="N302">
        <f t="shared" si="192"/>
        <v>21.211577839303978</v>
      </c>
      <c r="O302" s="3"/>
      <c r="P302">
        <f t="shared" si="193"/>
        <v>180.07053471430041</v>
      </c>
      <c r="Q302">
        <f t="shared" si="194"/>
        <v>978.15639779144362</v>
      </c>
      <c r="R302">
        <f t="shared" si="195"/>
        <v>0</v>
      </c>
      <c r="S302">
        <f t="shared" si="196"/>
        <v>0</v>
      </c>
      <c r="T302">
        <v>50</v>
      </c>
      <c r="U302" s="3"/>
      <c r="V302">
        <f t="shared" si="197"/>
        <v>1208.2269325057441</v>
      </c>
      <c r="W302" s="3"/>
      <c r="X302">
        <f t="shared" si="198"/>
        <v>0.59763335067507051</v>
      </c>
      <c r="Y302">
        <f t="shared" si="199"/>
        <v>0.7730674942558835</v>
      </c>
      <c r="AA302">
        <f t="shared" si="200"/>
        <v>8.133757589078954E-7</v>
      </c>
    </row>
    <row r="303" spans="2:27" x14ac:dyDescent="0.35">
      <c r="B303">
        <v>265.64495530012778</v>
      </c>
      <c r="C303">
        <v>1166</v>
      </c>
      <c r="D303">
        <f t="shared" si="183"/>
        <v>13.222773086727319</v>
      </c>
      <c r="E303">
        <f t="shared" si="184"/>
        <v>257.77623035258603</v>
      </c>
      <c r="F303">
        <f t="shared" si="185"/>
        <v>24.361910437018732</v>
      </c>
      <c r="G303">
        <f t="shared" si="186"/>
        <v>24.361910437018732</v>
      </c>
      <c r="H303">
        <f t="shared" si="187"/>
        <v>24.361910437018732</v>
      </c>
      <c r="I303" s="3"/>
      <c r="J303">
        <f t="shared" si="188"/>
        <v>10.839569779721034</v>
      </c>
      <c r="K303">
        <f t="shared" si="189"/>
        <v>252.24582623961561</v>
      </c>
      <c r="L303">
        <f t="shared" si="190"/>
        <v>21.303059725533799</v>
      </c>
      <c r="M303">
        <f t="shared" si="191"/>
        <v>21.303059725533799</v>
      </c>
      <c r="N303">
        <f t="shared" si="192"/>
        <v>21.303059725533799</v>
      </c>
      <c r="O303" s="3"/>
      <c r="P303">
        <f t="shared" si="193"/>
        <v>178.91208783977655</v>
      </c>
      <c r="Q303">
        <f t="shared" si="194"/>
        <v>975.09614989661998</v>
      </c>
      <c r="R303">
        <f t="shared" si="195"/>
        <v>0</v>
      </c>
      <c r="S303">
        <f t="shared" si="196"/>
        <v>0</v>
      </c>
      <c r="T303">
        <v>50</v>
      </c>
      <c r="U303" s="3"/>
      <c r="V303">
        <f t="shared" si="197"/>
        <v>1204.0082377363965</v>
      </c>
      <c r="W303" s="3"/>
      <c r="X303">
        <f t="shared" si="198"/>
        <v>1444.6261358264346</v>
      </c>
      <c r="Y303">
        <f t="shared" si="199"/>
        <v>38.008237736396495</v>
      </c>
      <c r="AA303">
        <f t="shared" si="200"/>
        <v>3.9990013088508448E-5</v>
      </c>
    </row>
    <row r="304" spans="2:27" x14ac:dyDescent="0.35">
      <c r="B304">
        <v>266.60280970625797</v>
      </c>
      <c r="C304">
        <v>1139</v>
      </c>
      <c r="D304">
        <f t="shared" si="183"/>
        <v>13.262605753292629</v>
      </c>
      <c r="E304">
        <f t="shared" si="184"/>
        <v>258.17347709006879</v>
      </c>
      <c r="F304">
        <f t="shared" si="185"/>
        <v>24.457695877631753</v>
      </c>
      <c r="G304">
        <f t="shared" si="186"/>
        <v>24.457695877631753</v>
      </c>
      <c r="H304">
        <f t="shared" si="187"/>
        <v>24.457695877631753</v>
      </c>
      <c r="I304" s="3"/>
      <c r="J304">
        <f t="shared" si="188"/>
        <v>10.876043249894213</v>
      </c>
      <c r="K304">
        <f t="shared" si="189"/>
        <v>252.6415055801896</v>
      </c>
      <c r="L304">
        <f t="shared" si="190"/>
        <v>21.394559229539144</v>
      </c>
      <c r="M304">
        <f t="shared" si="191"/>
        <v>21.394559229539144</v>
      </c>
      <c r="N304">
        <f t="shared" si="192"/>
        <v>21.394559229539144</v>
      </c>
      <c r="O304" s="3"/>
      <c r="P304">
        <f t="shared" si="193"/>
        <v>177.76446671446669</v>
      </c>
      <c r="Q304">
        <f t="shared" si="194"/>
        <v>972.05022214479425</v>
      </c>
      <c r="R304">
        <f t="shared" si="195"/>
        <v>0</v>
      </c>
      <c r="S304">
        <f t="shared" si="196"/>
        <v>0</v>
      </c>
      <c r="T304">
        <v>50</v>
      </c>
      <c r="U304" s="3"/>
      <c r="V304">
        <f t="shared" si="197"/>
        <v>1199.814688859261</v>
      </c>
      <c r="W304" s="3"/>
      <c r="X304">
        <f t="shared" si="198"/>
        <v>3698.42638104872</v>
      </c>
      <c r="Y304">
        <f t="shared" si="199"/>
        <v>60.814688859260968</v>
      </c>
      <c r="AA304">
        <f t="shared" si="200"/>
        <v>6.3985608075866222E-5</v>
      </c>
    </row>
    <row r="305" spans="2:27" x14ac:dyDescent="0.35">
      <c r="B305">
        <v>267.56066411238828</v>
      </c>
      <c r="C305">
        <v>1193</v>
      </c>
      <c r="D305">
        <f t="shared" si="183"/>
        <v>13.302438419857944</v>
      </c>
      <c r="E305">
        <f t="shared" si="184"/>
        <v>258.57072382755155</v>
      </c>
      <c r="F305">
        <f t="shared" si="185"/>
        <v>24.553481318244785</v>
      </c>
      <c r="G305">
        <f t="shared" si="186"/>
        <v>24.553481318244785</v>
      </c>
      <c r="H305">
        <f t="shared" si="187"/>
        <v>24.553481318244785</v>
      </c>
      <c r="I305" s="3"/>
      <c r="J305">
        <f t="shared" si="188"/>
        <v>10.912527022414467</v>
      </c>
      <c r="K305">
        <f t="shared" si="189"/>
        <v>253.03718736399691</v>
      </c>
      <c r="L305">
        <f t="shared" si="190"/>
        <v>21.4860762109994</v>
      </c>
      <c r="M305">
        <f t="shared" si="191"/>
        <v>21.4860762109994</v>
      </c>
      <c r="N305">
        <f t="shared" si="192"/>
        <v>21.4860762109994</v>
      </c>
      <c r="O305" s="3"/>
      <c r="P305">
        <f t="shared" si="193"/>
        <v>176.62753981616814</v>
      </c>
      <c r="Q305">
        <f t="shared" si="194"/>
        <v>969.01852541643393</v>
      </c>
      <c r="R305">
        <f t="shared" si="195"/>
        <v>0</v>
      </c>
      <c r="S305">
        <f t="shared" si="196"/>
        <v>0</v>
      </c>
      <c r="T305">
        <v>50</v>
      </c>
      <c r="U305" s="3"/>
      <c r="V305">
        <f t="shared" si="197"/>
        <v>1195.646065232602</v>
      </c>
      <c r="W305" s="3"/>
      <c r="X305">
        <f t="shared" si="198"/>
        <v>7.0016612151852922</v>
      </c>
      <c r="Y305">
        <f t="shared" si="199"/>
        <v>2.6460652326020409</v>
      </c>
      <c r="AA305">
        <f t="shared" si="200"/>
        <v>2.784032872523151E-6</v>
      </c>
    </row>
    <row r="306" spans="2:27" x14ac:dyDescent="0.35">
      <c r="B306">
        <v>268.51851851851848</v>
      </c>
      <c r="C306">
        <v>1166</v>
      </c>
      <c r="D306">
        <f t="shared" si="183"/>
        <v>13.342271086423256</v>
      </c>
      <c r="E306">
        <f t="shared" si="184"/>
        <v>258.96797056503431</v>
      </c>
      <c r="F306">
        <f t="shared" si="185"/>
        <v>24.649266758857802</v>
      </c>
      <c r="G306">
        <f t="shared" si="186"/>
        <v>24.649266758857802</v>
      </c>
      <c r="H306">
        <f t="shared" si="187"/>
        <v>24.649266758857802</v>
      </c>
      <c r="I306" s="3"/>
      <c r="J306">
        <f t="shared" si="188"/>
        <v>10.949021037156811</v>
      </c>
      <c r="K306">
        <f t="shared" si="189"/>
        <v>253.43287158344739</v>
      </c>
      <c r="L306">
        <f t="shared" si="190"/>
        <v>21.577610531236413</v>
      </c>
      <c r="M306">
        <f t="shared" si="191"/>
        <v>21.577610531236413</v>
      </c>
      <c r="N306">
        <f t="shared" si="192"/>
        <v>21.577610531236413</v>
      </c>
      <c r="O306" s="3"/>
      <c r="P306">
        <f t="shared" si="193"/>
        <v>175.50117757787982</v>
      </c>
      <c r="Q306">
        <f t="shared" si="194"/>
        <v>966.00097128366565</v>
      </c>
      <c r="R306">
        <f t="shared" si="195"/>
        <v>0</v>
      </c>
      <c r="S306">
        <f t="shared" si="196"/>
        <v>0</v>
      </c>
      <c r="T306">
        <v>50</v>
      </c>
      <c r="U306" s="3"/>
      <c r="V306">
        <f t="shared" si="197"/>
        <v>1191.5021488615455</v>
      </c>
      <c r="W306" s="3"/>
      <c r="X306">
        <f t="shared" si="198"/>
        <v>650.35959655642603</v>
      </c>
      <c r="Y306">
        <f t="shared" si="199"/>
        <v>25.502148861545493</v>
      </c>
      <c r="AA306">
        <f t="shared" si="200"/>
        <v>2.683184823856513E-5</v>
      </c>
    </row>
    <row r="307" spans="2:27" x14ac:dyDescent="0.35">
      <c r="B307">
        <v>269.47637292464884</v>
      </c>
      <c r="C307">
        <v>1095</v>
      </c>
      <c r="D307">
        <f t="shared" si="183"/>
        <v>13.382103752988574</v>
      </c>
      <c r="E307">
        <f t="shared" si="184"/>
        <v>259.36521730251707</v>
      </c>
      <c r="F307">
        <f t="shared" si="185"/>
        <v>24.745052199470841</v>
      </c>
      <c r="G307">
        <f t="shared" si="186"/>
        <v>24.745052199470841</v>
      </c>
      <c r="H307">
        <f t="shared" si="187"/>
        <v>24.745052199470841</v>
      </c>
      <c r="I307" s="3"/>
      <c r="J307">
        <f t="shared" si="188"/>
        <v>10.985525234503216</v>
      </c>
      <c r="K307">
        <f t="shared" si="189"/>
        <v>253.82855823098626</v>
      </c>
      <c r="L307">
        <f t="shared" si="190"/>
        <v>21.6691620531894</v>
      </c>
      <c r="M307">
        <f t="shared" si="191"/>
        <v>21.6691620531894</v>
      </c>
      <c r="N307">
        <f t="shared" si="192"/>
        <v>21.6691620531894</v>
      </c>
      <c r="O307" s="3"/>
      <c r="P307">
        <f t="shared" si="193"/>
        <v>174.38525235357073</v>
      </c>
      <c r="Q307">
        <f t="shared" si="194"/>
        <v>962.99747200384707</v>
      </c>
      <c r="R307">
        <f t="shared" si="195"/>
        <v>0</v>
      </c>
      <c r="S307">
        <f t="shared" si="196"/>
        <v>0</v>
      </c>
      <c r="T307">
        <v>50</v>
      </c>
      <c r="U307" s="3"/>
      <c r="V307">
        <f t="shared" si="197"/>
        <v>1187.3827243574178</v>
      </c>
      <c r="W307" s="3"/>
      <c r="X307">
        <f t="shared" si="198"/>
        <v>8534.5677596986407</v>
      </c>
      <c r="Y307">
        <f t="shared" si="199"/>
        <v>92.382724357417828</v>
      </c>
      <c r="AA307">
        <f t="shared" si="200"/>
        <v>9.7199622403631756E-5</v>
      </c>
    </row>
    <row r="308" spans="2:27" x14ac:dyDescent="0.35">
      <c r="B308">
        <v>270.43422733077909</v>
      </c>
      <c r="C308">
        <v>1259</v>
      </c>
      <c r="D308">
        <f t="shared" si="183"/>
        <v>13.421936419553886</v>
      </c>
      <c r="E308">
        <f t="shared" si="184"/>
        <v>259.76246403999983</v>
      </c>
      <c r="F308">
        <f t="shared" si="185"/>
        <v>24.840837640083866</v>
      </c>
      <c r="G308">
        <f t="shared" si="186"/>
        <v>24.840837640083866</v>
      </c>
      <c r="H308">
        <f t="shared" si="187"/>
        <v>24.840837640083866</v>
      </c>
      <c r="I308" s="3"/>
      <c r="J308">
        <f t="shared" si="188"/>
        <v>11.022039555337072</v>
      </c>
      <c r="K308">
        <f t="shared" si="189"/>
        <v>254.22424729909369</v>
      </c>
      <c r="L308">
        <f t="shared" si="190"/>
        <v>21.760730641390065</v>
      </c>
      <c r="M308">
        <f t="shared" si="191"/>
        <v>21.760730641390065</v>
      </c>
      <c r="N308">
        <f t="shared" si="192"/>
        <v>21.760730641390065</v>
      </c>
      <c r="O308" s="3"/>
      <c r="P308">
        <f t="shared" si="193"/>
        <v>173.27963838463768</v>
      </c>
      <c r="Q308">
        <f t="shared" si="194"/>
        <v>960.00794051320975</v>
      </c>
      <c r="R308">
        <f t="shared" si="195"/>
        <v>0</v>
      </c>
      <c r="S308">
        <f t="shared" si="196"/>
        <v>0</v>
      </c>
      <c r="T308">
        <v>50</v>
      </c>
      <c r="U308" s="3"/>
      <c r="V308">
        <f t="shared" si="197"/>
        <v>1183.2875788978474</v>
      </c>
      <c r="W308" s="3"/>
      <c r="X308">
        <f t="shared" si="198"/>
        <v>5732.370709149679</v>
      </c>
      <c r="Y308">
        <f t="shared" si="199"/>
        <v>75.712421102152575</v>
      </c>
      <c r="AA308">
        <f t="shared" si="200"/>
        <v>7.966011820480683E-5</v>
      </c>
    </row>
    <row r="309" spans="2:27" x14ac:dyDescent="0.35">
      <c r="B309">
        <v>271.71136653895275</v>
      </c>
      <c r="C309">
        <v>1185</v>
      </c>
      <c r="D309">
        <f t="shared" si="183"/>
        <v>13.475046641640969</v>
      </c>
      <c r="E309">
        <f t="shared" si="184"/>
        <v>260.29212635664351</v>
      </c>
      <c r="F309">
        <f t="shared" si="185"/>
        <v>24.968551560901229</v>
      </c>
      <c r="G309">
        <f t="shared" si="186"/>
        <v>24.968551560901229</v>
      </c>
      <c r="H309">
        <f t="shared" si="187"/>
        <v>24.968551560901229</v>
      </c>
      <c r="I309" s="3"/>
      <c r="J309">
        <f t="shared" si="188"/>
        <v>11.070740962847216</v>
      </c>
      <c r="K309">
        <f t="shared" si="189"/>
        <v>254.75183647563384</v>
      </c>
      <c r="L309">
        <f t="shared" si="190"/>
        <v>21.882848408611608</v>
      </c>
      <c r="M309">
        <f t="shared" si="191"/>
        <v>21.882848408611608</v>
      </c>
      <c r="N309">
        <f t="shared" si="192"/>
        <v>21.882848408611608</v>
      </c>
      <c r="O309" s="3"/>
      <c r="P309">
        <f t="shared" si="193"/>
        <v>171.82131226458739</v>
      </c>
      <c r="Q309">
        <f t="shared" si="194"/>
        <v>956.04347697575372</v>
      </c>
      <c r="R309">
        <f t="shared" si="195"/>
        <v>0</v>
      </c>
      <c r="S309">
        <f t="shared" si="196"/>
        <v>0</v>
      </c>
      <c r="T309">
        <v>50</v>
      </c>
      <c r="U309" s="3"/>
      <c r="V309">
        <f t="shared" si="197"/>
        <v>1177.864789240341</v>
      </c>
      <c r="W309" s="3"/>
      <c r="X309">
        <f t="shared" si="198"/>
        <v>50.911232584753606</v>
      </c>
      <c r="Y309">
        <f t="shared" si="199"/>
        <v>7.1352107596590031</v>
      </c>
      <c r="AA309">
        <f t="shared" si="200"/>
        <v>7.5072454989091065E-6</v>
      </c>
    </row>
    <row r="310" spans="2:27" x14ac:dyDescent="0.35">
      <c r="B310">
        <v>272.66922094508305</v>
      </c>
      <c r="C310">
        <v>1134</v>
      </c>
      <c r="D310">
        <f t="shared" si="183"/>
        <v>13.514879308206284</v>
      </c>
      <c r="E310">
        <f t="shared" si="184"/>
        <v>260.68937309412632</v>
      </c>
      <c r="F310">
        <f t="shared" si="185"/>
        <v>25.064337001514261</v>
      </c>
      <c r="G310">
        <f t="shared" si="186"/>
        <v>25.064337001514261</v>
      </c>
      <c r="H310">
        <f t="shared" si="187"/>
        <v>25.064337001514261</v>
      </c>
      <c r="I310" s="3"/>
      <c r="J310">
        <f t="shared" si="188"/>
        <v>11.10727867802995</v>
      </c>
      <c r="K310">
        <f t="shared" si="189"/>
        <v>255.14753116268633</v>
      </c>
      <c r="L310">
        <f t="shared" si="190"/>
        <v>21.974456300001044</v>
      </c>
      <c r="M310">
        <f t="shared" si="191"/>
        <v>21.974456300001044</v>
      </c>
      <c r="N310">
        <f t="shared" si="192"/>
        <v>21.974456300001044</v>
      </c>
      <c r="O310" s="3"/>
      <c r="P310">
        <f t="shared" si="193"/>
        <v>170.73927918762223</v>
      </c>
      <c r="Q310">
        <f t="shared" si="194"/>
        <v>953.08620217833982</v>
      </c>
      <c r="R310">
        <f t="shared" si="195"/>
        <v>0</v>
      </c>
      <c r="S310">
        <f t="shared" si="196"/>
        <v>0</v>
      </c>
      <c r="T310">
        <v>50</v>
      </c>
      <c r="U310" s="3"/>
      <c r="V310">
        <f t="shared" si="197"/>
        <v>1173.8254813659621</v>
      </c>
      <c r="W310" s="3"/>
      <c r="X310">
        <f t="shared" si="198"/>
        <v>1586.0689660305948</v>
      </c>
      <c r="Y310">
        <f t="shared" si="199"/>
        <v>39.825481365962105</v>
      </c>
      <c r="AA310">
        <f t="shared" si="200"/>
        <v>4.1902009036211842E-5</v>
      </c>
    </row>
    <row r="311" spans="2:27" x14ac:dyDescent="0.35">
      <c r="B311">
        <v>273.62707535121331</v>
      </c>
      <c r="C311">
        <v>1189</v>
      </c>
      <c r="D311">
        <f t="shared" si="183"/>
        <v>13.554711974771598</v>
      </c>
      <c r="E311">
        <f t="shared" si="184"/>
        <v>261.08661983160908</v>
      </c>
      <c r="F311">
        <f t="shared" si="185"/>
        <v>25.160122442127285</v>
      </c>
      <c r="G311">
        <f t="shared" si="186"/>
        <v>25.160122442127285</v>
      </c>
      <c r="H311">
        <f t="shared" si="187"/>
        <v>25.160122442127285</v>
      </c>
      <c r="I311" s="3"/>
      <c r="J311">
        <f t="shared" si="188"/>
        <v>11.143826323196867</v>
      </c>
      <c r="K311">
        <f t="shared" si="189"/>
        <v>255.54322824549178</v>
      </c>
      <c r="L311">
        <f t="shared" si="190"/>
        <v>22.066080817271128</v>
      </c>
      <c r="M311">
        <f t="shared" si="191"/>
        <v>22.066080817271128</v>
      </c>
      <c r="N311">
        <f t="shared" si="192"/>
        <v>22.066080817271128</v>
      </c>
      <c r="O311" s="3"/>
      <c r="P311">
        <f t="shared" si="193"/>
        <v>169.66715138494288</v>
      </c>
      <c r="Q311">
        <f t="shared" si="194"/>
        <v>950.14260978027755</v>
      </c>
      <c r="R311">
        <f t="shared" si="195"/>
        <v>0</v>
      </c>
      <c r="S311">
        <f t="shared" si="196"/>
        <v>0</v>
      </c>
      <c r="T311">
        <v>50</v>
      </c>
      <c r="U311" s="3"/>
      <c r="V311">
        <f t="shared" si="197"/>
        <v>1169.8097611652204</v>
      </c>
      <c r="W311" s="3"/>
      <c r="X311">
        <f t="shared" si="198"/>
        <v>368.26526653588388</v>
      </c>
      <c r="Y311">
        <f t="shared" si="199"/>
        <v>19.19023883477962</v>
      </c>
      <c r="AA311">
        <f t="shared" si="200"/>
        <v>2.0190830932410333E-5</v>
      </c>
    </row>
    <row r="312" spans="2:27" x14ac:dyDescent="0.35">
      <c r="B312">
        <v>274.58492975734356</v>
      </c>
      <c r="C312">
        <v>1162</v>
      </c>
      <c r="D312">
        <f t="shared" si="183"/>
        <v>13.594544641336912</v>
      </c>
      <c r="E312">
        <f t="shared" si="184"/>
        <v>261.48386656909179</v>
      </c>
      <c r="F312">
        <f t="shared" si="185"/>
        <v>25.255907882740313</v>
      </c>
      <c r="G312">
        <f t="shared" si="186"/>
        <v>25.255907882740313</v>
      </c>
      <c r="H312">
        <f t="shared" si="187"/>
        <v>25.255907882740313</v>
      </c>
      <c r="I312" s="3"/>
      <c r="J312">
        <f t="shared" si="188"/>
        <v>11.180383841342231</v>
      </c>
      <c r="K312">
        <f t="shared" si="189"/>
        <v>255.93892771667976</v>
      </c>
      <c r="L312">
        <f t="shared" si="190"/>
        <v>22.157721831580179</v>
      </c>
      <c r="M312">
        <f t="shared" si="191"/>
        <v>22.157721831580179</v>
      </c>
      <c r="N312">
        <f t="shared" si="192"/>
        <v>22.157721831580179</v>
      </c>
      <c r="O312" s="3"/>
      <c r="P312">
        <f t="shared" si="193"/>
        <v>168.60481090527153</v>
      </c>
      <c r="Q312">
        <f t="shared" si="194"/>
        <v>947.21261558777383</v>
      </c>
      <c r="R312">
        <f t="shared" si="195"/>
        <v>0</v>
      </c>
      <c r="S312">
        <f t="shared" si="196"/>
        <v>0</v>
      </c>
      <c r="T312">
        <v>50</v>
      </c>
      <c r="U312" s="3"/>
      <c r="V312">
        <f t="shared" si="197"/>
        <v>1165.8174264930453</v>
      </c>
      <c r="W312" s="3"/>
      <c r="X312">
        <f t="shared" si="198"/>
        <v>14.572745029804381</v>
      </c>
      <c r="Y312">
        <f t="shared" si="199"/>
        <v>3.8174264930453319</v>
      </c>
      <c r="AA312">
        <f t="shared" si="200"/>
        <v>4.0164697053322285E-6</v>
      </c>
    </row>
    <row r="313" spans="2:27" x14ac:dyDescent="0.35">
      <c r="B313">
        <v>275.54278416347387</v>
      </c>
      <c r="C313">
        <v>1123</v>
      </c>
      <c r="D313">
        <f t="shared" si="183"/>
        <v>13.634377307902225</v>
      </c>
      <c r="E313">
        <f t="shared" si="184"/>
        <v>261.8811133065746</v>
      </c>
      <c r="F313">
        <f t="shared" si="185"/>
        <v>25.351693323353341</v>
      </c>
      <c r="G313">
        <f t="shared" si="186"/>
        <v>25.351693323353341</v>
      </c>
      <c r="H313">
        <f t="shared" si="187"/>
        <v>25.351693323353341</v>
      </c>
      <c r="I313" s="3"/>
      <c r="J313">
        <f t="shared" si="188"/>
        <v>11.216951175933509</v>
      </c>
      <c r="K313">
        <f t="shared" si="189"/>
        <v>256.33462956891407</v>
      </c>
      <c r="L313">
        <f t="shared" si="190"/>
        <v>22.249379215554818</v>
      </c>
      <c r="M313">
        <f t="shared" si="191"/>
        <v>22.249379215554818</v>
      </c>
      <c r="N313">
        <f t="shared" si="192"/>
        <v>22.249379215554818</v>
      </c>
      <c r="O313" s="3"/>
      <c r="P313">
        <f t="shared" si="193"/>
        <v>167.55214151684515</v>
      </c>
      <c r="Q313">
        <f t="shared" si="194"/>
        <v>944.29613605313762</v>
      </c>
      <c r="R313">
        <f t="shared" si="195"/>
        <v>0</v>
      </c>
      <c r="S313">
        <f t="shared" si="196"/>
        <v>0</v>
      </c>
      <c r="T313">
        <v>50</v>
      </c>
      <c r="U313" s="3"/>
      <c r="V313">
        <f t="shared" si="197"/>
        <v>1161.8482775699827</v>
      </c>
      <c r="W313" s="3"/>
      <c r="X313">
        <f t="shared" si="198"/>
        <v>1509.1886701544177</v>
      </c>
      <c r="Y313">
        <f t="shared" si="199"/>
        <v>38.848277569982656</v>
      </c>
      <c r="AA313">
        <f t="shared" si="200"/>
        <v>4.0873853170044514E-5</v>
      </c>
    </row>
    <row r="314" spans="2:27" x14ac:dyDescent="0.35">
      <c r="B314">
        <v>276.50063856960406</v>
      </c>
      <c r="C314">
        <v>1204</v>
      </c>
      <c r="D314">
        <f t="shared" si="183"/>
        <v>13.674209974467537</v>
      </c>
      <c r="E314">
        <f t="shared" si="184"/>
        <v>262.27836004405731</v>
      </c>
      <c r="F314">
        <f t="shared" si="185"/>
        <v>25.447478763966362</v>
      </c>
      <c r="G314">
        <f t="shared" si="186"/>
        <v>25.447478763966362</v>
      </c>
      <c r="H314">
        <f t="shared" si="187"/>
        <v>25.447478763966362</v>
      </c>
      <c r="I314" s="3"/>
      <c r="J314">
        <f t="shared" si="188"/>
        <v>11.253528270906299</v>
      </c>
      <c r="K314">
        <f t="shared" si="189"/>
        <v>256.73033379489158</v>
      </c>
      <c r="L314">
        <f t="shared" si="190"/>
        <v>22.341052843268031</v>
      </c>
      <c r="M314">
        <f t="shared" si="191"/>
        <v>22.341052843268031</v>
      </c>
      <c r="N314">
        <f t="shared" si="192"/>
        <v>22.341052843268031</v>
      </c>
      <c r="O314" s="3"/>
      <c r="P314">
        <f t="shared" si="193"/>
        <v>166.50902867788093</v>
      </c>
      <c r="Q314">
        <f t="shared" si="194"/>
        <v>941.39308826885031</v>
      </c>
      <c r="R314">
        <f t="shared" si="195"/>
        <v>0</v>
      </c>
      <c r="S314">
        <f t="shared" si="196"/>
        <v>0</v>
      </c>
      <c r="T314">
        <v>50</v>
      </c>
      <c r="U314" s="3"/>
      <c r="V314">
        <f t="shared" si="197"/>
        <v>1157.9021169467312</v>
      </c>
      <c r="W314" s="3"/>
      <c r="X314">
        <f t="shared" si="198"/>
        <v>2125.0148219928456</v>
      </c>
      <c r="Y314">
        <f t="shared" si="199"/>
        <v>46.097883053268788</v>
      </c>
      <c r="AA314">
        <f t="shared" si="200"/>
        <v>4.8501458011231794E-5</v>
      </c>
    </row>
    <row r="315" spans="2:27" x14ac:dyDescent="0.35">
      <c r="B315">
        <v>277.77777777777777</v>
      </c>
      <c r="C315">
        <v>1120</v>
      </c>
      <c r="D315">
        <f t="shared" si="183"/>
        <v>13.727320196554622</v>
      </c>
      <c r="E315">
        <f t="shared" si="184"/>
        <v>262.80802236070105</v>
      </c>
      <c r="F315">
        <f t="shared" si="185"/>
        <v>25.575192684783733</v>
      </c>
      <c r="G315">
        <f t="shared" si="186"/>
        <v>25.575192684783733</v>
      </c>
      <c r="H315">
        <f t="shared" si="187"/>
        <v>25.575192684783733</v>
      </c>
      <c r="I315" s="3"/>
      <c r="J315">
        <f t="shared" si="188"/>
        <v>11.302312817650828</v>
      </c>
      <c r="K315">
        <f t="shared" si="189"/>
        <v>257.25794310945889</v>
      </c>
      <c r="L315">
        <f t="shared" si="190"/>
        <v>22.463309399937064</v>
      </c>
      <c r="M315">
        <f t="shared" si="191"/>
        <v>22.463309399937064</v>
      </c>
      <c r="N315">
        <f t="shared" si="192"/>
        <v>22.463309399937064</v>
      </c>
      <c r="O315" s="3"/>
      <c r="P315">
        <f t="shared" si="193"/>
        <v>165.13288243602031</v>
      </c>
      <c r="Q315">
        <f t="shared" si="194"/>
        <v>937.54310961366627</v>
      </c>
      <c r="R315">
        <f t="shared" si="195"/>
        <v>0</v>
      </c>
      <c r="S315">
        <f t="shared" si="196"/>
        <v>0</v>
      </c>
      <c r="T315">
        <v>50</v>
      </c>
      <c r="U315" s="3"/>
      <c r="V315">
        <f t="shared" si="197"/>
        <v>1152.6759920496866</v>
      </c>
      <c r="W315" s="3"/>
      <c r="X315">
        <f t="shared" si="198"/>
        <v>1067.7204564311789</v>
      </c>
      <c r="Y315">
        <f t="shared" si="199"/>
        <v>32.675992049686556</v>
      </c>
      <c r="AA315">
        <f t="shared" si="200"/>
        <v>3.4379740487038186E-5</v>
      </c>
    </row>
    <row r="316" spans="2:27" x14ac:dyDescent="0.35">
      <c r="B316">
        <v>278.73563218390808</v>
      </c>
      <c r="C316">
        <v>1130</v>
      </c>
      <c r="D316">
        <f t="shared" si="183"/>
        <v>13.767152863119938</v>
      </c>
      <c r="E316">
        <f t="shared" si="184"/>
        <v>263.20526909818381</v>
      </c>
      <c r="F316">
        <f t="shared" si="185"/>
        <v>25.670978125396765</v>
      </c>
      <c r="G316">
        <f t="shared" si="186"/>
        <v>25.670978125396765</v>
      </c>
      <c r="H316">
        <f t="shared" si="187"/>
        <v>25.670978125396765</v>
      </c>
      <c r="I316" s="3"/>
      <c r="J316">
        <f t="shared" si="188"/>
        <v>11.338912471411181</v>
      </c>
      <c r="K316">
        <f t="shared" si="189"/>
        <v>257.6536528459593</v>
      </c>
      <c r="L316">
        <f t="shared" si="190"/>
        <v>22.555020447954909</v>
      </c>
      <c r="M316">
        <f t="shared" si="191"/>
        <v>22.555020447954909</v>
      </c>
      <c r="N316">
        <f t="shared" si="192"/>
        <v>22.555020447954909</v>
      </c>
      <c r="O316" s="3"/>
      <c r="P316">
        <f t="shared" si="193"/>
        <v>164.11163204958507</v>
      </c>
      <c r="Q316">
        <f t="shared" si="194"/>
        <v>934.67108371418908</v>
      </c>
      <c r="R316">
        <f t="shared" si="195"/>
        <v>0</v>
      </c>
      <c r="S316">
        <f t="shared" si="196"/>
        <v>0</v>
      </c>
      <c r="T316">
        <v>50</v>
      </c>
      <c r="U316" s="3"/>
      <c r="V316">
        <f t="shared" si="197"/>
        <v>1148.7827157637741</v>
      </c>
      <c r="W316" s="3"/>
      <c r="X316">
        <f t="shared" si="198"/>
        <v>352.79041146272994</v>
      </c>
      <c r="Y316">
        <f t="shared" si="199"/>
        <v>18.782715763774149</v>
      </c>
      <c r="AA316">
        <f t="shared" si="200"/>
        <v>1.9762059331464148E-5</v>
      </c>
    </row>
    <row r="317" spans="2:27" x14ac:dyDescent="0.35">
      <c r="B317">
        <v>279.69348659003828</v>
      </c>
      <c r="C317">
        <v>1135</v>
      </c>
      <c r="D317">
        <f t="shared" si="183"/>
        <v>13.806985529685248</v>
      </c>
      <c r="E317">
        <f t="shared" si="184"/>
        <v>263.60251583566651</v>
      </c>
      <c r="F317">
        <f t="shared" si="185"/>
        <v>25.766763566009782</v>
      </c>
      <c r="G317">
        <f t="shared" si="186"/>
        <v>25.766763566009782</v>
      </c>
      <c r="H317">
        <f t="shared" si="187"/>
        <v>25.766763566009782</v>
      </c>
      <c r="I317" s="3"/>
      <c r="J317">
        <f t="shared" si="188"/>
        <v>11.375521701988843</v>
      </c>
      <c r="K317">
        <f t="shared" si="189"/>
        <v>258.04936493210135</v>
      </c>
      <c r="L317">
        <f t="shared" si="190"/>
        <v>22.646747330126939</v>
      </c>
      <c r="M317">
        <f t="shared" si="191"/>
        <v>22.646747330126939</v>
      </c>
      <c r="N317">
        <f t="shared" si="192"/>
        <v>22.646747330126939</v>
      </c>
      <c r="O317" s="3"/>
      <c r="P317">
        <f t="shared" si="193"/>
        <v>163.09956824457825</v>
      </c>
      <c r="Q317">
        <f t="shared" si="194"/>
        <v>931.81221775514473</v>
      </c>
      <c r="R317">
        <f t="shared" si="195"/>
        <v>0</v>
      </c>
      <c r="S317">
        <f t="shared" si="196"/>
        <v>0</v>
      </c>
      <c r="T317">
        <v>50</v>
      </c>
      <c r="U317" s="3"/>
      <c r="V317">
        <f t="shared" si="197"/>
        <v>1144.911785999723</v>
      </c>
      <c r="W317" s="3"/>
      <c r="X317">
        <f t="shared" si="198"/>
        <v>98.24350170430391</v>
      </c>
      <c r="Y317">
        <f t="shared" si="199"/>
        <v>9.9117859997229516</v>
      </c>
      <c r="AA317">
        <f t="shared" si="200"/>
        <v>1.0428593259398905E-5</v>
      </c>
    </row>
    <row r="318" spans="2:27" x14ac:dyDescent="0.35">
      <c r="B318">
        <v>280.65134099616864</v>
      </c>
      <c r="C318">
        <v>1122</v>
      </c>
      <c r="D318">
        <f t="shared" si="183"/>
        <v>13.846818196250565</v>
      </c>
      <c r="E318">
        <f t="shared" si="184"/>
        <v>263.99976257314933</v>
      </c>
      <c r="F318">
        <f t="shared" si="185"/>
        <v>25.862549006622821</v>
      </c>
      <c r="G318">
        <f t="shared" si="186"/>
        <v>25.862549006622821</v>
      </c>
      <c r="H318">
        <f t="shared" si="187"/>
        <v>25.862549006622821</v>
      </c>
      <c r="I318" s="3"/>
      <c r="J318">
        <f t="shared" si="188"/>
        <v>11.412140455290951</v>
      </c>
      <c r="K318">
        <f t="shared" si="189"/>
        <v>258.44507936072614</v>
      </c>
      <c r="L318">
        <f t="shared" si="190"/>
        <v>22.738489926549832</v>
      </c>
      <c r="M318">
        <f t="shared" si="191"/>
        <v>22.738489926549832</v>
      </c>
      <c r="N318">
        <f t="shared" si="192"/>
        <v>22.738489926549832</v>
      </c>
      <c r="O318" s="3"/>
      <c r="P318">
        <f t="shared" si="193"/>
        <v>162.09658347511217</v>
      </c>
      <c r="Q318">
        <f t="shared" si="194"/>
        <v>928.96643153600041</v>
      </c>
      <c r="R318">
        <f t="shared" si="195"/>
        <v>0</v>
      </c>
      <c r="S318">
        <f t="shared" si="196"/>
        <v>0</v>
      </c>
      <c r="T318">
        <v>50</v>
      </c>
      <c r="U318" s="3"/>
      <c r="V318">
        <f t="shared" si="197"/>
        <v>1141.0630150111126</v>
      </c>
      <c r="W318" s="3"/>
      <c r="X318">
        <f t="shared" si="198"/>
        <v>363.39854131390473</v>
      </c>
      <c r="Y318">
        <f t="shared" si="199"/>
        <v>19.063015011112611</v>
      </c>
      <c r="AA318">
        <f t="shared" si="200"/>
        <v>2.0056973572095472E-5</v>
      </c>
    </row>
    <row r="319" spans="2:27" x14ac:dyDescent="0.35">
      <c r="B319">
        <v>281.60919540229889</v>
      </c>
      <c r="C319">
        <v>1094</v>
      </c>
      <c r="D319">
        <f t="shared" si="183"/>
        <v>13.886650862815879</v>
      </c>
      <c r="E319">
        <f t="shared" si="184"/>
        <v>264.39700931063209</v>
      </c>
      <c r="F319">
        <f t="shared" si="185"/>
        <v>25.958334447235845</v>
      </c>
      <c r="G319">
        <f t="shared" si="186"/>
        <v>25.958334447235845</v>
      </c>
      <c r="H319">
        <f t="shared" si="187"/>
        <v>25.958334447235845</v>
      </c>
      <c r="I319" s="3"/>
      <c r="J319">
        <f t="shared" si="188"/>
        <v>11.448768677666774</v>
      </c>
      <c r="K319">
        <f t="shared" si="189"/>
        <v>258.84079612470708</v>
      </c>
      <c r="L319">
        <f t="shared" si="190"/>
        <v>22.830248118656129</v>
      </c>
      <c r="M319">
        <f t="shared" si="191"/>
        <v>22.830248118656129</v>
      </c>
      <c r="N319">
        <f t="shared" si="192"/>
        <v>22.830248118656129</v>
      </c>
      <c r="O319" s="3"/>
      <c r="P319">
        <f t="shared" si="193"/>
        <v>161.10257173728289</v>
      </c>
      <c r="Q319">
        <f t="shared" si="194"/>
        <v>926.13364546578259</v>
      </c>
      <c r="R319">
        <f t="shared" si="195"/>
        <v>0</v>
      </c>
      <c r="S319">
        <f t="shared" si="196"/>
        <v>0</v>
      </c>
      <c r="T319">
        <v>50</v>
      </c>
      <c r="U319" s="3"/>
      <c r="V319">
        <f t="shared" si="197"/>
        <v>1137.2362172030655</v>
      </c>
      <c r="W319" s="3"/>
      <c r="X319">
        <f t="shared" si="198"/>
        <v>1869.3704780306578</v>
      </c>
      <c r="Y319">
        <f t="shared" si="199"/>
        <v>43.236217203065507</v>
      </c>
      <c r="AA319">
        <f t="shared" si="200"/>
        <v>4.5490582958348681E-5</v>
      </c>
    </row>
    <row r="320" spans="2:27" x14ac:dyDescent="0.35">
      <c r="B320">
        <v>282.56704980842909</v>
      </c>
      <c r="C320">
        <v>1099</v>
      </c>
      <c r="D320">
        <f t="shared" si="183"/>
        <v>13.926483529381189</v>
      </c>
      <c r="E320">
        <f t="shared" si="184"/>
        <v>264.79425604811485</v>
      </c>
      <c r="F320">
        <f t="shared" si="185"/>
        <v>26.054119887848866</v>
      </c>
      <c r="G320">
        <f t="shared" si="186"/>
        <v>26.054119887848866</v>
      </c>
      <c r="H320">
        <f t="shared" si="187"/>
        <v>26.054119887848866</v>
      </c>
      <c r="I320" s="3"/>
      <c r="J320">
        <f t="shared" si="188"/>
        <v>11.485406315903084</v>
      </c>
      <c r="K320">
        <f t="shared" si="189"/>
        <v>259.23651521695029</v>
      </c>
      <c r="L320">
        <f t="shared" si="190"/>
        <v>22.922021789194808</v>
      </c>
      <c r="M320">
        <f t="shared" si="191"/>
        <v>22.922021789194808</v>
      </c>
      <c r="N320">
        <f t="shared" si="192"/>
        <v>22.922021789194808</v>
      </c>
      <c r="O320" s="3"/>
      <c r="P320">
        <f t="shared" si="193"/>
        <v>160.11742854311063</v>
      </c>
      <c r="Q320">
        <f t="shared" si="194"/>
        <v>923.31378055752805</v>
      </c>
      <c r="R320">
        <f t="shared" si="195"/>
        <v>0</v>
      </c>
      <c r="S320">
        <f t="shared" si="196"/>
        <v>0</v>
      </c>
      <c r="T320">
        <v>50</v>
      </c>
      <c r="U320" s="3"/>
      <c r="V320">
        <f t="shared" si="197"/>
        <v>1133.4312091006386</v>
      </c>
      <c r="W320" s="3"/>
      <c r="X320">
        <f t="shared" si="198"/>
        <v>1185.5081601319</v>
      </c>
      <c r="Y320">
        <f t="shared" si="199"/>
        <v>34.431209100638625</v>
      </c>
      <c r="AA320">
        <f t="shared" si="200"/>
        <v>3.6226475748155852E-5</v>
      </c>
    </row>
    <row r="321" spans="2:27" x14ac:dyDescent="0.35">
      <c r="B321">
        <v>283.52490421455946</v>
      </c>
      <c r="C321">
        <v>1105</v>
      </c>
      <c r="D321">
        <f t="shared" si="183"/>
        <v>13.966316195946506</v>
      </c>
      <c r="E321">
        <f t="shared" si="184"/>
        <v>265.19150278559766</v>
      </c>
      <c r="F321">
        <f t="shared" si="185"/>
        <v>26.149905328461902</v>
      </c>
      <c r="G321">
        <f t="shared" si="186"/>
        <v>26.149905328461902</v>
      </c>
      <c r="H321">
        <f t="shared" si="187"/>
        <v>26.149905328461902</v>
      </c>
      <c r="I321" s="3"/>
      <c r="J321">
        <f t="shared" si="188"/>
        <v>11.522053317219532</v>
      </c>
      <c r="K321">
        <f t="shared" si="189"/>
        <v>259.632236630394</v>
      </c>
      <c r="L321">
        <f t="shared" si="190"/>
        <v>23.013810822212083</v>
      </c>
      <c r="M321">
        <f t="shared" si="191"/>
        <v>23.013810822212083</v>
      </c>
      <c r="N321">
        <f t="shared" si="192"/>
        <v>23.013810822212083</v>
      </c>
      <c r="O321" s="3"/>
      <c r="P321">
        <f t="shared" si="193"/>
        <v>159.14105089498662</v>
      </c>
      <c r="Q321">
        <f t="shared" si="194"/>
        <v>920.50675842279486</v>
      </c>
      <c r="R321">
        <f t="shared" si="195"/>
        <v>0</v>
      </c>
      <c r="S321">
        <f t="shared" si="196"/>
        <v>0</v>
      </c>
      <c r="T321">
        <v>50</v>
      </c>
      <c r="U321" s="3"/>
      <c r="V321">
        <f t="shared" si="197"/>
        <v>1129.6478093177816</v>
      </c>
      <c r="W321" s="3"/>
      <c r="X321">
        <f t="shared" si="198"/>
        <v>607.51450416572118</v>
      </c>
      <c r="Y321">
        <f t="shared" si="199"/>
        <v>24.647809317781594</v>
      </c>
      <c r="AA321">
        <f t="shared" si="200"/>
        <v>2.593296285024226E-5</v>
      </c>
    </row>
    <row r="322" spans="2:27" x14ac:dyDescent="0.35">
      <c r="B322">
        <v>284.80204342273311</v>
      </c>
      <c r="C322">
        <v>1148</v>
      </c>
      <c r="D322">
        <f t="shared" si="183"/>
        <v>14.019426418033589</v>
      </c>
      <c r="E322">
        <f t="shared" si="184"/>
        <v>265.72116510224129</v>
      </c>
      <c r="F322">
        <f t="shared" si="185"/>
        <v>26.277619249279265</v>
      </c>
      <c r="G322">
        <f t="shared" si="186"/>
        <v>26.277619249279265</v>
      </c>
      <c r="H322">
        <f t="shared" si="187"/>
        <v>26.277619249279265</v>
      </c>
      <c r="I322" s="3"/>
      <c r="J322">
        <f t="shared" si="188"/>
        <v>11.570930460008896</v>
      </c>
      <c r="K322">
        <f t="shared" si="189"/>
        <v>260.15986878026285</v>
      </c>
      <c r="L322">
        <f t="shared" si="190"/>
        <v>23.136219898734719</v>
      </c>
      <c r="M322">
        <f t="shared" si="191"/>
        <v>23.136219898734719</v>
      </c>
      <c r="N322">
        <f t="shared" si="192"/>
        <v>23.136219898734719</v>
      </c>
      <c r="O322" s="3"/>
      <c r="P322">
        <f t="shared" si="193"/>
        <v>157.85267404473453</v>
      </c>
      <c r="Q322">
        <f t="shared" si="194"/>
        <v>916.7839055145057</v>
      </c>
      <c r="R322">
        <f t="shared" si="195"/>
        <v>0</v>
      </c>
      <c r="S322">
        <f t="shared" si="196"/>
        <v>0</v>
      </c>
      <c r="T322">
        <v>50</v>
      </c>
      <c r="U322" s="3"/>
      <c r="V322">
        <f t="shared" si="197"/>
        <v>1124.6365795592403</v>
      </c>
      <c r="W322" s="3"/>
      <c r="X322">
        <f t="shared" si="198"/>
        <v>545.84941469170735</v>
      </c>
      <c r="Y322">
        <f t="shared" si="199"/>
        <v>23.363420440759683</v>
      </c>
      <c r="AA322">
        <f t="shared" si="200"/>
        <v>2.4581605064094335E-5</v>
      </c>
    </row>
    <row r="323" spans="2:27" x14ac:dyDescent="0.35">
      <c r="B323">
        <v>285.75989782886336</v>
      </c>
      <c r="C323">
        <v>1103</v>
      </c>
      <c r="D323">
        <f t="shared" si="183"/>
        <v>14.059259084598903</v>
      </c>
      <c r="E323">
        <f t="shared" si="184"/>
        <v>266.11841183972405</v>
      </c>
      <c r="F323">
        <f t="shared" si="185"/>
        <v>26.373404689892293</v>
      </c>
      <c r="G323">
        <f t="shared" si="186"/>
        <v>26.373404689892293</v>
      </c>
      <c r="H323">
        <f t="shared" si="187"/>
        <v>26.373404689892293</v>
      </c>
      <c r="I323" s="3"/>
      <c r="J323">
        <f t="shared" si="188"/>
        <v>11.607599105652945</v>
      </c>
      <c r="K323">
        <f t="shared" si="189"/>
        <v>260.55559558255811</v>
      </c>
      <c r="L323">
        <f t="shared" si="190"/>
        <v>23.228044333750322</v>
      </c>
      <c r="M323">
        <f t="shared" si="191"/>
        <v>23.228044333750322</v>
      </c>
      <c r="N323">
        <f t="shared" si="192"/>
        <v>23.228044333750322</v>
      </c>
      <c r="O323" s="3"/>
      <c r="P323">
        <f t="shared" si="193"/>
        <v>156.89635697625562</v>
      </c>
      <c r="Q323">
        <f t="shared" si="194"/>
        <v>914.00654832889234</v>
      </c>
      <c r="R323">
        <f t="shared" si="195"/>
        <v>0</v>
      </c>
      <c r="S323">
        <f t="shared" si="196"/>
        <v>0</v>
      </c>
      <c r="T323">
        <v>50</v>
      </c>
      <c r="U323" s="3"/>
      <c r="V323">
        <f t="shared" si="197"/>
        <v>1120.9029053051479</v>
      </c>
      <c r="W323" s="3"/>
      <c r="X323">
        <f t="shared" si="198"/>
        <v>320.51401836509268</v>
      </c>
      <c r="Y323">
        <f t="shared" si="199"/>
        <v>17.902905305147897</v>
      </c>
      <c r="AA323">
        <f t="shared" si="200"/>
        <v>1.8836374957463855E-5</v>
      </c>
    </row>
    <row r="324" spans="2:27" x14ac:dyDescent="0.35">
      <c r="B324">
        <v>286.71775223499367</v>
      </c>
      <c r="C324">
        <v>1163</v>
      </c>
      <c r="D324">
        <f t="shared" si="183"/>
        <v>14.099091751164218</v>
      </c>
      <c r="E324">
        <f t="shared" si="184"/>
        <v>266.51565857720686</v>
      </c>
      <c r="F324">
        <f t="shared" si="185"/>
        <v>26.469190130505321</v>
      </c>
      <c r="G324">
        <f t="shared" si="186"/>
        <v>26.469190130505321</v>
      </c>
      <c r="H324">
        <f t="shared" si="187"/>
        <v>26.469190130505321</v>
      </c>
      <c r="I324" s="3"/>
      <c r="J324">
        <f t="shared" si="188"/>
        <v>11.644276941510872</v>
      </c>
      <c r="K324">
        <f t="shared" si="189"/>
        <v>260.951324682745</v>
      </c>
      <c r="L324">
        <f t="shared" si="190"/>
        <v>23.319883753861298</v>
      </c>
      <c r="M324">
        <f t="shared" si="191"/>
        <v>23.319883753861298</v>
      </c>
      <c r="N324">
        <f t="shared" si="192"/>
        <v>23.319883753861298</v>
      </c>
      <c r="O324" s="3"/>
      <c r="P324">
        <f t="shared" si="193"/>
        <v>155.94847257411561</v>
      </c>
      <c r="Q324">
        <f t="shared" si="194"/>
        <v>911.24177687535519</v>
      </c>
      <c r="R324">
        <f t="shared" si="195"/>
        <v>0</v>
      </c>
      <c r="S324">
        <f t="shared" si="196"/>
        <v>0</v>
      </c>
      <c r="T324">
        <v>50</v>
      </c>
      <c r="U324" s="3"/>
      <c r="V324">
        <f t="shared" si="197"/>
        <v>1117.1902494494707</v>
      </c>
      <c r="W324" s="3"/>
      <c r="X324">
        <f t="shared" si="198"/>
        <v>2098.533245501721</v>
      </c>
      <c r="Y324">
        <f t="shared" si="199"/>
        <v>45.809750550529316</v>
      </c>
      <c r="AA324">
        <f t="shared" si="200"/>
        <v>4.8198302083938107E-5</v>
      </c>
    </row>
    <row r="325" spans="2:27" x14ac:dyDescent="0.35">
      <c r="B325">
        <v>287.67560664112386</v>
      </c>
      <c r="C325">
        <v>1122</v>
      </c>
      <c r="D325">
        <f t="shared" si="183"/>
        <v>14.138924417729529</v>
      </c>
      <c r="E325">
        <f t="shared" si="184"/>
        <v>266.91290531468957</v>
      </c>
      <c r="F325">
        <f t="shared" si="185"/>
        <v>26.564975571118342</v>
      </c>
      <c r="G325">
        <f t="shared" si="186"/>
        <v>26.564975571118342</v>
      </c>
      <c r="H325">
        <f t="shared" si="187"/>
        <v>26.564975571118342</v>
      </c>
      <c r="I325" s="3"/>
      <c r="J325">
        <f t="shared" si="188"/>
        <v>11.680963916626213</v>
      </c>
      <c r="K325">
        <f t="shared" si="189"/>
        <v>261.34705607389901</v>
      </c>
      <c r="L325">
        <f t="shared" si="190"/>
        <v>23.411738048521748</v>
      </c>
      <c r="M325">
        <f t="shared" si="191"/>
        <v>23.411738048521748</v>
      </c>
      <c r="N325">
        <f t="shared" si="192"/>
        <v>23.411738048521748</v>
      </c>
      <c r="O325" s="3"/>
      <c r="P325">
        <f t="shared" si="193"/>
        <v>155.008924015546</v>
      </c>
      <c r="Q325">
        <f t="shared" si="194"/>
        <v>908.48951529702651</v>
      </c>
      <c r="R325">
        <f t="shared" si="195"/>
        <v>0</v>
      </c>
      <c r="S325">
        <f t="shared" si="196"/>
        <v>0</v>
      </c>
      <c r="T325">
        <v>50</v>
      </c>
      <c r="U325" s="3"/>
      <c r="V325">
        <f t="shared" si="197"/>
        <v>1113.4984393125726</v>
      </c>
      <c r="W325" s="3"/>
      <c r="X325">
        <f t="shared" si="198"/>
        <v>72.276534122011043</v>
      </c>
      <c r="Y325">
        <f t="shared" si="199"/>
        <v>8.5015606874273999</v>
      </c>
      <c r="AA325">
        <f t="shared" si="200"/>
        <v>8.9448378407034079E-6</v>
      </c>
    </row>
    <row r="326" spans="2:27" x14ac:dyDescent="0.35">
      <c r="B326">
        <v>288.63346104725417</v>
      </c>
      <c r="C326">
        <v>1092</v>
      </c>
      <c r="D326">
        <f t="shared" si="183"/>
        <v>14.178757084294844</v>
      </c>
      <c r="E326">
        <f t="shared" si="184"/>
        <v>267.31015205217238</v>
      </c>
      <c r="F326">
        <f t="shared" si="185"/>
        <v>26.660761011731374</v>
      </c>
      <c r="G326">
        <f t="shared" si="186"/>
        <v>26.660761011731374</v>
      </c>
      <c r="H326">
        <f t="shared" si="187"/>
        <v>26.660761011731374</v>
      </c>
      <c r="I326" s="3"/>
      <c r="J326">
        <f t="shared" si="188"/>
        <v>11.717659980451772</v>
      </c>
      <c r="K326">
        <f t="shared" si="189"/>
        <v>261.74278974912733</v>
      </c>
      <c r="L326">
        <f t="shared" si="190"/>
        <v>23.503607108386369</v>
      </c>
      <c r="M326">
        <f t="shared" si="191"/>
        <v>23.503607108386369</v>
      </c>
      <c r="N326">
        <f t="shared" si="192"/>
        <v>23.503607108386369</v>
      </c>
      <c r="O326" s="3"/>
      <c r="P326">
        <f t="shared" si="193"/>
        <v>154.07761583995855</v>
      </c>
      <c r="Q326">
        <f t="shared" si="194"/>
        <v>905.74968830724754</v>
      </c>
      <c r="R326">
        <f t="shared" si="195"/>
        <v>0</v>
      </c>
      <c r="S326">
        <f t="shared" si="196"/>
        <v>0</v>
      </c>
      <c r="T326">
        <v>50</v>
      </c>
      <c r="U326" s="3"/>
      <c r="V326">
        <f t="shared" si="197"/>
        <v>1109.8273041472062</v>
      </c>
      <c r="W326" s="3"/>
      <c r="X326">
        <f t="shared" si="198"/>
        <v>317.81277315699458</v>
      </c>
      <c r="Y326">
        <f t="shared" si="199"/>
        <v>17.827304147206178</v>
      </c>
      <c r="AA326">
        <f t="shared" si="200"/>
        <v>1.8756831903756302E-5</v>
      </c>
    </row>
    <row r="327" spans="2:27" x14ac:dyDescent="0.35">
      <c r="B327">
        <v>289.59131545338448</v>
      </c>
      <c r="C327">
        <v>1110</v>
      </c>
      <c r="D327">
        <f t="shared" si="183"/>
        <v>14.21858975086016</v>
      </c>
      <c r="E327">
        <f t="shared" si="184"/>
        <v>267.70739878965514</v>
      </c>
      <c r="F327">
        <f t="shared" si="185"/>
        <v>26.756546452344406</v>
      </c>
      <c r="G327">
        <f t="shared" si="186"/>
        <v>26.756546452344406</v>
      </c>
      <c r="H327">
        <f t="shared" si="187"/>
        <v>26.756546452344406</v>
      </c>
      <c r="I327" s="3"/>
      <c r="J327">
        <f t="shared" si="188"/>
        <v>11.754365082845331</v>
      </c>
      <c r="K327">
        <f t="shared" si="189"/>
        <v>262.13852570156757</v>
      </c>
      <c r="L327">
        <f t="shared" si="190"/>
        <v>23.595490825293275</v>
      </c>
      <c r="M327">
        <f t="shared" si="191"/>
        <v>23.595490825293275</v>
      </c>
      <c r="N327">
        <f t="shared" si="192"/>
        <v>23.595490825293275</v>
      </c>
      <c r="O327" s="3"/>
      <c r="P327">
        <f t="shared" si="193"/>
        <v>153.15445392634879</v>
      </c>
      <c r="Q327">
        <f t="shared" si="194"/>
        <v>903.02222118444467</v>
      </c>
      <c r="R327">
        <f t="shared" si="195"/>
        <v>0</v>
      </c>
      <c r="S327">
        <f t="shared" si="196"/>
        <v>0</v>
      </c>
      <c r="T327">
        <v>50</v>
      </c>
      <c r="U327" s="3"/>
      <c r="V327">
        <f t="shared" si="197"/>
        <v>1106.1766751107934</v>
      </c>
      <c r="W327" s="3"/>
      <c r="X327">
        <f t="shared" si="198"/>
        <v>14.617813208426357</v>
      </c>
      <c r="Y327">
        <f t="shared" si="199"/>
        <v>3.8233248892065603</v>
      </c>
      <c r="AA327">
        <f t="shared" si="200"/>
        <v>4.0226756478788059E-6</v>
      </c>
    </row>
    <row r="328" spans="2:27" x14ac:dyDescent="0.35">
      <c r="B328">
        <v>290.86845466155808</v>
      </c>
      <c r="C328">
        <v>1093</v>
      </c>
      <c r="D328">
        <f t="shared" si="183"/>
        <v>14.271699972947241</v>
      </c>
      <c r="E328">
        <f t="shared" si="184"/>
        <v>268.23706110629877</v>
      </c>
      <c r="F328">
        <f t="shared" si="185"/>
        <v>26.884260373161762</v>
      </c>
      <c r="G328">
        <f t="shared" si="186"/>
        <v>26.884260373161762</v>
      </c>
      <c r="H328">
        <f t="shared" si="187"/>
        <v>26.884260373161762</v>
      </c>
      <c r="I328" s="3"/>
      <c r="J328">
        <f t="shared" si="188"/>
        <v>11.803319193449122</v>
      </c>
      <c r="K328">
        <f t="shared" si="189"/>
        <v>262.66617716868177</v>
      </c>
      <c r="L328">
        <f t="shared" si="190"/>
        <v>23.718025062915302</v>
      </c>
      <c r="M328">
        <f t="shared" si="191"/>
        <v>23.718025062915302</v>
      </c>
      <c r="N328">
        <f t="shared" si="192"/>
        <v>23.718025062915302</v>
      </c>
      <c r="O328" s="3"/>
      <c r="P328">
        <f t="shared" si="193"/>
        <v>151.93608312371356</v>
      </c>
      <c r="Q328">
        <f t="shared" si="194"/>
        <v>899.40469671330993</v>
      </c>
      <c r="R328">
        <f t="shared" si="195"/>
        <v>0</v>
      </c>
      <c r="S328">
        <f t="shared" si="196"/>
        <v>0</v>
      </c>
      <c r="T328">
        <v>50</v>
      </c>
      <c r="U328" s="3"/>
      <c r="V328">
        <f t="shared" si="197"/>
        <v>1101.3407798370235</v>
      </c>
      <c r="W328" s="3"/>
      <c r="X328">
        <f t="shared" si="198"/>
        <v>69.568608289698545</v>
      </c>
      <c r="Y328">
        <f t="shared" si="199"/>
        <v>8.3407798370235469</v>
      </c>
      <c r="AA328">
        <f t="shared" si="200"/>
        <v>8.7756737674668675E-6</v>
      </c>
    </row>
    <row r="329" spans="2:27" x14ac:dyDescent="0.35">
      <c r="B329">
        <v>291.82630906768844</v>
      </c>
      <c r="C329">
        <v>1096</v>
      </c>
      <c r="D329">
        <f t="shared" si="183"/>
        <v>14.311532639512558</v>
      </c>
      <c r="E329">
        <f t="shared" si="184"/>
        <v>268.63430784378158</v>
      </c>
      <c r="F329">
        <f t="shared" si="185"/>
        <v>26.980045813774801</v>
      </c>
      <c r="G329">
        <f t="shared" si="186"/>
        <v>26.980045813774801</v>
      </c>
      <c r="H329">
        <f t="shared" si="187"/>
        <v>26.980045813774801</v>
      </c>
      <c r="I329" s="3"/>
      <c r="J329">
        <f t="shared" si="188"/>
        <v>11.840045193080806</v>
      </c>
      <c r="K329">
        <f t="shared" si="189"/>
        <v>263.06191840810385</v>
      </c>
      <c r="L329">
        <f t="shared" si="190"/>
        <v>23.809942565480512</v>
      </c>
      <c r="M329">
        <f t="shared" si="191"/>
        <v>23.809942565480512</v>
      </c>
      <c r="N329">
        <f t="shared" si="192"/>
        <v>23.809942565480512</v>
      </c>
      <c r="O329" s="3"/>
      <c r="P329">
        <f t="shared" si="193"/>
        <v>151.03157048822652</v>
      </c>
      <c r="Q329">
        <f t="shared" si="194"/>
        <v>896.70578183248995</v>
      </c>
      <c r="R329">
        <f t="shared" si="195"/>
        <v>0</v>
      </c>
      <c r="S329">
        <f t="shared" si="196"/>
        <v>0</v>
      </c>
      <c r="T329">
        <v>50</v>
      </c>
      <c r="U329" s="3"/>
      <c r="V329">
        <f t="shared" si="197"/>
        <v>1097.7373523207166</v>
      </c>
      <c r="W329" s="3"/>
      <c r="X329">
        <f t="shared" si="198"/>
        <v>3.0183930862992923</v>
      </c>
      <c r="Y329">
        <f t="shared" si="199"/>
        <v>1.7373523207165817</v>
      </c>
      <c r="AA329">
        <f t="shared" si="200"/>
        <v>1.8279390517039428E-6</v>
      </c>
    </row>
    <row r="330" spans="2:27" x14ac:dyDescent="0.35">
      <c r="B330">
        <v>292.78416347381869</v>
      </c>
      <c r="C330">
        <v>1146</v>
      </c>
      <c r="D330">
        <f t="shared" si="183"/>
        <v>14.351365306077872</v>
      </c>
      <c r="E330">
        <f t="shared" si="184"/>
        <v>269.03155458126434</v>
      </c>
      <c r="F330">
        <f t="shared" si="185"/>
        <v>27.075831254387825</v>
      </c>
      <c r="G330">
        <f t="shared" si="186"/>
        <v>27.075831254387825</v>
      </c>
      <c r="H330">
        <f t="shared" si="187"/>
        <v>27.075831254387825</v>
      </c>
      <c r="I330" s="3"/>
      <c r="J330">
        <f t="shared" si="188"/>
        <v>11.876780067011214</v>
      </c>
      <c r="K330">
        <f t="shared" si="189"/>
        <v>263.4576619020861</v>
      </c>
      <c r="L330">
        <f t="shared" si="190"/>
        <v>23.901874372881895</v>
      </c>
      <c r="M330">
        <f t="shared" si="191"/>
        <v>23.901874372881895</v>
      </c>
      <c r="N330">
        <f t="shared" si="192"/>
        <v>23.901874372881895</v>
      </c>
      <c r="O330" s="3"/>
      <c r="P330">
        <f t="shared" si="193"/>
        <v>150.13489977132917</v>
      </c>
      <c r="Q330">
        <f t="shared" si="194"/>
        <v>894.01898176304599</v>
      </c>
      <c r="R330">
        <f t="shared" si="195"/>
        <v>0</v>
      </c>
      <c r="S330">
        <f t="shared" si="196"/>
        <v>0</v>
      </c>
      <c r="T330">
        <v>50</v>
      </c>
      <c r="U330" s="3"/>
      <c r="V330">
        <f t="shared" si="197"/>
        <v>1094.1538815343752</v>
      </c>
      <c r="W330" s="3"/>
      <c r="X330">
        <f t="shared" si="198"/>
        <v>2688.0199999516049</v>
      </c>
      <c r="Y330">
        <f t="shared" si="199"/>
        <v>51.846118465624841</v>
      </c>
      <c r="AA330">
        <f t="shared" si="200"/>
        <v>5.4549410325417154E-5</v>
      </c>
    </row>
    <row r="331" spans="2:27" x14ac:dyDescent="0.35">
      <c r="B331">
        <v>293.74201787994889</v>
      </c>
      <c r="C331">
        <v>1030</v>
      </c>
      <c r="D331">
        <f t="shared" si="183"/>
        <v>14.391197972643182</v>
      </c>
      <c r="E331">
        <f t="shared" si="184"/>
        <v>269.42880131874711</v>
      </c>
      <c r="F331">
        <f t="shared" si="185"/>
        <v>27.171616695000846</v>
      </c>
      <c r="G331">
        <f t="shared" si="186"/>
        <v>27.171616695000846</v>
      </c>
      <c r="H331">
        <f t="shared" si="187"/>
        <v>27.171616695000846</v>
      </c>
      <c r="I331" s="3"/>
      <c r="J331">
        <f t="shared" si="188"/>
        <v>11.913523766805255</v>
      </c>
      <c r="K331">
        <f t="shared" si="189"/>
        <v>263.85340764389866</v>
      </c>
      <c r="L331">
        <f t="shared" si="190"/>
        <v>23.993820381895315</v>
      </c>
      <c r="M331">
        <f t="shared" si="191"/>
        <v>23.993820381895315</v>
      </c>
      <c r="N331">
        <f t="shared" si="192"/>
        <v>23.993820381895315</v>
      </c>
      <c r="O331" s="3"/>
      <c r="P331">
        <f t="shared" si="193"/>
        <v>149.24598240606878</v>
      </c>
      <c r="Q331">
        <f t="shared" si="194"/>
        <v>891.34422417407256</v>
      </c>
      <c r="R331">
        <f t="shared" si="195"/>
        <v>0</v>
      </c>
      <c r="S331">
        <f t="shared" si="196"/>
        <v>0</v>
      </c>
      <c r="T331">
        <v>50</v>
      </c>
      <c r="U331" s="3"/>
      <c r="V331">
        <f t="shared" si="197"/>
        <v>1090.5902065801413</v>
      </c>
      <c r="W331" s="3"/>
      <c r="X331">
        <f t="shared" si="198"/>
        <v>3671.1731334241963</v>
      </c>
      <c r="Y331">
        <f t="shared" si="199"/>
        <v>60.590206580141285</v>
      </c>
      <c r="AA331">
        <f t="shared" si="200"/>
        <v>6.3749421138118833E-5</v>
      </c>
    </row>
    <row r="332" spans="2:27" x14ac:dyDescent="0.35">
      <c r="B332">
        <v>294.69987228607926</v>
      </c>
      <c r="C332">
        <v>1064</v>
      </c>
      <c r="D332">
        <f t="shared" si="183"/>
        <v>14.431030639208499</v>
      </c>
      <c r="E332">
        <f t="shared" si="184"/>
        <v>269.82604805622987</v>
      </c>
      <c r="F332">
        <f t="shared" si="185"/>
        <v>27.267402135613882</v>
      </c>
      <c r="G332">
        <f t="shared" si="186"/>
        <v>27.267402135613882</v>
      </c>
      <c r="H332">
        <f t="shared" si="187"/>
        <v>27.267402135613882</v>
      </c>
      <c r="I332" s="3"/>
      <c r="J332">
        <f t="shared" si="188"/>
        <v>11.950276244411048</v>
      </c>
      <c r="K332">
        <f t="shared" si="189"/>
        <v>264.24915562684191</v>
      </c>
      <c r="L332">
        <f t="shared" si="190"/>
        <v>24.085780490393734</v>
      </c>
      <c r="M332">
        <f t="shared" si="191"/>
        <v>24.085780490393734</v>
      </c>
      <c r="N332">
        <f t="shared" si="192"/>
        <v>24.085780490393734</v>
      </c>
      <c r="O332" s="3"/>
      <c r="P332">
        <f t="shared" si="193"/>
        <v>148.36473105160547</v>
      </c>
      <c r="Q332">
        <f t="shared" si="194"/>
        <v>888.68143727326242</v>
      </c>
      <c r="R332">
        <f t="shared" si="195"/>
        <v>0</v>
      </c>
      <c r="S332">
        <f t="shared" si="196"/>
        <v>0</v>
      </c>
      <c r="T332">
        <v>50</v>
      </c>
      <c r="U332" s="3"/>
      <c r="V332">
        <f t="shared" si="197"/>
        <v>1087.0461683248679</v>
      </c>
      <c r="W332" s="3"/>
      <c r="X332">
        <f t="shared" si="198"/>
        <v>531.12587445814677</v>
      </c>
      <c r="Y332">
        <f t="shared" si="199"/>
        <v>23.046168324867949</v>
      </c>
      <c r="AA332">
        <f t="shared" si="200"/>
        <v>2.4247811207224234E-5</v>
      </c>
    </row>
    <row r="333" spans="2:27" x14ac:dyDescent="0.35">
      <c r="B333">
        <v>295.65772669220945</v>
      </c>
      <c r="C333">
        <v>1059</v>
      </c>
      <c r="D333">
        <f t="shared" si="183"/>
        <v>14.470863305773809</v>
      </c>
      <c r="E333">
        <f t="shared" si="184"/>
        <v>270.22329479371263</v>
      </c>
      <c r="F333">
        <f t="shared" si="185"/>
        <v>27.363187576226903</v>
      </c>
      <c r="G333">
        <f t="shared" si="186"/>
        <v>27.363187576226903</v>
      </c>
      <c r="H333">
        <f t="shared" si="187"/>
        <v>27.363187576226903</v>
      </c>
      <c r="I333" s="3"/>
      <c r="J333">
        <f t="shared" si="188"/>
        <v>11.987037452155967</v>
      </c>
      <c r="K333">
        <f t="shared" si="189"/>
        <v>264.6449058442459</v>
      </c>
      <c r="L333">
        <f t="shared" si="190"/>
        <v>24.177754597331855</v>
      </c>
      <c r="M333">
        <f t="shared" si="191"/>
        <v>24.177754597331855</v>
      </c>
      <c r="N333">
        <f t="shared" si="192"/>
        <v>24.177754597331855</v>
      </c>
      <c r="O333" s="3"/>
      <c r="P333">
        <f t="shared" si="193"/>
        <v>147.49105957319159</v>
      </c>
      <c r="Q333">
        <f t="shared" si="194"/>
        <v>886.03054980210663</v>
      </c>
      <c r="R333">
        <f t="shared" si="195"/>
        <v>0</v>
      </c>
      <c r="S333">
        <f t="shared" si="196"/>
        <v>0</v>
      </c>
      <c r="T333">
        <v>50</v>
      </c>
      <c r="U333" s="3"/>
      <c r="V333">
        <f t="shared" si="197"/>
        <v>1083.5216093752983</v>
      </c>
      <c r="W333" s="3"/>
      <c r="X333">
        <f t="shared" si="198"/>
        <v>601.30932635471947</v>
      </c>
      <c r="Y333">
        <f t="shared" si="199"/>
        <v>24.52160937529834</v>
      </c>
      <c r="AA333">
        <f t="shared" si="200"/>
        <v>2.5800182756972069E-5</v>
      </c>
    </row>
    <row r="334" spans="2:27" x14ac:dyDescent="0.35">
      <c r="B334">
        <v>296.61558109833976</v>
      </c>
      <c r="C334">
        <v>1082</v>
      </c>
      <c r="D334">
        <f t="shared" si="183"/>
        <v>14.510695972339125</v>
      </c>
      <c r="E334">
        <f t="shared" si="184"/>
        <v>270.62054153119539</v>
      </c>
      <c r="F334">
        <f t="shared" si="185"/>
        <v>27.458973016839931</v>
      </c>
      <c r="G334">
        <f t="shared" si="186"/>
        <v>27.458973016839931</v>
      </c>
      <c r="H334">
        <f t="shared" si="187"/>
        <v>27.458973016839931</v>
      </c>
      <c r="I334" s="3"/>
      <c r="J334">
        <f t="shared" si="188"/>
        <v>12.023807342742799</v>
      </c>
      <c r="K334">
        <f t="shared" si="189"/>
        <v>265.04065828947051</v>
      </c>
      <c r="L334">
        <f t="shared" si="190"/>
        <v>24.26974260273116</v>
      </c>
      <c r="M334">
        <f t="shared" si="191"/>
        <v>24.26974260273116</v>
      </c>
      <c r="N334">
        <f t="shared" si="192"/>
        <v>24.26974260273116</v>
      </c>
      <c r="O334" s="3"/>
      <c r="P334">
        <f t="shared" si="193"/>
        <v>146.6248830225239</v>
      </c>
      <c r="Q334">
        <f t="shared" si="194"/>
        <v>883.39149103114005</v>
      </c>
      <c r="R334">
        <f t="shared" si="195"/>
        <v>0</v>
      </c>
      <c r="S334">
        <f t="shared" si="196"/>
        <v>0</v>
      </c>
      <c r="T334">
        <v>50</v>
      </c>
      <c r="U334" s="3"/>
      <c r="V334">
        <f t="shared" si="197"/>
        <v>1080.0163740536639</v>
      </c>
      <c r="W334" s="3"/>
      <c r="X334">
        <f t="shared" si="198"/>
        <v>3.9347718949779193</v>
      </c>
      <c r="Y334">
        <f t="shared" si="199"/>
        <v>1.983625946336133</v>
      </c>
      <c r="AA334">
        <f t="shared" si="200"/>
        <v>2.0870535515706237E-6</v>
      </c>
    </row>
    <row r="335" spans="2:27" x14ac:dyDescent="0.35">
      <c r="B335">
        <v>297.89272030651347</v>
      </c>
      <c r="C335">
        <v>1097</v>
      </c>
      <c r="D335">
        <f t="shared" si="183"/>
        <v>14.563806194426212</v>
      </c>
      <c r="E335">
        <f t="shared" si="184"/>
        <v>271.15020384783907</v>
      </c>
      <c r="F335">
        <f t="shared" si="185"/>
        <v>27.586686937657301</v>
      </c>
      <c r="G335">
        <f t="shared" si="186"/>
        <v>27.586686937657301</v>
      </c>
      <c r="H335">
        <f t="shared" si="187"/>
        <v>27.586686937657301</v>
      </c>
      <c r="I335" s="3"/>
      <c r="J335">
        <f t="shared" si="188"/>
        <v>12.072847289115192</v>
      </c>
      <c r="K335">
        <f t="shared" si="189"/>
        <v>265.56833167051389</v>
      </c>
      <c r="L335">
        <f t="shared" si="190"/>
        <v>24.392414725590847</v>
      </c>
      <c r="M335">
        <f t="shared" si="191"/>
        <v>24.392414725590847</v>
      </c>
      <c r="N335">
        <f t="shared" si="192"/>
        <v>24.392414725590847</v>
      </c>
      <c r="O335" s="3"/>
      <c r="P335">
        <f t="shared" si="193"/>
        <v>145.4814950903029</v>
      </c>
      <c r="Q335">
        <f t="shared" si="194"/>
        <v>879.89102493622852</v>
      </c>
      <c r="R335">
        <f t="shared" si="195"/>
        <v>0</v>
      </c>
      <c r="S335">
        <f t="shared" si="196"/>
        <v>0</v>
      </c>
      <c r="T335">
        <v>50</v>
      </c>
      <c r="U335" s="3"/>
      <c r="V335">
        <f t="shared" si="197"/>
        <v>1075.3725200265314</v>
      </c>
      <c r="W335" s="3"/>
      <c r="X335">
        <f t="shared" si="198"/>
        <v>467.74789000278332</v>
      </c>
      <c r="Y335">
        <f t="shared" si="199"/>
        <v>21.627479973468553</v>
      </c>
      <c r="AA335">
        <f t="shared" si="200"/>
        <v>2.2755151480813172E-5</v>
      </c>
    </row>
    <row r="336" spans="2:27" x14ac:dyDescent="0.35">
      <c r="B336">
        <v>298.85057471264366</v>
      </c>
      <c r="C336">
        <v>1047</v>
      </c>
      <c r="D336">
        <f t="shared" si="183"/>
        <v>14.603638860991522</v>
      </c>
      <c r="E336">
        <f t="shared" si="184"/>
        <v>271.54745058532183</v>
      </c>
      <c r="F336">
        <f t="shared" si="185"/>
        <v>27.682472378270322</v>
      </c>
      <c r="G336">
        <f t="shared" si="186"/>
        <v>27.682472378270322</v>
      </c>
      <c r="H336">
        <f t="shared" si="187"/>
        <v>27.682472378270322</v>
      </c>
      <c r="I336" s="3"/>
      <c r="J336">
        <f t="shared" si="188"/>
        <v>12.109637257812972</v>
      </c>
      <c r="K336">
        <f t="shared" si="189"/>
        <v>265.96408928832926</v>
      </c>
      <c r="L336">
        <f t="shared" si="190"/>
        <v>24.484434777809312</v>
      </c>
      <c r="M336">
        <f t="shared" si="191"/>
        <v>24.484434777809312</v>
      </c>
      <c r="N336">
        <f t="shared" si="192"/>
        <v>24.484434777809312</v>
      </c>
      <c r="O336" s="3"/>
      <c r="P336">
        <f t="shared" si="193"/>
        <v>144.63248287079142</v>
      </c>
      <c r="Q336">
        <f t="shared" si="194"/>
        <v>877.27929434333305</v>
      </c>
      <c r="R336">
        <f t="shared" si="195"/>
        <v>0</v>
      </c>
      <c r="S336">
        <f t="shared" si="196"/>
        <v>0</v>
      </c>
      <c r="T336">
        <v>50</v>
      </c>
      <c r="U336" s="3"/>
      <c r="V336">
        <f t="shared" si="197"/>
        <v>1071.9117772141244</v>
      </c>
      <c r="W336" s="3"/>
      <c r="X336">
        <f t="shared" si="198"/>
        <v>620.59664396616836</v>
      </c>
      <c r="Y336">
        <f t="shared" si="199"/>
        <v>24.911777214124413</v>
      </c>
      <c r="AA336">
        <f t="shared" si="200"/>
        <v>2.6210694212135607E-5</v>
      </c>
    </row>
    <row r="337" spans="2:27" x14ac:dyDescent="0.35">
      <c r="B337">
        <v>299.80842911877397</v>
      </c>
      <c r="C337">
        <v>1150</v>
      </c>
      <c r="D337">
        <f t="shared" si="183"/>
        <v>14.643471527556837</v>
      </c>
      <c r="E337">
        <f t="shared" si="184"/>
        <v>271.94469732280459</v>
      </c>
      <c r="F337">
        <f t="shared" si="185"/>
        <v>27.778257818883354</v>
      </c>
      <c r="G337">
        <f t="shared" si="186"/>
        <v>27.778257818883354</v>
      </c>
      <c r="H337">
        <f t="shared" si="187"/>
        <v>27.778257818883354</v>
      </c>
      <c r="I337" s="3"/>
      <c r="J337">
        <f t="shared" si="188"/>
        <v>12.146435754357659</v>
      </c>
      <c r="K337">
        <f t="shared" si="189"/>
        <v>266.35984911204361</v>
      </c>
      <c r="L337">
        <f t="shared" si="190"/>
        <v>24.576468402743302</v>
      </c>
      <c r="M337">
        <f t="shared" si="191"/>
        <v>24.576468402743302</v>
      </c>
      <c r="N337">
        <f t="shared" si="192"/>
        <v>24.576468402743302</v>
      </c>
      <c r="O337" s="3"/>
      <c r="P337">
        <f t="shared" si="193"/>
        <v>143.79069074193924</v>
      </c>
      <c r="Q337">
        <f t="shared" si="194"/>
        <v>874.67916044659194</v>
      </c>
      <c r="R337">
        <f t="shared" si="195"/>
        <v>0</v>
      </c>
      <c r="S337">
        <f t="shared" si="196"/>
        <v>0</v>
      </c>
      <c r="T337">
        <v>50</v>
      </c>
      <c r="U337" s="3"/>
      <c r="V337">
        <f t="shared" si="197"/>
        <v>1068.4698511885313</v>
      </c>
      <c r="W337" s="3"/>
      <c r="X337">
        <f t="shared" si="198"/>
        <v>6647.1651652202363</v>
      </c>
      <c r="Y337">
        <f t="shared" si="199"/>
        <v>81.530148811468734</v>
      </c>
      <c r="AA337">
        <f t="shared" si="200"/>
        <v>8.578118619155398E-5</v>
      </c>
    </row>
    <row r="338" spans="2:27" x14ac:dyDescent="0.35">
      <c r="B338">
        <v>300.76628352490428</v>
      </c>
      <c r="C338">
        <v>1066</v>
      </c>
      <c r="D338">
        <f t="shared" si="183"/>
        <v>14.683304194122153</v>
      </c>
      <c r="E338">
        <f t="shared" si="184"/>
        <v>272.3419440602874</v>
      </c>
      <c r="F338">
        <f t="shared" si="185"/>
        <v>27.874043259496386</v>
      </c>
      <c r="G338">
        <f t="shared" si="186"/>
        <v>27.874043259496386</v>
      </c>
      <c r="H338">
        <f t="shared" si="187"/>
        <v>27.874043259496386</v>
      </c>
      <c r="I338" s="3"/>
      <c r="J338">
        <f t="shared" si="188"/>
        <v>12.183242733035112</v>
      </c>
      <c r="K338">
        <f t="shared" si="189"/>
        <v>266.75561113514351</v>
      </c>
      <c r="L338">
        <f t="shared" si="190"/>
        <v>24.668515504869056</v>
      </c>
      <c r="M338">
        <f t="shared" si="191"/>
        <v>24.668515504869056</v>
      </c>
      <c r="N338">
        <f t="shared" si="192"/>
        <v>24.668515504869056</v>
      </c>
      <c r="O338" s="3"/>
      <c r="P338">
        <f t="shared" si="193"/>
        <v>142.95603867849462</v>
      </c>
      <c r="Q338">
        <f t="shared" si="194"/>
        <v>872.09055475533512</v>
      </c>
      <c r="R338">
        <f t="shared" si="195"/>
        <v>0</v>
      </c>
      <c r="S338">
        <f t="shared" si="196"/>
        <v>0</v>
      </c>
      <c r="T338">
        <v>50</v>
      </c>
      <c r="U338" s="3"/>
      <c r="V338">
        <f t="shared" si="197"/>
        <v>1065.0465934338297</v>
      </c>
      <c r="W338" s="3"/>
      <c r="X338">
        <f t="shared" si="198"/>
        <v>0.90898408041667178</v>
      </c>
      <c r="Y338">
        <f t="shared" si="199"/>
        <v>0.95340656617031527</v>
      </c>
      <c r="AA338">
        <f t="shared" si="200"/>
        <v>1.0031178326195015E-6</v>
      </c>
    </row>
    <row r="339" spans="2:27" x14ac:dyDescent="0.35">
      <c r="B339">
        <v>301.72413793103448</v>
      </c>
      <c r="C339">
        <v>1042</v>
      </c>
      <c r="D339">
        <f t="shared" si="183"/>
        <v>14.723136860687463</v>
      </c>
      <c r="E339">
        <f t="shared" si="184"/>
        <v>272.73919079777011</v>
      </c>
      <c r="F339">
        <f t="shared" si="185"/>
        <v>27.969828700109403</v>
      </c>
      <c r="G339">
        <f t="shared" si="186"/>
        <v>27.969828700109403</v>
      </c>
      <c r="H339">
        <f t="shared" si="187"/>
        <v>27.969828700109403</v>
      </c>
      <c r="I339" s="3"/>
      <c r="J339">
        <f t="shared" si="188"/>
        <v>12.220058148486702</v>
      </c>
      <c r="K339">
        <f t="shared" si="189"/>
        <v>267.15137535114394</v>
      </c>
      <c r="L339">
        <f t="shared" si="190"/>
        <v>24.760575989653507</v>
      </c>
      <c r="M339">
        <f t="shared" si="191"/>
        <v>24.760575989653507</v>
      </c>
      <c r="N339">
        <f t="shared" si="192"/>
        <v>24.760575989653507</v>
      </c>
      <c r="O339" s="3"/>
      <c r="P339">
        <f t="shared" si="193"/>
        <v>142.12844774289417</v>
      </c>
      <c r="Q339">
        <f t="shared" si="194"/>
        <v>869.51340928340926</v>
      </c>
      <c r="R339">
        <f t="shared" si="195"/>
        <v>0</v>
      </c>
      <c r="S339">
        <f t="shared" si="196"/>
        <v>0</v>
      </c>
      <c r="T339">
        <v>50</v>
      </c>
      <c r="U339" s="3"/>
      <c r="V339">
        <f t="shared" si="197"/>
        <v>1061.6418570263036</v>
      </c>
      <c r="W339" s="3"/>
      <c r="X339">
        <f t="shared" si="198"/>
        <v>385.8025474417509</v>
      </c>
      <c r="Y339">
        <f t="shared" si="199"/>
        <v>19.641857026303569</v>
      </c>
      <c r="AA339">
        <f t="shared" si="200"/>
        <v>2.0665996803432994E-5</v>
      </c>
    </row>
    <row r="340" spans="2:27" x14ac:dyDescent="0.35">
      <c r="B340">
        <v>302.68199233716479</v>
      </c>
      <c r="C340">
        <v>1038</v>
      </c>
      <c r="D340">
        <f t="shared" si="183"/>
        <v>14.762969527252778</v>
      </c>
      <c r="E340">
        <f t="shared" si="184"/>
        <v>273.13643753525287</v>
      </c>
      <c r="F340">
        <f t="shared" si="185"/>
        <v>28.065614140722435</v>
      </c>
      <c r="G340">
        <f t="shared" si="186"/>
        <v>28.065614140722435</v>
      </c>
      <c r="H340">
        <f t="shared" si="187"/>
        <v>28.065614140722435</v>
      </c>
      <c r="I340" s="3"/>
      <c r="J340">
        <f t="shared" si="188"/>
        <v>12.256881955705751</v>
      </c>
      <c r="K340">
        <f t="shared" si="189"/>
        <v>267.54714175358907</v>
      </c>
      <c r="L340">
        <f t="shared" si="190"/>
        <v>24.852649763540832</v>
      </c>
      <c r="M340">
        <f t="shared" si="191"/>
        <v>24.852649763540832</v>
      </c>
      <c r="N340">
        <f t="shared" si="192"/>
        <v>24.852649763540832</v>
      </c>
      <c r="O340" s="3"/>
      <c r="P340">
        <f t="shared" si="193"/>
        <v>141.30784006781801</v>
      </c>
      <c r="Q340">
        <f t="shared" si="194"/>
        <v>866.94765654472201</v>
      </c>
      <c r="R340">
        <f t="shared" si="195"/>
        <v>0</v>
      </c>
      <c r="S340">
        <f t="shared" si="196"/>
        <v>0</v>
      </c>
      <c r="T340">
        <v>50</v>
      </c>
      <c r="U340" s="3"/>
      <c r="V340">
        <f t="shared" si="197"/>
        <v>1058.2554966125399</v>
      </c>
      <c r="W340" s="3"/>
      <c r="X340">
        <f t="shared" si="198"/>
        <v>410.28514302061541</v>
      </c>
      <c r="Y340">
        <f t="shared" si="199"/>
        <v>20.255496612539901</v>
      </c>
      <c r="AA340">
        <f t="shared" si="200"/>
        <v>2.1311631974824248E-5</v>
      </c>
    </row>
    <row r="341" spans="2:27" x14ac:dyDescent="0.35">
      <c r="B341">
        <v>303.63984674329504</v>
      </c>
      <c r="C341">
        <v>1006</v>
      </c>
      <c r="D341">
        <f t="shared" si="183"/>
        <v>14.80280219381809</v>
      </c>
      <c r="E341">
        <f t="shared" si="184"/>
        <v>273.53368427273563</v>
      </c>
      <c r="F341">
        <f t="shared" si="185"/>
        <v>28.161399581335459</v>
      </c>
      <c r="G341">
        <f t="shared" si="186"/>
        <v>28.161399581335459</v>
      </c>
      <c r="H341">
        <f t="shared" si="187"/>
        <v>28.161399581335459</v>
      </c>
      <c r="I341" s="3"/>
      <c r="J341">
        <f t="shared" si="188"/>
        <v>12.293714110033957</v>
      </c>
      <c r="K341">
        <f t="shared" si="189"/>
        <v>267.94291033605111</v>
      </c>
      <c r="L341">
        <f t="shared" si="190"/>
        <v>24.944736733939081</v>
      </c>
      <c r="M341">
        <f t="shared" si="191"/>
        <v>24.944736733939081</v>
      </c>
      <c r="N341">
        <f t="shared" si="192"/>
        <v>24.944736733939081</v>
      </c>
      <c r="O341" s="3"/>
      <c r="P341">
        <f t="shared" si="193"/>
        <v>140.49413883906715</v>
      </c>
      <c r="Q341">
        <f t="shared" si="194"/>
        <v>864.39322954884346</v>
      </c>
      <c r="R341">
        <f t="shared" si="195"/>
        <v>0</v>
      </c>
      <c r="S341">
        <f t="shared" si="196"/>
        <v>0</v>
      </c>
      <c r="T341">
        <v>50</v>
      </c>
      <c r="U341" s="3"/>
      <c r="V341">
        <f t="shared" si="197"/>
        <v>1054.8873683879106</v>
      </c>
      <c r="W341" s="3"/>
      <c r="X341">
        <f t="shared" si="198"/>
        <v>2389.9747878952762</v>
      </c>
      <c r="Y341">
        <f t="shared" si="199"/>
        <v>48.887368387910556</v>
      </c>
      <c r="AA341">
        <f t="shared" si="200"/>
        <v>5.1436389007406488E-5</v>
      </c>
    </row>
    <row r="342" spans="2:27" x14ac:dyDescent="0.35">
      <c r="B342">
        <v>304.91698595146869</v>
      </c>
      <c r="C342">
        <v>1037</v>
      </c>
      <c r="D342">
        <f t="shared" si="183"/>
        <v>14.855912415905173</v>
      </c>
      <c r="E342">
        <f t="shared" si="184"/>
        <v>274.06334658937931</v>
      </c>
      <c r="F342">
        <f t="shared" si="185"/>
        <v>28.289113502152826</v>
      </c>
      <c r="G342">
        <f t="shared" si="186"/>
        <v>28.289113502152826</v>
      </c>
      <c r="H342">
        <f t="shared" si="187"/>
        <v>28.289113502152826</v>
      </c>
      <c r="I342" s="3"/>
      <c r="J342">
        <f t="shared" si="188"/>
        <v>12.342836556988452</v>
      </c>
      <c r="K342">
        <f t="shared" si="189"/>
        <v>268.47060515941456</v>
      </c>
      <c r="L342">
        <f t="shared" si="190"/>
        <v>25.067539730786066</v>
      </c>
      <c r="M342">
        <f t="shared" si="191"/>
        <v>25.067539730786066</v>
      </c>
      <c r="N342">
        <f t="shared" si="192"/>
        <v>25.067539730786066</v>
      </c>
      <c r="O342" s="3"/>
      <c r="P342">
        <f t="shared" si="193"/>
        <v>139.4198164014235</v>
      </c>
      <c r="Q342">
        <f t="shared" si="194"/>
        <v>861.00482984327493</v>
      </c>
      <c r="R342">
        <f t="shared" si="195"/>
        <v>0</v>
      </c>
      <c r="S342">
        <f t="shared" si="196"/>
        <v>0</v>
      </c>
      <c r="T342">
        <v>50</v>
      </c>
      <c r="U342" s="3"/>
      <c r="V342">
        <f t="shared" si="197"/>
        <v>1050.4246462446986</v>
      </c>
      <c r="W342" s="3"/>
      <c r="X342">
        <f t="shared" si="198"/>
        <v>180.22112679529965</v>
      </c>
      <c r="Y342">
        <f t="shared" si="199"/>
        <v>13.424646244698579</v>
      </c>
      <c r="AA342">
        <f t="shared" si="200"/>
        <v>1.4124616425454669E-5</v>
      </c>
    </row>
    <row r="343" spans="2:27" x14ac:dyDescent="0.35">
      <c r="B343">
        <v>305.87484035759906</v>
      </c>
      <c r="C343">
        <v>1054</v>
      </c>
      <c r="D343">
        <f t="shared" si="183"/>
        <v>14.895745082470492</v>
      </c>
      <c r="E343">
        <f t="shared" si="184"/>
        <v>274.46059332686212</v>
      </c>
      <c r="F343">
        <f t="shared" si="185"/>
        <v>28.384898942765862</v>
      </c>
      <c r="G343">
        <f t="shared" si="186"/>
        <v>28.384898942765862</v>
      </c>
      <c r="H343">
        <f t="shared" si="187"/>
        <v>28.384898942765862</v>
      </c>
      <c r="I343" s="3"/>
      <c r="J343">
        <f t="shared" si="188"/>
        <v>12.379688016164499</v>
      </c>
      <c r="K343">
        <f t="shared" si="189"/>
        <v>268.86637880374462</v>
      </c>
      <c r="L343">
        <f t="shared" si="190"/>
        <v>25.159657138280814</v>
      </c>
      <c r="M343">
        <f t="shared" si="191"/>
        <v>25.159657138280814</v>
      </c>
      <c r="N343">
        <f t="shared" si="192"/>
        <v>25.159657138280814</v>
      </c>
      <c r="O343" s="3"/>
      <c r="P343">
        <f t="shared" si="193"/>
        <v>138.62193728261587</v>
      </c>
      <c r="Q343">
        <f t="shared" si="194"/>
        <v>858.47657181397608</v>
      </c>
      <c r="R343">
        <f t="shared" si="195"/>
        <v>0</v>
      </c>
      <c r="S343">
        <f t="shared" si="196"/>
        <v>0</v>
      </c>
      <c r="T343">
        <v>50</v>
      </c>
      <c r="U343" s="3"/>
      <c r="V343">
        <f t="shared" si="197"/>
        <v>1047.0985090965919</v>
      </c>
      <c r="W343" s="3"/>
      <c r="X343">
        <f t="shared" si="198"/>
        <v>47.630576689824792</v>
      </c>
      <c r="Y343">
        <f t="shared" si="199"/>
        <v>6.9014909034081029</v>
      </c>
      <c r="AA343">
        <f t="shared" si="200"/>
        <v>7.2613393304795269E-6</v>
      </c>
    </row>
    <row r="344" spans="2:27" x14ac:dyDescent="0.35">
      <c r="B344">
        <v>306.83269476372925</v>
      </c>
      <c r="C344">
        <v>1049</v>
      </c>
      <c r="D344">
        <f t="shared" si="183"/>
        <v>14.935577749035803</v>
      </c>
      <c r="E344">
        <f t="shared" si="184"/>
        <v>274.85784006434483</v>
      </c>
      <c r="F344">
        <f t="shared" si="185"/>
        <v>28.480684383378883</v>
      </c>
      <c r="G344">
        <f t="shared" si="186"/>
        <v>28.480684383378883</v>
      </c>
      <c r="H344">
        <f t="shared" si="187"/>
        <v>28.480684383378883</v>
      </c>
      <c r="I344" s="3"/>
      <c r="J344">
        <f t="shared" si="188"/>
        <v>12.416547676060341</v>
      </c>
      <c r="K344">
        <f t="shared" si="189"/>
        <v>269.26215460686905</v>
      </c>
      <c r="L344">
        <f t="shared" si="190"/>
        <v>25.251787440442492</v>
      </c>
      <c r="M344">
        <f t="shared" si="191"/>
        <v>25.251787440442492</v>
      </c>
      <c r="N344">
        <f t="shared" si="192"/>
        <v>25.251787440442492</v>
      </c>
      <c r="O344" s="3"/>
      <c r="P344">
        <f t="shared" si="193"/>
        <v>137.83071595516037</v>
      </c>
      <c r="Q344">
        <f t="shared" si="194"/>
        <v>855.95941975017718</v>
      </c>
      <c r="R344">
        <f t="shared" si="195"/>
        <v>0</v>
      </c>
      <c r="S344">
        <f t="shared" si="196"/>
        <v>0</v>
      </c>
      <c r="T344">
        <v>50</v>
      </c>
      <c r="U344" s="3"/>
      <c r="V344">
        <f t="shared" si="197"/>
        <v>1043.7901357053374</v>
      </c>
      <c r="W344" s="3"/>
      <c r="X344">
        <f t="shared" si="198"/>
        <v>27.142685968799874</v>
      </c>
      <c r="Y344">
        <f t="shared" si="199"/>
        <v>5.209864294662566</v>
      </c>
      <c r="AA344">
        <f t="shared" si="200"/>
        <v>5.4815101604513766E-6</v>
      </c>
    </row>
    <row r="345" spans="2:27" x14ac:dyDescent="0.35">
      <c r="B345">
        <v>307.79054916985956</v>
      </c>
      <c r="C345">
        <v>982</v>
      </c>
      <c r="D345">
        <f t="shared" si="183"/>
        <v>14.975410415601118</v>
      </c>
      <c r="E345">
        <f t="shared" si="184"/>
        <v>275.25508680182764</v>
      </c>
      <c r="F345">
        <f t="shared" si="185"/>
        <v>28.576469823991911</v>
      </c>
      <c r="G345">
        <f t="shared" si="186"/>
        <v>28.576469823991911</v>
      </c>
      <c r="H345">
        <f t="shared" si="187"/>
        <v>28.576469823991911</v>
      </c>
      <c r="I345" s="3"/>
      <c r="J345">
        <f t="shared" si="188"/>
        <v>12.453415493487558</v>
      </c>
      <c r="K345">
        <f t="shared" si="189"/>
        <v>269.65793256248162</v>
      </c>
      <c r="L345">
        <f t="shared" si="190"/>
        <v>25.343930548708183</v>
      </c>
      <c r="M345">
        <f t="shared" si="191"/>
        <v>25.343930548708183</v>
      </c>
      <c r="N345">
        <f t="shared" si="192"/>
        <v>25.343930548708183</v>
      </c>
      <c r="O345" s="3"/>
      <c r="P345">
        <f t="shared" si="193"/>
        <v>137.04607997806201</v>
      </c>
      <c r="Q345">
        <f t="shared" si="194"/>
        <v>853.4533087595006</v>
      </c>
      <c r="R345">
        <f t="shared" si="195"/>
        <v>0</v>
      </c>
      <c r="S345">
        <f t="shared" si="196"/>
        <v>0</v>
      </c>
      <c r="T345">
        <v>50</v>
      </c>
      <c r="U345" s="3"/>
      <c r="V345">
        <f t="shared" si="197"/>
        <v>1040.4993887375626</v>
      </c>
      <c r="W345" s="3"/>
      <c r="X345">
        <f t="shared" si="198"/>
        <v>3422.1784826684707</v>
      </c>
      <c r="Y345">
        <f t="shared" si="199"/>
        <v>58.49938873756264</v>
      </c>
      <c r="AA345">
        <f t="shared" si="200"/>
        <v>6.1549586631970692E-5</v>
      </c>
    </row>
    <row r="346" spans="2:27" x14ac:dyDescent="0.35">
      <c r="B346">
        <v>308.74840357598987</v>
      </c>
      <c r="C346">
        <v>1041</v>
      </c>
      <c r="D346">
        <f t="shared" si="183"/>
        <v>15.015243082166434</v>
      </c>
      <c r="E346">
        <f t="shared" si="184"/>
        <v>275.65233353931046</v>
      </c>
      <c r="F346">
        <f t="shared" si="185"/>
        <v>28.672255264604942</v>
      </c>
      <c r="G346">
        <f t="shared" si="186"/>
        <v>28.672255264604942</v>
      </c>
      <c r="H346">
        <f t="shared" si="187"/>
        <v>28.672255264604942</v>
      </c>
      <c r="I346" s="3"/>
      <c r="J346">
        <f t="shared" si="188"/>
        <v>12.490291425587944</v>
      </c>
      <c r="K346">
        <f t="shared" si="189"/>
        <v>270.05371266430348</v>
      </c>
      <c r="L346">
        <f t="shared" si="190"/>
        <v>25.436086375411723</v>
      </c>
      <c r="M346">
        <f t="shared" si="191"/>
        <v>25.436086375411723</v>
      </c>
      <c r="N346">
        <f t="shared" si="192"/>
        <v>25.436086375411723</v>
      </c>
      <c r="O346" s="3"/>
      <c r="P346">
        <f t="shared" si="193"/>
        <v>136.26795787728426</v>
      </c>
      <c r="Q346">
        <f t="shared" si="194"/>
        <v>850.95817442248767</v>
      </c>
      <c r="R346">
        <f t="shared" si="195"/>
        <v>0</v>
      </c>
      <c r="S346">
        <f t="shared" si="196"/>
        <v>0</v>
      </c>
      <c r="T346">
        <v>50</v>
      </c>
      <c r="U346" s="3"/>
      <c r="V346">
        <f t="shared" si="197"/>
        <v>1037.226132299772</v>
      </c>
      <c r="W346" s="3"/>
      <c r="X346">
        <f t="shared" si="198"/>
        <v>14.242077418824463</v>
      </c>
      <c r="Y346">
        <f t="shared" si="199"/>
        <v>3.7738677002280383</v>
      </c>
      <c r="AA346">
        <f t="shared" si="200"/>
        <v>3.9706397274478513E-6</v>
      </c>
    </row>
    <row r="347" spans="2:27" x14ac:dyDescent="0.35">
      <c r="B347">
        <v>309.70625798212006</v>
      </c>
      <c r="C347">
        <v>1076</v>
      </c>
      <c r="D347">
        <f t="shared" si="183"/>
        <v>15.055075748731744</v>
      </c>
      <c r="E347">
        <f t="shared" si="184"/>
        <v>276.04958027679317</v>
      </c>
      <c r="F347">
        <f t="shared" si="185"/>
        <v>28.768040705217963</v>
      </c>
      <c r="G347">
        <f t="shared" si="186"/>
        <v>28.768040705217963</v>
      </c>
      <c r="H347">
        <f t="shared" si="187"/>
        <v>28.768040705217963</v>
      </c>
      <c r="I347" s="3"/>
      <c r="J347">
        <f t="shared" si="188"/>
        <v>12.527175429830262</v>
      </c>
      <c r="K347">
        <f t="shared" si="189"/>
        <v>270.44949490608303</v>
      </c>
      <c r="L347">
        <f t="shared" si="190"/>
        <v>25.528254833771797</v>
      </c>
      <c r="M347">
        <f t="shared" si="191"/>
        <v>25.528254833771797</v>
      </c>
      <c r="N347">
        <f t="shared" si="192"/>
        <v>25.528254833771797</v>
      </c>
      <c r="O347" s="3"/>
      <c r="P347">
        <f t="shared" si="193"/>
        <v>135.4962791305127</v>
      </c>
      <c r="Q347">
        <f t="shared" si="194"/>
        <v>848.47395278847239</v>
      </c>
      <c r="R347">
        <f t="shared" si="195"/>
        <v>0</v>
      </c>
      <c r="S347">
        <f t="shared" si="196"/>
        <v>0</v>
      </c>
      <c r="T347">
        <v>50</v>
      </c>
      <c r="U347" s="3"/>
      <c r="V347">
        <f t="shared" si="197"/>
        <v>1033.9702319189851</v>
      </c>
      <c r="W347" s="3"/>
      <c r="X347">
        <f t="shared" si="198"/>
        <v>1766.5014049439019</v>
      </c>
      <c r="Y347">
        <f t="shared" si="199"/>
        <v>42.029768081014936</v>
      </c>
      <c r="AA347">
        <f t="shared" si="200"/>
        <v>4.4221228758976743E-5</v>
      </c>
    </row>
    <row r="348" spans="2:27" x14ac:dyDescent="0.35">
      <c r="B348">
        <v>310.98339719029377</v>
      </c>
      <c r="C348">
        <v>1002</v>
      </c>
      <c r="D348">
        <f t="shared" si="183"/>
        <v>15.108185970818829</v>
      </c>
      <c r="E348">
        <f t="shared" si="184"/>
        <v>276.57924259343685</v>
      </c>
      <c r="F348">
        <f t="shared" si="185"/>
        <v>28.895754626035334</v>
      </c>
      <c r="G348">
        <f t="shared" si="186"/>
        <v>28.895754626035334</v>
      </c>
      <c r="H348">
        <f t="shared" si="187"/>
        <v>28.895754626035334</v>
      </c>
      <c r="I348" s="3"/>
      <c r="J348">
        <f t="shared" si="188"/>
        <v>12.576366585913567</v>
      </c>
      <c r="K348">
        <f t="shared" si="189"/>
        <v>270.97720787985844</v>
      </c>
      <c r="L348">
        <f t="shared" si="190"/>
        <v>25.651165612469779</v>
      </c>
      <c r="M348">
        <f t="shared" si="191"/>
        <v>25.651165612469779</v>
      </c>
      <c r="N348">
        <f t="shared" si="192"/>
        <v>25.651165612469779</v>
      </c>
      <c r="O348" s="3"/>
      <c r="P348">
        <f t="shared" si="193"/>
        <v>134.47727699170036</v>
      </c>
      <c r="Q348">
        <f t="shared" si="194"/>
        <v>845.17852292983264</v>
      </c>
      <c r="R348">
        <f t="shared" si="195"/>
        <v>0</v>
      </c>
      <c r="S348">
        <f t="shared" si="196"/>
        <v>0</v>
      </c>
      <c r="T348">
        <v>50</v>
      </c>
      <c r="U348" s="3"/>
      <c r="V348">
        <f t="shared" si="197"/>
        <v>1029.6557999215329</v>
      </c>
      <c r="W348" s="3"/>
      <c r="X348">
        <f t="shared" si="198"/>
        <v>764.84326929985855</v>
      </c>
      <c r="Y348">
        <f t="shared" si="199"/>
        <v>27.655799921532889</v>
      </c>
      <c r="AA348">
        <f t="shared" si="200"/>
        <v>2.9097792128789319E-5</v>
      </c>
    </row>
    <row r="349" spans="2:27" x14ac:dyDescent="0.35">
      <c r="B349">
        <v>311.94125159642402</v>
      </c>
      <c r="C349">
        <v>1050</v>
      </c>
      <c r="D349">
        <f t="shared" ref="D349:D412" si="201">C$23-LN(1/C$23)+$B349*C$22</f>
        <v>15.148018637384142</v>
      </c>
      <c r="E349">
        <f t="shared" ref="E349:E412" si="202">D$23-LN(1/D$23)+$B349*D$22</f>
        <v>276.97648933091961</v>
      </c>
      <c r="F349">
        <f t="shared" ref="F349:F412" si="203">E$23-LN(1/E$23)+$B349*E$22</f>
        <v>28.991540066648358</v>
      </c>
      <c r="G349">
        <f t="shared" ref="G349:G412" si="204">F$23-LN(1/F$23)+$B349*F$22</f>
        <v>28.991540066648358</v>
      </c>
      <c r="H349">
        <f t="shared" ref="H349:H412" si="205">G$23-LN(1/G$23)+$B349*G$22</f>
        <v>28.991540066648358</v>
      </c>
      <c r="I349" s="3"/>
      <c r="J349">
        <f t="shared" ref="J349:J412" si="206">lmb_2(D349)</f>
        <v>12.61326926156697</v>
      </c>
      <c r="K349">
        <f t="shared" ref="K349:K412" si="207">lmb_2(E349)</f>
        <v>271.37299509071448</v>
      </c>
      <c r="L349">
        <f t="shared" ref="L349:L412" si="208">lmb_2(F349)</f>
        <v>25.743363212095211</v>
      </c>
      <c r="M349">
        <f t="shared" ref="M349:M412" si="209">lmb_2(G349)</f>
        <v>25.743363212095211</v>
      </c>
      <c r="N349">
        <f t="shared" ref="N349:N412" si="210">lmb_2(H349)</f>
        <v>25.743363212095211</v>
      </c>
      <c r="O349" s="3"/>
      <c r="P349">
        <f t="shared" ref="P349:P412" si="211">(C$21*$A$21)/(J349+J349^2)</f>
        <v>133.72036371875214</v>
      </c>
      <c r="Q349">
        <f t="shared" ref="Q349:Q412" si="212">(D$21*$A$21)/(K349+K349^2)</f>
        <v>842.71951817526053</v>
      </c>
      <c r="R349">
        <f t="shared" ref="R349:R412" si="213">(E$21*$A$21)/(L349+L349^2)</f>
        <v>0</v>
      </c>
      <c r="S349">
        <f t="shared" ref="S349:S412" si="214">(F$21*$A$21)/(M349+M349^2)</f>
        <v>0</v>
      </c>
      <c r="T349">
        <v>50</v>
      </c>
      <c r="U349" s="3"/>
      <c r="V349">
        <f t="shared" ref="V349:V412" si="215">SUM(P349:T349)</f>
        <v>1026.4398818940126</v>
      </c>
      <c r="W349" s="3"/>
      <c r="X349">
        <f t="shared" ref="X349:X412" si="216">(V349-C349)^2</f>
        <v>555.07916516807461</v>
      </c>
      <c r="Y349">
        <f t="shared" ref="Y349:Y412" si="217">ABS(V349-C349)</f>
        <v>23.560118105987385</v>
      </c>
      <c r="AA349">
        <f t="shared" ref="AA349:AA412" si="218">Y349/$Z$39</f>
        <v>2.4788558679294508E-5</v>
      </c>
    </row>
    <row r="350" spans="2:27" x14ac:dyDescent="0.35">
      <c r="B350">
        <v>312.89910600255428</v>
      </c>
      <c r="C350">
        <v>1004</v>
      </c>
      <c r="D350">
        <f t="shared" si="201"/>
        <v>15.187851303949454</v>
      </c>
      <c r="E350">
        <f t="shared" si="202"/>
        <v>277.37373606840237</v>
      </c>
      <c r="F350">
        <f t="shared" si="203"/>
        <v>29.087325507261383</v>
      </c>
      <c r="G350">
        <f t="shared" si="204"/>
        <v>29.087325507261383</v>
      </c>
      <c r="H350">
        <f t="shared" si="205"/>
        <v>29.087325507261383</v>
      </c>
      <c r="I350" s="3"/>
      <c r="J350">
        <f t="shared" si="206"/>
        <v>12.650179869911664</v>
      </c>
      <c r="K350">
        <f t="shared" si="207"/>
        <v>271.76878442088611</v>
      </c>
      <c r="L350">
        <f t="shared" si="208"/>
        <v>25.835573160347483</v>
      </c>
      <c r="M350">
        <f t="shared" si="209"/>
        <v>25.835573160347483</v>
      </c>
      <c r="N350">
        <f t="shared" si="210"/>
        <v>25.835573160347483</v>
      </c>
      <c r="O350" s="3"/>
      <c r="P350">
        <f t="shared" si="211"/>
        <v>132.96966540891324</v>
      </c>
      <c r="Q350">
        <f t="shared" si="212"/>
        <v>840.27121628836949</v>
      </c>
      <c r="R350">
        <f t="shared" si="213"/>
        <v>0</v>
      </c>
      <c r="S350">
        <f t="shared" si="214"/>
        <v>0</v>
      </c>
      <c r="T350">
        <v>50</v>
      </c>
      <c r="U350" s="3"/>
      <c r="V350">
        <f t="shared" si="215"/>
        <v>1023.2408816972827</v>
      </c>
      <c r="W350" s="3"/>
      <c r="X350">
        <f t="shared" si="216"/>
        <v>370.21152848882849</v>
      </c>
      <c r="Y350">
        <f t="shared" si="217"/>
        <v>19.240881697282703</v>
      </c>
      <c r="AA350">
        <f t="shared" si="218"/>
        <v>2.0244114348189393E-5</v>
      </c>
    </row>
    <row r="351" spans="2:27" x14ac:dyDescent="0.35">
      <c r="B351">
        <v>313.85696040868459</v>
      </c>
      <c r="C351">
        <v>1006</v>
      </c>
      <c r="D351">
        <f t="shared" si="201"/>
        <v>15.22768397051477</v>
      </c>
      <c r="E351">
        <f t="shared" si="202"/>
        <v>277.77098280588518</v>
      </c>
      <c r="F351">
        <f t="shared" si="203"/>
        <v>29.183110947874415</v>
      </c>
      <c r="G351">
        <f t="shared" si="204"/>
        <v>29.183110947874415</v>
      </c>
      <c r="H351">
        <f t="shared" si="205"/>
        <v>29.183110947874415</v>
      </c>
      <c r="I351" s="3"/>
      <c r="J351">
        <f t="shared" si="206"/>
        <v>12.687098369796365</v>
      </c>
      <c r="K351">
        <f t="shared" si="207"/>
        <v>272.16457586423877</v>
      </c>
      <c r="L351">
        <f t="shared" si="208"/>
        <v>25.927795374146438</v>
      </c>
      <c r="M351">
        <f t="shared" si="209"/>
        <v>25.927795374146438</v>
      </c>
      <c r="N351">
        <f t="shared" si="210"/>
        <v>25.927795374146438</v>
      </c>
      <c r="O351" s="3"/>
      <c r="P351">
        <f t="shared" si="211"/>
        <v>132.22511549455791</v>
      </c>
      <c r="Q351">
        <f t="shared" si="212"/>
        <v>837.83355530324366</v>
      </c>
      <c r="R351">
        <f t="shared" si="213"/>
        <v>0</v>
      </c>
      <c r="S351">
        <f t="shared" si="214"/>
        <v>0</v>
      </c>
      <c r="T351">
        <v>50</v>
      </c>
      <c r="U351" s="3"/>
      <c r="V351">
        <f t="shared" si="215"/>
        <v>1020.0586707978016</v>
      </c>
      <c r="W351" s="3"/>
      <c r="X351">
        <f t="shared" si="216"/>
        <v>197.64622460095939</v>
      </c>
      <c r="Y351">
        <f t="shared" si="217"/>
        <v>14.058670797801597</v>
      </c>
      <c r="AA351">
        <f t="shared" si="218"/>
        <v>1.4791699449741952E-5</v>
      </c>
    </row>
    <row r="352" spans="2:27" x14ac:dyDescent="0.35">
      <c r="B352">
        <v>314.81481481481484</v>
      </c>
      <c r="C352">
        <v>1061</v>
      </c>
      <c r="D352">
        <f t="shared" si="201"/>
        <v>15.267516637080083</v>
      </c>
      <c r="E352">
        <f t="shared" si="202"/>
        <v>278.16822954336789</v>
      </c>
      <c r="F352">
        <f t="shared" si="203"/>
        <v>29.278896388487439</v>
      </c>
      <c r="G352">
        <f t="shared" si="204"/>
        <v>29.278896388487439</v>
      </c>
      <c r="H352">
        <f t="shared" si="205"/>
        <v>29.278896388487439</v>
      </c>
      <c r="I352" s="3"/>
      <c r="J352">
        <f t="shared" si="206"/>
        <v>12.724024720379926</v>
      </c>
      <c r="K352">
        <f t="shared" si="207"/>
        <v>272.56036941466436</v>
      </c>
      <c r="L352">
        <f t="shared" si="208"/>
        <v>26.020029771236313</v>
      </c>
      <c r="M352">
        <f t="shared" si="209"/>
        <v>26.020029771236313</v>
      </c>
      <c r="N352">
        <f t="shared" si="210"/>
        <v>26.020029771236313</v>
      </c>
      <c r="O352" s="3"/>
      <c r="P352">
        <f t="shared" si="211"/>
        <v>131.4866482830503</v>
      </c>
      <c r="Q352">
        <f t="shared" si="212"/>
        <v>835.40647370144438</v>
      </c>
      <c r="R352">
        <f t="shared" si="213"/>
        <v>0</v>
      </c>
      <c r="S352">
        <f t="shared" si="214"/>
        <v>0</v>
      </c>
      <c r="T352">
        <v>50</v>
      </c>
      <c r="U352" s="3"/>
      <c r="V352">
        <f t="shared" si="215"/>
        <v>1016.8931219844947</v>
      </c>
      <c r="W352" s="3"/>
      <c r="X352">
        <f t="shared" si="216"/>
        <v>1945.4166882746688</v>
      </c>
      <c r="Y352">
        <f t="shared" si="217"/>
        <v>44.106878015505345</v>
      </c>
      <c r="AA352">
        <f t="shared" si="218"/>
        <v>4.6406640617390823E-5</v>
      </c>
    </row>
    <row r="353" spans="2:27" x14ac:dyDescent="0.35">
      <c r="B353">
        <v>315.77266922094509</v>
      </c>
      <c r="C353">
        <v>1007</v>
      </c>
      <c r="D353">
        <f t="shared" si="201"/>
        <v>15.307349303645395</v>
      </c>
      <c r="E353">
        <f t="shared" si="202"/>
        <v>278.56547628085065</v>
      </c>
      <c r="F353">
        <f t="shared" si="203"/>
        <v>29.374681829100464</v>
      </c>
      <c r="G353">
        <f t="shared" si="204"/>
        <v>29.374681829100464</v>
      </c>
      <c r="H353">
        <f t="shared" si="205"/>
        <v>29.374681829100464</v>
      </c>
      <c r="I353" s="3"/>
      <c r="J353">
        <f t="shared" si="206"/>
        <v>12.760958881128328</v>
      </c>
      <c r="K353">
        <f t="shared" si="207"/>
        <v>272.95616506608155</v>
      </c>
      <c r="L353">
        <f t="shared" si="208"/>
        <v>26.11227627017502</v>
      </c>
      <c r="M353">
        <f t="shared" si="209"/>
        <v>26.11227627017502</v>
      </c>
      <c r="N353">
        <f t="shared" si="210"/>
        <v>26.11227627017502</v>
      </c>
      <c r="O353" s="3"/>
      <c r="P353">
        <f t="shared" si="211"/>
        <v>130.75419894316391</v>
      </c>
      <c r="Q353">
        <f t="shared" si="212"/>
        <v>832.98991040813735</v>
      </c>
      <c r="R353">
        <f t="shared" si="213"/>
        <v>0</v>
      </c>
      <c r="S353">
        <f t="shared" si="214"/>
        <v>0</v>
      </c>
      <c r="T353">
        <v>50</v>
      </c>
      <c r="U353" s="3"/>
      <c r="V353">
        <f t="shared" si="215"/>
        <v>1013.7441093513013</v>
      </c>
      <c r="W353" s="3"/>
      <c r="X353">
        <f t="shared" si="216"/>
        <v>45.483010942309512</v>
      </c>
      <c r="Y353">
        <f t="shared" si="217"/>
        <v>6.7441093513012902</v>
      </c>
      <c r="AA353">
        <f t="shared" si="218"/>
        <v>7.0957517972639467E-6</v>
      </c>
    </row>
    <row r="354" spans="2:27" x14ac:dyDescent="0.35">
      <c r="B354">
        <v>316.73052362707546</v>
      </c>
      <c r="C354">
        <v>999</v>
      </c>
      <c r="D354">
        <f t="shared" si="201"/>
        <v>15.347181970210714</v>
      </c>
      <c r="E354">
        <f t="shared" si="202"/>
        <v>278.96272301833346</v>
      </c>
      <c r="F354">
        <f t="shared" si="203"/>
        <v>29.470467269713502</v>
      </c>
      <c r="G354">
        <f t="shared" si="204"/>
        <v>29.470467269713502</v>
      </c>
      <c r="H354">
        <f t="shared" si="205"/>
        <v>29.470467269713502</v>
      </c>
      <c r="I354" s="3"/>
      <c r="J354">
        <f t="shared" si="206"/>
        <v>12.797900811811674</v>
      </c>
      <c r="K354">
        <f t="shared" si="207"/>
        <v>273.35196281243498</v>
      </c>
      <c r="L354">
        <f t="shared" si="208"/>
        <v>26.204534790323553</v>
      </c>
      <c r="M354">
        <f t="shared" si="209"/>
        <v>26.204534790323553</v>
      </c>
      <c r="N354">
        <f t="shared" si="210"/>
        <v>26.204534790323553</v>
      </c>
      <c r="O354" s="3"/>
      <c r="P354">
        <f t="shared" si="211"/>
        <v>130.0277034917433</v>
      </c>
      <c r="Q354">
        <f t="shared" si="212"/>
        <v>830.58380478826496</v>
      </c>
      <c r="R354">
        <f t="shared" si="213"/>
        <v>0</v>
      </c>
      <c r="S354">
        <f t="shared" si="214"/>
        <v>0</v>
      </c>
      <c r="T354">
        <v>50</v>
      </c>
      <c r="U354" s="3"/>
      <c r="V354">
        <f t="shared" si="215"/>
        <v>1010.6115082800083</v>
      </c>
      <c r="W354" s="3"/>
      <c r="X354">
        <f t="shared" si="216"/>
        <v>134.82712453670018</v>
      </c>
      <c r="Y354">
        <f t="shared" si="217"/>
        <v>11.611508280008252</v>
      </c>
      <c r="AA354">
        <f t="shared" si="218"/>
        <v>1.2216940214784028E-5</v>
      </c>
    </row>
    <row r="355" spans="2:27" x14ac:dyDescent="0.35">
      <c r="B355">
        <v>318.00766283524905</v>
      </c>
      <c r="C355">
        <v>1003</v>
      </c>
      <c r="D355">
        <f t="shared" si="201"/>
        <v>15.400292192297794</v>
      </c>
      <c r="E355">
        <f t="shared" si="202"/>
        <v>279.49238533497714</v>
      </c>
      <c r="F355">
        <f t="shared" si="203"/>
        <v>29.598181190530862</v>
      </c>
      <c r="G355">
        <f t="shared" si="204"/>
        <v>29.598181190530862</v>
      </c>
      <c r="H355">
        <f t="shared" si="205"/>
        <v>29.598181190530862</v>
      </c>
      <c r="I355" s="3"/>
      <c r="J355">
        <f t="shared" si="206"/>
        <v>12.847168736985289</v>
      </c>
      <c r="K355">
        <f t="shared" si="207"/>
        <v>273.87969638927871</v>
      </c>
      <c r="L355">
        <f t="shared" si="208"/>
        <v>26.327564712288119</v>
      </c>
      <c r="M355">
        <f t="shared" si="209"/>
        <v>26.327564712288119</v>
      </c>
      <c r="N355">
        <f t="shared" si="210"/>
        <v>26.327564712288119</v>
      </c>
      <c r="O355" s="3"/>
      <c r="P355">
        <f t="shared" si="211"/>
        <v>129.06819546777336</v>
      </c>
      <c r="Q355">
        <f t="shared" si="212"/>
        <v>827.39182746832444</v>
      </c>
      <c r="R355">
        <f t="shared" si="213"/>
        <v>0</v>
      </c>
      <c r="S355">
        <f t="shared" si="214"/>
        <v>0</v>
      </c>
      <c r="T355">
        <v>50</v>
      </c>
      <c r="U355" s="3"/>
      <c r="V355">
        <f t="shared" si="215"/>
        <v>1006.4600229360979</v>
      </c>
      <c r="W355" s="3"/>
      <c r="X355">
        <f t="shared" si="216"/>
        <v>11.971758718323237</v>
      </c>
      <c r="Y355">
        <f t="shared" si="217"/>
        <v>3.4600229360978574</v>
      </c>
      <c r="AA355">
        <f t="shared" si="218"/>
        <v>3.6404308839763391E-6</v>
      </c>
    </row>
    <row r="356" spans="2:27" x14ac:dyDescent="0.35">
      <c r="B356">
        <v>318.96551724137936</v>
      </c>
      <c r="C356">
        <v>1025</v>
      </c>
      <c r="D356">
        <f t="shared" si="201"/>
        <v>15.440124858863109</v>
      </c>
      <c r="E356">
        <f t="shared" si="202"/>
        <v>279.8896320724599</v>
      </c>
      <c r="F356">
        <f t="shared" si="203"/>
        <v>29.693966631143891</v>
      </c>
      <c r="G356">
        <f t="shared" si="204"/>
        <v>29.693966631143891</v>
      </c>
      <c r="H356">
        <f t="shared" si="205"/>
        <v>29.693966631143891</v>
      </c>
      <c r="I356" s="3"/>
      <c r="J356">
        <f t="shared" si="206"/>
        <v>12.884128642753424</v>
      </c>
      <c r="K356">
        <f t="shared" si="207"/>
        <v>274.27549900041458</v>
      </c>
      <c r="L356">
        <f t="shared" si="208"/>
        <v>26.419850972763445</v>
      </c>
      <c r="M356">
        <f t="shared" si="209"/>
        <v>26.419850972763445</v>
      </c>
      <c r="N356">
        <f t="shared" si="210"/>
        <v>26.419850972763445</v>
      </c>
      <c r="O356" s="3"/>
      <c r="P356">
        <f t="shared" si="211"/>
        <v>128.35534826559439</v>
      </c>
      <c r="Q356">
        <f t="shared" si="212"/>
        <v>825.00988972548544</v>
      </c>
      <c r="R356">
        <f t="shared" si="213"/>
        <v>0</v>
      </c>
      <c r="S356">
        <f t="shared" si="214"/>
        <v>0</v>
      </c>
      <c r="T356">
        <v>50</v>
      </c>
      <c r="U356" s="3"/>
      <c r="V356">
        <f t="shared" si="215"/>
        <v>1003.3652379910798</v>
      </c>
      <c r="W356" s="3"/>
      <c r="X356">
        <f t="shared" si="216"/>
        <v>468.06292718261824</v>
      </c>
      <c r="Y356">
        <f t="shared" si="217"/>
        <v>21.634762008920234</v>
      </c>
      <c r="AA356">
        <f t="shared" si="218"/>
        <v>2.276281320654335E-5</v>
      </c>
    </row>
    <row r="357" spans="2:27" x14ac:dyDescent="0.35">
      <c r="B357">
        <v>319.92337164750967</v>
      </c>
      <c r="C357">
        <v>981</v>
      </c>
      <c r="D357">
        <f t="shared" si="201"/>
        <v>15.479957525428425</v>
      </c>
      <c r="E357">
        <f t="shared" si="202"/>
        <v>280.28687880994266</v>
      </c>
      <c r="F357">
        <f t="shared" si="203"/>
        <v>29.789752071756922</v>
      </c>
      <c r="G357">
        <f t="shared" si="204"/>
        <v>29.789752071756922</v>
      </c>
      <c r="H357">
        <f t="shared" si="205"/>
        <v>29.789752071756922</v>
      </c>
      <c r="I357" s="3"/>
      <c r="J357">
        <f t="shared" si="206"/>
        <v>12.921096186515486</v>
      </c>
      <c r="K357">
        <f t="shared" si="207"/>
        <v>274.67130368649009</v>
      </c>
      <c r="L357">
        <f t="shared" si="208"/>
        <v>26.512148991319368</v>
      </c>
      <c r="M357">
        <f t="shared" si="209"/>
        <v>26.512148991319368</v>
      </c>
      <c r="N357">
        <f t="shared" si="210"/>
        <v>26.512148991319368</v>
      </c>
      <c r="O357" s="3"/>
      <c r="P357">
        <f t="shared" si="211"/>
        <v>127.64824763318616</v>
      </c>
      <c r="Q357">
        <f t="shared" si="212"/>
        <v>822.63821066697597</v>
      </c>
      <c r="R357">
        <f t="shared" si="213"/>
        <v>0</v>
      </c>
      <c r="S357">
        <f t="shared" si="214"/>
        <v>0</v>
      </c>
      <c r="T357">
        <v>50</v>
      </c>
      <c r="U357" s="3"/>
      <c r="V357">
        <f t="shared" si="215"/>
        <v>1000.2864583001622</v>
      </c>
      <c r="W357" s="3"/>
      <c r="X357">
        <f t="shared" si="216"/>
        <v>371.96747376389413</v>
      </c>
      <c r="Y357">
        <f t="shared" si="217"/>
        <v>19.286458300162167</v>
      </c>
      <c r="AA357">
        <f t="shared" si="218"/>
        <v>2.0292067346124213E-5</v>
      </c>
    </row>
    <row r="358" spans="2:27" x14ac:dyDescent="0.35">
      <c r="B358">
        <v>320.88122605363981</v>
      </c>
      <c r="C358">
        <v>1036</v>
      </c>
      <c r="D358">
        <f t="shared" si="201"/>
        <v>15.519790191993733</v>
      </c>
      <c r="E358">
        <f t="shared" si="202"/>
        <v>280.68412554742537</v>
      </c>
      <c r="F358">
        <f t="shared" si="203"/>
        <v>29.88553751236994</v>
      </c>
      <c r="G358">
        <f t="shared" si="204"/>
        <v>29.88553751236994</v>
      </c>
      <c r="H358">
        <f t="shared" si="205"/>
        <v>29.88553751236994</v>
      </c>
      <c r="I358" s="3"/>
      <c r="J358">
        <f t="shared" si="206"/>
        <v>12.958071329325644</v>
      </c>
      <c r="K358">
        <f t="shared" si="207"/>
        <v>275.06711044156191</v>
      </c>
      <c r="L358">
        <f t="shared" si="208"/>
        <v>26.604458690678616</v>
      </c>
      <c r="M358">
        <f t="shared" si="209"/>
        <v>26.604458690678616</v>
      </c>
      <c r="N358">
        <f t="shared" si="210"/>
        <v>26.604458690678616</v>
      </c>
      <c r="O358" s="3"/>
      <c r="P358">
        <f t="shared" si="211"/>
        <v>126.94683311393864</v>
      </c>
      <c r="Q358">
        <f t="shared" si="212"/>
        <v>820.27673152009868</v>
      </c>
      <c r="R358">
        <f t="shared" si="213"/>
        <v>0</v>
      </c>
      <c r="S358">
        <f t="shared" si="214"/>
        <v>0</v>
      </c>
      <c r="T358">
        <v>50</v>
      </c>
      <c r="U358" s="3"/>
      <c r="V358">
        <f t="shared" si="215"/>
        <v>997.2235646340373</v>
      </c>
      <c r="W358" s="3"/>
      <c r="X358">
        <f t="shared" si="216"/>
        <v>1503.6119396906827</v>
      </c>
      <c r="Y358">
        <f t="shared" si="217"/>
        <v>38.776435365962698</v>
      </c>
      <c r="AA358">
        <f t="shared" si="218"/>
        <v>4.0798265064671395E-5</v>
      </c>
    </row>
    <row r="359" spans="2:27" x14ac:dyDescent="0.35">
      <c r="B359">
        <v>321.83908045977017</v>
      </c>
      <c r="C359">
        <v>960</v>
      </c>
      <c r="D359">
        <f t="shared" si="201"/>
        <v>15.559622858559051</v>
      </c>
      <c r="E359">
        <f t="shared" si="202"/>
        <v>281.08137228490818</v>
      </c>
      <c r="F359">
        <f t="shared" si="203"/>
        <v>29.981322952982975</v>
      </c>
      <c r="G359">
        <f t="shared" si="204"/>
        <v>29.981322952982975</v>
      </c>
      <c r="H359">
        <f t="shared" si="205"/>
        <v>29.981322952982975</v>
      </c>
      <c r="I359" s="3"/>
      <c r="J359">
        <f t="shared" si="206"/>
        <v>12.995054032526815</v>
      </c>
      <c r="K359">
        <f t="shared" si="207"/>
        <v>275.46291925971246</v>
      </c>
      <c r="L359">
        <f t="shared" si="208"/>
        <v>26.696779994313388</v>
      </c>
      <c r="M359">
        <f t="shared" si="209"/>
        <v>26.696779994313388</v>
      </c>
      <c r="N359">
        <f t="shared" si="210"/>
        <v>26.696779994313388</v>
      </c>
      <c r="O359" s="3"/>
      <c r="P359">
        <f t="shared" si="211"/>
        <v>126.25104503207304</v>
      </c>
      <c r="Q359">
        <f t="shared" si="212"/>
        <v>817.92539393213917</v>
      </c>
      <c r="R359">
        <f t="shared" si="213"/>
        <v>0</v>
      </c>
      <c r="S359">
        <f t="shared" si="214"/>
        <v>0</v>
      </c>
      <c r="T359">
        <v>50</v>
      </c>
      <c r="U359" s="3"/>
      <c r="V359">
        <f t="shared" si="215"/>
        <v>994.17643896421225</v>
      </c>
      <c r="W359" s="3"/>
      <c r="X359">
        <f t="shared" si="216"/>
        <v>1168.0289802745256</v>
      </c>
      <c r="Y359">
        <f t="shared" si="217"/>
        <v>34.176438964212252</v>
      </c>
      <c r="AA359">
        <f t="shared" si="218"/>
        <v>3.595842172363328E-5</v>
      </c>
    </row>
    <row r="360" spans="2:27" x14ac:dyDescent="0.35">
      <c r="B360">
        <v>322.79693486590037</v>
      </c>
      <c r="C360">
        <v>1005</v>
      </c>
      <c r="D360">
        <f t="shared" si="201"/>
        <v>15.599455525124363</v>
      </c>
      <c r="E360">
        <f t="shared" si="202"/>
        <v>281.47861902239094</v>
      </c>
      <c r="F360">
        <f t="shared" si="203"/>
        <v>30.077108393595996</v>
      </c>
      <c r="G360">
        <f t="shared" si="204"/>
        <v>30.077108393595996</v>
      </c>
      <c r="H360">
        <f t="shared" si="205"/>
        <v>30.077108393595996</v>
      </c>
      <c r="I360" s="3"/>
      <c r="J360">
        <f t="shared" si="206"/>
        <v>13.032044257747833</v>
      </c>
      <c r="K360">
        <f t="shared" si="207"/>
        <v>275.85873013504914</v>
      </c>
      <c r="L360">
        <f t="shared" si="208"/>
        <v>26.789112826435687</v>
      </c>
      <c r="M360">
        <f t="shared" si="209"/>
        <v>26.789112826435687</v>
      </c>
      <c r="N360">
        <f t="shared" si="210"/>
        <v>26.789112826435687</v>
      </c>
      <c r="O360" s="3"/>
      <c r="P360">
        <f t="shared" si="211"/>
        <v>125.5608244807309</v>
      </c>
      <c r="Q360">
        <f t="shared" si="212"/>
        <v>815.58413996677632</v>
      </c>
      <c r="R360">
        <f t="shared" si="213"/>
        <v>0</v>
      </c>
      <c r="S360">
        <f t="shared" si="214"/>
        <v>0</v>
      </c>
      <c r="T360">
        <v>50</v>
      </c>
      <c r="U360" s="3"/>
      <c r="V360">
        <f t="shared" si="215"/>
        <v>991.14496444750716</v>
      </c>
      <c r="W360" s="3"/>
      <c r="X360">
        <f t="shared" si="216"/>
        <v>191.96201016084046</v>
      </c>
      <c r="Y360">
        <f t="shared" si="217"/>
        <v>13.855035552492836</v>
      </c>
      <c r="AA360">
        <f t="shared" si="218"/>
        <v>1.4577446524319396E-5</v>
      </c>
    </row>
    <row r="361" spans="2:27" x14ac:dyDescent="0.35">
      <c r="B361">
        <v>323.75478927203068</v>
      </c>
      <c r="C361">
        <v>988</v>
      </c>
      <c r="D361">
        <f t="shared" si="201"/>
        <v>15.639288191689676</v>
      </c>
      <c r="E361">
        <f t="shared" si="202"/>
        <v>281.8758657598737</v>
      </c>
      <c r="F361">
        <f t="shared" si="203"/>
        <v>30.172893834209024</v>
      </c>
      <c r="G361">
        <f t="shared" si="204"/>
        <v>30.172893834209024</v>
      </c>
      <c r="H361">
        <f t="shared" si="205"/>
        <v>30.172893834209024</v>
      </c>
      <c r="I361" s="3"/>
      <c r="J361">
        <f t="shared" si="206"/>
        <v>13.06904196690075</v>
      </c>
      <c r="K361">
        <f t="shared" si="207"/>
        <v>276.25454306170474</v>
      </c>
      <c r="L361">
        <f t="shared" si="208"/>
        <v>26.881457111988009</v>
      </c>
      <c r="M361">
        <f t="shared" si="209"/>
        <v>26.881457111988009</v>
      </c>
      <c r="N361">
        <f t="shared" si="210"/>
        <v>26.881457111988009</v>
      </c>
      <c r="O361" s="3"/>
      <c r="P361">
        <f t="shared" si="211"/>
        <v>124.87611331027014</v>
      </c>
      <c r="Q361">
        <f t="shared" si="212"/>
        <v>813.25291210052069</v>
      </c>
      <c r="R361">
        <f t="shared" si="213"/>
        <v>0</v>
      </c>
      <c r="S361">
        <f t="shared" si="214"/>
        <v>0</v>
      </c>
      <c r="T361">
        <v>50</v>
      </c>
      <c r="U361" s="3"/>
      <c r="V361">
        <f t="shared" si="215"/>
        <v>988.12902541079086</v>
      </c>
      <c r="W361" s="3"/>
      <c r="X361">
        <f t="shared" si="216"/>
        <v>1.6647556629750041E-2</v>
      </c>
      <c r="Y361">
        <f t="shared" si="217"/>
        <v>0.1290254107908595</v>
      </c>
      <c r="AA361">
        <f t="shared" si="218"/>
        <v>1.3575288341600013E-7</v>
      </c>
    </row>
    <row r="362" spans="2:27" x14ac:dyDescent="0.35">
      <c r="B362">
        <v>325.03192848020439</v>
      </c>
      <c r="C362">
        <v>1007</v>
      </c>
      <c r="D362">
        <f t="shared" si="201"/>
        <v>15.692398413776763</v>
      </c>
      <c r="E362">
        <f t="shared" si="202"/>
        <v>282.40552807651738</v>
      </c>
      <c r="F362">
        <f t="shared" si="203"/>
        <v>30.300607755026395</v>
      </c>
      <c r="G362">
        <f t="shared" si="204"/>
        <v>30.300607755026395</v>
      </c>
      <c r="H362">
        <f t="shared" si="205"/>
        <v>30.300607755026395</v>
      </c>
      <c r="I362" s="3"/>
      <c r="J362">
        <f t="shared" si="206"/>
        <v>13.118383822136968</v>
      </c>
      <c r="K362">
        <f t="shared" si="207"/>
        <v>276.78229681142528</v>
      </c>
      <c r="L362">
        <f t="shared" si="208"/>
        <v>27.004600514124668</v>
      </c>
      <c r="M362">
        <f t="shared" si="209"/>
        <v>27.004600514124668</v>
      </c>
      <c r="N362">
        <f t="shared" si="210"/>
        <v>27.004600514124668</v>
      </c>
      <c r="O362" s="3"/>
      <c r="P362">
        <f t="shared" si="211"/>
        <v>123.97163612036438</v>
      </c>
      <c r="Q362">
        <f t="shared" si="212"/>
        <v>810.16010577566556</v>
      </c>
      <c r="R362">
        <f t="shared" si="213"/>
        <v>0</v>
      </c>
      <c r="S362">
        <f t="shared" si="214"/>
        <v>0</v>
      </c>
      <c r="T362">
        <v>50</v>
      </c>
      <c r="U362" s="3"/>
      <c r="V362">
        <f t="shared" si="215"/>
        <v>984.13174189602989</v>
      </c>
      <c r="W362" s="3"/>
      <c r="X362">
        <f t="shared" si="216"/>
        <v>522.95722870979444</v>
      </c>
      <c r="Y362">
        <f t="shared" si="217"/>
        <v>22.868258103970106</v>
      </c>
      <c r="AA362">
        <f t="shared" si="218"/>
        <v>2.4060624626472263E-5</v>
      </c>
    </row>
    <row r="363" spans="2:27" x14ac:dyDescent="0.35">
      <c r="B363">
        <v>325.98978288633464</v>
      </c>
      <c r="C363">
        <v>971</v>
      </c>
      <c r="D363">
        <f t="shared" si="201"/>
        <v>15.732231080342075</v>
      </c>
      <c r="E363">
        <f t="shared" si="202"/>
        <v>282.80277481400014</v>
      </c>
      <c r="F363">
        <f t="shared" si="203"/>
        <v>30.396393195639423</v>
      </c>
      <c r="G363">
        <f t="shared" si="204"/>
        <v>30.396393195639423</v>
      </c>
      <c r="H363">
        <f t="shared" si="205"/>
        <v>30.396393195639423</v>
      </c>
      <c r="I363" s="3"/>
      <c r="J363">
        <f t="shared" si="206"/>
        <v>13.155398847248364</v>
      </c>
      <c r="K363">
        <f t="shared" si="207"/>
        <v>277.17811450181495</v>
      </c>
      <c r="L363">
        <f t="shared" si="208"/>
        <v>27.096971236490774</v>
      </c>
      <c r="M363">
        <f t="shared" si="209"/>
        <v>27.096971236490774</v>
      </c>
      <c r="N363">
        <f t="shared" si="210"/>
        <v>27.096971236490774</v>
      </c>
      <c r="O363" s="3"/>
      <c r="P363">
        <f t="shared" si="211"/>
        <v>123.29955820224829</v>
      </c>
      <c r="Q363">
        <f t="shared" si="212"/>
        <v>807.85205073088343</v>
      </c>
      <c r="R363">
        <f t="shared" si="213"/>
        <v>0</v>
      </c>
      <c r="S363">
        <f t="shared" si="214"/>
        <v>0</v>
      </c>
      <c r="T363">
        <v>50</v>
      </c>
      <c r="U363" s="3"/>
      <c r="V363">
        <f t="shared" si="215"/>
        <v>981.15160893313168</v>
      </c>
      <c r="W363" s="3"/>
      <c r="X363">
        <f t="shared" si="216"/>
        <v>103.05516393123899</v>
      </c>
      <c r="Y363">
        <f t="shared" si="217"/>
        <v>10.151608933131683</v>
      </c>
      <c r="AA363">
        <f t="shared" si="218"/>
        <v>1.0680920723577962E-5</v>
      </c>
    </row>
    <row r="364" spans="2:27" x14ac:dyDescent="0.35">
      <c r="B364">
        <v>326.94763729246489</v>
      </c>
      <c r="C364">
        <v>954</v>
      </c>
      <c r="D364">
        <f t="shared" si="201"/>
        <v>15.772063746907389</v>
      </c>
      <c r="E364">
        <f t="shared" si="202"/>
        <v>283.20002155148291</v>
      </c>
      <c r="F364">
        <f t="shared" si="203"/>
        <v>30.492178636252444</v>
      </c>
      <c r="G364">
        <f t="shared" si="204"/>
        <v>30.492178636252444</v>
      </c>
      <c r="H364">
        <f t="shared" si="205"/>
        <v>30.492178636252444</v>
      </c>
      <c r="I364" s="3"/>
      <c r="J364">
        <f t="shared" si="206"/>
        <v>13.192421231342516</v>
      </c>
      <c r="K364">
        <f t="shared" si="207"/>
        <v>277.57393422414594</v>
      </c>
      <c r="L364">
        <f t="shared" si="208"/>
        <v>27.189353167252829</v>
      </c>
      <c r="M364">
        <f t="shared" si="209"/>
        <v>27.189353167252829</v>
      </c>
      <c r="N364">
        <f t="shared" si="210"/>
        <v>27.189353167252829</v>
      </c>
      <c r="O364" s="3"/>
      <c r="P364">
        <f t="shared" si="211"/>
        <v>122.6328011555273</v>
      </c>
      <c r="Q364">
        <f t="shared" si="212"/>
        <v>805.55383297684261</v>
      </c>
      <c r="R364">
        <f t="shared" si="213"/>
        <v>0</v>
      </c>
      <c r="S364">
        <f t="shared" si="214"/>
        <v>0</v>
      </c>
      <c r="T364">
        <v>50</v>
      </c>
      <c r="U364" s="3"/>
      <c r="V364">
        <f t="shared" si="215"/>
        <v>978.18663413236993</v>
      </c>
      <c r="W364" s="3"/>
      <c r="X364">
        <f t="shared" si="216"/>
        <v>584.99327065312218</v>
      </c>
      <c r="Y364">
        <f t="shared" si="217"/>
        <v>24.186634132369932</v>
      </c>
      <c r="AA364">
        <f t="shared" si="218"/>
        <v>2.5447741677174106E-5</v>
      </c>
    </row>
    <row r="365" spans="2:27" x14ac:dyDescent="0.35">
      <c r="B365">
        <v>327.90549169859526</v>
      </c>
      <c r="C365">
        <v>932</v>
      </c>
      <c r="D365">
        <f t="shared" si="201"/>
        <v>15.811896413472706</v>
      </c>
      <c r="E365">
        <f t="shared" si="202"/>
        <v>283.59726828896567</v>
      </c>
      <c r="F365">
        <f t="shared" si="203"/>
        <v>30.587964076865479</v>
      </c>
      <c r="G365">
        <f t="shared" si="204"/>
        <v>30.587964076865479</v>
      </c>
      <c r="H365">
        <f t="shared" si="205"/>
        <v>30.587964076865479</v>
      </c>
      <c r="I365" s="3"/>
      <c r="J365">
        <f t="shared" si="206"/>
        <v>13.229450937527703</v>
      </c>
      <c r="K365">
        <f t="shared" si="207"/>
        <v>277.9697559726585</v>
      </c>
      <c r="L365">
        <f t="shared" si="208"/>
        <v>27.281746234413447</v>
      </c>
      <c r="M365">
        <f t="shared" si="209"/>
        <v>27.281746234413447</v>
      </c>
      <c r="N365">
        <f t="shared" si="210"/>
        <v>27.281746234413447</v>
      </c>
      <c r="O365" s="3"/>
      <c r="P365">
        <f t="shared" si="211"/>
        <v>121.97130998151368</v>
      </c>
      <c r="Q365">
        <f t="shared" si="212"/>
        <v>803.26539673873208</v>
      </c>
      <c r="R365">
        <f t="shared" si="213"/>
        <v>0</v>
      </c>
      <c r="S365">
        <f t="shared" si="214"/>
        <v>0</v>
      </c>
      <c r="T365">
        <v>50</v>
      </c>
      <c r="U365" s="3"/>
      <c r="V365">
        <f t="shared" si="215"/>
        <v>975.23670672024582</v>
      </c>
      <c r="W365" s="3"/>
      <c r="X365">
        <f t="shared" si="216"/>
        <v>1869.4128080125502</v>
      </c>
      <c r="Y365">
        <f t="shared" si="217"/>
        <v>43.23670672024582</v>
      </c>
      <c r="AA365">
        <f t="shared" si="218"/>
        <v>4.5491097999287527E-5</v>
      </c>
    </row>
    <row r="366" spans="2:27" x14ac:dyDescent="0.35">
      <c r="B366">
        <v>328.86334610472545</v>
      </c>
      <c r="C366">
        <v>1037</v>
      </c>
      <c r="D366">
        <f t="shared" si="201"/>
        <v>15.851729080038016</v>
      </c>
      <c r="E366">
        <f t="shared" si="202"/>
        <v>283.99451502644843</v>
      </c>
      <c r="F366">
        <f t="shared" si="203"/>
        <v>30.6837495174785</v>
      </c>
      <c r="G366">
        <f t="shared" si="204"/>
        <v>30.6837495174785</v>
      </c>
      <c r="H366">
        <f t="shared" si="205"/>
        <v>30.6837495174785</v>
      </c>
      <c r="I366" s="3"/>
      <c r="J366">
        <f t="shared" si="206"/>
        <v>13.26648792918127</v>
      </c>
      <c r="K366">
        <f t="shared" si="207"/>
        <v>278.3655797416173</v>
      </c>
      <c r="L366">
        <f t="shared" si="208"/>
        <v>27.374150366657901</v>
      </c>
      <c r="M366">
        <f t="shared" si="209"/>
        <v>27.374150366657901</v>
      </c>
      <c r="N366">
        <f t="shared" si="210"/>
        <v>27.374150366657901</v>
      </c>
      <c r="O366" s="3"/>
      <c r="P366">
        <f t="shared" si="211"/>
        <v>121.3150303796839</v>
      </c>
      <c r="Q366">
        <f t="shared" si="212"/>
        <v>800.98668663618491</v>
      </c>
      <c r="R366">
        <f t="shared" si="213"/>
        <v>0</v>
      </c>
      <c r="S366">
        <f t="shared" si="214"/>
        <v>0</v>
      </c>
      <c r="T366">
        <v>50</v>
      </c>
      <c r="U366" s="3"/>
      <c r="V366">
        <f t="shared" si="215"/>
        <v>972.3017170158688</v>
      </c>
      <c r="W366" s="3"/>
      <c r="X366">
        <f t="shared" si="216"/>
        <v>4185.8678210947201</v>
      </c>
      <c r="Y366">
        <f t="shared" si="217"/>
        <v>64.698282984131197</v>
      </c>
      <c r="AA366">
        <f t="shared" si="218"/>
        <v>6.8071695438324907E-5</v>
      </c>
    </row>
    <row r="367" spans="2:27" x14ac:dyDescent="0.35">
      <c r="B367">
        <v>329.8212005108557</v>
      </c>
      <c r="C367">
        <v>962</v>
      </c>
      <c r="D367">
        <f t="shared" si="201"/>
        <v>15.89156174660333</v>
      </c>
      <c r="E367">
        <f t="shared" si="202"/>
        <v>284.39176176393119</v>
      </c>
      <c r="F367">
        <f t="shared" si="203"/>
        <v>30.779534958091528</v>
      </c>
      <c r="G367">
        <f t="shared" si="204"/>
        <v>30.779534958091528</v>
      </c>
      <c r="H367">
        <f t="shared" si="205"/>
        <v>30.779534958091528</v>
      </c>
      <c r="I367" s="3"/>
      <c r="J367">
        <f t="shared" si="206"/>
        <v>13.303532169947115</v>
      </c>
      <c r="K367">
        <f t="shared" si="207"/>
        <v>278.7614055253112</v>
      </c>
      <c r="L367">
        <f t="shared" si="208"/>
        <v>27.466565493345691</v>
      </c>
      <c r="M367">
        <f t="shared" si="209"/>
        <v>27.466565493345691</v>
      </c>
      <c r="N367">
        <f t="shared" si="210"/>
        <v>27.466565493345691</v>
      </c>
      <c r="O367" s="3"/>
      <c r="P367">
        <f t="shared" si="211"/>
        <v>120.66390873720616</v>
      </c>
      <c r="Q367">
        <f t="shared" si="212"/>
        <v>798.71764767993659</v>
      </c>
      <c r="R367">
        <f t="shared" si="213"/>
        <v>0</v>
      </c>
      <c r="S367">
        <f t="shared" si="214"/>
        <v>0</v>
      </c>
      <c r="T367">
        <v>50</v>
      </c>
      <c r="U367" s="3"/>
      <c r="V367">
        <f t="shared" si="215"/>
        <v>969.38155641714275</v>
      </c>
      <c r="W367" s="3"/>
      <c r="X367">
        <f t="shared" si="216"/>
        <v>54.487375139461264</v>
      </c>
      <c r="Y367">
        <f t="shared" si="217"/>
        <v>7.3815564171427468</v>
      </c>
      <c r="AA367">
        <f t="shared" si="218"/>
        <v>7.7664357864303434E-6</v>
      </c>
    </row>
    <row r="368" spans="2:27" x14ac:dyDescent="0.35">
      <c r="B368">
        <v>331.09833971902947</v>
      </c>
      <c r="C368">
        <v>962</v>
      </c>
      <c r="D368">
        <f t="shared" si="201"/>
        <v>15.944671968690418</v>
      </c>
      <c r="E368">
        <f t="shared" si="202"/>
        <v>284.92142408057492</v>
      </c>
      <c r="F368">
        <f t="shared" si="203"/>
        <v>30.907248878908906</v>
      </c>
      <c r="G368">
        <f t="shared" si="204"/>
        <v>30.907248878908906</v>
      </c>
      <c r="H368">
        <f t="shared" si="205"/>
        <v>30.907248878908906</v>
      </c>
      <c r="I368" s="3"/>
      <c r="J368">
        <f t="shared" si="206"/>
        <v>13.352935705021421</v>
      </c>
      <c r="K368">
        <f t="shared" si="207"/>
        <v>279.2891763611097</v>
      </c>
      <c r="L368">
        <f t="shared" si="208"/>
        <v>27.589802643881047</v>
      </c>
      <c r="M368">
        <f t="shared" si="209"/>
        <v>27.589802643881047</v>
      </c>
      <c r="N368">
        <f t="shared" si="210"/>
        <v>27.589802643881047</v>
      </c>
      <c r="O368" s="3"/>
      <c r="P368">
        <f t="shared" si="211"/>
        <v>119.80367864252787</v>
      </c>
      <c r="Q368">
        <f t="shared" si="212"/>
        <v>795.70721209282829</v>
      </c>
      <c r="R368">
        <f t="shared" si="213"/>
        <v>0</v>
      </c>
      <c r="S368">
        <f t="shared" si="214"/>
        <v>0</v>
      </c>
      <c r="T368">
        <v>50</v>
      </c>
      <c r="U368" s="3"/>
      <c r="V368">
        <f t="shared" si="215"/>
        <v>965.51089073535616</v>
      </c>
      <c r="W368" s="3"/>
      <c r="X368">
        <f t="shared" si="216"/>
        <v>12.326353755609691</v>
      </c>
      <c r="Y368">
        <f t="shared" si="217"/>
        <v>3.5108907353561563</v>
      </c>
      <c r="AA368">
        <f t="shared" si="218"/>
        <v>3.6939509648659363E-6</v>
      </c>
    </row>
    <row r="369" spans="2:27" x14ac:dyDescent="0.35">
      <c r="B369">
        <v>332.05619412515961</v>
      </c>
      <c r="C369">
        <v>963</v>
      </c>
      <c r="D369">
        <f t="shared" si="201"/>
        <v>15.984504635255727</v>
      </c>
      <c r="E369">
        <f t="shared" si="202"/>
        <v>285.31867081805763</v>
      </c>
      <c r="F369">
        <f t="shared" si="203"/>
        <v>31.00303431952192</v>
      </c>
      <c r="G369">
        <f t="shared" si="204"/>
        <v>31.00303431952192</v>
      </c>
      <c r="H369">
        <f t="shared" si="205"/>
        <v>31.00303431952192</v>
      </c>
      <c r="I369" s="3"/>
      <c r="J369">
        <f t="shared" si="206"/>
        <v>13.389996720476047</v>
      </c>
      <c r="K369">
        <f t="shared" si="207"/>
        <v>279.68500682377783</v>
      </c>
      <c r="L369">
        <f t="shared" si="208"/>
        <v>27.682243153281302</v>
      </c>
      <c r="M369">
        <f t="shared" si="209"/>
        <v>27.682243153281302</v>
      </c>
      <c r="N369">
        <f t="shared" si="210"/>
        <v>27.682243153281302</v>
      </c>
      <c r="O369" s="3"/>
      <c r="P369">
        <f t="shared" si="211"/>
        <v>119.16438753043253</v>
      </c>
      <c r="Q369">
        <f t="shared" si="212"/>
        <v>793.46052746969656</v>
      </c>
      <c r="R369">
        <f t="shared" si="213"/>
        <v>0</v>
      </c>
      <c r="S369">
        <f t="shared" si="214"/>
        <v>0</v>
      </c>
      <c r="T369">
        <v>50</v>
      </c>
      <c r="U369" s="3"/>
      <c r="V369">
        <f t="shared" si="215"/>
        <v>962.62491500012914</v>
      </c>
      <c r="W369" s="3"/>
      <c r="X369">
        <f t="shared" si="216"/>
        <v>0.14068875712812645</v>
      </c>
      <c r="Y369">
        <f t="shared" si="217"/>
        <v>0.37508499987086452</v>
      </c>
      <c r="AA369">
        <f t="shared" si="218"/>
        <v>3.9464218673246902E-7</v>
      </c>
    </row>
    <row r="370" spans="2:27" x14ac:dyDescent="0.35">
      <c r="B370">
        <v>333.01404853128997</v>
      </c>
      <c r="C370">
        <v>911</v>
      </c>
      <c r="D370">
        <f t="shared" si="201"/>
        <v>16.024337301821042</v>
      </c>
      <c r="E370">
        <f t="shared" si="202"/>
        <v>285.71591755554039</v>
      </c>
      <c r="F370">
        <f t="shared" si="203"/>
        <v>31.098819760134955</v>
      </c>
      <c r="G370">
        <f t="shared" si="204"/>
        <v>31.098819760134955</v>
      </c>
      <c r="H370">
        <f t="shared" si="205"/>
        <v>31.098819760134955</v>
      </c>
      <c r="I370" s="3"/>
      <c r="J370">
        <f t="shared" si="206"/>
        <v>13.427064865748715</v>
      </c>
      <c r="K370">
        <f t="shared" si="207"/>
        <v>280.08083928231775</v>
      </c>
      <c r="L370">
        <f t="shared" si="208"/>
        <v>27.774694426418876</v>
      </c>
      <c r="M370">
        <f t="shared" si="209"/>
        <v>27.774694426418876</v>
      </c>
      <c r="N370">
        <f t="shared" si="210"/>
        <v>27.774694426418876</v>
      </c>
      <c r="O370" s="3"/>
      <c r="P370">
        <f t="shared" si="211"/>
        <v>118.53008050410513</v>
      </c>
      <c r="Q370">
        <f t="shared" si="212"/>
        <v>791.22333347771939</v>
      </c>
      <c r="R370">
        <f t="shared" si="213"/>
        <v>0</v>
      </c>
      <c r="S370">
        <f t="shared" si="214"/>
        <v>0</v>
      </c>
      <c r="T370">
        <v>50</v>
      </c>
      <c r="U370" s="3"/>
      <c r="V370">
        <f t="shared" si="215"/>
        <v>959.75341398182456</v>
      </c>
      <c r="W370" s="3"/>
      <c r="X370">
        <f t="shared" si="216"/>
        <v>2376.8953748831668</v>
      </c>
      <c r="Y370">
        <f t="shared" si="217"/>
        <v>48.753413981824565</v>
      </c>
      <c r="AA370">
        <f t="shared" si="218"/>
        <v>5.1295450127530128E-5</v>
      </c>
    </row>
    <row r="371" spans="2:27" x14ac:dyDescent="0.35">
      <c r="B371">
        <v>333.97190293742017</v>
      </c>
      <c r="C371">
        <v>949</v>
      </c>
      <c r="D371">
        <f t="shared" si="201"/>
        <v>16.064169968386352</v>
      </c>
      <c r="E371">
        <f t="shared" si="202"/>
        <v>286.11316429302315</v>
      </c>
      <c r="F371">
        <f t="shared" si="203"/>
        <v>31.194605200747976</v>
      </c>
      <c r="G371">
        <f t="shared" si="204"/>
        <v>31.194605200747976</v>
      </c>
      <c r="H371">
        <f t="shared" si="205"/>
        <v>31.194605200747976</v>
      </c>
      <c r="I371" s="3"/>
      <c r="J371">
        <f t="shared" si="206"/>
        <v>13.464140105609511</v>
      </c>
      <c r="K371">
        <f t="shared" si="207"/>
        <v>280.47667373112216</v>
      </c>
      <c r="L371">
        <f t="shared" si="208"/>
        <v>27.867156395479395</v>
      </c>
      <c r="M371">
        <f t="shared" si="209"/>
        <v>27.867156395479395</v>
      </c>
      <c r="N371">
        <f t="shared" si="210"/>
        <v>27.867156395479395</v>
      </c>
      <c r="O371" s="3"/>
      <c r="P371">
        <f t="shared" si="211"/>
        <v>117.90070681404494</v>
      </c>
      <c r="Q371">
        <f t="shared" si="212"/>
        <v>788.99557678460189</v>
      </c>
      <c r="R371">
        <f t="shared" si="213"/>
        <v>0</v>
      </c>
      <c r="S371">
        <f t="shared" si="214"/>
        <v>0</v>
      </c>
      <c r="T371">
        <v>50</v>
      </c>
      <c r="U371" s="3"/>
      <c r="V371">
        <f t="shared" si="215"/>
        <v>956.89628359864685</v>
      </c>
      <c r="W371" s="3"/>
      <c r="X371">
        <f t="shared" si="216"/>
        <v>62.351294670259186</v>
      </c>
      <c r="Y371">
        <f t="shared" si="217"/>
        <v>7.8962835986468463</v>
      </c>
      <c r="AA371">
        <f t="shared" si="218"/>
        <v>8.3080011930697814E-6</v>
      </c>
    </row>
    <row r="372" spans="2:27" x14ac:dyDescent="0.35">
      <c r="B372">
        <v>334.92975734355048</v>
      </c>
      <c r="C372">
        <v>937</v>
      </c>
      <c r="D372">
        <f t="shared" si="201"/>
        <v>16.104002634951669</v>
      </c>
      <c r="E372">
        <f t="shared" si="202"/>
        <v>286.51041103050591</v>
      </c>
      <c r="F372">
        <f t="shared" si="203"/>
        <v>31.290390641361004</v>
      </c>
      <c r="G372">
        <f t="shared" si="204"/>
        <v>31.290390641361004</v>
      </c>
      <c r="H372">
        <f t="shared" si="205"/>
        <v>31.290390641361004</v>
      </c>
      <c r="I372" s="3"/>
      <c r="J372">
        <f t="shared" si="206"/>
        <v>13.501222405081966</v>
      </c>
      <c r="K372">
        <f t="shared" si="207"/>
        <v>280.87251016460721</v>
      </c>
      <c r="L372">
        <f t="shared" si="208"/>
        <v>27.959628993279445</v>
      </c>
      <c r="M372">
        <f t="shared" si="209"/>
        <v>27.959628993279445</v>
      </c>
      <c r="N372">
        <f t="shared" si="210"/>
        <v>27.959628993279445</v>
      </c>
      <c r="O372" s="3"/>
      <c r="P372">
        <f t="shared" si="211"/>
        <v>117.27621634556144</v>
      </c>
      <c r="Q372">
        <f t="shared" si="212"/>
        <v>786.77720443188332</v>
      </c>
      <c r="R372">
        <f t="shared" si="213"/>
        <v>0</v>
      </c>
      <c r="S372">
        <f t="shared" si="214"/>
        <v>0</v>
      </c>
      <c r="T372">
        <v>50</v>
      </c>
      <c r="U372" s="3"/>
      <c r="V372">
        <f t="shared" si="215"/>
        <v>954.05342077744479</v>
      </c>
      <c r="W372" s="3"/>
      <c r="X372">
        <f t="shared" si="216"/>
        <v>290.81916021258547</v>
      </c>
      <c r="Y372">
        <f t="shared" si="217"/>
        <v>17.053420777444785</v>
      </c>
      <c r="AA372">
        <f t="shared" si="218"/>
        <v>1.7942597729039437E-5</v>
      </c>
    </row>
    <row r="373" spans="2:27" x14ac:dyDescent="0.35">
      <c r="B373">
        <v>335.88761174968079</v>
      </c>
      <c r="C373">
        <v>935</v>
      </c>
      <c r="D373">
        <f t="shared" si="201"/>
        <v>16.143835301516983</v>
      </c>
      <c r="E373">
        <f t="shared" si="202"/>
        <v>286.90765776798872</v>
      </c>
      <c r="F373">
        <f t="shared" si="203"/>
        <v>31.386176081974032</v>
      </c>
      <c r="G373">
        <f t="shared" si="204"/>
        <v>31.386176081974032</v>
      </c>
      <c r="H373">
        <f t="shared" si="205"/>
        <v>31.386176081974032</v>
      </c>
      <c r="I373" s="3"/>
      <c r="J373">
        <f t="shared" si="206"/>
        <v>13.538311729440634</v>
      </c>
      <c r="K373">
        <f t="shared" si="207"/>
        <v>281.26834857721246</v>
      </c>
      <c r="L373">
        <f t="shared" si="208"/>
        <v>28.052112153258779</v>
      </c>
      <c r="M373">
        <f t="shared" si="209"/>
        <v>28.052112153258779</v>
      </c>
      <c r="N373">
        <f t="shared" si="210"/>
        <v>28.052112153258779</v>
      </c>
      <c r="O373" s="3"/>
      <c r="P373">
        <f t="shared" si="211"/>
        <v>116.65655960939037</v>
      </c>
      <c r="Q373">
        <f t="shared" si="212"/>
        <v>784.56816383179739</v>
      </c>
      <c r="R373">
        <f t="shared" si="213"/>
        <v>0</v>
      </c>
      <c r="S373">
        <f t="shared" si="214"/>
        <v>0</v>
      </c>
      <c r="T373">
        <v>50</v>
      </c>
      <c r="U373" s="3"/>
      <c r="V373">
        <f t="shared" si="215"/>
        <v>951.22472344118773</v>
      </c>
      <c r="W373" s="3"/>
      <c r="X373">
        <f t="shared" si="216"/>
        <v>263.24165074302675</v>
      </c>
      <c r="Y373">
        <f t="shared" si="217"/>
        <v>16.224723441187734</v>
      </c>
      <c r="AA373">
        <f t="shared" si="218"/>
        <v>1.7070691550353411E-5</v>
      </c>
    </row>
    <row r="374" spans="2:27" x14ac:dyDescent="0.35">
      <c r="B374">
        <v>336.84546615581104</v>
      </c>
      <c r="C374">
        <v>978</v>
      </c>
      <c r="D374">
        <f t="shared" si="201"/>
        <v>16.183667968082297</v>
      </c>
      <c r="E374">
        <f t="shared" si="202"/>
        <v>287.30490450547148</v>
      </c>
      <c r="F374">
        <f t="shared" si="203"/>
        <v>31.48196152258706</v>
      </c>
      <c r="G374">
        <f t="shared" si="204"/>
        <v>31.48196152258706</v>
      </c>
      <c r="H374">
        <f t="shared" si="205"/>
        <v>31.48196152258706</v>
      </c>
      <c r="I374" s="3"/>
      <c r="J374">
        <f t="shared" si="206"/>
        <v>13.575408044208794</v>
      </c>
      <c r="K374">
        <f t="shared" si="207"/>
        <v>281.66418896340076</v>
      </c>
      <c r="L374">
        <f t="shared" si="208"/>
        <v>28.144605809472733</v>
      </c>
      <c r="M374">
        <f t="shared" si="209"/>
        <v>28.144605809472733</v>
      </c>
      <c r="N374">
        <f t="shared" si="210"/>
        <v>28.144605809472733</v>
      </c>
      <c r="O374" s="3"/>
      <c r="P374">
        <f t="shared" si="211"/>
        <v>116.04168773246772</v>
      </c>
      <c r="Q374">
        <f t="shared" si="212"/>
        <v>782.36840276416558</v>
      </c>
      <c r="R374">
        <f t="shared" si="213"/>
        <v>0</v>
      </c>
      <c r="S374">
        <f t="shared" si="214"/>
        <v>0</v>
      </c>
      <c r="T374">
        <v>50</v>
      </c>
      <c r="U374" s="3"/>
      <c r="V374">
        <f t="shared" si="215"/>
        <v>948.4100904966333</v>
      </c>
      <c r="W374" s="3"/>
      <c r="X374">
        <f t="shared" si="216"/>
        <v>875.56274441743085</v>
      </c>
      <c r="Y374">
        <f t="shared" si="217"/>
        <v>29.589909503366698</v>
      </c>
      <c r="AA374">
        <f t="shared" si="218"/>
        <v>3.1132747498953149E-5</v>
      </c>
    </row>
    <row r="375" spans="2:27" x14ac:dyDescent="0.35">
      <c r="B375">
        <v>338.12260536398469</v>
      </c>
      <c r="C375">
        <v>954</v>
      </c>
      <c r="D375">
        <f t="shared" si="201"/>
        <v>16.236778190169382</v>
      </c>
      <c r="E375">
        <f t="shared" si="202"/>
        <v>287.83456682211511</v>
      </c>
      <c r="F375">
        <f t="shared" si="203"/>
        <v>31.609675443404424</v>
      </c>
      <c r="G375">
        <f t="shared" si="204"/>
        <v>31.609675443404424</v>
      </c>
      <c r="H375">
        <f t="shared" si="205"/>
        <v>31.609675443404424</v>
      </c>
      <c r="I375" s="3"/>
      <c r="J375">
        <f t="shared" si="206"/>
        <v>13.62488061207498</v>
      </c>
      <c r="K375">
        <f t="shared" si="207"/>
        <v>282.1919792054764</v>
      </c>
      <c r="L375">
        <f t="shared" si="208"/>
        <v>28.267946899059964</v>
      </c>
      <c r="M375">
        <f t="shared" si="209"/>
        <v>28.267946899059964</v>
      </c>
      <c r="N375">
        <f t="shared" si="210"/>
        <v>28.267946899059964</v>
      </c>
      <c r="O375" s="3"/>
      <c r="P375">
        <f t="shared" si="211"/>
        <v>115.22921834135784</v>
      </c>
      <c r="Q375">
        <f t="shared" si="212"/>
        <v>779.44973326062313</v>
      </c>
      <c r="R375">
        <f t="shared" si="213"/>
        <v>0</v>
      </c>
      <c r="S375">
        <f t="shared" si="214"/>
        <v>0</v>
      </c>
      <c r="T375">
        <v>50</v>
      </c>
      <c r="U375" s="3"/>
      <c r="V375">
        <f t="shared" si="215"/>
        <v>944.678951601981</v>
      </c>
      <c r="W375" s="3"/>
      <c r="X375">
        <f t="shared" si="216"/>
        <v>86.8819432382126</v>
      </c>
      <c r="Y375">
        <f t="shared" si="217"/>
        <v>9.321048398019002</v>
      </c>
      <c r="AA375">
        <f t="shared" si="218"/>
        <v>9.8070541975814401E-6</v>
      </c>
    </row>
    <row r="376" spans="2:27" x14ac:dyDescent="0.35">
      <c r="B376">
        <v>339.08045977011506</v>
      </c>
      <c r="C376">
        <v>936</v>
      </c>
      <c r="D376">
        <f t="shared" si="201"/>
        <v>16.276610856734699</v>
      </c>
      <c r="E376">
        <f t="shared" si="202"/>
        <v>288.23181355959798</v>
      </c>
      <c r="F376">
        <f t="shared" si="203"/>
        <v>31.705460884017459</v>
      </c>
      <c r="G376">
        <f t="shared" si="204"/>
        <v>31.705460884017459</v>
      </c>
      <c r="H376">
        <f t="shared" si="205"/>
        <v>31.705460884017459</v>
      </c>
      <c r="I376" s="3"/>
      <c r="J376">
        <f t="shared" si="206"/>
        <v>13.661993105102214</v>
      </c>
      <c r="K376">
        <f t="shared" si="207"/>
        <v>282.58782417528886</v>
      </c>
      <c r="L376">
        <f t="shared" si="208"/>
        <v>28.360464793438517</v>
      </c>
      <c r="M376">
        <f t="shared" si="209"/>
        <v>28.360464793438517</v>
      </c>
      <c r="N376">
        <f t="shared" si="210"/>
        <v>28.360464793438517</v>
      </c>
      <c r="O376" s="3"/>
      <c r="P376">
        <f t="shared" si="211"/>
        <v>114.6253244678589</v>
      </c>
      <c r="Q376">
        <f t="shared" si="212"/>
        <v>777.27142339876332</v>
      </c>
      <c r="R376">
        <f t="shared" si="213"/>
        <v>0</v>
      </c>
      <c r="S376">
        <f t="shared" si="214"/>
        <v>0</v>
      </c>
      <c r="T376">
        <v>50</v>
      </c>
      <c r="U376" s="3"/>
      <c r="V376">
        <f t="shared" si="215"/>
        <v>941.89674786662226</v>
      </c>
      <c r="W376" s="3"/>
      <c r="X376">
        <f t="shared" si="216"/>
        <v>34.771635402514214</v>
      </c>
      <c r="Y376">
        <f t="shared" si="217"/>
        <v>5.8967478666222632</v>
      </c>
      <c r="AA376">
        <f t="shared" si="218"/>
        <v>6.2042083087700519E-6</v>
      </c>
    </row>
    <row r="377" spans="2:27" x14ac:dyDescent="0.35">
      <c r="B377">
        <v>340.03831417624525</v>
      </c>
      <c r="C377">
        <v>896</v>
      </c>
      <c r="D377">
        <f t="shared" si="201"/>
        <v>16.316443523300009</v>
      </c>
      <c r="E377">
        <f t="shared" si="202"/>
        <v>288.62906029708068</v>
      </c>
      <c r="F377">
        <f t="shared" si="203"/>
        <v>31.80124632463048</v>
      </c>
      <c r="G377">
        <f t="shared" si="204"/>
        <v>31.80124632463048</v>
      </c>
      <c r="H377">
        <f t="shared" si="205"/>
        <v>31.80124632463048</v>
      </c>
      <c r="I377" s="3"/>
      <c r="J377">
        <f t="shared" si="206"/>
        <v>13.699112475383174</v>
      </c>
      <c r="K377">
        <f t="shared" si="207"/>
        <v>282.98367110039402</v>
      </c>
      <c r="L377">
        <f t="shared" si="208"/>
        <v>28.452992968586578</v>
      </c>
      <c r="M377">
        <f t="shared" si="209"/>
        <v>28.452992968586578</v>
      </c>
      <c r="N377">
        <f t="shared" si="210"/>
        <v>28.452992968586578</v>
      </c>
      <c r="O377" s="3"/>
      <c r="P377">
        <f t="shared" si="211"/>
        <v>114.02605687844162</v>
      </c>
      <c r="Q377">
        <f t="shared" si="212"/>
        <v>775.10222161760566</v>
      </c>
      <c r="R377">
        <f t="shared" si="213"/>
        <v>0</v>
      </c>
      <c r="S377">
        <f t="shared" si="214"/>
        <v>0</v>
      </c>
      <c r="T377">
        <v>50</v>
      </c>
      <c r="U377" s="3"/>
      <c r="V377">
        <f t="shared" si="215"/>
        <v>939.1282784960473</v>
      </c>
      <c r="W377" s="3"/>
      <c r="X377">
        <f t="shared" si="216"/>
        <v>1860.048406032616</v>
      </c>
      <c r="Y377">
        <f t="shared" si="217"/>
        <v>43.128278496047301</v>
      </c>
      <c r="AA377">
        <f t="shared" si="218"/>
        <v>4.5377016253773971E-5</v>
      </c>
    </row>
    <row r="378" spans="2:27" x14ac:dyDescent="0.35">
      <c r="B378">
        <v>340.9961685823755</v>
      </c>
      <c r="C378">
        <v>901</v>
      </c>
      <c r="D378">
        <f t="shared" si="201"/>
        <v>16.356276189865323</v>
      </c>
      <c r="E378">
        <f t="shared" si="202"/>
        <v>289.02630703456344</v>
      </c>
      <c r="F378">
        <f t="shared" si="203"/>
        <v>31.897031765243508</v>
      </c>
      <c r="G378">
        <f t="shared" si="204"/>
        <v>31.897031765243508</v>
      </c>
      <c r="H378">
        <f t="shared" si="205"/>
        <v>31.897031765243508</v>
      </c>
      <c r="I378" s="3"/>
      <c r="J378">
        <f t="shared" si="206"/>
        <v>13.736238689492438</v>
      </c>
      <c r="K378">
        <f t="shared" si="207"/>
        <v>283.37951997535441</v>
      </c>
      <c r="L378">
        <f t="shared" si="208"/>
        <v>28.54553136114183</v>
      </c>
      <c r="M378">
        <f t="shared" si="209"/>
        <v>28.54553136114183</v>
      </c>
      <c r="N378">
        <f t="shared" si="210"/>
        <v>28.54553136114183</v>
      </c>
      <c r="O378" s="3"/>
      <c r="P378">
        <f t="shared" si="211"/>
        <v>113.43136926740208</v>
      </c>
      <c r="Q378">
        <f t="shared" si="212"/>
        <v>772.94207725467174</v>
      </c>
      <c r="R378">
        <f t="shared" si="213"/>
        <v>0</v>
      </c>
      <c r="S378">
        <f t="shared" si="214"/>
        <v>0</v>
      </c>
      <c r="T378">
        <v>50</v>
      </c>
      <c r="U378" s="3"/>
      <c r="V378">
        <f t="shared" si="215"/>
        <v>936.37344652207378</v>
      </c>
      <c r="W378" s="3"/>
      <c r="X378">
        <f t="shared" si="216"/>
        <v>1251.2807188500135</v>
      </c>
      <c r="Y378">
        <f t="shared" si="217"/>
        <v>35.373446522073777</v>
      </c>
      <c r="AA378">
        <f t="shared" si="218"/>
        <v>3.7217842069241348E-5</v>
      </c>
    </row>
    <row r="379" spans="2:27" x14ac:dyDescent="0.35">
      <c r="B379">
        <v>341.95402298850576</v>
      </c>
      <c r="C379">
        <v>906</v>
      </c>
      <c r="D379">
        <f t="shared" si="201"/>
        <v>16.396108856430633</v>
      </c>
      <c r="E379">
        <f t="shared" si="202"/>
        <v>289.4235537720462</v>
      </c>
      <c r="F379">
        <f t="shared" si="203"/>
        <v>31.992817205856529</v>
      </c>
      <c r="G379">
        <f t="shared" si="204"/>
        <v>31.992817205856529</v>
      </c>
      <c r="H379">
        <f t="shared" si="205"/>
        <v>31.992817205856529</v>
      </c>
      <c r="I379" s="3"/>
      <c r="J379">
        <f t="shared" si="206"/>
        <v>13.773371714241225</v>
      </c>
      <c r="K379">
        <f t="shared" si="207"/>
        <v>283.77537079475513</v>
      </c>
      <c r="L379">
        <f t="shared" si="208"/>
        <v>28.638079908318822</v>
      </c>
      <c r="M379">
        <f t="shared" si="209"/>
        <v>28.638079908318822</v>
      </c>
      <c r="N379">
        <f t="shared" si="210"/>
        <v>28.638079908318822</v>
      </c>
      <c r="O379" s="3"/>
      <c r="P379">
        <f t="shared" si="211"/>
        <v>112.84121589860899</v>
      </c>
      <c r="Q379">
        <f t="shared" si="212"/>
        <v>770.79093999900283</v>
      </c>
      <c r="R379">
        <f t="shared" si="213"/>
        <v>0</v>
      </c>
      <c r="S379">
        <f t="shared" si="214"/>
        <v>0</v>
      </c>
      <c r="T379">
        <v>50</v>
      </c>
      <c r="U379" s="3"/>
      <c r="V379">
        <f t="shared" si="215"/>
        <v>933.63215589761182</v>
      </c>
      <c r="W379" s="3"/>
      <c r="X379">
        <f t="shared" si="216"/>
        <v>763.53603954992388</v>
      </c>
      <c r="Y379">
        <f t="shared" si="217"/>
        <v>27.632155897611824</v>
      </c>
      <c r="AA379">
        <f t="shared" si="218"/>
        <v>2.9072915289388713E-5</v>
      </c>
    </row>
    <row r="380" spans="2:27" x14ac:dyDescent="0.35">
      <c r="B380">
        <v>342.91187739463601</v>
      </c>
      <c r="C380">
        <v>933</v>
      </c>
      <c r="D380">
        <f t="shared" si="201"/>
        <v>16.435941522995947</v>
      </c>
      <c r="E380">
        <f t="shared" si="202"/>
        <v>289.82080050952896</v>
      </c>
      <c r="F380">
        <f t="shared" si="203"/>
        <v>32.088602646469553</v>
      </c>
      <c r="G380">
        <f t="shared" si="204"/>
        <v>32.088602646469553</v>
      </c>
      <c r="H380">
        <f t="shared" si="205"/>
        <v>32.088602646469553</v>
      </c>
      <c r="I380" s="3"/>
      <c r="J380">
        <f t="shared" si="206"/>
        <v>13.810511516675232</v>
      </c>
      <c r="K380">
        <f t="shared" si="207"/>
        <v>284.17122355320362</v>
      </c>
      <c r="L380">
        <f t="shared" si="208"/>
        <v>28.730638547902092</v>
      </c>
      <c r="M380">
        <f t="shared" si="209"/>
        <v>28.730638547902092</v>
      </c>
      <c r="N380">
        <f t="shared" si="210"/>
        <v>28.730638547902092</v>
      </c>
      <c r="O380" s="3"/>
      <c r="P380">
        <f t="shared" si="211"/>
        <v>112.25555159722082</v>
      </c>
      <c r="Q380">
        <f t="shared" si="212"/>
        <v>768.6487598882369</v>
      </c>
      <c r="R380">
        <f t="shared" si="213"/>
        <v>0</v>
      </c>
      <c r="S380">
        <f t="shared" si="214"/>
        <v>0</v>
      </c>
      <c r="T380">
        <v>50</v>
      </c>
      <c r="U380" s="3"/>
      <c r="V380">
        <f t="shared" si="215"/>
        <v>930.9043114854577</v>
      </c>
      <c r="W380" s="3"/>
      <c r="X380">
        <f t="shared" si="216"/>
        <v>4.3919103499845242</v>
      </c>
      <c r="Y380">
        <f t="shared" si="217"/>
        <v>2.095688514542303</v>
      </c>
      <c r="AA380">
        <f t="shared" si="218"/>
        <v>2.2049591382588815E-6</v>
      </c>
    </row>
    <row r="381" spans="2:27" x14ac:dyDescent="0.35">
      <c r="B381">
        <v>343.86973180076637</v>
      </c>
      <c r="C381">
        <v>910</v>
      </c>
      <c r="D381">
        <f t="shared" si="201"/>
        <v>16.475774189561264</v>
      </c>
      <c r="E381">
        <f t="shared" si="202"/>
        <v>290.21804724701178</v>
      </c>
      <c r="F381">
        <f t="shared" si="203"/>
        <v>32.184388087082588</v>
      </c>
      <c r="G381">
        <f t="shared" si="204"/>
        <v>32.184388087082588</v>
      </c>
      <c r="H381">
        <f t="shared" si="205"/>
        <v>32.184388087082588</v>
      </c>
      <c r="I381" s="3"/>
      <c r="J381">
        <f t="shared" si="206"/>
        <v>13.847658064072476</v>
      </c>
      <c r="K381">
        <f t="shared" si="207"/>
        <v>284.56707824532992</v>
      </c>
      <c r="L381">
        <f t="shared" si="208"/>
        <v>28.823207218239325</v>
      </c>
      <c r="M381">
        <f t="shared" si="209"/>
        <v>28.823207218239325</v>
      </c>
      <c r="N381">
        <f t="shared" si="210"/>
        <v>28.823207218239325</v>
      </c>
      <c r="O381" s="3"/>
      <c r="P381">
        <f t="shared" si="211"/>
        <v>111.67433174154186</v>
      </c>
      <c r="Q381">
        <f t="shared" si="212"/>
        <v>766.51548730571506</v>
      </c>
      <c r="R381">
        <f t="shared" si="213"/>
        <v>0</v>
      </c>
      <c r="S381">
        <f t="shared" si="214"/>
        <v>0</v>
      </c>
      <c r="T381">
        <v>50</v>
      </c>
      <c r="U381" s="3"/>
      <c r="V381">
        <f t="shared" si="215"/>
        <v>928.18981904725695</v>
      </c>
      <c r="W381" s="3"/>
      <c r="X381">
        <f t="shared" si="216"/>
        <v>330.86951697195161</v>
      </c>
      <c r="Y381">
        <f t="shared" si="217"/>
        <v>18.189819047256947</v>
      </c>
      <c r="AA381">
        <f t="shared" si="218"/>
        <v>1.9138248577119384E-5</v>
      </c>
    </row>
    <row r="382" spans="2:27" x14ac:dyDescent="0.35">
      <c r="B382">
        <v>345.14687100893997</v>
      </c>
      <c r="C382">
        <v>905</v>
      </c>
      <c r="D382">
        <f t="shared" si="201"/>
        <v>16.528884411648345</v>
      </c>
      <c r="E382">
        <f t="shared" si="202"/>
        <v>290.74770956365541</v>
      </c>
      <c r="F382">
        <f t="shared" si="203"/>
        <v>32.312102007899952</v>
      </c>
      <c r="G382">
        <f t="shared" si="204"/>
        <v>32.312102007899952</v>
      </c>
      <c r="H382">
        <f t="shared" si="205"/>
        <v>32.312102007899952</v>
      </c>
      <c r="I382" s="3"/>
      <c r="J382">
        <f t="shared" si="206"/>
        <v>13.897197229974715</v>
      </c>
      <c r="K382">
        <f t="shared" si="207"/>
        <v>285.09488750020131</v>
      </c>
      <c r="L382">
        <f t="shared" si="208"/>
        <v>28.946647609898854</v>
      </c>
      <c r="M382">
        <f t="shared" si="209"/>
        <v>28.946647609898854</v>
      </c>
      <c r="N382">
        <f t="shared" si="210"/>
        <v>28.946647609898854</v>
      </c>
      <c r="O382" s="3"/>
      <c r="P382">
        <f t="shared" si="211"/>
        <v>110.90620941201288</v>
      </c>
      <c r="Q382">
        <f t="shared" si="212"/>
        <v>763.68489490180104</v>
      </c>
      <c r="R382">
        <f t="shared" si="213"/>
        <v>0</v>
      </c>
      <c r="S382">
        <f t="shared" si="214"/>
        <v>0</v>
      </c>
      <c r="T382">
        <v>50</v>
      </c>
      <c r="U382" s="3"/>
      <c r="V382">
        <f t="shared" si="215"/>
        <v>924.59110431381396</v>
      </c>
      <c r="W382" s="3"/>
      <c r="X382">
        <f t="shared" si="216"/>
        <v>383.81136823473986</v>
      </c>
      <c r="Y382">
        <f t="shared" si="217"/>
        <v>19.591104313813958</v>
      </c>
      <c r="AA382">
        <f t="shared" si="218"/>
        <v>2.0612597810014434E-5</v>
      </c>
    </row>
    <row r="383" spans="2:27" x14ac:dyDescent="0.35">
      <c r="B383">
        <v>346.10472541507028</v>
      </c>
      <c r="C383">
        <v>965</v>
      </c>
      <c r="D383">
        <f t="shared" si="201"/>
        <v>16.568717078213663</v>
      </c>
      <c r="E383">
        <f t="shared" si="202"/>
        <v>291.14495630113822</v>
      </c>
      <c r="F383">
        <f t="shared" si="203"/>
        <v>32.40788744851298</v>
      </c>
      <c r="G383">
        <f t="shared" si="204"/>
        <v>32.40788744851298</v>
      </c>
      <c r="H383">
        <f t="shared" si="205"/>
        <v>32.40788744851298</v>
      </c>
      <c r="I383" s="3"/>
      <c r="J383">
        <f t="shared" si="206"/>
        <v>13.93435938965642</v>
      </c>
      <c r="K383">
        <f t="shared" si="207"/>
        <v>285.49074668348339</v>
      </c>
      <c r="L383">
        <f t="shared" si="208"/>
        <v>29.039239448682988</v>
      </c>
      <c r="M383">
        <f t="shared" si="209"/>
        <v>29.039239448682988</v>
      </c>
      <c r="N383">
        <f t="shared" si="210"/>
        <v>29.039239448682988</v>
      </c>
      <c r="O383" s="3"/>
      <c r="P383">
        <f t="shared" si="211"/>
        <v>110.33518944830601</v>
      </c>
      <c r="Q383">
        <f t="shared" si="212"/>
        <v>761.57221551869657</v>
      </c>
      <c r="R383">
        <f t="shared" si="213"/>
        <v>0</v>
      </c>
      <c r="S383">
        <f t="shared" si="214"/>
        <v>0</v>
      </c>
      <c r="T383">
        <v>50</v>
      </c>
      <c r="U383" s="3"/>
      <c r="V383">
        <f t="shared" si="215"/>
        <v>921.90740496700255</v>
      </c>
      <c r="W383" s="3"/>
      <c r="X383">
        <f t="shared" si="216"/>
        <v>1856.9717466779166</v>
      </c>
      <c r="Y383">
        <f t="shared" si="217"/>
        <v>43.092595032997451</v>
      </c>
      <c r="AA383">
        <f t="shared" si="218"/>
        <v>4.5339472230704458E-5</v>
      </c>
    </row>
    <row r="384" spans="2:27" x14ac:dyDescent="0.35">
      <c r="B384">
        <v>347.06257982120059</v>
      </c>
      <c r="C384">
        <v>885</v>
      </c>
      <c r="D384">
        <f t="shared" si="201"/>
        <v>16.608549744778976</v>
      </c>
      <c r="E384">
        <f t="shared" si="202"/>
        <v>291.54220303862098</v>
      </c>
      <c r="F384">
        <f t="shared" si="203"/>
        <v>32.503672889126008</v>
      </c>
      <c r="G384">
        <f t="shared" si="204"/>
        <v>32.503672889126008</v>
      </c>
      <c r="H384">
        <f t="shared" si="205"/>
        <v>32.503672889126008</v>
      </c>
      <c r="I384" s="3"/>
      <c r="J384">
        <f t="shared" si="206"/>
        <v>13.971528186878739</v>
      </c>
      <c r="K384">
        <f t="shared" si="207"/>
        <v>285.88660778270287</v>
      </c>
      <c r="L384">
        <f t="shared" si="208"/>
        <v>29.131841116695167</v>
      </c>
      <c r="M384">
        <f t="shared" si="209"/>
        <v>29.131841116695167</v>
      </c>
      <c r="N384">
        <f t="shared" si="210"/>
        <v>29.131841116695167</v>
      </c>
      <c r="O384" s="3"/>
      <c r="P384">
        <f t="shared" si="211"/>
        <v>109.76846908444244</v>
      </c>
      <c r="Q384">
        <f t="shared" si="212"/>
        <v>759.4682807351528</v>
      </c>
      <c r="R384">
        <f t="shared" si="213"/>
        <v>0</v>
      </c>
      <c r="S384">
        <f t="shared" si="214"/>
        <v>0</v>
      </c>
      <c r="T384">
        <v>50</v>
      </c>
      <c r="U384" s="3"/>
      <c r="V384">
        <f t="shared" si="215"/>
        <v>919.23674981959527</v>
      </c>
      <c r="W384" s="3"/>
      <c r="X384">
        <f t="shared" si="216"/>
        <v>1172.155038209557</v>
      </c>
      <c r="Y384">
        <f t="shared" si="217"/>
        <v>34.236749819595275</v>
      </c>
      <c r="AA384">
        <f t="shared" si="218"/>
        <v>3.6021877228012974E-5</v>
      </c>
    </row>
    <row r="385" spans="2:27" x14ac:dyDescent="0.35">
      <c r="B385">
        <v>348.02043422733084</v>
      </c>
      <c r="C385">
        <v>882</v>
      </c>
      <c r="D385">
        <f t="shared" si="201"/>
        <v>16.64838241134429</v>
      </c>
      <c r="E385">
        <f t="shared" si="202"/>
        <v>291.93944977610374</v>
      </c>
      <c r="F385">
        <f t="shared" si="203"/>
        <v>32.599458329739036</v>
      </c>
      <c r="G385">
        <f t="shared" si="204"/>
        <v>32.599458329739036</v>
      </c>
      <c r="H385">
        <f t="shared" si="205"/>
        <v>32.599458329739036</v>
      </c>
      <c r="I385" s="3"/>
      <c r="J385">
        <f t="shared" si="206"/>
        <v>14.008703589902085</v>
      </c>
      <c r="K385">
        <f t="shared" si="207"/>
        <v>286.28247079258529</v>
      </c>
      <c r="L385">
        <f t="shared" si="208"/>
        <v>29.224452554647126</v>
      </c>
      <c r="M385">
        <f t="shared" si="209"/>
        <v>29.224452554647126</v>
      </c>
      <c r="N385">
        <f t="shared" si="210"/>
        <v>29.224452554647126</v>
      </c>
      <c r="O385" s="3"/>
      <c r="P385">
        <f t="shared" si="211"/>
        <v>109.20600600485099</v>
      </c>
      <c r="Q385">
        <f t="shared" si="212"/>
        <v>757.3730423998104</v>
      </c>
      <c r="R385">
        <f t="shared" si="213"/>
        <v>0</v>
      </c>
      <c r="S385">
        <f t="shared" si="214"/>
        <v>0</v>
      </c>
      <c r="T385">
        <v>50</v>
      </c>
      <c r="U385" s="3"/>
      <c r="V385">
        <f t="shared" si="215"/>
        <v>916.57904840466142</v>
      </c>
      <c r="W385" s="3"/>
      <c r="X385">
        <f t="shared" si="216"/>
        <v>1195.7105885719175</v>
      </c>
      <c r="Y385">
        <f t="shared" si="217"/>
        <v>34.579048404661421</v>
      </c>
      <c r="AA385">
        <f t="shared" si="218"/>
        <v>3.6382023493985862E-5</v>
      </c>
    </row>
    <row r="386" spans="2:27" x14ac:dyDescent="0.35">
      <c r="B386">
        <v>348.97828863346109</v>
      </c>
      <c r="C386">
        <v>881</v>
      </c>
      <c r="D386">
        <f t="shared" si="201"/>
        <v>16.688215077909604</v>
      </c>
      <c r="E386">
        <f t="shared" si="202"/>
        <v>292.3366965135865</v>
      </c>
      <c r="F386">
        <f t="shared" si="203"/>
        <v>32.695243770352064</v>
      </c>
      <c r="G386">
        <f t="shared" si="204"/>
        <v>32.695243770352064</v>
      </c>
      <c r="H386">
        <f t="shared" si="205"/>
        <v>32.695243770352064</v>
      </c>
      <c r="I386" s="3"/>
      <c r="J386">
        <f t="shared" si="206"/>
        <v>14.045885567208092</v>
      </c>
      <c r="K386">
        <f t="shared" si="207"/>
        <v>286.67833570787781</v>
      </c>
      <c r="L386">
        <f t="shared" si="208"/>
        <v>29.317073703779073</v>
      </c>
      <c r="M386">
        <f t="shared" si="209"/>
        <v>29.317073703779073</v>
      </c>
      <c r="N386">
        <f t="shared" si="210"/>
        <v>29.317073703779073</v>
      </c>
      <c r="O386" s="3"/>
      <c r="P386">
        <f t="shared" si="211"/>
        <v>108.64775840590784</v>
      </c>
      <c r="Q386">
        <f t="shared" si="212"/>
        <v>755.28645269205231</v>
      </c>
      <c r="R386">
        <f t="shared" si="213"/>
        <v>0</v>
      </c>
      <c r="S386">
        <f t="shared" si="214"/>
        <v>0</v>
      </c>
      <c r="T386">
        <v>50</v>
      </c>
      <c r="U386" s="3"/>
      <c r="V386">
        <f t="shared" si="215"/>
        <v>913.93421109796009</v>
      </c>
      <c r="W386" s="3"/>
      <c r="X386">
        <f t="shared" si="216"/>
        <v>1084.6622606449973</v>
      </c>
      <c r="Y386">
        <f t="shared" si="217"/>
        <v>32.934211097960087</v>
      </c>
      <c r="AA386">
        <f t="shared" si="218"/>
        <v>3.4651423252016067E-5</v>
      </c>
    </row>
    <row r="387" spans="2:27" x14ac:dyDescent="0.35">
      <c r="B387">
        <v>349.93614303959129</v>
      </c>
      <c r="C387">
        <v>942</v>
      </c>
      <c r="D387">
        <f t="shared" si="201"/>
        <v>16.728047744474914</v>
      </c>
      <c r="E387">
        <f t="shared" si="202"/>
        <v>292.73394325106921</v>
      </c>
      <c r="F387">
        <f t="shared" si="203"/>
        <v>32.791029210965078</v>
      </c>
      <c r="G387">
        <f t="shared" si="204"/>
        <v>32.791029210965078</v>
      </c>
      <c r="H387">
        <f t="shared" si="205"/>
        <v>32.791029210965078</v>
      </c>
      <c r="I387" s="3"/>
      <c r="J387">
        <f t="shared" si="206"/>
        <v>14.083074087497605</v>
      </c>
      <c r="K387">
        <f t="shared" si="207"/>
        <v>287.07420252334919</v>
      </c>
      <c r="L387">
        <f t="shared" si="208"/>
        <v>29.409704505853476</v>
      </c>
      <c r="M387">
        <f t="shared" si="209"/>
        <v>29.409704505853476</v>
      </c>
      <c r="N387">
        <f t="shared" si="210"/>
        <v>29.409704505853476</v>
      </c>
      <c r="O387" s="3"/>
      <c r="P387">
        <f t="shared" si="211"/>
        <v>108.09368498861218</v>
      </c>
      <c r="Q387">
        <f t="shared" si="212"/>
        <v>753.20846411928085</v>
      </c>
      <c r="R387">
        <f t="shared" si="213"/>
        <v>0</v>
      </c>
      <c r="S387">
        <f t="shared" si="214"/>
        <v>0</v>
      </c>
      <c r="T387">
        <v>50</v>
      </c>
      <c r="U387" s="3"/>
      <c r="V387">
        <f t="shared" si="215"/>
        <v>911.302149107893</v>
      </c>
      <c r="W387" s="3"/>
      <c r="X387">
        <f t="shared" si="216"/>
        <v>942.35804939403442</v>
      </c>
      <c r="Y387">
        <f t="shared" si="217"/>
        <v>30.697850892106999</v>
      </c>
      <c r="AA387">
        <f t="shared" si="218"/>
        <v>3.2298457704838258E-5</v>
      </c>
    </row>
    <row r="388" spans="2:27" x14ac:dyDescent="0.35">
      <c r="B388">
        <v>351.21328224776505</v>
      </c>
      <c r="C388">
        <v>961</v>
      </c>
      <c r="D388">
        <f t="shared" si="201"/>
        <v>16.781157966562002</v>
      </c>
      <c r="E388">
        <f t="shared" si="202"/>
        <v>293.26360556771294</v>
      </c>
      <c r="F388">
        <f t="shared" si="203"/>
        <v>32.918743131782456</v>
      </c>
      <c r="G388">
        <f t="shared" si="204"/>
        <v>32.918743131782456</v>
      </c>
      <c r="H388">
        <f t="shared" si="205"/>
        <v>32.918743131782456</v>
      </c>
      <c r="I388" s="3"/>
      <c r="J388">
        <f t="shared" si="206"/>
        <v>14.132668905500534</v>
      </c>
      <c r="K388">
        <f t="shared" si="207"/>
        <v>287.60202789081023</v>
      </c>
      <c r="L388">
        <f t="shared" si="208"/>
        <v>29.533227157949291</v>
      </c>
      <c r="M388">
        <f t="shared" si="209"/>
        <v>29.533227157949291</v>
      </c>
      <c r="N388">
        <f t="shared" si="210"/>
        <v>29.533227157949291</v>
      </c>
      <c r="O388" s="3"/>
      <c r="P388">
        <f t="shared" si="211"/>
        <v>107.36134315317527</v>
      </c>
      <c r="Q388">
        <f t="shared" si="212"/>
        <v>750.45111075507384</v>
      </c>
      <c r="R388">
        <f t="shared" si="213"/>
        <v>0</v>
      </c>
      <c r="S388">
        <f t="shared" si="214"/>
        <v>0</v>
      </c>
      <c r="T388">
        <v>50</v>
      </c>
      <c r="U388" s="3"/>
      <c r="V388">
        <f t="shared" si="215"/>
        <v>907.81245390824915</v>
      </c>
      <c r="W388" s="3"/>
      <c r="X388">
        <f t="shared" si="216"/>
        <v>2828.9150592621208</v>
      </c>
      <c r="Y388">
        <f t="shared" si="217"/>
        <v>53.187546091750846</v>
      </c>
      <c r="AA388">
        <f t="shared" si="218"/>
        <v>5.5960780899820203E-5</v>
      </c>
    </row>
    <row r="389" spans="2:27" x14ac:dyDescent="0.35">
      <c r="B389">
        <v>352.1711366538953</v>
      </c>
      <c r="C389">
        <v>920</v>
      </c>
      <c r="D389">
        <f t="shared" si="201"/>
        <v>16.820990633127312</v>
      </c>
      <c r="E389">
        <f t="shared" si="202"/>
        <v>293.6608523051957</v>
      </c>
      <c r="F389">
        <f t="shared" si="203"/>
        <v>33.014528572395484</v>
      </c>
      <c r="G389">
        <f t="shared" si="204"/>
        <v>33.014528572395484</v>
      </c>
      <c r="H389">
        <f t="shared" si="205"/>
        <v>33.014528572395484</v>
      </c>
      <c r="I389" s="3"/>
      <c r="J389">
        <f t="shared" si="206"/>
        <v>14.169872572249261</v>
      </c>
      <c r="K389">
        <f t="shared" si="207"/>
        <v>287.99789911980923</v>
      </c>
      <c r="L389">
        <f t="shared" si="208"/>
        <v>29.625880259965079</v>
      </c>
      <c r="M389">
        <f t="shared" si="209"/>
        <v>29.625880259965079</v>
      </c>
      <c r="N389">
        <f t="shared" si="210"/>
        <v>29.625880259965079</v>
      </c>
      <c r="O389" s="3"/>
      <c r="P389">
        <f t="shared" si="211"/>
        <v>106.81685166672251</v>
      </c>
      <c r="Q389">
        <f t="shared" si="212"/>
        <v>748.39300862628545</v>
      </c>
      <c r="R389">
        <f t="shared" si="213"/>
        <v>0</v>
      </c>
      <c r="S389">
        <f t="shared" si="214"/>
        <v>0</v>
      </c>
      <c r="T389">
        <v>50</v>
      </c>
      <c r="U389" s="3"/>
      <c r="V389">
        <f t="shared" si="215"/>
        <v>905.20986029300798</v>
      </c>
      <c r="W389" s="3"/>
      <c r="X389">
        <f t="shared" si="216"/>
        <v>218.74823255234205</v>
      </c>
      <c r="Y389">
        <f t="shared" si="217"/>
        <v>14.790139706992022</v>
      </c>
      <c r="AA389">
        <f t="shared" si="218"/>
        <v>1.5561307645081962E-5</v>
      </c>
    </row>
    <row r="390" spans="2:27" x14ac:dyDescent="0.35">
      <c r="B390">
        <v>353.12899106002556</v>
      </c>
      <c r="C390">
        <v>926</v>
      </c>
      <c r="D390">
        <f t="shared" si="201"/>
        <v>16.860823299692626</v>
      </c>
      <c r="E390">
        <f t="shared" si="202"/>
        <v>294.05809904267846</v>
      </c>
      <c r="F390">
        <f t="shared" si="203"/>
        <v>33.110314013008505</v>
      </c>
      <c r="G390">
        <f t="shared" si="204"/>
        <v>33.110314013008505</v>
      </c>
      <c r="H390">
        <f t="shared" si="205"/>
        <v>33.110314013008505</v>
      </c>
      <c r="I390" s="3"/>
      <c r="J390">
        <f t="shared" si="206"/>
        <v>14.20708267920894</v>
      </c>
      <c r="K390">
        <f t="shared" si="207"/>
        <v>288.39377223170436</v>
      </c>
      <c r="L390">
        <f t="shared" si="208"/>
        <v>29.718542824492442</v>
      </c>
      <c r="M390">
        <f t="shared" si="209"/>
        <v>29.718542824492442</v>
      </c>
      <c r="N390">
        <f t="shared" si="210"/>
        <v>29.718542824492442</v>
      </c>
      <c r="O390" s="3"/>
      <c r="P390">
        <f t="shared" si="211"/>
        <v>106.2764002514679</v>
      </c>
      <c r="Q390">
        <f t="shared" si="212"/>
        <v>746.34335165845062</v>
      </c>
      <c r="R390">
        <f t="shared" si="213"/>
        <v>0</v>
      </c>
      <c r="S390">
        <f t="shared" si="214"/>
        <v>0</v>
      </c>
      <c r="T390">
        <v>50</v>
      </c>
      <c r="U390" s="3"/>
      <c r="V390">
        <f t="shared" si="215"/>
        <v>902.61975190991848</v>
      </c>
      <c r="W390" s="3"/>
      <c r="X390">
        <f t="shared" si="216"/>
        <v>546.63600075376064</v>
      </c>
      <c r="Y390">
        <f t="shared" si="217"/>
        <v>23.380248090081523</v>
      </c>
      <c r="AA390">
        <f t="shared" si="218"/>
        <v>2.4599310118490603E-5</v>
      </c>
    </row>
    <row r="391" spans="2:27" x14ac:dyDescent="0.35">
      <c r="B391">
        <v>354.08684546615581</v>
      </c>
      <c r="C391">
        <v>844</v>
      </c>
      <c r="D391">
        <f t="shared" si="201"/>
        <v>16.90065596625794</v>
      </c>
      <c r="E391">
        <f t="shared" si="202"/>
        <v>294.45534578016122</v>
      </c>
      <c r="F391">
        <f t="shared" si="203"/>
        <v>33.206099453621533</v>
      </c>
      <c r="G391">
        <f t="shared" si="204"/>
        <v>33.206099453621533</v>
      </c>
      <c r="H391">
        <f t="shared" si="205"/>
        <v>33.206099453621533</v>
      </c>
      <c r="I391" s="3"/>
      <c r="J391">
        <f t="shared" si="206"/>
        <v>14.244299196007711</v>
      </c>
      <c r="K391">
        <f t="shared" si="207"/>
        <v>288.78964722135657</v>
      </c>
      <c r="L391">
        <f t="shared" si="208"/>
        <v>29.81121479548754</v>
      </c>
      <c r="M391">
        <f t="shared" si="209"/>
        <v>29.81121479548754</v>
      </c>
      <c r="N391">
        <f t="shared" si="210"/>
        <v>29.81121479548754</v>
      </c>
      <c r="O391" s="3"/>
      <c r="P391">
        <f t="shared" si="211"/>
        <v>105.73994971336938</v>
      </c>
      <c r="Q391">
        <f t="shared" si="212"/>
        <v>744.30209374958167</v>
      </c>
      <c r="R391">
        <f t="shared" si="213"/>
        <v>0</v>
      </c>
      <c r="S391">
        <f t="shared" si="214"/>
        <v>0</v>
      </c>
      <c r="T391">
        <v>50</v>
      </c>
      <c r="U391" s="3"/>
      <c r="V391">
        <f t="shared" si="215"/>
        <v>900.04204346295103</v>
      </c>
      <c r="W391" s="3"/>
      <c r="X391">
        <f t="shared" si="216"/>
        <v>3140.710635503292</v>
      </c>
      <c r="Y391">
        <f t="shared" si="217"/>
        <v>56.042043462951028</v>
      </c>
      <c r="AA391">
        <f t="shared" si="218"/>
        <v>5.8964113704332144E-5</v>
      </c>
    </row>
    <row r="392" spans="2:27" x14ac:dyDescent="0.35">
      <c r="B392">
        <v>355.04469987228617</v>
      </c>
      <c r="C392">
        <v>870</v>
      </c>
      <c r="D392">
        <f t="shared" si="201"/>
        <v>16.940488632823257</v>
      </c>
      <c r="E392">
        <f t="shared" si="202"/>
        <v>294.85259251764398</v>
      </c>
      <c r="F392">
        <f t="shared" si="203"/>
        <v>33.301884894234568</v>
      </c>
      <c r="G392">
        <f t="shared" si="204"/>
        <v>33.301884894234568</v>
      </c>
      <c r="H392">
        <f t="shared" si="205"/>
        <v>33.301884894234568</v>
      </c>
      <c r="I392" s="3"/>
      <c r="J392">
        <f t="shared" si="206"/>
        <v>14.281522092482607</v>
      </c>
      <c r="K392">
        <f t="shared" si="207"/>
        <v>289.18552408364798</v>
      </c>
      <c r="L392">
        <f t="shared" si="208"/>
        <v>29.903896117397206</v>
      </c>
      <c r="M392">
        <f t="shared" si="209"/>
        <v>29.903896117397206</v>
      </c>
      <c r="N392">
        <f t="shared" si="210"/>
        <v>29.903896117397206</v>
      </c>
      <c r="O392" s="3"/>
      <c r="P392">
        <f t="shared" si="211"/>
        <v>105.20746132592755</v>
      </c>
      <c r="Q392">
        <f t="shared" si="212"/>
        <v>742.26918911163239</v>
      </c>
      <c r="R392">
        <f t="shared" si="213"/>
        <v>0</v>
      </c>
      <c r="S392">
        <f t="shared" si="214"/>
        <v>0</v>
      </c>
      <c r="T392">
        <v>50</v>
      </c>
      <c r="U392" s="3"/>
      <c r="V392">
        <f t="shared" si="215"/>
        <v>897.4766504375599</v>
      </c>
      <c r="W392" s="3"/>
      <c r="X392">
        <f t="shared" si="216"/>
        <v>754.96631926786051</v>
      </c>
      <c r="Y392">
        <f t="shared" si="217"/>
        <v>27.476650437559897</v>
      </c>
      <c r="AA392">
        <f t="shared" si="218"/>
        <v>2.8909301668943054E-5</v>
      </c>
    </row>
    <row r="393" spans="2:27" x14ac:dyDescent="0.35">
      <c r="B393">
        <v>356.00255427841637</v>
      </c>
      <c r="C393">
        <v>910</v>
      </c>
      <c r="D393">
        <f t="shared" si="201"/>
        <v>16.980321299388567</v>
      </c>
      <c r="E393">
        <f t="shared" si="202"/>
        <v>295.24983925512674</v>
      </c>
      <c r="F393">
        <f t="shared" si="203"/>
        <v>33.397670334847589</v>
      </c>
      <c r="G393">
        <f t="shared" si="204"/>
        <v>33.397670334847589</v>
      </c>
      <c r="H393">
        <f t="shared" si="205"/>
        <v>33.397670334847589</v>
      </c>
      <c r="I393" s="3"/>
      <c r="J393">
        <f t="shared" si="206"/>
        <v>14.318751338677664</v>
      </c>
      <c r="K393">
        <f t="shared" si="207"/>
        <v>289.58140281348147</v>
      </c>
      <c r="L393">
        <f t="shared" si="208"/>
        <v>29.996586735153247</v>
      </c>
      <c r="M393">
        <f t="shared" si="209"/>
        <v>29.996586735153247</v>
      </c>
      <c r="N393">
        <f t="shared" si="210"/>
        <v>29.996586735153247</v>
      </c>
      <c r="O393" s="3"/>
      <c r="P393">
        <f t="shared" si="211"/>
        <v>104.67889682358893</v>
      </c>
      <c r="Q393">
        <f t="shared" si="212"/>
        <v>740.2445922679384</v>
      </c>
      <c r="R393">
        <f t="shared" si="213"/>
        <v>0</v>
      </c>
      <c r="S393">
        <f t="shared" si="214"/>
        <v>0</v>
      </c>
      <c r="T393">
        <v>50</v>
      </c>
      <c r="U393" s="3"/>
      <c r="V393">
        <f t="shared" si="215"/>
        <v>894.92348909152736</v>
      </c>
      <c r="W393" s="3"/>
      <c r="X393">
        <f t="shared" si="216"/>
        <v>227.30118117329457</v>
      </c>
      <c r="Y393">
        <f t="shared" si="217"/>
        <v>15.076510908472642</v>
      </c>
      <c r="AA393">
        <f t="shared" si="218"/>
        <v>1.5862610435671895E-5</v>
      </c>
    </row>
    <row r="394" spans="2:27" x14ac:dyDescent="0.35">
      <c r="B394">
        <v>356.96040868454662</v>
      </c>
      <c r="C394">
        <v>878</v>
      </c>
      <c r="D394">
        <f t="shared" si="201"/>
        <v>17.020153965953881</v>
      </c>
      <c r="E394">
        <f t="shared" si="202"/>
        <v>295.6470859926095</v>
      </c>
      <c r="F394">
        <f t="shared" si="203"/>
        <v>33.493455775460617</v>
      </c>
      <c r="G394">
        <f t="shared" si="204"/>
        <v>33.493455775460617</v>
      </c>
      <c r="H394">
        <f t="shared" si="205"/>
        <v>33.493455775460617</v>
      </c>
      <c r="I394" s="3"/>
      <c r="J394">
        <f t="shared" si="206"/>
        <v>14.355986904842098</v>
      </c>
      <c r="K394">
        <f t="shared" si="207"/>
        <v>289.97728340578067</v>
      </c>
      <c r="L394">
        <f t="shared" si="208"/>
        <v>30.08928659416696</v>
      </c>
      <c r="M394">
        <f t="shared" si="209"/>
        <v>30.08928659416696</v>
      </c>
      <c r="N394">
        <f t="shared" si="210"/>
        <v>30.08928659416696</v>
      </c>
      <c r="O394" s="3"/>
      <c r="P394">
        <f t="shared" si="211"/>
        <v>104.1542183952556</v>
      </c>
      <c r="Q394">
        <f t="shared" si="212"/>
        <v>738.22825805068169</v>
      </c>
      <c r="R394">
        <f t="shared" si="213"/>
        <v>0</v>
      </c>
      <c r="S394">
        <f t="shared" si="214"/>
        <v>0</v>
      </c>
      <c r="T394">
        <v>50</v>
      </c>
      <c r="U394" s="3"/>
      <c r="V394">
        <f t="shared" si="215"/>
        <v>892.3824764459373</v>
      </c>
      <c r="W394" s="3"/>
      <c r="X394">
        <f t="shared" si="216"/>
        <v>206.85562871794122</v>
      </c>
      <c r="Y394">
        <f t="shared" si="217"/>
        <v>14.3824764459373</v>
      </c>
      <c r="AA394">
        <f t="shared" si="218"/>
        <v>1.513238854448206E-5</v>
      </c>
    </row>
    <row r="395" spans="2:27" x14ac:dyDescent="0.35">
      <c r="B395">
        <v>358.23754789272039</v>
      </c>
      <c r="C395">
        <v>861</v>
      </c>
      <c r="D395">
        <f t="shared" si="201"/>
        <v>17.073264188040969</v>
      </c>
      <c r="E395">
        <f t="shared" si="202"/>
        <v>296.17674830925318</v>
      </c>
      <c r="F395">
        <f t="shared" si="203"/>
        <v>33.621169696277988</v>
      </c>
      <c r="G395">
        <f t="shared" si="204"/>
        <v>33.621169696277988</v>
      </c>
      <c r="H395">
        <f t="shared" si="205"/>
        <v>33.621169696277988</v>
      </c>
      <c r="I395" s="3"/>
      <c r="J395">
        <f t="shared" si="206"/>
        <v>14.405644106417519</v>
      </c>
      <c r="K395">
        <f t="shared" si="207"/>
        <v>290.50512708394677</v>
      </c>
      <c r="L395">
        <f t="shared" si="208"/>
        <v>30.212900688010777</v>
      </c>
      <c r="M395">
        <f t="shared" si="209"/>
        <v>30.212900688010777</v>
      </c>
      <c r="N395">
        <f t="shared" si="210"/>
        <v>30.212900688010777</v>
      </c>
      <c r="O395" s="3"/>
      <c r="P395">
        <f t="shared" si="211"/>
        <v>103.46062764716683</v>
      </c>
      <c r="Q395">
        <f t="shared" si="212"/>
        <v>735.55258790757102</v>
      </c>
      <c r="R395">
        <f t="shared" si="213"/>
        <v>0</v>
      </c>
      <c r="S395">
        <f t="shared" si="214"/>
        <v>0</v>
      </c>
      <c r="T395">
        <v>50</v>
      </c>
      <c r="U395" s="3"/>
      <c r="V395">
        <f t="shared" si="215"/>
        <v>889.01321555473783</v>
      </c>
      <c r="W395" s="3"/>
      <c r="X395">
        <f t="shared" si="216"/>
        <v>784.74024571620532</v>
      </c>
      <c r="Y395">
        <f t="shared" si="217"/>
        <v>28.013215554737826</v>
      </c>
      <c r="AA395">
        <f t="shared" si="218"/>
        <v>2.9473843656066943E-5</v>
      </c>
    </row>
    <row r="396" spans="2:27" x14ac:dyDescent="0.35">
      <c r="B396">
        <v>359.19540229885058</v>
      </c>
      <c r="C396">
        <v>881</v>
      </c>
      <c r="D396">
        <f t="shared" si="201"/>
        <v>17.11309685460628</v>
      </c>
      <c r="E396">
        <f t="shared" si="202"/>
        <v>296.57399504673594</v>
      </c>
      <c r="F396">
        <f t="shared" si="203"/>
        <v>33.716955136891009</v>
      </c>
      <c r="G396">
        <f t="shared" si="204"/>
        <v>33.716955136891009</v>
      </c>
      <c r="H396">
        <f t="shared" si="205"/>
        <v>33.716955136891009</v>
      </c>
      <c r="I396" s="3"/>
      <c r="J396">
        <f t="shared" si="206"/>
        <v>14.44289430461841</v>
      </c>
      <c r="K396">
        <f t="shared" si="207"/>
        <v>290.90101200237399</v>
      </c>
      <c r="L396">
        <f t="shared" si="208"/>
        <v>30.305621900321597</v>
      </c>
      <c r="M396">
        <f t="shared" si="209"/>
        <v>30.305621900321597</v>
      </c>
      <c r="N396">
        <f t="shared" si="210"/>
        <v>30.305621900321597</v>
      </c>
      <c r="O396" s="3"/>
      <c r="P396">
        <f t="shared" si="211"/>
        <v>102.94487218688197</v>
      </c>
      <c r="Q396">
        <f t="shared" si="212"/>
        <v>733.55535921547789</v>
      </c>
      <c r="R396">
        <f t="shared" si="213"/>
        <v>0</v>
      </c>
      <c r="S396">
        <f t="shared" si="214"/>
        <v>0</v>
      </c>
      <c r="T396">
        <v>50</v>
      </c>
      <c r="U396" s="3"/>
      <c r="V396">
        <f t="shared" si="215"/>
        <v>886.50023140235987</v>
      </c>
      <c r="W396" s="3"/>
      <c r="X396">
        <f t="shared" si="216"/>
        <v>30.252545479505653</v>
      </c>
      <c r="Y396">
        <f t="shared" si="217"/>
        <v>5.5002314023598728</v>
      </c>
      <c r="AA396">
        <f t="shared" si="218"/>
        <v>5.7870172065243987E-6</v>
      </c>
    </row>
    <row r="397" spans="2:27" x14ac:dyDescent="0.35">
      <c r="B397">
        <v>360.15325670498089</v>
      </c>
      <c r="C397">
        <v>825</v>
      </c>
      <c r="D397">
        <f t="shared" si="201"/>
        <v>17.152929521171593</v>
      </c>
      <c r="E397">
        <f t="shared" si="202"/>
        <v>296.97124178421871</v>
      </c>
      <c r="F397">
        <f t="shared" si="203"/>
        <v>33.812740577504044</v>
      </c>
      <c r="G397">
        <f t="shared" si="204"/>
        <v>33.812740577504044</v>
      </c>
      <c r="H397">
        <f t="shared" si="205"/>
        <v>33.812740577504044</v>
      </c>
      <c r="I397" s="3"/>
      <c r="J397">
        <f t="shared" si="206"/>
        <v>14.480150725077745</v>
      </c>
      <c r="K397">
        <f t="shared" si="207"/>
        <v>291.29689876649434</v>
      </c>
      <c r="L397">
        <f t="shared" si="208"/>
        <v>30.398352175320202</v>
      </c>
      <c r="M397">
        <f t="shared" si="209"/>
        <v>30.398352175320202</v>
      </c>
      <c r="N397">
        <f t="shared" si="210"/>
        <v>30.398352175320202</v>
      </c>
      <c r="O397" s="3"/>
      <c r="P397">
        <f t="shared" si="211"/>
        <v>102.43287996458444</v>
      </c>
      <c r="Q397">
        <f t="shared" si="212"/>
        <v>731.56624478890126</v>
      </c>
      <c r="R397">
        <f t="shared" si="213"/>
        <v>0</v>
      </c>
      <c r="S397">
        <f t="shared" si="214"/>
        <v>0</v>
      </c>
      <c r="T397">
        <v>50</v>
      </c>
      <c r="U397" s="3"/>
      <c r="V397">
        <f t="shared" si="215"/>
        <v>883.99912475348572</v>
      </c>
      <c r="W397" s="3"/>
      <c r="X397">
        <f t="shared" si="216"/>
        <v>3480.8967216773708</v>
      </c>
      <c r="Y397">
        <f t="shared" si="217"/>
        <v>58.999124753485717</v>
      </c>
      <c r="AA397">
        <f t="shared" si="218"/>
        <v>6.2075379223465284E-5</v>
      </c>
    </row>
    <row r="398" spans="2:27" x14ac:dyDescent="0.35">
      <c r="B398">
        <v>361.11111111111109</v>
      </c>
      <c r="C398">
        <v>960</v>
      </c>
      <c r="D398">
        <f t="shared" si="201"/>
        <v>17.192762187736903</v>
      </c>
      <c r="E398">
        <f t="shared" si="202"/>
        <v>297.36848852170147</v>
      </c>
      <c r="F398">
        <f t="shared" si="203"/>
        <v>33.908526018117058</v>
      </c>
      <c r="G398">
        <f t="shared" si="204"/>
        <v>33.908526018117058</v>
      </c>
      <c r="H398">
        <f t="shared" si="205"/>
        <v>33.908526018117058</v>
      </c>
      <c r="I398" s="3"/>
      <c r="J398">
        <f t="shared" si="206"/>
        <v>14.517413338912876</v>
      </c>
      <c r="K398">
        <f t="shared" si="207"/>
        <v>291.69278737132026</v>
      </c>
      <c r="L398">
        <f t="shared" si="208"/>
        <v>30.491091460432816</v>
      </c>
      <c r="M398">
        <f t="shared" si="209"/>
        <v>30.491091460432816</v>
      </c>
      <c r="N398">
        <f t="shared" si="210"/>
        <v>30.491091460432816</v>
      </c>
      <c r="O398" s="3"/>
      <c r="P398">
        <f t="shared" si="211"/>
        <v>101.92461506601882</v>
      </c>
      <c r="Q398">
        <f t="shared" si="212"/>
        <v>729.58520076962839</v>
      </c>
      <c r="R398">
        <f t="shared" si="213"/>
        <v>0</v>
      </c>
      <c r="S398">
        <f t="shared" si="214"/>
        <v>0</v>
      </c>
      <c r="T398">
        <v>50</v>
      </c>
      <c r="U398" s="3"/>
      <c r="V398">
        <f t="shared" si="215"/>
        <v>881.50981583564726</v>
      </c>
      <c r="W398" s="3"/>
      <c r="X398">
        <f t="shared" si="216"/>
        <v>6160.7090101540098</v>
      </c>
      <c r="Y398">
        <f t="shared" si="217"/>
        <v>78.49018416435274</v>
      </c>
      <c r="AA398">
        <f t="shared" si="218"/>
        <v>8.2582715721286467E-5</v>
      </c>
    </row>
    <row r="399" spans="2:27" x14ac:dyDescent="0.35">
      <c r="B399">
        <v>362.06896551724145</v>
      </c>
      <c r="C399">
        <v>893</v>
      </c>
      <c r="D399">
        <f t="shared" si="201"/>
        <v>17.232594854302224</v>
      </c>
      <c r="E399">
        <f t="shared" si="202"/>
        <v>297.76573525918423</v>
      </c>
      <c r="F399">
        <f t="shared" si="203"/>
        <v>34.004311458730101</v>
      </c>
      <c r="G399">
        <f t="shared" si="204"/>
        <v>34.004311458730101</v>
      </c>
      <c r="H399">
        <f t="shared" si="205"/>
        <v>34.004311458730101</v>
      </c>
      <c r="I399" s="3"/>
      <c r="J399">
        <f t="shared" si="206"/>
        <v>14.554682117436794</v>
      </c>
      <c r="K399">
        <f t="shared" si="207"/>
        <v>292.08867781188417</v>
      </c>
      <c r="L399">
        <f t="shared" si="208"/>
        <v>30.583839703536725</v>
      </c>
      <c r="M399">
        <f t="shared" si="209"/>
        <v>30.583839703536725</v>
      </c>
      <c r="N399">
        <f t="shared" si="210"/>
        <v>30.583839703536725</v>
      </c>
      <c r="O399" s="3"/>
      <c r="P399">
        <f t="shared" si="211"/>
        <v>101.42004199850345</v>
      </c>
      <c r="Q399">
        <f t="shared" si="212"/>
        <v>727.61218359516556</v>
      </c>
      <c r="R399">
        <f t="shared" si="213"/>
        <v>0</v>
      </c>
      <c r="S399">
        <f t="shared" si="214"/>
        <v>0</v>
      </c>
      <c r="T399">
        <v>50</v>
      </c>
      <c r="U399" s="3"/>
      <c r="V399">
        <f t="shared" si="215"/>
        <v>879.03222559366895</v>
      </c>
      <c r="W399" s="3"/>
      <c r="X399">
        <f t="shared" si="216"/>
        <v>195.09872186615658</v>
      </c>
      <c r="Y399">
        <f t="shared" si="217"/>
        <v>13.967774406331046</v>
      </c>
      <c r="AA399">
        <f t="shared" si="218"/>
        <v>1.4696063658632259E-5</v>
      </c>
    </row>
    <row r="400" spans="2:27" x14ac:dyDescent="0.35">
      <c r="B400">
        <v>363.0268199233717</v>
      </c>
      <c r="C400">
        <v>873</v>
      </c>
      <c r="D400">
        <f t="shared" si="201"/>
        <v>17.272427520867534</v>
      </c>
      <c r="E400">
        <f t="shared" si="202"/>
        <v>298.16298199666699</v>
      </c>
      <c r="F400">
        <f t="shared" si="203"/>
        <v>34.100096899343121</v>
      </c>
      <c r="G400">
        <f t="shared" si="204"/>
        <v>34.100096899343121</v>
      </c>
      <c r="H400">
        <f t="shared" si="205"/>
        <v>34.100096899343121</v>
      </c>
      <c r="I400" s="3"/>
      <c r="J400">
        <f t="shared" si="206"/>
        <v>14.591957032156371</v>
      </c>
      <c r="K400">
        <f t="shared" si="207"/>
        <v>292.48457008323868</v>
      </c>
      <c r="L400">
        <f t="shared" si="208"/>
        <v>30.676596852955026</v>
      </c>
      <c r="M400">
        <f t="shared" si="209"/>
        <v>30.676596852955026</v>
      </c>
      <c r="N400">
        <f t="shared" si="210"/>
        <v>30.676596852955026</v>
      </c>
      <c r="O400" s="3"/>
      <c r="P400">
        <f t="shared" si="211"/>
        <v>100.91912568507601</v>
      </c>
      <c r="Q400">
        <f t="shared" si="212"/>
        <v>725.64714999635123</v>
      </c>
      <c r="R400">
        <f t="shared" si="213"/>
        <v>0</v>
      </c>
      <c r="S400">
        <f t="shared" si="214"/>
        <v>0</v>
      </c>
      <c r="T400">
        <v>50</v>
      </c>
      <c r="U400" s="3"/>
      <c r="V400">
        <f t="shared" si="215"/>
        <v>876.56627568142721</v>
      </c>
      <c r="W400" s="3"/>
      <c r="X400">
        <f t="shared" si="216"/>
        <v>12.718322235939141</v>
      </c>
      <c r="Y400">
        <f t="shared" si="217"/>
        <v>3.5662756814272143</v>
      </c>
      <c r="AA400">
        <f t="shared" si="218"/>
        <v>3.7522237196736927E-6</v>
      </c>
    </row>
    <row r="401" spans="2:27" x14ac:dyDescent="0.35">
      <c r="B401">
        <v>364.30395913154535</v>
      </c>
      <c r="C401">
        <v>893</v>
      </c>
      <c r="D401">
        <f t="shared" si="201"/>
        <v>17.325537742954619</v>
      </c>
      <c r="E401">
        <f t="shared" si="202"/>
        <v>298.69264431331067</v>
      </c>
      <c r="F401">
        <f t="shared" si="203"/>
        <v>34.227810820160485</v>
      </c>
      <c r="G401">
        <f t="shared" si="204"/>
        <v>34.227810820160485</v>
      </c>
      <c r="H401">
        <f t="shared" si="205"/>
        <v>34.227810820160485</v>
      </c>
      <c r="I401" s="3"/>
      <c r="J401">
        <f t="shared" si="206"/>
        <v>14.64166641475471</v>
      </c>
      <c r="K401">
        <f t="shared" si="207"/>
        <v>293.01242928442736</v>
      </c>
      <c r="L401">
        <f t="shared" si="208"/>
        <v>30.800286817953111</v>
      </c>
      <c r="M401">
        <f t="shared" si="209"/>
        <v>30.800286817953111</v>
      </c>
      <c r="N401">
        <f t="shared" si="210"/>
        <v>30.800286817953111</v>
      </c>
      <c r="O401" s="3"/>
      <c r="P401">
        <f t="shared" si="211"/>
        <v>100.25686569136755</v>
      </c>
      <c r="Q401">
        <f t="shared" si="212"/>
        <v>723.0394498516979</v>
      </c>
      <c r="R401">
        <f t="shared" si="213"/>
        <v>0</v>
      </c>
      <c r="S401">
        <f t="shared" si="214"/>
        <v>0</v>
      </c>
      <c r="T401">
        <v>50</v>
      </c>
      <c r="U401" s="3"/>
      <c r="V401">
        <f t="shared" si="215"/>
        <v>873.29631554306548</v>
      </c>
      <c r="W401" s="3"/>
      <c r="X401">
        <f t="shared" si="216"/>
        <v>388.23518117844316</v>
      </c>
      <c r="Y401">
        <f t="shared" si="217"/>
        <v>19.703684456934525</v>
      </c>
      <c r="AA401">
        <f t="shared" si="218"/>
        <v>2.0731047958324956E-5</v>
      </c>
    </row>
    <row r="402" spans="2:27" x14ac:dyDescent="0.35">
      <c r="B402">
        <v>365.26181353767561</v>
      </c>
      <c r="C402">
        <v>953</v>
      </c>
      <c r="D402">
        <f t="shared" si="201"/>
        <v>17.365370409519933</v>
      </c>
      <c r="E402">
        <f t="shared" si="202"/>
        <v>299.08989105079343</v>
      </c>
      <c r="F402">
        <f t="shared" si="203"/>
        <v>34.323596260773513</v>
      </c>
      <c r="G402">
        <f t="shared" si="204"/>
        <v>34.323596260773513</v>
      </c>
      <c r="H402">
        <f t="shared" si="205"/>
        <v>34.323596260773513</v>
      </c>
      <c r="I402" s="3"/>
      <c r="J402">
        <f t="shared" si="206"/>
        <v>14.67895553753409</v>
      </c>
      <c r="K402">
        <f t="shared" si="207"/>
        <v>293.40832580849843</v>
      </c>
      <c r="L402">
        <f t="shared" si="208"/>
        <v>30.893064550273301</v>
      </c>
      <c r="M402">
        <f t="shared" si="209"/>
        <v>30.893064550273301</v>
      </c>
      <c r="N402">
        <f t="shared" si="210"/>
        <v>30.893064550273301</v>
      </c>
      <c r="O402" s="3"/>
      <c r="P402">
        <f t="shared" si="211"/>
        <v>99.764347685978976</v>
      </c>
      <c r="Q402">
        <f t="shared" si="212"/>
        <v>721.09287795714988</v>
      </c>
      <c r="R402">
        <f t="shared" si="213"/>
        <v>0</v>
      </c>
      <c r="S402">
        <f t="shared" si="214"/>
        <v>0</v>
      </c>
      <c r="T402">
        <v>50</v>
      </c>
      <c r="U402" s="3"/>
      <c r="V402">
        <f t="shared" si="215"/>
        <v>870.85722564312891</v>
      </c>
      <c r="W402" s="3"/>
      <c r="X402">
        <f t="shared" si="216"/>
        <v>6747.4353790438381</v>
      </c>
      <c r="Y402">
        <f t="shared" si="217"/>
        <v>82.142774356871087</v>
      </c>
      <c r="AA402">
        <f t="shared" si="218"/>
        <v>8.6425754449332868E-5</v>
      </c>
    </row>
    <row r="403" spans="2:27" x14ac:dyDescent="0.35">
      <c r="B403">
        <v>366.21966794380597</v>
      </c>
      <c r="C403">
        <v>873</v>
      </c>
      <c r="D403">
        <f t="shared" si="201"/>
        <v>17.40520307608525</v>
      </c>
      <c r="E403">
        <f t="shared" si="202"/>
        <v>299.48713778827624</v>
      </c>
      <c r="F403">
        <f t="shared" si="203"/>
        <v>34.419381701386548</v>
      </c>
      <c r="G403">
        <f t="shared" si="204"/>
        <v>34.419381701386548</v>
      </c>
      <c r="H403">
        <f t="shared" si="205"/>
        <v>34.419381701386548</v>
      </c>
      <c r="I403" s="3"/>
      <c r="J403">
        <f t="shared" si="206"/>
        <v>14.716250702910726</v>
      </c>
      <c r="K403">
        <f t="shared" si="207"/>
        <v>293.80422414701212</v>
      </c>
      <c r="L403">
        <f t="shared" si="208"/>
        <v>30.985851019807999</v>
      </c>
      <c r="M403">
        <f t="shared" si="209"/>
        <v>30.985851019807999</v>
      </c>
      <c r="N403">
        <f t="shared" si="210"/>
        <v>30.985851019807999</v>
      </c>
      <c r="O403" s="3"/>
      <c r="P403">
        <f t="shared" si="211"/>
        <v>99.275372440596854</v>
      </c>
      <c r="Q403">
        <f t="shared" si="212"/>
        <v>719.15414749600541</v>
      </c>
      <c r="R403">
        <f t="shared" si="213"/>
        <v>0</v>
      </c>
      <c r="S403">
        <f t="shared" si="214"/>
        <v>0</v>
      </c>
      <c r="T403">
        <v>50</v>
      </c>
      <c r="U403" s="3"/>
      <c r="V403">
        <f t="shared" si="215"/>
        <v>868.42951993660222</v>
      </c>
      <c r="W403" s="3"/>
      <c r="X403">
        <f t="shared" si="216"/>
        <v>20.889288009916584</v>
      </c>
      <c r="Y403">
        <f t="shared" si="217"/>
        <v>4.5704800633977811</v>
      </c>
      <c r="AA403">
        <f t="shared" si="218"/>
        <v>4.8087880007396699E-6</v>
      </c>
    </row>
    <row r="404" spans="2:27" x14ac:dyDescent="0.35">
      <c r="B404">
        <v>367.17752234993617</v>
      </c>
      <c r="C404">
        <v>860</v>
      </c>
      <c r="D404">
        <f t="shared" si="201"/>
        <v>17.44503574265056</v>
      </c>
      <c r="E404">
        <f t="shared" si="202"/>
        <v>299.88438452575895</v>
      </c>
      <c r="F404">
        <f t="shared" si="203"/>
        <v>34.515167141999569</v>
      </c>
      <c r="G404">
        <f t="shared" si="204"/>
        <v>34.515167141999569</v>
      </c>
      <c r="H404">
        <f t="shared" si="205"/>
        <v>34.515167141999569</v>
      </c>
      <c r="I404" s="3"/>
      <c r="J404">
        <f t="shared" si="206"/>
        <v>14.753551883212248</v>
      </c>
      <c r="K404">
        <f t="shared" si="207"/>
        <v>294.2001242951066</v>
      </c>
      <c r="L404">
        <f t="shared" si="208"/>
        <v>31.078646176755313</v>
      </c>
      <c r="M404">
        <f t="shared" si="209"/>
        <v>31.078646176755313</v>
      </c>
      <c r="N404">
        <f t="shared" si="210"/>
        <v>31.078646176755313</v>
      </c>
      <c r="O404" s="3"/>
      <c r="P404">
        <f t="shared" si="211"/>
        <v>98.789906614300335</v>
      </c>
      <c r="Q404">
        <f t="shared" si="212"/>
        <v>717.22321644315173</v>
      </c>
      <c r="R404">
        <f t="shared" si="213"/>
        <v>0</v>
      </c>
      <c r="S404">
        <f t="shared" si="214"/>
        <v>0</v>
      </c>
      <c r="T404">
        <v>50</v>
      </c>
      <c r="U404" s="3"/>
      <c r="V404">
        <f t="shared" si="215"/>
        <v>866.01312305745205</v>
      </c>
      <c r="W404" s="3"/>
      <c r="X404">
        <f t="shared" si="216"/>
        <v>36.157648904061475</v>
      </c>
      <c r="Y404">
        <f t="shared" si="217"/>
        <v>6.0131230574520487</v>
      </c>
      <c r="AA404">
        <f t="shared" si="218"/>
        <v>6.3266513811570751E-6</v>
      </c>
    </row>
    <row r="405" spans="2:27" x14ac:dyDescent="0.35">
      <c r="B405">
        <v>368.13537675606642</v>
      </c>
      <c r="C405">
        <v>854</v>
      </c>
      <c r="D405">
        <f t="shared" si="201"/>
        <v>17.484868409215874</v>
      </c>
      <c r="E405">
        <f t="shared" si="202"/>
        <v>300.28163126324171</v>
      </c>
      <c r="F405">
        <f t="shared" si="203"/>
        <v>34.610952582612597</v>
      </c>
      <c r="G405">
        <f t="shared" si="204"/>
        <v>34.610952582612597</v>
      </c>
      <c r="H405">
        <f t="shared" si="205"/>
        <v>34.610952582612597</v>
      </c>
      <c r="I405" s="3"/>
      <c r="J405">
        <f t="shared" si="206"/>
        <v>14.79085905095131</v>
      </c>
      <c r="K405">
        <f t="shared" si="207"/>
        <v>294.59602624793979</v>
      </c>
      <c r="L405">
        <f t="shared" si="208"/>
        <v>31.171449971733278</v>
      </c>
      <c r="M405">
        <f t="shared" si="209"/>
        <v>31.171449971733278</v>
      </c>
      <c r="N405">
        <f t="shared" si="210"/>
        <v>31.171449971733278</v>
      </c>
      <c r="O405" s="3"/>
      <c r="P405">
        <f t="shared" si="211"/>
        <v>98.307917252201904</v>
      </c>
      <c r="Q405">
        <f t="shared" si="212"/>
        <v>715.30004305444311</v>
      </c>
      <c r="R405">
        <f t="shared" si="213"/>
        <v>0</v>
      </c>
      <c r="S405">
        <f t="shared" si="214"/>
        <v>0</v>
      </c>
      <c r="T405">
        <v>50</v>
      </c>
      <c r="U405" s="3"/>
      <c r="V405">
        <f t="shared" si="215"/>
        <v>863.60796030664505</v>
      </c>
      <c r="W405" s="3"/>
      <c r="X405">
        <f t="shared" si="216"/>
        <v>92.312901254066929</v>
      </c>
      <c r="Y405">
        <f t="shared" si="217"/>
        <v>9.6079603066450545</v>
      </c>
      <c r="AA405">
        <f t="shared" si="218"/>
        <v>1.0108925888154922E-5</v>
      </c>
    </row>
    <row r="406" spans="2:27" x14ac:dyDescent="0.35">
      <c r="B406">
        <v>369.09323116219667</v>
      </c>
      <c r="C406">
        <v>886</v>
      </c>
      <c r="D406">
        <f t="shared" si="201"/>
        <v>17.524701075781184</v>
      </c>
      <c r="E406">
        <f t="shared" si="202"/>
        <v>300.67887800072447</v>
      </c>
      <c r="F406">
        <f t="shared" si="203"/>
        <v>34.706738023225618</v>
      </c>
      <c r="G406">
        <f t="shared" si="204"/>
        <v>34.706738023225618</v>
      </c>
      <c r="H406">
        <f t="shared" si="205"/>
        <v>34.706738023225618</v>
      </c>
      <c r="I406" s="3"/>
      <c r="J406">
        <f t="shared" si="206"/>
        <v>14.828172178823943</v>
      </c>
      <c r="K406">
        <f t="shared" si="207"/>
        <v>294.99193000068868</v>
      </c>
      <c r="L406">
        <f t="shared" si="208"/>
        <v>31.264262355775102</v>
      </c>
      <c r="M406">
        <f t="shared" si="209"/>
        <v>31.264262355775102</v>
      </c>
      <c r="N406">
        <f t="shared" si="210"/>
        <v>31.264262355775102</v>
      </c>
      <c r="O406" s="3"/>
      <c r="P406">
        <f t="shared" si="211"/>
        <v>97.829371780158155</v>
      </c>
      <c r="Q406">
        <f t="shared" si="212"/>
        <v>713.38458586445324</v>
      </c>
      <c r="R406">
        <f t="shared" si="213"/>
        <v>0</v>
      </c>
      <c r="S406">
        <f t="shared" si="214"/>
        <v>0</v>
      </c>
      <c r="T406">
        <v>50</v>
      </c>
      <c r="U406" s="3"/>
      <c r="V406">
        <f t="shared" si="215"/>
        <v>861.21395764461136</v>
      </c>
      <c r="W406" s="3"/>
      <c r="X406">
        <f t="shared" si="216"/>
        <v>614.34789564311984</v>
      </c>
      <c r="Y406">
        <f t="shared" si="217"/>
        <v>24.786042355388645</v>
      </c>
      <c r="AA406">
        <f t="shared" si="218"/>
        <v>2.6078403452395641E-5</v>
      </c>
    </row>
    <row r="407" spans="2:27" x14ac:dyDescent="0.35">
      <c r="B407">
        <v>370.05108556832698</v>
      </c>
      <c r="C407">
        <v>869</v>
      </c>
      <c r="D407">
        <f t="shared" si="201"/>
        <v>17.564533742346502</v>
      </c>
      <c r="E407">
        <f t="shared" si="202"/>
        <v>301.07612473820728</v>
      </c>
      <c r="F407">
        <f t="shared" si="203"/>
        <v>34.802523463838654</v>
      </c>
      <c r="G407">
        <f t="shared" si="204"/>
        <v>34.802523463838654</v>
      </c>
      <c r="H407">
        <f t="shared" si="205"/>
        <v>34.802523463838654</v>
      </c>
      <c r="I407" s="3"/>
      <c r="J407">
        <f t="shared" si="206"/>
        <v>14.865491239707996</v>
      </c>
      <c r="K407">
        <f t="shared" si="207"/>
        <v>295.38783554854984</v>
      </c>
      <c r="L407">
        <f t="shared" si="208"/>
        <v>31.357083280324634</v>
      </c>
      <c r="M407">
        <f t="shared" si="209"/>
        <v>31.357083280324634</v>
      </c>
      <c r="N407">
        <f t="shared" si="210"/>
        <v>31.357083280324634</v>
      </c>
      <c r="O407" s="3"/>
      <c r="P407">
        <f t="shared" si="211"/>
        <v>97.354237999563352</v>
      </c>
      <c r="Q407">
        <f t="shared" si="212"/>
        <v>711.47680368424392</v>
      </c>
      <c r="R407">
        <f t="shared" si="213"/>
        <v>0</v>
      </c>
      <c r="S407">
        <f t="shared" si="214"/>
        <v>0</v>
      </c>
      <c r="T407">
        <v>50</v>
      </c>
      <c r="U407" s="3"/>
      <c r="V407">
        <f t="shared" si="215"/>
        <v>858.83104168380726</v>
      </c>
      <c r="W407" s="3"/>
      <c r="X407">
        <f t="shared" si="216"/>
        <v>103.40771323646555</v>
      </c>
      <c r="Y407">
        <f t="shared" si="217"/>
        <v>10.168958316192743</v>
      </c>
      <c r="AA407">
        <f t="shared" si="218"/>
        <v>1.0699174715265268E-5</v>
      </c>
    </row>
    <row r="408" spans="2:27" x14ac:dyDescent="0.35">
      <c r="B408">
        <v>371.32822477650069</v>
      </c>
      <c r="C408">
        <v>876</v>
      </c>
      <c r="D408">
        <f t="shared" si="201"/>
        <v>17.617643964433586</v>
      </c>
      <c r="E408">
        <f t="shared" si="202"/>
        <v>301.60578705485096</v>
      </c>
      <c r="F408">
        <f t="shared" si="203"/>
        <v>34.930237384656024</v>
      </c>
      <c r="G408">
        <f t="shared" si="204"/>
        <v>34.930237384656024</v>
      </c>
      <c r="H408">
        <f t="shared" si="205"/>
        <v>34.930237384656024</v>
      </c>
      <c r="I408" s="3"/>
      <c r="J408">
        <f t="shared" si="206"/>
        <v>14.915259170141699</v>
      </c>
      <c r="K408">
        <f t="shared" si="207"/>
        <v>295.91571239649465</v>
      </c>
      <c r="L408">
        <f t="shared" si="208"/>
        <v>31.480857715127073</v>
      </c>
      <c r="M408">
        <f t="shared" si="209"/>
        <v>31.480857715127073</v>
      </c>
      <c r="N408">
        <f t="shared" si="210"/>
        <v>31.480857715127073</v>
      </c>
      <c r="O408" s="3"/>
      <c r="P408">
        <f t="shared" si="211"/>
        <v>96.725978408722867</v>
      </c>
      <c r="Q408">
        <f t="shared" si="212"/>
        <v>708.94496233727887</v>
      </c>
      <c r="R408">
        <f t="shared" si="213"/>
        <v>0</v>
      </c>
      <c r="S408">
        <f t="shared" si="214"/>
        <v>0</v>
      </c>
      <c r="T408">
        <v>50</v>
      </c>
      <c r="U408" s="3"/>
      <c r="V408">
        <f t="shared" si="215"/>
        <v>855.67094074600175</v>
      </c>
      <c r="W408" s="3"/>
      <c r="X408">
        <f t="shared" si="216"/>
        <v>413.27065015257199</v>
      </c>
      <c r="Y408">
        <f t="shared" si="217"/>
        <v>20.329059253998253</v>
      </c>
      <c r="AA408">
        <f t="shared" si="218"/>
        <v>2.1389030222413288E-5</v>
      </c>
    </row>
    <row r="409" spans="2:27" x14ac:dyDescent="0.35">
      <c r="B409">
        <v>372.28607918263089</v>
      </c>
      <c r="C409">
        <v>820</v>
      </c>
      <c r="D409">
        <f t="shared" si="201"/>
        <v>17.657476630998897</v>
      </c>
      <c r="E409">
        <f t="shared" si="202"/>
        <v>302.00303379233367</v>
      </c>
      <c r="F409">
        <f t="shared" si="203"/>
        <v>35.026022825269038</v>
      </c>
      <c r="G409">
        <f t="shared" si="204"/>
        <v>35.026022825269038</v>
      </c>
      <c r="H409">
        <f t="shared" si="205"/>
        <v>35.026022825269038</v>
      </c>
      <c r="I409" s="3"/>
      <c r="J409">
        <f t="shared" si="206"/>
        <v>14.95259197025339</v>
      </c>
      <c r="K409">
        <f t="shared" si="207"/>
        <v>296.31162211437766</v>
      </c>
      <c r="L409">
        <f t="shared" si="208"/>
        <v>31.573698380970985</v>
      </c>
      <c r="M409">
        <f t="shared" si="209"/>
        <v>31.573698380970985</v>
      </c>
      <c r="N409">
        <f t="shared" si="210"/>
        <v>31.573698380970985</v>
      </c>
      <c r="O409" s="3"/>
      <c r="P409">
        <f t="shared" si="211"/>
        <v>96.258682095996036</v>
      </c>
      <c r="Q409">
        <f t="shared" si="212"/>
        <v>707.05492987064667</v>
      </c>
      <c r="R409">
        <f t="shared" si="213"/>
        <v>0</v>
      </c>
      <c r="S409">
        <f t="shared" si="214"/>
        <v>0</v>
      </c>
      <c r="T409">
        <v>50</v>
      </c>
      <c r="U409" s="3"/>
      <c r="V409">
        <f t="shared" si="215"/>
        <v>853.31361196664272</v>
      </c>
      <c r="W409" s="3"/>
      <c r="X409">
        <f t="shared" si="216"/>
        <v>1109.7967422640413</v>
      </c>
      <c r="Y409">
        <f t="shared" si="217"/>
        <v>33.313611966642725</v>
      </c>
      <c r="AA409">
        <f t="shared" si="218"/>
        <v>3.5050606339893914E-5</v>
      </c>
    </row>
    <row r="410" spans="2:27" x14ac:dyDescent="0.35">
      <c r="B410">
        <v>373.24393358876125</v>
      </c>
      <c r="C410">
        <v>848</v>
      </c>
      <c r="D410">
        <f t="shared" si="201"/>
        <v>17.697309297564214</v>
      </c>
      <c r="E410">
        <f t="shared" si="202"/>
        <v>302.40028052981654</v>
      </c>
      <c r="F410">
        <f t="shared" si="203"/>
        <v>35.12180826588208</v>
      </c>
      <c r="G410">
        <f t="shared" si="204"/>
        <v>35.12180826588208</v>
      </c>
      <c r="H410">
        <f t="shared" si="205"/>
        <v>35.12180826588208</v>
      </c>
      <c r="I410" s="3"/>
      <c r="J410">
        <f t="shared" si="206"/>
        <v>14.989930614262144</v>
      </c>
      <c r="K410">
        <f t="shared" si="207"/>
        <v>296.707533611499</v>
      </c>
      <c r="L410">
        <f t="shared" si="208"/>
        <v>31.666547428376429</v>
      </c>
      <c r="M410">
        <f t="shared" si="209"/>
        <v>31.666547428376429</v>
      </c>
      <c r="N410">
        <f t="shared" si="210"/>
        <v>31.666547428376429</v>
      </c>
      <c r="O410" s="3"/>
      <c r="P410">
        <f t="shared" si="211"/>
        <v>95.794692793061571</v>
      </c>
      <c r="Q410">
        <f t="shared" si="212"/>
        <v>705.17243708600529</v>
      </c>
      <c r="R410">
        <f t="shared" si="213"/>
        <v>0</v>
      </c>
      <c r="S410">
        <f t="shared" si="214"/>
        <v>0</v>
      </c>
      <c r="T410">
        <v>50</v>
      </c>
      <c r="U410" s="3"/>
      <c r="V410">
        <f t="shared" si="215"/>
        <v>850.96712987906687</v>
      </c>
      <c r="W410" s="3"/>
      <c r="X410">
        <f t="shared" si="216"/>
        <v>8.8038597192514043</v>
      </c>
      <c r="Y410">
        <f t="shared" si="217"/>
        <v>2.9671298790668743</v>
      </c>
      <c r="AA410">
        <f t="shared" si="218"/>
        <v>3.1218380479020426E-6</v>
      </c>
    </row>
    <row r="411" spans="2:27" x14ac:dyDescent="0.35">
      <c r="B411">
        <v>374.2017879948915</v>
      </c>
      <c r="C411">
        <v>831</v>
      </c>
      <c r="D411">
        <f t="shared" si="201"/>
        <v>17.737141964129528</v>
      </c>
      <c r="E411">
        <f t="shared" si="202"/>
        <v>302.7975272672993</v>
      </c>
      <c r="F411">
        <f t="shared" si="203"/>
        <v>35.217593706495101</v>
      </c>
      <c r="G411">
        <f t="shared" si="204"/>
        <v>35.217593706495101</v>
      </c>
      <c r="H411">
        <f t="shared" si="205"/>
        <v>35.217593706495101</v>
      </c>
      <c r="I411" s="3"/>
      <c r="J411">
        <f t="shared" si="206"/>
        <v>15.027275075815565</v>
      </c>
      <c r="K411">
        <f t="shared" si="207"/>
        <v>297.10344688313722</v>
      </c>
      <c r="L411">
        <f t="shared" si="208"/>
        <v>31.759404810514852</v>
      </c>
      <c r="M411">
        <f t="shared" si="209"/>
        <v>31.759404810514852</v>
      </c>
      <c r="N411">
        <f t="shared" si="210"/>
        <v>31.759404810514852</v>
      </c>
      <c r="O411" s="3"/>
      <c r="P411">
        <f t="shared" si="211"/>
        <v>95.333979870457554</v>
      </c>
      <c r="Q411">
        <f t="shared" si="212"/>
        <v>703.29744396728449</v>
      </c>
      <c r="R411">
        <f t="shared" si="213"/>
        <v>0</v>
      </c>
      <c r="S411">
        <f t="shared" si="214"/>
        <v>0</v>
      </c>
      <c r="T411">
        <v>50</v>
      </c>
      <c r="U411" s="3"/>
      <c r="V411">
        <f t="shared" si="215"/>
        <v>848.63142383774209</v>
      </c>
      <c r="W411" s="3"/>
      <c r="X411">
        <f t="shared" si="216"/>
        <v>310.86710654610005</v>
      </c>
      <c r="Y411">
        <f t="shared" si="217"/>
        <v>17.631423837742091</v>
      </c>
      <c r="AA411">
        <f t="shared" si="218"/>
        <v>1.8550738261804866E-5</v>
      </c>
    </row>
    <row r="412" spans="2:27" x14ac:dyDescent="0.35">
      <c r="B412">
        <v>375.15964240102176</v>
      </c>
      <c r="C412">
        <v>842</v>
      </c>
      <c r="D412">
        <f t="shared" si="201"/>
        <v>17.776974630694841</v>
      </c>
      <c r="E412">
        <f t="shared" si="202"/>
        <v>303.194774004782</v>
      </c>
      <c r="F412">
        <f t="shared" si="203"/>
        <v>35.31337914710813</v>
      </c>
      <c r="G412">
        <f t="shared" si="204"/>
        <v>35.31337914710813</v>
      </c>
      <c r="H412">
        <f t="shared" si="205"/>
        <v>35.31337914710813</v>
      </c>
      <c r="I412" s="3"/>
      <c r="J412">
        <f t="shared" si="206"/>
        <v>15.064625328734836</v>
      </c>
      <c r="K412">
        <f t="shared" si="207"/>
        <v>297.49936192458989</v>
      </c>
      <c r="L412">
        <f t="shared" si="208"/>
        <v>31.852270480944867</v>
      </c>
      <c r="M412">
        <f t="shared" si="209"/>
        <v>31.852270480944867</v>
      </c>
      <c r="N412">
        <f t="shared" si="210"/>
        <v>31.852270480944867</v>
      </c>
      <c r="O412" s="3"/>
      <c r="P412">
        <f t="shared" si="211"/>
        <v>94.876513047844455</v>
      </c>
      <c r="Q412">
        <f t="shared" si="212"/>
        <v>701.42991076335966</v>
      </c>
      <c r="R412">
        <f t="shared" si="213"/>
        <v>0</v>
      </c>
      <c r="S412">
        <f t="shared" si="214"/>
        <v>0</v>
      </c>
      <c r="T412">
        <v>50</v>
      </c>
      <c r="U412" s="3"/>
      <c r="V412">
        <f t="shared" si="215"/>
        <v>846.30642381120413</v>
      </c>
      <c r="W412" s="3"/>
      <c r="X412">
        <f t="shared" si="216"/>
        <v>18.545286041705875</v>
      </c>
      <c r="Y412">
        <f t="shared" si="217"/>
        <v>4.3064238112041267</v>
      </c>
      <c r="AA412">
        <f t="shared" si="218"/>
        <v>4.530963676061367E-6</v>
      </c>
    </row>
    <row r="413" spans="2:27" x14ac:dyDescent="0.35">
      <c r="B413">
        <v>376.11749680715201</v>
      </c>
      <c r="C413">
        <v>822</v>
      </c>
      <c r="D413">
        <f t="shared" ref="D413:D476" si="219">C$23-LN(1/C$23)+$B413*C$22</f>
        <v>17.816807297260155</v>
      </c>
      <c r="E413">
        <f t="shared" ref="E413:E476" si="220">D$23-LN(1/D$23)+$B413*D$22</f>
        <v>303.59202074226476</v>
      </c>
      <c r="F413">
        <f t="shared" ref="F413:F476" si="221">E$23-LN(1/E$23)+$B413*E$22</f>
        <v>35.40916458772115</v>
      </c>
      <c r="G413">
        <f t="shared" ref="G413:G476" si="222">F$23-LN(1/F$23)+$B413*F$22</f>
        <v>35.40916458772115</v>
      </c>
      <c r="H413">
        <f t="shared" ref="H413:H476" si="223">G$23-LN(1/G$23)+$B413*G$22</f>
        <v>35.40916458772115</v>
      </c>
      <c r="I413" s="3"/>
      <c r="J413">
        <f t="shared" ref="J413:J476" si="224">lmb_2(D413)</f>
        <v>15.101981347013227</v>
      </c>
      <c r="K413">
        <f t="shared" ref="K413:K476" si="225">lmb_2(E413)</f>
        <v>297.89527873117339</v>
      </c>
      <c r="L413">
        <f t="shared" ref="L413:L476" si="226">lmb_2(F413)</f>
        <v>31.945144393607944</v>
      </c>
      <c r="M413">
        <f t="shared" ref="M413:M476" si="227">lmb_2(G413)</f>
        <v>31.945144393607944</v>
      </c>
      <c r="N413">
        <f t="shared" ref="N413:N476" si="228">lmb_2(H413)</f>
        <v>31.945144393607944</v>
      </c>
      <c r="O413" s="3"/>
      <c r="P413">
        <f t="shared" ref="P413:P476" si="229">(C$21*$A$21)/(J413+J413^2)</f>
        <v>94.422262389294687</v>
      </c>
      <c r="Q413">
        <f t="shared" ref="Q413:Q476" si="230">(D$21*$A$21)/(K413+K413^2)</f>
        <v>699.56979798595125</v>
      </c>
      <c r="R413">
        <f t="shared" ref="R413:R476" si="231">(E$21*$A$21)/(L413+L413^2)</f>
        <v>0</v>
      </c>
      <c r="S413">
        <f t="shared" ref="S413:S476" si="232">(F$21*$A$21)/(M413+M413^2)</f>
        <v>0</v>
      </c>
      <c r="T413">
        <v>50</v>
      </c>
      <c r="U413" s="3"/>
      <c r="V413">
        <f t="shared" ref="V413:V476" si="233">SUM(P413:T413)</f>
        <v>843.99206037524596</v>
      </c>
      <c r="W413" s="3"/>
      <c r="X413">
        <f t="shared" ref="X413:X476" si="234">(V413-C413)^2</f>
        <v>483.65071954846326</v>
      </c>
      <c r="Y413">
        <f t="shared" ref="Y413:Y476" si="235">ABS(V413-C413)</f>
        <v>21.992060375245956</v>
      </c>
      <c r="AA413">
        <f t="shared" ref="AA413:AA476" si="236">Y413/$Z$39</f>
        <v>2.3138741352566962E-5</v>
      </c>
    </row>
    <row r="414" spans="2:27" x14ac:dyDescent="0.35">
      <c r="B414">
        <v>377.0753512132822</v>
      </c>
      <c r="C414">
        <v>752</v>
      </c>
      <c r="D414">
        <f t="shared" si="219"/>
        <v>17.856639963825465</v>
      </c>
      <c r="E414">
        <f t="shared" si="220"/>
        <v>303.98926747974747</v>
      </c>
      <c r="F414">
        <f t="shared" si="221"/>
        <v>35.504950028334171</v>
      </c>
      <c r="G414">
        <f t="shared" si="222"/>
        <v>35.504950028334171</v>
      </c>
      <c r="H414">
        <f t="shared" si="223"/>
        <v>35.504950028334171</v>
      </c>
      <c r="I414" s="3"/>
      <c r="J414">
        <f t="shared" si="224"/>
        <v>15.139343104814611</v>
      </c>
      <c r="K414">
        <f t="shared" si="225"/>
        <v>298.2911972982223</v>
      </c>
      <c r="L414">
        <f t="shared" si="226"/>
        <v>32.038026502824302</v>
      </c>
      <c r="M414">
        <f t="shared" si="227"/>
        <v>32.038026502824302</v>
      </c>
      <c r="N414">
        <f t="shared" si="228"/>
        <v>32.038026502824302</v>
      </c>
      <c r="O414" s="3"/>
      <c r="P414">
        <f t="shared" si="229"/>
        <v>93.97119829865531</v>
      </c>
      <c r="Q414">
        <f t="shared" si="230"/>
        <v>697.7170664075453</v>
      </c>
      <c r="R414">
        <f t="shared" si="231"/>
        <v>0</v>
      </c>
      <c r="S414">
        <f t="shared" si="232"/>
        <v>0</v>
      </c>
      <c r="T414">
        <v>50</v>
      </c>
      <c r="U414" s="3"/>
      <c r="V414">
        <f t="shared" si="233"/>
        <v>841.68826470620058</v>
      </c>
      <c r="W414" s="3"/>
      <c r="X414">
        <f t="shared" si="234"/>
        <v>8043.984826009505</v>
      </c>
      <c r="Y414">
        <f t="shared" si="235"/>
        <v>89.688264706200584</v>
      </c>
      <c r="AA414">
        <f t="shared" si="236"/>
        <v>9.4364671794610155E-5</v>
      </c>
    </row>
    <row r="415" spans="2:27" x14ac:dyDescent="0.35">
      <c r="B415">
        <v>378.35249042145597</v>
      </c>
      <c r="C415">
        <v>804</v>
      </c>
      <c r="D415">
        <f t="shared" si="219"/>
        <v>17.909750185912554</v>
      </c>
      <c r="E415">
        <f t="shared" si="220"/>
        <v>304.51892979639126</v>
      </c>
      <c r="F415">
        <f t="shared" si="221"/>
        <v>35.632663949151549</v>
      </c>
      <c r="G415">
        <f t="shared" si="222"/>
        <v>35.632663949151549</v>
      </c>
      <c r="H415">
        <f t="shared" si="223"/>
        <v>35.632663949151549</v>
      </c>
      <c r="I415" s="3"/>
      <c r="J415">
        <f t="shared" si="224"/>
        <v>15.189167665691517</v>
      </c>
      <c r="K415">
        <f t="shared" si="225"/>
        <v>298.81909145142731</v>
      </c>
      <c r="L415">
        <f t="shared" si="226"/>
        <v>32.161881987055004</v>
      </c>
      <c r="M415">
        <f t="shared" si="227"/>
        <v>32.161881987055004</v>
      </c>
      <c r="N415">
        <f t="shared" si="228"/>
        <v>32.161881987055004</v>
      </c>
      <c r="O415" s="3"/>
      <c r="P415">
        <f t="shared" si="229"/>
        <v>93.374685867800679</v>
      </c>
      <c r="Q415">
        <f t="shared" si="230"/>
        <v>695.25817218495411</v>
      </c>
      <c r="R415">
        <f t="shared" si="231"/>
        <v>0</v>
      </c>
      <c r="S415">
        <f t="shared" si="232"/>
        <v>0</v>
      </c>
      <c r="T415">
        <v>50</v>
      </c>
      <c r="U415" s="3"/>
      <c r="V415">
        <f t="shared" si="233"/>
        <v>838.63285805275473</v>
      </c>
      <c r="W415" s="3"/>
      <c r="X415">
        <f t="shared" si="234"/>
        <v>1199.4348569022579</v>
      </c>
      <c r="Y415">
        <f t="shared" si="235"/>
        <v>34.632858052754727</v>
      </c>
      <c r="AA415">
        <f t="shared" si="236"/>
        <v>3.643863881370848E-5</v>
      </c>
    </row>
    <row r="416" spans="2:27" x14ac:dyDescent="0.35">
      <c r="B416">
        <v>379.31034482758622</v>
      </c>
      <c r="C416">
        <v>869</v>
      </c>
      <c r="D416">
        <f t="shared" si="219"/>
        <v>17.949582852477864</v>
      </c>
      <c r="E416">
        <f t="shared" si="220"/>
        <v>304.91617653387402</v>
      </c>
      <c r="F416">
        <f t="shared" si="221"/>
        <v>35.728449389764577</v>
      </c>
      <c r="G416">
        <f t="shared" si="222"/>
        <v>35.728449389764577</v>
      </c>
      <c r="H416">
        <f t="shared" si="223"/>
        <v>35.728449389764577</v>
      </c>
      <c r="I416" s="3"/>
      <c r="J416">
        <f t="shared" si="224"/>
        <v>15.226542716186856</v>
      </c>
      <c r="K416">
        <f t="shared" si="225"/>
        <v>299.21501410818985</v>
      </c>
      <c r="L416">
        <f t="shared" si="226"/>
        <v>32.254783046015504</v>
      </c>
      <c r="M416">
        <f t="shared" si="227"/>
        <v>32.254783046015504</v>
      </c>
      <c r="N416">
        <f t="shared" si="228"/>
        <v>32.254783046015504</v>
      </c>
      <c r="O416" s="3"/>
      <c r="P416">
        <f t="shared" si="229"/>
        <v>92.930943880693349</v>
      </c>
      <c r="Q416">
        <f t="shared" si="230"/>
        <v>693.42251230215174</v>
      </c>
      <c r="R416">
        <f t="shared" si="231"/>
        <v>0</v>
      </c>
      <c r="S416">
        <f t="shared" si="232"/>
        <v>0</v>
      </c>
      <c r="T416">
        <v>50</v>
      </c>
      <c r="U416" s="3"/>
      <c r="V416">
        <f t="shared" si="233"/>
        <v>836.35345618284509</v>
      </c>
      <c r="W416" s="3"/>
      <c r="X416">
        <f t="shared" si="234"/>
        <v>1065.7968232054152</v>
      </c>
      <c r="Y416">
        <f t="shared" si="235"/>
        <v>32.646543817154907</v>
      </c>
      <c r="AA416">
        <f t="shared" si="236"/>
        <v>3.4348756803644564E-5</v>
      </c>
    </row>
    <row r="417" spans="2:27" x14ac:dyDescent="0.35">
      <c r="B417">
        <v>380.26819923371647</v>
      </c>
      <c r="C417">
        <v>897</v>
      </c>
      <c r="D417">
        <f t="shared" si="219"/>
        <v>17.989415519043177</v>
      </c>
      <c r="E417">
        <f t="shared" si="220"/>
        <v>305.31342327135673</v>
      </c>
      <c r="F417">
        <f t="shared" si="221"/>
        <v>35.824234830377598</v>
      </c>
      <c r="G417">
        <f t="shared" si="222"/>
        <v>35.824234830377598</v>
      </c>
      <c r="H417">
        <f t="shared" si="223"/>
        <v>35.824234830377598</v>
      </c>
      <c r="I417" s="3"/>
      <c r="J417">
        <f t="shared" si="224"/>
        <v>15.263923421298317</v>
      </c>
      <c r="K417">
        <f t="shared" si="225"/>
        <v>299.61093850999964</v>
      </c>
      <c r="L417">
        <f t="shared" si="226"/>
        <v>32.347692151946255</v>
      </c>
      <c r="M417">
        <f t="shared" si="227"/>
        <v>32.347692151946255</v>
      </c>
      <c r="N417">
        <f t="shared" si="228"/>
        <v>32.347692151946255</v>
      </c>
      <c r="O417" s="3"/>
      <c r="P417">
        <f t="shared" si="229"/>
        <v>92.490292203491023</v>
      </c>
      <c r="Q417">
        <f t="shared" si="230"/>
        <v>691.59410471692797</v>
      </c>
      <c r="R417">
        <f t="shared" si="231"/>
        <v>0</v>
      </c>
      <c r="S417">
        <f t="shared" si="232"/>
        <v>0</v>
      </c>
      <c r="T417">
        <v>50</v>
      </c>
      <c r="U417" s="3"/>
      <c r="V417">
        <f t="shared" si="233"/>
        <v>834.08439692041895</v>
      </c>
      <c r="W417" s="3"/>
      <c r="X417">
        <f t="shared" si="234"/>
        <v>3958.3731108673883</v>
      </c>
      <c r="Y417">
        <f t="shared" si="235"/>
        <v>62.915603079581047</v>
      </c>
      <c r="AA417">
        <f t="shared" si="236"/>
        <v>6.6196065391754363E-5</v>
      </c>
    </row>
    <row r="418" spans="2:27" x14ac:dyDescent="0.35">
      <c r="B418">
        <v>381.22605363984678</v>
      </c>
      <c r="C418">
        <v>822</v>
      </c>
      <c r="D418">
        <f t="shared" si="219"/>
        <v>18.029248185608495</v>
      </c>
      <c r="E418">
        <f t="shared" si="220"/>
        <v>305.71067000883954</v>
      </c>
      <c r="F418">
        <f t="shared" si="221"/>
        <v>35.920020270990634</v>
      </c>
      <c r="G418">
        <f t="shared" si="222"/>
        <v>35.920020270990634</v>
      </c>
      <c r="H418">
        <f t="shared" si="223"/>
        <v>35.920020270990634</v>
      </c>
      <c r="I418" s="3"/>
      <c r="J418">
        <f t="shared" si="224"/>
        <v>15.301309755912404</v>
      </c>
      <c r="K418">
        <f t="shared" si="225"/>
        <v>300.00686465227091</v>
      </c>
      <c r="L418">
        <f t="shared" si="226"/>
        <v>32.440609260761896</v>
      </c>
      <c r="M418">
        <f t="shared" si="227"/>
        <v>32.440609260761896</v>
      </c>
      <c r="N418">
        <f t="shared" si="228"/>
        <v>32.440609260761896</v>
      </c>
      <c r="O418" s="3"/>
      <c r="P418">
        <f t="shared" si="229"/>
        <v>92.052702660540731</v>
      </c>
      <c r="Q418">
        <f t="shared" si="230"/>
        <v>689.77291130815433</v>
      </c>
      <c r="R418">
        <f t="shared" si="231"/>
        <v>0</v>
      </c>
      <c r="S418">
        <f t="shared" si="232"/>
        <v>0</v>
      </c>
      <c r="T418">
        <v>50</v>
      </c>
      <c r="U418" s="3"/>
      <c r="V418">
        <f t="shared" si="233"/>
        <v>831.82561396869505</v>
      </c>
      <c r="W418" s="3"/>
      <c r="X418">
        <f t="shared" si="234"/>
        <v>96.542689861815333</v>
      </c>
      <c r="Y418">
        <f t="shared" si="235"/>
        <v>9.8256139686950519</v>
      </c>
      <c r="AA418">
        <f t="shared" si="236"/>
        <v>1.0337928160096782E-5</v>
      </c>
    </row>
    <row r="419" spans="2:27" x14ac:dyDescent="0.35">
      <c r="B419">
        <v>382.18390804597709</v>
      </c>
      <c r="C419">
        <v>831</v>
      </c>
      <c r="D419">
        <f t="shared" si="219"/>
        <v>18.069080852173808</v>
      </c>
      <c r="E419">
        <f t="shared" si="220"/>
        <v>306.1079167463223</v>
      </c>
      <c r="F419">
        <f t="shared" si="221"/>
        <v>36.015805711603662</v>
      </c>
      <c r="G419">
        <f t="shared" si="222"/>
        <v>36.015805711603662</v>
      </c>
      <c r="H419">
        <f t="shared" si="223"/>
        <v>36.015805711603662</v>
      </c>
      <c r="I419" s="3"/>
      <c r="J419">
        <f t="shared" si="224"/>
        <v>15.338701695078614</v>
      </c>
      <c r="K419">
        <f t="shared" si="225"/>
        <v>300.40279253043548</v>
      </c>
      <c r="L419">
        <f t="shared" si="226"/>
        <v>32.533534328734476</v>
      </c>
      <c r="M419">
        <f t="shared" si="227"/>
        <v>32.533534328734476</v>
      </c>
      <c r="N419">
        <f t="shared" si="228"/>
        <v>32.533534328734476</v>
      </c>
      <c r="O419" s="3"/>
      <c r="P419">
        <f t="shared" si="229"/>
        <v>91.618147392416745</v>
      </c>
      <c r="Q419">
        <f t="shared" si="230"/>
        <v>687.95889420468598</v>
      </c>
      <c r="R419">
        <f t="shared" si="231"/>
        <v>0</v>
      </c>
      <c r="S419">
        <f t="shared" si="232"/>
        <v>0</v>
      </c>
      <c r="T419">
        <v>50</v>
      </c>
      <c r="U419" s="3"/>
      <c r="V419">
        <f t="shared" si="233"/>
        <v>829.57704159710272</v>
      </c>
      <c r="W419" s="3"/>
      <c r="X419">
        <f t="shared" si="234"/>
        <v>2.0248106163759765</v>
      </c>
      <c r="Y419">
        <f t="shared" si="235"/>
        <v>1.4229584028972795</v>
      </c>
      <c r="AA419">
        <f t="shared" si="236"/>
        <v>1.4971524212966647E-6</v>
      </c>
    </row>
    <row r="420" spans="2:27" x14ac:dyDescent="0.35">
      <c r="B420">
        <v>383.14176245210729</v>
      </c>
      <c r="C420">
        <v>828</v>
      </c>
      <c r="D420">
        <f t="shared" si="219"/>
        <v>18.108913518739119</v>
      </c>
      <c r="E420">
        <f t="shared" si="220"/>
        <v>306.50516348380506</v>
      </c>
      <c r="F420">
        <f t="shared" si="221"/>
        <v>36.111591152216683</v>
      </c>
      <c r="G420">
        <f t="shared" si="222"/>
        <v>36.111591152216683</v>
      </c>
      <c r="H420">
        <f t="shared" si="223"/>
        <v>36.111591152216683</v>
      </c>
      <c r="I420" s="3"/>
      <c r="J420">
        <f t="shared" si="224"/>
        <v>15.376099214008061</v>
      </c>
      <c r="K420">
        <f t="shared" si="225"/>
        <v>300.79872213994338</v>
      </c>
      <c r="L420">
        <f t="shared" si="226"/>
        <v>32.626467312489702</v>
      </c>
      <c r="M420">
        <f t="shared" si="227"/>
        <v>32.626467312489702</v>
      </c>
      <c r="N420">
        <f t="shared" si="228"/>
        <v>32.626467312489702</v>
      </c>
      <c r="O420" s="3"/>
      <c r="P420">
        <f t="shared" si="229"/>
        <v>91.186598851718429</v>
      </c>
      <c r="Q420">
        <f t="shared" si="230"/>
        <v>686.15201578339452</v>
      </c>
      <c r="R420">
        <f t="shared" si="231"/>
        <v>0</v>
      </c>
      <c r="S420">
        <f t="shared" si="232"/>
        <v>0</v>
      </c>
      <c r="T420">
        <v>50</v>
      </c>
      <c r="U420" s="3"/>
      <c r="V420">
        <f t="shared" si="233"/>
        <v>827.33861463511289</v>
      </c>
      <c r="W420" s="3"/>
      <c r="X420">
        <f t="shared" si="234"/>
        <v>0.43743060088685559</v>
      </c>
      <c r="Y420">
        <f t="shared" si="235"/>
        <v>0.66138536488710997</v>
      </c>
      <c r="AA420">
        <f t="shared" si="236"/>
        <v>6.9587044739662363E-7</v>
      </c>
    </row>
    <row r="421" spans="2:27" x14ac:dyDescent="0.35">
      <c r="B421">
        <v>384.41890166028099</v>
      </c>
      <c r="C421">
        <v>826</v>
      </c>
      <c r="D421">
        <f t="shared" si="219"/>
        <v>18.162023740826204</v>
      </c>
      <c r="E421">
        <f t="shared" si="220"/>
        <v>307.03482580044874</v>
      </c>
      <c r="F421">
        <f t="shared" si="221"/>
        <v>36.239305073034053</v>
      </c>
      <c r="G421">
        <f t="shared" si="222"/>
        <v>36.239305073034053</v>
      </c>
      <c r="H421">
        <f t="shared" si="223"/>
        <v>36.239305073034053</v>
      </c>
      <c r="I421" s="3"/>
      <c r="J421">
        <f t="shared" si="224"/>
        <v>15.42597120966728</v>
      </c>
      <c r="K421">
        <f t="shared" si="225"/>
        <v>301.32663097132382</v>
      </c>
      <c r="L421">
        <f t="shared" si="226"/>
        <v>32.750390196623066</v>
      </c>
      <c r="M421">
        <f t="shared" si="227"/>
        <v>32.750390196623066</v>
      </c>
      <c r="N421">
        <f t="shared" si="228"/>
        <v>32.750390196623066</v>
      </c>
      <c r="O421" s="3"/>
      <c r="P421">
        <f t="shared" si="229"/>
        <v>90.615830892200464</v>
      </c>
      <c r="Q421">
        <f t="shared" si="230"/>
        <v>683.75388460460772</v>
      </c>
      <c r="R421">
        <f t="shared" si="231"/>
        <v>0</v>
      </c>
      <c r="S421">
        <f t="shared" si="232"/>
        <v>0</v>
      </c>
      <c r="T421">
        <v>50</v>
      </c>
      <c r="U421" s="3"/>
      <c r="V421">
        <f t="shared" si="233"/>
        <v>824.36971549680823</v>
      </c>
      <c r="W421" s="3"/>
      <c r="X421">
        <f t="shared" si="234"/>
        <v>2.6578275613472497</v>
      </c>
      <c r="Y421">
        <f t="shared" si="235"/>
        <v>1.6302845031917741</v>
      </c>
      <c r="AA421">
        <f t="shared" si="236"/>
        <v>1.7152886453928129E-6</v>
      </c>
    </row>
    <row r="422" spans="2:27" x14ac:dyDescent="0.35">
      <c r="B422">
        <v>385.3767560664113</v>
      </c>
      <c r="C422">
        <v>793</v>
      </c>
      <c r="D422">
        <f t="shared" si="219"/>
        <v>18.201856407391521</v>
      </c>
      <c r="E422">
        <f t="shared" si="220"/>
        <v>307.4320725379315</v>
      </c>
      <c r="F422">
        <f t="shared" si="221"/>
        <v>36.335090513647081</v>
      </c>
      <c r="G422">
        <f t="shared" si="222"/>
        <v>36.335090513647081</v>
      </c>
      <c r="H422">
        <f t="shared" si="223"/>
        <v>36.335090513647081</v>
      </c>
      <c r="I422" s="3"/>
      <c r="J422">
        <f t="shared" si="224"/>
        <v>15.463381652540734</v>
      </c>
      <c r="K422">
        <f t="shared" si="225"/>
        <v>301.72256460303839</v>
      </c>
      <c r="L422">
        <f t="shared" si="226"/>
        <v>32.8433414838183</v>
      </c>
      <c r="M422">
        <f t="shared" si="227"/>
        <v>32.8433414838183</v>
      </c>
      <c r="N422">
        <f t="shared" si="228"/>
        <v>32.8433414838183</v>
      </c>
      <c r="O422" s="3"/>
      <c r="P422">
        <f t="shared" si="229"/>
        <v>90.191192641915379</v>
      </c>
      <c r="Q422">
        <f t="shared" si="230"/>
        <v>681.96351817488016</v>
      </c>
      <c r="R422">
        <f t="shared" si="231"/>
        <v>0</v>
      </c>
      <c r="S422">
        <f t="shared" si="232"/>
        <v>0</v>
      </c>
      <c r="T422">
        <v>50</v>
      </c>
      <c r="U422" s="3"/>
      <c r="V422">
        <f t="shared" si="233"/>
        <v>822.1547108167955</v>
      </c>
      <c r="W422" s="3"/>
      <c r="X422">
        <f t="shared" si="234"/>
        <v>849.99716281097255</v>
      </c>
      <c r="Y422">
        <f t="shared" si="235"/>
        <v>29.1547108167955</v>
      </c>
      <c r="AA422">
        <f t="shared" si="236"/>
        <v>3.0674857257032821E-5</v>
      </c>
    </row>
    <row r="423" spans="2:27" x14ac:dyDescent="0.35">
      <c r="B423">
        <v>386.33461047254156</v>
      </c>
      <c r="C423">
        <v>816</v>
      </c>
      <c r="D423">
        <f t="shared" si="219"/>
        <v>18.241689073956834</v>
      </c>
      <c r="E423">
        <f t="shared" si="220"/>
        <v>307.82931927541426</v>
      </c>
      <c r="F423">
        <f t="shared" si="221"/>
        <v>36.430875954260109</v>
      </c>
      <c r="G423">
        <f t="shared" si="222"/>
        <v>36.430875954260109</v>
      </c>
      <c r="H423">
        <f t="shared" si="223"/>
        <v>36.430875954260109</v>
      </c>
      <c r="I423" s="3"/>
      <c r="J423">
        <f t="shared" si="224"/>
        <v>15.500797593697623</v>
      </c>
      <c r="K423">
        <f t="shared" si="225"/>
        <v>302.11849995105791</v>
      </c>
      <c r="L423">
        <f t="shared" si="226"/>
        <v>32.936300544721156</v>
      </c>
      <c r="M423">
        <f t="shared" si="227"/>
        <v>32.936300544721156</v>
      </c>
      <c r="N423">
        <f t="shared" si="228"/>
        <v>32.936300544721156</v>
      </c>
      <c r="O423" s="3"/>
      <c r="P423">
        <f t="shared" si="229"/>
        <v>89.769471495243508</v>
      </c>
      <c r="Q423">
        <f t="shared" si="230"/>
        <v>680.18016678329457</v>
      </c>
      <c r="R423">
        <f t="shared" si="231"/>
        <v>0</v>
      </c>
      <c r="S423">
        <f t="shared" si="232"/>
        <v>0</v>
      </c>
      <c r="T423">
        <v>50</v>
      </c>
      <c r="U423" s="3"/>
      <c r="V423">
        <f t="shared" si="233"/>
        <v>819.94963827853803</v>
      </c>
      <c r="W423" s="3"/>
      <c r="X423">
        <f t="shared" si="234"/>
        <v>15.599642531292869</v>
      </c>
      <c r="Y423">
        <f t="shared" si="235"/>
        <v>3.949638278538032</v>
      </c>
      <c r="AA423">
        <f t="shared" si="236"/>
        <v>4.1555751031929978E-6</v>
      </c>
    </row>
    <row r="424" spans="2:27" x14ac:dyDescent="0.35">
      <c r="B424">
        <v>387.29246487867181</v>
      </c>
      <c r="C424">
        <v>843</v>
      </c>
      <c r="D424">
        <f t="shared" si="219"/>
        <v>18.281521740522148</v>
      </c>
      <c r="E424">
        <f t="shared" si="220"/>
        <v>308.22656601289702</v>
      </c>
      <c r="F424">
        <f t="shared" si="221"/>
        <v>36.526661394873138</v>
      </c>
      <c r="G424">
        <f t="shared" si="222"/>
        <v>36.526661394873138</v>
      </c>
      <c r="H424">
        <f t="shared" si="223"/>
        <v>36.526661394873138</v>
      </c>
      <c r="I424" s="3"/>
      <c r="J424">
        <f t="shared" si="224"/>
        <v>15.538219009033799</v>
      </c>
      <c r="K424">
        <f t="shared" si="225"/>
        <v>302.51443701090903</v>
      </c>
      <c r="L424">
        <f t="shared" si="226"/>
        <v>33.029267337446797</v>
      </c>
      <c r="M424">
        <f t="shared" si="227"/>
        <v>33.029267337446797</v>
      </c>
      <c r="N424">
        <f t="shared" si="228"/>
        <v>33.029267337446797</v>
      </c>
      <c r="O424" s="3"/>
      <c r="P424">
        <f t="shared" si="229"/>
        <v>89.350641209880521</v>
      </c>
      <c r="Q424">
        <f t="shared" si="230"/>
        <v>678.40379385921176</v>
      </c>
      <c r="R424">
        <f t="shared" si="231"/>
        <v>0</v>
      </c>
      <c r="S424">
        <f t="shared" si="232"/>
        <v>0</v>
      </c>
      <c r="T424">
        <v>50</v>
      </c>
      <c r="U424" s="3"/>
      <c r="V424">
        <f t="shared" si="233"/>
        <v>817.75443506909232</v>
      </c>
      <c r="W424" s="3"/>
      <c r="X424">
        <f t="shared" si="234"/>
        <v>637.33854868067544</v>
      </c>
      <c r="Y424">
        <f t="shared" si="235"/>
        <v>25.245564930907676</v>
      </c>
      <c r="AA424">
        <f t="shared" si="236"/>
        <v>2.6561885847367982E-5</v>
      </c>
    </row>
    <row r="425" spans="2:27" x14ac:dyDescent="0.35">
      <c r="B425">
        <v>388.250319284802</v>
      </c>
      <c r="C425">
        <v>795</v>
      </c>
      <c r="D425">
        <f t="shared" si="219"/>
        <v>18.321354407087458</v>
      </c>
      <c r="E425">
        <f t="shared" si="220"/>
        <v>308.62381275037978</v>
      </c>
      <c r="F425">
        <f t="shared" si="221"/>
        <v>36.622446835486151</v>
      </c>
      <c r="G425">
        <f t="shared" si="222"/>
        <v>36.622446835486151</v>
      </c>
      <c r="H425">
        <f t="shared" si="223"/>
        <v>36.622446835486151</v>
      </c>
      <c r="I425" s="3"/>
      <c r="J425">
        <f t="shared" si="224"/>
        <v>15.57564587459961</v>
      </c>
      <c r="K425">
        <f t="shared" si="225"/>
        <v>302.91037577813586</v>
      </c>
      <c r="L425">
        <f t="shared" si="226"/>
        <v>33.122241820444458</v>
      </c>
      <c r="M425">
        <f t="shared" si="227"/>
        <v>33.122241820444458</v>
      </c>
      <c r="N425">
        <f t="shared" si="228"/>
        <v>33.122241820444458</v>
      </c>
      <c r="O425" s="3"/>
      <c r="P425">
        <f t="shared" si="229"/>
        <v>88.934675834195204</v>
      </c>
      <c r="Q425">
        <f t="shared" si="230"/>
        <v>676.63436306983726</v>
      </c>
      <c r="R425">
        <f t="shared" si="231"/>
        <v>0</v>
      </c>
      <c r="S425">
        <f t="shared" si="232"/>
        <v>0</v>
      </c>
      <c r="T425">
        <v>50</v>
      </c>
      <c r="U425" s="3"/>
      <c r="V425">
        <f t="shared" si="233"/>
        <v>815.56903890403248</v>
      </c>
      <c r="W425" s="3"/>
      <c r="X425">
        <f t="shared" si="234"/>
        <v>423.08536143560178</v>
      </c>
      <c r="Y425">
        <f t="shared" si="235"/>
        <v>20.569038904032482</v>
      </c>
      <c r="AA425">
        <f t="shared" si="236"/>
        <v>2.1641522574529227E-5</v>
      </c>
    </row>
    <row r="426" spans="2:27" x14ac:dyDescent="0.35">
      <c r="B426">
        <v>389.20817369093237</v>
      </c>
      <c r="C426">
        <v>840</v>
      </c>
      <c r="D426">
        <f t="shared" si="219"/>
        <v>18.361187073652776</v>
      </c>
      <c r="E426">
        <f t="shared" si="220"/>
        <v>309.02105948786254</v>
      </c>
      <c r="F426">
        <f t="shared" si="221"/>
        <v>36.718232276099194</v>
      </c>
      <c r="G426">
        <f t="shared" si="222"/>
        <v>36.718232276099194</v>
      </c>
      <c r="H426">
        <f t="shared" si="223"/>
        <v>36.718232276099194</v>
      </c>
      <c r="I426" s="3"/>
      <c r="J426">
        <f t="shared" si="224"/>
        <v>15.613078166598616</v>
      </c>
      <c r="K426">
        <f t="shared" si="225"/>
        <v>303.30631624829977</v>
      </c>
      <c r="L426">
        <f t="shared" si="226"/>
        <v>33.215223952493986</v>
      </c>
      <c r="M426">
        <f t="shared" si="227"/>
        <v>33.215223952493986</v>
      </c>
      <c r="N426">
        <f t="shared" si="228"/>
        <v>33.215223952493986</v>
      </c>
      <c r="O426" s="3"/>
      <c r="P426">
        <f t="shared" si="229"/>
        <v>88.521549703416483</v>
      </c>
      <c r="Q426">
        <f t="shared" si="230"/>
        <v>674.87183831836899</v>
      </c>
      <c r="R426">
        <f t="shared" si="231"/>
        <v>0</v>
      </c>
      <c r="S426">
        <f t="shared" si="232"/>
        <v>0</v>
      </c>
      <c r="T426">
        <v>50</v>
      </c>
      <c r="U426" s="3"/>
      <c r="V426">
        <f t="shared" si="233"/>
        <v>813.39338802178543</v>
      </c>
      <c r="W426" s="3"/>
      <c r="X426">
        <f t="shared" si="234"/>
        <v>707.9118009592712</v>
      </c>
      <c r="Y426">
        <f t="shared" si="235"/>
        <v>26.606611978214573</v>
      </c>
      <c r="AA426">
        <f t="shared" si="236"/>
        <v>2.7993898812908827E-5</v>
      </c>
    </row>
    <row r="427" spans="2:27" x14ac:dyDescent="0.35">
      <c r="B427">
        <v>390.16602809706262</v>
      </c>
      <c r="C427">
        <v>852</v>
      </c>
      <c r="D427">
        <f t="shared" si="219"/>
        <v>18.401019740218089</v>
      </c>
      <c r="E427">
        <f t="shared" si="220"/>
        <v>309.4183062253453</v>
      </c>
      <c r="F427">
        <f t="shared" si="221"/>
        <v>36.814017716712215</v>
      </c>
      <c r="G427">
        <f t="shared" si="222"/>
        <v>36.814017716712215</v>
      </c>
      <c r="H427">
        <f t="shared" si="223"/>
        <v>36.814017716712215</v>
      </c>
      <c r="I427" s="3"/>
      <c r="J427">
        <f t="shared" si="224"/>
        <v>15.650515861386275</v>
      </c>
      <c r="K427">
        <f t="shared" si="225"/>
        <v>303.70225841697953</v>
      </c>
      <c r="L427">
        <f t="shared" si="226"/>
        <v>33.308213692702253</v>
      </c>
      <c r="M427">
        <f t="shared" si="227"/>
        <v>33.308213692702253</v>
      </c>
      <c r="N427">
        <f t="shared" si="228"/>
        <v>33.308213692702253</v>
      </c>
      <c r="O427" s="3"/>
      <c r="P427">
        <f t="shared" si="229"/>
        <v>88.111237435878508</v>
      </c>
      <c r="Q427">
        <f t="shared" si="230"/>
        <v>673.11618374216005</v>
      </c>
      <c r="R427">
        <f t="shared" si="231"/>
        <v>0</v>
      </c>
      <c r="S427">
        <f t="shared" si="232"/>
        <v>0</v>
      </c>
      <c r="T427">
        <v>50</v>
      </c>
      <c r="U427" s="3"/>
      <c r="V427">
        <f t="shared" si="233"/>
        <v>811.22742117803853</v>
      </c>
      <c r="W427" s="3"/>
      <c r="X427">
        <f t="shared" si="234"/>
        <v>1662.4031837930613</v>
      </c>
      <c r="Y427">
        <f t="shared" si="235"/>
        <v>40.772578821961474</v>
      </c>
      <c r="AA427">
        <f t="shared" si="236"/>
        <v>4.289848879736739E-5</v>
      </c>
    </row>
    <row r="428" spans="2:27" x14ac:dyDescent="0.35">
      <c r="B428">
        <v>391.44316730523627</v>
      </c>
      <c r="C428">
        <v>776</v>
      </c>
      <c r="D428">
        <f t="shared" si="219"/>
        <v>18.454129962305171</v>
      </c>
      <c r="E428">
        <f t="shared" si="220"/>
        <v>309.94796854198898</v>
      </c>
      <c r="F428">
        <f t="shared" si="221"/>
        <v>36.941731637529578</v>
      </c>
      <c r="G428">
        <f t="shared" si="222"/>
        <v>36.941731637529578</v>
      </c>
      <c r="H428">
        <f t="shared" si="223"/>
        <v>36.941731637529578</v>
      </c>
      <c r="I428" s="3"/>
      <c r="J428">
        <f t="shared" si="224"/>
        <v>15.700441151522579</v>
      </c>
      <c r="K428">
        <f t="shared" si="225"/>
        <v>304.23018394307866</v>
      </c>
      <c r="L428">
        <f t="shared" si="226"/>
        <v>33.432211777819802</v>
      </c>
      <c r="M428">
        <f t="shared" si="227"/>
        <v>33.432211777819802</v>
      </c>
      <c r="N428">
        <f t="shared" si="228"/>
        <v>33.432211777819802</v>
      </c>
      <c r="O428" s="3"/>
      <c r="P428">
        <f t="shared" si="229"/>
        <v>87.568488186257852</v>
      </c>
      <c r="Q428">
        <f t="shared" si="230"/>
        <v>670.78593636316123</v>
      </c>
      <c r="R428">
        <f t="shared" si="231"/>
        <v>0</v>
      </c>
      <c r="S428">
        <f t="shared" si="232"/>
        <v>0</v>
      </c>
      <c r="T428">
        <v>50</v>
      </c>
      <c r="U428" s="3"/>
      <c r="V428">
        <f t="shared" si="233"/>
        <v>808.35442454941904</v>
      </c>
      <c r="W428" s="3"/>
      <c r="X428">
        <f t="shared" si="234"/>
        <v>1046.8087879240493</v>
      </c>
      <c r="Y428">
        <f t="shared" si="235"/>
        <v>32.354424549419036</v>
      </c>
      <c r="AA428">
        <f t="shared" si="236"/>
        <v>3.4041406238717519E-5</v>
      </c>
    </row>
    <row r="429" spans="2:27" x14ac:dyDescent="0.35">
      <c r="B429">
        <v>392.40102171136658</v>
      </c>
      <c r="C429">
        <v>767</v>
      </c>
      <c r="D429">
        <f t="shared" si="219"/>
        <v>18.493962628870488</v>
      </c>
      <c r="E429">
        <f t="shared" si="220"/>
        <v>310.34521527947174</v>
      </c>
      <c r="F429">
        <f t="shared" si="221"/>
        <v>37.037517078142614</v>
      </c>
      <c r="G429">
        <f t="shared" si="222"/>
        <v>37.037517078142614</v>
      </c>
      <c r="H429">
        <f t="shared" si="223"/>
        <v>37.037517078142614</v>
      </c>
      <c r="I429" s="3"/>
      <c r="J429">
        <f t="shared" si="224"/>
        <v>15.737891361710096</v>
      </c>
      <c r="K429">
        <f t="shared" si="225"/>
        <v>304.62613005786443</v>
      </c>
      <c r="L429">
        <f t="shared" si="226"/>
        <v>33.525219113181713</v>
      </c>
      <c r="M429">
        <f t="shared" si="227"/>
        <v>33.525219113181713</v>
      </c>
      <c r="N429">
        <f t="shared" si="228"/>
        <v>33.525219113181713</v>
      </c>
      <c r="O429" s="3"/>
      <c r="P429">
        <f t="shared" si="229"/>
        <v>87.164644455826775</v>
      </c>
      <c r="Q429">
        <f t="shared" si="230"/>
        <v>669.04617403177031</v>
      </c>
      <c r="R429">
        <f t="shared" si="231"/>
        <v>0</v>
      </c>
      <c r="S429">
        <f t="shared" si="232"/>
        <v>0</v>
      </c>
      <c r="T429">
        <v>50</v>
      </c>
      <c r="U429" s="3"/>
      <c r="V429">
        <f t="shared" si="233"/>
        <v>806.21081848759707</v>
      </c>
      <c r="W429" s="3"/>
      <c r="X429">
        <f t="shared" si="234"/>
        <v>1537.4882864672838</v>
      </c>
      <c r="Y429">
        <f t="shared" si="235"/>
        <v>39.210818487597066</v>
      </c>
      <c r="AA429">
        <f t="shared" si="236"/>
        <v>4.1255297217544695E-5</v>
      </c>
    </row>
    <row r="430" spans="2:27" x14ac:dyDescent="0.35">
      <c r="B430">
        <v>393.35887611749689</v>
      </c>
      <c r="C430">
        <v>797</v>
      </c>
      <c r="D430">
        <f t="shared" si="219"/>
        <v>18.533795295435802</v>
      </c>
      <c r="E430">
        <f t="shared" si="220"/>
        <v>310.74246201695451</v>
      </c>
      <c r="F430">
        <f t="shared" si="221"/>
        <v>37.133302518755642</v>
      </c>
      <c r="G430">
        <f t="shared" si="222"/>
        <v>37.133302518755642</v>
      </c>
      <c r="H430">
        <f t="shared" si="223"/>
        <v>37.133302518755642</v>
      </c>
      <c r="I430" s="3"/>
      <c r="J430">
        <f t="shared" si="224"/>
        <v>15.775346896952227</v>
      </c>
      <c r="K430">
        <f t="shared" si="225"/>
        <v>305.02207785655196</v>
      </c>
      <c r="L430">
        <f t="shared" si="226"/>
        <v>33.618233922710843</v>
      </c>
      <c r="M430">
        <f t="shared" si="227"/>
        <v>33.618233922710843</v>
      </c>
      <c r="N430">
        <f t="shared" si="228"/>
        <v>33.618233922710843</v>
      </c>
      <c r="O430" s="3"/>
      <c r="P430">
        <f t="shared" si="229"/>
        <v>86.76353198065749</v>
      </c>
      <c r="Q430">
        <f t="shared" si="230"/>
        <v>667.31316400137291</v>
      </c>
      <c r="R430">
        <f t="shared" si="231"/>
        <v>0</v>
      </c>
      <c r="S430">
        <f t="shared" si="232"/>
        <v>0</v>
      </c>
      <c r="T430">
        <v>50</v>
      </c>
      <c r="U430" s="3"/>
      <c r="V430">
        <f t="shared" si="233"/>
        <v>804.0766959820304</v>
      </c>
      <c r="W430" s="3"/>
      <c r="X430">
        <f t="shared" si="234"/>
        <v>50.079626022085222</v>
      </c>
      <c r="Y430">
        <f t="shared" si="235"/>
        <v>7.076695982030401</v>
      </c>
      <c r="AA430">
        <f t="shared" si="236"/>
        <v>7.4456797209988567E-6</v>
      </c>
    </row>
    <row r="431" spans="2:27" x14ac:dyDescent="0.35">
      <c r="B431">
        <v>394.31673052362709</v>
      </c>
      <c r="C431">
        <v>793</v>
      </c>
      <c r="D431">
        <f t="shared" si="219"/>
        <v>18.573627962001112</v>
      </c>
      <c r="E431">
        <f t="shared" si="220"/>
        <v>311.13970875443727</v>
      </c>
      <c r="F431">
        <f t="shared" si="221"/>
        <v>37.229087959368663</v>
      </c>
      <c r="G431">
        <f t="shared" si="222"/>
        <v>37.229087959368663</v>
      </c>
      <c r="H431">
        <f t="shared" si="223"/>
        <v>37.229087959368663</v>
      </c>
      <c r="I431" s="3"/>
      <c r="J431">
        <f t="shared" si="224"/>
        <v>15.812807734248306</v>
      </c>
      <c r="K431">
        <f t="shared" si="225"/>
        <v>305.41802733479369</v>
      </c>
      <c r="L431">
        <f t="shared" si="226"/>
        <v>33.711256166892547</v>
      </c>
      <c r="M431">
        <f t="shared" si="227"/>
        <v>33.711256166892547</v>
      </c>
      <c r="N431">
        <f t="shared" si="228"/>
        <v>33.711256166892547</v>
      </c>
      <c r="O431" s="3"/>
      <c r="P431">
        <f t="shared" si="229"/>
        <v>86.365126563841343</v>
      </c>
      <c r="Q431">
        <f t="shared" si="230"/>
        <v>665.58687140318534</v>
      </c>
      <c r="R431">
        <f t="shared" si="231"/>
        <v>0</v>
      </c>
      <c r="S431">
        <f t="shared" si="232"/>
        <v>0</v>
      </c>
      <c r="T431">
        <v>50</v>
      </c>
      <c r="U431" s="3"/>
      <c r="V431">
        <f t="shared" si="233"/>
        <v>801.95199796702673</v>
      </c>
      <c r="W431" s="3"/>
      <c r="X431">
        <f t="shared" si="234"/>
        <v>80.138267601650668</v>
      </c>
      <c r="Y431">
        <f t="shared" si="235"/>
        <v>8.9519979670267276</v>
      </c>
      <c r="AA431">
        <f t="shared" si="236"/>
        <v>9.418761226250959E-6</v>
      </c>
    </row>
    <row r="432" spans="2:27" x14ac:dyDescent="0.35">
      <c r="B432">
        <v>395.27458492975734</v>
      </c>
      <c r="C432">
        <v>820</v>
      </c>
      <c r="D432">
        <f t="shared" si="219"/>
        <v>18.613460628566425</v>
      </c>
      <c r="E432">
        <f t="shared" si="220"/>
        <v>311.53695549192003</v>
      </c>
      <c r="F432">
        <f t="shared" si="221"/>
        <v>37.324873399981691</v>
      </c>
      <c r="G432">
        <f t="shared" si="222"/>
        <v>37.324873399981691</v>
      </c>
      <c r="H432">
        <f t="shared" si="223"/>
        <v>37.324873399981691</v>
      </c>
      <c r="I432" s="3"/>
      <c r="J432">
        <f t="shared" si="224"/>
        <v>15.850273850742992</v>
      </c>
      <c r="K432">
        <f t="shared" si="225"/>
        <v>305.81397848825901</v>
      </c>
      <c r="L432">
        <f t="shared" si="226"/>
        <v>33.80428580652152</v>
      </c>
      <c r="M432">
        <f t="shared" si="227"/>
        <v>33.80428580652152</v>
      </c>
      <c r="N432">
        <f t="shared" si="228"/>
        <v>33.80428580652152</v>
      </c>
      <c r="O432" s="3"/>
      <c r="P432">
        <f t="shared" si="229"/>
        <v>85.969404272480404</v>
      </c>
      <c r="Q432">
        <f t="shared" si="230"/>
        <v>663.86726159306284</v>
      </c>
      <c r="R432">
        <f t="shared" si="231"/>
        <v>0</v>
      </c>
      <c r="S432">
        <f t="shared" si="232"/>
        <v>0</v>
      </c>
      <c r="T432">
        <v>50</v>
      </c>
      <c r="U432" s="3"/>
      <c r="V432">
        <f t="shared" si="233"/>
        <v>799.83666586554318</v>
      </c>
      <c r="W432" s="3"/>
      <c r="X432">
        <f t="shared" si="234"/>
        <v>406.5600434177515</v>
      </c>
      <c r="Y432">
        <f t="shared" si="235"/>
        <v>20.163334134456818</v>
      </c>
      <c r="AA432">
        <f t="shared" si="236"/>
        <v>2.121466408248541E-5</v>
      </c>
    </row>
    <row r="433" spans="2:27" x14ac:dyDescent="0.35">
      <c r="B433">
        <v>396.23243933588759</v>
      </c>
      <c r="C433">
        <v>799</v>
      </c>
      <c r="D433">
        <f t="shared" si="219"/>
        <v>18.653293295131739</v>
      </c>
      <c r="E433">
        <f t="shared" si="220"/>
        <v>311.93420222940279</v>
      </c>
      <c r="F433">
        <f t="shared" si="221"/>
        <v>37.420658840594712</v>
      </c>
      <c r="G433">
        <f t="shared" si="222"/>
        <v>37.420658840594712</v>
      </c>
      <c r="H433">
        <f t="shared" si="223"/>
        <v>37.420658840594712</v>
      </c>
      <c r="I433" s="3"/>
      <c r="J433">
        <f t="shared" si="224"/>
        <v>15.887745223725053</v>
      </c>
      <c r="K433">
        <f t="shared" si="225"/>
        <v>306.20993131263384</v>
      </c>
      <c r="L433">
        <f t="shared" si="226"/>
        <v>33.897322802698589</v>
      </c>
      <c r="M433">
        <f t="shared" si="227"/>
        <v>33.897322802698589</v>
      </c>
      <c r="N433">
        <f t="shared" si="228"/>
        <v>33.897322802698589</v>
      </c>
      <c r="O433" s="3"/>
      <c r="P433">
        <f t="shared" si="229"/>
        <v>85.57634143427569</v>
      </c>
      <c r="Q433">
        <f t="shared" si="230"/>
        <v>662.15430014976926</v>
      </c>
      <c r="R433">
        <f t="shared" si="231"/>
        <v>0</v>
      </c>
      <c r="S433">
        <f t="shared" si="232"/>
        <v>0</v>
      </c>
      <c r="T433">
        <v>50</v>
      </c>
      <c r="U433" s="3"/>
      <c r="V433">
        <f t="shared" si="233"/>
        <v>797.73064158404497</v>
      </c>
      <c r="W433" s="3"/>
      <c r="X433">
        <f t="shared" si="234"/>
        <v>1.6112707881558517</v>
      </c>
      <c r="Y433">
        <f t="shared" si="235"/>
        <v>1.2693584159550255</v>
      </c>
      <c r="AA433">
        <f t="shared" si="236"/>
        <v>1.3355436266238862E-6</v>
      </c>
    </row>
    <row r="434" spans="2:27" x14ac:dyDescent="0.35">
      <c r="B434">
        <v>397.1902937420179</v>
      </c>
      <c r="C434">
        <v>814</v>
      </c>
      <c r="D434">
        <f t="shared" si="219"/>
        <v>18.693125961697053</v>
      </c>
      <c r="E434">
        <f t="shared" si="220"/>
        <v>312.33144896688555</v>
      </c>
      <c r="F434">
        <f t="shared" si="221"/>
        <v>37.516444281207747</v>
      </c>
      <c r="G434">
        <f t="shared" si="222"/>
        <v>37.516444281207747</v>
      </c>
      <c r="H434">
        <f t="shared" si="223"/>
        <v>37.516444281207747</v>
      </c>
      <c r="I434" s="3"/>
      <c r="J434">
        <f t="shared" si="224"/>
        <v>15.925221830626192</v>
      </c>
      <c r="K434">
        <f t="shared" si="225"/>
        <v>306.60588580362094</v>
      </c>
      <c r="L434">
        <f t="shared" si="226"/>
        <v>33.990367116827613</v>
      </c>
      <c r="M434">
        <f t="shared" si="227"/>
        <v>33.990367116827613</v>
      </c>
      <c r="N434">
        <f t="shared" si="228"/>
        <v>33.990367116827613</v>
      </c>
      <c r="O434" s="3"/>
      <c r="P434">
        <f t="shared" si="229"/>
        <v>85.185914634165528</v>
      </c>
      <c r="Q434">
        <f t="shared" si="230"/>
        <v>660.4479528732569</v>
      </c>
      <c r="R434">
        <f t="shared" si="231"/>
        <v>0</v>
      </c>
      <c r="S434">
        <f t="shared" si="232"/>
        <v>0</v>
      </c>
      <c r="T434">
        <v>50</v>
      </c>
      <c r="U434" s="3"/>
      <c r="V434">
        <f t="shared" si="233"/>
        <v>795.63386750742245</v>
      </c>
      <c r="W434" s="3"/>
      <c r="X434">
        <f t="shared" si="234"/>
        <v>337.31482273491281</v>
      </c>
      <c r="Y434">
        <f t="shared" si="235"/>
        <v>18.366132492577549</v>
      </c>
      <c r="AA434">
        <f t="shared" si="236"/>
        <v>1.9323755125330091E-5</v>
      </c>
    </row>
    <row r="435" spans="2:27" x14ac:dyDescent="0.35">
      <c r="B435">
        <v>398.46743295019161</v>
      </c>
      <c r="C435">
        <v>780</v>
      </c>
      <c r="D435">
        <f t="shared" si="219"/>
        <v>18.746236183784141</v>
      </c>
      <c r="E435">
        <f t="shared" si="220"/>
        <v>312.86111128352923</v>
      </c>
      <c r="F435">
        <f t="shared" si="221"/>
        <v>37.644158202025118</v>
      </c>
      <c r="G435">
        <f t="shared" si="222"/>
        <v>37.644158202025118</v>
      </c>
      <c r="H435">
        <f t="shared" si="223"/>
        <v>37.644158202025118</v>
      </c>
      <c r="I435" s="3"/>
      <c r="J435">
        <f t="shared" si="224"/>
        <v>15.975198742737962</v>
      </c>
      <c r="K435">
        <f t="shared" si="225"/>
        <v>307.13382771004831</v>
      </c>
      <c r="L435">
        <f t="shared" si="226"/>
        <v>34.114437519665444</v>
      </c>
      <c r="M435">
        <f t="shared" si="227"/>
        <v>34.114437519665444</v>
      </c>
      <c r="N435">
        <f t="shared" si="228"/>
        <v>34.114437519665444</v>
      </c>
      <c r="O435" s="3"/>
      <c r="P435">
        <f t="shared" si="229"/>
        <v>84.669406075628075</v>
      </c>
      <c r="Q435">
        <f t="shared" si="230"/>
        <v>658.18305317469185</v>
      </c>
      <c r="R435">
        <f t="shared" si="231"/>
        <v>0</v>
      </c>
      <c r="S435">
        <f t="shared" si="232"/>
        <v>0</v>
      </c>
      <c r="T435">
        <v>50</v>
      </c>
      <c r="U435" s="3"/>
      <c r="V435">
        <f t="shared" si="233"/>
        <v>792.85245925031995</v>
      </c>
      <c r="W435" s="3"/>
      <c r="X435">
        <f t="shared" si="234"/>
        <v>165.18570878113493</v>
      </c>
      <c r="Y435">
        <f t="shared" si="235"/>
        <v>12.852459250319953</v>
      </c>
      <c r="AA435">
        <f t="shared" si="236"/>
        <v>1.3522595212238458E-5</v>
      </c>
    </row>
    <row r="436" spans="2:27" x14ac:dyDescent="0.35">
      <c r="B436">
        <v>399.4252873563218</v>
      </c>
      <c r="C436">
        <v>815</v>
      </c>
      <c r="D436">
        <f t="shared" si="219"/>
        <v>18.786068850349452</v>
      </c>
      <c r="E436">
        <f t="shared" si="220"/>
        <v>313.25835802101199</v>
      </c>
      <c r="F436">
        <f t="shared" si="221"/>
        <v>37.739943642638131</v>
      </c>
      <c r="G436">
        <f t="shared" si="222"/>
        <v>37.739943642638131</v>
      </c>
      <c r="H436">
        <f t="shared" si="223"/>
        <v>37.739943642638131</v>
      </c>
      <c r="I436" s="3"/>
      <c r="J436">
        <f t="shared" si="224"/>
        <v>16.012687475145459</v>
      </c>
      <c r="K436">
        <f t="shared" si="225"/>
        <v>307.52978607317795</v>
      </c>
      <c r="L436">
        <f t="shared" si="226"/>
        <v>34.207498760598178</v>
      </c>
      <c r="M436">
        <f t="shared" si="227"/>
        <v>34.207498760598178</v>
      </c>
      <c r="N436">
        <f t="shared" si="228"/>
        <v>34.207498760598178</v>
      </c>
      <c r="O436" s="3"/>
      <c r="P436">
        <f t="shared" si="229"/>
        <v>84.285040392771521</v>
      </c>
      <c r="Q436">
        <f t="shared" si="230"/>
        <v>656.49200718358009</v>
      </c>
      <c r="R436">
        <f t="shared" si="231"/>
        <v>0</v>
      </c>
      <c r="S436">
        <f t="shared" si="232"/>
        <v>0</v>
      </c>
      <c r="T436">
        <v>50</v>
      </c>
      <c r="U436" s="3"/>
      <c r="V436">
        <f t="shared" si="233"/>
        <v>790.77704757635161</v>
      </c>
      <c r="W436" s="3"/>
      <c r="X436">
        <f t="shared" si="234"/>
        <v>586.7514241183336</v>
      </c>
      <c r="Y436">
        <f t="shared" si="235"/>
        <v>24.222952423648394</v>
      </c>
      <c r="AA436">
        <f t="shared" si="236"/>
        <v>2.5485953628847602E-5</v>
      </c>
    </row>
    <row r="437" spans="2:27" x14ac:dyDescent="0.35">
      <c r="B437">
        <v>400.38314176245217</v>
      </c>
      <c r="C437">
        <v>821</v>
      </c>
      <c r="D437">
        <f t="shared" si="219"/>
        <v>18.825901516914769</v>
      </c>
      <c r="E437">
        <f t="shared" si="220"/>
        <v>313.6556047584948</v>
      </c>
      <c r="F437">
        <f t="shared" si="221"/>
        <v>37.835729083251174</v>
      </c>
      <c r="G437">
        <f t="shared" si="222"/>
        <v>37.835729083251174</v>
      </c>
      <c r="H437">
        <f t="shared" si="223"/>
        <v>37.835729083251174</v>
      </c>
      <c r="I437" s="3"/>
      <c r="J437">
        <f t="shared" si="224"/>
        <v>16.050181367261676</v>
      </c>
      <c r="K437">
        <f t="shared" si="225"/>
        <v>307.92574608871422</v>
      </c>
      <c r="L437">
        <f t="shared" si="226"/>
        <v>34.300567192977589</v>
      </c>
      <c r="M437">
        <f t="shared" si="227"/>
        <v>34.300567192977589</v>
      </c>
      <c r="N437">
        <f t="shared" si="228"/>
        <v>34.300567192977589</v>
      </c>
      <c r="O437" s="3"/>
      <c r="P437">
        <f t="shared" si="229"/>
        <v>83.9032345134802</v>
      </c>
      <c r="Q437">
        <f t="shared" si="230"/>
        <v>654.807462934824</v>
      </c>
      <c r="R437">
        <f t="shared" si="231"/>
        <v>0</v>
      </c>
      <c r="S437">
        <f t="shared" si="232"/>
        <v>0</v>
      </c>
      <c r="T437">
        <v>50</v>
      </c>
      <c r="U437" s="3"/>
      <c r="V437">
        <f t="shared" si="233"/>
        <v>788.71069744830424</v>
      </c>
      <c r="W437" s="3"/>
      <c r="X437">
        <f t="shared" si="234"/>
        <v>1042.5990592749461</v>
      </c>
      <c r="Y437">
        <f t="shared" si="235"/>
        <v>32.289302551695755</v>
      </c>
      <c r="AA437">
        <f t="shared" si="236"/>
        <v>3.3972888735765515E-5</v>
      </c>
    </row>
    <row r="438" spans="2:27" x14ac:dyDescent="0.35">
      <c r="B438">
        <v>401.34099616858242</v>
      </c>
      <c r="C438">
        <v>775</v>
      </c>
      <c r="D438">
        <f t="shared" si="219"/>
        <v>18.865734183480082</v>
      </c>
      <c r="E438">
        <f t="shared" si="220"/>
        <v>314.05285149597756</v>
      </c>
      <c r="F438">
        <f t="shared" si="221"/>
        <v>37.931514523864195</v>
      </c>
      <c r="G438">
        <f t="shared" si="222"/>
        <v>37.931514523864195</v>
      </c>
      <c r="H438">
        <f t="shared" si="223"/>
        <v>37.931514523864195</v>
      </c>
      <c r="I438" s="3"/>
      <c r="J438">
        <f t="shared" si="224"/>
        <v>16.087680397124252</v>
      </c>
      <c r="K438">
        <f t="shared" si="225"/>
        <v>308.32170775243077</v>
      </c>
      <c r="L438">
        <f t="shared" si="226"/>
        <v>34.393642779484956</v>
      </c>
      <c r="M438">
        <f t="shared" si="227"/>
        <v>34.393642779484956</v>
      </c>
      <c r="N438">
        <f t="shared" si="228"/>
        <v>34.393642779484956</v>
      </c>
      <c r="O438" s="3"/>
      <c r="P438">
        <f t="shared" si="229"/>
        <v>83.523966099748662</v>
      </c>
      <c r="Q438">
        <f t="shared" si="230"/>
        <v>653.12938716738461</v>
      </c>
      <c r="R438">
        <f t="shared" si="231"/>
        <v>0</v>
      </c>
      <c r="S438">
        <f t="shared" si="232"/>
        <v>0</v>
      </c>
      <c r="T438">
        <v>50</v>
      </c>
      <c r="U438" s="3"/>
      <c r="V438">
        <f t="shared" si="233"/>
        <v>786.6533532671333</v>
      </c>
      <c r="W438" s="3"/>
      <c r="X438">
        <f t="shared" si="234"/>
        <v>135.8006423686063</v>
      </c>
      <c r="Y438">
        <f t="shared" si="235"/>
        <v>11.653353267133298</v>
      </c>
      <c r="AA438">
        <f t="shared" si="236"/>
        <v>1.2260967027982384E-5</v>
      </c>
    </row>
    <row r="439" spans="2:27" x14ac:dyDescent="0.35">
      <c r="B439">
        <v>402.29885057471267</v>
      </c>
      <c r="C439">
        <v>740</v>
      </c>
      <c r="D439">
        <f t="shared" si="219"/>
        <v>18.905566850045393</v>
      </c>
      <c r="E439">
        <f t="shared" si="220"/>
        <v>314.45009823346032</v>
      </c>
      <c r="F439">
        <f t="shared" si="221"/>
        <v>38.027299964477223</v>
      </c>
      <c r="G439">
        <f t="shared" si="222"/>
        <v>38.027299964477223</v>
      </c>
      <c r="H439">
        <f t="shared" si="223"/>
        <v>38.027299964477223</v>
      </c>
      <c r="I439" s="3"/>
      <c r="J439">
        <f t="shared" si="224"/>
        <v>16.12518454290764</v>
      </c>
      <c r="K439">
        <f t="shared" si="225"/>
        <v>308.71767106011754</v>
      </c>
      <c r="L439">
        <f t="shared" si="226"/>
        <v>34.48672548308847</v>
      </c>
      <c r="M439">
        <f t="shared" si="227"/>
        <v>34.48672548308847</v>
      </c>
      <c r="N439">
        <f t="shared" si="228"/>
        <v>34.48672548308847</v>
      </c>
      <c r="O439" s="3"/>
      <c r="P439">
        <f t="shared" si="229"/>
        <v>83.147213053705784</v>
      </c>
      <c r="Q439">
        <f t="shared" si="230"/>
        <v>651.45774683250545</v>
      </c>
      <c r="R439">
        <f t="shared" si="231"/>
        <v>0</v>
      </c>
      <c r="S439">
        <f t="shared" si="232"/>
        <v>0</v>
      </c>
      <c r="T439">
        <v>50</v>
      </c>
      <c r="U439" s="3"/>
      <c r="V439">
        <f t="shared" si="233"/>
        <v>784.60495988621119</v>
      </c>
      <c r="W439" s="3"/>
      <c r="X439">
        <f t="shared" si="234"/>
        <v>1989.6024464505094</v>
      </c>
      <c r="Y439">
        <f t="shared" si="235"/>
        <v>44.604959886211191</v>
      </c>
      <c r="AA439">
        <f t="shared" si="236"/>
        <v>4.6930692815412143E-5</v>
      </c>
    </row>
    <row r="440" spans="2:27" x14ac:dyDescent="0.35">
      <c r="B440">
        <v>403.25670498084298</v>
      </c>
      <c r="C440">
        <v>842</v>
      </c>
      <c r="D440">
        <f t="shared" si="219"/>
        <v>18.94539951661071</v>
      </c>
      <c r="E440">
        <f t="shared" si="220"/>
        <v>314.84734497094308</v>
      </c>
      <c r="F440">
        <f t="shared" si="221"/>
        <v>38.123085405090251</v>
      </c>
      <c r="G440">
        <f t="shared" si="222"/>
        <v>38.123085405090251</v>
      </c>
      <c r="H440">
        <f t="shared" si="223"/>
        <v>38.123085405090251</v>
      </c>
      <c r="I440" s="3"/>
      <c r="J440">
        <f t="shared" si="224"/>
        <v>16.162693782921995</v>
      </c>
      <c r="K440">
        <f t="shared" si="225"/>
        <v>309.11363600758045</v>
      </c>
      <c r="L440">
        <f t="shared" si="226"/>
        <v>34.579815267040232</v>
      </c>
      <c r="M440">
        <f t="shared" si="227"/>
        <v>34.579815267040232</v>
      </c>
      <c r="N440">
        <f t="shared" si="228"/>
        <v>34.579815267040232</v>
      </c>
      <c r="O440" s="3"/>
      <c r="P440">
        <f t="shared" si="229"/>
        <v>82.772953514556278</v>
      </c>
      <c r="Q440">
        <f t="shared" si="230"/>
        <v>649.79250909209202</v>
      </c>
      <c r="R440">
        <f t="shared" si="231"/>
        <v>0</v>
      </c>
      <c r="S440">
        <f t="shared" si="232"/>
        <v>0</v>
      </c>
      <c r="T440">
        <v>50</v>
      </c>
      <c r="U440" s="3"/>
      <c r="V440">
        <f t="shared" si="233"/>
        <v>782.56546260664834</v>
      </c>
      <c r="W440" s="3"/>
      <c r="X440">
        <f t="shared" si="234"/>
        <v>3532.4642351617167</v>
      </c>
      <c r="Y440">
        <f t="shared" si="235"/>
        <v>59.434537393351661</v>
      </c>
      <c r="AA440">
        <f t="shared" si="236"/>
        <v>6.2533494574350596E-5</v>
      </c>
    </row>
    <row r="441" spans="2:27" x14ac:dyDescent="0.35">
      <c r="B441">
        <v>404.53384418901669</v>
      </c>
      <c r="C441">
        <v>797</v>
      </c>
      <c r="D441">
        <f t="shared" si="219"/>
        <v>18.998509738697795</v>
      </c>
      <c r="E441">
        <f t="shared" si="220"/>
        <v>315.37700728758682</v>
      </c>
      <c r="F441">
        <f t="shared" si="221"/>
        <v>38.250799325907622</v>
      </c>
      <c r="G441">
        <f t="shared" si="222"/>
        <v>38.250799325907622</v>
      </c>
      <c r="H441">
        <f t="shared" si="223"/>
        <v>38.250799325907622</v>
      </c>
      <c r="I441" s="3"/>
      <c r="J441">
        <f t="shared" si="224"/>
        <v>16.212713990063627</v>
      </c>
      <c r="K441">
        <f t="shared" si="225"/>
        <v>309.64159181440829</v>
      </c>
      <c r="L441">
        <f t="shared" si="226"/>
        <v>34.703945929861952</v>
      </c>
      <c r="M441">
        <f t="shared" si="227"/>
        <v>34.703945929861952</v>
      </c>
      <c r="N441">
        <f t="shared" si="228"/>
        <v>34.703945929861952</v>
      </c>
      <c r="O441" s="3"/>
      <c r="P441">
        <f t="shared" si="229"/>
        <v>82.277782237994657</v>
      </c>
      <c r="Q441">
        <f t="shared" si="230"/>
        <v>647.58209533029901</v>
      </c>
      <c r="R441">
        <f t="shared" si="231"/>
        <v>0</v>
      </c>
      <c r="S441">
        <f t="shared" si="232"/>
        <v>0</v>
      </c>
      <c r="T441">
        <v>50</v>
      </c>
      <c r="U441" s="3"/>
      <c r="V441">
        <f t="shared" si="233"/>
        <v>779.85987756829365</v>
      </c>
      <c r="W441" s="3"/>
      <c r="X441">
        <f t="shared" si="234"/>
        <v>293.78379697388306</v>
      </c>
      <c r="Y441">
        <f t="shared" si="235"/>
        <v>17.140122431706345</v>
      </c>
      <c r="AA441">
        <f t="shared" si="236"/>
        <v>1.8033820066490641E-5</v>
      </c>
    </row>
    <row r="442" spans="2:27" x14ac:dyDescent="0.35">
      <c r="B442">
        <v>405.49169859514689</v>
      </c>
      <c r="C442">
        <v>746</v>
      </c>
      <c r="D442">
        <f t="shared" si="219"/>
        <v>19.038342405263105</v>
      </c>
      <c r="E442">
        <f t="shared" si="220"/>
        <v>315.77425402506952</v>
      </c>
      <c r="F442">
        <f t="shared" si="221"/>
        <v>38.346584766520643</v>
      </c>
      <c r="G442">
        <f t="shared" si="222"/>
        <v>38.346584766520643</v>
      </c>
      <c r="H442">
        <f t="shared" si="223"/>
        <v>38.346584766520643</v>
      </c>
      <c r="I442" s="3"/>
      <c r="J442">
        <f t="shared" si="224"/>
        <v>16.250235033021408</v>
      </c>
      <c r="K442">
        <f t="shared" si="225"/>
        <v>310.03756057179515</v>
      </c>
      <c r="L442">
        <f t="shared" si="226"/>
        <v>34.7970520932912</v>
      </c>
      <c r="M442">
        <f t="shared" si="227"/>
        <v>34.7970520932912</v>
      </c>
      <c r="N442">
        <f t="shared" si="228"/>
        <v>34.7970520932912</v>
      </c>
      <c r="O442" s="3"/>
      <c r="P442">
        <f t="shared" si="229"/>
        <v>81.909257176633744</v>
      </c>
      <c r="Q442">
        <f t="shared" si="230"/>
        <v>645.93167044459085</v>
      </c>
      <c r="R442">
        <f t="shared" si="231"/>
        <v>0</v>
      </c>
      <c r="S442">
        <f t="shared" si="232"/>
        <v>0</v>
      </c>
      <c r="T442">
        <v>50</v>
      </c>
      <c r="U442" s="3"/>
      <c r="V442">
        <f t="shared" si="233"/>
        <v>777.84092762122464</v>
      </c>
      <c r="W442" s="3"/>
      <c r="X442">
        <f t="shared" si="234"/>
        <v>1013.8446717800661</v>
      </c>
      <c r="Y442">
        <f t="shared" si="235"/>
        <v>31.840927621224637</v>
      </c>
      <c r="AA442">
        <f t="shared" si="236"/>
        <v>3.3501135231631628E-5</v>
      </c>
    </row>
    <row r="443" spans="2:27" x14ac:dyDescent="0.35">
      <c r="B443">
        <v>406.44955300127714</v>
      </c>
      <c r="C443">
        <v>761</v>
      </c>
      <c r="D443">
        <f t="shared" si="219"/>
        <v>19.078175071828419</v>
      </c>
      <c r="E443">
        <f t="shared" si="220"/>
        <v>316.17150076255228</v>
      </c>
      <c r="F443">
        <f t="shared" si="221"/>
        <v>38.442370207133671</v>
      </c>
      <c r="G443">
        <f t="shared" si="222"/>
        <v>38.442370207133671</v>
      </c>
      <c r="H443">
        <f t="shared" si="223"/>
        <v>38.442370207133671</v>
      </c>
      <c r="I443" s="3"/>
      <c r="J443">
        <f t="shared" si="224"/>
        <v>16.287761098876533</v>
      </c>
      <c r="K443">
        <f t="shared" si="225"/>
        <v>310.43353095509332</v>
      </c>
      <c r="L443">
        <f t="shared" si="226"/>
        <v>34.890165216589658</v>
      </c>
      <c r="M443">
        <f t="shared" si="227"/>
        <v>34.890165216589658</v>
      </c>
      <c r="N443">
        <f t="shared" si="228"/>
        <v>34.890165216589658</v>
      </c>
      <c r="O443" s="3"/>
      <c r="P443">
        <f t="shared" si="229"/>
        <v>81.543154426701122</v>
      </c>
      <c r="Q443">
        <f t="shared" si="230"/>
        <v>644.28754019392397</v>
      </c>
      <c r="R443">
        <f t="shared" si="231"/>
        <v>0</v>
      </c>
      <c r="S443">
        <f t="shared" si="232"/>
        <v>0</v>
      </c>
      <c r="T443">
        <v>50</v>
      </c>
      <c r="U443" s="3"/>
      <c r="V443">
        <f t="shared" si="233"/>
        <v>775.83069462062508</v>
      </c>
      <c r="W443" s="3"/>
      <c r="X443">
        <f t="shared" si="234"/>
        <v>219.94950293023771</v>
      </c>
      <c r="Y443">
        <f t="shared" si="235"/>
        <v>14.830694620625081</v>
      </c>
      <c r="AA443">
        <f t="shared" si="236"/>
        <v>1.5603977119479515E-5</v>
      </c>
    </row>
    <row r="444" spans="2:27" x14ac:dyDescent="0.35">
      <c r="B444">
        <v>407.40740740740739</v>
      </c>
      <c r="C444">
        <v>758</v>
      </c>
      <c r="D444">
        <f t="shared" si="219"/>
        <v>19.118007738393732</v>
      </c>
      <c r="E444">
        <f t="shared" si="220"/>
        <v>316.56874750003504</v>
      </c>
      <c r="F444">
        <f t="shared" si="221"/>
        <v>38.538155647746692</v>
      </c>
      <c r="G444">
        <f t="shared" si="222"/>
        <v>38.538155647746692</v>
      </c>
      <c r="H444">
        <f t="shared" si="223"/>
        <v>38.538155647746692</v>
      </c>
      <c r="I444" s="3"/>
      <c r="J444">
        <f t="shared" si="224"/>
        <v>16.325292166514537</v>
      </c>
      <c r="K444">
        <f t="shared" si="225"/>
        <v>310.82950296017742</v>
      </c>
      <c r="L444">
        <f t="shared" si="226"/>
        <v>34.983285264207026</v>
      </c>
      <c r="M444">
        <f t="shared" si="227"/>
        <v>34.983285264207026</v>
      </c>
      <c r="N444">
        <f t="shared" si="228"/>
        <v>34.983285264207026</v>
      </c>
      <c r="O444" s="3"/>
      <c r="P444">
        <f t="shared" si="229"/>
        <v>81.179453120469148</v>
      </c>
      <c r="Q444">
        <f t="shared" si="230"/>
        <v>642.64967263466269</v>
      </c>
      <c r="R444">
        <f t="shared" si="231"/>
        <v>0</v>
      </c>
      <c r="S444">
        <f t="shared" si="232"/>
        <v>0</v>
      </c>
      <c r="T444">
        <v>50</v>
      </c>
      <c r="U444" s="3"/>
      <c r="V444">
        <f t="shared" si="233"/>
        <v>773.82912575513183</v>
      </c>
      <c r="W444" s="3"/>
      <c r="X444">
        <f t="shared" si="234"/>
        <v>250.56122217177773</v>
      </c>
      <c r="Y444">
        <f t="shared" si="235"/>
        <v>15.829125755131827</v>
      </c>
      <c r="AA444">
        <f t="shared" si="236"/>
        <v>1.6654467132034477E-5</v>
      </c>
    </row>
    <row r="445" spans="2:27" x14ac:dyDescent="0.35">
      <c r="B445">
        <v>408.3652618135377</v>
      </c>
      <c r="C445">
        <v>797</v>
      </c>
      <c r="D445">
        <f t="shared" si="219"/>
        <v>19.157840404959046</v>
      </c>
      <c r="E445">
        <f t="shared" si="220"/>
        <v>316.9659942375178</v>
      </c>
      <c r="F445">
        <f t="shared" si="221"/>
        <v>38.633941088359727</v>
      </c>
      <c r="G445">
        <f t="shared" si="222"/>
        <v>38.633941088359727</v>
      </c>
      <c r="H445">
        <f t="shared" si="223"/>
        <v>38.633941088359727</v>
      </c>
      <c r="I445" s="3"/>
      <c r="J445">
        <f t="shared" si="224"/>
        <v>16.362828214950891</v>
      </c>
      <c r="K445">
        <f t="shared" si="225"/>
        <v>311.22547658293797</v>
      </c>
      <c r="L445">
        <f t="shared" si="226"/>
        <v>35.076412200862052</v>
      </c>
      <c r="M445">
        <f t="shared" si="227"/>
        <v>35.076412200862052</v>
      </c>
      <c r="N445">
        <f t="shared" si="228"/>
        <v>35.076412200862052</v>
      </c>
      <c r="O445" s="3"/>
      <c r="P445">
        <f t="shared" si="229"/>
        <v>80.818132611714958</v>
      </c>
      <c r="Q445">
        <f t="shared" si="230"/>
        <v>641.018036025416</v>
      </c>
      <c r="R445">
        <f t="shared" si="231"/>
        <v>0</v>
      </c>
      <c r="S445">
        <f t="shared" si="232"/>
        <v>0</v>
      </c>
      <c r="T445">
        <v>50</v>
      </c>
      <c r="U445" s="3"/>
      <c r="V445">
        <f t="shared" si="233"/>
        <v>771.83616863713098</v>
      </c>
      <c r="W445" s="3"/>
      <c r="X445">
        <f t="shared" si="234"/>
        <v>633.21840885891049</v>
      </c>
      <c r="Y445">
        <f t="shared" si="235"/>
        <v>25.163831362869018</v>
      </c>
      <c r="AA445">
        <f t="shared" si="236"/>
        <v>2.6475890635532457E-5</v>
      </c>
    </row>
    <row r="446" spans="2:27" x14ac:dyDescent="0.35">
      <c r="B446">
        <v>409.32311621966801</v>
      </c>
      <c r="C446">
        <v>863</v>
      </c>
      <c r="D446">
        <f t="shared" si="219"/>
        <v>19.197673071524363</v>
      </c>
      <c r="E446">
        <f t="shared" si="220"/>
        <v>317.36324097500062</v>
      </c>
      <c r="F446">
        <f t="shared" si="221"/>
        <v>38.729726528972755</v>
      </c>
      <c r="G446">
        <f t="shared" si="222"/>
        <v>38.729726528972755</v>
      </c>
      <c r="H446">
        <f t="shared" si="223"/>
        <v>38.729726528972755</v>
      </c>
      <c r="I446" s="3"/>
      <c r="J446">
        <f t="shared" si="224"/>
        <v>16.400369223329957</v>
      </c>
      <c r="K446">
        <f t="shared" si="225"/>
        <v>311.62145181928099</v>
      </c>
      <c r="L446">
        <f t="shared" si="226"/>
        <v>35.169545991539771</v>
      </c>
      <c r="M446">
        <f t="shared" si="227"/>
        <v>35.169545991539771</v>
      </c>
      <c r="N446">
        <f t="shared" si="228"/>
        <v>35.169545991539771</v>
      </c>
      <c r="O446" s="3"/>
      <c r="P446">
        <f t="shared" si="229"/>
        <v>80.459172472934284</v>
      </c>
      <c r="Q446">
        <f t="shared" si="230"/>
        <v>639.39259882550539</v>
      </c>
      <c r="R446">
        <f t="shared" si="231"/>
        <v>0</v>
      </c>
      <c r="S446">
        <f t="shared" si="232"/>
        <v>0</v>
      </c>
      <c r="T446">
        <v>50</v>
      </c>
      <c r="U446" s="3"/>
      <c r="V446">
        <f t="shared" si="233"/>
        <v>769.85177129843964</v>
      </c>
      <c r="W446" s="3"/>
      <c r="X446">
        <f t="shared" si="234"/>
        <v>8676.5925102381916</v>
      </c>
      <c r="Y446">
        <f t="shared" si="235"/>
        <v>93.148228701560356</v>
      </c>
      <c r="AA446">
        <f t="shared" si="236"/>
        <v>9.800504066463825E-5</v>
      </c>
    </row>
    <row r="447" spans="2:27" x14ac:dyDescent="0.35">
      <c r="B447">
        <v>410.2809706257982</v>
      </c>
      <c r="C447">
        <v>773</v>
      </c>
      <c r="D447">
        <f t="shared" si="219"/>
        <v>19.237505738089673</v>
      </c>
      <c r="E447">
        <f t="shared" si="220"/>
        <v>317.76048771248333</v>
      </c>
      <c r="F447">
        <f t="shared" si="221"/>
        <v>38.825511969585776</v>
      </c>
      <c r="G447">
        <f t="shared" si="222"/>
        <v>38.825511969585776</v>
      </c>
      <c r="H447">
        <f t="shared" si="223"/>
        <v>38.825511969585776</v>
      </c>
      <c r="I447" s="3"/>
      <c r="J447">
        <f t="shared" si="224"/>
        <v>16.437915170923951</v>
      </c>
      <c r="K447">
        <f t="shared" si="225"/>
        <v>312.01742866512785</v>
      </c>
      <c r="L447">
        <f t="shared" si="226"/>
        <v>35.262686601488923</v>
      </c>
      <c r="M447">
        <f t="shared" si="227"/>
        <v>35.262686601488923</v>
      </c>
      <c r="N447">
        <f t="shared" si="228"/>
        <v>35.262686601488923</v>
      </c>
      <c r="O447" s="3"/>
      <c r="P447">
        <f t="shared" si="229"/>
        <v>80.102552492595734</v>
      </c>
      <c r="Q447">
        <f t="shared" si="230"/>
        <v>637.77332969344468</v>
      </c>
      <c r="R447">
        <f t="shared" si="231"/>
        <v>0</v>
      </c>
      <c r="S447">
        <f t="shared" si="232"/>
        <v>0</v>
      </c>
      <c r="T447">
        <v>50</v>
      </c>
      <c r="U447" s="3"/>
      <c r="V447">
        <f t="shared" si="233"/>
        <v>767.87588218604037</v>
      </c>
      <c r="W447" s="3"/>
      <c r="X447">
        <f t="shared" si="234"/>
        <v>26.256583371338404</v>
      </c>
      <c r="Y447">
        <f t="shared" si="235"/>
        <v>5.1241178139596286</v>
      </c>
      <c r="AA447">
        <f t="shared" si="236"/>
        <v>5.3912927999574329E-6</v>
      </c>
    </row>
    <row r="448" spans="2:27" x14ac:dyDescent="0.35">
      <c r="B448">
        <v>411.55810983397197</v>
      </c>
      <c r="C448">
        <v>783</v>
      </c>
      <c r="D448">
        <f t="shared" si="219"/>
        <v>19.290615960176762</v>
      </c>
      <c r="E448">
        <f t="shared" si="220"/>
        <v>318.29015002912706</v>
      </c>
      <c r="F448">
        <f t="shared" si="221"/>
        <v>38.953225890403154</v>
      </c>
      <c r="G448">
        <f t="shared" si="222"/>
        <v>38.953225890403154</v>
      </c>
      <c r="H448">
        <f t="shared" si="223"/>
        <v>38.953225890403154</v>
      </c>
      <c r="I448" s="3"/>
      <c r="J448">
        <f t="shared" si="224"/>
        <v>16.487984082017416</v>
      </c>
      <c r="K448">
        <f t="shared" si="225"/>
        <v>312.54540028957621</v>
      </c>
      <c r="L448">
        <f t="shared" si="226"/>
        <v>35.386884629601283</v>
      </c>
      <c r="M448">
        <f t="shared" si="227"/>
        <v>35.386884629601283</v>
      </c>
      <c r="N448">
        <f t="shared" si="228"/>
        <v>35.386884629601283</v>
      </c>
      <c r="O448" s="3"/>
      <c r="P448">
        <f t="shared" si="229"/>
        <v>79.630664897424964</v>
      </c>
      <c r="Q448">
        <f t="shared" si="230"/>
        <v>635.62384515573251</v>
      </c>
      <c r="R448">
        <f t="shared" si="231"/>
        <v>0</v>
      </c>
      <c r="S448">
        <f t="shared" si="232"/>
        <v>0</v>
      </c>
      <c r="T448">
        <v>50</v>
      </c>
      <c r="U448" s="3"/>
      <c r="V448">
        <f t="shared" si="233"/>
        <v>765.25451005315745</v>
      </c>
      <c r="W448" s="3"/>
      <c r="X448">
        <f t="shared" si="234"/>
        <v>314.90241345349017</v>
      </c>
      <c r="Y448">
        <f t="shared" si="235"/>
        <v>17.745489946842554</v>
      </c>
      <c r="AA448">
        <f t="shared" si="236"/>
        <v>1.8670751855371573E-5</v>
      </c>
    </row>
    <row r="449" spans="2:27" x14ac:dyDescent="0.35">
      <c r="B449">
        <v>412.51596424010222</v>
      </c>
      <c r="C449">
        <v>768</v>
      </c>
      <c r="D449">
        <f t="shared" si="219"/>
        <v>19.330448626742072</v>
      </c>
      <c r="E449">
        <f t="shared" si="220"/>
        <v>318.68739676660982</v>
      </c>
      <c r="F449">
        <f t="shared" si="221"/>
        <v>39.049011331016175</v>
      </c>
      <c r="G449">
        <f t="shared" si="222"/>
        <v>39.049011331016175</v>
      </c>
      <c r="H449">
        <f t="shared" si="223"/>
        <v>39.049011331016175</v>
      </c>
      <c r="I449" s="3"/>
      <c r="J449">
        <f t="shared" si="224"/>
        <v>16.525541474548785</v>
      </c>
      <c r="K449">
        <f t="shared" si="225"/>
        <v>312.94138087515807</v>
      </c>
      <c r="L449">
        <f t="shared" si="226"/>
        <v>35.480041017501577</v>
      </c>
      <c r="M449">
        <f t="shared" si="227"/>
        <v>35.480041017501577</v>
      </c>
      <c r="N449">
        <f t="shared" si="228"/>
        <v>35.480041017501577</v>
      </c>
      <c r="O449" s="3"/>
      <c r="P449">
        <f t="shared" si="229"/>
        <v>79.279427879375447</v>
      </c>
      <c r="Q449">
        <f t="shared" si="230"/>
        <v>634.01884740608239</v>
      </c>
      <c r="R449">
        <f t="shared" si="231"/>
        <v>0</v>
      </c>
      <c r="S449">
        <f t="shared" si="232"/>
        <v>0</v>
      </c>
      <c r="T449">
        <v>50</v>
      </c>
      <c r="U449" s="3"/>
      <c r="V449">
        <f t="shared" si="233"/>
        <v>763.29827528545786</v>
      </c>
      <c r="W449" s="3"/>
      <c r="X449">
        <f t="shared" si="234"/>
        <v>22.106215291336348</v>
      </c>
      <c r="Y449">
        <f t="shared" si="235"/>
        <v>4.7017247145421379</v>
      </c>
      <c r="AA449">
        <f t="shared" si="236"/>
        <v>4.9468758372097528E-6</v>
      </c>
    </row>
    <row r="450" spans="2:27" x14ac:dyDescent="0.35">
      <c r="B450">
        <v>413.47381864623247</v>
      </c>
      <c r="C450">
        <v>732</v>
      </c>
      <c r="D450">
        <f t="shared" si="219"/>
        <v>19.370281293307386</v>
      </c>
      <c r="E450">
        <f t="shared" si="220"/>
        <v>319.08464350409258</v>
      </c>
      <c r="F450">
        <f t="shared" si="221"/>
        <v>39.144796771629203</v>
      </c>
      <c r="G450">
        <f t="shared" si="222"/>
        <v>39.144796771629203</v>
      </c>
      <c r="H450">
        <f t="shared" si="223"/>
        <v>39.144796771629203</v>
      </c>
      <c r="I450" s="3"/>
      <c r="J450">
        <f t="shared" si="224"/>
        <v>16.563103738112833</v>
      </c>
      <c r="K450">
        <f t="shared" si="225"/>
        <v>313.3373630567599</v>
      </c>
      <c r="L450">
        <f t="shared" si="226"/>
        <v>35.573204110706683</v>
      </c>
      <c r="M450">
        <f t="shared" si="227"/>
        <v>35.573204110706683</v>
      </c>
      <c r="N450">
        <f t="shared" si="228"/>
        <v>35.573204110706683</v>
      </c>
      <c r="O450" s="3"/>
      <c r="P450">
        <f t="shared" si="229"/>
        <v>78.930465173347343</v>
      </c>
      <c r="Q450">
        <f t="shared" si="230"/>
        <v>632.41991467201638</v>
      </c>
      <c r="R450">
        <f t="shared" si="231"/>
        <v>0</v>
      </c>
      <c r="S450">
        <f t="shared" si="232"/>
        <v>0</v>
      </c>
      <c r="T450">
        <v>50</v>
      </c>
      <c r="U450" s="3"/>
      <c r="V450">
        <f t="shared" si="233"/>
        <v>761.3503798453637</v>
      </c>
      <c r="W450" s="3"/>
      <c r="X450">
        <f t="shared" si="234"/>
        <v>861.44479706713196</v>
      </c>
      <c r="Y450">
        <f t="shared" si="235"/>
        <v>29.350379845363705</v>
      </c>
      <c r="AA450">
        <f t="shared" si="236"/>
        <v>3.0880728601758844E-5</v>
      </c>
    </row>
    <row r="451" spans="2:27" x14ac:dyDescent="0.35">
      <c r="B451">
        <v>414.43167305236278</v>
      </c>
      <c r="C451">
        <v>762</v>
      </c>
      <c r="D451">
        <f t="shared" si="219"/>
        <v>19.410113959872703</v>
      </c>
      <c r="E451">
        <f t="shared" si="220"/>
        <v>319.48189024157534</v>
      </c>
      <c r="F451">
        <f t="shared" si="221"/>
        <v>39.240582212242231</v>
      </c>
      <c r="G451">
        <f t="shared" si="222"/>
        <v>39.240582212242231</v>
      </c>
      <c r="H451">
        <f t="shared" si="223"/>
        <v>39.240582212242231</v>
      </c>
      <c r="I451" s="3"/>
      <c r="J451">
        <f t="shared" si="224"/>
        <v>16.600670852524122</v>
      </c>
      <c r="K451">
        <f t="shared" si="225"/>
        <v>313.7333468303695</v>
      </c>
      <c r="L451">
        <f t="shared" si="226"/>
        <v>35.666373875578074</v>
      </c>
      <c r="M451">
        <f t="shared" si="227"/>
        <v>35.666373875578074</v>
      </c>
      <c r="N451">
        <f t="shared" si="228"/>
        <v>35.666373875578074</v>
      </c>
      <c r="O451" s="3"/>
      <c r="P451">
        <f t="shared" si="229"/>
        <v>78.583757472919032</v>
      </c>
      <c r="Q451">
        <f t="shared" si="230"/>
        <v>630.82701645796806</v>
      </c>
      <c r="R451">
        <f t="shared" si="231"/>
        <v>0</v>
      </c>
      <c r="S451">
        <f t="shared" si="232"/>
        <v>0</v>
      </c>
      <c r="T451">
        <v>50</v>
      </c>
      <c r="U451" s="3"/>
      <c r="V451">
        <f t="shared" si="233"/>
        <v>759.4107739308871</v>
      </c>
      <c r="W451" s="3"/>
      <c r="X451">
        <f t="shared" si="234"/>
        <v>6.704091636973823</v>
      </c>
      <c r="Y451">
        <f t="shared" si="235"/>
        <v>2.5892260691128968</v>
      </c>
      <c r="AA451">
        <f t="shared" si="236"/>
        <v>2.7242300764126083E-6</v>
      </c>
    </row>
    <row r="452" spans="2:27" x14ac:dyDescent="0.35">
      <c r="B452">
        <v>415.38952745849292</v>
      </c>
      <c r="C452">
        <v>758</v>
      </c>
      <c r="D452">
        <f t="shared" si="219"/>
        <v>19.44994662643801</v>
      </c>
      <c r="E452">
        <f t="shared" si="220"/>
        <v>319.87913697905805</v>
      </c>
      <c r="F452">
        <f t="shared" si="221"/>
        <v>39.336367652855245</v>
      </c>
      <c r="G452">
        <f t="shared" si="222"/>
        <v>39.336367652855245</v>
      </c>
      <c r="H452">
        <f t="shared" si="223"/>
        <v>39.336367652855245</v>
      </c>
      <c r="I452" s="3"/>
      <c r="J452">
        <f t="shared" si="224"/>
        <v>16.638242797719712</v>
      </c>
      <c r="K452">
        <f t="shared" si="225"/>
        <v>314.12933219198976</v>
      </c>
      <c r="L452">
        <f t="shared" si="226"/>
        <v>35.759550278727239</v>
      </c>
      <c r="M452">
        <f t="shared" si="227"/>
        <v>35.759550278727239</v>
      </c>
      <c r="N452">
        <f t="shared" si="228"/>
        <v>35.759550278727239</v>
      </c>
      <c r="O452" s="3"/>
      <c r="P452">
        <f t="shared" si="229"/>
        <v>78.239285673653356</v>
      </c>
      <c r="Q452">
        <f t="shared" si="230"/>
        <v>629.24012245967765</v>
      </c>
      <c r="R452">
        <f t="shared" si="231"/>
        <v>0</v>
      </c>
      <c r="S452">
        <f t="shared" si="232"/>
        <v>0</v>
      </c>
      <c r="T452">
        <v>50</v>
      </c>
      <c r="U452" s="3"/>
      <c r="V452">
        <f t="shared" si="233"/>
        <v>757.47940813333105</v>
      </c>
      <c r="W452" s="3"/>
      <c r="X452">
        <f t="shared" si="234"/>
        <v>0.27101589164186318</v>
      </c>
      <c r="Y452">
        <f t="shared" si="235"/>
        <v>0.5205918666689513</v>
      </c>
      <c r="AA452">
        <f t="shared" si="236"/>
        <v>5.4773588047537235E-7</v>
      </c>
    </row>
    <row r="453" spans="2:27" x14ac:dyDescent="0.35">
      <c r="B453">
        <v>416.34738186462329</v>
      </c>
      <c r="C453">
        <v>748</v>
      </c>
      <c r="D453">
        <f t="shared" si="219"/>
        <v>19.489779293003327</v>
      </c>
      <c r="E453">
        <f t="shared" si="220"/>
        <v>320.27638371654086</v>
      </c>
      <c r="F453">
        <f t="shared" si="221"/>
        <v>39.43215309346828</v>
      </c>
      <c r="G453">
        <f t="shared" si="222"/>
        <v>39.43215309346828</v>
      </c>
      <c r="H453">
        <f t="shared" si="223"/>
        <v>39.43215309346828</v>
      </c>
      <c r="I453" s="3"/>
      <c r="J453">
        <f t="shared" si="224"/>
        <v>16.675819553758227</v>
      </c>
      <c r="K453">
        <f t="shared" si="225"/>
        <v>314.52531913763875</v>
      </c>
      <c r="L453">
        <f t="shared" si="226"/>
        <v>35.852733287013372</v>
      </c>
      <c r="M453">
        <f t="shared" si="227"/>
        <v>35.852733287013372</v>
      </c>
      <c r="N453">
        <f t="shared" si="228"/>
        <v>35.852733287013372</v>
      </c>
      <c r="O453" s="3"/>
      <c r="P453">
        <f t="shared" si="229"/>
        <v>77.897030870592857</v>
      </c>
      <c r="Q453">
        <f t="shared" si="230"/>
        <v>627.65920256275422</v>
      </c>
      <c r="R453">
        <f t="shared" si="231"/>
        <v>0</v>
      </c>
      <c r="S453">
        <f t="shared" si="232"/>
        <v>0</v>
      </c>
      <c r="T453">
        <v>50</v>
      </c>
      <c r="U453" s="3"/>
      <c r="V453">
        <f t="shared" si="233"/>
        <v>755.55623343334707</v>
      </c>
      <c r="W453" s="3"/>
      <c r="X453">
        <f t="shared" si="234"/>
        <v>57.096663699232117</v>
      </c>
      <c r="Y453">
        <f t="shared" si="235"/>
        <v>7.5562334333470744</v>
      </c>
      <c r="AA453">
        <f t="shared" si="236"/>
        <v>7.9502205809982726E-6</v>
      </c>
    </row>
    <row r="454" spans="2:27" x14ac:dyDescent="0.35">
      <c r="B454">
        <v>417.30523627075354</v>
      </c>
      <c r="C454">
        <v>710</v>
      </c>
      <c r="D454">
        <f t="shared" si="219"/>
        <v>19.529611959568641</v>
      </c>
      <c r="E454">
        <f t="shared" si="220"/>
        <v>320.67363045402362</v>
      </c>
      <c r="F454">
        <f t="shared" si="221"/>
        <v>39.527938534081308</v>
      </c>
      <c r="G454">
        <f t="shared" si="222"/>
        <v>39.527938534081308</v>
      </c>
      <c r="H454">
        <f t="shared" si="223"/>
        <v>39.527938534081308</v>
      </c>
      <c r="I454" s="3"/>
      <c r="J454">
        <f t="shared" si="224"/>
        <v>16.713401100818842</v>
      </c>
      <c r="K454">
        <f t="shared" si="225"/>
        <v>314.92130766334918</v>
      </c>
      <c r="L454">
        <f t="shared" si="226"/>
        <v>35.945922867540759</v>
      </c>
      <c r="M454">
        <f t="shared" si="227"/>
        <v>35.945922867540759</v>
      </c>
      <c r="N454">
        <f t="shared" si="228"/>
        <v>35.945922867540759</v>
      </c>
      <c r="O454" s="3"/>
      <c r="P454">
        <f t="shared" si="229"/>
        <v>77.556974355791198</v>
      </c>
      <c r="Q454">
        <f t="shared" si="230"/>
        <v>626.08422684125208</v>
      </c>
      <c r="R454">
        <f t="shared" si="231"/>
        <v>0</v>
      </c>
      <c r="S454">
        <f t="shared" si="232"/>
        <v>0</v>
      </c>
      <c r="T454">
        <v>50</v>
      </c>
      <c r="U454" s="3"/>
      <c r="V454">
        <f t="shared" si="233"/>
        <v>753.6412011970433</v>
      </c>
      <c r="W454" s="3"/>
      <c r="X454">
        <f t="shared" si="234"/>
        <v>1904.5544419208136</v>
      </c>
      <c r="Y454">
        <f t="shared" si="235"/>
        <v>43.641201197043301</v>
      </c>
      <c r="AA454">
        <f t="shared" si="236"/>
        <v>4.5916683093065001E-5</v>
      </c>
    </row>
    <row r="455" spans="2:27" x14ac:dyDescent="0.35">
      <c r="B455">
        <v>418.58237547892719</v>
      </c>
      <c r="C455">
        <v>774</v>
      </c>
      <c r="D455">
        <f t="shared" si="219"/>
        <v>19.582722181655722</v>
      </c>
      <c r="E455">
        <f t="shared" si="220"/>
        <v>321.2032927706673</v>
      </c>
      <c r="F455">
        <f t="shared" si="221"/>
        <v>39.655652454898672</v>
      </c>
      <c r="G455">
        <f t="shared" si="222"/>
        <v>39.655652454898672</v>
      </c>
      <c r="H455">
        <f t="shared" si="223"/>
        <v>39.655652454898672</v>
      </c>
      <c r="I455" s="3"/>
      <c r="J455">
        <f t="shared" si="224"/>
        <v>16.763517248899703</v>
      </c>
      <c r="K455">
        <f t="shared" si="225"/>
        <v>315.44929481534086</v>
      </c>
      <c r="L455">
        <f t="shared" si="226"/>
        <v>36.070185808661272</v>
      </c>
      <c r="M455">
        <f t="shared" si="227"/>
        <v>36.070185808661272</v>
      </c>
      <c r="N455">
        <f t="shared" si="228"/>
        <v>36.070185808661272</v>
      </c>
      <c r="O455" s="3"/>
      <c r="P455">
        <f t="shared" si="229"/>
        <v>77.106953258212783</v>
      </c>
      <c r="Q455">
        <f t="shared" si="230"/>
        <v>623.99345433385224</v>
      </c>
      <c r="R455">
        <f t="shared" si="231"/>
        <v>0</v>
      </c>
      <c r="S455">
        <f t="shared" si="232"/>
        <v>0</v>
      </c>
      <c r="T455">
        <v>50</v>
      </c>
      <c r="U455" s="3"/>
      <c r="V455">
        <f t="shared" si="233"/>
        <v>751.10040759206504</v>
      </c>
      <c r="W455" s="3"/>
      <c r="X455">
        <f t="shared" si="234"/>
        <v>524.39133244955246</v>
      </c>
      <c r="Y455">
        <f t="shared" si="235"/>
        <v>22.899592407934961</v>
      </c>
      <c r="AA455">
        <f t="shared" si="236"/>
        <v>2.4093592722345697E-5</v>
      </c>
    </row>
    <row r="456" spans="2:27" x14ac:dyDescent="0.35">
      <c r="B456">
        <v>419.5402298850575</v>
      </c>
      <c r="C456">
        <v>800</v>
      </c>
      <c r="D456">
        <f t="shared" si="219"/>
        <v>19.622554848221039</v>
      </c>
      <c r="E456">
        <f t="shared" si="220"/>
        <v>321.60053950815006</v>
      </c>
      <c r="F456">
        <f t="shared" si="221"/>
        <v>39.751437895511707</v>
      </c>
      <c r="G456">
        <f t="shared" si="222"/>
        <v>39.751437895511707</v>
      </c>
      <c r="H456">
        <f t="shared" si="223"/>
        <v>39.751437895511707</v>
      </c>
      <c r="I456" s="3"/>
      <c r="J456">
        <f t="shared" si="224"/>
        <v>16.801109898601123</v>
      </c>
      <c r="K456">
        <f t="shared" si="225"/>
        <v>315.84528701251708</v>
      </c>
      <c r="L456">
        <f t="shared" si="226"/>
        <v>36.163390597850075</v>
      </c>
      <c r="M456">
        <f t="shared" si="227"/>
        <v>36.163390597850075</v>
      </c>
      <c r="N456">
        <f t="shared" si="228"/>
        <v>36.163390597850075</v>
      </c>
      <c r="O456" s="3"/>
      <c r="P456">
        <f t="shared" si="229"/>
        <v>76.771954418065789</v>
      </c>
      <c r="Q456">
        <f t="shared" si="230"/>
        <v>622.43223302430818</v>
      </c>
      <c r="R456">
        <f t="shared" si="231"/>
        <v>0</v>
      </c>
      <c r="S456">
        <f t="shared" si="232"/>
        <v>0</v>
      </c>
      <c r="T456">
        <v>50</v>
      </c>
      <c r="U456" s="3"/>
      <c r="V456">
        <f t="shared" si="233"/>
        <v>749.20418744237395</v>
      </c>
      <c r="W456" s="3"/>
      <c r="X456">
        <f t="shared" si="234"/>
        <v>2580.2145733894804</v>
      </c>
      <c r="Y456">
        <f t="shared" si="235"/>
        <v>50.79581255762605</v>
      </c>
      <c r="AA456">
        <f t="shared" si="236"/>
        <v>5.3444340753417797E-5</v>
      </c>
    </row>
    <row r="457" spans="2:27" x14ac:dyDescent="0.35">
      <c r="B457">
        <v>420.49808429118781</v>
      </c>
      <c r="C457">
        <v>753</v>
      </c>
      <c r="D457">
        <f t="shared" si="219"/>
        <v>19.662387514786353</v>
      </c>
      <c r="E457">
        <f t="shared" si="220"/>
        <v>321.99778624563282</v>
      </c>
      <c r="F457">
        <f t="shared" si="221"/>
        <v>39.847223336124735</v>
      </c>
      <c r="G457">
        <f t="shared" si="222"/>
        <v>39.847223336124735</v>
      </c>
      <c r="H457">
        <f t="shared" si="223"/>
        <v>39.847223336124735</v>
      </c>
      <c r="I457" s="3"/>
      <c r="J457">
        <f t="shared" si="224"/>
        <v>16.838707274113908</v>
      </c>
      <c r="K457">
        <f t="shared" si="225"/>
        <v>316.24128077663795</v>
      </c>
      <c r="L457">
        <f t="shared" si="226"/>
        <v>36.256601851368153</v>
      </c>
      <c r="M457">
        <f t="shared" si="227"/>
        <v>36.256601851368153</v>
      </c>
      <c r="N457">
        <f t="shared" si="228"/>
        <v>36.256601851368153</v>
      </c>
      <c r="O457" s="3"/>
      <c r="P457">
        <f t="shared" si="229"/>
        <v>76.439092898226093</v>
      </c>
      <c r="Q457">
        <f t="shared" si="230"/>
        <v>620.87685747997227</v>
      </c>
      <c r="R457">
        <f t="shared" si="231"/>
        <v>0</v>
      </c>
      <c r="S457">
        <f t="shared" si="232"/>
        <v>0</v>
      </c>
      <c r="T457">
        <v>50</v>
      </c>
      <c r="U457" s="3"/>
      <c r="V457">
        <f t="shared" si="233"/>
        <v>747.31595037819841</v>
      </c>
      <c r="W457" s="3"/>
      <c r="X457">
        <f t="shared" si="234"/>
        <v>32.308420103102812</v>
      </c>
      <c r="Y457">
        <f t="shared" si="235"/>
        <v>5.6840496218015915</v>
      </c>
      <c r="AA457">
        <f t="shared" si="236"/>
        <v>5.9804198328803547E-6</v>
      </c>
    </row>
    <row r="458" spans="2:27" x14ac:dyDescent="0.35">
      <c r="B458">
        <v>421.455938697318</v>
      </c>
      <c r="C458">
        <v>793</v>
      </c>
      <c r="D458">
        <f t="shared" si="219"/>
        <v>19.702220181351663</v>
      </c>
      <c r="E458">
        <f t="shared" si="220"/>
        <v>322.39503298311558</v>
      </c>
      <c r="F458">
        <f t="shared" si="221"/>
        <v>39.943008776737756</v>
      </c>
      <c r="G458">
        <f t="shared" si="222"/>
        <v>39.943008776737756</v>
      </c>
      <c r="H458">
        <f t="shared" si="223"/>
        <v>39.943008776737756</v>
      </c>
      <c r="I458" s="3"/>
      <c r="J458">
        <f t="shared" si="224"/>
        <v>16.876309356128832</v>
      </c>
      <c r="K458">
        <f t="shared" si="225"/>
        <v>316.63727610380022</v>
      </c>
      <c r="L458">
        <f t="shared" si="226"/>
        <v>36.34981953735501</v>
      </c>
      <c r="M458">
        <f t="shared" si="227"/>
        <v>36.34981953735501</v>
      </c>
      <c r="N458">
        <f t="shared" si="228"/>
        <v>36.34981953735501</v>
      </c>
      <c r="O458" s="3"/>
      <c r="P458">
        <f t="shared" si="229"/>
        <v>76.108350816781453</v>
      </c>
      <c r="Q458">
        <f t="shared" si="230"/>
        <v>619.32729857532422</v>
      </c>
      <c r="R458">
        <f t="shared" si="231"/>
        <v>0</v>
      </c>
      <c r="S458">
        <f t="shared" si="232"/>
        <v>0</v>
      </c>
      <c r="T458">
        <v>50</v>
      </c>
      <c r="U458" s="3"/>
      <c r="V458">
        <f t="shared" si="233"/>
        <v>745.43564939210569</v>
      </c>
      <c r="W458" s="3"/>
      <c r="X458">
        <f t="shared" si="234"/>
        <v>2262.367448750696</v>
      </c>
      <c r="Y458">
        <f t="shared" si="235"/>
        <v>47.564350607894312</v>
      </c>
      <c r="AA458">
        <f t="shared" si="236"/>
        <v>5.0044388181003662E-5</v>
      </c>
    </row>
    <row r="459" spans="2:27" x14ac:dyDescent="0.35">
      <c r="B459">
        <v>422.41379310344837</v>
      </c>
      <c r="C459">
        <v>766</v>
      </c>
      <c r="D459">
        <f t="shared" si="219"/>
        <v>19.742052847916984</v>
      </c>
      <c r="E459">
        <f t="shared" si="220"/>
        <v>322.79227972059834</v>
      </c>
      <c r="F459">
        <f t="shared" si="221"/>
        <v>40.038794217350791</v>
      </c>
      <c r="G459">
        <f t="shared" si="222"/>
        <v>40.038794217350791</v>
      </c>
      <c r="H459">
        <f t="shared" si="223"/>
        <v>40.038794217350791</v>
      </c>
      <c r="I459" s="3"/>
      <c r="J459">
        <f t="shared" si="224"/>
        <v>16.913916125452285</v>
      </c>
      <c r="K459">
        <f t="shared" si="225"/>
        <v>317.03327299011528</v>
      </c>
      <c r="L459">
        <f t="shared" si="226"/>
        <v>36.443043624182913</v>
      </c>
      <c r="M459">
        <f t="shared" si="227"/>
        <v>36.443043624182913</v>
      </c>
      <c r="N459">
        <f t="shared" si="228"/>
        <v>36.443043624182913</v>
      </c>
      <c r="O459" s="3"/>
      <c r="P459">
        <f t="shared" si="229"/>
        <v>75.779710476245072</v>
      </c>
      <c r="Q459">
        <f t="shared" si="230"/>
        <v>617.78352736589545</v>
      </c>
      <c r="R459">
        <f t="shared" si="231"/>
        <v>0</v>
      </c>
      <c r="S459">
        <f t="shared" si="232"/>
        <v>0</v>
      </c>
      <c r="T459">
        <v>50</v>
      </c>
      <c r="U459" s="3"/>
      <c r="V459">
        <f t="shared" si="233"/>
        <v>743.56323784214055</v>
      </c>
      <c r="W459" s="3"/>
      <c r="X459">
        <f t="shared" si="234"/>
        <v>503.40829612835375</v>
      </c>
      <c r="Y459">
        <f t="shared" si="235"/>
        <v>22.436762157859448</v>
      </c>
      <c r="AA459">
        <f t="shared" si="236"/>
        <v>2.3606630188417069E-5</v>
      </c>
    </row>
    <row r="460" spans="2:27" x14ac:dyDescent="0.35">
      <c r="B460">
        <v>423.37164750957857</v>
      </c>
      <c r="C460">
        <v>704</v>
      </c>
      <c r="D460">
        <f t="shared" si="219"/>
        <v>19.781885514482294</v>
      </c>
      <c r="E460">
        <f t="shared" si="220"/>
        <v>323.1895264580811</v>
      </c>
      <c r="F460">
        <f t="shared" si="221"/>
        <v>40.134579657963812</v>
      </c>
      <c r="G460">
        <f t="shared" si="222"/>
        <v>40.134579657963812</v>
      </c>
      <c r="H460">
        <f t="shared" si="223"/>
        <v>40.134579657963812</v>
      </c>
      <c r="I460" s="3"/>
      <c r="J460">
        <f t="shared" si="224"/>
        <v>16.951527563005325</v>
      </c>
      <c r="K460">
        <f t="shared" si="225"/>
        <v>317.42927143170886</v>
      </c>
      <c r="L460">
        <f t="shared" si="226"/>
        <v>36.536274080454596</v>
      </c>
      <c r="M460">
        <f t="shared" si="227"/>
        <v>36.536274080454596</v>
      </c>
      <c r="N460">
        <f t="shared" si="228"/>
        <v>36.536274080454596</v>
      </c>
      <c r="O460" s="3"/>
      <c r="P460">
        <f t="shared" si="229"/>
        <v>75.45315436130106</v>
      </c>
      <c r="Q460">
        <f t="shared" si="230"/>
        <v>616.2455150869207</v>
      </c>
      <c r="R460">
        <f t="shared" si="231"/>
        <v>0</v>
      </c>
      <c r="S460">
        <f t="shared" si="232"/>
        <v>0</v>
      </c>
      <c r="T460">
        <v>50</v>
      </c>
      <c r="U460" s="3"/>
      <c r="V460">
        <f t="shared" si="233"/>
        <v>741.69866944822172</v>
      </c>
      <c r="W460" s="3"/>
      <c r="X460">
        <f t="shared" si="234"/>
        <v>1421.1896781662858</v>
      </c>
      <c r="Y460">
        <f t="shared" si="235"/>
        <v>37.698669448221722</v>
      </c>
      <c r="AA460">
        <f t="shared" si="236"/>
        <v>3.966430369935564E-5</v>
      </c>
    </row>
    <row r="461" spans="2:27" x14ac:dyDescent="0.35">
      <c r="B461">
        <v>424.64878671775227</v>
      </c>
      <c r="C461">
        <v>740</v>
      </c>
      <c r="D461">
        <f t="shared" si="219"/>
        <v>19.834995736569379</v>
      </c>
      <c r="E461">
        <f t="shared" si="220"/>
        <v>323.71918877472478</v>
      </c>
      <c r="F461">
        <f t="shared" si="221"/>
        <v>40.262293578781183</v>
      </c>
      <c r="G461">
        <f t="shared" si="222"/>
        <v>40.262293578781183</v>
      </c>
      <c r="H461">
        <f t="shared" si="223"/>
        <v>40.262293578781183</v>
      </c>
      <c r="I461" s="3"/>
      <c r="J461">
        <f t="shared" si="224"/>
        <v>17.001683375336885</v>
      </c>
      <c r="K461">
        <f t="shared" si="225"/>
        <v>317.95727176648666</v>
      </c>
      <c r="L461">
        <f t="shared" si="226"/>
        <v>36.660591209667487</v>
      </c>
      <c r="M461">
        <f t="shared" si="227"/>
        <v>36.660591209667487</v>
      </c>
      <c r="N461">
        <f t="shared" si="228"/>
        <v>36.660591209667487</v>
      </c>
      <c r="O461" s="3"/>
      <c r="P461">
        <f t="shared" si="229"/>
        <v>75.020958400020817</v>
      </c>
      <c r="Q461">
        <f t="shared" si="230"/>
        <v>614.20374100148479</v>
      </c>
      <c r="R461">
        <f t="shared" si="231"/>
        <v>0</v>
      </c>
      <c r="S461">
        <f t="shared" si="232"/>
        <v>0</v>
      </c>
      <c r="T461">
        <v>50</v>
      </c>
      <c r="U461" s="3"/>
      <c r="V461">
        <f t="shared" si="233"/>
        <v>739.22469940150563</v>
      </c>
      <c r="W461" s="3"/>
      <c r="X461">
        <f t="shared" si="234"/>
        <v>0.60109101802572584</v>
      </c>
      <c r="Y461">
        <f t="shared" si="235"/>
        <v>0.77530059849436839</v>
      </c>
      <c r="AA461">
        <f t="shared" si="236"/>
        <v>8.1572529871935316E-7</v>
      </c>
    </row>
    <row r="462" spans="2:27" x14ac:dyDescent="0.35">
      <c r="B462">
        <v>425.60664112388258</v>
      </c>
      <c r="C462">
        <v>762</v>
      </c>
      <c r="D462">
        <f t="shared" si="219"/>
        <v>19.874828403134693</v>
      </c>
      <c r="E462">
        <f t="shared" si="220"/>
        <v>324.11643551220754</v>
      </c>
      <c r="F462">
        <f t="shared" si="221"/>
        <v>40.358079019394211</v>
      </c>
      <c r="G462">
        <f t="shared" si="222"/>
        <v>40.358079019394211</v>
      </c>
      <c r="H462">
        <f t="shared" si="223"/>
        <v>40.358079019394211</v>
      </c>
      <c r="I462" s="3"/>
      <c r="J462">
        <f t="shared" si="224"/>
        <v>17.039305631867357</v>
      </c>
      <c r="K462">
        <f t="shared" si="225"/>
        <v>318.35327382207794</v>
      </c>
      <c r="L462">
        <f t="shared" si="226"/>
        <v>36.753836407152477</v>
      </c>
      <c r="M462">
        <f t="shared" si="227"/>
        <v>36.753836407152477</v>
      </c>
      <c r="N462">
        <f t="shared" si="228"/>
        <v>36.753836407152477</v>
      </c>
      <c r="O462" s="3"/>
      <c r="P462">
        <f t="shared" si="229"/>
        <v>74.699198369724471</v>
      </c>
      <c r="Q462">
        <f t="shared" si="230"/>
        <v>612.67905536338515</v>
      </c>
      <c r="R462">
        <f t="shared" si="231"/>
        <v>0</v>
      </c>
      <c r="S462">
        <f t="shared" si="232"/>
        <v>0</v>
      </c>
      <c r="T462">
        <v>50</v>
      </c>
      <c r="U462" s="3"/>
      <c r="V462">
        <f t="shared" si="233"/>
        <v>737.37825373310966</v>
      </c>
      <c r="W462" s="3"/>
      <c r="X462">
        <f t="shared" si="234"/>
        <v>606.23038923112847</v>
      </c>
      <c r="Y462">
        <f t="shared" si="235"/>
        <v>24.621746266890341</v>
      </c>
      <c r="AA462">
        <f t="shared" si="236"/>
        <v>2.5905540854160879E-5</v>
      </c>
    </row>
    <row r="463" spans="2:27" x14ac:dyDescent="0.35">
      <c r="B463">
        <v>426.56449553001272</v>
      </c>
      <c r="C463">
        <v>778</v>
      </c>
      <c r="D463">
        <f t="shared" si="219"/>
        <v>19.914661069700003</v>
      </c>
      <c r="E463">
        <f t="shared" si="220"/>
        <v>324.51368224969031</v>
      </c>
      <c r="F463">
        <f t="shared" si="221"/>
        <v>40.453864460007225</v>
      </c>
      <c r="G463">
        <f t="shared" si="222"/>
        <v>40.453864460007225</v>
      </c>
      <c r="H463">
        <f t="shared" si="223"/>
        <v>40.453864460007225</v>
      </c>
      <c r="I463" s="3"/>
      <c r="J463">
        <f t="shared" si="224"/>
        <v>17.07693249384787</v>
      </c>
      <c r="K463">
        <f t="shared" si="225"/>
        <v>318.74927742013745</v>
      </c>
      <c r="L463">
        <f t="shared" si="226"/>
        <v>36.847087871060175</v>
      </c>
      <c r="M463">
        <f t="shared" si="227"/>
        <v>36.847087871060175</v>
      </c>
      <c r="N463">
        <f t="shared" si="228"/>
        <v>36.847087871060175</v>
      </c>
      <c r="O463" s="3"/>
      <c r="P463">
        <f t="shared" si="229"/>
        <v>74.379465468001086</v>
      </c>
      <c r="Q463">
        <f t="shared" si="230"/>
        <v>611.16003405397316</v>
      </c>
      <c r="R463">
        <f t="shared" si="231"/>
        <v>0</v>
      </c>
      <c r="S463">
        <f t="shared" si="232"/>
        <v>0</v>
      </c>
      <c r="T463">
        <v>50</v>
      </c>
      <c r="U463" s="3"/>
      <c r="V463">
        <f t="shared" si="233"/>
        <v>735.53949952197422</v>
      </c>
      <c r="W463" s="3"/>
      <c r="X463">
        <f t="shared" si="234"/>
        <v>1802.8941008444274</v>
      </c>
      <c r="Y463">
        <f t="shared" si="235"/>
        <v>42.460500478025779</v>
      </c>
      <c r="AA463">
        <f t="shared" si="236"/>
        <v>4.4674419835963025E-5</v>
      </c>
    </row>
    <row r="464" spans="2:27" x14ac:dyDescent="0.35">
      <c r="B464">
        <v>427.52234993614309</v>
      </c>
      <c r="C464">
        <v>725</v>
      </c>
      <c r="D464">
        <f t="shared" si="219"/>
        <v>19.95449373626532</v>
      </c>
      <c r="E464">
        <f t="shared" si="220"/>
        <v>324.91092898717307</v>
      </c>
      <c r="F464">
        <f t="shared" si="221"/>
        <v>40.54964990062026</v>
      </c>
      <c r="G464">
        <f t="shared" si="222"/>
        <v>40.54964990062026</v>
      </c>
      <c r="H464">
        <f t="shared" si="223"/>
        <v>40.54964990062026</v>
      </c>
      <c r="I464" s="3"/>
      <c r="J464">
        <f t="shared" si="224"/>
        <v>17.114563942686257</v>
      </c>
      <c r="K464">
        <f t="shared" si="225"/>
        <v>319.14528255685281</v>
      </c>
      <c r="L464">
        <f t="shared" si="226"/>
        <v>36.940345570966912</v>
      </c>
      <c r="M464">
        <f t="shared" si="227"/>
        <v>36.940345570966912</v>
      </c>
      <c r="N464">
        <f t="shared" si="228"/>
        <v>36.940345570966912</v>
      </c>
      <c r="O464" s="3"/>
      <c r="P464">
        <f t="shared" si="229"/>
        <v>74.061742943649961</v>
      </c>
      <c r="Q464">
        <f t="shared" si="230"/>
        <v>609.64664907190274</v>
      </c>
      <c r="R464">
        <f t="shared" si="231"/>
        <v>0</v>
      </c>
      <c r="S464">
        <f t="shared" si="232"/>
        <v>0</v>
      </c>
      <c r="T464">
        <v>50</v>
      </c>
      <c r="U464" s="3"/>
      <c r="V464">
        <f t="shared" si="233"/>
        <v>733.7083920155527</v>
      </c>
      <c r="W464" s="3"/>
      <c r="X464">
        <f t="shared" si="234"/>
        <v>75.836091496542082</v>
      </c>
      <c r="Y464">
        <f t="shared" si="235"/>
        <v>8.7083920155527039</v>
      </c>
      <c r="AA464">
        <f t="shared" si="236"/>
        <v>9.1624534948731351E-6</v>
      </c>
    </row>
    <row r="465" spans="2:27" x14ac:dyDescent="0.35">
      <c r="B465">
        <v>428.48020434227334</v>
      </c>
      <c r="C465">
        <v>730</v>
      </c>
      <c r="D465">
        <f t="shared" si="219"/>
        <v>19.994326402830634</v>
      </c>
      <c r="E465">
        <f t="shared" si="220"/>
        <v>325.30817572465583</v>
      </c>
      <c r="F465">
        <f t="shared" si="221"/>
        <v>40.645435341233288</v>
      </c>
      <c r="G465">
        <f t="shared" si="222"/>
        <v>40.645435341233288</v>
      </c>
      <c r="H465">
        <f t="shared" si="223"/>
        <v>40.645435341233288</v>
      </c>
      <c r="I465" s="3"/>
      <c r="J465">
        <f t="shared" si="224"/>
        <v>17.152199959900337</v>
      </c>
      <c r="K465">
        <f t="shared" si="225"/>
        <v>319.54128922842591</v>
      </c>
      <c r="L465">
        <f t="shared" si="226"/>
        <v>37.03360947666792</v>
      </c>
      <c r="M465">
        <f t="shared" si="227"/>
        <v>37.03360947666792</v>
      </c>
      <c r="N465">
        <f t="shared" si="228"/>
        <v>37.03360947666792</v>
      </c>
      <c r="O465" s="3"/>
      <c r="P465">
        <f t="shared" si="229"/>
        <v>73.746014216140196</v>
      </c>
      <c r="Q465">
        <f t="shared" si="230"/>
        <v>608.13887258853504</v>
      </c>
      <c r="R465">
        <f t="shared" si="231"/>
        <v>0</v>
      </c>
      <c r="S465">
        <f t="shared" si="232"/>
        <v>0</v>
      </c>
      <c r="T465">
        <v>50</v>
      </c>
      <c r="U465" s="3"/>
      <c r="V465">
        <f t="shared" si="233"/>
        <v>731.88488680467526</v>
      </c>
      <c r="W465" s="3"/>
      <c r="X465">
        <f t="shared" si="234"/>
        <v>3.5527982664389168</v>
      </c>
      <c r="Y465">
        <f t="shared" si="235"/>
        <v>1.8848868046752614</v>
      </c>
      <c r="AA465">
        <f t="shared" si="236"/>
        <v>1.9831660839444886E-6</v>
      </c>
    </row>
    <row r="466" spans="2:27" x14ac:dyDescent="0.35">
      <c r="B466">
        <v>429.43805874840359</v>
      </c>
      <c r="C466">
        <v>768</v>
      </c>
      <c r="D466">
        <f t="shared" si="219"/>
        <v>20.034159069395944</v>
      </c>
      <c r="E466">
        <f t="shared" si="220"/>
        <v>325.70542246213859</v>
      </c>
      <c r="F466">
        <f t="shared" si="221"/>
        <v>40.741220781846316</v>
      </c>
      <c r="G466">
        <f t="shared" si="222"/>
        <v>40.741220781846316</v>
      </c>
      <c r="H466">
        <f t="shared" si="223"/>
        <v>40.741220781846316</v>
      </c>
      <c r="I466" s="3"/>
      <c r="J466">
        <f t="shared" si="224"/>
        <v>17.189840527117102</v>
      </c>
      <c r="K466">
        <f t="shared" si="225"/>
        <v>319.93729743107252</v>
      </c>
      <c r="L466">
        <f t="shared" si="226"/>
        <v>37.126879558175361</v>
      </c>
      <c r="M466">
        <f t="shared" si="227"/>
        <v>37.126879558175361</v>
      </c>
      <c r="N466">
        <f t="shared" si="228"/>
        <v>37.126879558175361</v>
      </c>
      <c r="O466" s="3"/>
      <c r="P466">
        <f t="shared" si="229"/>
        <v>73.432262873548623</v>
      </c>
      <c r="Q466">
        <f t="shared" si="230"/>
        <v>606.63667694666333</v>
      </c>
      <c r="R466">
        <f t="shared" si="231"/>
        <v>0</v>
      </c>
      <c r="S466">
        <f t="shared" si="232"/>
        <v>0</v>
      </c>
      <c r="T466">
        <v>50</v>
      </c>
      <c r="U466" s="3"/>
      <c r="V466">
        <f t="shared" si="233"/>
        <v>730.06893982021199</v>
      </c>
      <c r="W466" s="3"/>
      <c r="X466">
        <f t="shared" si="234"/>
        <v>1438.7653263626992</v>
      </c>
      <c r="Y466">
        <f t="shared" si="235"/>
        <v>37.931060179788005</v>
      </c>
      <c r="AA466">
        <f t="shared" si="236"/>
        <v>3.9908811441636057E-5</v>
      </c>
    </row>
    <row r="467" spans="2:27" x14ac:dyDescent="0.35">
      <c r="B467">
        <v>430.3959131545339</v>
      </c>
      <c r="C467">
        <v>742</v>
      </c>
      <c r="D467">
        <f t="shared" si="219"/>
        <v>20.073991735961261</v>
      </c>
      <c r="E467">
        <f t="shared" si="220"/>
        <v>326.1026691996214</v>
      </c>
      <c r="F467">
        <f t="shared" si="221"/>
        <v>40.837006222459344</v>
      </c>
      <c r="G467">
        <f t="shared" si="222"/>
        <v>40.837006222459344</v>
      </c>
      <c r="H467">
        <f t="shared" si="223"/>
        <v>40.837006222459344</v>
      </c>
      <c r="I467" s="3"/>
      <c r="J467">
        <f t="shared" si="224"/>
        <v>17.227485626071875</v>
      </c>
      <c r="K467">
        <f t="shared" si="225"/>
        <v>320.33330716102256</v>
      </c>
      <c r="L467">
        <f t="shared" si="226"/>
        <v>37.220155785716216</v>
      </c>
      <c r="M467">
        <f t="shared" si="227"/>
        <v>37.220155785716216</v>
      </c>
      <c r="N467">
        <f t="shared" si="228"/>
        <v>37.220155785716216</v>
      </c>
      <c r="O467" s="3"/>
      <c r="P467">
        <f t="shared" si="229"/>
        <v>73.120472670526652</v>
      </c>
      <c r="Q467">
        <f t="shared" si="230"/>
        <v>605.14003465924691</v>
      </c>
      <c r="R467">
        <f t="shared" si="231"/>
        <v>0</v>
      </c>
      <c r="S467">
        <f t="shared" si="232"/>
        <v>0</v>
      </c>
      <c r="T467">
        <v>50</v>
      </c>
      <c r="U467" s="3"/>
      <c r="V467">
        <f t="shared" si="233"/>
        <v>728.26050732977353</v>
      </c>
      <c r="W467" s="3"/>
      <c r="X467">
        <f t="shared" si="234"/>
        <v>188.77365883520685</v>
      </c>
      <c r="Y467">
        <f t="shared" si="235"/>
        <v>13.739492670226468</v>
      </c>
      <c r="AA467">
        <f t="shared" si="236"/>
        <v>1.4455879157630057E-5</v>
      </c>
    </row>
    <row r="468" spans="2:27" x14ac:dyDescent="0.35">
      <c r="B468">
        <v>431.67305236270761</v>
      </c>
      <c r="C468">
        <v>754</v>
      </c>
      <c r="D468">
        <f t="shared" si="219"/>
        <v>20.127101958048346</v>
      </c>
      <c r="E468">
        <f t="shared" si="220"/>
        <v>326.63233151626508</v>
      </c>
      <c r="F468">
        <f t="shared" si="221"/>
        <v>40.964720143276715</v>
      </c>
      <c r="G468">
        <f t="shared" si="222"/>
        <v>40.964720143276715</v>
      </c>
      <c r="H468">
        <f t="shared" si="223"/>
        <v>40.964720143276715</v>
      </c>
      <c r="I468" s="3"/>
      <c r="J468">
        <f t="shared" si="224"/>
        <v>17.277686109347655</v>
      </c>
      <c r="K468">
        <f t="shared" si="225"/>
        <v>320.86132250360407</v>
      </c>
      <c r="L468">
        <f t="shared" si="226"/>
        <v>37.344533598539137</v>
      </c>
      <c r="M468">
        <f t="shared" si="227"/>
        <v>37.344533598539137</v>
      </c>
      <c r="N468">
        <f t="shared" si="228"/>
        <v>37.344533598539137</v>
      </c>
      <c r="O468" s="3"/>
      <c r="P468">
        <f t="shared" si="229"/>
        <v>72.707775290902049</v>
      </c>
      <c r="Q468">
        <f t="shared" si="230"/>
        <v>603.15310296839107</v>
      </c>
      <c r="R468">
        <f t="shared" si="231"/>
        <v>0</v>
      </c>
      <c r="S468">
        <f t="shared" si="232"/>
        <v>0</v>
      </c>
      <c r="T468">
        <v>50</v>
      </c>
      <c r="U468" s="3"/>
      <c r="V468">
        <f t="shared" si="233"/>
        <v>725.86087825929314</v>
      </c>
      <c r="W468" s="3"/>
      <c r="X468">
        <f t="shared" si="234"/>
        <v>791.81017233832119</v>
      </c>
      <c r="Y468">
        <f t="shared" si="235"/>
        <v>28.139121740706855</v>
      </c>
      <c r="AA468">
        <f t="shared" si="236"/>
        <v>2.9606314676158575E-5</v>
      </c>
    </row>
    <row r="469" spans="2:27" x14ac:dyDescent="0.35">
      <c r="B469">
        <v>432.6309067688378</v>
      </c>
      <c r="C469">
        <v>709</v>
      </c>
      <c r="D469">
        <f t="shared" si="219"/>
        <v>20.166934624613656</v>
      </c>
      <c r="E469">
        <f t="shared" si="220"/>
        <v>327.02957825374779</v>
      </c>
      <c r="F469">
        <f t="shared" si="221"/>
        <v>41.060505583889736</v>
      </c>
      <c r="G469">
        <f t="shared" si="222"/>
        <v>41.060505583889736</v>
      </c>
      <c r="H469">
        <f t="shared" si="223"/>
        <v>41.060505583889736</v>
      </c>
      <c r="I469" s="3"/>
      <c r="J469">
        <f t="shared" si="224"/>
        <v>17.315341711930579</v>
      </c>
      <c r="K469">
        <f t="shared" si="225"/>
        <v>321.2573357826779</v>
      </c>
      <c r="L469">
        <f t="shared" si="226"/>
        <v>37.437824052232301</v>
      </c>
      <c r="M469">
        <f t="shared" si="227"/>
        <v>37.437824052232301</v>
      </c>
      <c r="N469">
        <f t="shared" si="228"/>
        <v>37.437824052232301</v>
      </c>
      <c r="O469" s="3"/>
      <c r="P469">
        <f t="shared" si="229"/>
        <v>72.400498824592987</v>
      </c>
      <c r="Q469">
        <f t="shared" si="230"/>
        <v>601.66931256049634</v>
      </c>
      <c r="R469">
        <f t="shared" si="231"/>
        <v>0</v>
      </c>
      <c r="S469">
        <f t="shared" si="232"/>
        <v>0</v>
      </c>
      <c r="T469">
        <v>50</v>
      </c>
      <c r="U469" s="3"/>
      <c r="V469">
        <f t="shared" si="233"/>
        <v>724.06981138508934</v>
      </c>
      <c r="W469" s="3"/>
      <c r="X469">
        <f t="shared" si="234"/>
        <v>227.09921518216822</v>
      </c>
      <c r="Y469">
        <f t="shared" si="235"/>
        <v>15.069811385089338</v>
      </c>
      <c r="AA469">
        <f t="shared" si="236"/>
        <v>1.5855561594585305E-5</v>
      </c>
    </row>
    <row r="470" spans="2:27" x14ac:dyDescent="0.35">
      <c r="B470">
        <v>433.58876117496811</v>
      </c>
      <c r="C470">
        <v>742</v>
      </c>
      <c r="D470">
        <f t="shared" si="219"/>
        <v>20.206767291178974</v>
      </c>
      <c r="E470">
        <f t="shared" si="220"/>
        <v>327.4268249912306</v>
      </c>
      <c r="F470">
        <f t="shared" si="221"/>
        <v>41.156291024502764</v>
      </c>
      <c r="G470">
        <f t="shared" si="222"/>
        <v>41.156291024502764</v>
      </c>
      <c r="H470">
        <f t="shared" si="223"/>
        <v>41.156291024502764</v>
      </c>
      <c r="I470" s="3"/>
      <c r="J470">
        <f t="shared" si="224"/>
        <v>17.353001786140812</v>
      </c>
      <c r="K470">
        <f t="shared" si="225"/>
        <v>321.65335057658785</v>
      </c>
      <c r="L470">
        <f t="shared" si="226"/>
        <v>37.531120554241177</v>
      </c>
      <c r="M470">
        <f t="shared" si="227"/>
        <v>37.531120554241177</v>
      </c>
      <c r="N470">
        <f t="shared" si="228"/>
        <v>37.531120554241177</v>
      </c>
      <c r="O470" s="3"/>
      <c r="P470">
        <f t="shared" si="229"/>
        <v>72.095130524200002</v>
      </c>
      <c r="Q470">
        <f t="shared" si="230"/>
        <v>600.19098509654884</v>
      </c>
      <c r="R470">
        <f t="shared" si="231"/>
        <v>0</v>
      </c>
      <c r="S470">
        <f t="shared" si="232"/>
        <v>0</v>
      </c>
      <c r="T470">
        <v>50</v>
      </c>
      <c r="U470" s="3"/>
      <c r="V470">
        <f t="shared" si="233"/>
        <v>722.28611562074889</v>
      </c>
      <c r="W470" s="3"/>
      <c r="X470">
        <f t="shared" si="234"/>
        <v>388.63723731848103</v>
      </c>
      <c r="Y470">
        <f t="shared" si="235"/>
        <v>19.713884379251112</v>
      </c>
      <c r="AA470">
        <f t="shared" si="236"/>
        <v>2.0741779711524645E-5</v>
      </c>
    </row>
    <row r="471" spans="2:27" x14ac:dyDescent="0.35">
      <c r="B471">
        <v>434.54661558109837</v>
      </c>
      <c r="C471">
        <v>717</v>
      </c>
      <c r="D471">
        <f t="shared" si="219"/>
        <v>20.246599957744284</v>
      </c>
      <c r="E471">
        <f t="shared" si="220"/>
        <v>327.82407172871336</v>
      </c>
      <c r="F471">
        <f t="shared" si="221"/>
        <v>41.252076465115792</v>
      </c>
      <c r="G471">
        <f t="shared" si="222"/>
        <v>41.252076465115792</v>
      </c>
      <c r="H471">
        <f t="shared" si="223"/>
        <v>41.252076465115792</v>
      </c>
      <c r="I471" s="3"/>
      <c r="J471">
        <f t="shared" si="224"/>
        <v>17.390666314173458</v>
      </c>
      <c r="K471">
        <f t="shared" si="225"/>
        <v>322.04936688162326</v>
      </c>
      <c r="L471">
        <f t="shared" si="226"/>
        <v>37.624423075700513</v>
      </c>
      <c r="M471">
        <f t="shared" si="227"/>
        <v>37.624423075700513</v>
      </c>
      <c r="N471">
        <f t="shared" si="228"/>
        <v>37.624423075700513</v>
      </c>
      <c r="O471" s="3"/>
      <c r="P471">
        <f t="shared" si="229"/>
        <v>71.791654843387249</v>
      </c>
      <c r="Q471">
        <f t="shared" si="230"/>
        <v>598.71809381254286</v>
      </c>
      <c r="R471">
        <f t="shared" si="231"/>
        <v>0</v>
      </c>
      <c r="S471">
        <f t="shared" si="232"/>
        <v>0</v>
      </c>
      <c r="T471">
        <v>50</v>
      </c>
      <c r="U471" s="3"/>
      <c r="V471">
        <f t="shared" si="233"/>
        <v>720.50974865593014</v>
      </c>
      <c r="W471" s="3"/>
      <c r="X471">
        <f t="shared" si="234"/>
        <v>12.318335627803416</v>
      </c>
      <c r="Y471">
        <f t="shared" si="235"/>
        <v>3.5097486559301387</v>
      </c>
      <c r="AA471">
        <f t="shared" si="236"/>
        <v>3.6927493366423047E-6</v>
      </c>
    </row>
    <row r="472" spans="2:27" x14ac:dyDescent="0.35">
      <c r="B472">
        <v>435.50446998722862</v>
      </c>
      <c r="C472">
        <v>717</v>
      </c>
      <c r="D472">
        <f t="shared" si="219"/>
        <v>20.286432624309597</v>
      </c>
      <c r="E472">
        <f t="shared" si="220"/>
        <v>328.22131846619612</v>
      </c>
      <c r="F472">
        <f t="shared" si="221"/>
        <v>41.347861905728813</v>
      </c>
      <c r="G472">
        <f t="shared" si="222"/>
        <v>41.347861905728813</v>
      </c>
      <c r="H472">
        <f t="shared" si="223"/>
        <v>41.347861905728813</v>
      </c>
      <c r="I472" s="3"/>
      <c r="J472">
        <f t="shared" si="224"/>
        <v>17.428335278327605</v>
      </c>
      <c r="K472">
        <f t="shared" si="225"/>
        <v>322.44538469408735</v>
      </c>
      <c r="L472">
        <f t="shared" si="226"/>
        <v>37.717731587949309</v>
      </c>
      <c r="M472">
        <f t="shared" si="227"/>
        <v>37.717731587949309</v>
      </c>
      <c r="N472">
        <f t="shared" si="228"/>
        <v>37.717731587949309</v>
      </c>
      <c r="O472" s="3"/>
      <c r="P472">
        <f t="shared" si="229"/>
        <v>71.490056392017735</v>
      </c>
      <c r="Q472">
        <f t="shared" si="230"/>
        <v>597.25061210807246</v>
      </c>
      <c r="R472">
        <f t="shared" si="231"/>
        <v>0</v>
      </c>
      <c r="S472">
        <f t="shared" si="232"/>
        <v>0</v>
      </c>
      <c r="T472">
        <v>50</v>
      </c>
      <c r="U472" s="3"/>
      <c r="V472">
        <f t="shared" si="233"/>
        <v>718.74066850009024</v>
      </c>
      <c r="W472" s="3"/>
      <c r="X472">
        <f t="shared" si="234"/>
        <v>3.0299268272063959</v>
      </c>
      <c r="Y472">
        <f t="shared" si="235"/>
        <v>1.7406685000902371</v>
      </c>
      <c r="AA472">
        <f t="shared" si="236"/>
        <v>1.8314281389243518E-6</v>
      </c>
    </row>
    <row r="473" spans="2:27" x14ac:dyDescent="0.35">
      <c r="B473">
        <v>436.46232439335898</v>
      </c>
      <c r="C473">
        <v>754</v>
      </c>
      <c r="D473">
        <f t="shared" si="219"/>
        <v>20.326265290874915</v>
      </c>
      <c r="E473">
        <f t="shared" si="220"/>
        <v>328.61856520367894</v>
      </c>
      <c r="F473">
        <f t="shared" si="221"/>
        <v>41.443647346341855</v>
      </c>
      <c r="G473">
        <f t="shared" si="222"/>
        <v>41.443647346341855</v>
      </c>
      <c r="H473">
        <f t="shared" si="223"/>
        <v>41.443647346341855</v>
      </c>
      <c r="I473" s="3"/>
      <c r="J473">
        <f t="shared" si="224"/>
        <v>17.466008661005478</v>
      </c>
      <c r="K473">
        <f t="shared" si="225"/>
        <v>322.84140401029686</v>
      </c>
      <c r="L473">
        <f t="shared" si="226"/>
        <v>37.811046062528966</v>
      </c>
      <c r="M473">
        <f t="shared" si="227"/>
        <v>37.811046062528966</v>
      </c>
      <c r="N473">
        <f t="shared" si="228"/>
        <v>37.811046062528966</v>
      </c>
      <c r="O473" s="3"/>
      <c r="P473">
        <f t="shared" si="229"/>
        <v>71.190319934292447</v>
      </c>
      <c r="Q473">
        <f t="shared" si="230"/>
        <v>595.78851354513449</v>
      </c>
      <c r="R473">
        <f t="shared" si="231"/>
        <v>0</v>
      </c>
      <c r="S473">
        <f t="shared" si="232"/>
        <v>0</v>
      </c>
      <c r="T473">
        <v>50</v>
      </c>
      <c r="U473" s="3"/>
      <c r="V473">
        <f t="shared" si="233"/>
        <v>716.97883347942695</v>
      </c>
      <c r="W473" s="3"/>
      <c r="X473">
        <f t="shared" si="234"/>
        <v>1370.5667705439987</v>
      </c>
      <c r="Y473">
        <f t="shared" si="235"/>
        <v>37.021166520573047</v>
      </c>
      <c r="AA473">
        <f t="shared" si="236"/>
        <v>3.8951475308518964E-5</v>
      </c>
    </row>
    <row r="474" spans="2:27" x14ac:dyDescent="0.35">
      <c r="B474">
        <v>437.73946360153252</v>
      </c>
      <c r="C474">
        <v>732</v>
      </c>
      <c r="D474">
        <f t="shared" si="219"/>
        <v>20.379375512961996</v>
      </c>
      <c r="E474">
        <f t="shared" si="220"/>
        <v>329.14822752032251</v>
      </c>
      <c r="F474">
        <f t="shared" si="221"/>
        <v>41.571361267159205</v>
      </c>
      <c r="G474">
        <f t="shared" si="222"/>
        <v>41.571361267159205</v>
      </c>
      <c r="H474">
        <f t="shared" si="223"/>
        <v>41.571361267159205</v>
      </c>
      <c r="I474" s="3"/>
      <c r="J474">
        <f t="shared" si="224"/>
        <v>17.516246680944111</v>
      </c>
      <c r="K474">
        <f t="shared" si="225"/>
        <v>323.369432098061</v>
      </c>
      <c r="L474">
        <f t="shared" si="226"/>
        <v>37.93547458789272</v>
      </c>
      <c r="M474">
        <f t="shared" si="227"/>
        <v>37.93547458789272</v>
      </c>
      <c r="N474">
        <f t="shared" si="228"/>
        <v>37.93547458789272</v>
      </c>
      <c r="O474" s="3"/>
      <c r="P474">
        <f t="shared" si="229"/>
        <v>70.793541710393399</v>
      </c>
      <c r="Q474">
        <f t="shared" si="230"/>
        <v>593.8473771766719</v>
      </c>
      <c r="R474">
        <f t="shared" si="231"/>
        <v>0</v>
      </c>
      <c r="S474">
        <f t="shared" si="232"/>
        <v>0</v>
      </c>
      <c r="T474">
        <v>50</v>
      </c>
      <c r="U474" s="3"/>
      <c r="V474">
        <f t="shared" si="233"/>
        <v>714.64091888706525</v>
      </c>
      <c r="W474" s="3"/>
      <c r="X474">
        <f t="shared" si="234"/>
        <v>301.33769708544781</v>
      </c>
      <c r="Y474">
        <f t="shared" si="235"/>
        <v>17.359081112934746</v>
      </c>
      <c r="AA474">
        <f t="shared" si="236"/>
        <v>1.8264195402197969E-5</v>
      </c>
    </row>
    <row r="475" spans="2:27" x14ac:dyDescent="0.35">
      <c r="B475">
        <v>438.69731800766289</v>
      </c>
      <c r="C475">
        <v>718</v>
      </c>
      <c r="D475">
        <f t="shared" si="219"/>
        <v>20.419208179527313</v>
      </c>
      <c r="E475">
        <f t="shared" si="220"/>
        <v>329.54547425780538</v>
      </c>
      <c r="F475">
        <f t="shared" si="221"/>
        <v>41.66714670777224</v>
      </c>
      <c r="G475">
        <f t="shared" si="222"/>
        <v>41.66714670777224</v>
      </c>
      <c r="H475">
        <f t="shared" si="223"/>
        <v>41.66714670777224</v>
      </c>
      <c r="I475" s="3"/>
      <c r="J475">
        <f t="shared" si="224"/>
        <v>17.553930305648482</v>
      </c>
      <c r="K475">
        <f t="shared" si="225"/>
        <v>323.76545490876111</v>
      </c>
      <c r="L475">
        <f t="shared" si="226"/>
        <v>38.028802865027828</v>
      </c>
      <c r="M475">
        <f t="shared" si="227"/>
        <v>38.028802865027828</v>
      </c>
      <c r="N475">
        <f t="shared" si="228"/>
        <v>38.028802865027828</v>
      </c>
      <c r="O475" s="3"/>
      <c r="P475">
        <f t="shared" si="229"/>
        <v>70.498091507437408</v>
      </c>
      <c r="Q475">
        <f t="shared" si="230"/>
        <v>592.3977373662417</v>
      </c>
      <c r="R475">
        <f t="shared" si="231"/>
        <v>0</v>
      </c>
      <c r="S475">
        <f t="shared" si="232"/>
        <v>0</v>
      </c>
      <c r="T475">
        <v>50</v>
      </c>
      <c r="U475" s="3"/>
      <c r="V475">
        <f t="shared" si="233"/>
        <v>712.89582887367908</v>
      </c>
      <c r="W475" s="3"/>
      <c r="X475">
        <f t="shared" si="234"/>
        <v>26.052562886768179</v>
      </c>
      <c r="Y475">
        <f t="shared" si="235"/>
        <v>5.1041711263209208</v>
      </c>
      <c r="AA475">
        <f t="shared" si="236"/>
        <v>5.370306078466253E-6</v>
      </c>
    </row>
    <row r="476" spans="2:27" x14ac:dyDescent="0.35">
      <c r="B476">
        <v>439.65517241379314</v>
      </c>
      <c r="C476">
        <v>743</v>
      </c>
      <c r="D476">
        <f t="shared" si="219"/>
        <v>20.459040846092623</v>
      </c>
      <c r="E476">
        <f t="shared" si="220"/>
        <v>329.94272099528814</v>
      </c>
      <c r="F476">
        <f t="shared" si="221"/>
        <v>41.762932148385268</v>
      </c>
      <c r="G476">
        <f t="shared" si="222"/>
        <v>41.762932148385268</v>
      </c>
      <c r="H476">
        <f t="shared" si="223"/>
        <v>41.762932148385268</v>
      </c>
      <c r="I476" s="3"/>
      <c r="J476">
        <f t="shared" si="224"/>
        <v>17.591618290952312</v>
      </c>
      <c r="K476">
        <f t="shared" si="225"/>
        <v>324.16147921102555</v>
      </c>
      <c r="L476">
        <f t="shared" si="226"/>
        <v>38.122137011069078</v>
      </c>
      <c r="M476">
        <f t="shared" si="227"/>
        <v>38.122137011069078</v>
      </c>
      <c r="N476">
        <f t="shared" si="228"/>
        <v>38.122137011069078</v>
      </c>
      <c r="O476" s="3"/>
      <c r="P476">
        <f t="shared" si="229"/>
        <v>70.204453603411693</v>
      </c>
      <c r="Q476">
        <f t="shared" si="230"/>
        <v>590.95339372840317</v>
      </c>
      <c r="R476">
        <f t="shared" si="231"/>
        <v>0</v>
      </c>
      <c r="S476">
        <f t="shared" si="232"/>
        <v>0</v>
      </c>
      <c r="T476">
        <v>50</v>
      </c>
      <c r="U476" s="3"/>
      <c r="V476">
        <f t="shared" si="233"/>
        <v>711.15784733181488</v>
      </c>
      <c r="W476" s="3"/>
      <c r="X476">
        <f t="shared" si="234"/>
        <v>1013.9226865440089</v>
      </c>
      <c r="Y476">
        <f t="shared" si="235"/>
        <v>31.842152668185122</v>
      </c>
      <c r="AA476">
        <f t="shared" si="236"/>
        <v>3.3502424153373372E-5</v>
      </c>
    </row>
    <row r="477" spans="2:27" x14ac:dyDescent="0.35">
      <c r="B477">
        <v>440.61302681992339</v>
      </c>
      <c r="C477">
        <v>713</v>
      </c>
      <c r="D477">
        <f t="shared" ref="D477:D536" si="237">C$23-LN(1/C$23)+$B477*C$22</f>
        <v>20.498873512657937</v>
      </c>
      <c r="E477">
        <f t="shared" ref="E477:E536" si="238">D$23-LN(1/D$23)+$B477*D$22</f>
        <v>330.33996773277084</v>
      </c>
      <c r="F477">
        <f t="shared" ref="F477:F536" si="239">E$23-LN(1/E$23)+$B477*E$22</f>
        <v>41.858717588998296</v>
      </c>
      <c r="G477">
        <f t="shared" ref="G477:G536" si="240">F$23-LN(1/F$23)+$B477*F$22</f>
        <v>41.858717588998296</v>
      </c>
      <c r="H477">
        <f t="shared" ref="H477:H536" si="241">G$23-LN(1/G$23)+$B477*G$22</f>
        <v>41.858717588998296</v>
      </c>
      <c r="I477" s="3"/>
      <c r="J477">
        <f t="shared" ref="J477:J536" si="242">lmb_2(D477)</f>
        <v>17.62931061969585</v>
      </c>
      <c r="K477">
        <f t="shared" ref="K477:K536" si="243">lmb_2(E477)</f>
        <v>324.55750500122895</v>
      </c>
      <c r="L477">
        <f t="shared" ref="L477:L536" si="244">lmb_2(F477)</f>
        <v>38.215476998413187</v>
      </c>
      <c r="M477">
        <f t="shared" ref="M477:M536" si="245">lmb_2(G477)</f>
        <v>38.215476998413187</v>
      </c>
      <c r="N477">
        <f t="shared" ref="N477:N536" si="246">lmb_2(H477)</f>
        <v>38.215476998413187</v>
      </c>
      <c r="O477" s="3"/>
      <c r="P477">
        <f t="shared" ref="P477:P536" si="247">(C$21*$A$21)/(J477+J477^2)</f>
        <v>69.91261341042437</v>
      </c>
      <c r="Q477">
        <f t="shared" ref="Q477:Q536" si="248">(D$21*$A$21)/(K477+K477^2)</f>
        <v>589.51432051530264</v>
      </c>
      <c r="R477">
        <f t="shared" ref="R477:R536" si="249">(E$21*$A$21)/(L477+L477^2)</f>
        <v>0</v>
      </c>
      <c r="S477">
        <f t="shared" ref="S477:S536" si="250">(F$21*$A$21)/(M477+M477^2)</f>
        <v>0</v>
      </c>
      <c r="T477">
        <v>50</v>
      </c>
      <c r="U477" s="3"/>
      <c r="V477">
        <f t="shared" ref="V477:V536" si="251">SUM(P477:T477)</f>
        <v>709.42693392572698</v>
      </c>
      <c r="W477" s="3"/>
      <c r="X477">
        <f t="shared" ref="X477:X536" si="252">(V477-C477)^2</f>
        <v>12.766801171120775</v>
      </c>
      <c r="Y477">
        <f t="shared" ref="Y477:Y536" si="253">ABS(V477-C477)</f>
        <v>3.5730660742730151</v>
      </c>
      <c r="AA477">
        <f t="shared" ref="AA477:AA536" si="254">Y477/$Z$39</f>
        <v>3.7593681682183212E-6</v>
      </c>
    </row>
    <row r="478" spans="2:27" x14ac:dyDescent="0.35">
      <c r="B478">
        <v>441.5708812260537</v>
      </c>
      <c r="C478">
        <v>709</v>
      </c>
      <c r="D478">
        <f t="shared" si="237"/>
        <v>20.538706179223254</v>
      </c>
      <c r="E478">
        <f t="shared" si="238"/>
        <v>330.73721447025366</v>
      </c>
      <c r="F478">
        <f t="shared" si="239"/>
        <v>41.954503029611324</v>
      </c>
      <c r="G478">
        <f t="shared" si="240"/>
        <v>41.954503029611324</v>
      </c>
      <c r="H478">
        <f t="shared" si="241"/>
        <v>41.954503029611324</v>
      </c>
      <c r="I478" s="3"/>
      <c r="J478">
        <f t="shared" si="242"/>
        <v>17.667007274818392</v>
      </c>
      <c r="K478">
        <f t="shared" si="243"/>
        <v>324.95353227575924</v>
      </c>
      <c r="L478">
        <f t="shared" si="244"/>
        <v>38.30882279964942</v>
      </c>
      <c r="M478">
        <f t="shared" si="245"/>
        <v>38.30882279964942</v>
      </c>
      <c r="N478">
        <f t="shared" si="246"/>
        <v>38.30882279964942</v>
      </c>
      <c r="O478" s="3"/>
      <c r="P478">
        <f t="shared" si="247"/>
        <v>69.622556485417945</v>
      </c>
      <c r="Q478">
        <f t="shared" si="248"/>
        <v>588.08049213526988</v>
      </c>
      <c r="R478">
        <f t="shared" si="249"/>
        <v>0</v>
      </c>
      <c r="S478">
        <f t="shared" si="250"/>
        <v>0</v>
      </c>
      <c r="T478">
        <v>50</v>
      </c>
      <c r="U478" s="3"/>
      <c r="V478">
        <f t="shared" si="251"/>
        <v>707.70304862068781</v>
      </c>
      <c r="W478" s="3"/>
      <c r="X478">
        <f t="shared" si="252"/>
        <v>1.6820828802997934</v>
      </c>
      <c r="Y478">
        <f t="shared" si="253"/>
        <v>1.2969513793121905</v>
      </c>
      <c r="AA478">
        <f t="shared" si="254"/>
        <v>1.3645753058471275E-6</v>
      </c>
    </row>
    <row r="479" spans="2:27" x14ac:dyDescent="0.35">
      <c r="B479">
        <v>442.5287356321839</v>
      </c>
      <c r="C479">
        <v>682</v>
      </c>
      <c r="D479">
        <f t="shared" si="237"/>
        <v>20.578538845788565</v>
      </c>
      <c r="E479">
        <f t="shared" si="238"/>
        <v>331.13446120773636</v>
      </c>
      <c r="F479">
        <f t="shared" si="239"/>
        <v>42.050288470224345</v>
      </c>
      <c r="G479">
        <f t="shared" si="240"/>
        <v>42.050288470224345</v>
      </c>
      <c r="H479">
        <f t="shared" si="241"/>
        <v>42.050288470224345</v>
      </c>
      <c r="I479" s="3"/>
      <c r="J479">
        <f t="shared" si="242"/>
        <v>17.704708239357512</v>
      </c>
      <c r="K479">
        <f t="shared" si="243"/>
        <v>325.34956103101706</v>
      </c>
      <c r="L479">
        <f t="shared" si="244"/>
        <v>38.402174387557793</v>
      </c>
      <c r="M479">
        <f t="shared" si="245"/>
        <v>38.402174387557793</v>
      </c>
      <c r="N479">
        <f t="shared" si="246"/>
        <v>38.402174387557793</v>
      </c>
      <c r="O479" s="3"/>
      <c r="P479">
        <f t="shared" si="247"/>
        <v>69.334268528463838</v>
      </c>
      <c r="Q479">
        <f t="shared" si="248"/>
        <v>586.65188315168518</v>
      </c>
      <c r="R479">
        <f t="shared" si="249"/>
        <v>0</v>
      </c>
      <c r="S479">
        <f t="shared" si="250"/>
        <v>0</v>
      </c>
      <c r="T479">
        <v>50</v>
      </c>
      <c r="U479" s="3"/>
      <c r="V479">
        <f t="shared" si="251"/>
        <v>705.98615168014908</v>
      </c>
      <c r="W479" s="3"/>
      <c r="X479">
        <f t="shared" si="252"/>
        <v>575.3354724231184</v>
      </c>
      <c r="Y479">
        <f t="shared" si="253"/>
        <v>23.986151680149078</v>
      </c>
      <c r="AA479">
        <f t="shared" si="254"/>
        <v>2.5236805933614208E-5</v>
      </c>
    </row>
    <row r="480" spans="2:27" x14ac:dyDescent="0.35">
      <c r="B480">
        <v>443.4865900383142</v>
      </c>
      <c r="C480">
        <v>707</v>
      </c>
      <c r="D480">
        <f t="shared" si="237"/>
        <v>20.618371512353878</v>
      </c>
      <c r="E480">
        <f t="shared" si="238"/>
        <v>331.53170794521918</v>
      </c>
      <c r="F480">
        <f t="shared" si="239"/>
        <v>42.146073910837373</v>
      </c>
      <c r="G480">
        <f t="shared" si="240"/>
        <v>42.146073910837373</v>
      </c>
      <c r="H480">
        <f t="shared" si="241"/>
        <v>42.146073910837373</v>
      </c>
      <c r="I480" s="3"/>
      <c r="J480">
        <f t="shared" si="242"/>
        <v>17.742413496448361</v>
      </c>
      <c r="K480">
        <f t="shared" si="243"/>
        <v>325.7455912634166</v>
      </c>
      <c r="L480">
        <f t="shared" si="244"/>
        <v>38.495531735107363</v>
      </c>
      <c r="M480">
        <f t="shared" si="245"/>
        <v>38.495531735107363</v>
      </c>
      <c r="N480">
        <f t="shared" si="246"/>
        <v>38.495531735107363</v>
      </c>
      <c r="O480" s="3"/>
      <c r="P480">
        <f t="shared" si="247"/>
        <v>69.047735381079718</v>
      </c>
      <c r="Q480">
        <f t="shared" si="248"/>
        <v>585.22846828185061</v>
      </c>
      <c r="R480">
        <f t="shared" si="249"/>
        <v>0</v>
      </c>
      <c r="S480">
        <f t="shared" si="250"/>
        <v>0</v>
      </c>
      <c r="T480">
        <v>50</v>
      </c>
      <c r="U480" s="3"/>
      <c r="V480">
        <f t="shared" si="251"/>
        <v>704.27620366293036</v>
      </c>
      <c r="W480" s="3"/>
      <c r="X480">
        <f t="shared" si="252"/>
        <v>7.4190664858340067</v>
      </c>
      <c r="Y480">
        <f t="shared" si="253"/>
        <v>2.7237963370696434</v>
      </c>
      <c r="AA480">
        <f t="shared" si="254"/>
        <v>2.8658169296163055E-6</v>
      </c>
    </row>
    <row r="481" spans="2:27" x14ac:dyDescent="0.35">
      <c r="B481">
        <v>444.76372924648791</v>
      </c>
      <c r="C481">
        <v>733</v>
      </c>
      <c r="D481">
        <f t="shared" si="237"/>
        <v>20.671481734440963</v>
      </c>
      <c r="E481">
        <f t="shared" si="238"/>
        <v>332.06137026186286</v>
      </c>
      <c r="F481">
        <f t="shared" si="239"/>
        <v>42.273787831654744</v>
      </c>
      <c r="G481">
        <f t="shared" si="240"/>
        <v>42.273787831654744</v>
      </c>
      <c r="H481">
        <f t="shared" si="241"/>
        <v>42.273787831654744</v>
      </c>
      <c r="I481" s="3"/>
      <c r="J481">
        <f t="shared" si="242"/>
        <v>17.792693820904244</v>
      </c>
      <c r="K481">
        <f t="shared" si="243"/>
        <v>326.27363386488452</v>
      </c>
      <c r="L481">
        <f t="shared" si="244"/>
        <v>38.620017111578896</v>
      </c>
      <c r="M481">
        <f t="shared" si="245"/>
        <v>38.620017111578896</v>
      </c>
      <c r="N481">
        <f t="shared" si="246"/>
        <v>38.620017111578896</v>
      </c>
      <c r="O481" s="3"/>
      <c r="P481">
        <f t="shared" si="247"/>
        <v>68.668396678428365</v>
      </c>
      <c r="Q481">
        <f t="shared" si="248"/>
        <v>583.33861810873327</v>
      </c>
      <c r="R481">
        <f t="shared" si="249"/>
        <v>0</v>
      </c>
      <c r="S481">
        <f t="shared" si="250"/>
        <v>0</v>
      </c>
      <c r="T481">
        <v>50</v>
      </c>
      <c r="U481" s="3"/>
      <c r="V481">
        <f t="shared" si="251"/>
        <v>702.00701478716167</v>
      </c>
      <c r="W481" s="3"/>
      <c r="X481">
        <f t="shared" si="252"/>
        <v>960.56513240321567</v>
      </c>
      <c r="Y481">
        <f t="shared" si="253"/>
        <v>30.992985212838335</v>
      </c>
      <c r="AA481">
        <f t="shared" si="254"/>
        <v>3.2608980529673471E-5</v>
      </c>
    </row>
    <row r="482" spans="2:27" x14ac:dyDescent="0.35">
      <c r="B482">
        <v>445.72158365261816</v>
      </c>
      <c r="C482">
        <v>733</v>
      </c>
      <c r="D482">
        <f t="shared" si="237"/>
        <v>20.711314401006277</v>
      </c>
      <c r="E482">
        <f t="shared" si="238"/>
        <v>332.45861699934562</v>
      </c>
      <c r="F482">
        <f t="shared" si="239"/>
        <v>42.369573272267772</v>
      </c>
      <c r="G482">
        <f t="shared" si="240"/>
        <v>42.369573272267772</v>
      </c>
      <c r="H482">
        <f t="shared" si="241"/>
        <v>42.369573272267772</v>
      </c>
      <c r="I482" s="3"/>
      <c r="J482">
        <f t="shared" si="242"/>
        <v>17.830409028906075</v>
      </c>
      <c r="K482">
        <f t="shared" si="243"/>
        <v>326.66966753007478</v>
      </c>
      <c r="L482">
        <f t="shared" si="244"/>
        <v>38.713387794219599</v>
      </c>
      <c r="M482">
        <f t="shared" si="245"/>
        <v>38.713387794219599</v>
      </c>
      <c r="N482">
        <f t="shared" si="246"/>
        <v>38.713387794219599</v>
      </c>
      <c r="O482" s="3"/>
      <c r="P482">
        <f t="shared" si="247"/>
        <v>68.385903808102853</v>
      </c>
      <c r="Q482">
        <f t="shared" si="248"/>
        <v>581.92722537234397</v>
      </c>
      <c r="R482">
        <f t="shared" si="249"/>
        <v>0</v>
      </c>
      <c r="S482">
        <f t="shared" si="250"/>
        <v>0</v>
      </c>
      <c r="T482">
        <v>50</v>
      </c>
      <c r="U482" s="3"/>
      <c r="V482">
        <f t="shared" si="251"/>
        <v>700.31312918044682</v>
      </c>
      <c r="W482" s="3"/>
      <c r="X482">
        <f t="shared" si="252"/>
        <v>1068.431523974157</v>
      </c>
      <c r="Y482">
        <f t="shared" si="253"/>
        <v>32.686870819553178</v>
      </c>
      <c r="AA482">
        <f t="shared" si="254"/>
        <v>3.4391186483360624E-5</v>
      </c>
    </row>
    <row r="483" spans="2:27" x14ac:dyDescent="0.35">
      <c r="B483">
        <v>446.67943805874842</v>
      </c>
      <c r="C483">
        <v>705</v>
      </c>
      <c r="D483">
        <f t="shared" si="237"/>
        <v>20.751147067571591</v>
      </c>
      <c r="E483">
        <f t="shared" si="238"/>
        <v>332.85586373682838</v>
      </c>
      <c r="F483">
        <f t="shared" si="239"/>
        <v>42.465358712880793</v>
      </c>
      <c r="G483">
        <f t="shared" si="240"/>
        <v>42.465358712880793</v>
      </c>
      <c r="H483">
        <f t="shared" si="241"/>
        <v>42.465358712880793</v>
      </c>
      <c r="I483" s="3"/>
      <c r="J483">
        <f t="shared" si="242"/>
        <v>17.868128473938626</v>
      </c>
      <c r="K483">
        <f t="shared" si="243"/>
        <v>327.06570266054655</v>
      </c>
      <c r="L483">
        <f t="shared" si="244"/>
        <v>38.806764147741248</v>
      </c>
      <c r="M483">
        <f t="shared" si="245"/>
        <v>38.806764147741248</v>
      </c>
      <c r="N483">
        <f t="shared" si="246"/>
        <v>38.806764147741248</v>
      </c>
      <c r="O483" s="3"/>
      <c r="P483">
        <f t="shared" si="247"/>
        <v>68.105119552823268</v>
      </c>
      <c r="Q483">
        <f t="shared" si="248"/>
        <v>580.52094357146234</v>
      </c>
      <c r="R483">
        <f t="shared" si="249"/>
        <v>0</v>
      </c>
      <c r="S483">
        <f t="shared" si="250"/>
        <v>0</v>
      </c>
      <c r="T483">
        <v>50</v>
      </c>
      <c r="U483" s="3"/>
      <c r="V483">
        <f t="shared" si="251"/>
        <v>698.62606312428557</v>
      </c>
      <c r="W483" s="3"/>
      <c r="X483">
        <f t="shared" si="252"/>
        <v>40.627071295592287</v>
      </c>
      <c r="Y483">
        <f t="shared" si="253"/>
        <v>6.3739368757144348</v>
      </c>
      <c r="AA483">
        <f t="shared" si="254"/>
        <v>6.7062782771710002E-6</v>
      </c>
    </row>
    <row r="484" spans="2:27" x14ac:dyDescent="0.35">
      <c r="B484">
        <v>447.63729246487878</v>
      </c>
      <c r="C484">
        <v>745</v>
      </c>
      <c r="D484">
        <f t="shared" si="237"/>
        <v>20.790979734136908</v>
      </c>
      <c r="E484">
        <f t="shared" si="238"/>
        <v>333.25311047431114</v>
      </c>
      <c r="F484">
        <f t="shared" si="239"/>
        <v>42.561144153493835</v>
      </c>
      <c r="G484">
        <f t="shared" si="240"/>
        <v>42.561144153493835</v>
      </c>
      <c r="H484">
        <f t="shared" si="241"/>
        <v>42.561144153493835</v>
      </c>
      <c r="I484" s="3"/>
      <c r="J484">
        <f t="shared" si="242"/>
        <v>17.905852139551389</v>
      </c>
      <c r="K484">
        <f t="shared" si="243"/>
        <v>327.46173925276969</v>
      </c>
      <c r="L484">
        <f t="shared" si="244"/>
        <v>38.900146145912167</v>
      </c>
      <c r="M484">
        <f t="shared" si="245"/>
        <v>38.900146145912167</v>
      </c>
      <c r="N484">
        <f t="shared" si="246"/>
        <v>38.900146145912167</v>
      </c>
      <c r="O484" s="3"/>
      <c r="P484">
        <f t="shared" si="247"/>
        <v>67.82603034815034</v>
      </c>
      <c r="Q484">
        <f t="shared" si="248"/>
        <v>579.11974807761987</v>
      </c>
      <c r="R484">
        <f t="shared" si="249"/>
        <v>0</v>
      </c>
      <c r="S484">
        <f t="shared" si="250"/>
        <v>0</v>
      </c>
      <c r="T484">
        <v>50</v>
      </c>
      <c r="U484" s="3"/>
      <c r="V484">
        <f t="shared" si="251"/>
        <v>696.94577842577019</v>
      </c>
      <c r="W484" s="3"/>
      <c r="X484">
        <f t="shared" si="252"/>
        <v>2309.2082111051741</v>
      </c>
      <c r="Y484">
        <f t="shared" si="253"/>
        <v>48.054221574229814</v>
      </c>
      <c r="AA484">
        <f t="shared" si="254"/>
        <v>5.0559801352519317E-5</v>
      </c>
    </row>
    <row r="485" spans="2:27" x14ac:dyDescent="0.35">
      <c r="B485">
        <v>448.59514687100892</v>
      </c>
      <c r="C485">
        <v>660</v>
      </c>
      <c r="D485">
        <f t="shared" si="237"/>
        <v>20.830812400702218</v>
      </c>
      <c r="E485">
        <f t="shared" si="238"/>
        <v>333.6503572117939</v>
      </c>
      <c r="F485">
        <f t="shared" si="239"/>
        <v>42.656929594106849</v>
      </c>
      <c r="G485">
        <f t="shared" si="240"/>
        <v>42.656929594106849</v>
      </c>
      <c r="H485">
        <f t="shared" si="241"/>
        <v>42.656929594106849</v>
      </c>
      <c r="I485" s="3"/>
      <c r="J485">
        <f t="shared" si="242"/>
        <v>17.943580009387542</v>
      </c>
      <c r="K485">
        <f t="shared" si="243"/>
        <v>327.85777730322678</v>
      </c>
      <c r="L485">
        <f t="shared" si="244"/>
        <v>38.993533762680606</v>
      </c>
      <c r="M485">
        <f t="shared" si="245"/>
        <v>38.993533762680606</v>
      </c>
      <c r="N485">
        <f t="shared" si="246"/>
        <v>38.993533762680606</v>
      </c>
      <c r="O485" s="3"/>
      <c r="P485">
        <f t="shared" si="247"/>
        <v>67.548622762495697</v>
      </c>
      <c r="Q485">
        <f t="shared" si="248"/>
        <v>577.72361441042824</v>
      </c>
      <c r="R485">
        <f t="shared" si="249"/>
        <v>0</v>
      </c>
      <c r="S485">
        <f t="shared" si="250"/>
        <v>0</v>
      </c>
      <c r="T485">
        <v>50</v>
      </c>
      <c r="U485" s="3"/>
      <c r="V485">
        <f t="shared" si="251"/>
        <v>695.27223717292395</v>
      </c>
      <c r="W485" s="3"/>
      <c r="X485">
        <f t="shared" si="252"/>
        <v>1244.1307151829983</v>
      </c>
      <c r="Y485">
        <f t="shared" si="253"/>
        <v>35.272237172923951</v>
      </c>
      <c r="AA485">
        <f t="shared" si="254"/>
        <v>3.7111355595828632E-5</v>
      </c>
    </row>
    <row r="486" spans="2:27" x14ac:dyDescent="0.35">
      <c r="B486">
        <v>449.55300127713929</v>
      </c>
      <c r="C486">
        <v>696</v>
      </c>
      <c r="D486">
        <f t="shared" si="237"/>
        <v>20.870645067267535</v>
      </c>
      <c r="E486">
        <f t="shared" si="238"/>
        <v>334.04760394927666</v>
      </c>
      <c r="F486">
        <f t="shared" si="239"/>
        <v>42.752715034719884</v>
      </c>
      <c r="G486">
        <f t="shared" si="240"/>
        <v>42.752715034719884</v>
      </c>
      <c r="H486">
        <f t="shared" si="241"/>
        <v>42.752715034719884</v>
      </c>
      <c r="I486" s="3"/>
      <c r="J486">
        <f t="shared" si="242"/>
        <v>17.981312067183325</v>
      </c>
      <c r="K486">
        <f t="shared" si="243"/>
        <v>328.25381680841298</v>
      </c>
      <c r="L486">
        <f t="shared" si="244"/>
        <v>39.086926972173266</v>
      </c>
      <c r="M486">
        <f t="shared" si="245"/>
        <v>39.086926972173266</v>
      </c>
      <c r="N486">
        <f t="shared" si="246"/>
        <v>39.086926972173266</v>
      </c>
      <c r="O486" s="3"/>
      <c r="P486">
        <f t="shared" si="247"/>
        <v>67.272883495577815</v>
      </c>
      <c r="Q486">
        <f t="shared" si="248"/>
        <v>576.33251823651335</v>
      </c>
      <c r="R486">
        <f t="shared" si="249"/>
        <v>0</v>
      </c>
      <c r="S486">
        <f t="shared" si="250"/>
        <v>0</v>
      </c>
      <c r="T486">
        <v>50</v>
      </c>
      <c r="U486" s="3"/>
      <c r="V486">
        <f t="shared" si="251"/>
        <v>693.6054017320912</v>
      </c>
      <c r="W486" s="3"/>
      <c r="X486">
        <f t="shared" si="252"/>
        <v>5.7341008646718477</v>
      </c>
      <c r="Y486">
        <f t="shared" si="253"/>
        <v>2.3945982679088047</v>
      </c>
      <c r="AA486">
        <f t="shared" si="254"/>
        <v>2.5194542493532514E-6</v>
      </c>
    </row>
    <row r="487" spans="2:27" x14ac:dyDescent="0.35">
      <c r="B487">
        <v>450.51085568326948</v>
      </c>
      <c r="C487">
        <v>719</v>
      </c>
      <c r="D487">
        <f t="shared" si="237"/>
        <v>20.910477733832845</v>
      </c>
      <c r="E487">
        <f t="shared" si="238"/>
        <v>334.44485068675942</v>
      </c>
      <c r="F487">
        <f t="shared" si="239"/>
        <v>42.848500475332905</v>
      </c>
      <c r="G487">
        <f t="shared" si="240"/>
        <v>42.848500475332905</v>
      </c>
      <c r="H487">
        <f t="shared" si="241"/>
        <v>42.848500475332905</v>
      </c>
      <c r="I487" s="3"/>
      <c r="J487">
        <f t="shared" si="242"/>
        <v>18.019048296767256</v>
      </c>
      <c r="K487">
        <f t="shared" si="243"/>
        <v>328.64985776483604</v>
      </c>
      <c r="L487">
        <f t="shared" si="244"/>
        <v>39.180325748693505</v>
      </c>
      <c r="M487">
        <f t="shared" si="245"/>
        <v>39.180325748693505</v>
      </c>
      <c r="N487">
        <f t="shared" si="246"/>
        <v>39.180325748693505</v>
      </c>
      <c r="O487" s="3"/>
      <c r="P487">
        <f t="shared" si="247"/>
        <v>66.998799376899655</v>
      </c>
      <c r="Q487">
        <f t="shared" si="248"/>
        <v>574.94643536845717</v>
      </c>
      <c r="R487">
        <f t="shared" si="249"/>
        <v>0</v>
      </c>
      <c r="S487">
        <f t="shared" si="250"/>
        <v>0</v>
      </c>
      <c r="T487">
        <v>50</v>
      </c>
      <c r="U487" s="3"/>
      <c r="V487">
        <f t="shared" si="251"/>
        <v>691.94523474535686</v>
      </c>
      <c r="W487" s="3"/>
      <c r="X487">
        <f t="shared" si="252"/>
        <v>731.96032298384591</v>
      </c>
      <c r="Y487">
        <f t="shared" si="253"/>
        <v>27.054765254643144</v>
      </c>
      <c r="AA487">
        <f t="shared" si="254"/>
        <v>2.8465419105807723E-5</v>
      </c>
    </row>
    <row r="488" spans="2:27" x14ac:dyDescent="0.35">
      <c r="B488">
        <v>451.78799489144319</v>
      </c>
      <c r="C488">
        <v>699</v>
      </c>
      <c r="D488">
        <f t="shared" si="237"/>
        <v>20.96358795591993</v>
      </c>
      <c r="E488">
        <f t="shared" si="238"/>
        <v>334.9745130034031</v>
      </c>
      <c r="F488">
        <f t="shared" si="239"/>
        <v>42.976214396150276</v>
      </c>
      <c r="G488">
        <f t="shared" si="240"/>
        <v>42.976214396150276</v>
      </c>
      <c r="H488">
        <f t="shared" si="241"/>
        <v>42.976214396150276</v>
      </c>
      <c r="I488" s="3"/>
      <c r="J488">
        <f t="shared" si="242"/>
        <v>18.069369731214909</v>
      </c>
      <c r="K488">
        <f t="shared" si="243"/>
        <v>329.17791462486747</v>
      </c>
      <c r="L488">
        <f t="shared" si="244"/>
        <v>39.304866066455077</v>
      </c>
      <c r="M488">
        <f t="shared" si="245"/>
        <v>39.304866066455077</v>
      </c>
      <c r="N488">
        <f t="shared" si="246"/>
        <v>39.304866066455077</v>
      </c>
      <c r="O488" s="3"/>
      <c r="P488">
        <f t="shared" si="247"/>
        <v>66.635906036559092</v>
      </c>
      <c r="Q488">
        <f t="shared" si="248"/>
        <v>573.10608181927932</v>
      </c>
      <c r="R488">
        <f t="shared" si="249"/>
        <v>0</v>
      </c>
      <c r="S488">
        <f t="shared" si="250"/>
        <v>0</v>
      </c>
      <c r="T488">
        <v>50</v>
      </c>
      <c r="U488" s="3"/>
      <c r="V488">
        <f t="shared" si="251"/>
        <v>689.74198785583837</v>
      </c>
      <c r="W488" s="3"/>
      <c r="X488">
        <f t="shared" si="252"/>
        <v>85.710788861444144</v>
      </c>
      <c r="Y488">
        <f t="shared" si="253"/>
        <v>9.2580121441616257</v>
      </c>
      <c r="AA488">
        <f t="shared" si="254"/>
        <v>9.7407311905983234E-6</v>
      </c>
    </row>
    <row r="489" spans="2:27" x14ac:dyDescent="0.35">
      <c r="B489">
        <v>452.7458492975735</v>
      </c>
      <c r="C489">
        <v>734</v>
      </c>
      <c r="D489">
        <f t="shared" si="237"/>
        <v>21.003420622485244</v>
      </c>
      <c r="E489">
        <f t="shared" si="238"/>
        <v>335.37175974088586</v>
      </c>
      <c r="F489">
        <f t="shared" si="239"/>
        <v>43.071999836763304</v>
      </c>
      <c r="G489">
        <f t="shared" si="240"/>
        <v>43.071999836763304</v>
      </c>
      <c r="H489">
        <f t="shared" si="241"/>
        <v>43.071999836763304</v>
      </c>
      <c r="I489" s="3"/>
      <c r="J489">
        <f t="shared" si="242"/>
        <v>18.107115632595683</v>
      </c>
      <c r="K489">
        <f t="shared" si="243"/>
        <v>329.57395895399975</v>
      </c>
      <c r="L489">
        <f t="shared" si="244"/>
        <v>39.398277733756046</v>
      </c>
      <c r="M489">
        <f t="shared" si="245"/>
        <v>39.398277733756046</v>
      </c>
      <c r="N489">
        <f t="shared" si="246"/>
        <v>39.398277733756046</v>
      </c>
      <c r="O489" s="3"/>
      <c r="P489">
        <f t="shared" si="247"/>
        <v>66.36563342966204</v>
      </c>
      <c r="Q489">
        <f t="shared" si="248"/>
        <v>571.73160341475</v>
      </c>
      <c r="R489">
        <f t="shared" si="249"/>
        <v>0</v>
      </c>
      <c r="S489">
        <f t="shared" si="250"/>
        <v>0</v>
      </c>
      <c r="T489">
        <v>50</v>
      </c>
      <c r="U489" s="3"/>
      <c r="V489">
        <f t="shared" si="251"/>
        <v>688.09723684441201</v>
      </c>
      <c r="W489" s="3"/>
      <c r="X489">
        <f t="shared" si="252"/>
        <v>2107.0636653180063</v>
      </c>
      <c r="Y489">
        <f t="shared" si="253"/>
        <v>45.902763155587991</v>
      </c>
      <c r="AA489">
        <f t="shared" si="254"/>
        <v>4.829616442945093E-5</v>
      </c>
    </row>
    <row r="490" spans="2:27" x14ac:dyDescent="0.35">
      <c r="B490">
        <v>453.7037037037037</v>
      </c>
      <c r="C490">
        <v>665</v>
      </c>
      <c r="D490">
        <f t="shared" si="237"/>
        <v>21.043253289050558</v>
      </c>
      <c r="E490">
        <f t="shared" si="238"/>
        <v>335.76900647836862</v>
      </c>
      <c r="F490">
        <f t="shared" si="239"/>
        <v>43.167785277376325</v>
      </c>
      <c r="G490">
        <f t="shared" si="240"/>
        <v>43.167785277376325</v>
      </c>
      <c r="H490">
        <f t="shared" si="241"/>
        <v>43.167785277376325</v>
      </c>
      <c r="I490" s="3"/>
      <c r="J490">
        <f t="shared" si="242"/>
        <v>18.144865652517769</v>
      </c>
      <c r="K490">
        <f t="shared" si="243"/>
        <v>329.9700047228186</v>
      </c>
      <c r="L490">
        <f t="shared" si="244"/>
        <v>39.49169488368539</v>
      </c>
      <c r="M490">
        <f t="shared" si="245"/>
        <v>39.49169488368539</v>
      </c>
      <c r="N490">
        <f t="shared" si="246"/>
        <v>39.49169488368539</v>
      </c>
      <c r="O490" s="3"/>
      <c r="P490">
        <f t="shared" si="247"/>
        <v>66.096972987536859</v>
      </c>
      <c r="Q490">
        <f t="shared" si="248"/>
        <v>570.36205873207894</v>
      </c>
      <c r="R490">
        <f t="shared" si="249"/>
        <v>0</v>
      </c>
      <c r="S490">
        <f t="shared" si="250"/>
        <v>0</v>
      </c>
      <c r="T490">
        <v>50</v>
      </c>
      <c r="U490" s="3"/>
      <c r="V490">
        <f t="shared" si="251"/>
        <v>686.45903171961584</v>
      </c>
      <c r="W490" s="3"/>
      <c r="X490">
        <f t="shared" si="252"/>
        <v>460.49004234347859</v>
      </c>
      <c r="Y490">
        <f t="shared" si="253"/>
        <v>21.459031719615837</v>
      </c>
      <c r="AA490">
        <f t="shared" si="254"/>
        <v>2.2577920220499936E-5</v>
      </c>
    </row>
    <row r="491" spans="2:27" x14ac:dyDescent="0.35">
      <c r="B491">
        <v>454.661558109834</v>
      </c>
      <c r="C491">
        <v>617</v>
      </c>
      <c r="D491">
        <f t="shared" si="237"/>
        <v>21.083085955615871</v>
      </c>
      <c r="E491">
        <f t="shared" si="238"/>
        <v>336.16625321585138</v>
      </c>
      <c r="F491">
        <f t="shared" si="239"/>
        <v>43.263570717989353</v>
      </c>
      <c r="G491">
        <f t="shared" si="240"/>
        <v>43.263570717989353</v>
      </c>
      <c r="H491">
        <f t="shared" si="241"/>
        <v>43.263570717989353</v>
      </c>
      <c r="I491" s="3"/>
      <c r="J491">
        <f t="shared" si="242"/>
        <v>18.182619775201932</v>
      </c>
      <c r="K491">
        <f t="shared" si="243"/>
        <v>330.36605192788585</v>
      </c>
      <c r="L491">
        <f t="shared" si="244"/>
        <v>39.585117491294213</v>
      </c>
      <c r="M491">
        <f t="shared" si="245"/>
        <v>39.585117491294213</v>
      </c>
      <c r="N491">
        <f t="shared" si="246"/>
        <v>39.585117491294213</v>
      </c>
      <c r="O491" s="3"/>
      <c r="P491">
        <f t="shared" si="247"/>
        <v>65.829912084978361</v>
      </c>
      <c r="Q491">
        <f t="shared" si="248"/>
        <v>568.99742420431733</v>
      </c>
      <c r="R491">
        <f t="shared" si="249"/>
        <v>0</v>
      </c>
      <c r="S491">
        <f t="shared" si="250"/>
        <v>0</v>
      </c>
      <c r="T491">
        <v>50</v>
      </c>
      <c r="U491" s="3"/>
      <c r="V491">
        <f t="shared" si="251"/>
        <v>684.82733628929566</v>
      </c>
      <c r="W491" s="3"/>
      <c r="X491">
        <f t="shared" si="252"/>
        <v>4600.5475481012036</v>
      </c>
      <c r="Y491">
        <f t="shared" si="253"/>
        <v>67.827336289295658</v>
      </c>
      <c r="AA491">
        <f t="shared" si="254"/>
        <v>7.1363899709830578E-5</v>
      </c>
    </row>
    <row r="492" spans="2:27" x14ac:dyDescent="0.35">
      <c r="B492">
        <v>455.61941251596431</v>
      </c>
      <c r="C492">
        <v>698</v>
      </c>
      <c r="D492">
        <f t="shared" si="237"/>
        <v>21.122918622181189</v>
      </c>
      <c r="E492">
        <f t="shared" si="238"/>
        <v>336.56349995333414</v>
      </c>
      <c r="F492">
        <f t="shared" si="239"/>
        <v>43.359356158602388</v>
      </c>
      <c r="G492">
        <f t="shared" si="240"/>
        <v>43.359356158602388</v>
      </c>
      <c r="H492">
        <f t="shared" si="241"/>
        <v>43.359356158602388</v>
      </c>
      <c r="I492" s="3"/>
      <c r="J492">
        <f t="shared" si="242"/>
        <v>18.220377984957665</v>
      </c>
      <c r="K492">
        <f t="shared" si="243"/>
        <v>330.76210056577543</v>
      </c>
      <c r="L492">
        <f t="shared" si="244"/>
        <v>39.67854553180203</v>
      </c>
      <c r="M492">
        <f t="shared" si="245"/>
        <v>39.67854553180203</v>
      </c>
      <c r="N492">
        <f t="shared" si="246"/>
        <v>39.67854553180203</v>
      </c>
      <c r="O492" s="3"/>
      <c r="P492">
        <f t="shared" si="247"/>
        <v>65.56443821878068</v>
      </c>
      <c r="Q492">
        <f t="shared" si="248"/>
        <v>567.6376764049794</v>
      </c>
      <c r="R492">
        <f t="shared" si="249"/>
        <v>0</v>
      </c>
      <c r="S492">
        <f t="shared" si="250"/>
        <v>0</v>
      </c>
      <c r="T492">
        <v>50</v>
      </c>
      <c r="U492" s="3"/>
      <c r="V492">
        <f t="shared" si="251"/>
        <v>683.20211462376005</v>
      </c>
      <c r="W492" s="3"/>
      <c r="X492">
        <f t="shared" si="252"/>
        <v>218.97741160833607</v>
      </c>
      <c r="Y492">
        <f t="shared" si="253"/>
        <v>14.797885376239947</v>
      </c>
      <c r="AA492">
        <f t="shared" si="254"/>
        <v>1.5569457178789678E-5</v>
      </c>
    </row>
    <row r="493" spans="2:27" x14ac:dyDescent="0.35">
      <c r="B493">
        <v>456.57726692209457</v>
      </c>
      <c r="C493">
        <v>732</v>
      </c>
      <c r="D493">
        <f t="shared" si="237"/>
        <v>21.162751288746499</v>
      </c>
      <c r="E493">
        <f t="shared" si="238"/>
        <v>336.9607466908169</v>
      </c>
      <c r="F493">
        <f t="shared" si="239"/>
        <v>43.455141599215409</v>
      </c>
      <c r="G493">
        <f t="shared" si="240"/>
        <v>43.455141599215409</v>
      </c>
      <c r="H493">
        <f t="shared" si="241"/>
        <v>43.455141599215409</v>
      </c>
      <c r="I493" s="3"/>
      <c r="J493">
        <f t="shared" si="242"/>
        <v>18.258140266182547</v>
      </c>
      <c r="K493">
        <f t="shared" si="243"/>
        <v>331.15815063307372</v>
      </c>
      <c r="L493">
        <f t="shared" si="244"/>
        <v>39.771978980595279</v>
      </c>
      <c r="M493">
        <f t="shared" si="245"/>
        <v>39.771978980595279</v>
      </c>
      <c r="N493">
        <f t="shared" si="246"/>
        <v>39.771978980595279</v>
      </c>
      <c r="O493" s="3"/>
      <c r="P493">
        <f t="shared" si="247"/>
        <v>65.300539006338369</v>
      </c>
      <c r="Q493">
        <f t="shared" si="248"/>
        <v>566.28279204703904</v>
      </c>
      <c r="R493">
        <f t="shared" si="249"/>
        <v>0</v>
      </c>
      <c r="S493">
        <f t="shared" si="250"/>
        <v>0</v>
      </c>
      <c r="T493">
        <v>50</v>
      </c>
      <c r="U493" s="3"/>
      <c r="V493">
        <f t="shared" si="251"/>
        <v>681.58333105337738</v>
      </c>
      <c r="W493" s="3"/>
      <c r="X493">
        <f t="shared" si="252"/>
        <v>2541.8405076733416</v>
      </c>
      <c r="Y493">
        <f t="shared" si="253"/>
        <v>50.416668946622622</v>
      </c>
      <c r="AA493">
        <f t="shared" si="254"/>
        <v>5.3045428336809426E-5</v>
      </c>
    </row>
    <row r="494" spans="2:27" x14ac:dyDescent="0.35">
      <c r="B494">
        <v>457.85440613026822</v>
      </c>
      <c r="C494">
        <v>728</v>
      </c>
      <c r="D494">
        <f t="shared" si="237"/>
        <v>21.215861510833584</v>
      </c>
      <c r="E494">
        <f t="shared" si="238"/>
        <v>337.49040900746058</v>
      </c>
      <c r="F494">
        <f t="shared" si="239"/>
        <v>43.582855520032773</v>
      </c>
      <c r="G494">
        <f t="shared" si="240"/>
        <v>43.582855520032773</v>
      </c>
      <c r="H494">
        <f t="shared" si="241"/>
        <v>43.582855520032773</v>
      </c>
      <c r="I494" s="3"/>
      <c r="J494">
        <f t="shared" si="242"/>
        <v>18.308496281075342</v>
      </c>
      <c r="K494">
        <f t="shared" si="243"/>
        <v>331.68621960711852</v>
      </c>
      <c r="L494">
        <f t="shared" si="244"/>
        <v>39.896565282975757</v>
      </c>
      <c r="M494">
        <f t="shared" si="245"/>
        <v>39.896565282975757</v>
      </c>
      <c r="N494">
        <f t="shared" si="246"/>
        <v>39.896565282975757</v>
      </c>
      <c r="O494" s="3"/>
      <c r="P494">
        <f t="shared" si="247"/>
        <v>64.951101672172584</v>
      </c>
      <c r="Q494">
        <f t="shared" si="248"/>
        <v>564.48380493303398</v>
      </c>
      <c r="R494">
        <f t="shared" si="249"/>
        <v>0</v>
      </c>
      <c r="S494">
        <f t="shared" si="250"/>
        <v>0</v>
      </c>
      <c r="T494">
        <v>50</v>
      </c>
      <c r="U494" s="3"/>
      <c r="V494">
        <f t="shared" si="251"/>
        <v>679.43490660520661</v>
      </c>
      <c r="W494" s="3"/>
      <c r="X494">
        <f t="shared" si="252"/>
        <v>2358.5682964450048</v>
      </c>
      <c r="Y494">
        <f t="shared" si="253"/>
        <v>48.565093394793394</v>
      </c>
      <c r="AA494">
        <f t="shared" si="254"/>
        <v>5.1097310377078065E-5</v>
      </c>
    </row>
    <row r="495" spans="2:27" x14ac:dyDescent="0.35">
      <c r="B495">
        <v>458.81226053639858</v>
      </c>
      <c r="C495">
        <v>674</v>
      </c>
      <c r="D495">
        <f t="shared" si="237"/>
        <v>21.255694177398901</v>
      </c>
      <c r="E495">
        <f t="shared" si="238"/>
        <v>337.8876557449434</v>
      </c>
      <c r="F495">
        <f t="shared" si="239"/>
        <v>43.678640960645815</v>
      </c>
      <c r="G495">
        <f t="shared" si="240"/>
        <v>43.678640960645815</v>
      </c>
      <c r="H495">
        <f t="shared" si="241"/>
        <v>43.678640960645815</v>
      </c>
      <c r="I495" s="3"/>
      <c r="J495">
        <f t="shared" si="242"/>
        <v>18.346268002208785</v>
      </c>
      <c r="K495">
        <f t="shared" si="243"/>
        <v>332.08227299649639</v>
      </c>
      <c r="L495">
        <f t="shared" si="244"/>
        <v>39.990011256309032</v>
      </c>
      <c r="M495">
        <f t="shared" si="245"/>
        <v>39.990011256309032</v>
      </c>
      <c r="N495">
        <f t="shared" si="246"/>
        <v>39.990011256309032</v>
      </c>
      <c r="O495" s="3"/>
      <c r="P495">
        <f t="shared" si="247"/>
        <v>64.690829164394742</v>
      </c>
      <c r="Q495">
        <f t="shared" si="248"/>
        <v>563.1401788203201</v>
      </c>
      <c r="R495">
        <f t="shared" si="249"/>
        <v>0</v>
      </c>
      <c r="S495">
        <f t="shared" si="250"/>
        <v>0</v>
      </c>
      <c r="T495">
        <v>50</v>
      </c>
      <c r="U495" s="3"/>
      <c r="V495">
        <f t="shared" si="251"/>
        <v>677.8310079847148</v>
      </c>
      <c r="W495" s="3"/>
      <c r="X495">
        <f t="shared" si="252"/>
        <v>14.676622178948566</v>
      </c>
      <c r="Y495">
        <f t="shared" si="253"/>
        <v>3.8310079847148018</v>
      </c>
      <c r="AA495">
        <f t="shared" si="254"/>
        <v>4.0307593452095193E-6</v>
      </c>
    </row>
    <row r="496" spans="2:27" x14ac:dyDescent="0.35">
      <c r="B496">
        <v>459.77011494252872</v>
      </c>
      <c r="C496">
        <v>623</v>
      </c>
      <c r="D496">
        <f t="shared" si="237"/>
        <v>21.295526843964208</v>
      </c>
      <c r="E496">
        <f t="shared" si="238"/>
        <v>338.28490248242611</v>
      </c>
      <c r="F496">
        <f t="shared" si="239"/>
        <v>43.774426401258829</v>
      </c>
      <c r="G496">
        <f t="shared" si="240"/>
        <v>43.774426401258829</v>
      </c>
      <c r="H496">
        <f t="shared" si="241"/>
        <v>43.774426401258829</v>
      </c>
      <c r="I496" s="3"/>
      <c r="J496">
        <f t="shared" si="242"/>
        <v>18.384043743431178</v>
      </c>
      <c r="K496">
        <f t="shared" si="243"/>
        <v>332.47832780399136</v>
      </c>
      <c r="L496">
        <f t="shared" si="244"/>
        <v>40.083462557069275</v>
      </c>
      <c r="M496">
        <f t="shared" si="245"/>
        <v>40.083462557069275</v>
      </c>
      <c r="N496">
        <f t="shared" si="246"/>
        <v>40.083462557069275</v>
      </c>
      <c r="O496" s="3"/>
      <c r="P496">
        <f t="shared" si="247"/>
        <v>64.432090888438012</v>
      </c>
      <c r="Q496">
        <f t="shared" si="248"/>
        <v>561.80133952008862</v>
      </c>
      <c r="R496">
        <f t="shared" si="249"/>
        <v>0</v>
      </c>
      <c r="S496">
        <f t="shared" si="250"/>
        <v>0</v>
      </c>
      <c r="T496">
        <v>50</v>
      </c>
      <c r="U496" s="3"/>
      <c r="V496">
        <f t="shared" si="251"/>
        <v>676.2334304085266</v>
      </c>
      <c r="W496" s="3"/>
      <c r="X496">
        <f t="shared" si="252"/>
        <v>2833.7981130594444</v>
      </c>
      <c r="Y496">
        <f t="shared" si="253"/>
        <v>53.233430408526601</v>
      </c>
      <c r="AA496">
        <f t="shared" si="254"/>
        <v>5.6009057656063041E-5</v>
      </c>
    </row>
    <row r="497" spans="2:27" x14ac:dyDescent="0.35">
      <c r="B497">
        <v>460.72796934865909</v>
      </c>
      <c r="C497">
        <v>629</v>
      </c>
      <c r="D497">
        <f t="shared" si="237"/>
        <v>21.335359510529525</v>
      </c>
      <c r="E497">
        <f t="shared" si="238"/>
        <v>338.68214921990892</v>
      </c>
      <c r="F497">
        <f t="shared" si="239"/>
        <v>43.870211841871864</v>
      </c>
      <c r="G497">
        <f t="shared" si="240"/>
        <v>43.870211841871864</v>
      </c>
      <c r="H497">
        <f t="shared" si="241"/>
        <v>43.870211841871864</v>
      </c>
      <c r="I497" s="3"/>
      <c r="J497">
        <f t="shared" si="242"/>
        <v>18.421823489514409</v>
      </c>
      <c r="K497">
        <f t="shared" si="243"/>
        <v>332.87438402624218</v>
      </c>
      <c r="L497">
        <f t="shared" si="244"/>
        <v>40.176919161349431</v>
      </c>
      <c r="M497">
        <f t="shared" si="245"/>
        <v>40.176919161349431</v>
      </c>
      <c r="N497">
        <f t="shared" si="246"/>
        <v>40.176919161349431</v>
      </c>
      <c r="O497" s="3"/>
      <c r="P497">
        <f t="shared" si="247"/>
        <v>64.174874968581037</v>
      </c>
      <c r="Q497">
        <f t="shared" si="248"/>
        <v>560.46726433825268</v>
      </c>
      <c r="R497">
        <f t="shared" si="249"/>
        <v>0</v>
      </c>
      <c r="S497">
        <f t="shared" si="250"/>
        <v>0</v>
      </c>
      <c r="T497">
        <v>50</v>
      </c>
      <c r="U497" s="3"/>
      <c r="V497">
        <f t="shared" si="251"/>
        <v>674.64213930683377</v>
      </c>
      <c r="W497" s="3"/>
      <c r="X497">
        <f t="shared" si="252"/>
        <v>2083.2048805044201</v>
      </c>
      <c r="Y497">
        <f t="shared" si="253"/>
        <v>45.642139306833769</v>
      </c>
      <c r="AA497">
        <f t="shared" si="254"/>
        <v>4.8021951476060612E-5</v>
      </c>
    </row>
    <row r="498" spans="2:27" x14ac:dyDescent="0.35">
      <c r="B498">
        <v>461.68582375478928</v>
      </c>
      <c r="C498">
        <v>667</v>
      </c>
      <c r="D498">
        <f t="shared" si="237"/>
        <v>21.375192177094839</v>
      </c>
      <c r="E498">
        <f t="shared" si="238"/>
        <v>339.07939595739163</v>
      </c>
      <c r="F498">
        <f t="shared" si="239"/>
        <v>43.965997282484885</v>
      </c>
      <c r="G498">
        <f t="shared" si="240"/>
        <v>43.965997282484885</v>
      </c>
      <c r="H498">
        <f t="shared" si="241"/>
        <v>43.965997282484885</v>
      </c>
      <c r="I498" s="3"/>
      <c r="J498">
        <f t="shared" si="242"/>
        <v>18.459607225315018</v>
      </c>
      <c r="K498">
        <f t="shared" si="243"/>
        <v>333.27044165989929</v>
      </c>
      <c r="L498">
        <f t="shared" si="244"/>
        <v>40.270381045401535</v>
      </c>
      <c r="M498">
        <f t="shared" si="245"/>
        <v>40.270381045401535</v>
      </c>
      <c r="N498">
        <f t="shared" si="246"/>
        <v>40.270381045401535</v>
      </c>
      <c r="O498" s="3"/>
      <c r="P498">
        <f t="shared" si="247"/>
        <v>63.919169642549022</v>
      </c>
      <c r="Q498">
        <f t="shared" si="248"/>
        <v>559.13793071497662</v>
      </c>
      <c r="R498">
        <f t="shared" si="249"/>
        <v>0</v>
      </c>
      <c r="S498">
        <f t="shared" si="250"/>
        <v>0</v>
      </c>
      <c r="T498">
        <v>50</v>
      </c>
      <c r="U498" s="3"/>
      <c r="V498">
        <f t="shared" si="251"/>
        <v>673.05710035752566</v>
      </c>
      <c r="W498" s="3"/>
      <c r="X498">
        <f t="shared" si="252"/>
        <v>36.688464741137423</v>
      </c>
      <c r="Y498">
        <f t="shared" si="253"/>
        <v>6.0571003575256555</v>
      </c>
      <c r="AA498">
        <f t="shared" si="254"/>
        <v>6.3729216875505943E-6</v>
      </c>
    </row>
    <row r="499" spans="2:27" x14ac:dyDescent="0.35">
      <c r="B499">
        <v>462.64367816091954</v>
      </c>
      <c r="C499">
        <v>718</v>
      </c>
      <c r="D499">
        <f t="shared" si="237"/>
        <v>21.415024843660149</v>
      </c>
      <c r="E499">
        <f t="shared" si="238"/>
        <v>339.47664269487439</v>
      </c>
      <c r="F499">
        <f t="shared" si="239"/>
        <v>44.061782723097906</v>
      </c>
      <c r="G499">
        <f t="shared" si="240"/>
        <v>44.061782723097906</v>
      </c>
      <c r="H499">
        <f t="shared" si="241"/>
        <v>44.061782723097906</v>
      </c>
      <c r="I499" s="3"/>
      <c r="J499">
        <f t="shared" si="242"/>
        <v>18.497394935773638</v>
      </c>
      <c r="K499">
        <f t="shared" si="243"/>
        <v>333.66650070162513</v>
      </c>
      <c r="L499">
        <f t="shared" si="244"/>
        <v>40.363848185635504</v>
      </c>
      <c r="M499">
        <f t="shared" si="245"/>
        <v>40.363848185635504</v>
      </c>
      <c r="N499">
        <f t="shared" si="246"/>
        <v>40.363848185635504</v>
      </c>
      <c r="O499" s="3"/>
      <c r="P499">
        <f t="shared" si="247"/>
        <v>63.66496326022736</v>
      </c>
      <c r="Q499">
        <f t="shared" si="248"/>
        <v>557.81331622372295</v>
      </c>
      <c r="R499">
        <f t="shared" si="249"/>
        <v>0</v>
      </c>
      <c r="S499">
        <f t="shared" si="250"/>
        <v>0</v>
      </c>
      <c r="T499">
        <v>50</v>
      </c>
      <c r="U499" s="3"/>
      <c r="V499">
        <f t="shared" si="251"/>
        <v>671.47827948395036</v>
      </c>
      <c r="W499" s="3"/>
      <c r="X499">
        <f t="shared" si="252"/>
        <v>2164.2704797734341</v>
      </c>
      <c r="Y499">
        <f t="shared" si="253"/>
        <v>46.521720516049641</v>
      </c>
      <c r="AA499">
        <f t="shared" si="254"/>
        <v>4.8947394647430428E-5</v>
      </c>
    </row>
    <row r="500" spans="2:27" x14ac:dyDescent="0.35">
      <c r="B500">
        <v>463.6015325670499</v>
      </c>
      <c r="C500">
        <v>740</v>
      </c>
      <c r="D500">
        <f t="shared" si="237"/>
        <v>21.454857510225469</v>
      </c>
      <c r="E500">
        <f t="shared" si="238"/>
        <v>339.8738894323572</v>
      </c>
      <c r="F500">
        <f t="shared" si="239"/>
        <v>44.157568163710941</v>
      </c>
      <c r="G500">
        <f t="shared" si="240"/>
        <v>44.157568163710941</v>
      </c>
      <c r="H500">
        <f t="shared" si="241"/>
        <v>44.157568163710941</v>
      </c>
      <c r="I500" s="3"/>
      <c r="J500">
        <f t="shared" si="242"/>
        <v>18.535186605914383</v>
      </c>
      <c r="K500">
        <f t="shared" si="243"/>
        <v>334.06256114809401</v>
      </c>
      <c r="L500">
        <f t="shared" si="244"/>
        <v>40.457320558617624</v>
      </c>
      <c r="M500">
        <f t="shared" si="245"/>
        <v>40.457320558617624</v>
      </c>
      <c r="N500">
        <f t="shared" si="246"/>
        <v>40.457320558617624</v>
      </c>
      <c r="O500" s="3"/>
      <c r="P500">
        <f t="shared" si="247"/>
        <v>63.412244282392294</v>
      </c>
      <c r="Q500">
        <f t="shared" si="248"/>
        <v>556.49339857030907</v>
      </c>
      <c r="R500">
        <f t="shared" si="249"/>
        <v>0</v>
      </c>
      <c r="S500">
        <f t="shared" si="250"/>
        <v>0</v>
      </c>
      <c r="T500">
        <v>50</v>
      </c>
      <c r="U500" s="3"/>
      <c r="V500">
        <f t="shared" si="251"/>
        <v>669.90564285270136</v>
      </c>
      <c r="W500" s="3"/>
      <c r="X500">
        <f t="shared" si="252"/>
        <v>4913.2189038930555</v>
      </c>
      <c r="Y500">
        <f t="shared" si="253"/>
        <v>70.094357147298638</v>
      </c>
      <c r="AA500">
        <f t="shared" si="254"/>
        <v>7.3749124576403299E-5</v>
      </c>
    </row>
    <row r="501" spans="2:27" x14ac:dyDescent="0.35">
      <c r="B501">
        <v>464.87867177522349</v>
      </c>
      <c r="C501">
        <v>656</v>
      </c>
      <c r="D501">
        <f t="shared" si="237"/>
        <v>21.507967732312547</v>
      </c>
      <c r="E501">
        <f t="shared" si="238"/>
        <v>340.40355174900083</v>
      </c>
      <c r="F501">
        <f t="shared" si="239"/>
        <v>44.285282084528305</v>
      </c>
      <c r="G501">
        <f t="shared" si="240"/>
        <v>44.285282084528305</v>
      </c>
      <c r="H501">
        <f t="shared" si="241"/>
        <v>44.285282084528305</v>
      </c>
      <c r="I501" s="3"/>
      <c r="J501">
        <f t="shared" si="242"/>
        <v>18.585581633211678</v>
      </c>
      <c r="K501">
        <f t="shared" si="243"/>
        <v>334.5906439228151</v>
      </c>
      <c r="L501">
        <f t="shared" si="244"/>
        <v>40.581958488878314</v>
      </c>
      <c r="M501">
        <f t="shared" si="245"/>
        <v>40.581958488878314</v>
      </c>
      <c r="N501">
        <f t="shared" si="246"/>
        <v>40.581958488878314</v>
      </c>
      <c r="O501" s="3"/>
      <c r="P501">
        <f t="shared" si="247"/>
        <v>63.077579646389871</v>
      </c>
      <c r="Q501">
        <f t="shared" si="248"/>
        <v>554.74077627075656</v>
      </c>
      <c r="R501">
        <f t="shared" si="249"/>
        <v>0</v>
      </c>
      <c r="S501">
        <f t="shared" si="250"/>
        <v>0</v>
      </c>
      <c r="T501">
        <v>50</v>
      </c>
      <c r="U501" s="3"/>
      <c r="V501">
        <f t="shared" si="251"/>
        <v>667.81835591714639</v>
      </c>
      <c r="W501" s="3"/>
      <c r="X501">
        <f t="shared" si="252"/>
        <v>139.67353658434911</v>
      </c>
      <c r="Y501">
        <f t="shared" si="253"/>
        <v>11.818355917146391</v>
      </c>
      <c r="AA501">
        <f t="shared" si="254"/>
        <v>1.2434573028329607E-5</v>
      </c>
    </row>
    <row r="502" spans="2:27" x14ac:dyDescent="0.35">
      <c r="B502">
        <v>465.8365261813538</v>
      </c>
      <c r="C502">
        <v>693</v>
      </c>
      <c r="D502">
        <f t="shared" si="237"/>
        <v>21.547800398877865</v>
      </c>
      <c r="E502">
        <f t="shared" si="238"/>
        <v>340.80079848648364</v>
      </c>
      <c r="F502">
        <f t="shared" si="239"/>
        <v>44.381067525141333</v>
      </c>
      <c r="G502">
        <f t="shared" si="240"/>
        <v>44.381067525141333</v>
      </c>
      <c r="H502">
        <f t="shared" si="241"/>
        <v>44.381067525141333</v>
      </c>
      <c r="I502" s="3"/>
      <c r="J502">
        <f t="shared" si="242"/>
        <v>18.623382484835403</v>
      </c>
      <c r="K502">
        <f t="shared" si="243"/>
        <v>334.98670763414981</v>
      </c>
      <c r="L502">
        <f t="shared" si="244"/>
        <v>40.675442981343394</v>
      </c>
      <c r="M502">
        <f t="shared" si="245"/>
        <v>40.675442981343394</v>
      </c>
      <c r="N502">
        <f t="shared" si="246"/>
        <v>40.675442981343394</v>
      </c>
      <c r="O502" s="3"/>
      <c r="P502">
        <f t="shared" si="247"/>
        <v>62.828287017822227</v>
      </c>
      <c r="Q502">
        <f t="shared" si="248"/>
        <v>553.43173194252233</v>
      </c>
      <c r="R502">
        <f t="shared" si="249"/>
        <v>0</v>
      </c>
      <c r="S502">
        <f t="shared" si="250"/>
        <v>0</v>
      </c>
      <c r="T502">
        <v>50</v>
      </c>
      <c r="U502" s="3"/>
      <c r="V502">
        <f t="shared" si="251"/>
        <v>666.26001896034461</v>
      </c>
      <c r="W502" s="3"/>
      <c r="X502">
        <f t="shared" si="252"/>
        <v>715.02658600112977</v>
      </c>
      <c r="Y502">
        <f t="shared" si="253"/>
        <v>26.73998103965539</v>
      </c>
      <c r="AA502">
        <f t="shared" si="254"/>
        <v>2.813422182787232E-5</v>
      </c>
    </row>
    <row r="503" spans="2:27" x14ac:dyDescent="0.35">
      <c r="B503">
        <v>466.79438058748411</v>
      </c>
      <c r="C503">
        <v>686</v>
      </c>
      <c r="D503">
        <f t="shared" si="237"/>
        <v>21.587633065443178</v>
      </c>
      <c r="E503">
        <f t="shared" si="238"/>
        <v>341.19804522396646</v>
      </c>
      <c r="F503">
        <f t="shared" si="239"/>
        <v>44.476852965754368</v>
      </c>
      <c r="G503">
        <f t="shared" si="240"/>
        <v>44.476852965754368</v>
      </c>
      <c r="H503">
        <f t="shared" si="241"/>
        <v>44.476852965754368</v>
      </c>
      <c r="I503" s="3"/>
      <c r="J503">
        <f t="shared" si="242"/>
        <v>18.661187246816649</v>
      </c>
      <c r="K503">
        <f t="shared" si="243"/>
        <v>335.3827727392262</v>
      </c>
      <c r="L503">
        <f t="shared" si="244"/>
        <v>40.76893262955641</v>
      </c>
      <c r="M503">
        <f t="shared" si="245"/>
        <v>40.76893262955641</v>
      </c>
      <c r="N503">
        <f t="shared" si="246"/>
        <v>40.76893262955641</v>
      </c>
      <c r="O503" s="3"/>
      <c r="P503">
        <f t="shared" si="247"/>
        <v>62.580444114580729</v>
      </c>
      <c r="Q503">
        <f t="shared" si="248"/>
        <v>552.12731108212836</v>
      </c>
      <c r="R503">
        <f t="shared" si="249"/>
        <v>0</v>
      </c>
      <c r="S503">
        <f t="shared" si="250"/>
        <v>0</v>
      </c>
      <c r="T503">
        <v>50</v>
      </c>
      <c r="U503" s="3"/>
      <c r="V503">
        <f t="shared" si="251"/>
        <v>664.70775519670906</v>
      </c>
      <c r="W503" s="3"/>
      <c r="X503">
        <f t="shared" si="252"/>
        <v>453.35968876327013</v>
      </c>
      <c r="Y503">
        <f t="shared" si="253"/>
        <v>21.292244803290941</v>
      </c>
      <c r="AA503">
        <f t="shared" si="254"/>
        <v>2.2402436920982541E-5</v>
      </c>
    </row>
    <row r="504" spans="2:27" x14ac:dyDescent="0.35">
      <c r="B504">
        <v>467.75223499361437</v>
      </c>
      <c r="C504">
        <v>667</v>
      </c>
      <c r="D504">
        <f t="shared" si="237"/>
        <v>21.627465732008492</v>
      </c>
      <c r="E504">
        <f t="shared" si="238"/>
        <v>341.59529196144922</v>
      </c>
      <c r="F504">
        <f t="shared" si="239"/>
        <v>44.572638406367389</v>
      </c>
      <c r="G504">
        <f t="shared" si="240"/>
        <v>44.572638406367389</v>
      </c>
      <c r="H504">
        <f t="shared" si="241"/>
        <v>44.572638406367389</v>
      </c>
      <c r="I504" s="3"/>
      <c r="J504">
        <f t="shared" si="242"/>
        <v>18.698995904534268</v>
      </c>
      <c r="K504">
        <f t="shared" si="243"/>
        <v>335.77883923476884</v>
      </c>
      <c r="L504">
        <f t="shared" si="244"/>
        <v>40.862427410745781</v>
      </c>
      <c r="M504">
        <f t="shared" si="245"/>
        <v>40.862427410745781</v>
      </c>
      <c r="N504">
        <f t="shared" si="246"/>
        <v>40.862427410745781</v>
      </c>
      <c r="O504" s="3"/>
      <c r="P504">
        <f t="shared" si="247"/>
        <v>62.334039863702593</v>
      </c>
      <c r="Q504">
        <f t="shared" si="248"/>
        <v>550.82749195821714</v>
      </c>
      <c r="R504">
        <f t="shared" si="249"/>
        <v>0</v>
      </c>
      <c r="S504">
        <f t="shared" si="250"/>
        <v>0</v>
      </c>
      <c r="T504">
        <v>50</v>
      </c>
      <c r="U504" s="3"/>
      <c r="V504">
        <f t="shared" si="251"/>
        <v>663.16153182191977</v>
      </c>
      <c r="W504" s="3"/>
      <c r="X504">
        <f t="shared" si="252"/>
        <v>14.733837954134589</v>
      </c>
      <c r="Y504">
        <f t="shared" si="253"/>
        <v>3.8384681780802339</v>
      </c>
      <c r="AA504">
        <f t="shared" si="254"/>
        <v>4.0386085181281776E-6</v>
      </c>
    </row>
    <row r="505" spans="2:27" x14ac:dyDescent="0.35">
      <c r="B505">
        <v>468.71008939974462</v>
      </c>
      <c r="C505">
        <v>652</v>
      </c>
      <c r="D505">
        <f t="shared" si="237"/>
        <v>21.667298398573806</v>
      </c>
      <c r="E505">
        <f t="shared" si="238"/>
        <v>341.99253869893192</v>
      </c>
      <c r="F505">
        <f t="shared" si="239"/>
        <v>44.668423846980417</v>
      </c>
      <c r="G505">
        <f t="shared" si="240"/>
        <v>44.668423846980417</v>
      </c>
      <c r="H505">
        <f t="shared" si="241"/>
        <v>44.668423846980417</v>
      </c>
      <c r="I505" s="3"/>
      <c r="J505">
        <f t="shared" si="242"/>
        <v>18.736808443447412</v>
      </c>
      <c r="K505">
        <f t="shared" si="243"/>
        <v>336.17490711751412</v>
      </c>
      <c r="L505">
        <f t="shared" si="244"/>
        <v>40.955927302289219</v>
      </c>
      <c r="M505">
        <f t="shared" si="245"/>
        <v>40.955927302289219</v>
      </c>
      <c r="N505">
        <f t="shared" si="246"/>
        <v>40.955927302289219</v>
      </c>
      <c r="O505" s="3"/>
      <c r="P505">
        <f t="shared" si="247"/>
        <v>62.089063296621092</v>
      </c>
      <c r="Q505">
        <f t="shared" si="248"/>
        <v>549.53225296688254</v>
      </c>
      <c r="R505">
        <f t="shared" si="249"/>
        <v>0</v>
      </c>
      <c r="S505">
        <f t="shared" si="250"/>
        <v>0</v>
      </c>
      <c r="T505">
        <v>50</v>
      </c>
      <c r="U505" s="3"/>
      <c r="V505">
        <f t="shared" si="251"/>
        <v>661.62131626350367</v>
      </c>
      <c r="W505" s="3"/>
      <c r="X505">
        <f t="shared" si="252"/>
        <v>92.569726642360266</v>
      </c>
      <c r="Y505">
        <f t="shared" si="253"/>
        <v>9.6213162635036724</v>
      </c>
      <c r="AA505">
        <f t="shared" si="254"/>
        <v>1.0122978233683013E-5</v>
      </c>
    </row>
    <row r="506" spans="2:27" x14ac:dyDescent="0.35">
      <c r="B506">
        <v>469.66794380587487</v>
      </c>
      <c r="C506">
        <v>656</v>
      </c>
      <c r="D506">
        <f t="shared" si="237"/>
        <v>21.707131065139119</v>
      </c>
      <c r="E506">
        <f t="shared" si="238"/>
        <v>342.38978543641468</v>
      </c>
      <c r="F506">
        <f t="shared" si="239"/>
        <v>44.764209287593438</v>
      </c>
      <c r="G506">
        <f t="shared" si="240"/>
        <v>44.764209287593438</v>
      </c>
      <c r="H506">
        <f t="shared" si="241"/>
        <v>44.764209287593438</v>
      </c>
      <c r="I506" s="3"/>
      <c r="J506">
        <f t="shared" si="242"/>
        <v>18.774624849094945</v>
      </c>
      <c r="K506">
        <f t="shared" si="243"/>
        <v>336.57097638420981</v>
      </c>
      <c r="L506">
        <f t="shared" si="244"/>
        <v>41.049432281712377</v>
      </c>
      <c r="M506">
        <f t="shared" si="245"/>
        <v>41.049432281712377</v>
      </c>
      <c r="N506">
        <f t="shared" si="246"/>
        <v>41.049432281712377</v>
      </c>
      <c r="O506" s="3"/>
      <c r="P506">
        <f t="shared" si="247"/>
        <v>61.845503547997396</v>
      </c>
      <c r="Q506">
        <f t="shared" si="248"/>
        <v>548.24157263077575</v>
      </c>
      <c r="R506">
        <f t="shared" si="249"/>
        <v>0</v>
      </c>
      <c r="S506">
        <f t="shared" si="250"/>
        <v>0</v>
      </c>
      <c r="T506">
        <v>50</v>
      </c>
      <c r="U506" s="3"/>
      <c r="V506">
        <f t="shared" si="251"/>
        <v>660.08707617877315</v>
      </c>
      <c r="W506" s="3"/>
      <c r="X506">
        <f t="shared" si="252"/>
        <v>16.704191691094895</v>
      </c>
      <c r="Y506">
        <f t="shared" si="253"/>
        <v>4.0870761787731453</v>
      </c>
      <c r="AA506">
        <f t="shared" si="254"/>
        <v>4.3001791089713612E-6</v>
      </c>
    </row>
    <row r="507" spans="2:27" x14ac:dyDescent="0.35">
      <c r="B507">
        <v>470.62579821200512</v>
      </c>
      <c r="C507">
        <v>669</v>
      </c>
      <c r="D507">
        <f t="shared" si="237"/>
        <v>21.74696373170443</v>
      </c>
      <c r="E507">
        <f t="shared" si="238"/>
        <v>342.78703217389744</v>
      </c>
      <c r="F507">
        <f t="shared" si="239"/>
        <v>44.859994728206466</v>
      </c>
      <c r="G507">
        <f t="shared" si="240"/>
        <v>44.859994728206466</v>
      </c>
      <c r="H507">
        <f t="shared" si="241"/>
        <v>44.859994728206466</v>
      </c>
      <c r="I507" s="3"/>
      <c r="J507">
        <f t="shared" si="242"/>
        <v>18.812445107094881</v>
      </c>
      <c r="K507">
        <f t="shared" si="243"/>
        <v>336.96704703161515</v>
      </c>
      <c r="L507">
        <f t="shared" si="244"/>
        <v>41.142942326687653</v>
      </c>
      <c r="M507">
        <f t="shared" si="245"/>
        <v>41.142942326687653</v>
      </c>
      <c r="N507">
        <f t="shared" si="246"/>
        <v>41.142942326687653</v>
      </c>
      <c r="O507" s="3"/>
      <c r="P507">
        <f t="shared" si="247"/>
        <v>61.603349854567412</v>
      </c>
      <c r="Q507">
        <f t="shared" si="248"/>
        <v>546.95542959821671</v>
      </c>
      <c r="R507">
        <f t="shared" si="249"/>
        <v>0</v>
      </c>
      <c r="S507">
        <f t="shared" si="250"/>
        <v>0</v>
      </c>
      <c r="T507">
        <v>50</v>
      </c>
      <c r="U507" s="3"/>
      <c r="V507">
        <f t="shared" si="251"/>
        <v>658.55877945278417</v>
      </c>
      <c r="W507" s="3"/>
      <c r="X507">
        <f t="shared" si="252"/>
        <v>109.01908651560214</v>
      </c>
      <c r="Y507">
        <f t="shared" si="253"/>
        <v>10.441220547215835</v>
      </c>
      <c r="AA507">
        <f t="shared" si="254"/>
        <v>1.0985632884087284E-5</v>
      </c>
    </row>
    <row r="508" spans="2:27" x14ac:dyDescent="0.35">
      <c r="B508">
        <v>471.90293742017889</v>
      </c>
      <c r="C508">
        <v>624</v>
      </c>
      <c r="D508">
        <f t="shared" si="237"/>
        <v>21.800073953791518</v>
      </c>
      <c r="E508">
        <f t="shared" si="238"/>
        <v>343.31669449054118</v>
      </c>
      <c r="F508">
        <f t="shared" si="239"/>
        <v>44.987708649023844</v>
      </c>
      <c r="G508">
        <f t="shared" si="240"/>
        <v>44.987708649023844</v>
      </c>
      <c r="H508">
        <f t="shared" si="241"/>
        <v>44.987708649023844</v>
      </c>
      <c r="I508" s="3"/>
      <c r="J508">
        <f t="shared" si="242"/>
        <v>18.862878085598954</v>
      </c>
      <c r="K508">
        <f t="shared" si="243"/>
        <v>337.49514337034594</v>
      </c>
      <c r="L508">
        <f t="shared" si="244"/>
        <v>41.267630228083597</v>
      </c>
      <c r="M508">
        <f t="shared" si="245"/>
        <v>41.267630228083597</v>
      </c>
      <c r="N508">
        <f t="shared" si="246"/>
        <v>41.267630228083597</v>
      </c>
      <c r="O508" s="3"/>
      <c r="P508">
        <f t="shared" si="247"/>
        <v>61.282647045978877</v>
      </c>
      <c r="Q508">
        <f t="shared" si="248"/>
        <v>545.24759357862138</v>
      </c>
      <c r="R508">
        <f t="shared" si="249"/>
        <v>0</v>
      </c>
      <c r="S508">
        <f t="shared" si="250"/>
        <v>0</v>
      </c>
      <c r="T508">
        <v>50</v>
      </c>
      <c r="U508" s="3"/>
      <c r="V508">
        <f t="shared" si="251"/>
        <v>656.53024062460031</v>
      </c>
      <c r="W508" s="3"/>
      <c r="X508">
        <f t="shared" si="252"/>
        <v>1058.2165550943964</v>
      </c>
      <c r="Y508">
        <f t="shared" si="253"/>
        <v>32.53024062460031</v>
      </c>
      <c r="AA508">
        <f t="shared" si="254"/>
        <v>3.4226389483571738E-5</v>
      </c>
    </row>
    <row r="509" spans="2:27" x14ac:dyDescent="0.35">
      <c r="B509">
        <v>472.86079182630908</v>
      </c>
      <c r="C509">
        <v>702</v>
      </c>
      <c r="D509">
        <f t="shared" si="237"/>
        <v>21.839906620356828</v>
      </c>
      <c r="E509">
        <f t="shared" si="238"/>
        <v>343.71394122802394</v>
      </c>
      <c r="F509">
        <f t="shared" si="239"/>
        <v>45.083494089636865</v>
      </c>
      <c r="G509">
        <f t="shared" si="240"/>
        <v>45.083494089636865</v>
      </c>
      <c r="H509">
        <f t="shared" si="241"/>
        <v>45.083494089636865</v>
      </c>
      <c r="I509" s="3"/>
      <c r="J509">
        <f t="shared" si="242"/>
        <v>18.900707276931549</v>
      </c>
      <c r="K509">
        <f t="shared" si="243"/>
        <v>337.89121722686741</v>
      </c>
      <c r="L509">
        <f t="shared" si="244"/>
        <v>41.361152006665364</v>
      </c>
      <c r="M509">
        <f t="shared" si="245"/>
        <v>41.361152006665364</v>
      </c>
      <c r="N509">
        <f t="shared" si="246"/>
        <v>41.361152006665364</v>
      </c>
      <c r="O509" s="3"/>
      <c r="P509">
        <f t="shared" si="247"/>
        <v>61.043732855750029</v>
      </c>
      <c r="Q509">
        <f t="shared" si="248"/>
        <v>543.97195525269706</v>
      </c>
      <c r="R509">
        <f t="shared" si="249"/>
        <v>0</v>
      </c>
      <c r="S509">
        <f t="shared" si="250"/>
        <v>0</v>
      </c>
      <c r="T509">
        <v>50</v>
      </c>
      <c r="U509" s="3"/>
      <c r="V509">
        <f t="shared" si="251"/>
        <v>655.01568810844708</v>
      </c>
      <c r="W509" s="3"/>
      <c r="X509">
        <f t="shared" si="252"/>
        <v>2207.5255639227212</v>
      </c>
      <c r="Y509">
        <f t="shared" si="253"/>
        <v>46.98431189155292</v>
      </c>
      <c r="AA509">
        <f t="shared" si="254"/>
        <v>4.9434105851704248E-5</v>
      </c>
    </row>
    <row r="510" spans="2:27" x14ac:dyDescent="0.35">
      <c r="B510">
        <v>473.81864623243933</v>
      </c>
      <c r="C510">
        <v>713</v>
      </c>
      <c r="D510">
        <f t="shared" si="237"/>
        <v>21.879739286922142</v>
      </c>
      <c r="E510">
        <f t="shared" si="238"/>
        <v>344.11118796550664</v>
      </c>
      <c r="F510">
        <f t="shared" si="239"/>
        <v>45.179279530249886</v>
      </c>
      <c r="G510">
        <f t="shared" si="240"/>
        <v>45.179279530249886</v>
      </c>
      <c r="H510">
        <f t="shared" si="241"/>
        <v>45.179279530249886</v>
      </c>
      <c r="I510" s="3"/>
      <c r="J510">
        <f t="shared" si="242"/>
        <v>18.938540273240942</v>
      </c>
      <c r="K510">
        <f t="shared" si="243"/>
        <v>338.28729245337735</v>
      </c>
      <c r="L510">
        <f t="shared" si="244"/>
        <v>41.454678777417136</v>
      </c>
      <c r="M510">
        <f t="shared" si="245"/>
        <v>41.454678777417136</v>
      </c>
      <c r="N510">
        <f t="shared" si="246"/>
        <v>41.454678777417136</v>
      </c>
      <c r="O510" s="3"/>
      <c r="P510">
        <f t="shared" si="247"/>
        <v>60.806189565869722</v>
      </c>
      <c r="Q510">
        <f t="shared" si="248"/>
        <v>542.70078395440567</v>
      </c>
      <c r="R510">
        <f t="shared" si="249"/>
        <v>0</v>
      </c>
      <c r="S510">
        <f t="shared" si="250"/>
        <v>0</v>
      </c>
      <c r="T510">
        <v>50</v>
      </c>
      <c r="U510" s="3"/>
      <c r="V510">
        <f t="shared" si="251"/>
        <v>653.50697352027544</v>
      </c>
      <c r="W510" s="3"/>
      <c r="X510">
        <f t="shared" si="252"/>
        <v>3539.4201997172081</v>
      </c>
      <c r="Y510">
        <f t="shared" si="253"/>
        <v>59.493026479724563</v>
      </c>
      <c r="AA510">
        <f t="shared" si="254"/>
        <v>6.2595033321445598E-5</v>
      </c>
    </row>
    <row r="511" spans="2:27" x14ac:dyDescent="0.35">
      <c r="B511">
        <v>474.7765006385697</v>
      </c>
      <c r="C511">
        <v>676</v>
      </c>
      <c r="D511">
        <f t="shared" si="237"/>
        <v>21.919571953487459</v>
      </c>
      <c r="E511">
        <f t="shared" si="238"/>
        <v>344.50843470298946</v>
      </c>
      <c r="F511">
        <f t="shared" si="239"/>
        <v>45.275064970862921</v>
      </c>
      <c r="G511">
        <f t="shared" si="240"/>
        <v>45.275064970862921</v>
      </c>
      <c r="H511">
        <f t="shared" si="241"/>
        <v>45.275064970862921</v>
      </c>
      <c r="I511" s="3"/>
      <c r="J511">
        <f t="shared" si="242"/>
        <v>18.976377060481614</v>
      </c>
      <c r="K511">
        <f t="shared" si="243"/>
        <v>338.68336904668399</v>
      </c>
      <c r="L511">
        <f t="shared" si="244"/>
        <v>41.548210518632544</v>
      </c>
      <c r="M511">
        <f t="shared" si="245"/>
        <v>41.548210518632544</v>
      </c>
      <c r="N511">
        <f t="shared" si="246"/>
        <v>41.548210518632544</v>
      </c>
      <c r="O511" s="3"/>
      <c r="P511">
        <f t="shared" si="247"/>
        <v>60.570006842431695</v>
      </c>
      <c r="Q511">
        <f t="shared" si="248"/>
        <v>541.43405886654352</v>
      </c>
      <c r="R511">
        <f t="shared" si="249"/>
        <v>0</v>
      </c>
      <c r="S511">
        <f t="shared" si="250"/>
        <v>0</v>
      </c>
      <c r="T511">
        <v>50</v>
      </c>
      <c r="U511" s="3"/>
      <c r="V511">
        <f t="shared" si="251"/>
        <v>652.00406570897519</v>
      </c>
      <c r="W511" s="3"/>
      <c r="X511">
        <f t="shared" si="252"/>
        <v>575.80486249918033</v>
      </c>
      <c r="Y511">
        <f t="shared" si="253"/>
        <v>23.99593429102481</v>
      </c>
      <c r="AA511">
        <f t="shared" si="254"/>
        <v>2.5247098616470842E-5</v>
      </c>
    </row>
    <row r="512" spans="2:27" x14ac:dyDescent="0.35">
      <c r="B512">
        <v>475.7343550446999</v>
      </c>
      <c r="C512">
        <v>661</v>
      </c>
      <c r="D512">
        <f t="shared" si="237"/>
        <v>21.959404620052769</v>
      </c>
      <c r="E512">
        <f t="shared" si="238"/>
        <v>344.90568144047222</v>
      </c>
      <c r="F512">
        <f t="shared" si="239"/>
        <v>45.370850411475942</v>
      </c>
      <c r="G512">
        <f t="shared" si="240"/>
        <v>45.370850411475942</v>
      </c>
      <c r="H512">
        <f t="shared" si="241"/>
        <v>45.370850411475942</v>
      </c>
      <c r="I512" s="3"/>
      <c r="J512">
        <f t="shared" si="242"/>
        <v>19.014217624684207</v>
      </c>
      <c r="K512">
        <f t="shared" si="243"/>
        <v>339.07944700360628</v>
      </c>
      <c r="L512">
        <f t="shared" si="244"/>
        <v>41.641747208745265</v>
      </c>
      <c r="M512">
        <f t="shared" si="245"/>
        <v>41.641747208745265</v>
      </c>
      <c r="N512">
        <f t="shared" si="246"/>
        <v>41.641747208745265</v>
      </c>
      <c r="O512" s="3"/>
      <c r="P512">
        <f t="shared" si="247"/>
        <v>60.335174447700702</v>
      </c>
      <c r="Q512">
        <f t="shared" si="248"/>
        <v>540.1717592929615</v>
      </c>
      <c r="R512">
        <f t="shared" si="249"/>
        <v>0</v>
      </c>
      <c r="S512">
        <f t="shared" si="250"/>
        <v>0</v>
      </c>
      <c r="T512">
        <v>50</v>
      </c>
      <c r="U512" s="3"/>
      <c r="V512">
        <f t="shared" si="251"/>
        <v>650.50693374066225</v>
      </c>
      <c r="W512" s="3"/>
      <c r="X512">
        <f t="shared" si="252"/>
        <v>110.10443952285236</v>
      </c>
      <c r="Y512">
        <f t="shared" si="253"/>
        <v>10.493066259337752</v>
      </c>
      <c r="AA512">
        <f t="shared" si="254"/>
        <v>1.1040181866881956E-5</v>
      </c>
    </row>
    <row r="513" spans="2:27" x14ac:dyDescent="0.35">
      <c r="B513">
        <v>476.69220945083021</v>
      </c>
      <c r="C513">
        <v>643</v>
      </c>
      <c r="D513">
        <f t="shared" si="237"/>
        <v>21.999237286618087</v>
      </c>
      <c r="E513">
        <f t="shared" si="238"/>
        <v>345.30292817795498</v>
      </c>
      <c r="F513">
        <f t="shared" si="239"/>
        <v>45.466635852088977</v>
      </c>
      <c r="G513">
        <f t="shared" si="240"/>
        <v>45.466635852088977</v>
      </c>
      <c r="H513">
        <f t="shared" si="241"/>
        <v>45.466635852088977</v>
      </c>
      <c r="I513" s="3"/>
      <c r="J513">
        <f t="shared" si="242"/>
        <v>19.052061951955018</v>
      </c>
      <c r="K513">
        <f t="shared" si="243"/>
        <v>339.47552632097444</v>
      </c>
      <c r="L513">
        <f t="shared" si="244"/>
        <v>41.735288826327945</v>
      </c>
      <c r="M513">
        <f t="shared" si="245"/>
        <v>41.735288826327945</v>
      </c>
      <c r="N513">
        <f t="shared" si="246"/>
        <v>41.735288826327945</v>
      </c>
      <c r="O513" s="3"/>
      <c r="P513">
        <f t="shared" si="247"/>
        <v>60.101682239049879</v>
      </c>
      <c r="Q513">
        <f t="shared" si="248"/>
        <v>538.91386465771905</v>
      </c>
      <c r="R513">
        <f t="shared" si="249"/>
        <v>0</v>
      </c>
      <c r="S513">
        <f t="shared" si="250"/>
        <v>0</v>
      </c>
      <c r="T513">
        <v>50</v>
      </c>
      <c r="U513" s="3"/>
      <c r="V513">
        <f t="shared" si="251"/>
        <v>649.01554689676891</v>
      </c>
      <c r="W513" s="3"/>
      <c r="X513">
        <f t="shared" si="252"/>
        <v>36.186804467226068</v>
      </c>
      <c r="Y513">
        <f t="shared" si="253"/>
        <v>6.0155468967689103</v>
      </c>
      <c r="AA513">
        <f t="shared" si="254"/>
        <v>6.3292016011035503E-6</v>
      </c>
    </row>
    <row r="514" spans="2:27" x14ac:dyDescent="0.35">
      <c r="B514">
        <v>477.96934865900391</v>
      </c>
      <c r="C514">
        <v>692</v>
      </c>
      <c r="D514">
        <f t="shared" si="237"/>
        <v>22.052347508705171</v>
      </c>
      <c r="E514">
        <f t="shared" si="238"/>
        <v>345.83259049459866</v>
      </c>
      <c r="F514">
        <f t="shared" si="239"/>
        <v>45.594349772906348</v>
      </c>
      <c r="G514">
        <f t="shared" si="240"/>
        <v>45.594349772906348</v>
      </c>
      <c r="H514">
        <f t="shared" si="241"/>
        <v>45.594349772906348</v>
      </c>
      <c r="I514" s="3"/>
      <c r="J514">
        <f t="shared" si="242"/>
        <v>19.102526884771152</v>
      </c>
      <c r="K514">
        <f t="shared" si="243"/>
        <v>340.00363418825657</v>
      </c>
      <c r="L514">
        <f t="shared" si="244"/>
        <v>41.860018611280836</v>
      </c>
      <c r="M514">
        <f t="shared" si="245"/>
        <v>41.860018611280836</v>
      </c>
      <c r="N514">
        <f t="shared" si="246"/>
        <v>41.860018611280836</v>
      </c>
      <c r="O514" s="3"/>
      <c r="P514">
        <f t="shared" si="247"/>
        <v>59.792426673609015</v>
      </c>
      <c r="Q514">
        <f t="shared" si="248"/>
        <v>537.24348859709517</v>
      </c>
      <c r="R514">
        <f t="shared" si="249"/>
        <v>0</v>
      </c>
      <c r="S514">
        <f t="shared" si="250"/>
        <v>0</v>
      </c>
      <c r="T514">
        <v>50</v>
      </c>
      <c r="U514" s="3"/>
      <c r="V514">
        <f t="shared" si="251"/>
        <v>647.03591527070421</v>
      </c>
      <c r="W514" s="3"/>
      <c r="X514">
        <f t="shared" si="252"/>
        <v>2021.7689155432911</v>
      </c>
      <c r="Y514">
        <f t="shared" si="253"/>
        <v>44.964084729295791</v>
      </c>
      <c r="AA514">
        <f t="shared" si="254"/>
        <v>4.7308542671934409E-5</v>
      </c>
    </row>
    <row r="515" spans="2:27" x14ac:dyDescent="0.35">
      <c r="B515">
        <v>478.92720306513417</v>
      </c>
      <c r="C515">
        <v>672</v>
      </c>
      <c r="D515">
        <f t="shared" si="237"/>
        <v>22.092180175270485</v>
      </c>
      <c r="E515">
        <f t="shared" si="238"/>
        <v>346.22983723208142</v>
      </c>
      <c r="F515">
        <f t="shared" si="239"/>
        <v>45.690135213519369</v>
      </c>
      <c r="G515">
        <f t="shared" si="240"/>
        <v>45.690135213519369</v>
      </c>
      <c r="H515">
        <f t="shared" si="241"/>
        <v>45.690135213519369</v>
      </c>
      <c r="I515" s="3"/>
      <c r="J515">
        <f t="shared" si="242"/>
        <v>19.140379938924191</v>
      </c>
      <c r="K515">
        <f t="shared" si="243"/>
        <v>340.39971666773351</v>
      </c>
      <c r="L515">
        <f t="shared" si="244"/>
        <v>41.953571643736097</v>
      </c>
      <c r="M515">
        <f t="shared" si="245"/>
        <v>41.953571643736097</v>
      </c>
      <c r="N515">
        <f t="shared" si="246"/>
        <v>41.953571643736097</v>
      </c>
      <c r="O515" s="3"/>
      <c r="P515">
        <f t="shared" si="247"/>
        <v>59.562022648685641</v>
      </c>
      <c r="Q515">
        <f t="shared" si="248"/>
        <v>535.99579280276521</v>
      </c>
      <c r="R515">
        <f t="shared" si="249"/>
        <v>0</v>
      </c>
      <c r="S515">
        <f t="shared" si="250"/>
        <v>0</v>
      </c>
      <c r="T515">
        <v>50</v>
      </c>
      <c r="U515" s="3"/>
      <c r="V515">
        <f t="shared" si="251"/>
        <v>645.55781545145089</v>
      </c>
      <c r="W515" s="3"/>
      <c r="X515">
        <f t="shared" si="252"/>
        <v>699.1891236995292</v>
      </c>
      <c r="Y515">
        <f t="shared" si="253"/>
        <v>26.442184548549108</v>
      </c>
      <c r="AA515">
        <f t="shared" si="254"/>
        <v>2.7820898025289169E-5</v>
      </c>
    </row>
    <row r="516" spans="2:27" x14ac:dyDescent="0.35">
      <c r="B516">
        <v>479.88505747126442</v>
      </c>
      <c r="C516">
        <v>632</v>
      </c>
      <c r="D516">
        <f t="shared" si="237"/>
        <v>22.132012841835799</v>
      </c>
      <c r="E516">
        <f t="shared" si="238"/>
        <v>346.62708396956418</v>
      </c>
      <c r="F516">
        <f t="shared" si="239"/>
        <v>45.785920654132397</v>
      </c>
      <c r="G516">
        <f t="shared" si="240"/>
        <v>45.785920654132397</v>
      </c>
      <c r="H516">
        <f t="shared" si="241"/>
        <v>45.785920654132397</v>
      </c>
      <c r="I516" s="3"/>
      <c r="J516">
        <f t="shared" si="242"/>
        <v>19.178236710372449</v>
      </c>
      <c r="K516">
        <f t="shared" si="243"/>
        <v>340.79580049716975</v>
      </c>
      <c r="L516">
        <f t="shared" si="244"/>
        <v>42.047129533224812</v>
      </c>
      <c r="M516">
        <f t="shared" si="245"/>
        <v>42.047129533224812</v>
      </c>
      <c r="N516">
        <f t="shared" si="246"/>
        <v>42.047129533224812</v>
      </c>
      <c r="O516" s="3"/>
      <c r="P516">
        <f t="shared" si="247"/>
        <v>59.332925674613755</v>
      </c>
      <c r="Q516">
        <f t="shared" si="248"/>
        <v>534.7524342177976</v>
      </c>
      <c r="R516">
        <f t="shared" si="249"/>
        <v>0</v>
      </c>
      <c r="S516">
        <f t="shared" si="250"/>
        <v>0</v>
      </c>
      <c r="T516">
        <v>50</v>
      </c>
      <c r="U516" s="3"/>
      <c r="V516">
        <f t="shared" si="251"/>
        <v>644.08535989241136</v>
      </c>
      <c r="W516" s="3"/>
      <c r="X516">
        <f t="shared" si="252"/>
        <v>146.05592372910516</v>
      </c>
      <c r="Y516">
        <f t="shared" si="253"/>
        <v>12.085359892411361</v>
      </c>
      <c r="AA516">
        <f t="shared" si="254"/>
        <v>1.2715498772363911E-5</v>
      </c>
    </row>
    <row r="517" spans="2:27" x14ac:dyDescent="0.35">
      <c r="B517">
        <v>480.84291187739461</v>
      </c>
      <c r="C517">
        <v>666</v>
      </c>
      <c r="D517">
        <f t="shared" si="237"/>
        <v>22.171845508401109</v>
      </c>
      <c r="E517">
        <f t="shared" si="238"/>
        <v>347.02433070704694</v>
      </c>
      <c r="F517">
        <f t="shared" si="239"/>
        <v>45.881706094745418</v>
      </c>
      <c r="G517">
        <f t="shared" si="240"/>
        <v>45.881706094745418</v>
      </c>
      <c r="H517">
        <f t="shared" si="241"/>
        <v>45.881706094745418</v>
      </c>
      <c r="I517" s="3"/>
      <c r="J517">
        <f t="shared" si="242"/>
        <v>19.216097185543809</v>
      </c>
      <c r="K517">
        <f t="shared" si="243"/>
        <v>341.19188567344304</v>
      </c>
      <c r="L517">
        <f t="shared" si="244"/>
        <v>42.140692258908011</v>
      </c>
      <c r="M517">
        <f t="shared" si="245"/>
        <v>42.140692258908011</v>
      </c>
      <c r="N517">
        <f t="shared" si="246"/>
        <v>42.140692258908011</v>
      </c>
      <c r="O517" s="3"/>
      <c r="P517">
        <f t="shared" si="247"/>
        <v>59.105126008953107</v>
      </c>
      <c r="Q517">
        <f t="shared" si="248"/>
        <v>533.51339277758052</v>
      </c>
      <c r="R517">
        <f t="shared" si="249"/>
        <v>0</v>
      </c>
      <c r="S517">
        <f t="shared" si="250"/>
        <v>0</v>
      </c>
      <c r="T517">
        <v>50</v>
      </c>
      <c r="U517" s="3"/>
      <c r="V517">
        <f t="shared" si="251"/>
        <v>642.61851878653363</v>
      </c>
      <c r="W517" s="3"/>
      <c r="X517">
        <f t="shared" si="252"/>
        <v>546.69366373568096</v>
      </c>
      <c r="Y517">
        <f t="shared" si="253"/>
        <v>23.381481213466373</v>
      </c>
      <c r="AA517">
        <f t="shared" si="254"/>
        <v>2.460060753776697E-5</v>
      </c>
    </row>
    <row r="518" spans="2:27" x14ac:dyDescent="0.35">
      <c r="B518">
        <v>481.80076628352492</v>
      </c>
      <c r="C518">
        <v>715</v>
      </c>
      <c r="D518">
        <f t="shared" si="237"/>
        <v>22.211678174966423</v>
      </c>
      <c r="E518">
        <f t="shared" si="238"/>
        <v>347.4215774445297</v>
      </c>
      <c r="F518">
        <f t="shared" si="239"/>
        <v>45.977491535358446</v>
      </c>
      <c r="G518">
        <f t="shared" si="240"/>
        <v>45.977491535358446</v>
      </c>
      <c r="H518">
        <f t="shared" si="241"/>
        <v>45.977491535358446</v>
      </c>
      <c r="I518" s="3"/>
      <c r="J518">
        <f t="shared" si="242"/>
        <v>19.253961350938987</v>
      </c>
      <c r="K518">
        <f t="shared" si="243"/>
        <v>341.58797219344171</v>
      </c>
      <c r="L518">
        <f t="shared" si="244"/>
        <v>42.234259800079471</v>
      </c>
      <c r="M518">
        <f t="shared" si="245"/>
        <v>42.234259800079471</v>
      </c>
      <c r="N518">
        <f t="shared" si="246"/>
        <v>42.234259800079471</v>
      </c>
      <c r="O518" s="3"/>
      <c r="P518">
        <f t="shared" si="247"/>
        <v>58.878613998929858</v>
      </c>
      <c r="Q518">
        <f t="shared" si="248"/>
        <v>532.27864853332812</v>
      </c>
      <c r="R518">
        <f t="shared" si="249"/>
        <v>0</v>
      </c>
      <c r="S518">
        <f t="shared" si="250"/>
        <v>0</v>
      </c>
      <c r="T518">
        <v>50</v>
      </c>
      <c r="U518" s="3"/>
      <c r="V518">
        <f t="shared" si="251"/>
        <v>641.15726253225796</v>
      </c>
      <c r="W518" s="3"/>
      <c r="X518">
        <f t="shared" si="252"/>
        <v>5452.7498767298739</v>
      </c>
      <c r="Y518">
        <f t="shared" si="253"/>
        <v>73.84273746774204</v>
      </c>
      <c r="AA518">
        <f t="shared" si="254"/>
        <v>7.7692947994759205E-5</v>
      </c>
    </row>
    <row r="519" spans="2:27" x14ac:dyDescent="0.35">
      <c r="B519">
        <v>482.75862068965523</v>
      </c>
      <c r="C519">
        <v>629</v>
      </c>
      <c r="D519">
        <f t="shared" si="237"/>
        <v>22.25151084153174</v>
      </c>
      <c r="E519">
        <f t="shared" si="238"/>
        <v>347.81882418201246</v>
      </c>
      <c r="F519">
        <f t="shared" si="239"/>
        <v>46.073276975971474</v>
      </c>
      <c r="G519">
        <f t="shared" si="240"/>
        <v>46.073276975971474</v>
      </c>
      <c r="H519">
        <f t="shared" si="241"/>
        <v>46.073276975971474</v>
      </c>
      <c r="I519" s="3"/>
      <c r="J519">
        <f t="shared" si="242"/>
        <v>19.291829193131004</v>
      </c>
      <c r="K519">
        <f t="shared" si="243"/>
        <v>341.98406005406508</v>
      </c>
      <c r="L519">
        <f t="shared" si="244"/>
        <v>42.327832136164588</v>
      </c>
      <c r="M519">
        <f t="shared" si="245"/>
        <v>42.327832136164588</v>
      </c>
      <c r="N519">
        <f t="shared" si="246"/>
        <v>42.327832136164588</v>
      </c>
      <c r="O519" s="3"/>
      <c r="P519">
        <f t="shared" si="247"/>
        <v>58.653380080456806</v>
      </c>
      <c r="Q519">
        <f t="shared" si="248"/>
        <v>531.04818165127938</v>
      </c>
      <c r="R519">
        <f t="shared" si="249"/>
        <v>0</v>
      </c>
      <c r="S519">
        <f t="shared" si="250"/>
        <v>0</v>
      </c>
      <c r="T519">
        <v>50</v>
      </c>
      <c r="U519" s="3"/>
      <c r="V519">
        <f t="shared" si="251"/>
        <v>639.70156173173621</v>
      </c>
      <c r="W519" s="3"/>
      <c r="X519">
        <f t="shared" si="252"/>
        <v>114.52342349816082</v>
      </c>
      <c r="Y519">
        <f t="shared" si="253"/>
        <v>10.701561731736206</v>
      </c>
      <c r="AA519">
        <f t="shared" si="254"/>
        <v>1.1259548434938458E-5</v>
      </c>
    </row>
    <row r="520" spans="2:27" x14ac:dyDescent="0.35">
      <c r="B520">
        <v>483.71647509578548</v>
      </c>
      <c r="C520">
        <v>672</v>
      </c>
      <c r="D520">
        <f t="shared" si="237"/>
        <v>22.29134350809705</v>
      </c>
      <c r="E520">
        <f t="shared" si="238"/>
        <v>348.21607091949522</v>
      </c>
      <c r="F520">
        <f t="shared" si="239"/>
        <v>46.169062416584502</v>
      </c>
      <c r="G520">
        <f t="shared" si="240"/>
        <v>46.169062416584502</v>
      </c>
      <c r="H520">
        <f t="shared" si="241"/>
        <v>46.169062416584502</v>
      </c>
      <c r="I520" s="3"/>
      <c r="J520">
        <f t="shared" si="242"/>
        <v>19.329700698764679</v>
      </c>
      <c r="K520">
        <f t="shared" si="243"/>
        <v>342.38014925222302</v>
      </c>
      <c r="L520">
        <f t="shared" si="244"/>
        <v>42.421409246719271</v>
      </c>
      <c r="M520">
        <f t="shared" si="245"/>
        <v>42.421409246719271</v>
      </c>
      <c r="N520">
        <f t="shared" si="246"/>
        <v>42.421409246719271</v>
      </c>
      <c r="O520" s="3"/>
      <c r="P520">
        <f t="shared" si="247"/>
        <v>58.429414777166031</v>
      </c>
      <c r="Q520">
        <f t="shared" si="248"/>
        <v>529.82197241190352</v>
      </c>
      <c r="R520">
        <f t="shared" si="249"/>
        <v>0</v>
      </c>
      <c r="S520">
        <f t="shared" si="250"/>
        <v>0</v>
      </c>
      <c r="T520">
        <v>50</v>
      </c>
      <c r="U520" s="3"/>
      <c r="V520">
        <f t="shared" si="251"/>
        <v>638.25138718906953</v>
      </c>
      <c r="W520" s="3"/>
      <c r="X520">
        <f t="shared" si="252"/>
        <v>1138.9688666621</v>
      </c>
      <c r="Y520">
        <f t="shared" si="253"/>
        <v>33.748612810930467</v>
      </c>
      <c r="AA520">
        <f t="shared" si="254"/>
        <v>3.5508288423899638E-5</v>
      </c>
    </row>
    <row r="521" spans="2:27" x14ac:dyDescent="0.35">
      <c r="B521">
        <v>484.99361430395913</v>
      </c>
      <c r="C521">
        <v>648</v>
      </c>
      <c r="D521">
        <f t="shared" si="237"/>
        <v>22.344453730184135</v>
      </c>
      <c r="E521">
        <f t="shared" si="238"/>
        <v>348.7457332361389</v>
      </c>
      <c r="F521">
        <f t="shared" si="239"/>
        <v>46.296776337401866</v>
      </c>
      <c r="G521">
        <f t="shared" si="240"/>
        <v>46.296776337401866</v>
      </c>
      <c r="H521">
        <f t="shared" si="241"/>
        <v>46.296776337401866</v>
      </c>
      <c r="I521" s="3"/>
      <c r="J521">
        <f t="shared" si="242"/>
        <v>19.380201715347042</v>
      </c>
      <c r="K521">
        <f t="shared" si="243"/>
        <v>342.90827025838871</v>
      </c>
      <c r="L521">
        <f t="shared" si="244"/>
        <v>42.546186119318243</v>
      </c>
      <c r="M521">
        <f t="shared" si="245"/>
        <v>42.546186119318243</v>
      </c>
      <c r="N521">
        <f t="shared" si="246"/>
        <v>42.546186119318243</v>
      </c>
      <c r="O521" s="3"/>
      <c r="P521">
        <f t="shared" si="247"/>
        <v>58.132751557606703</v>
      </c>
      <c r="Q521">
        <f t="shared" si="248"/>
        <v>528.19361588829054</v>
      </c>
      <c r="R521">
        <f t="shared" si="249"/>
        <v>0</v>
      </c>
      <c r="S521">
        <f t="shared" si="250"/>
        <v>0</v>
      </c>
      <c r="T521">
        <v>50</v>
      </c>
      <c r="U521" s="3"/>
      <c r="V521">
        <f t="shared" si="251"/>
        <v>636.32636744589729</v>
      </c>
      <c r="W521" s="3"/>
      <c r="X521">
        <f t="shared" si="252"/>
        <v>136.27369700820657</v>
      </c>
      <c r="Y521">
        <f t="shared" si="253"/>
        <v>11.67363255410271</v>
      </c>
      <c r="AA521">
        <f t="shared" si="254"/>
        <v>1.2282303690759459E-5</v>
      </c>
    </row>
    <row r="522" spans="2:27" x14ac:dyDescent="0.35">
      <c r="B522">
        <v>485.9514687100895</v>
      </c>
      <c r="C522">
        <v>671</v>
      </c>
      <c r="D522">
        <f t="shared" si="237"/>
        <v>22.384286396749452</v>
      </c>
      <c r="E522">
        <f t="shared" si="238"/>
        <v>349.14297997362166</v>
      </c>
      <c r="F522">
        <f t="shared" si="239"/>
        <v>46.392561778014901</v>
      </c>
      <c r="G522">
        <f t="shared" si="240"/>
        <v>46.392561778014901</v>
      </c>
      <c r="H522">
        <f t="shared" si="241"/>
        <v>46.392561778014901</v>
      </c>
      <c r="I522" s="3"/>
      <c r="J522">
        <f t="shared" si="242"/>
        <v>19.418081717474063</v>
      </c>
      <c r="K522">
        <f t="shared" si="243"/>
        <v>343.30436256550354</v>
      </c>
      <c r="L522">
        <f t="shared" si="244"/>
        <v>42.639774291522116</v>
      </c>
      <c r="M522">
        <f t="shared" si="245"/>
        <v>42.639774291522116</v>
      </c>
      <c r="N522">
        <f t="shared" si="246"/>
        <v>42.639774291522116</v>
      </c>
      <c r="O522" s="3"/>
      <c r="P522">
        <f t="shared" si="247"/>
        <v>57.911709989478986</v>
      </c>
      <c r="Q522">
        <f t="shared" si="248"/>
        <v>526.97726509719382</v>
      </c>
      <c r="R522">
        <f t="shared" si="249"/>
        <v>0</v>
      </c>
      <c r="S522">
        <f t="shared" si="250"/>
        <v>0</v>
      </c>
      <c r="T522">
        <v>50</v>
      </c>
      <c r="U522" s="3"/>
      <c r="V522">
        <f t="shared" si="251"/>
        <v>634.88897508667276</v>
      </c>
      <c r="W522" s="3"/>
      <c r="X522">
        <f t="shared" si="252"/>
        <v>1304.0061202909408</v>
      </c>
      <c r="Y522">
        <f t="shared" si="253"/>
        <v>36.111024913327242</v>
      </c>
      <c r="AA522">
        <f t="shared" si="254"/>
        <v>3.7993878299192151E-5</v>
      </c>
    </row>
    <row r="523" spans="2:27" x14ac:dyDescent="0.35">
      <c r="B523">
        <v>486.9093231162197</v>
      </c>
      <c r="C523">
        <v>632</v>
      </c>
      <c r="D523">
        <f t="shared" si="237"/>
        <v>22.424119063314762</v>
      </c>
      <c r="E523">
        <f t="shared" si="238"/>
        <v>349.54022671110442</v>
      </c>
      <c r="F523">
        <f t="shared" si="239"/>
        <v>46.488347218627922</v>
      </c>
      <c r="G523">
        <f t="shared" si="240"/>
        <v>46.488347218627922</v>
      </c>
      <c r="H523">
        <f t="shared" si="241"/>
        <v>46.488347218627922</v>
      </c>
      <c r="I523" s="3"/>
      <c r="J523">
        <f t="shared" si="242"/>
        <v>19.455965339037647</v>
      </c>
      <c r="K523">
        <f t="shared" si="243"/>
        <v>343.70045619992936</v>
      </c>
      <c r="L523">
        <f t="shared" si="244"/>
        <v>42.733367170977232</v>
      </c>
      <c r="M523">
        <f t="shared" si="245"/>
        <v>42.733367170977232</v>
      </c>
      <c r="N523">
        <f t="shared" si="246"/>
        <v>42.733367170977232</v>
      </c>
      <c r="O523" s="3"/>
      <c r="P523">
        <f t="shared" si="247"/>
        <v>57.691906069992967</v>
      </c>
      <c r="Q523">
        <f t="shared" si="248"/>
        <v>525.76510703192469</v>
      </c>
      <c r="R523">
        <f t="shared" si="249"/>
        <v>0</v>
      </c>
      <c r="S523">
        <f t="shared" si="250"/>
        <v>0</v>
      </c>
      <c r="T523">
        <v>50</v>
      </c>
      <c r="U523" s="3"/>
      <c r="V523">
        <f t="shared" si="251"/>
        <v>633.45701310191771</v>
      </c>
      <c r="W523" s="3"/>
      <c r="X523">
        <f t="shared" si="252"/>
        <v>2.1228871791598665</v>
      </c>
      <c r="Y523">
        <f t="shared" si="253"/>
        <v>1.4570131019177097</v>
      </c>
      <c r="AA523">
        <f t="shared" si="254"/>
        <v>1.5329827554730931E-6</v>
      </c>
    </row>
    <row r="524" spans="2:27" x14ac:dyDescent="0.35">
      <c r="B524">
        <v>487.86717752235</v>
      </c>
      <c r="C524">
        <v>627</v>
      </c>
      <c r="D524">
        <f t="shared" si="237"/>
        <v>22.46395172988008</v>
      </c>
      <c r="E524">
        <f t="shared" si="238"/>
        <v>349.93747344858718</v>
      </c>
      <c r="F524">
        <f t="shared" si="239"/>
        <v>46.584132659240957</v>
      </c>
      <c r="G524">
        <f t="shared" si="240"/>
        <v>46.584132659240957</v>
      </c>
      <c r="H524">
        <f t="shared" si="241"/>
        <v>46.584132659240957</v>
      </c>
      <c r="I524" s="3"/>
      <c r="J524">
        <f t="shared" si="242"/>
        <v>19.493852566988018</v>
      </c>
      <c r="K524">
        <f t="shared" si="243"/>
        <v>344.09655115862205</v>
      </c>
      <c r="L524">
        <f t="shared" si="244"/>
        <v>42.826964737792608</v>
      </c>
      <c r="M524">
        <f t="shared" si="245"/>
        <v>42.826964737792608</v>
      </c>
      <c r="N524">
        <f t="shared" si="246"/>
        <v>42.826964737792608</v>
      </c>
      <c r="O524" s="3"/>
      <c r="P524">
        <f t="shared" si="247"/>
        <v>57.473330692012055</v>
      </c>
      <c r="Q524">
        <f t="shared" si="248"/>
        <v>524.55712245892312</v>
      </c>
      <c r="R524">
        <f t="shared" si="249"/>
        <v>0</v>
      </c>
      <c r="S524">
        <f t="shared" si="250"/>
        <v>0</v>
      </c>
      <c r="T524">
        <v>50</v>
      </c>
      <c r="U524" s="3"/>
      <c r="V524">
        <f t="shared" si="251"/>
        <v>632.03045315093516</v>
      </c>
      <c r="W524" s="3"/>
      <c r="X524">
        <f t="shared" si="252"/>
        <v>25.305458903753472</v>
      </c>
      <c r="Y524">
        <f t="shared" si="253"/>
        <v>5.0304531509351591</v>
      </c>
      <c r="AA524">
        <f t="shared" si="254"/>
        <v>5.2927443977332368E-6</v>
      </c>
    </row>
    <row r="525" spans="2:27" x14ac:dyDescent="0.35">
      <c r="B525">
        <v>488.8250319284802</v>
      </c>
      <c r="C525">
        <v>659</v>
      </c>
      <c r="D525">
        <f t="shared" si="237"/>
        <v>22.50378439644539</v>
      </c>
      <c r="E525">
        <f t="shared" si="238"/>
        <v>350.33472018606994</v>
      </c>
      <c r="F525">
        <f t="shared" si="239"/>
        <v>46.679918099853971</v>
      </c>
      <c r="G525">
        <f t="shared" si="240"/>
        <v>46.679918099853971</v>
      </c>
      <c r="H525">
        <f t="shared" si="241"/>
        <v>46.679918099853971</v>
      </c>
      <c r="I525" s="3"/>
      <c r="J525">
        <f t="shared" si="242"/>
        <v>19.531743388344541</v>
      </c>
      <c r="K525">
        <f t="shared" si="243"/>
        <v>344.49264743854775</v>
      </c>
      <c r="L525">
        <f t="shared" si="244"/>
        <v>42.920566972201975</v>
      </c>
      <c r="M525">
        <f t="shared" si="245"/>
        <v>42.920566972201975</v>
      </c>
      <c r="N525">
        <f t="shared" si="246"/>
        <v>42.920566972201975</v>
      </c>
      <c r="O525" s="3"/>
      <c r="P525">
        <f t="shared" si="247"/>
        <v>57.255974831161218</v>
      </c>
      <c r="Q525">
        <f t="shared" si="248"/>
        <v>523.35329225472856</v>
      </c>
      <c r="R525">
        <f t="shared" si="249"/>
        <v>0</v>
      </c>
      <c r="S525">
        <f t="shared" si="250"/>
        <v>0</v>
      </c>
      <c r="T525">
        <v>50</v>
      </c>
      <c r="U525" s="3"/>
      <c r="V525">
        <f t="shared" si="251"/>
        <v>630.60926708588977</v>
      </c>
      <c r="W525" s="3"/>
      <c r="X525">
        <f t="shared" si="252"/>
        <v>806.03371540034198</v>
      </c>
      <c r="Y525">
        <f t="shared" si="253"/>
        <v>28.390732914110231</v>
      </c>
      <c r="AA525">
        <f t="shared" si="254"/>
        <v>2.9871045027178786E-5</v>
      </c>
    </row>
    <row r="526" spans="2:27" x14ac:dyDescent="0.35">
      <c r="B526">
        <v>489.78288633461051</v>
      </c>
      <c r="C526">
        <v>669</v>
      </c>
      <c r="D526">
        <f t="shared" si="237"/>
        <v>22.543617063010704</v>
      </c>
      <c r="E526">
        <f t="shared" si="238"/>
        <v>350.7319669235527</v>
      </c>
      <c r="F526">
        <f t="shared" si="239"/>
        <v>46.775703540467006</v>
      </c>
      <c r="G526">
        <f t="shared" si="240"/>
        <v>46.775703540467006</v>
      </c>
      <c r="H526">
        <f t="shared" si="241"/>
        <v>46.775703540467006</v>
      </c>
      <c r="I526" s="3"/>
      <c r="J526">
        <f t="shared" si="242"/>
        <v>19.569637790195294</v>
      </c>
      <c r="K526">
        <f t="shared" si="243"/>
        <v>344.88874503668313</v>
      </c>
      <c r="L526">
        <f t="shared" si="244"/>
        <v>43.014173854562955</v>
      </c>
      <c r="M526">
        <f t="shared" si="245"/>
        <v>43.014173854562955</v>
      </c>
      <c r="N526">
        <f t="shared" si="246"/>
        <v>43.014173854562955</v>
      </c>
      <c r="O526" s="3"/>
      <c r="P526">
        <f t="shared" si="247"/>
        <v>57.039829544933568</v>
      </c>
      <c r="Q526">
        <f t="shared" si="248"/>
        <v>522.15359740522376</v>
      </c>
      <c r="R526">
        <f t="shared" si="249"/>
        <v>0</v>
      </c>
      <c r="S526">
        <f t="shared" si="250"/>
        <v>0</v>
      </c>
      <c r="T526">
        <v>50</v>
      </c>
      <c r="U526" s="3"/>
      <c r="V526">
        <f t="shared" si="251"/>
        <v>629.19342695015735</v>
      </c>
      <c r="W526" s="3"/>
      <c r="X526">
        <f t="shared" si="252"/>
        <v>1584.5632579724595</v>
      </c>
      <c r="Y526">
        <f t="shared" si="253"/>
        <v>39.806573049842655</v>
      </c>
      <c r="AA526">
        <f t="shared" si="254"/>
        <v>4.1882114827636775E-5</v>
      </c>
    </row>
    <row r="527" spans="2:27" x14ac:dyDescent="0.35">
      <c r="B527">
        <v>490.74074074074082</v>
      </c>
      <c r="C527">
        <v>648</v>
      </c>
      <c r="D527">
        <f t="shared" si="237"/>
        <v>22.583449729576021</v>
      </c>
      <c r="E527">
        <f t="shared" si="238"/>
        <v>351.12921366103552</v>
      </c>
      <c r="F527">
        <f t="shared" si="239"/>
        <v>46.871488981080034</v>
      </c>
      <c r="G527">
        <f t="shared" si="240"/>
        <v>46.871488981080034</v>
      </c>
      <c r="H527">
        <f t="shared" si="241"/>
        <v>46.871488981080034</v>
      </c>
      <c r="I527" s="3"/>
      <c r="J527">
        <f t="shared" si="242"/>
        <v>19.60753575969656</v>
      </c>
      <c r="K527">
        <f t="shared" si="243"/>
        <v>345.28484395001522</v>
      </c>
      <c r="L527">
        <f t="shared" si="244"/>
        <v>43.107785365355809</v>
      </c>
      <c r="M527">
        <f t="shared" si="245"/>
        <v>43.107785365355809</v>
      </c>
      <c r="N527">
        <f t="shared" si="246"/>
        <v>43.107785365355809</v>
      </c>
      <c r="O527" s="3"/>
      <c r="P527">
        <f t="shared" si="247"/>
        <v>56.82488597180869</v>
      </c>
      <c r="Q527">
        <f t="shared" si="248"/>
        <v>520.95801900488709</v>
      </c>
      <c r="R527">
        <f t="shared" si="249"/>
        <v>0</v>
      </c>
      <c r="S527">
        <f t="shared" si="250"/>
        <v>0</v>
      </c>
      <c r="T527">
        <v>50</v>
      </c>
      <c r="U527" s="3"/>
      <c r="V527">
        <f t="shared" si="251"/>
        <v>627.78290497669582</v>
      </c>
      <c r="W527" s="3"/>
      <c r="X527">
        <f t="shared" si="252"/>
        <v>408.73093118131072</v>
      </c>
      <c r="Y527">
        <f t="shared" si="253"/>
        <v>20.217095023304182</v>
      </c>
      <c r="AA527">
        <f t="shared" si="254"/>
        <v>2.1271228100621856E-5</v>
      </c>
    </row>
    <row r="528" spans="2:27" x14ac:dyDescent="0.35">
      <c r="B528">
        <v>492.01787994891441</v>
      </c>
      <c r="C528">
        <v>651</v>
      </c>
      <c r="D528">
        <f t="shared" si="237"/>
        <v>22.636559951663102</v>
      </c>
      <c r="E528">
        <f t="shared" si="238"/>
        <v>351.65887597767914</v>
      </c>
      <c r="F528">
        <f t="shared" si="239"/>
        <v>46.999202901897398</v>
      </c>
      <c r="G528">
        <f t="shared" si="240"/>
        <v>46.999202901897398</v>
      </c>
      <c r="H528">
        <f t="shared" si="241"/>
        <v>46.999202901897398</v>
      </c>
      <c r="I528" s="3"/>
      <c r="J528">
        <f t="shared" si="242"/>
        <v>19.658071913304553</v>
      </c>
      <c r="K528">
        <f t="shared" si="243"/>
        <v>345.81297787513091</v>
      </c>
      <c r="L528">
        <f t="shared" si="244"/>
        <v>43.232607879352607</v>
      </c>
      <c r="M528">
        <f t="shared" si="245"/>
        <v>43.232607879352607</v>
      </c>
      <c r="N528">
        <f t="shared" si="246"/>
        <v>43.232607879352607</v>
      </c>
      <c r="O528" s="3"/>
      <c r="P528">
        <f t="shared" si="247"/>
        <v>56.540148706163635</v>
      </c>
      <c r="Q528">
        <f t="shared" si="248"/>
        <v>519.37028536212028</v>
      </c>
      <c r="R528">
        <f t="shared" si="249"/>
        <v>0</v>
      </c>
      <c r="S528">
        <f t="shared" si="250"/>
        <v>0</v>
      </c>
      <c r="T528">
        <v>50</v>
      </c>
      <c r="U528" s="3"/>
      <c r="V528">
        <f t="shared" si="251"/>
        <v>625.91043406828396</v>
      </c>
      <c r="W528" s="3"/>
      <c r="X528">
        <f t="shared" si="252"/>
        <v>629.48631864192612</v>
      </c>
      <c r="Y528">
        <f t="shared" si="253"/>
        <v>25.089565931716038</v>
      </c>
      <c r="AA528">
        <f t="shared" si="254"/>
        <v>2.639775295431638E-5</v>
      </c>
    </row>
    <row r="529" spans="2:27" x14ac:dyDescent="0.35">
      <c r="B529">
        <v>492.97573435504472</v>
      </c>
      <c r="C529">
        <v>657</v>
      </c>
      <c r="D529">
        <f t="shared" si="237"/>
        <v>22.676392618228416</v>
      </c>
      <c r="E529">
        <f t="shared" si="238"/>
        <v>352.05612271516191</v>
      </c>
      <c r="F529">
        <f t="shared" si="239"/>
        <v>47.094988342510426</v>
      </c>
      <c r="G529">
        <f t="shared" si="240"/>
        <v>47.094988342510426</v>
      </c>
      <c r="H529">
        <f t="shared" si="241"/>
        <v>47.094988342510426</v>
      </c>
      <c r="I529" s="3"/>
      <c r="J529">
        <f t="shared" si="242"/>
        <v>19.69597815775548</v>
      </c>
      <c r="K529">
        <f t="shared" si="243"/>
        <v>346.20907984559562</v>
      </c>
      <c r="L529">
        <f t="shared" si="244"/>
        <v>43.326230114591873</v>
      </c>
      <c r="M529">
        <f t="shared" si="245"/>
        <v>43.326230114591873</v>
      </c>
      <c r="N529">
        <f t="shared" si="246"/>
        <v>43.326230114591873</v>
      </c>
      <c r="O529" s="3"/>
      <c r="P529">
        <f t="shared" si="247"/>
        <v>56.327975117232484</v>
      </c>
      <c r="Q529">
        <f t="shared" si="248"/>
        <v>518.18423909282444</v>
      </c>
      <c r="R529">
        <f t="shared" si="249"/>
        <v>0</v>
      </c>
      <c r="S529">
        <f t="shared" si="250"/>
        <v>0</v>
      </c>
      <c r="T529">
        <v>50</v>
      </c>
      <c r="U529" s="3"/>
      <c r="V529">
        <f t="shared" si="251"/>
        <v>624.51221421005698</v>
      </c>
      <c r="W529" s="3"/>
      <c r="X529">
        <f t="shared" si="252"/>
        <v>1055.4562255332235</v>
      </c>
      <c r="Y529">
        <f t="shared" si="253"/>
        <v>32.487785789943018</v>
      </c>
      <c r="AA529">
        <f t="shared" si="254"/>
        <v>3.4181721024976253E-5</v>
      </c>
    </row>
    <row r="530" spans="2:27" x14ac:dyDescent="0.35">
      <c r="B530">
        <v>493.93358876117503</v>
      </c>
      <c r="C530">
        <v>628</v>
      </c>
      <c r="D530">
        <f t="shared" si="237"/>
        <v>22.71622528479373</v>
      </c>
      <c r="E530">
        <f t="shared" si="238"/>
        <v>352.45336945264472</v>
      </c>
      <c r="F530">
        <f t="shared" si="239"/>
        <v>47.190773783123454</v>
      </c>
      <c r="G530">
        <f t="shared" si="240"/>
        <v>47.190773783123454</v>
      </c>
      <c r="H530">
        <f t="shared" si="241"/>
        <v>47.190773783123454</v>
      </c>
      <c r="I530" s="3"/>
      <c r="J530">
        <f t="shared" si="242"/>
        <v>19.733887927531104</v>
      </c>
      <c r="K530">
        <f t="shared" si="243"/>
        <v>346.60518312128784</v>
      </c>
      <c r="L530">
        <f t="shared" si="244"/>
        <v>43.419856914070934</v>
      </c>
      <c r="M530">
        <f t="shared" si="245"/>
        <v>43.419856914070934</v>
      </c>
      <c r="N530">
        <f t="shared" si="246"/>
        <v>43.419856914070934</v>
      </c>
      <c r="O530" s="3"/>
      <c r="P530">
        <f t="shared" si="247"/>
        <v>56.116974276802779</v>
      </c>
      <c r="Q530">
        <f t="shared" si="248"/>
        <v>517.00224702909156</v>
      </c>
      <c r="R530">
        <f t="shared" si="249"/>
        <v>0</v>
      </c>
      <c r="S530">
        <f t="shared" si="250"/>
        <v>0</v>
      </c>
      <c r="T530">
        <v>50</v>
      </c>
      <c r="U530" s="3"/>
      <c r="V530">
        <f t="shared" si="251"/>
        <v>623.11922130589437</v>
      </c>
      <c r="W530" s="3"/>
      <c r="X530">
        <f t="shared" si="252"/>
        <v>23.822000660835453</v>
      </c>
      <c r="Y530">
        <f t="shared" si="253"/>
        <v>4.8807786941056293</v>
      </c>
      <c r="AA530">
        <f t="shared" si="254"/>
        <v>5.1352658129816839E-6</v>
      </c>
    </row>
    <row r="531" spans="2:27" ht="15" customHeight="1" x14ac:dyDescent="0.35">
      <c r="B531">
        <v>494.89144316730528</v>
      </c>
      <c r="C531">
        <v>609</v>
      </c>
      <c r="D531">
        <f t="shared" si="237"/>
        <v>22.756057951359043</v>
      </c>
      <c r="E531">
        <f t="shared" si="238"/>
        <v>352.85061619012748</v>
      </c>
      <c r="F531">
        <f t="shared" si="239"/>
        <v>47.286559223736482</v>
      </c>
      <c r="G531">
        <f t="shared" si="240"/>
        <v>47.286559223736482</v>
      </c>
      <c r="H531">
        <f t="shared" si="241"/>
        <v>47.286559223736482</v>
      </c>
      <c r="I531" s="3"/>
      <c r="J531">
        <f t="shared" si="242"/>
        <v>19.771801210077868</v>
      </c>
      <c r="K531">
        <f t="shared" si="243"/>
        <v>347.00128769923867</v>
      </c>
      <c r="L531">
        <f t="shared" si="244"/>
        <v>43.51348825879041</v>
      </c>
      <c r="M531">
        <f t="shared" si="245"/>
        <v>43.51348825879041</v>
      </c>
      <c r="N531">
        <f t="shared" si="246"/>
        <v>43.51348825879041</v>
      </c>
      <c r="O531" s="3"/>
      <c r="P531">
        <f t="shared" si="247"/>
        <v>55.907137664368776</v>
      </c>
      <c r="Q531">
        <f t="shared" si="248"/>
        <v>515.82429072746777</v>
      </c>
      <c r="R531">
        <f t="shared" si="249"/>
        <v>0</v>
      </c>
      <c r="S531">
        <f t="shared" si="250"/>
        <v>0</v>
      </c>
      <c r="T531">
        <v>50</v>
      </c>
      <c r="U531" s="3"/>
      <c r="V531">
        <f t="shared" si="251"/>
        <v>621.73142839183652</v>
      </c>
      <c r="W531" s="3"/>
      <c r="X531">
        <f t="shared" si="252"/>
        <v>162.08926889646094</v>
      </c>
      <c r="Y531">
        <f t="shared" si="253"/>
        <v>12.731428391836516</v>
      </c>
      <c r="AA531">
        <f t="shared" si="254"/>
        <v>1.3395253722521579E-5</v>
      </c>
    </row>
    <row r="532" spans="2:27" x14ac:dyDescent="0.35">
      <c r="B532">
        <v>495.84929757343554</v>
      </c>
      <c r="C532">
        <v>614</v>
      </c>
      <c r="D532">
        <f t="shared" si="237"/>
        <v>22.795890617924357</v>
      </c>
      <c r="E532">
        <f t="shared" si="238"/>
        <v>353.24786292761024</v>
      </c>
      <c r="F532">
        <f t="shared" si="239"/>
        <v>47.38234466434951</v>
      </c>
      <c r="G532">
        <f t="shared" si="240"/>
        <v>47.38234466434951</v>
      </c>
      <c r="H532">
        <f t="shared" si="241"/>
        <v>47.38234466434951</v>
      </c>
      <c r="I532" s="3"/>
      <c r="J532">
        <f t="shared" si="242"/>
        <v>19.809717992907956</v>
      </c>
      <c r="K532">
        <f t="shared" si="243"/>
        <v>347.39739357648972</v>
      </c>
      <c r="L532">
        <f t="shared" si="244"/>
        <v>43.607124129868389</v>
      </c>
      <c r="M532">
        <f t="shared" si="245"/>
        <v>43.607124129868389</v>
      </c>
      <c r="N532">
        <f t="shared" si="246"/>
        <v>43.607124129868389</v>
      </c>
      <c r="O532" s="3"/>
      <c r="P532">
        <f t="shared" si="247"/>
        <v>55.698456835889203</v>
      </c>
      <c r="Q532">
        <f t="shared" si="248"/>
        <v>514.65035184919816</v>
      </c>
      <c r="R532">
        <f t="shared" si="249"/>
        <v>0</v>
      </c>
      <c r="S532">
        <f t="shared" si="250"/>
        <v>0</v>
      </c>
      <c r="T532">
        <v>50</v>
      </c>
      <c r="U532" s="3"/>
      <c r="V532">
        <f t="shared" si="251"/>
        <v>620.34880868508731</v>
      </c>
      <c r="W532" s="3"/>
      <c r="X532">
        <f t="shared" si="252"/>
        <v>40.307371719840006</v>
      </c>
      <c r="Y532">
        <f t="shared" si="253"/>
        <v>6.348808685087306</v>
      </c>
      <c r="AA532">
        <f t="shared" si="254"/>
        <v>6.6798398856033963E-6</v>
      </c>
    </row>
    <row r="533" spans="2:27" x14ac:dyDescent="0.35">
      <c r="B533">
        <v>496.80715197956579</v>
      </c>
      <c r="C533">
        <v>649</v>
      </c>
      <c r="D533">
        <f t="shared" si="237"/>
        <v>22.835723284489671</v>
      </c>
      <c r="E533">
        <f t="shared" si="238"/>
        <v>353.645109665093</v>
      </c>
      <c r="F533">
        <f t="shared" si="239"/>
        <v>47.478130104962531</v>
      </c>
      <c r="G533">
        <f t="shared" si="240"/>
        <v>47.478130104962531</v>
      </c>
      <c r="H533">
        <f t="shared" si="241"/>
        <v>47.478130104962531</v>
      </c>
      <c r="I533" s="3"/>
      <c r="J533">
        <f t="shared" si="242"/>
        <v>19.847638263598839</v>
      </c>
      <c r="K533">
        <f t="shared" si="243"/>
        <v>347.79350075009239</v>
      </c>
      <c r="L533">
        <f t="shared" si="244"/>
        <v>43.700764508539429</v>
      </c>
      <c r="M533">
        <f t="shared" si="245"/>
        <v>43.700764508539429</v>
      </c>
      <c r="N533">
        <f t="shared" si="246"/>
        <v>43.700764508539429</v>
      </c>
      <c r="O533" s="3"/>
      <c r="P533">
        <f t="shared" si="247"/>
        <v>55.490923422972358</v>
      </c>
      <c r="Q533">
        <f t="shared" si="248"/>
        <v>513.48041215951616</v>
      </c>
      <c r="R533">
        <f t="shared" si="249"/>
        <v>0</v>
      </c>
      <c r="S533">
        <f t="shared" si="250"/>
        <v>0</v>
      </c>
      <c r="T533">
        <v>50</v>
      </c>
      <c r="U533" s="3"/>
      <c r="V533">
        <f t="shared" si="251"/>
        <v>618.97133558248856</v>
      </c>
      <c r="W533" s="3"/>
      <c r="X533">
        <f t="shared" si="252"/>
        <v>901.72068669951739</v>
      </c>
      <c r="Y533">
        <f t="shared" si="253"/>
        <v>30.028664417511436</v>
      </c>
      <c r="AA533">
        <f t="shared" si="254"/>
        <v>3.1594379392570084E-5</v>
      </c>
    </row>
    <row r="534" spans="2:27" x14ac:dyDescent="0.35">
      <c r="B534">
        <v>498.0842911877395</v>
      </c>
      <c r="C534">
        <v>620</v>
      </c>
      <c r="D534">
        <f t="shared" si="237"/>
        <v>22.888833506576756</v>
      </c>
      <c r="E534">
        <f t="shared" si="238"/>
        <v>354.17477198173668</v>
      </c>
      <c r="F534">
        <f t="shared" si="239"/>
        <v>47.605844025779902</v>
      </c>
      <c r="G534">
        <f t="shared" si="240"/>
        <v>47.605844025779902</v>
      </c>
      <c r="H534">
        <f t="shared" si="241"/>
        <v>47.605844025779902</v>
      </c>
      <c r="I534" s="3"/>
      <c r="J534">
        <f t="shared" si="242"/>
        <v>19.898204028731552</v>
      </c>
      <c r="K534">
        <f t="shared" si="243"/>
        <v>348.32164565969885</v>
      </c>
      <c r="L534">
        <f t="shared" si="244"/>
        <v>43.825625326361084</v>
      </c>
      <c r="M534">
        <f t="shared" si="245"/>
        <v>43.825625326361084</v>
      </c>
      <c r="N534">
        <f t="shared" si="246"/>
        <v>43.825625326361084</v>
      </c>
      <c r="O534" s="3"/>
      <c r="P534">
        <f t="shared" si="247"/>
        <v>55.215982750557991</v>
      </c>
      <c r="Q534">
        <f t="shared" si="248"/>
        <v>511.92668220971666</v>
      </c>
      <c r="R534">
        <f t="shared" si="249"/>
        <v>0</v>
      </c>
      <c r="S534">
        <f t="shared" si="250"/>
        <v>0</v>
      </c>
      <c r="T534">
        <v>50</v>
      </c>
      <c r="U534" s="3"/>
      <c r="V534">
        <f t="shared" si="251"/>
        <v>617.1426649602746</v>
      </c>
      <c r="W534" s="3"/>
      <c r="X534">
        <f t="shared" si="252"/>
        <v>8.1643635292425465</v>
      </c>
      <c r="Y534">
        <f t="shared" si="253"/>
        <v>2.8573350397253989</v>
      </c>
      <c r="AA534">
        <f t="shared" si="254"/>
        <v>3.0063184310029993E-6</v>
      </c>
    </row>
    <row r="535" spans="2:27" x14ac:dyDescent="0.35">
      <c r="B535">
        <v>499.0421455938698</v>
      </c>
      <c r="C535">
        <v>624</v>
      </c>
      <c r="D535">
        <f t="shared" si="237"/>
        <v>22.928666173142069</v>
      </c>
      <c r="E535">
        <f t="shared" si="238"/>
        <v>354.5720187192195</v>
      </c>
      <c r="F535">
        <f t="shared" si="239"/>
        <v>47.701629466392937</v>
      </c>
      <c r="G535">
        <f t="shared" si="240"/>
        <v>47.701629466392937</v>
      </c>
      <c r="H535">
        <f t="shared" si="241"/>
        <v>47.701629466392937</v>
      </c>
      <c r="I535" s="3"/>
      <c r="J535">
        <f t="shared" si="242"/>
        <v>19.936132389817814</v>
      </c>
      <c r="K535">
        <f t="shared" si="243"/>
        <v>348.71775584671178</v>
      </c>
      <c r="L535">
        <f t="shared" si="244"/>
        <v>43.919276150419918</v>
      </c>
      <c r="M535">
        <f t="shared" si="245"/>
        <v>43.919276150419918</v>
      </c>
      <c r="N535">
        <f t="shared" si="246"/>
        <v>43.919276150419918</v>
      </c>
      <c r="O535" s="3"/>
      <c r="P535">
        <f t="shared" si="247"/>
        <v>55.011094515811642</v>
      </c>
      <c r="Q535">
        <f t="shared" si="248"/>
        <v>510.76600362593865</v>
      </c>
      <c r="R535">
        <f t="shared" si="249"/>
        <v>0</v>
      </c>
      <c r="S535">
        <f t="shared" si="250"/>
        <v>0</v>
      </c>
      <c r="T535">
        <v>50</v>
      </c>
      <c r="U535" s="3"/>
      <c r="V535">
        <f t="shared" si="251"/>
        <v>615.77709814175034</v>
      </c>
      <c r="W535" s="3"/>
      <c r="X535">
        <f t="shared" si="252"/>
        <v>67.616114970405647</v>
      </c>
      <c r="Y535">
        <f t="shared" si="253"/>
        <v>8.2229018582496565</v>
      </c>
      <c r="AA535">
        <f t="shared" si="254"/>
        <v>8.6516495507507963E-6</v>
      </c>
    </row>
    <row r="536" spans="2:27" x14ac:dyDescent="0.35">
      <c r="B536">
        <v>500</v>
      </c>
      <c r="C536">
        <v>638</v>
      </c>
      <c r="D536">
        <f t="shared" si="237"/>
        <v>22.968498839707383</v>
      </c>
      <c r="E536">
        <f t="shared" si="238"/>
        <v>354.9692654567022</v>
      </c>
      <c r="F536">
        <f t="shared" si="239"/>
        <v>47.797414907005951</v>
      </c>
      <c r="G536">
        <f t="shared" si="240"/>
        <v>47.797414907005951</v>
      </c>
      <c r="H536">
        <f t="shared" si="241"/>
        <v>47.797414907005951</v>
      </c>
      <c r="I536" s="3"/>
      <c r="J536">
        <f t="shared" si="242"/>
        <v>19.974064197822205</v>
      </c>
      <c r="K536">
        <f t="shared" si="243"/>
        <v>349.11386732031997</v>
      </c>
      <c r="L536">
        <f t="shared" si="244"/>
        <v>44.012931420349602</v>
      </c>
      <c r="M536">
        <f t="shared" si="245"/>
        <v>44.012931420349602</v>
      </c>
      <c r="N536">
        <f t="shared" si="246"/>
        <v>44.012931420349602</v>
      </c>
      <c r="O536" s="3"/>
      <c r="P536">
        <f t="shared" si="247"/>
        <v>54.807326338086249</v>
      </c>
      <c r="Q536">
        <f t="shared" si="248"/>
        <v>509.6092641901862</v>
      </c>
      <c r="R536">
        <f t="shared" si="249"/>
        <v>0</v>
      </c>
      <c r="S536">
        <f t="shared" si="250"/>
        <v>0</v>
      </c>
      <c r="T536">
        <v>50</v>
      </c>
      <c r="U536" s="3"/>
      <c r="V536">
        <f t="shared" si="251"/>
        <v>614.41659052827242</v>
      </c>
      <c r="W536" s="3"/>
      <c r="X536">
        <f t="shared" si="252"/>
        <v>556.17720231117005</v>
      </c>
      <c r="Y536">
        <f t="shared" si="253"/>
        <v>23.583409471727578</v>
      </c>
      <c r="AA536">
        <f t="shared" si="254"/>
        <v>2.4813064472676968E-5</v>
      </c>
    </row>
    <row r="537" spans="2:27" x14ac:dyDescent="0.35">
      <c r="B537">
        <v>498.79807692307696</v>
      </c>
      <c r="C537">
        <v>503</v>
      </c>
      <c r="I537" s="3"/>
      <c r="O537" s="3"/>
      <c r="U537" s="3"/>
      <c r="W537" s="3"/>
    </row>
    <row r="538" spans="2:27" x14ac:dyDescent="0.35">
      <c r="B538">
        <v>500</v>
      </c>
      <c r="C538">
        <v>467</v>
      </c>
      <c r="I538" s="3"/>
      <c r="O538" s="3"/>
      <c r="U538" s="3"/>
      <c r="W538" s="3"/>
    </row>
    <row r="539" spans="2:27" ht="17" customHeight="1" x14ac:dyDescent="0.35">
      <c r="B539">
        <v>500</v>
      </c>
      <c r="C539">
        <v>304</v>
      </c>
      <c r="I539" s="3"/>
      <c r="O539" s="3"/>
      <c r="U539" s="3"/>
      <c r="W539" s="3"/>
    </row>
    <row r="540" spans="2:27" x14ac:dyDescent="0.35">
      <c r="B540" s="18"/>
      <c r="C540" s="18"/>
      <c r="I540" s="3"/>
      <c r="O540" s="3"/>
      <c r="U540" s="3"/>
      <c r="W540" s="3"/>
    </row>
    <row r="541" spans="2:27" x14ac:dyDescent="0.35">
      <c r="B541" s="18"/>
      <c r="C541" s="18"/>
      <c r="I541" s="3"/>
      <c r="O541" s="3"/>
      <c r="U541" s="3"/>
      <c r="W541" s="3"/>
    </row>
    <row r="542" spans="2:27" x14ac:dyDescent="0.35">
      <c r="B542" s="18"/>
      <c r="C542" s="18"/>
      <c r="I542" s="3"/>
      <c r="O542" s="3"/>
      <c r="U542" s="3"/>
      <c r="W542" s="3"/>
    </row>
    <row r="543" spans="2:27" x14ac:dyDescent="0.35">
      <c r="B543" s="18"/>
      <c r="C543" s="18"/>
      <c r="I543" s="3"/>
      <c r="O543" s="3"/>
      <c r="U543" s="3"/>
      <c r="W543" s="3"/>
    </row>
    <row r="544" spans="2:27" x14ac:dyDescent="0.35">
      <c r="B544" s="18"/>
      <c r="C544" s="18"/>
      <c r="I544" s="3"/>
      <c r="O544" s="3"/>
      <c r="U544" s="3"/>
      <c r="W544" s="3"/>
    </row>
    <row r="545" spans="2:23" x14ac:dyDescent="0.35">
      <c r="B545" s="18"/>
      <c r="C545" s="18"/>
      <c r="I545" s="3"/>
      <c r="O545" s="3"/>
      <c r="U545" s="3"/>
      <c r="W545" s="3"/>
    </row>
    <row r="546" spans="2:23" x14ac:dyDescent="0.35">
      <c r="B546" s="18"/>
      <c r="I546" s="3"/>
      <c r="O546" s="3"/>
      <c r="U546" s="3"/>
      <c r="W546" s="3"/>
    </row>
    <row r="547" spans="2:23" x14ac:dyDescent="0.35">
      <c r="B547" s="18"/>
      <c r="I547" s="3"/>
      <c r="O547" s="3"/>
      <c r="U547" s="3"/>
      <c r="W547" s="3"/>
    </row>
    <row r="548" spans="2:23" x14ac:dyDescent="0.35">
      <c r="B548" s="18"/>
      <c r="I548" s="3"/>
      <c r="O548" s="3"/>
      <c r="U548" s="3"/>
      <c r="W548" s="3"/>
    </row>
    <row r="549" spans="2:23" x14ac:dyDescent="0.35">
      <c r="B549" s="18"/>
      <c r="I549" s="3"/>
      <c r="O549" s="3"/>
      <c r="U549" s="3"/>
      <c r="W549" s="3"/>
    </row>
    <row r="550" spans="2:23" x14ac:dyDescent="0.35">
      <c r="B550" s="18"/>
      <c r="I550" s="3"/>
      <c r="O550" s="3"/>
      <c r="U550" s="3"/>
      <c r="W550" s="3"/>
    </row>
    <row r="551" spans="2:23" x14ac:dyDescent="0.35">
      <c r="I551" s="3"/>
      <c r="O551" s="3"/>
      <c r="U551" s="3"/>
      <c r="W551" s="3"/>
    </row>
    <row r="552" spans="2:23" x14ac:dyDescent="0.35">
      <c r="I552" s="3"/>
      <c r="O552" s="3"/>
      <c r="U552" s="3"/>
      <c r="W552" s="3"/>
    </row>
    <row r="553" spans="2:23" x14ac:dyDescent="0.35">
      <c r="I553" s="3"/>
      <c r="O553" s="3"/>
      <c r="U553" s="3"/>
      <c r="W553" s="3"/>
    </row>
    <row r="554" spans="2:23" x14ac:dyDescent="0.35">
      <c r="I554" s="3"/>
      <c r="O554" s="3"/>
      <c r="U554" s="3"/>
      <c r="W554" s="3"/>
    </row>
    <row r="555" spans="2:23" x14ac:dyDescent="0.35">
      <c r="I555" s="3"/>
      <c r="O555" s="3"/>
      <c r="U555" s="3"/>
      <c r="W555" s="3"/>
    </row>
    <row r="556" spans="2:23" x14ac:dyDescent="0.35">
      <c r="I556" s="3"/>
      <c r="O556" s="3"/>
      <c r="U556" s="3"/>
      <c r="W556" s="3"/>
    </row>
    <row r="557" spans="2:23" x14ac:dyDescent="0.35">
      <c r="I557" s="3"/>
      <c r="O557" s="3"/>
      <c r="U557" s="3"/>
      <c r="W557" s="3"/>
    </row>
    <row r="558" spans="2:23" x14ac:dyDescent="0.35">
      <c r="I558" s="3"/>
      <c r="O558" s="3"/>
      <c r="U558" s="3"/>
      <c r="W558" s="3"/>
    </row>
    <row r="559" spans="2:23" x14ac:dyDescent="0.35">
      <c r="I559" s="3"/>
      <c r="O559" s="3"/>
      <c r="U559" s="3"/>
      <c r="W559" s="3"/>
    </row>
    <row r="560" spans="2:23" x14ac:dyDescent="0.35">
      <c r="I560" s="3"/>
      <c r="O560" s="3"/>
      <c r="U560" s="3"/>
      <c r="W560" s="3"/>
    </row>
    <row r="561" spans="9:23" x14ac:dyDescent="0.35">
      <c r="I561" s="3"/>
      <c r="O561" s="3"/>
      <c r="U561" s="3"/>
      <c r="W561" s="3"/>
    </row>
    <row r="562" spans="9:23" x14ac:dyDescent="0.35">
      <c r="I562" s="3"/>
      <c r="O562" s="3"/>
      <c r="U562" s="3"/>
      <c r="W562" s="3"/>
    </row>
    <row r="563" spans="9:23" x14ac:dyDescent="0.35">
      <c r="I563" s="3"/>
      <c r="O563" s="3"/>
      <c r="U563" s="3"/>
      <c r="W563" s="3"/>
    </row>
    <row r="564" spans="9:23" x14ac:dyDescent="0.35">
      <c r="I564" s="3"/>
      <c r="O564" s="3"/>
      <c r="U564" s="3"/>
      <c r="W564" s="3"/>
    </row>
    <row r="565" spans="9:23" x14ac:dyDescent="0.35">
      <c r="I565" s="3"/>
      <c r="O565" s="3"/>
      <c r="U565" s="3"/>
      <c r="W565" s="3"/>
    </row>
    <row r="566" spans="9:23" x14ac:dyDescent="0.35">
      <c r="I566" s="3"/>
      <c r="O566" s="3"/>
      <c r="U566" s="3"/>
      <c r="W566" s="3"/>
    </row>
    <row r="567" spans="9:23" x14ac:dyDescent="0.35">
      <c r="I567" s="3"/>
      <c r="O567" s="3"/>
      <c r="U567" s="3"/>
      <c r="W567" s="3"/>
    </row>
    <row r="568" spans="9:23" x14ac:dyDescent="0.35">
      <c r="I568" s="3"/>
      <c r="O568" s="3"/>
      <c r="U568" s="3"/>
      <c r="W568" s="3"/>
    </row>
    <row r="569" spans="9:23" x14ac:dyDescent="0.35">
      <c r="I569" s="3"/>
      <c r="O569" s="3"/>
      <c r="U569" s="3"/>
      <c r="W569" s="3"/>
    </row>
    <row r="570" spans="9:23" x14ac:dyDescent="0.35">
      <c r="I570" s="3"/>
      <c r="O570" s="3"/>
      <c r="U570" s="3"/>
      <c r="W570" s="3"/>
    </row>
    <row r="571" spans="9:23" x14ac:dyDescent="0.35">
      <c r="I571" s="3"/>
      <c r="O571" s="3"/>
      <c r="U571" s="3"/>
      <c r="W571" s="3"/>
    </row>
    <row r="572" spans="9:23" x14ac:dyDescent="0.35">
      <c r="I572" s="3"/>
      <c r="O572" s="3"/>
      <c r="U572" s="3"/>
      <c r="W572" s="3"/>
    </row>
    <row r="573" spans="9:23" x14ac:dyDescent="0.35">
      <c r="I573" s="3"/>
      <c r="O573" s="3"/>
      <c r="U573" s="3"/>
      <c r="W573" s="3"/>
    </row>
    <row r="574" spans="9:23" x14ac:dyDescent="0.35">
      <c r="I574" s="3"/>
      <c r="O574" s="3"/>
      <c r="U574" s="3"/>
      <c r="W574" s="3"/>
    </row>
    <row r="575" spans="9:23" x14ac:dyDescent="0.35">
      <c r="I575" s="3"/>
      <c r="O575" s="3"/>
      <c r="U575" s="3"/>
      <c r="W575" s="3"/>
    </row>
    <row r="576" spans="9:23" x14ac:dyDescent="0.35">
      <c r="I576" s="3"/>
      <c r="O576" s="3"/>
      <c r="U576" s="3"/>
      <c r="W576" s="3"/>
    </row>
    <row r="577" spans="9:23" x14ac:dyDescent="0.35">
      <c r="I577" s="3"/>
      <c r="O577" s="3"/>
      <c r="U577" s="3"/>
      <c r="W577" s="3"/>
    </row>
    <row r="578" spans="9:23" x14ac:dyDescent="0.35">
      <c r="I578" s="3"/>
      <c r="O578" s="3"/>
      <c r="U578" s="3"/>
      <c r="W578" s="3"/>
    </row>
    <row r="579" spans="9:23" x14ac:dyDescent="0.35">
      <c r="I579" s="3"/>
      <c r="O579" s="3"/>
      <c r="U579" s="3"/>
      <c r="W579" s="3"/>
    </row>
    <row r="580" spans="9:23" x14ac:dyDescent="0.35">
      <c r="I580" s="3"/>
      <c r="O580" s="3"/>
      <c r="U580" s="3"/>
      <c r="W580" s="3"/>
    </row>
    <row r="581" spans="9:23" x14ac:dyDescent="0.35">
      <c r="I581" s="3"/>
      <c r="O581" s="3"/>
      <c r="U581" s="3"/>
      <c r="W581" s="3"/>
    </row>
    <row r="582" spans="9:23" x14ac:dyDescent="0.35">
      <c r="I582" s="3"/>
      <c r="O582" s="3"/>
      <c r="U582" s="3"/>
      <c r="W582" s="3"/>
    </row>
    <row r="583" spans="9:23" x14ac:dyDescent="0.35">
      <c r="I583" s="3"/>
      <c r="O583" s="3"/>
      <c r="U583" s="3"/>
      <c r="W583" s="3"/>
    </row>
    <row r="584" spans="9:23" x14ac:dyDescent="0.35">
      <c r="I584" s="3"/>
      <c r="O584" s="3"/>
      <c r="U584" s="3"/>
      <c r="W584" s="3"/>
    </row>
    <row r="585" spans="9:23" x14ac:dyDescent="0.35">
      <c r="I585" s="3"/>
      <c r="O585" s="3"/>
      <c r="U585" s="3"/>
      <c r="W585" s="3"/>
    </row>
    <row r="586" spans="9:23" x14ac:dyDescent="0.35">
      <c r="I586" s="3"/>
      <c r="O586" s="3"/>
      <c r="U586" s="3"/>
      <c r="W586" s="3"/>
    </row>
    <row r="587" spans="9:23" x14ac:dyDescent="0.35">
      <c r="I587" s="3"/>
      <c r="O587" s="3"/>
      <c r="U587" s="3"/>
      <c r="W587" s="3"/>
    </row>
    <row r="588" spans="9:23" x14ac:dyDescent="0.35">
      <c r="I588" s="3"/>
      <c r="O588" s="3"/>
      <c r="U588" s="3"/>
      <c r="W588" s="3"/>
    </row>
    <row r="589" spans="9:23" x14ac:dyDescent="0.35">
      <c r="I589" s="3"/>
      <c r="O589" s="3"/>
      <c r="U589" s="3"/>
      <c r="W589" s="3"/>
    </row>
    <row r="590" spans="9:23" x14ac:dyDescent="0.35">
      <c r="I590" s="3"/>
      <c r="O590" s="3"/>
      <c r="U590" s="3"/>
      <c r="W590" s="3"/>
    </row>
    <row r="591" spans="9:23" x14ac:dyDescent="0.35">
      <c r="I591" s="3"/>
      <c r="O591" s="3"/>
      <c r="U591" s="3"/>
      <c r="W591" s="3"/>
    </row>
    <row r="592" spans="9:23" x14ac:dyDescent="0.35">
      <c r="I592" s="3"/>
      <c r="O592" s="3"/>
      <c r="U592" s="3"/>
      <c r="W592" s="3"/>
    </row>
    <row r="593" spans="9:23" x14ac:dyDescent="0.35">
      <c r="I593" s="3"/>
      <c r="O593" s="3"/>
      <c r="U593" s="3"/>
      <c r="W593" s="3"/>
    </row>
    <row r="594" spans="9:23" x14ac:dyDescent="0.35">
      <c r="I594" s="3"/>
      <c r="O594" s="3"/>
      <c r="U594" s="3"/>
      <c r="W594" s="3"/>
    </row>
    <row r="595" spans="9:23" x14ac:dyDescent="0.35">
      <c r="I595" s="3"/>
      <c r="O595" s="3"/>
      <c r="U595" s="3"/>
      <c r="W595" s="3"/>
    </row>
    <row r="596" spans="9:23" x14ac:dyDescent="0.35">
      <c r="I596" s="3"/>
      <c r="O596" s="3"/>
      <c r="U596" s="3"/>
      <c r="W596" s="3"/>
    </row>
    <row r="597" spans="9:23" x14ac:dyDescent="0.35">
      <c r="I597" s="3"/>
      <c r="O597" s="3"/>
      <c r="U597" s="3"/>
      <c r="W597" s="3"/>
    </row>
    <row r="598" spans="9:23" x14ac:dyDescent="0.35">
      <c r="I598" s="3"/>
      <c r="O598" s="3"/>
      <c r="U598" s="3"/>
      <c r="W598" s="3"/>
    </row>
    <row r="599" spans="9:23" x14ac:dyDescent="0.35">
      <c r="I599" s="3"/>
      <c r="O599" s="3"/>
      <c r="U599" s="3"/>
      <c r="W599" s="3"/>
    </row>
    <row r="600" spans="9:23" x14ac:dyDescent="0.35">
      <c r="I600" s="3"/>
      <c r="O600" s="3"/>
      <c r="U600" s="3"/>
      <c r="W600" s="3"/>
    </row>
    <row r="601" spans="9:23" x14ac:dyDescent="0.35">
      <c r="I601" s="3"/>
      <c r="O601" s="3"/>
      <c r="U601" s="3"/>
      <c r="W601" s="3"/>
    </row>
    <row r="602" spans="9:23" x14ac:dyDescent="0.35">
      <c r="I602" s="3"/>
      <c r="O602" s="3"/>
      <c r="U602" s="3"/>
      <c r="W602" s="3"/>
    </row>
    <row r="603" spans="9:23" x14ac:dyDescent="0.35">
      <c r="I603" s="3"/>
      <c r="O603" s="3"/>
      <c r="U603" s="3"/>
      <c r="W603" s="3"/>
    </row>
    <row r="604" spans="9:23" x14ac:dyDescent="0.35">
      <c r="I604" s="3"/>
      <c r="O604" s="3"/>
      <c r="U604" s="3"/>
      <c r="W604" s="3"/>
    </row>
    <row r="605" spans="9:23" x14ac:dyDescent="0.35">
      <c r="I605" s="3"/>
      <c r="O605" s="3"/>
      <c r="U605" s="3"/>
      <c r="W605" s="3"/>
    </row>
    <row r="606" spans="9:23" x14ac:dyDescent="0.35">
      <c r="I606" s="3"/>
      <c r="O606" s="3"/>
      <c r="U606" s="3"/>
      <c r="W606" s="3"/>
    </row>
    <row r="607" spans="9:23" x14ac:dyDescent="0.35">
      <c r="I607" s="3"/>
      <c r="O607" s="3"/>
      <c r="U607" s="3"/>
      <c r="W607" s="3"/>
    </row>
    <row r="608" spans="9:23" x14ac:dyDescent="0.35">
      <c r="I608" s="3"/>
      <c r="O608" s="3"/>
      <c r="U608" s="3"/>
      <c r="W608" s="3"/>
    </row>
    <row r="609" spans="9:23" x14ac:dyDescent="0.35">
      <c r="I609" s="3"/>
      <c r="O609" s="3"/>
      <c r="U609" s="3"/>
      <c r="W609" s="3"/>
    </row>
    <row r="610" spans="9:23" x14ac:dyDescent="0.35">
      <c r="I610" s="3"/>
      <c r="O610" s="3"/>
      <c r="U610" s="3"/>
      <c r="W610" s="3"/>
    </row>
    <row r="611" spans="9:23" x14ac:dyDescent="0.35">
      <c r="I611" s="3"/>
      <c r="O611" s="3"/>
      <c r="U611" s="3"/>
      <c r="W611" s="3"/>
    </row>
    <row r="612" spans="9:23" x14ac:dyDescent="0.35">
      <c r="I612" s="3"/>
      <c r="O612" s="3"/>
      <c r="U612" s="3"/>
      <c r="W612" s="3"/>
    </row>
    <row r="613" spans="9:23" x14ac:dyDescent="0.35">
      <c r="I613" s="3"/>
      <c r="O613" s="3"/>
      <c r="U613" s="3"/>
      <c r="W613" s="3"/>
    </row>
    <row r="614" spans="9:23" x14ac:dyDescent="0.35">
      <c r="I614" s="3"/>
      <c r="O614" s="3"/>
      <c r="U614" s="3"/>
      <c r="W614" s="3"/>
    </row>
    <row r="615" spans="9:23" x14ac:dyDescent="0.35">
      <c r="I615" s="3"/>
      <c r="O615" s="3"/>
      <c r="U615" s="3"/>
      <c r="W615" s="3"/>
    </row>
    <row r="616" spans="9:23" x14ac:dyDescent="0.35">
      <c r="I616" s="3"/>
      <c r="O616" s="3"/>
      <c r="U616" s="3"/>
      <c r="W616" s="3"/>
    </row>
    <row r="617" spans="9:23" x14ac:dyDescent="0.35">
      <c r="I617" s="3"/>
      <c r="O617" s="3"/>
      <c r="U617" s="3"/>
      <c r="W617" s="3"/>
    </row>
    <row r="618" spans="9:23" x14ac:dyDescent="0.35">
      <c r="I618" s="3"/>
      <c r="O618" s="3"/>
      <c r="U618" s="3"/>
      <c r="W618" s="3"/>
    </row>
    <row r="619" spans="9:23" x14ac:dyDescent="0.35">
      <c r="I619" s="3"/>
      <c r="O619" s="3"/>
      <c r="U619" s="3"/>
      <c r="W619" s="3"/>
    </row>
    <row r="620" spans="9:23" x14ac:dyDescent="0.35">
      <c r="I620" s="3"/>
      <c r="O620" s="3"/>
      <c r="U620" s="3"/>
      <c r="W620" s="3"/>
    </row>
    <row r="621" spans="9:23" x14ac:dyDescent="0.35">
      <c r="I621" s="3"/>
      <c r="O621" s="3"/>
      <c r="U621" s="3"/>
      <c r="W621" s="3"/>
    </row>
    <row r="622" spans="9:23" x14ac:dyDescent="0.35">
      <c r="I622" s="3"/>
      <c r="O622" s="3"/>
      <c r="U622" s="3"/>
      <c r="W622" s="3"/>
    </row>
    <row r="623" spans="9:23" x14ac:dyDescent="0.35">
      <c r="I623" s="3"/>
      <c r="O623" s="3"/>
      <c r="U623" s="3"/>
      <c r="W623" s="3"/>
    </row>
    <row r="624" spans="9:23" x14ac:dyDescent="0.35">
      <c r="I624" s="3"/>
      <c r="O624" s="3"/>
      <c r="U624" s="3"/>
      <c r="W624" s="3"/>
    </row>
    <row r="625" spans="9:23" x14ac:dyDescent="0.35">
      <c r="I625" s="3"/>
      <c r="O625" s="3"/>
      <c r="U625" s="3"/>
      <c r="W625" s="3"/>
    </row>
    <row r="626" spans="9:23" x14ac:dyDescent="0.35">
      <c r="I626" s="3"/>
      <c r="O626" s="3"/>
      <c r="U626" s="3"/>
      <c r="W626" s="3"/>
    </row>
    <row r="627" spans="9:23" x14ac:dyDescent="0.35">
      <c r="I627" s="3"/>
      <c r="O627" s="3"/>
      <c r="U627" s="3"/>
      <c r="W627" s="3"/>
    </row>
    <row r="628" spans="9:23" x14ac:dyDescent="0.35">
      <c r="I628" s="3"/>
      <c r="O628" s="3"/>
      <c r="U628" s="3"/>
      <c r="W628" s="3"/>
    </row>
    <row r="629" spans="9:23" x14ac:dyDescent="0.35">
      <c r="I629" s="3"/>
      <c r="O629" s="3"/>
      <c r="U629" s="3"/>
      <c r="W629" s="3"/>
    </row>
    <row r="630" spans="9:23" x14ac:dyDescent="0.35">
      <c r="I630" s="3"/>
      <c r="O630" s="3"/>
      <c r="U630" s="3"/>
      <c r="W630" s="3"/>
    </row>
    <row r="631" spans="9:23" x14ac:dyDescent="0.35">
      <c r="I631" s="3"/>
      <c r="O631" s="3"/>
      <c r="U631" s="3"/>
      <c r="W631" s="3"/>
    </row>
    <row r="632" spans="9:23" x14ac:dyDescent="0.35">
      <c r="I632" s="3"/>
      <c r="O632" s="3"/>
      <c r="U632" s="3"/>
      <c r="W632" s="3"/>
    </row>
    <row r="633" spans="9:23" x14ac:dyDescent="0.35">
      <c r="I633" s="3"/>
      <c r="O633" s="3"/>
      <c r="U633" s="3"/>
      <c r="W633" s="3"/>
    </row>
    <row r="634" spans="9:23" x14ac:dyDescent="0.35">
      <c r="I634" s="3"/>
      <c r="O634" s="3"/>
      <c r="U634" s="3"/>
      <c r="W634" s="3"/>
    </row>
    <row r="635" spans="9:23" x14ac:dyDescent="0.35">
      <c r="I635" s="3"/>
      <c r="O635" s="3"/>
      <c r="U635" s="3"/>
      <c r="W635" s="3"/>
    </row>
    <row r="636" spans="9:23" x14ac:dyDescent="0.35">
      <c r="I636" s="3"/>
      <c r="O636" s="3"/>
      <c r="U636" s="3"/>
      <c r="W636" s="3"/>
    </row>
    <row r="637" spans="9:23" x14ac:dyDescent="0.35">
      <c r="I637" s="3"/>
      <c r="O637" s="3"/>
      <c r="U637" s="3"/>
      <c r="W637" s="3"/>
    </row>
    <row r="638" spans="9:23" x14ac:dyDescent="0.35">
      <c r="I638" s="3"/>
      <c r="O638" s="3"/>
      <c r="U638" s="3"/>
      <c r="W638" s="3"/>
    </row>
    <row r="639" spans="9:23" x14ac:dyDescent="0.35">
      <c r="I639" s="3"/>
      <c r="O639" s="3"/>
      <c r="U639" s="3"/>
      <c r="W639" s="3"/>
    </row>
    <row r="640" spans="9:23" x14ac:dyDescent="0.35">
      <c r="I640" s="3"/>
      <c r="O640" s="3"/>
      <c r="U640" s="3"/>
      <c r="W640" s="3"/>
    </row>
    <row r="641" spans="9:23" x14ac:dyDescent="0.35">
      <c r="I641" s="3"/>
      <c r="O641" s="3"/>
      <c r="U641" s="3"/>
      <c r="W641" s="3"/>
    </row>
    <row r="642" spans="9:23" x14ac:dyDescent="0.35">
      <c r="I642" s="3"/>
      <c r="O642" s="3"/>
      <c r="U642" s="3"/>
      <c r="W642" s="3"/>
    </row>
    <row r="643" spans="9:23" x14ac:dyDescent="0.35">
      <c r="I643" s="3"/>
      <c r="O643" s="3"/>
      <c r="U643" s="3"/>
      <c r="W643" s="3"/>
    </row>
    <row r="644" spans="9:23" x14ac:dyDescent="0.35">
      <c r="I644" s="3"/>
      <c r="O644" s="3"/>
      <c r="U644" s="3"/>
      <c r="W644" s="3"/>
    </row>
    <row r="645" spans="9:23" x14ac:dyDescent="0.35">
      <c r="I645" s="3"/>
      <c r="O645" s="3"/>
      <c r="U645" s="3"/>
      <c r="W645" s="3"/>
    </row>
    <row r="646" spans="9:23" x14ac:dyDescent="0.35">
      <c r="I646" s="3"/>
      <c r="O646" s="3"/>
      <c r="U646" s="3"/>
      <c r="W646" s="3"/>
    </row>
    <row r="647" spans="9:23" x14ac:dyDescent="0.35">
      <c r="I647" s="3"/>
      <c r="O647" s="3"/>
      <c r="U647" s="3"/>
      <c r="W647" s="3"/>
    </row>
    <row r="648" spans="9:23" x14ac:dyDescent="0.35">
      <c r="I648" s="3"/>
      <c r="O648" s="3"/>
      <c r="U648" s="3"/>
      <c r="W648" s="3"/>
    </row>
    <row r="649" spans="9:23" x14ac:dyDescent="0.35">
      <c r="I649" s="3"/>
      <c r="O649" s="3"/>
      <c r="U649" s="3"/>
      <c r="W649" s="3"/>
    </row>
    <row r="650" spans="9:23" x14ac:dyDescent="0.35">
      <c r="I650" s="3"/>
      <c r="O650" s="3"/>
      <c r="U650" s="3"/>
      <c r="W650" s="3"/>
    </row>
    <row r="651" spans="9:23" x14ac:dyDescent="0.35">
      <c r="I651" s="3"/>
      <c r="O651" s="3"/>
      <c r="U651" s="3"/>
      <c r="W651" s="3"/>
    </row>
    <row r="652" spans="9:23" x14ac:dyDescent="0.35">
      <c r="I652" s="3"/>
      <c r="O652" s="3"/>
      <c r="U652" s="3"/>
      <c r="W652" s="3"/>
    </row>
    <row r="653" spans="9:23" x14ac:dyDescent="0.35">
      <c r="I653" s="3"/>
      <c r="O653" s="3"/>
      <c r="U653" s="3"/>
      <c r="W653" s="3"/>
    </row>
    <row r="654" spans="9:23" x14ac:dyDescent="0.35">
      <c r="I654" s="3"/>
      <c r="O654" s="3"/>
      <c r="U654" s="3"/>
      <c r="W654" s="3"/>
    </row>
    <row r="655" spans="9:23" x14ac:dyDescent="0.35">
      <c r="I655" s="3"/>
      <c r="O655" s="3"/>
      <c r="U655" s="3"/>
      <c r="W655" s="3"/>
    </row>
    <row r="656" spans="9:23" x14ac:dyDescent="0.35">
      <c r="I656" s="3"/>
      <c r="O656" s="3"/>
      <c r="U656" s="3"/>
      <c r="W656" s="3"/>
    </row>
    <row r="657" spans="9:23" x14ac:dyDescent="0.35">
      <c r="I657" s="3"/>
      <c r="O657" s="3"/>
      <c r="U657" s="3"/>
      <c r="W657" s="3"/>
    </row>
    <row r="658" spans="9:23" x14ac:dyDescent="0.35">
      <c r="I658" s="3"/>
      <c r="O658" s="3"/>
      <c r="U658" s="3"/>
      <c r="W658" s="3"/>
    </row>
    <row r="659" spans="9:23" x14ac:dyDescent="0.35">
      <c r="I659" s="3"/>
      <c r="O659" s="3"/>
      <c r="U659" s="3"/>
      <c r="W659" s="3"/>
    </row>
    <row r="660" spans="9:23" x14ac:dyDescent="0.35">
      <c r="I660" s="3"/>
      <c r="O660" s="3"/>
      <c r="U660" s="3"/>
      <c r="W660" s="3"/>
    </row>
    <row r="661" spans="9:23" x14ac:dyDescent="0.35">
      <c r="I661" s="3"/>
      <c r="O661" s="3"/>
      <c r="U661" s="3"/>
      <c r="W661" s="3"/>
    </row>
    <row r="662" spans="9:23" x14ac:dyDescent="0.35">
      <c r="I662" s="3"/>
      <c r="O662" s="3"/>
      <c r="U662" s="3"/>
      <c r="W662" s="3"/>
    </row>
    <row r="663" spans="9:23" x14ac:dyDescent="0.35">
      <c r="I663" s="3"/>
      <c r="O663" s="3"/>
      <c r="U663" s="3"/>
      <c r="W663" s="3"/>
    </row>
    <row r="664" spans="9:23" x14ac:dyDescent="0.35">
      <c r="I664" s="3"/>
      <c r="O664" s="3"/>
      <c r="U664" s="3"/>
      <c r="W664" s="3"/>
    </row>
    <row r="665" spans="9:23" x14ac:dyDescent="0.35">
      <c r="I665" s="3"/>
      <c r="O665" s="3"/>
      <c r="U665" s="3"/>
      <c r="W665" s="3"/>
    </row>
    <row r="666" spans="9:23" x14ac:dyDescent="0.35">
      <c r="I666" s="3"/>
      <c r="O666" s="3"/>
      <c r="U666" s="3"/>
      <c r="W666" s="3"/>
    </row>
    <row r="667" spans="9:23" x14ac:dyDescent="0.35">
      <c r="I667" s="3"/>
      <c r="O667" s="3"/>
      <c r="U667" s="3"/>
      <c r="W667" s="3"/>
    </row>
    <row r="668" spans="9:23" x14ac:dyDescent="0.35">
      <c r="I668" s="3"/>
      <c r="O668" s="3"/>
      <c r="U668" s="3"/>
      <c r="W668" s="3"/>
    </row>
    <row r="669" spans="9:23" x14ac:dyDescent="0.35">
      <c r="I669" s="3"/>
      <c r="O669" s="3"/>
      <c r="U669" s="3"/>
      <c r="W669" s="3"/>
    </row>
    <row r="670" spans="9:23" x14ac:dyDescent="0.35">
      <c r="I670" s="3"/>
      <c r="O670" s="3"/>
      <c r="U670" s="3"/>
      <c r="W670" s="3"/>
    </row>
    <row r="671" spans="9:23" x14ac:dyDescent="0.35">
      <c r="I671" s="3"/>
      <c r="O671" s="3"/>
      <c r="U671" s="3"/>
      <c r="W671" s="3"/>
    </row>
    <row r="672" spans="9:23" x14ac:dyDescent="0.35">
      <c r="I672" s="3"/>
      <c r="O672" s="3"/>
      <c r="U672" s="3"/>
      <c r="W672" s="3"/>
    </row>
    <row r="673" spans="9:23" x14ac:dyDescent="0.35">
      <c r="I673" s="3"/>
      <c r="O673" s="3"/>
      <c r="U673" s="3"/>
      <c r="W673" s="3"/>
    </row>
    <row r="674" spans="9:23" x14ac:dyDescent="0.35">
      <c r="I674" s="3"/>
      <c r="O674" s="3"/>
      <c r="U674" s="3"/>
      <c r="W674" s="3"/>
    </row>
    <row r="675" spans="9:23" x14ac:dyDescent="0.35">
      <c r="I675" s="3"/>
      <c r="O675" s="3"/>
      <c r="U675" s="3"/>
      <c r="W675" s="3"/>
    </row>
    <row r="676" spans="9:23" x14ac:dyDescent="0.35">
      <c r="I676" s="3"/>
      <c r="O676" s="3"/>
      <c r="U676" s="3"/>
      <c r="W676" s="3"/>
    </row>
    <row r="677" spans="9:23" x14ac:dyDescent="0.35">
      <c r="I677" s="3"/>
      <c r="O677" s="3"/>
      <c r="U677" s="3"/>
      <c r="W677" s="3"/>
    </row>
    <row r="678" spans="9:23" x14ac:dyDescent="0.35">
      <c r="I678" s="3"/>
      <c r="O678" s="3"/>
      <c r="U678" s="3"/>
      <c r="W678" s="3"/>
    </row>
    <row r="679" spans="9:23" x14ac:dyDescent="0.35">
      <c r="I679" s="3"/>
      <c r="O679" s="3"/>
      <c r="U679" s="3"/>
      <c r="W679" s="3"/>
    </row>
    <row r="680" spans="9:23" x14ac:dyDescent="0.35">
      <c r="I680" s="3"/>
      <c r="O680" s="3"/>
      <c r="U680" s="3"/>
      <c r="W680" s="3"/>
    </row>
    <row r="681" spans="9:23" x14ac:dyDescent="0.35">
      <c r="I681" s="3"/>
      <c r="O681" s="3"/>
      <c r="U681" s="3"/>
      <c r="W681" s="3"/>
    </row>
    <row r="682" spans="9:23" x14ac:dyDescent="0.35">
      <c r="I682" s="3"/>
      <c r="O682" s="3"/>
      <c r="U682" s="3"/>
      <c r="W682" s="3"/>
    </row>
    <row r="683" spans="9:23" x14ac:dyDescent="0.35">
      <c r="I683" s="3"/>
      <c r="O683" s="3"/>
      <c r="U683" s="3"/>
      <c r="W683" s="3"/>
    </row>
    <row r="684" spans="9:23" x14ac:dyDescent="0.35">
      <c r="I684" s="3"/>
      <c r="O684" s="3"/>
      <c r="U684" s="3"/>
      <c r="W684" s="3"/>
    </row>
    <row r="685" spans="9:23" x14ac:dyDescent="0.35">
      <c r="I685" s="3"/>
      <c r="O685" s="3"/>
      <c r="U685" s="3"/>
      <c r="W685" s="3"/>
    </row>
    <row r="686" spans="9:23" x14ac:dyDescent="0.35">
      <c r="I686" s="3"/>
      <c r="O686" s="3"/>
      <c r="U686" s="3"/>
      <c r="W686" s="3"/>
    </row>
    <row r="687" spans="9:23" x14ac:dyDescent="0.35">
      <c r="I687" s="3"/>
      <c r="O687" s="3"/>
      <c r="U687" s="3"/>
      <c r="W687" s="3"/>
    </row>
    <row r="688" spans="9:23" x14ac:dyDescent="0.35">
      <c r="I688" s="3"/>
      <c r="O688" s="3"/>
      <c r="U688" s="3"/>
      <c r="W688" s="3"/>
    </row>
    <row r="689" spans="9:23" x14ac:dyDescent="0.35">
      <c r="I689" s="3"/>
      <c r="O689" s="3"/>
      <c r="U689" s="3"/>
      <c r="W689" s="3"/>
    </row>
    <row r="690" spans="9:23" x14ac:dyDescent="0.35">
      <c r="I690" s="3"/>
      <c r="O690" s="3"/>
      <c r="U690" s="3"/>
      <c r="W690" s="3"/>
    </row>
    <row r="691" spans="9:23" x14ac:dyDescent="0.35">
      <c r="I691" s="3"/>
      <c r="O691" s="3"/>
      <c r="U691" s="3"/>
      <c r="W691" s="3"/>
    </row>
    <row r="692" spans="9:23" x14ac:dyDescent="0.35">
      <c r="I692" s="3"/>
      <c r="O692" s="3"/>
      <c r="U692" s="3"/>
      <c r="W692" s="3"/>
    </row>
    <row r="693" spans="9:23" x14ac:dyDescent="0.35">
      <c r="I693" s="3"/>
      <c r="O693" s="3"/>
      <c r="U693" s="3"/>
      <c r="W693" s="3"/>
    </row>
    <row r="694" spans="9:23" x14ac:dyDescent="0.35">
      <c r="I694" s="3"/>
      <c r="O694" s="3"/>
      <c r="U694" s="3"/>
      <c r="W694" s="3"/>
    </row>
    <row r="695" spans="9:23" x14ac:dyDescent="0.35">
      <c r="I695" s="3"/>
      <c r="O695" s="3"/>
      <c r="U695" s="3"/>
      <c r="W695" s="3"/>
    </row>
    <row r="696" spans="9:23" x14ac:dyDescent="0.35">
      <c r="I696" s="3"/>
      <c r="O696" s="3"/>
      <c r="U696" s="3"/>
      <c r="W696" s="3"/>
    </row>
    <row r="697" spans="9:23" x14ac:dyDescent="0.35">
      <c r="I697" s="3"/>
      <c r="O697" s="3"/>
      <c r="U697" s="3"/>
      <c r="W697" s="3"/>
    </row>
    <row r="698" spans="9:23" x14ac:dyDescent="0.35">
      <c r="I698" s="3"/>
      <c r="O698" s="3"/>
      <c r="U698" s="3"/>
      <c r="W698" s="3"/>
    </row>
    <row r="699" spans="9:23" x14ac:dyDescent="0.35">
      <c r="I699" s="3"/>
      <c r="O699" s="3"/>
      <c r="U699" s="3"/>
      <c r="W699" s="3"/>
    </row>
    <row r="700" spans="9:23" x14ac:dyDescent="0.35">
      <c r="I700" s="3"/>
      <c r="O700" s="3"/>
      <c r="U700" s="3"/>
      <c r="W700" s="3"/>
    </row>
    <row r="701" spans="9:23" x14ac:dyDescent="0.35">
      <c r="I701" s="3"/>
      <c r="O701" s="3"/>
      <c r="U701" s="3"/>
      <c r="W701" s="3"/>
    </row>
    <row r="702" spans="9:23" x14ac:dyDescent="0.35">
      <c r="I702" s="3"/>
      <c r="O702" s="3"/>
      <c r="U702" s="3"/>
      <c r="W702" s="3"/>
    </row>
    <row r="703" spans="9:23" x14ac:dyDescent="0.35">
      <c r="I703" s="3"/>
      <c r="O703" s="3"/>
      <c r="U703" s="3"/>
      <c r="W703" s="3"/>
    </row>
    <row r="704" spans="9:23" x14ac:dyDescent="0.35">
      <c r="I704" s="3"/>
      <c r="O704" s="3"/>
      <c r="U704" s="3"/>
      <c r="W704" s="3"/>
    </row>
    <row r="705" spans="9:23" x14ac:dyDescent="0.35">
      <c r="I705" s="3"/>
      <c r="O705" s="3"/>
      <c r="U705" s="3"/>
      <c r="W705" s="3"/>
    </row>
    <row r="706" spans="9:23" x14ac:dyDescent="0.35">
      <c r="I706" s="3"/>
      <c r="O706" s="3"/>
      <c r="U706" s="3"/>
      <c r="W706" s="3"/>
    </row>
    <row r="707" spans="9:23" x14ac:dyDescent="0.35">
      <c r="I707" s="3"/>
      <c r="O707" s="3"/>
      <c r="U707" s="3"/>
      <c r="W707" s="3"/>
    </row>
    <row r="708" spans="9:23" x14ac:dyDescent="0.35">
      <c r="I708" s="3"/>
      <c r="O708" s="3"/>
      <c r="U708" s="3"/>
      <c r="W708" s="3"/>
    </row>
    <row r="709" spans="9:23" x14ac:dyDescent="0.35">
      <c r="I709" s="3"/>
      <c r="O709" s="3"/>
      <c r="U709" s="3"/>
      <c r="W709" s="3"/>
    </row>
    <row r="710" spans="9:23" x14ac:dyDescent="0.35">
      <c r="I710" s="3"/>
      <c r="O710" s="3"/>
      <c r="U710" s="3"/>
      <c r="W710" s="3"/>
    </row>
    <row r="711" spans="9:23" x14ac:dyDescent="0.35">
      <c r="I711" s="3"/>
      <c r="O711" s="3"/>
      <c r="U711" s="3"/>
      <c r="W711" s="3"/>
    </row>
    <row r="712" spans="9:23" x14ac:dyDescent="0.35">
      <c r="I712" s="3"/>
      <c r="O712" s="3"/>
      <c r="U712" s="3"/>
      <c r="W712" s="3"/>
    </row>
    <row r="713" spans="9:23" x14ac:dyDescent="0.35">
      <c r="I713" s="3"/>
      <c r="O713" s="3"/>
      <c r="U713" s="3"/>
      <c r="W713" s="3"/>
    </row>
    <row r="714" spans="9:23" x14ac:dyDescent="0.35">
      <c r="I714" s="3"/>
      <c r="O714" s="3"/>
      <c r="U714" s="3"/>
      <c r="W714" s="3"/>
    </row>
    <row r="715" spans="9:23" x14ac:dyDescent="0.35">
      <c r="I715" s="3"/>
      <c r="O715" s="3"/>
      <c r="U715" s="3"/>
      <c r="W715" s="3"/>
    </row>
    <row r="716" spans="9:23" x14ac:dyDescent="0.35">
      <c r="I716" s="3"/>
      <c r="O716" s="3"/>
      <c r="U716" s="3"/>
      <c r="W716" s="3"/>
    </row>
    <row r="717" spans="9:23" x14ac:dyDescent="0.35">
      <c r="I717" s="3"/>
      <c r="O717" s="3"/>
      <c r="U717" s="3"/>
      <c r="W717" s="3"/>
    </row>
    <row r="718" spans="9:23" x14ac:dyDescent="0.35">
      <c r="I718" s="3"/>
      <c r="O718" s="3"/>
      <c r="U718" s="3"/>
      <c r="W718" s="3"/>
    </row>
    <row r="719" spans="9:23" x14ac:dyDescent="0.35">
      <c r="I719" s="3"/>
      <c r="O719" s="3"/>
      <c r="U719" s="3"/>
      <c r="W719" s="3"/>
    </row>
    <row r="720" spans="9:23" x14ac:dyDescent="0.35">
      <c r="I720" s="3"/>
      <c r="O720" s="3"/>
      <c r="U720" s="3"/>
      <c r="W720" s="3"/>
    </row>
    <row r="721" spans="9:23" x14ac:dyDescent="0.35">
      <c r="I721" s="3"/>
      <c r="O721" s="3"/>
      <c r="U721" s="3"/>
      <c r="W721" s="3"/>
    </row>
    <row r="722" spans="9:23" x14ac:dyDescent="0.35">
      <c r="I722" s="3"/>
      <c r="O722" s="3"/>
      <c r="U722" s="3"/>
      <c r="W722" s="3"/>
    </row>
    <row r="723" spans="9:23" x14ac:dyDescent="0.35">
      <c r="I723" s="3"/>
      <c r="O723" s="3"/>
      <c r="U723" s="3"/>
      <c r="W723" s="3"/>
    </row>
    <row r="724" spans="9:23" x14ac:dyDescent="0.35">
      <c r="I724" s="3"/>
      <c r="O724" s="3"/>
      <c r="U724" s="3"/>
      <c r="W724" s="3"/>
    </row>
    <row r="725" spans="9:23" x14ac:dyDescent="0.35">
      <c r="I725" s="3"/>
      <c r="O725" s="3"/>
      <c r="U725" s="3"/>
      <c r="W725" s="3"/>
    </row>
    <row r="726" spans="9:23" x14ac:dyDescent="0.35">
      <c r="I726" s="3"/>
      <c r="O726" s="3"/>
      <c r="U726" s="3"/>
      <c r="W726" s="3"/>
    </row>
    <row r="727" spans="9:23" x14ac:dyDescent="0.35">
      <c r="I727" s="3"/>
      <c r="O727" s="3"/>
      <c r="U727" s="3"/>
      <c r="W727" s="3"/>
    </row>
    <row r="728" spans="9:23" x14ac:dyDescent="0.35">
      <c r="I728" s="3"/>
      <c r="O728" s="3"/>
      <c r="U728" s="3"/>
      <c r="W728" s="3"/>
    </row>
    <row r="729" spans="9:23" x14ac:dyDescent="0.35">
      <c r="I729" s="3"/>
      <c r="O729" s="3"/>
      <c r="U729" s="3"/>
      <c r="W729" s="3"/>
    </row>
    <row r="730" spans="9:23" x14ac:dyDescent="0.35">
      <c r="I730" s="3"/>
      <c r="O730" s="3"/>
      <c r="U730" s="3"/>
      <c r="W730" s="3"/>
    </row>
    <row r="731" spans="9:23" x14ac:dyDescent="0.35">
      <c r="I731" s="3"/>
      <c r="O731" s="3"/>
      <c r="U731" s="3"/>
      <c r="W731" s="3"/>
    </row>
    <row r="732" spans="9:23" x14ac:dyDescent="0.35">
      <c r="I732" s="3"/>
      <c r="O732" s="3"/>
      <c r="U732" s="3"/>
      <c r="W732" s="3"/>
    </row>
    <row r="733" spans="9:23" x14ac:dyDescent="0.35">
      <c r="I733" s="3"/>
      <c r="O733" s="3"/>
      <c r="U733" s="3"/>
      <c r="W733" s="3"/>
    </row>
    <row r="734" spans="9:23" x14ac:dyDescent="0.35">
      <c r="I734" s="3"/>
      <c r="O734" s="3"/>
      <c r="U734" s="3"/>
      <c r="W734" s="3"/>
    </row>
    <row r="735" spans="9:23" x14ac:dyDescent="0.35">
      <c r="I735" s="3"/>
      <c r="O735" s="3"/>
      <c r="U735" s="3"/>
      <c r="W735" s="3"/>
    </row>
    <row r="736" spans="9:23" x14ac:dyDescent="0.35">
      <c r="I736" s="3"/>
      <c r="O736" s="3"/>
      <c r="U736" s="3"/>
      <c r="W736" s="3"/>
    </row>
    <row r="737" spans="9:23" x14ac:dyDescent="0.35">
      <c r="I737" s="3"/>
      <c r="O737" s="3"/>
      <c r="U737" s="3"/>
      <c r="W737" s="3"/>
    </row>
    <row r="738" spans="9:23" x14ac:dyDescent="0.35">
      <c r="I738" s="3"/>
      <c r="O738" s="3"/>
      <c r="U738" s="3"/>
      <c r="W738" s="3"/>
    </row>
    <row r="739" spans="9:23" x14ac:dyDescent="0.35">
      <c r="I739" s="3"/>
      <c r="O739" s="3"/>
      <c r="U739" s="3"/>
      <c r="W739" s="3"/>
    </row>
    <row r="740" spans="9:23" x14ac:dyDescent="0.35">
      <c r="I740" s="3"/>
      <c r="O740" s="3"/>
      <c r="U740" s="3"/>
      <c r="W740" s="3"/>
    </row>
    <row r="741" spans="9:23" x14ac:dyDescent="0.35">
      <c r="I741" s="3"/>
      <c r="O741" s="3"/>
      <c r="U741" s="3"/>
      <c r="W741" s="3"/>
    </row>
    <row r="742" spans="9:23" x14ac:dyDescent="0.35">
      <c r="I742" s="3"/>
      <c r="O742" s="3"/>
      <c r="U742" s="3"/>
      <c r="W742" s="3"/>
    </row>
    <row r="743" spans="9:23" x14ac:dyDescent="0.35">
      <c r="I743" s="3"/>
      <c r="O743" s="3"/>
      <c r="U743" s="3"/>
      <c r="W743" s="3"/>
    </row>
    <row r="744" spans="9:23" x14ac:dyDescent="0.35">
      <c r="I744" s="3"/>
      <c r="O744" s="3"/>
      <c r="U744" s="3"/>
      <c r="W744" s="3"/>
    </row>
    <row r="745" spans="9:23" x14ac:dyDescent="0.35">
      <c r="I745" s="3"/>
      <c r="O745" s="3"/>
      <c r="U745" s="3"/>
      <c r="W745" s="3"/>
    </row>
    <row r="746" spans="9:23" x14ac:dyDescent="0.35">
      <c r="I746" s="3"/>
      <c r="O746" s="3"/>
      <c r="U746" s="3"/>
      <c r="W746" s="3"/>
    </row>
    <row r="747" spans="9:23" x14ac:dyDescent="0.35">
      <c r="I747" s="3"/>
      <c r="O747" s="3"/>
      <c r="U747" s="3"/>
      <c r="W747" s="3"/>
    </row>
    <row r="748" spans="9:23" x14ac:dyDescent="0.35">
      <c r="I748" s="3"/>
      <c r="O748" s="3"/>
      <c r="U748" s="3"/>
      <c r="W748" s="3"/>
    </row>
    <row r="749" spans="9:23" x14ac:dyDescent="0.35">
      <c r="I749" s="3"/>
      <c r="O749" s="3"/>
      <c r="U749" s="3"/>
      <c r="W749" s="3"/>
    </row>
    <row r="750" spans="9:23" x14ac:dyDescent="0.35">
      <c r="I750" s="3"/>
      <c r="O750" s="3"/>
      <c r="U750" s="3"/>
      <c r="W750" s="3"/>
    </row>
    <row r="751" spans="9:23" x14ac:dyDescent="0.35">
      <c r="I751" s="3"/>
      <c r="O751" s="3"/>
      <c r="U751" s="3"/>
      <c r="W751" s="3"/>
    </row>
    <row r="752" spans="9:23" x14ac:dyDescent="0.35">
      <c r="I752" s="3"/>
      <c r="O752" s="3"/>
      <c r="U752" s="3"/>
      <c r="W752" s="3"/>
    </row>
    <row r="753" spans="9:23" x14ac:dyDescent="0.35">
      <c r="I753" s="3"/>
      <c r="O753" s="3"/>
      <c r="U753" s="3"/>
      <c r="W753" s="3"/>
    </row>
    <row r="754" spans="9:23" x14ac:dyDescent="0.35">
      <c r="I754" s="3"/>
      <c r="O754" s="3"/>
      <c r="U754" s="3"/>
      <c r="W754" s="3"/>
    </row>
    <row r="755" spans="9:23" x14ac:dyDescent="0.35">
      <c r="I755" s="3"/>
      <c r="O755" s="3"/>
      <c r="U755" s="3"/>
      <c r="W755" s="3"/>
    </row>
    <row r="756" spans="9:23" x14ac:dyDescent="0.35">
      <c r="I756" s="3"/>
      <c r="O756" s="3"/>
      <c r="U756" s="3"/>
      <c r="W756" s="3"/>
    </row>
    <row r="757" spans="9:23" x14ac:dyDescent="0.35">
      <c r="I757" s="3"/>
      <c r="O757" s="3"/>
      <c r="U757" s="3"/>
      <c r="W757" s="3"/>
    </row>
    <row r="758" spans="9:23" x14ac:dyDescent="0.35">
      <c r="I758" s="3"/>
      <c r="O758" s="3"/>
      <c r="U758" s="3"/>
      <c r="W758" s="3"/>
    </row>
    <row r="759" spans="9:23" x14ac:dyDescent="0.35">
      <c r="I759" s="3"/>
      <c r="O759" s="3"/>
      <c r="U759" s="3"/>
      <c r="W759" s="3"/>
    </row>
    <row r="760" spans="9:23" x14ac:dyDescent="0.35">
      <c r="I760" s="3"/>
      <c r="O760" s="3"/>
      <c r="U760" s="3"/>
      <c r="W760" s="3"/>
    </row>
    <row r="761" spans="9:23" x14ac:dyDescent="0.35">
      <c r="I761" s="3"/>
      <c r="O761" s="3"/>
      <c r="U761" s="3"/>
      <c r="W761" s="3"/>
    </row>
    <row r="762" spans="9:23" x14ac:dyDescent="0.35">
      <c r="I762" s="3"/>
      <c r="O762" s="3"/>
      <c r="U762" s="3"/>
      <c r="W762" s="3"/>
    </row>
    <row r="763" spans="9:23" x14ac:dyDescent="0.35">
      <c r="I763" s="3"/>
      <c r="O763" s="3"/>
      <c r="U763" s="3"/>
      <c r="W763" s="3"/>
    </row>
    <row r="764" spans="9:23" x14ac:dyDescent="0.35">
      <c r="I764" s="3"/>
      <c r="O764" s="3"/>
      <c r="U764" s="3"/>
      <c r="W764" s="3"/>
    </row>
    <row r="765" spans="9:23" x14ac:dyDescent="0.35">
      <c r="I765" s="3"/>
      <c r="O765" s="3"/>
      <c r="U765" s="3"/>
      <c r="W765" s="3"/>
    </row>
    <row r="766" spans="9:23" x14ac:dyDescent="0.35">
      <c r="I766" s="3"/>
      <c r="O766" s="3"/>
      <c r="U766" s="3"/>
      <c r="W766" s="3"/>
    </row>
    <row r="767" spans="9:23" x14ac:dyDescent="0.35">
      <c r="I767" s="3"/>
      <c r="O767" s="3"/>
      <c r="U767" s="3"/>
      <c r="W767" s="3"/>
    </row>
    <row r="768" spans="9:23" x14ac:dyDescent="0.35">
      <c r="I768" s="3"/>
      <c r="O768" s="3"/>
      <c r="U768" s="3"/>
      <c r="W768" s="3"/>
    </row>
    <row r="769" spans="9:23" x14ac:dyDescent="0.35">
      <c r="I769" s="3"/>
      <c r="O769" s="3"/>
      <c r="U769" s="3"/>
      <c r="W769" s="3"/>
    </row>
    <row r="770" spans="9:23" x14ac:dyDescent="0.35">
      <c r="I770" s="3"/>
      <c r="O770" s="3"/>
      <c r="U770" s="3"/>
      <c r="W770" s="3"/>
    </row>
    <row r="771" spans="9:23" x14ac:dyDescent="0.35">
      <c r="I771" s="3"/>
      <c r="O771" s="3"/>
      <c r="U771" s="3"/>
      <c r="W771" s="3"/>
    </row>
    <row r="772" spans="9:23" x14ac:dyDescent="0.35">
      <c r="I772" s="3"/>
      <c r="O772" s="3"/>
      <c r="U772" s="3"/>
      <c r="W772" s="3"/>
    </row>
    <row r="773" spans="9:23" x14ac:dyDescent="0.35">
      <c r="I773" s="3"/>
      <c r="O773" s="3"/>
      <c r="U773" s="3"/>
      <c r="W773" s="3"/>
    </row>
    <row r="774" spans="9:23" x14ac:dyDescent="0.35">
      <c r="I774" s="3"/>
      <c r="O774" s="3"/>
      <c r="U774" s="3"/>
      <c r="W774" s="3"/>
    </row>
    <row r="775" spans="9:23" x14ac:dyDescent="0.35">
      <c r="I775" s="3"/>
      <c r="O775" s="3"/>
      <c r="U775" s="3"/>
      <c r="W775" s="3"/>
    </row>
    <row r="776" spans="9:23" x14ac:dyDescent="0.35">
      <c r="I776" s="3"/>
      <c r="O776" s="3"/>
      <c r="U776" s="3"/>
      <c r="W776" s="3"/>
    </row>
    <row r="777" spans="9:23" x14ac:dyDescent="0.35">
      <c r="I777" s="3"/>
      <c r="O777" s="3"/>
      <c r="U777" s="3"/>
      <c r="W777" s="3"/>
    </row>
    <row r="778" spans="9:23" x14ac:dyDescent="0.35">
      <c r="I778" s="3"/>
      <c r="O778" s="3"/>
      <c r="U778" s="3"/>
      <c r="W778" s="3"/>
    </row>
    <row r="779" spans="9:23" x14ac:dyDescent="0.35">
      <c r="I779" s="3"/>
      <c r="O779" s="3"/>
      <c r="U779" s="3"/>
      <c r="W779" s="3"/>
    </row>
    <row r="780" spans="9:23" x14ac:dyDescent="0.35">
      <c r="I780" s="3"/>
      <c r="O780" s="3"/>
      <c r="U780" s="3"/>
      <c r="W780" s="3"/>
    </row>
    <row r="781" spans="9:23" x14ac:dyDescent="0.35">
      <c r="I781" s="3"/>
      <c r="O781" s="3"/>
      <c r="U781" s="3"/>
      <c r="W781" s="3"/>
    </row>
    <row r="782" spans="9:23" x14ac:dyDescent="0.35">
      <c r="I782" s="3"/>
      <c r="O782" s="3"/>
      <c r="U782" s="3"/>
      <c r="W782" s="3"/>
    </row>
    <row r="783" spans="9:23" x14ac:dyDescent="0.35">
      <c r="I783" s="3"/>
      <c r="O783" s="3"/>
      <c r="U783" s="3"/>
      <c r="W783" s="3"/>
    </row>
    <row r="784" spans="9:23" x14ac:dyDescent="0.35">
      <c r="I784" s="3"/>
      <c r="O784" s="3"/>
      <c r="U784" s="3"/>
      <c r="W784" s="3"/>
    </row>
    <row r="785" spans="9:23" x14ac:dyDescent="0.35">
      <c r="I785" s="3"/>
      <c r="O785" s="3"/>
      <c r="U785" s="3"/>
      <c r="W785" s="3"/>
    </row>
    <row r="786" spans="9:23" x14ac:dyDescent="0.35">
      <c r="I786" s="3"/>
      <c r="O786" s="3"/>
      <c r="U786" s="3"/>
      <c r="W786" s="3"/>
    </row>
    <row r="787" spans="9:23" x14ac:dyDescent="0.35">
      <c r="I787" s="3"/>
      <c r="O787" s="3"/>
      <c r="U787" s="3"/>
      <c r="W787" s="3"/>
    </row>
    <row r="788" spans="9:23" x14ac:dyDescent="0.35">
      <c r="I788" s="3"/>
      <c r="O788" s="3"/>
      <c r="U788" s="3"/>
      <c r="W788" s="3"/>
    </row>
    <row r="789" spans="9:23" x14ac:dyDescent="0.35">
      <c r="I789" s="3"/>
      <c r="O789" s="3"/>
      <c r="U789" s="3"/>
      <c r="W789" s="3"/>
    </row>
    <row r="790" spans="9:23" x14ac:dyDescent="0.35">
      <c r="I790" s="3"/>
      <c r="O790" s="3"/>
      <c r="U790" s="3"/>
      <c r="W790" s="3"/>
    </row>
    <row r="791" spans="9:23" x14ac:dyDescent="0.35">
      <c r="I791" s="3"/>
      <c r="O791" s="3"/>
      <c r="U791" s="3"/>
      <c r="W791" s="3"/>
    </row>
    <row r="792" spans="9:23" x14ac:dyDescent="0.35">
      <c r="I792" s="3"/>
      <c r="O792" s="3"/>
      <c r="U792" s="3"/>
      <c r="W792" s="3"/>
    </row>
    <row r="793" spans="9:23" x14ac:dyDescent="0.35">
      <c r="I793" s="3"/>
      <c r="O793" s="3"/>
      <c r="U793" s="3"/>
      <c r="W793" s="3"/>
    </row>
    <row r="794" spans="9:23" x14ac:dyDescent="0.35">
      <c r="I794" s="3"/>
      <c r="O794" s="3"/>
      <c r="U794" s="3"/>
      <c r="W794" s="3"/>
    </row>
    <row r="795" spans="9:23" x14ac:dyDescent="0.35">
      <c r="I795" s="3"/>
      <c r="O795" s="3"/>
      <c r="U795" s="3"/>
      <c r="W795" s="3"/>
    </row>
    <row r="796" spans="9:23" x14ac:dyDescent="0.35">
      <c r="I796" s="3"/>
      <c r="O796" s="3"/>
      <c r="U796" s="3"/>
      <c r="W796" s="3"/>
    </row>
    <row r="797" spans="9:23" x14ac:dyDescent="0.35">
      <c r="I797" s="3"/>
      <c r="O797" s="3"/>
      <c r="U797" s="3"/>
      <c r="W797" s="3"/>
    </row>
    <row r="798" spans="9:23" x14ac:dyDescent="0.35">
      <c r="I798" s="3"/>
      <c r="O798" s="3"/>
      <c r="U798" s="3"/>
      <c r="W798" s="3"/>
    </row>
    <row r="799" spans="9:23" x14ac:dyDescent="0.35">
      <c r="I799" s="3"/>
      <c r="O799" s="3"/>
      <c r="U799" s="3"/>
      <c r="W799" s="3"/>
    </row>
    <row r="800" spans="9:23" x14ac:dyDescent="0.35">
      <c r="I800" s="3"/>
      <c r="O800" s="3"/>
      <c r="U800" s="3"/>
      <c r="W800" s="3"/>
    </row>
    <row r="801" spans="9:23" x14ac:dyDescent="0.35">
      <c r="I801" s="3"/>
      <c r="O801" s="3"/>
      <c r="U801" s="3"/>
      <c r="W801" s="3"/>
    </row>
    <row r="802" spans="9:23" x14ac:dyDescent="0.35">
      <c r="I802" s="3"/>
      <c r="O802" s="3"/>
      <c r="U802" s="3"/>
      <c r="W802" s="3"/>
    </row>
    <row r="803" spans="9:23" x14ac:dyDescent="0.35">
      <c r="I803" s="3"/>
      <c r="O803" s="3"/>
      <c r="U803" s="3"/>
      <c r="W803" s="3"/>
    </row>
    <row r="804" spans="9:23" x14ac:dyDescent="0.35">
      <c r="I804" s="3"/>
      <c r="O804" s="3"/>
      <c r="U804" s="3"/>
      <c r="W804" s="3"/>
    </row>
    <row r="805" spans="9:23" x14ac:dyDescent="0.35">
      <c r="I805" s="3"/>
      <c r="O805" s="3"/>
      <c r="U805" s="3"/>
      <c r="W805" s="3"/>
    </row>
    <row r="806" spans="9:23" x14ac:dyDescent="0.35">
      <c r="I806" s="3"/>
      <c r="O806" s="3"/>
      <c r="U806" s="3"/>
      <c r="W806" s="3"/>
    </row>
    <row r="807" spans="9:23" x14ac:dyDescent="0.35">
      <c r="I807" s="3"/>
      <c r="O807" s="3"/>
      <c r="U807" s="3"/>
      <c r="W807" s="3"/>
    </row>
    <row r="808" spans="9:23" x14ac:dyDescent="0.35">
      <c r="I808" s="3"/>
      <c r="O808" s="3"/>
      <c r="U808" s="3"/>
      <c r="W808" s="3"/>
    </row>
    <row r="809" spans="9:23" x14ac:dyDescent="0.35">
      <c r="I809" s="3"/>
      <c r="O809" s="3"/>
      <c r="U809" s="3"/>
      <c r="W809" s="3"/>
    </row>
    <row r="810" spans="9:23" x14ac:dyDescent="0.35">
      <c r="I810" s="3"/>
      <c r="O810" s="3"/>
      <c r="U810" s="3"/>
      <c r="W810" s="3"/>
    </row>
    <row r="811" spans="9:23" x14ac:dyDescent="0.35">
      <c r="I811" s="3"/>
      <c r="O811" s="3"/>
      <c r="U811" s="3"/>
      <c r="W811" s="3"/>
    </row>
    <row r="812" spans="9:23" x14ac:dyDescent="0.35">
      <c r="I812" s="3"/>
      <c r="O812" s="3"/>
      <c r="U812" s="3"/>
      <c r="W812" s="3"/>
    </row>
    <row r="813" spans="9:23" x14ac:dyDescent="0.35">
      <c r="I813" s="3"/>
      <c r="O813" s="3"/>
      <c r="U813" s="3"/>
      <c r="W813" s="3"/>
    </row>
    <row r="814" spans="9:23" x14ac:dyDescent="0.35">
      <c r="I814" s="3"/>
      <c r="O814" s="3"/>
      <c r="U814" s="3"/>
      <c r="W814" s="3"/>
    </row>
    <row r="815" spans="9:23" x14ac:dyDescent="0.35">
      <c r="I815" s="3"/>
      <c r="O815" s="3"/>
      <c r="U815" s="3"/>
      <c r="W815" s="3"/>
    </row>
    <row r="816" spans="9:23" x14ac:dyDescent="0.35">
      <c r="I816" s="3"/>
      <c r="O816" s="3"/>
      <c r="U816" s="3"/>
      <c r="W816" s="3"/>
    </row>
    <row r="817" spans="9:23" x14ac:dyDescent="0.35">
      <c r="I817" s="3"/>
      <c r="O817" s="3"/>
      <c r="U817" s="3"/>
      <c r="W817" s="3"/>
    </row>
    <row r="818" spans="9:23" x14ac:dyDescent="0.35">
      <c r="I818" s="3"/>
      <c r="O818" s="3"/>
      <c r="U818" s="3"/>
      <c r="W818" s="3"/>
    </row>
    <row r="819" spans="9:23" x14ac:dyDescent="0.35">
      <c r="I819" s="3"/>
      <c r="O819" s="3"/>
      <c r="U819" s="3"/>
      <c r="W819" s="3"/>
    </row>
    <row r="820" spans="9:23" x14ac:dyDescent="0.35">
      <c r="I820" s="3"/>
      <c r="O820" s="3"/>
      <c r="U820" s="3"/>
      <c r="W820" s="3"/>
    </row>
    <row r="821" spans="9:23" x14ac:dyDescent="0.35">
      <c r="I821" s="3"/>
      <c r="O821" s="3"/>
      <c r="U821" s="3"/>
      <c r="W821" s="3"/>
    </row>
    <row r="822" spans="9:23" x14ac:dyDescent="0.35">
      <c r="I822" s="3"/>
      <c r="O822" s="3"/>
      <c r="U822" s="3"/>
      <c r="W822" s="3"/>
    </row>
    <row r="823" spans="9:23" x14ac:dyDescent="0.35">
      <c r="I823" s="3"/>
      <c r="O823" s="3"/>
      <c r="U823" s="3"/>
      <c r="W823" s="3"/>
    </row>
    <row r="824" spans="9:23" x14ac:dyDescent="0.35">
      <c r="I824" s="3"/>
      <c r="O824" s="3"/>
      <c r="U824" s="3"/>
      <c r="W824" s="3"/>
    </row>
    <row r="825" spans="9:23" x14ac:dyDescent="0.35">
      <c r="I825" s="3"/>
      <c r="O825" s="3"/>
      <c r="U825" s="3"/>
      <c r="W825" s="3"/>
    </row>
    <row r="826" spans="9:23" x14ac:dyDescent="0.35">
      <c r="I826" s="3"/>
      <c r="O826" s="3"/>
      <c r="U826" s="3"/>
      <c r="W826" s="3"/>
    </row>
    <row r="827" spans="9:23" x14ac:dyDescent="0.35">
      <c r="I827" s="3"/>
      <c r="O827" s="3"/>
      <c r="U827" s="3"/>
      <c r="W827" s="3"/>
    </row>
    <row r="828" spans="9:23" x14ac:dyDescent="0.35">
      <c r="I828" s="3"/>
      <c r="O828" s="3"/>
      <c r="U828" s="3"/>
      <c r="W828" s="3"/>
    </row>
    <row r="829" spans="9:23" x14ac:dyDescent="0.35">
      <c r="I829" s="3"/>
      <c r="O829" s="3"/>
      <c r="U829" s="3"/>
      <c r="W829" s="3"/>
    </row>
    <row r="830" spans="9:23" x14ac:dyDescent="0.35">
      <c r="I830" s="3"/>
      <c r="O830" s="3"/>
      <c r="U830" s="3"/>
      <c r="W830" s="3"/>
    </row>
    <row r="831" spans="9:23" x14ac:dyDescent="0.35">
      <c r="I831" s="3"/>
      <c r="O831" s="3"/>
      <c r="U831" s="3"/>
      <c r="W831" s="3"/>
    </row>
    <row r="832" spans="9:23" x14ac:dyDescent="0.35">
      <c r="I832" s="3"/>
      <c r="O832" s="3"/>
      <c r="U832" s="3"/>
      <c r="W832" s="3"/>
    </row>
    <row r="833" spans="9:23" x14ac:dyDescent="0.35">
      <c r="I833" s="3"/>
      <c r="O833" s="3"/>
      <c r="U833" s="3"/>
      <c r="W833" s="3"/>
    </row>
    <row r="834" spans="9:23" x14ac:dyDescent="0.35">
      <c r="I834" s="3"/>
      <c r="O834" s="3"/>
      <c r="U834" s="3"/>
      <c r="W834" s="3"/>
    </row>
    <row r="835" spans="9:23" x14ac:dyDescent="0.35">
      <c r="I835" s="3"/>
      <c r="O835" s="3"/>
      <c r="U835" s="3"/>
      <c r="W835" s="3"/>
    </row>
    <row r="836" spans="9:23" x14ac:dyDescent="0.35">
      <c r="I836" s="3"/>
      <c r="O836" s="3"/>
      <c r="U836" s="3"/>
      <c r="W836" s="3"/>
    </row>
    <row r="837" spans="9:23" x14ac:dyDescent="0.35">
      <c r="I837" s="3"/>
      <c r="O837" s="3"/>
      <c r="U837" s="3"/>
      <c r="W837" s="3"/>
    </row>
    <row r="838" spans="9:23" x14ac:dyDescent="0.35">
      <c r="I838" s="3"/>
      <c r="O838" s="3"/>
      <c r="U838" s="3"/>
      <c r="W838" s="3"/>
    </row>
  </sheetData>
  <conditionalFormatting sqref="C541:C545">
    <cfRule type="top10" dxfId="2" priority="11" rank="1"/>
  </conditionalFormatting>
  <conditionalFormatting sqref="C540">
    <cfRule type="top10" dxfId="1" priority="3" rank="1"/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Γιάννης Μάντσιος</dc:creator>
  <cp:lastModifiedBy>Pavlos Konstantinidis</cp:lastModifiedBy>
  <dcterms:created xsi:type="dcterms:W3CDTF">2020-06-24T18:30:36Z</dcterms:created>
  <dcterms:modified xsi:type="dcterms:W3CDTF">2022-09-05T07:45:42Z</dcterms:modified>
</cp:coreProperties>
</file>