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LM-OSL\"/>
    </mc:Choice>
  </mc:AlternateContent>
  <xr:revisionPtr revIDLastSave="0" documentId="8_{68B84AD5-7B37-491A-9B4B-9C37D2A2BC03}" xr6:coauthVersionLast="47" xr6:coauthVersionMax="47" xr10:uidLastSave="{00000000-0000-0000-0000-000000000000}"/>
  <bookViews>
    <workbookView xWindow="-120" yWindow="-120" windowWidth="24240" windowHeight="13140" tabRatio="721" xr2:uid="{00000000-000D-0000-FFFF-FFFF00000000}"/>
  </bookViews>
  <sheets>
    <sheet name="LM-OSL" sheetId="31" r:id="rId1"/>
  </sheets>
  <functionGroups builtInGroupCount="19"/>
  <definedNames>
    <definedName name="solver_adj" localSheetId="0" hidden="1">'LM-OSL'!$F$18:$I$20,'LM-OSL'!$K$20,'LM-OSL'!$G$22</definedName>
    <definedName name="solver_cvg" localSheetId="0" hidden="1">0.001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'LM-OSL'!$H$18:$H$20</definedName>
    <definedName name="solver_lhs1" localSheetId="0" hidden="1">'LM-OSL'!$F$18:$H$20</definedName>
    <definedName name="solver_lhs2" localSheetId="0" hidden="1">'LM-OSL'!$F$20:$H$20</definedName>
    <definedName name="solver_lhs3" localSheetId="0" hidden="1">'LM-OSL'!$F$20:$I$20</definedName>
    <definedName name="solver_lhs4" localSheetId="0" hidden="1">'LM-OSL'!$G$18:$G$20</definedName>
    <definedName name="solver_lhs5" localSheetId="0" hidden="1">'LM-OSL'!$G$19</definedName>
    <definedName name="solver_lhs6" localSheetId="0" hidden="1">'LM-OSL'!$G$20</definedName>
    <definedName name="solver_lhs7" localSheetId="0" hidden="1">'LM-OSL'!$H$18:$H$20</definedName>
    <definedName name="solver_lhs8" localSheetId="0" hidden="1">'LM-OSL'!$H$19</definedName>
    <definedName name="solver_lhs9" localSheetId="0" hidden="1">'LM-OSL'!$H$20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'LM-OSL'!$F$27</definedName>
    <definedName name="solver_pre" localSheetId="0" hidden="1">0.00001</definedName>
    <definedName name="solver_rbv" localSheetId="0" hidden="1">1</definedName>
    <definedName name="solver_rel0" localSheetId="0" hidden="1">3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1</definedName>
    <definedName name="solver_rhs0" localSheetId="0" hidden="1">0.00001</definedName>
    <definedName name="solver_rhs1" localSheetId="0" hidden="1">0.000001</definedName>
    <definedName name="solver_rhs2" localSheetId="0" hidden="1">0.999</definedName>
    <definedName name="solver_rhs3" localSheetId="0" hidden="1">0.1</definedName>
    <definedName name="solver_rhs4" localSheetId="0" hidden="1">0.00001</definedName>
    <definedName name="solver_rhs5" localSheetId="0" hidden="1">0.8</definedName>
    <definedName name="solver_rhs6" localSheetId="0" hidden="1">0.8</definedName>
    <definedName name="solver_rhs7" localSheetId="0" hidden="1">0.00001</definedName>
    <definedName name="solver_rhs8" localSheetId="0" hidden="1">0.8</definedName>
    <definedName name="solver_rhs9" localSheetId="0" hidden="1">0.8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6" i="31" l="1"/>
  <c r="N26" i="31"/>
  <c r="O26" i="31"/>
  <c r="P26" i="31"/>
  <c r="L26" i="31"/>
  <c r="W531" i="31"/>
  <c r="K531" i="31"/>
  <c r="J531" i="31"/>
  <c r="I531" i="31"/>
  <c r="H531" i="31"/>
  <c r="G531" i="31"/>
  <c r="F531" i="31"/>
  <c r="W530" i="31"/>
  <c r="K530" i="31"/>
  <c r="J530" i="31"/>
  <c r="I530" i="31"/>
  <c r="H530" i="31"/>
  <c r="G530" i="31"/>
  <c r="F530" i="31"/>
  <c r="W529" i="31"/>
  <c r="K529" i="31"/>
  <c r="J529" i="31"/>
  <c r="I529" i="31"/>
  <c r="H529" i="31"/>
  <c r="G529" i="31"/>
  <c r="F529" i="31"/>
  <c r="W528" i="31"/>
  <c r="K528" i="31"/>
  <c r="J528" i="31"/>
  <c r="I528" i="31"/>
  <c r="H528" i="31"/>
  <c r="G528" i="31"/>
  <c r="F528" i="31"/>
  <c r="W527" i="31"/>
  <c r="K527" i="31"/>
  <c r="J527" i="31"/>
  <c r="I527" i="31"/>
  <c r="H527" i="31"/>
  <c r="G527" i="31"/>
  <c r="F527" i="31"/>
  <c r="W526" i="31"/>
  <c r="K526" i="31"/>
  <c r="J526" i="31"/>
  <c r="I526" i="31"/>
  <c r="H526" i="31"/>
  <c r="G526" i="31"/>
  <c r="F526" i="31"/>
  <c r="W525" i="31"/>
  <c r="K525" i="31"/>
  <c r="J525" i="31"/>
  <c r="I525" i="31"/>
  <c r="H525" i="31"/>
  <c r="G525" i="31"/>
  <c r="F525" i="31"/>
  <c r="W524" i="31"/>
  <c r="K524" i="31"/>
  <c r="J524" i="31"/>
  <c r="I524" i="31"/>
  <c r="H524" i="31"/>
  <c r="G524" i="31"/>
  <c r="F524" i="31"/>
  <c r="W523" i="31"/>
  <c r="K523" i="31"/>
  <c r="J523" i="31"/>
  <c r="I523" i="31"/>
  <c r="H523" i="31"/>
  <c r="G523" i="31"/>
  <c r="F523" i="31"/>
  <c r="W522" i="31"/>
  <c r="K522" i="31"/>
  <c r="J522" i="31"/>
  <c r="I522" i="31"/>
  <c r="H522" i="31"/>
  <c r="G522" i="31"/>
  <c r="F522" i="31"/>
  <c r="W521" i="31"/>
  <c r="K521" i="31"/>
  <c r="J521" i="31"/>
  <c r="I521" i="31"/>
  <c r="H521" i="31"/>
  <c r="G521" i="31"/>
  <c r="F521" i="31"/>
  <c r="W520" i="31"/>
  <c r="K520" i="31"/>
  <c r="J520" i="31"/>
  <c r="I520" i="31"/>
  <c r="H520" i="31"/>
  <c r="G520" i="31"/>
  <c r="F520" i="31"/>
  <c r="W519" i="31"/>
  <c r="K519" i="31"/>
  <c r="J519" i="31"/>
  <c r="I519" i="31"/>
  <c r="H519" i="31"/>
  <c r="G519" i="31"/>
  <c r="F519" i="31"/>
  <c r="W518" i="31"/>
  <c r="K518" i="31"/>
  <c r="J518" i="31"/>
  <c r="I518" i="31"/>
  <c r="H518" i="31"/>
  <c r="G518" i="31"/>
  <c r="F518" i="31"/>
  <c r="W517" i="31"/>
  <c r="K517" i="31"/>
  <c r="J517" i="31"/>
  <c r="I517" i="31"/>
  <c r="H517" i="31"/>
  <c r="G517" i="31"/>
  <c r="F517" i="31"/>
  <c r="W516" i="31"/>
  <c r="K516" i="31"/>
  <c r="J516" i="31"/>
  <c r="I516" i="31"/>
  <c r="H516" i="31"/>
  <c r="G516" i="31"/>
  <c r="F516" i="31"/>
  <c r="W515" i="31"/>
  <c r="K515" i="31"/>
  <c r="J515" i="31"/>
  <c r="I515" i="31"/>
  <c r="H515" i="31"/>
  <c r="G515" i="31"/>
  <c r="F515" i="31"/>
  <c r="W514" i="31"/>
  <c r="K514" i="31"/>
  <c r="J514" i="31"/>
  <c r="I514" i="31"/>
  <c r="H514" i="31"/>
  <c r="G514" i="31"/>
  <c r="F514" i="31"/>
  <c r="W513" i="31"/>
  <c r="K513" i="31"/>
  <c r="J513" i="31"/>
  <c r="I513" i="31"/>
  <c r="H513" i="31"/>
  <c r="G513" i="31"/>
  <c r="F513" i="31"/>
  <c r="W512" i="31"/>
  <c r="K512" i="31"/>
  <c r="J512" i="31"/>
  <c r="I512" i="31"/>
  <c r="H512" i="31"/>
  <c r="G512" i="31"/>
  <c r="F512" i="31"/>
  <c r="W511" i="31"/>
  <c r="K511" i="31"/>
  <c r="J511" i="31"/>
  <c r="I511" i="31"/>
  <c r="H511" i="31"/>
  <c r="G511" i="31"/>
  <c r="F511" i="31"/>
  <c r="W510" i="31"/>
  <c r="K510" i="31"/>
  <c r="J510" i="31"/>
  <c r="I510" i="31"/>
  <c r="H510" i="31"/>
  <c r="G510" i="31"/>
  <c r="F510" i="31"/>
  <c r="W509" i="31"/>
  <c r="K509" i="31"/>
  <c r="J509" i="31"/>
  <c r="I509" i="31"/>
  <c r="H509" i="31"/>
  <c r="G509" i="31"/>
  <c r="F509" i="31"/>
  <c r="W508" i="31"/>
  <c r="K508" i="31"/>
  <c r="J508" i="31"/>
  <c r="I508" i="31"/>
  <c r="H508" i="31"/>
  <c r="G508" i="31"/>
  <c r="F508" i="31"/>
  <c r="W507" i="31"/>
  <c r="K507" i="31"/>
  <c r="J507" i="31"/>
  <c r="I507" i="31"/>
  <c r="H507" i="31"/>
  <c r="G507" i="31"/>
  <c r="F507" i="31"/>
  <c r="W506" i="31"/>
  <c r="K506" i="31"/>
  <c r="J506" i="31"/>
  <c r="I506" i="31"/>
  <c r="H506" i="31"/>
  <c r="G506" i="31"/>
  <c r="F506" i="31"/>
  <c r="W505" i="31"/>
  <c r="K505" i="31"/>
  <c r="J505" i="31"/>
  <c r="I505" i="31"/>
  <c r="H505" i="31"/>
  <c r="G505" i="31"/>
  <c r="F505" i="31"/>
  <c r="W504" i="31"/>
  <c r="K504" i="31"/>
  <c r="J504" i="31"/>
  <c r="I504" i="31"/>
  <c r="H504" i="31"/>
  <c r="G504" i="31"/>
  <c r="F504" i="31"/>
  <c r="W503" i="31"/>
  <c r="K503" i="31"/>
  <c r="J503" i="31"/>
  <c r="I503" i="31"/>
  <c r="H503" i="31"/>
  <c r="G503" i="31"/>
  <c r="F503" i="31"/>
  <c r="W502" i="31"/>
  <c r="K502" i="31"/>
  <c r="J502" i="31"/>
  <c r="I502" i="31"/>
  <c r="H502" i="31"/>
  <c r="G502" i="31"/>
  <c r="F502" i="31"/>
  <c r="W501" i="31"/>
  <c r="K501" i="31"/>
  <c r="J501" i="31"/>
  <c r="I501" i="31"/>
  <c r="H501" i="31"/>
  <c r="G501" i="31"/>
  <c r="F501" i="31"/>
  <c r="W500" i="31"/>
  <c r="K500" i="31"/>
  <c r="J500" i="31"/>
  <c r="I500" i="31"/>
  <c r="H500" i="31"/>
  <c r="G500" i="31"/>
  <c r="F500" i="31"/>
  <c r="W499" i="31"/>
  <c r="K499" i="31"/>
  <c r="J499" i="31"/>
  <c r="I499" i="31"/>
  <c r="H499" i="31"/>
  <c r="G499" i="31"/>
  <c r="F499" i="31"/>
  <c r="W498" i="31"/>
  <c r="K498" i="31"/>
  <c r="J498" i="31"/>
  <c r="I498" i="31"/>
  <c r="H498" i="31"/>
  <c r="G498" i="31"/>
  <c r="F498" i="31"/>
  <c r="W497" i="31"/>
  <c r="K497" i="31"/>
  <c r="J497" i="31"/>
  <c r="I497" i="31"/>
  <c r="H497" i="31"/>
  <c r="G497" i="31"/>
  <c r="F497" i="31"/>
  <c r="W496" i="31"/>
  <c r="K496" i="31"/>
  <c r="J496" i="31"/>
  <c r="I496" i="31"/>
  <c r="H496" i="31"/>
  <c r="G496" i="31"/>
  <c r="F496" i="31"/>
  <c r="W495" i="31"/>
  <c r="K495" i="31"/>
  <c r="J495" i="31"/>
  <c r="I495" i="31"/>
  <c r="H495" i="31"/>
  <c r="G495" i="31"/>
  <c r="F495" i="31"/>
  <c r="W494" i="31"/>
  <c r="K494" i="31"/>
  <c r="J494" i="31"/>
  <c r="I494" i="31"/>
  <c r="H494" i="31"/>
  <c r="G494" i="31"/>
  <c r="F494" i="31"/>
  <c r="W493" i="31"/>
  <c r="K493" i="31"/>
  <c r="J493" i="31"/>
  <c r="I493" i="31"/>
  <c r="H493" i="31"/>
  <c r="G493" i="31"/>
  <c r="F493" i="31"/>
  <c r="W492" i="31"/>
  <c r="K492" i="31"/>
  <c r="J492" i="31"/>
  <c r="I492" i="31"/>
  <c r="H492" i="31"/>
  <c r="G492" i="31"/>
  <c r="F492" i="31"/>
  <c r="W491" i="31"/>
  <c r="K491" i="31"/>
  <c r="J491" i="31"/>
  <c r="I491" i="31"/>
  <c r="H491" i="31"/>
  <c r="G491" i="31"/>
  <c r="F491" i="31"/>
  <c r="W490" i="31"/>
  <c r="K490" i="31"/>
  <c r="J490" i="31"/>
  <c r="I490" i="31"/>
  <c r="H490" i="31"/>
  <c r="G490" i="31"/>
  <c r="F490" i="31"/>
  <c r="W489" i="31"/>
  <c r="K489" i="31"/>
  <c r="J489" i="31"/>
  <c r="I489" i="31"/>
  <c r="H489" i="31"/>
  <c r="G489" i="31"/>
  <c r="F489" i="31"/>
  <c r="W488" i="31"/>
  <c r="K488" i="31"/>
  <c r="J488" i="31"/>
  <c r="I488" i="31"/>
  <c r="H488" i="31"/>
  <c r="G488" i="31"/>
  <c r="F488" i="31"/>
  <c r="W487" i="31"/>
  <c r="K487" i="31"/>
  <c r="J487" i="31"/>
  <c r="I487" i="31"/>
  <c r="H487" i="31"/>
  <c r="G487" i="31"/>
  <c r="F487" i="31"/>
  <c r="W486" i="31"/>
  <c r="K486" i="31"/>
  <c r="J486" i="31"/>
  <c r="I486" i="31"/>
  <c r="H486" i="31"/>
  <c r="G486" i="31"/>
  <c r="F486" i="31"/>
  <c r="W485" i="31"/>
  <c r="K485" i="31"/>
  <c r="J485" i="31"/>
  <c r="I485" i="31"/>
  <c r="H485" i="31"/>
  <c r="G485" i="31"/>
  <c r="F485" i="31"/>
  <c r="W484" i="31"/>
  <c r="K484" i="31"/>
  <c r="J484" i="31"/>
  <c r="I484" i="31"/>
  <c r="H484" i="31"/>
  <c r="G484" i="31"/>
  <c r="F484" i="31"/>
  <c r="W483" i="31"/>
  <c r="K483" i="31"/>
  <c r="J483" i="31"/>
  <c r="I483" i="31"/>
  <c r="H483" i="31"/>
  <c r="G483" i="31"/>
  <c r="F483" i="31"/>
  <c r="W482" i="31"/>
  <c r="K482" i="31"/>
  <c r="J482" i="31"/>
  <c r="I482" i="31"/>
  <c r="H482" i="31"/>
  <c r="G482" i="31"/>
  <c r="F482" i="31"/>
  <c r="W481" i="31"/>
  <c r="K481" i="31"/>
  <c r="J481" i="31"/>
  <c r="I481" i="31"/>
  <c r="H481" i="31"/>
  <c r="G481" i="31"/>
  <c r="F481" i="31"/>
  <c r="W480" i="31"/>
  <c r="K480" i="31"/>
  <c r="J480" i="31"/>
  <c r="I480" i="31"/>
  <c r="H480" i="31"/>
  <c r="G480" i="31"/>
  <c r="F480" i="31"/>
  <c r="W479" i="31"/>
  <c r="K479" i="31"/>
  <c r="J479" i="31"/>
  <c r="I479" i="31"/>
  <c r="H479" i="31"/>
  <c r="G479" i="31"/>
  <c r="F479" i="31"/>
  <c r="W478" i="31"/>
  <c r="K478" i="31"/>
  <c r="J478" i="31"/>
  <c r="I478" i="31"/>
  <c r="H478" i="31"/>
  <c r="G478" i="31"/>
  <c r="F478" i="31"/>
  <c r="W477" i="31"/>
  <c r="K477" i="31"/>
  <c r="J477" i="31"/>
  <c r="I477" i="31"/>
  <c r="H477" i="31"/>
  <c r="G477" i="31"/>
  <c r="F477" i="31"/>
  <c r="W476" i="31"/>
  <c r="K476" i="31"/>
  <c r="J476" i="31"/>
  <c r="I476" i="31"/>
  <c r="H476" i="31"/>
  <c r="G476" i="31"/>
  <c r="F476" i="31"/>
  <c r="W475" i="31"/>
  <c r="K475" i="31"/>
  <c r="J475" i="31"/>
  <c r="I475" i="31"/>
  <c r="H475" i="31"/>
  <c r="G475" i="31"/>
  <c r="F475" i="31"/>
  <c r="W474" i="31"/>
  <c r="K474" i="31"/>
  <c r="J474" i="31"/>
  <c r="I474" i="31"/>
  <c r="H474" i="31"/>
  <c r="G474" i="31"/>
  <c r="F474" i="31"/>
  <c r="W473" i="31"/>
  <c r="K473" i="31"/>
  <c r="J473" i="31"/>
  <c r="I473" i="31"/>
  <c r="H473" i="31"/>
  <c r="G473" i="31"/>
  <c r="F473" i="31"/>
  <c r="W472" i="31"/>
  <c r="K472" i="31"/>
  <c r="J472" i="31"/>
  <c r="I472" i="31"/>
  <c r="H472" i="31"/>
  <c r="G472" i="31"/>
  <c r="F472" i="31"/>
  <c r="W471" i="31"/>
  <c r="K471" i="31"/>
  <c r="J471" i="31"/>
  <c r="I471" i="31"/>
  <c r="H471" i="31"/>
  <c r="G471" i="31"/>
  <c r="F471" i="31"/>
  <c r="W470" i="31"/>
  <c r="K470" i="31"/>
  <c r="J470" i="31"/>
  <c r="I470" i="31"/>
  <c r="H470" i="31"/>
  <c r="G470" i="31"/>
  <c r="F470" i="31"/>
  <c r="W469" i="31"/>
  <c r="K469" i="31"/>
  <c r="J469" i="31"/>
  <c r="I469" i="31"/>
  <c r="H469" i="31"/>
  <c r="G469" i="31"/>
  <c r="F469" i="31"/>
  <c r="W468" i="31"/>
  <c r="K468" i="31"/>
  <c r="J468" i="31"/>
  <c r="I468" i="31"/>
  <c r="H468" i="31"/>
  <c r="G468" i="31"/>
  <c r="F468" i="31"/>
  <c r="W467" i="31"/>
  <c r="K467" i="31"/>
  <c r="J467" i="31"/>
  <c r="I467" i="31"/>
  <c r="H467" i="31"/>
  <c r="G467" i="31"/>
  <c r="F467" i="31"/>
  <c r="W466" i="31"/>
  <c r="K466" i="31"/>
  <c r="J466" i="31"/>
  <c r="I466" i="31"/>
  <c r="H466" i="31"/>
  <c r="G466" i="31"/>
  <c r="F466" i="31"/>
  <c r="W465" i="31"/>
  <c r="K465" i="31"/>
  <c r="J465" i="31"/>
  <c r="I465" i="31"/>
  <c r="H465" i="31"/>
  <c r="G465" i="31"/>
  <c r="F465" i="31"/>
  <c r="W464" i="31"/>
  <c r="K464" i="31"/>
  <c r="J464" i="31"/>
  <c r="I464" i="31"/>
  <c r="H464" i="31"/>
  <c r="G464" i="31"/>
  <c r="F464" i="31"/>
  <c r="W463" i="31"/>
  <c r="K463" i="31"/>
  <c r="J463" i="31"/>
  <c r="I463" i="31"/>
  <c r="H463" i="31"/>
  <c r="G463" i="31"/>
  <c r="F463" i="31"/>
  <c r="W462" i="31"/>
  <c r="K462" i="31"/>
  <c r="J462" i="31"/>
  <c r="I462" i="31"/>
  <c r="H462" i="31"/>
  <c r="G462" i="31"/>
  <c r="F462" i="31"/>
  <c r="W461" i="31"/>
  <c r="K461" i="31"/>
  <c r="J461" i="31"/>
  <c r="I461" i="31"/>
  <c r="H461" i="31"/>
  <c r="G461" i="31"/>
  <c r="F461" i="31"/>
  <c r="W460" i="31"/>
  <c r="K460" i="31"/>
  <c r="J460" i="31"/>
  <c r="I460" i="31"/>
  <c r="H460" i="31"/>
  <c r="G460" i="31"/>
  <c r="F460" i="31"/>
  <c r="W459" i="31"/>
  <c r="K459" i="31"/>
  <c r="J459" i="31"/>
  <c r="I459" i="31"/>
  <c r="H459" i="31"/>
  <c r="G459" i="31"/>
  <c r="F459" i="31"/>
  <c r="W458" i="31"/>
  <c r="K458" i="31"/>
  <c r="J458" i="31"/>
  <c r="I458" i="31"/>
  <c r="H458" i="31"/>
  <c r="G458" i="31"/>
  <c r="F458" i="31"/>
  <c r="W457" i="31"/>
  <c r="K457" i="31"/>
  <c r="J457" i="31"/>
  <c r="I457" i="31"/>
  <c r="H457" i="31"/>
  <c r="G457" i="31"/>
  <c r="F457" i="31"/>
  <c r="W456" i="31"/>
  <c r="K456" i="31"/>
  <c r="J456" i="31"/>
  <c r="I456" i="31"/>
  <c r="H456" i="31"/>
  <c r="G456" i="31"/>
  <c r="F456" i="31"/>
  <c r="W455" i="31"/>
  <c r="K455" i="31"/>
  <c r="J455" i="31"/>
  <c r="I455" i="31"/>
  <c r="H455" i="31"/>
  <c r="G455" i="31"/>
  <c r="F455" i="31"/>
  <c r="W454" i="31"/>
  <c r="K454" i="31"/>
  <c r="J454" i="31"/>
  <c r="I454" i="31"/>
  <c r="H454" i="31"/>
  <c r="G454" i="31"/>
  <c r="F454" i="31"/>
  <c r="W453" i="31"/>
  <c r="K453" i="31"/>
  <c r="J453" i="31"/>
  <c r="I453" i="31"/>
  <c r="H453" i="31"/>
  <c r="G453" i="31"/>
  <c r="F453" i="31"/>
  <c r="W452" i="31"/>
  <c r="K452" i="31"/>
  <c r="J452" i="31"/>
  <c r="I452" i="31"/>
  <c r="H452" i="31"/>
  <c r="G452" i="31"/>
  <c r="F452" i="31"/>
  <c r="W451" i="31"/>
  <c r="K451" i="31"/>
  <c r="J451" i="31"/>
  <c r="I451" i="31"/>
  <c r="H451" i="31"/>
  <c r="G451" i="31"/>
  <c r="F451" i="31"/>
  <c r="W450" i="31"/>
  <c r="K450" i="31"/>
  <c r="J450" i="31"/>
  <c r="I450" i="31"/>
  <c r="H450" i="31"/>
  <c r="G450" i="31"/>
  <c r="F450" i="31"/>
  <c r="W449" i="31"/>
  <c r="K449" i="31"/>
  <c r="J449" i="31"/>
  <c r="I449" i="31"/>
  <c r="H449" i="31"/>
  <c r="G449" i="31"/>
  <c r="F449" i="31"/>
  <c r="W448" i="31"/>
  <c r="K448" i="31"/>
  <c r="J448" i="31"/>
  <c r="I448" i="31"/>
  <c r="H448" i="31"/>
  <c r="G448" i="31"/>
  <c r="F448" i="31"/>
  <c r="W447" i="31"/>
  <c r="K447" i="31"/>
  <c r="J447" i="31"/>
  <c r="I447" i="31"/>
  <c r="H447" i="31"/>
  <c r="G447" i="31"/>
  <c r="F447" i="31"/>
  <c r="W446" i="31"/>
  <c r="K446" i="31"/>
  <c r="J446" i="31"/>
  <c r="I446" i="31"/>
  <c r="H446" i="31"/>
  <c r="G446" i="31"/>
  <c r="F446" i="31"/>
  <c r="W445" i="31"/>
  <c r="K445" i="31"/>
  <c r="J445" i="31"/>
  <c r="I445" i="31"/>
  <c r="H445" i="31"/>
  <c r="G445" i="31"/>
  <c r="F445" i="31"/>
  <c r="W444" i="31"/>
  <c r="K444" i="31"/>
  <c r="J444" i="31"/>
  <c r="I444" i="31"/>
  <c r="H444" i="31"/>
  <c r="G444" i="31"/>
  <c r="F444" i="31"/>
  <c r="W443" i="31"/>
  <c r="K443" i="31"/>
  <c r="J443" i="31"/>
  <c r="I443" i="31"/>
  <c r="H443" i="31"/>
  <c r="G443" i="31"/>
  <c r="F443" i="31"/>
  <c r="W442" i="31"/>
  <c r="K442" i="31"/>
  <c r="J442" i="31"/>
  <c r="I442" i="31"/>
  <c r="H442" i="31"/>
  <c r="G442" i="31"/>
  <c r="F442" i="31"/>
  <c r="W441" i="31"/>
  <c r="K441" i="31"/>
  <c r="J441" i="31"/>
  <c r="I441" i="31"/>
  <c r="H441" i="31"/>
  <c r="G441" i="31"/>
  <c r="F441" i="31"/>
  <c r="W440" i="31"/>
  <c r="K440" i="31"/>
  <c r="J440" i="31"/>
  <c r="I440" i="31"/>
  <c r="H440" i="31"/>
  <c r="G440" i="31"/>
  <c r="F440" i="31"/>
  <c r="W439" i="31"/>
  <c r="K439" i="31"/>
  <c r="J439" i="31"/>
  <c r="I439" i="31"/>
  <c r="H439" i="31"/>
  <c r="G439" i="31"/>
  <c r="F439" i="31"/>
  <c r="W438" i="31"/>
  <c r="K438" i="31"/>
  <c r="J438" i="31"/>
  <c r="I438" i="31"/>
  <c r="H438" i="31"/>
  <c r="G438" i="31"/>
  <c r="F438" i="31"/>
  <c r="W437" i="31"/>
  <c r="K437" i="31"/>
  <c r="J437" i="31"/>
  <c r="I437" i="31"/>
  <c r="H437" i="31"/>
  <c r="G437" i="31"/>
  <c r="F437" i="31"/>
  <c r="W436" i="31"/>
  <c r="K436" i="31"/>
  <c r="J436" i="31"/>
  <c r="I436" i="31"/>
  <c r="H436" i="31"/>
  <c r="G436" i="31"/>
  <c r="F436" i="31"/>
  <c r="W435" i="31"/>
  <c r="K435" i="31"/>
  <c r="J435" i="31"/>
  <c r="I435" i="31"/>
  <c r="H435" i="31"/>
  <c r="G435" i="31"/>
  <c r="F435" i="31"/>
  <c r="W434" i="31"/>
  <c r="K434" i="31"/>
  <c r="J434" i="31"/>
  <c r="I434" i="31"/>
  <c r="H434" i="31"/>
  <c r="G434" i="31"/>
  <c r="F434" i="31"/>
  <c r="W433" i="31"/>
  <c r="K433" i="31"/>
  <c r="J433" i="31"/>
  <c r="I433" i="31"/>
  <c r="H433" i="31"/>
  <c r="G433" i="31"/>
  <c r="F433" i="31"/>
  <c r="W432" i="31"/>
  <c r="K432" i="31"/>
  <c r="J432" i="31"/>
  <c r="I432" i="31"/>
  <c r="H432" i="31"/>
  <c r="G432" i="31"/>
  <c r="F432" i="31"/>
  <c r="W431" i="31"/>
  <c r="K431" i="31"/>
  <c r="J431" i="31"/>
  <c r="I431" i="31"/>
  <c r="H431" i="31"/>
  <c r="G431" i="31"/>
  <c r="F431" i="31"/>
  <c r="W430" i="31"/>
  <c r="K430" i="31"/>
  <c r="J430" i="31"/>
  <c r="I430" i="31"/>
  <c r="H430" i="31"/>
  <c r="G430" i="31"/>
  <c r="F430" i="31"/>
  <c r="W429" i="31"/>
  <c r="K429" i="31"/>
  <c r="J429" i="31"/>
  <c r="I429" i="31"/>
  <c r="H429" i="31"/>
  <c r="G429" i="31"/>
  <c r="F429" i="31"/>
  <c r="W428" i="31"/>
  <c r="K428" i="31"/>
  <c r="J428" i="31"/>
  <c r="I428" i="31"/>
  <c r="H428" i="31"/>
  <c r="G428" i="31"/>
  <c r="F428" i="31"/>
  <c r="W427" i="31"/>
  <c r="K427" i="31"/>
  <c r="J427" i="31"/>
  <c r="I427" i="31"/>
  <c r="H427" i="31"/>
  <c r="G427" i="31"/>
  <c r="F427" i="31"/>
  <c r="W426" i="31"/>
  <c r="K426" i="31"/>
  <c r="J426" i="31"/>
  <c r="I426" i="31"/>
  <c r="H426" i="31"/>
  <c r="G426" i="31"/>
  <c r="F426" i="31"/>
  <c r="W425" i="31"/>
  <c r="K425" i="31"/>
  <c r="J425" i="31"/>
  <c r="I425" i="31"/>
  <c r="H425" i="31"/>
  <c r="G425" i="31"/>
  <c r="F425" i="31"/>
  <c r="W424" i="31"/>
  <c r="K424" i="31"/>
  <c r="J424" i="31"/>
  <c r="I424" i="31"/>
  <c r="H424" i="31"/>
  <c r="G424" i="31"/>
  <c r="F424" i="31"/>
  <c r="W423" i="31"/>
  <c r="K423" i="31"/>
  <c r="J423" i="31"/>
  <c r="I423" i="31"/>
  <c r="H423" i="31"/>
  <c r="G423" i="31"/>
  <c r="F423" i="31"/>
  <c r="W422" i="31"/>
  <c r="K422" i="31"/>
  <c r="J422" i="31"/>
  <c r="I422" i="31"/>
  <c r="H422" i="31"/>
  <c r="G422" i="31"/>
  <c r="F422" i="31"/>
  <c r="W421" i="31"/>
  <c r="K421" i="31"/>
  <c r="J421" i="31"/>
  <c r="I421" i="31"/>
  <c r="H421" i="31"/>
  <c r="G421" i="31"/>
  <c r="F421" i="31"/>
  <c r="W420" i="31"/>
  <c r="K420" i="31"/>
  <c r="J420" i="31"/>
  <c r="I420" i="31"/>
  <c r="H420" i="31"/>
  <c r="G420" i="31"/>
  <c r="F420" i="31"/>
  <c r="W419" i="31"/>
  <c r="K419" i="31"/>
  <c r="J419" i="31"/>
  <c r="I419" i="31"/>
  <c r="H419" i="31"/>
  <c r="G419" i="31"/>
  <c r="F419" i="31"/>
  <c r="W418" i="31"/>
  <c r="K418" i="31"/>
  <c r="J418" i="31"/>
  <c r="I418" i="31"/>
  <c r="H418" i="31"/>
  <c r="G418" i="31"/>
  <c r="F418" i="31"/>
  <c r="W417" i="31"/>
  <c r="K417" i="31"/>
  <c r="J417" i="31"/>
  <c r="I417" i="31"/>
  <c r="H417" i="31"/>
  <c r="G417" i="31"/>
  <c r="F417" i="31"/>
  <c r="W416" i="31"/>
  <c r="K416" i="31"/>
  <c r="J416" i="31"/>
  <c r="I416" i="31"/>
  <c r="H416" i="31"/>
  <c r="G416" i="31"/>
  <c r="F416" i="31"/>
  <c r="W415" i="31"/>
  <c r="K415" i="31"/>
  <c r="J415" i="31"/>
  <c r="I415" i="31"/>
  <c r="H415" i="31"/>
  <c r="G415" i="31"/>
  <c r="F415" i="31"/>
  <c r="W414" i="31"/>
  <c r="K414" i="31"/>
  <c r="J414" i="31"/>
  <c r="I414" i="31"/>
  <c r="H414" i="31"/>
  <c r="G414" i="31"/>
  <c r="F414" i="31"/>
  <c r="W413" i="31"/>
  <c r="K413" i="31"/>
  <c r="J413" i="31"/>
  <c r="I413" i="31"/>
  <c r="H413" i="31"/>
  <c r="G413" i="31"/>
  <c r="F413" i="31"/>
  <c r="W412" i="31"/>
  <c r="K412" i="31"/>
  <c r="J412" i="31"/>
  <c r="I412" i="31"/>
  <c r="H412" i="31"/>
  <c r="G412" i="31"/>
  <c r="F412" i="31"/>
  <c r="W411" i="31"/>
  <c r="K411" i="31"/>
  <c r="J411" i="31"/>
  <c r="I411" i="31"/>
  <c r="H411" i="31"/>
  <c r="G411" i="31"/>
  <c r="F411" i="31"/>
  <c r="W410" i="31"/>
  <c r="K410" i="31"/>
  <c r="J410" i="31"/>
  <c r="I410" i="31"/>
  <c r="H410" i="31"/>
  <c r="G410" i="31"/>
  <c r="F410" i="31"/>
  <c r="W409" i="31"/>
  <c r="K409" i="31"/>
  <c r="J409" i="31"/>
  <c r="I409" i="31"/>
  <c r="H409" i="31"/>
  <c r="G409" i="31"/>
  <c r="F409" i="31"/>
  <c r="W408" i="31"/>
  <c r="K408" i="31"/>
  <c r="J408" i="31"/>
  <c r="I408" i="31"/>
  <c r="H408" i="31"/>
  <c r="G408" i="31"/>
  <c r="F408" i="31"/>
  <c r="W407" i="31"/>
  <c r="K407" i="31"/>
  <c r="J407" i="31"/>
  <c r="I407" i="31"/>
  <c r="H407" i="31"/>
  <c r="G407" i="31"/>
  <c r="F407" i="31"/>
  <c r="W406" i="31"/>
  <c r="K406" i="31"/>
  <c r="J406" i="31"/>
  <c r="I406" i="31"/>
  <c r="H406" i="31"/>
  <c r="G406" i="31"/>
  <c r="F406" i="31"/>
  <c r="W405" i="31"/>
  <c r="K405" i="31"/>
  <c r="J405" i="31"/>
  <c r="I405" i="31"/>
  <c r="H405" i="31"/>
  <c r="G405" i="31"/>
  <c r="F405" i="31"/>
  <c r="W404" i="31"/>
  <c r="K404" i="31"/>
  <c r="J404" i="31"/>
  <c r="I404" i="31"/>
  <c r="H404" i="31"/>
  <c r="G404" i="31"/>
  <c r="F404" i="31"/>
  <c r="W403" i="31"/>
  <c r="K403" i="31"/>
  <c r="J403" i="31"/>
  <c r="I403" i="31"/>
  <c r="H403" i="31"/>
  <c r="G403" i="31"/>
  <c r="F403" i="31"/>
  <c r="W402" i="31"/>
  <c r="K402" i="31"/>
  <c r="J402" i="31"/>
  <c r="I402" i="31"/>
  <c r="H402" i="31"/>
  <c r="G402" i="31"/>
  <c r="F402" i="31"/>
  <c r="W401" i="31"/>
  <c r="K401" i="31"/>
  <c r="J401" i="31"/>
  <c r="I401" i="31"/>
  <c r="H401" i="31"/>
  <c r="G401" i="31"/>
  <c r="F401" i="31"/>
  <c r="W400" i="31"/>
  <c r="K400" i="31"/>
  <c r="J400" i="31"/>
  <c r="I400" i="31"/>
  <c r="H400" i="31"/>
  <c r="G400" i="31"/>
  <c r="F400" i="31"/>
  <c r="W399" i="31"/>
  <c r="K399" i="31"/>
  <c r="J399" i="31"/>
  <c r="I399" i="31"/>
  <c r="H399" i="31"/>
  <c r="G399" i="31"/>
  <c r="F399" i="31"/>
  <c r="W398" i="31"/>
  <c r="K398" i="31"/>
  <c r="J398" i="31"/>
  <c r="I398" i="31"/>
  <c r="H398" i="31"/>
  <c r="G398" i="31"/>
  <c r="F398" i="31"/>
  <c r="W397" i="31"/>
  <c r="K397" i="31"/>
  <c r="J397" i="31"/>
  <c r="I397" i="31"/>
  <c r="H397" i="31"/>
  <c r="G397" i="31"/>
  <c r="F397" i="31"/>
  <c r="W396" i="31"/>
  <c r="K396" i="31"/>
  <c r="J396" i="31"/>
  <c r="I396" i="31"/>
  <c r="H396" i="31"/>
  <c r="G396" i="31"/>
  <c r="F396" i="31"/>
  <c r="W395" i="31"/>
  <c r="K395" i="31"/>
  <c r="J395" i="31"/>
  <c r="I395" i="31"/>
  <c r="H395" i="31"/>
  <c r="G395" i="31"/>
  <c r="F395" i="31"/>
  <c r="W394" i="31"/>
  <c r="K394" i="31"/>
  <c r="J394" i="31"/>
  <c r="I394" i="31"/>
  <c r="H394" i="31"/>
  <c r="G394" i="31"/>
  <c r="F394" i="31"/>
  <c r="W393" i="31"/>
  <c r="K393" i="31"/>
  <c r="J393" i="31"/>
  <c r="I393" i="31"/>
  <c r="H393" i="31"/>
  <c r="G393" i="31"/>
  <c r="F393" i="31"/>
  <c r="W392" i="31"/>
  <c r="K392" i="31"/>
  <c r="J392" i="31"/>
  <c r="I392" i="31"/>
  <c r="H392" i="31"/>
  <c r="G392" i="31"/>
  <c r="F392" i="31"/>
  <c r="W391" i="31"/>
  <c r="K391" i="31"/>
  <c r="J391" i="31"/>
  <c r="I391" i="31"/>
  <c r="H391" i="31"/>
  <c r="G391" i="31"/>
  <c r="F391" i="31"/>
  <c r="W390" i="31"/>
  <c r="K390" i="31"/>
  <c r="J390" i="31"/>
  <c r="I390" i="31"/>
  <c r="H390" i="31"/>
  <c r="G390" i="31"/>
  <c r="F390" i="31"/>
  <c r="W389" i="31"/>
  <c r="K389" i="31"/>
  <c r="J389" i="31"/>
  <c r="I389" i="31"/>
  <c r="H389" i="31"/>
  <c r="G389" i="31"/>
  <c r="F389" i="31"/>
  <c r="W388" i="31"/>
  <c r="K388" i="31"/>
  <c r="J388" i="31"/>
  <c r="I388" i="31"/>
  <c r="H388" i="31"/>
  <c r="G388" i="31"/>
  <c r="F388" i="31"/>
  <c r="W387" i="31"/>
  <c r="K387" i="31"/>
  <c r="J387" i="31"/>
  <c r="I387" i="31"/>
  <c r="H387" i="31"/>
  <c r="G387" i="31"/>
  <c r="F387" i="31"/>
  <c r="W386" i="31"/>
  <c r="K386" i="31"/>
  <c r="J386" i="31"/>
  <c r="I386" i="31"/>
  <c r="H386" i="31"/>
  <c r="G386" i="31"/>
  <c r="F386" i="31"/>
  <c r="W385" i="31"/>
  <c r="K385" i="31"/>
  <c r="J385" i="31"/>
  <c r="I385" i="31"/>
  <c r="H385" i="31"/>
  <c r="G385" i="31"/>
  <c r="F385" i="31"/>
  <c r="W384" i="31"/>
  <c r="K384" i="31"/>
  <c r="J384" i="31"/>
  <c r="I384" i="31"/>
  <c r="H384" i="31"/>
  <c r="G384" i="31"/>
  <c r="F384" i="31"/>
  <c r="W383" i="31"/>
  <c r="K383" i="31"/>
  <c r="J383" i="31"/>
  <c r="I383" i="31"/>
  <c r="H383" i="31"/>
  <c r="G383" i="31"/>
  <c r="F383" i="31"/>
  <c r="W382" i="31"/>
  <c r="K382" i="31"/>
  <c r="J382" i="31"/>
  <c r="I382" i="31"/>
  <c r="H382" i="31"/>
  <c r="G382" i="31"/>
  <c r="F382" i="31"/>
  <c r="W381" i="31"/>
  <c r="K381" i="31"/>
  <c r="J381" i="31"/>
  <c r="I381" i="31"/>
  <c r="H381" i="31"/>
  <c r="G381" i="31"/>
  <c r="F381" i="31"/>
  <c r="W380" i="31"/>
  <c r="K380" i="31"/>
  <c r="J380" i="31"/>
  <c r="I380" i="31"/>
  <c r="H380" i="31"/>
  <c r="G380" i="31"/>
  <c r="F380" i="31"/>
  <c r="W379" i="31"/>
  <c r="K379" i="31"/>
  <c r="J379" i="31"/>
  <c r="I379" i="31"/>
  <c r="H379" i="31"/>
  <c r="G379" i="31"/>
  <c r="F379" i="31"/>
  <c r="W378" i="31"/>
  <c r="K378" i="31"/>
  <c r="J378" i="31"/>
  <c r="I378" i="31"/>
  <c r="H378" i="31"/>
  <c r="G378" i="31"/>
  <c r="F378" i="31"/>
  <c r="W377" i="31"/>
  <c r="K377" i="31"/>
  <c r="J377" i="31"/>
  <c r="I377" i="31"/>
  <c r="H377" i="31"/>
  <c r="G377" i="31"/>
  <c r="F377" i="31"/>
  <c r="W376" i="31"/>
  <c r="K376" i="31"/>
  <c r="J376" i="31"/>
  <c r="I376" i="31"/>
  <c r="H376" i="31"/>
  <c r="G376" i="31"/>
  <c r="F376" i="31"/>
  <c r="W375" i="31"/>
  <c r="K375" i="31"/>
  <c r="J375" i="31"/>
  <c r="I375" i="31"/>
  <c r="H375" i="31"/>
  <c r="G375" i="31"/>
  <c r="F375" i="31"/>
  <c r="W374" i="31"/>
  <c r="K374" i="31"/>
  <c r="J374" i="31"/>
  <c r="I374" i="31"/>
  <c r="H374" i="31"/>
  <c r="G374" i="31"/>
  <c r="F374" i="31"/>
  <c r="W373" i="31"/>
  <c r="K373" i="31"/>
  <c r="J373" i="31"/>
  <c r="I373" i="31"/>
  <c r="H373" i="31"/>
  <c r="G373" i="31"/>
  <c r="F373" i="31"/>
  <c r="W372" i="31"/>
  <c r="K372" i="31"/>
  <c r="J372" i="31"/>
  <c r="I372" i="31"/>
  <c r="H372" i="31"/>
  <c r="G372" i="31"/>
  <c r="F372" i="31"/>
  <c r="W371" i="31"/>
  <c r="K371" i="31"/>
  <c r="J371" i="31"/>
  <c r="I371" i="31"/>
  <c r="H371" i="31"/>
  <c r="G371" i="31"/>
  <c r="F371" i="31"/>
  <c r="W370" i="31"/>
  <c r="K370" i="31"/>
  <c r="J370" i="31"/>
  <c r="I370" i="31"/>
  <c r="H370" i="31"/>
  <c r="G370" i="31"/>
  <c r="F370" i="31"/>
  <c r="W369" i="31"/>
  <c r="K369" i="31"/>
  <c r="J369" i="31"/>
  <c r="I369" i="31"/>
  <c r="H369" i="31"/>
  <c r="G369" i="31"/>
  <c r="F369" i="31"/>
  <c r="W368" i="31"/>
  <c r="K368" i="31"/>
  <c r="J368" i="31"/>
  <c r="I368" i="31"/>
  <c r="H368" i="31"/>
  <c r="G368" i="31"/>
  <c r="F368" i="31"/>
  <c r="W367" i="31"/>
  <c r="K367" i="31"/>
  <c r="J367" i="31"/>
  <c r="I367" i="31"/>
  <c r="H367" i="31"/>
  <c r="G367" i="31"/>
  <c r="F367" i="31"/>
  <c r="W366" i="31"/>
  <c r="K366" i="31"/>
  <c r="J366" i="31"/>
  <c r="I366" i="31"/>
  <c r="H366" i="31"/>
  <c r="G366" i="31"/>
  <c r="F366" i="31"/>
  <c r="W365" i="31"/>
  <c r="K365" i="31"/>
  <c r="J365" i="31"/>
  <c r="I365" i="31"/>
  <c r="H365" i="31"/>
  <c r="G365" i="31"/>
  <c r="F365" i="31"/>
  <c r="W364" i="31"/>
  <c r="K364" i="31"/>
  <c r="J364" i="31"/>
  <c r="I364" i="31"/>
  <c r="H364" i="31"/>
  <c r="G364" i="31"/>
  <c r="F364" i="31"/>
  <c r="W363" i="31"/>
  <c r="K363" i="31"/>
  <c r="J363" i="31"/>
  <c r="I363" i="31"/>
  <c r="H363" i="31"/>
  <c r="G363" i="31"/>
  <c r="F363" i="31"/>
  <c r="W362" i="31"/>
  <c r="K362" i="31"/>
  <c r="J362" i="31"/>
  <c r="I362" i="31"/>
  <c r="H362" i="31"/>
  <c r="G362" i="31"/>
  <c r="F362" i="31"/>
  <c r="W361" i="31"/>
  <c r="K361" i="31"/>
  <c r="J361" i="31"/>
  <c r="I361" i="31"/>
  <c r="H361" i="31"/>
  <c r="G361" i="31"/>
  <c r="F361" i="31"/>
  <c r="W360" i="31"/>
  <c r="K360" i="31"/>
  <c r="J360" i="31"/>
  <c r="I360" i="31"/>
  <c r="H360" i="31"/>
  <c r="G360" i="31"/>
  <c r="F360" i="31"/>
  <c r="W359" i="31"/>
  <c r="K359" i="31"/>
  <c r="J359" i="31"/>
  <c r="I359" i="31"/>
  <c r="H359" i="31"/>
  <c r="G359" i="31"/>
  <c r="F359" i="31"/>
  <c r="W358" i="31"/>
  <c r="K358" i="31"/>
  <c r="J358" i="31"/>
  <c r="I358" i="31"/>
  <c r="H358" i="31"/>
  <c r="G358" i="31"/>
  <c r="F358" i="31"/>
  <c r="W357" i="31"/>
  <c r="K357" i="31"/>
  <c r="J357" i="31"/>
  <c r="I357" i="31"/>
  <c r="H357" i="31"/>
  <c r="G357" i="31"/>
  <c r="F357" i="31"/>
  <c r="W356" i="31"/>
  <c r="K356" i="31"/>
  <c r="J356" i="31"/>
  <c r="I356" i="31"/>
  <c r="H356" i="31"/>
  <c r="G356" i="31"/>
  <c r="F356" i="31"/>
  <c r="W355" i="31"/>
  <c r="K355" i="31"/>
  <c r="J355" i="31"/>
  <c r="I355" i="31"/>
  <c r="H355" i="31"/>
  <c r="G355" i="31"/>
  <c r="F355" i="31"/>
  <c r="W354" i="31"/>
  <c r="K354" i="31"/>
  <c r="J354" i="31"/>
  <c r="I354" i="31"/>
  <c r="H354" i="31"/>
  <c r="G354" i="31"/>
  <c r="F354" i="31"/>
  <c r="W353" i="31"/>
  <c r="K353" i="31"/>
  <c r="J353" i="31"/>
  <c r="I353" i="31"/>
  <c r="H353" i="31"/>
  <c r="G353" i="31"/>
  <c r="F353" i="31"/>
  <c r="W352" i="31"/>
  <c r="K352" i="31"/>
  <c r="J352" i="31"/>
  <c r="I352" i="31"/>
  <c r="H352" i="31"/>
  <c r="G352" i="31"/>
  <c r="F352" i="31"/>
  <c r="W351" i="31"/>
  <c r="K351" i="31"/>
  <c r="J351" i="31"/>
  <c r="I351" i="31"/>
  <c r="H351" i="31"/>
  <c r="G351" i="31"/>
  <c r="F351" i="31"/>
  <c r="W350" i="31"/>
  <c r="K350" i="31"/>
  <c r="J350" i="31"/>
  <c r="I350" i="31"/>
  <c r="H350" i="31"/>
  <c r="G350" i="31"/>
  <c r="F350" i="31"/>
  <c r="W349" i="31"/>
  <c r="K349" i="31"/>
  <c r="J349" i="31"/>
  <c r="I349" i="31"/>
  <c r="H349" i="31"/>
  <c r="G349" i="31"/>
  <c r="F349" i="31"/>
  <c r="W348" i="31"/>
  <c r="K348" i="31"/>
  <c r="J348" i="31"/>
  <c r="I348" i="31"/>
  <c r="H348" i="31"/>
  <c r="G348" i="31"/>
  <c r="F348" i="31"/>
  <c r="W347" i="31"/>
  <c r="K347" i="31"/>
  <c r="J347" i="31"/>
  <c r="I347" i="31"/>
  <c r="H347" i="31"/>
  <c r="G347" i="31"/>
  <c r="F347" i="31"/>
  <c r="W346" i="31"/>
  <c r="K346" i="31"/>
  <c r="J346" i="31"/>
  <c r="I346" i="31"/>
  <c r="H346" i="31"/>
  <c r="G346" i="31"/>
  <c r="F346" i="31"/>
  <c r="W345" i="31"/>
  <c r="K345" i="31"/>
  <c r="J345" i="31"/>
  <c r="I345" i="31"/>
  <c r="H345" i="31"/>
  <c r="G345" i="31"/>
  <c r="F345" i="31"/>
  <c r="W344" i="31"/>
  <c r="K344" i="31"/>
  <c r="J344" i="31"/>
  <c r="I344" i="31"/>
  <c r="H344" i="31"/>
  <c r="G344" i="31"/>
  <c r="F344" i="31"/>
  <c r="W343" i="31"/>
  <c r="K343" i="31"/>
  <c r="J343" i="31"/>
  <c r="I343" i="31"/>
  <c r="H343" i="31"/>
  <c r="G343" i="31"/>
  <c r="F343" i="31"/>
  <c r="W342" i="31"/>
  <c r="K342" i="31"/>
  <c r="J342" i="31"/>
  <c r="I342" i="31"/>
  <c r="H342" i="31"/>
  <c r="G342" i="31"/>
  <c r="F342" i="31"/>
  <c r="W341" i="31"/>
  <c r="K341" i="31"/>
  <c r="J341" i="31"/>
  <c r="I341" i="31"/>
  <c r="H341" i="31"/>
  <c r="G341" i="31"/>
  <c r="F341" i="31"/>
  <c r="W340" i="31"/>
  <c r="K340" i="31"/>
  <c r="J340" i="31"/>
  <c r="I340" i="31"/>
  <c r="H340" i="31"/>
  <c r="G340" i="31"/>
  <c r="F340" i="31"/>
  <c r="W339" i="31"/>
  <c r="K339" i="31"/>
  <c r="J339" i="31"/>
  <c r="I339" i="31"/>
  <c r="H339" i="31"/>
  <c r="G339" i="31"/>
  <c r="F339" i="31"/>
  <c r="W338" i="31"/>
  <c r="K338" i="31"/>
  <c r="J338" i="31"/>
  <c r="I338" i="31"/>
  <c r="H338" i="31"/>
  <c r="G338" i="31"/>
  <c r="F338" i="31"/>
  <c r="W337" i="31"/>
  <c r="K337" i="31"/>
  <c r="J337" i="31"/>
  <c r="I337" i="31"/>
  <c r="H337" i="31"/>
  <c r="G337" i="31"/>
  <c r="F337" i="31"/>
  <c r="W336" i="31"/>
  <c r="K336" i="31"/>
  <c r="J336" i="31"/>
  <c r="I336" i="31"/>
  <c r="H336" i="31"/>
  <c r="G336" i="31"/>
  <c r="F336" i="31"/>
  <c r="W335" i="31"/>
  <c r="K335" i="31"/>
  <c r="J335" i="31"/>
  <c r="I335" i="31"/>
  <c r="H335" i="31"/>
  <c r="G335" i="31"/>
  <c r="F335" i="31"/>
  <c r="W334" i="31"/>
  <c r="K334" i="31"/>
  <c r="J334" i="31"/>
  <c r="I334" i="31"/>
  <c r="H334" i="31"/>
  <c r="G334" i="31"/>
  <c r="F334" i="31"/>
  <c r="W333" i="31"/>
  <c r="K333" i="31"/>
  <c r="J333" i="31"/>
  <c r="I333" i="31"/>
  <c r="H333" i="31"/>
  <c r="G333" i="31"/>
  <c r="F333" i="31"/>
  <c r="W332" i="31"/>
  <c r="K332" i="31"/>
  <c r="J332" i="31"/>
  <c r="I332" i="31"/>
  <c r="H332" i="31"/>
  <c r="G332" i="31"/>
  <c r="F332" i="31"/>
  <c r="W331" i="31"/>
  <c r="K331" i="31"/>
  <c r="J331" i="31"/>
  <c r="I331" i="31"/>
  <c r="H331" i="31"/>
  <c r="G331" i="31"/>
  <c r="F331" i="31"/>
  <c r="W330" i="31"/>
  <c r="K330" i="31"/>
  <c r="J330" i="31"/>
  <c r="I330" i="31"/>
  <c r="H330" i="31"/>
  <c r="G330" i="31"/>
  <c r="F330" i="31"/>
  <c r="W329" i="31"/>
  <c r="K329" i="31"/>
  <c r="J329" i="31"/>
  <c r="I329" i="31"/>
  <c r="H329" i="31"/>
  <c r="G329" i="31"/>
  <c r="F329" i="31"/>
  <c r="W328" i="31"/>
  <c r="K328" i="31"/>
  <c r="J328" i="31"/>
  <c r="I328" i="31"/>
  <c r="H328" i="31"/>
  <c r="G328" i="31"/>
  <c r="F328" i="31"/>
  <c r="W327" i="31"/>
  <c r="K327" i="31"/>
  <c r="J327" i="31"/>
  <c r="I327" i="31"/>
  <c r="H327" i="31"/>
  <c r="G327" i="31"/>
  <c r="F327" i="31"/>
  <c r="W326" i="31"/>
  <c r="K326" i="31"/>
  <c r="J326" i="31"/>
  <c r="I326" i="31"/>
  <c r="H326" i="31"/>
  <c r="G326" i="31"/>
  <c r="F326" i="31"/>
  <c r="W325" i="31"/>
  <c r="K325" i="31"/>
  <c r="J325" i="31"/>
  <c r="I325" i="31"/>
  <c r="H325" i="31"/>
  <c r="G325" i="31"/>
  <c r="F325" i="31"/>
  <c r="W324" i="31"/>
  <c r="K324" i="31"/>
  <c r="J324" i="31"/>
  <c r="I324" i="31"/>
  <c r="H324" i="31"/>
  <c r="G324" i="31"/>
  <c r="F324" i="31"/>
  <c r="W323" i="31"/>
  <c r="K323" i="31"/>
  <c r="J323" i="31"/>
  <c r="I323" i="31"/>
  <c r="H323" i="31"/>
  <c r="G323" i="31"/>
  <c r="F323" i="31"/>
  <c r="W322" i="31"/>
  <c r="K322" i="31"/>
  <c r="J322" i="31"/>
  <c r="I322" i="31"/>
  <c r="H322" i="31"/>
  <c r="G322" i="31"/>
  <c r="F322" i="31"/>
  <c r="W321" i="31"/>
  <c r="K321" i="31"/>
  <c r="J321" i="31"/>
  <c r="I321" i="31"/>
  <c r="H321" i="31"/>
  <c r="G321" i="31"/>
  <c r="F321" i="31"/>
  <c r="W320" i="31"/>
  <c r="K320" i="31"/>
  <c r="J320" i="31"/>
  <c r="I320" i="31"/>
  <c r="H320" i="31"/>
  <c r="G320" i="31"/>
  <c r="F320" i="31"/>
  <c r="W319" i="31"/>
  <c r="K319" i="31"/>
  <c r="J319" i="31"/>
  <c r="I319" i="31"/>
  <c r="H319" i="31"/>
  <c r="G319" i="31"/>
  <c r="F319" i="31"/>
  <c r="W318" i="31"/>
  <c r="K318" i="31"/>
  <c r="J318" i="31"/>
  <c r="I318" i="31"/>
  <c r="H318" i="31"/>
  <c r="G318" i="31"/>
  <c r="F318" i="31"/>
  <c r="W317" i="31"/>
  <c r="K317" i="31"/>
  <c r="J317" i="31"/>
  <c r="I317" i="31"/>
  <c r="H317" i="31"/>
  <c r="G317" i="31"/>
  <c r="F317" i="31"/>
  <c r="W316" i="31"/>
  <c r="K316" i="31"/>
  <c r="J316" i="31"/>
  <c r="I316" i="31"/>
  <c r="H316" i="31"/>
  <c r="G316" i="31"/>
  <c r="F316" i="31"/>
  <c r="W315" i="31"/>
  <c r="K315" i="31"/>
  <c r="J315" i="31"/>
  <c r="I315" i="31"/>
  <c r="H315" i="31"/>
  <c r="G315" i="31"/>
  <c r="F315" i="31"/>
  <c r="W314" i="31"/>
  <c r="K314" i="31"/>
  <c r="J314" i="31"/>
  <c r="I314" i="31"/>
  <c r="H314" i="31"/>
  <c r="G314" i="31"/>
  <c r="F314" i="31"/>
  <c r="W313" i="31"/>
  <c r="K313" i="31"/>
  <c r="J313" i="31"/>
  <c r="I313" i="31"/>
  <c r="H313" i="31"/>
  <c r="G313" i="31"/>
  <c r="F313" i="31"/>
  <c r="W312" i="31"/>
  <c r="K312" i="31"/>
  <c r="J312" i="31"/>
  <c r="I312" i="31"/>
  <c r="H312" i="31"/>
  <c r="G312" i="31"/>
  <c r="F312" i="31"/>
  <c r="W311" i="31"/>
  <c r="K311" i="31"/>
  <c r="J311" i="31"/>
  <c r="I311" i="31"/>
  <c r="H311" i="31"/>
  <c r="G311" i="31"/>
  <c r="F311" i="31"/>
  <c r="W310" i="31"/>
  <c r="K310" i="31"/>
  <c r="J310" i="31"/>
  <c r="I310" i="31"/>
  <c r="H310" i="31"/>
  <c r="G310" i="31"/>
  <c r="F310" i="31"/>
  <c r="W309" i="31"/>
  <c r="K309" i="31"/>
  <c r="J309" i="31"/>
  <c r="I309" i="31"/>
  <c r="H309" i="31"/>
  <c r="G309" i="31"/>
  <c r="F309" i="31"/>
  <c r="W308" i="31"/>
  <c r="K308" i="31"/>
  <c r="J308" i="31"/>
  <c r="I308" i="31"/>
  <c r="H308" i="31"/>
  <c r="G308" i="31"/>
  <c r="F308" i="31"/>
  <c r="W307" i="31"/>
  <c r="K307" i="31"/>
  <c r="J307" i="31"/>
  <c r="I307" i="31"/>
  <c r="H307" i="31"/>
  <c r="G307" i="31"/>
  <c r="F307" i="31"/>
  <c r="W306" i="31"/>
  <c r="K306" i="31"/>
  <c r="J306" i="31"/>
  <c r="I306" i="31"/>
  <c r="H306" i="31"/>
  <c r="G306" i="31"/>
  <c r="F306" i="31"/>
  <c r="W305" i="31"/>
  <c r="K305" i="31"/>
  <c r="J305" i="31"/>
  <c r="I305" i="31"/>
  <c r="H305" i="31"/>
  <c r="G305" i="31"/>
  <c r="F305" i="31"/>
  <c r="W304" i="31"/>
  <c r="K304" i="31"/>
  <c r="J304" i="31"/>
  <c r="I304" i="31"/>
  <c r="H304" i="31"/>
  <c r="G304" i="31"/>
  <c r="F304" i="31"/>
  <c r="W303" i="31"/>
  <c r="K303" i="31"/>
  <c r="J303" i="31"/>
  <c r="I303" i="31"/>
  <c r="H303" i="31"/>
  <c r="G303" i="31"/>
  <c r="F303" i="31"/>
  <c r="W302" i="31"/>
  <c r="K302" i="31"/>
  <c r="J302" i="31"/>
  <c r="I302" i="31"/>
  <c r="H302" i="31"/>
  <c r="G302" i="31"/>
  <c r="F302" i="31"/>
  <c r="W301" i="31"/>
  <c r="K301" i="31"/>
  <c r="J301" i="31"/>
  <c r="I301" i="31"/>
  <c r="H301" i="31"/>
  <c r="G301" i="31"/>
  <c r="F301" i="31"/>
  <c r="W300" i="31"/>
  <c r="K300" i="31"/>
  <c r="J300" i="31"/>
  <c r="I300" i="31"/>
  <c r="H300" i="31"/>
  <c r="G300" i="31"/>
  <c r="F300" i="31"/>
  <c r="W299" i="31"/>
  <c r="K299" i="31"/>
  <c r="J299" i="31"/>
  <c r="I299" i="31"/>
  <c r="H299" i="31"/>
  <c r="G299" i="31"/>
  <c r="F299" i="31"/>
  <c r="W298" i="31"/>
  <c r="K298" i="31"/>
  <c r="J298" i="31"/>
  <c r="I298" i="31"/>
  <c r="H298" i="31"/>
  <c r="G298" i="31"/>
  <c r="F298" i="31"/>
  <c r="W297" i="31"/>
  <c r="K297" i="31"/>
  <c r="J297" i="31"/>
  <c r="I297" i="31"/>
  <c r="H297" i="31"/>
  <c r="G297" i="31"/>
  <c r="F297" i="31"/>
  <c r="W296" i="31"/>
  <c r="K296" i="31"/>
  <c r="J296" i="31"/>
  <c r="I296" i="31"/>
  <c r="H296" i="31"/>
  <c r="G296" i="31"/>
  <c r="F296" i="31"/>
  <c r="W295" i="31"/>
  <c r="K295" i="31"/>
  <c r="J295" i="31"/>
  <c r="I295" i="31"/>
  <c r="H295" i="31"/>
  <c r="G295" i="31"/>
  <c r="F295" i="31"/>
  <c r="W294" i="31"/>
  <c r="K294" i="31"/>
  <c r="J294" i="31"/>
  <c r="I294" i="31"/>
  <c r="H294" i="31"/>
  <c r="G294" i="31"/>
  <c r="F294" i="31"/>
  <c r="W293" i="31"/>
  <c r="K293" i="31"/>
  <c r="J293" i="31"/>
  <c r="I293" i="31"/>
  <c r="H293" i="31"/>
  <c r="G293" i="31"/>
  <c r="F293" i="31"/>
  <c r="W292" i="31"/>
  <c r="K292" i="31"/>
  <c r="J292" i="31"/>
  <c r="I292" i="31"/>
  <c r="H292" i="31"/>
  <c r="G292" i="31"/>
  <c r="F292" i="31"/>
  <c r="W291" i="31"/>
  <c r="K291" i="31"/>
  <c r="J291" i="31"/>
  <c r="I291" i="31"/>
  <c r="H291" i="31"/>
  <c r="G291" i="31"/>
  <c r="F291" i="31"/>
  <c r="W290" i="31"/>
  <c r="K290" i="31"/>
  <c r="J290" i="31"/>
  <c r="I290" i="31"/>
  <c r="H290" i="31"/>
  <c r="G290" i="31"/>
  <c r="F290" i="31"/>
  <c r="W289" i="31"/>
  <c r="K289" i="31"/>
  <c r="J289" i="31"/>
  <c r="I289" i="31"/>
  <c r="H289" i="31"/>
  <c r="G289" i="31"/>
  <c r="F289" i="31"/>
  <c r="W288" i="31"/>
  <c r="K288" i="31"/>
  <c r="J288" i="31"/>
  <c r="I288" i="31"/>
  <c r="H288" i="31"/>
  <c r="G288" i="31"/>
  <c r="F288" i="31"/>
  <c r="W287" i="31"/>
  <c r="K287" i="31"/>
  <c r="J287" i="31"/>
  <c r="I287" i="31"/>
  <c r="H287" i="31"/>
  <c r="G287" i="31"/>
  <c r="F287" i="31"/>
  <c r="W286" i="31"/>
  <c r="K286" i="31"/>
  <c r="J286" i="31"/>
  <c r="I286" i="31"/>
  <c r="H286" i="31"/>
  <c r="G286" i="31"/>
  <c r="F286" i="31"/>
  <c r="W285" i="31"/>
  <c r="K285" i="31"/>
  <c r="J285" i="31"/>
  <c r="I285" i="31"/>
  <c r="H285" i="31"/>
  <c r="G285" i="31"/>
  <c r="F285" i="31"/>
  <c r="W284" i="31"/>
  <c r="K284" i="31"/>
  <c r="J284" i="31"/>
  <c r="I284" i="31"/>
  <c r="H284" i="31"/>
  <c r="G284" i="31"/>
  <c r="F284" i="31"/>
  <c r="W283" i="31"/>
  <c r="K283" i="31"/>
  <c r="J283" i="31"/>
  <c r="I283" i="31"/>
  <c r="H283" i="31"/>
  <c r="G283" i="31"/>
  <c r="F283" i="31"/>
  <c r="W282" i="31"/>
  <c r="K282" i="31"/>
  <c r="J282" i="31"/>
  <c r="I282" i="31"/>
  <c r="H282" i="31"/>
  <c r="G282" i="31"/>
  <c r="F282" i="31"/>
  <c r="W281" i="31"/>
  <c r="K281" i="31"/>
  <c r="J281" i="31"/>
  <c r="I281" i="31"/>
  <c r="H281" i="31"/>
  <c r="G281" i="31"/>
  <c r="F281" i="31"/>
  <c r="W280" i="31"/>
  <c r="K280" i="31"/>
  <c r="J280" i="31"/>
  <c r="I280" i="31"/>
  <c r="H280" i="31"/>
  <c r="G280" i="31"/>
  <c r="F280" i="31"/>
  <c r="W279" i="31"/>
  <c r="K279" i="31"/>
  <c r="J279" i="31"/>
  <c r="I279" i="31"/>
  <c r="H279" i="31"/>
  <c r="G279" i="31"/>
  <c r="F279" i="31"/>
  <c r="W278" i="31"/>
  <c r="K278" i="31"/>
  <c r="J278" i="31"/>
  <c r="I278" i="31"/>
  <c r="H278" i="31"/>
  <c r="G278" i="31"/>
  <c r="F278" i="31"/>
  <c r="W277" i="31"/>
  <c r="K277" i="31"/>
  <c r="J277" i="31"/>
  <c r="I277" i="31"/>
  <c r="H277" i="31"/>
  <c r="G277" i="31"/>
  <c r="F277" i="31"/>
  <c r="W276" i="31"/>
  <c r="K276" i="31"/>
  <c r="J276" i="31"/>
  <c r="I276" i="31"/>
  <c r="H276" i="31"/>
  <c r="G276" i="31"/>
  <c r="F276" i="31"/>
  <c r="W275" i="31"/>
  <c r="K275" i="31"/>
  <c r="J275" i="31"/>
  <c r="I275" i="31"/>
  <c r="H275" i="31"/>
  <c r="G275" i="31"/>
  <c r="F275" i="31"/>
  <c r="W274" i="31"/>
  <c r="K274" i="31"/>
  <c r="J274" i="31"/>
  <c r="I274" i="31"/>
  <c r="H274" i="31"/>
  <c r="G274" i="31"/>
  <c r="F274" i="31"/>
  <c r="W273" i="31"/>
  <c r="K273" i="31"/>
  <c r="J273" i="31"/>
  <c r="I273" i="31"/>
  <c r="H273" i="31"/>
  <c r="G273" i="31"/>
  <c r="F273" i="31"/>
  <c r="W272" i="31"/>
  <c r="K272" i="31"/>
  <c r="J272" i="31"/>
  <c r="I272" i="31"/>
  <c r="H272" i="31"/>
  <c r="G272" i="31"/>
  <c r="F272" i="31"/>
  <c r="W271" i="31"/>
  <c r="K271" i="31"/>
  <c r="J271" i="31"/>
  <c r="I271" i="31"/>
  <c r="H271" i="31"/>
  <c r="G271" i="31"/>
  <c r="F271" i="31"/>
  <c r="W270" i="31"/>
  <c r="K270" i="31"/>
  <c r="J270" i="31"/>
  <c r="I270" i="31"/>
  <c r="H270" i="31"/>
  <c r="G270" i="31"/>
  <c r="F270" i="31"/>
  <c r="W269" i="31"/>
  <c r="K269" i="31"/>
  <c r="J269" i="31"/>
  <c r="I269" i="31"/>
  <c r="H269" i="31"/>
  <c r="G269" i="31"/>
  <c r="F269" i="31"/>
  <c r="W268" i="31"/>
  <c r="K268" i="31"/>
  <c r="J268" i="31"/>
  <c r="I268" i="31"/>
  <c r="H268" i="31"/>
  <c r="G268" i="31"/>
  <c r="F268" i="31"/>
  <c r="W267" i="31"/>
  <c r="K267" i="31"/>
  <c r="J267" i="31"/>
  <c r="I267" i="31"/>
  <c r="H267" i="31"/>
  <c r="G267" i="31"/>
  <c r="F267" i="31"/>
  <c r="W266" i="31"/>
  <c r="K266" i="31"/>
  <c r="J266" i="31"/>
  <c r="I266" i="31"/>
  <c r="H266" i="31"/>
  <c r="G266" i="31"/>
  <c r="F266" i="31"/>
  <c r="W265" i="31"/>
  <c r="K265" i="31"/>
  <c r="J265" i="31"/>
  <c r="I265" i="31"/>
  <c r="H265" i="31"/>
  <c r="G265" i="31"/>
  <c r="F265" i="31"/>
  <c r="W264" i="31"/>
  <c r="K264" i="31"/>
  <c r="J264" i="31"/>
  <c r="I264" i="31"/>
  <c r="H264" i="31"/>
  <c r="G264" i="31"/>
  <c r="F264" i="31"/>
  <c r="W263" i="31"/>
  <c r="K263" i="31"/>
  <c r="J263" i="31"/>
  <c r="I263" i="31"/>
  <c r="H263" i="31"/>
  <c r="G263" i="31"/>
  <c r="F263" i="31"/>
  <c r="W262" i="31"/>
  <c r="K262" i="31"/>
  <c r="J262" i="31"/>
  <c r="I262" i="31"/>
  <c r="H262" i="31"/>
  <c r="G262" i="31"/>
  <c r="F262" i="31"/>
  <c r="W261" i="31"/>
  <c r="K261" i="31"/>
  <c r="J261" i="31"/>
  <c r="I261" i="31"/>
  <c r="H261" i="31"/>
  <c r="G261" i="31"/>
  <c r="F261" i="31"/>
  <c r="W260" i="31"/>
  <c r="K260" i="31"/>
  <c r="J260" i="31"/>
  <c r="I260" i="31"/>
  <c r="H260" i="31"/>
  <c r="G260" i="31"/>
  <c r="F260" i="31"/>
  <c r="W259" i="31"/>
  <c r="K259" i="31"/>
  <c r="J259" i="31"/>
  <c r="I259" i="31"/>
  <c r="H259" i="31"/>
  <c r="G259" i="31"/>
  <c r="F259" i="31"/>
  <c r="W258" i="31"/>
  <c r="K258" i="31"/>
  <c r="J258" i="31"/>
  <c r="I258" i="31"/>
  <c r="H258" i="31"/>
  <c r="G258" i="31"/>
  <c r="F258" i="31"/>
  <c r="W257" i="31"/>
  <c r="K257" i="31"/>
  <c r="J257" i="31"/>
  <c r="I257" i="31"/>
  <c r="H257" i="31"/>
  <c r="G257" i="31"/>
  <c r="F257" i="31"/>
  <c r="W256" i="31"/>
  <c r="K256" i="31"/>
  <c r="J256" i="31"/>
  <c r="I256" i="31"/>
  <c r="H256" i="31"/>
  <c r="G256" i="31"/>
  <c r="F256" i="31"/>
  <c r="W255" i="31"/>
  <c r="K255" i="31"/>
  <c r="J255" i="31"/>
  <c r="I255" i="31"/>
  <c r="H255" i="31"/>
  <c r="G255" i="31"/>
  <c r="F255" i="31"/>
  <c r="W254" i="31"/>
  <c r="K254" i="31"/>
  <c r="J254" i="31"/>
  <c r="I254" i="31"/>
  <c r="H254" i="31"/>
  <c r="G254" i="31"/>
  <c r="F254" i="31"/>
  <c r="W253" i="31"/>
  <c r="K253" i="31"/>
  <c r="J253" i="31"/>
  <c r="I253" i="31"/>
  <c r="H253" i="31"/>
  <c r="G253" i="31"/>
  <c r="F253" i="31"/>
  <c r="W252" i="31"/>
  <c r="K252" i="31"/>
  <c r="J252" i="31"/>
  <c r="I252" i="31"/>
  <c r="H252" i="31"/>
  <c r="G252" i="31"/>
  <c r="F252" i="31"/>
  <c r="W251" i="31"/>
  <c r="K251" i="31"/>
  <c r="J251" i="31"/>
  <c r="I251" i="31"/>
  <c r="H251" i="31"/>
  <c r="G251" i="31"/>
  <c r="F251" i="31"/>
  <c r="W250" i="31"/>
  <c r="K250" i="31"/>
  <c r="J250" i="31"/>
  <c r="I250" i="31"/>
  <c r="H250" i="31"/>
  <c r="G250" i="31"/>
  <c r="F250" i="31"/>
  <c r="W249" i="31"/>
  <c r="K249" i="31"/>
  <c r="J249" i="31"/>
  <c r="I249" i="31"/>
  <c r="H249" i="31"/>
  <c r="G249" i="31"/>
  <c r="F249" i="31"/>
  <c r="W248" i="31"/>
  <c r="K248" i="31"/>
  <c r="J248" i="31"/>
  <c r="I248" i="31"/>
  <c r="H248" i="31"/>
  <c r="G248" i="31"/>
  <c r="F248" i="31"/>
  <c r="W247" i="31"/>
  <c r="K247" i="31"/>
  <c r="J247" i="31"/>
  <c r="I247" i="31"/>
  <c r="H247" i="31"/>
  <c r="G247" i="31"/>
  <c r="F247" i="31"/>
  <c r="W246" i="31"/>
  <c r="K246" i="31"/>
  <c r="J246" i="31"/>
  <c r="I246" i="31"/>
  <c r="H246" i="31"/>
  <c r="G246" i="31"/>
  <c r="F246" i="31"/>
  <c r="W245" i="31"/>
  <c r="K245" i="31"/>
  <c r="J245" i="31"/>
  <c r="I245" i="31"/>
  <c r="H245" i="31"/>
  <c r="G245" i="31"/>
  <c r="F245" i="31"/>
  <c r="W244" i="31"/>
  <c r="K244" i="31"/>
  <c r="J244" i="31"/>
  <c r="I244" i="31"/>
  <c r="H244" i="31"/>
  <c r="G244" i="31"/>
  <c r="F244" i="31"/>
  <c r="W243" i="31"/>
  <c r="K243" i="31"/>
  <c r="J243" i="31"/>
  <c r="I243" i="31"/>
  <c r="H243" i="31"/>
  <c r="G243" i="31"/>
  <c r="F243" i="31"/>
  <c r="W242" i="31"/>
  <c r="K242" i="31"/>
  <c r="J242" i="31"/>
  <c r="I242" i="31"/>
  <c r="H242" i="31"/>
  <c r="G242" i="31"/>
  <c r="F242" i="31"/>
  <c r="W241" i="31"/>
  <c r="K241" i="31"/>
  <c r="J241" i="31"/>
  <c r="I241" i="31"/>
  <c r="H241" i="31"/>
  <c r="G241" i="31"/>
  <c r="F241" i="31"/>
  <c r="W240" i="31"/>
  <c r="K240" i="31"/>
  <c r="J240" i="31"/>
  <c r="I240" i="31"/>
  <c r="H240" i="31"/>
  <c r="G240" i="31"/>
  <c r="F240" i="31"/>
  <c r="W239" i="31"/>
  <c r="K239" i="31"/>
  <c r="J239" i="31"/>
  <c r="I239" i="31"/>
  <c r="H239" i="31"/>
  <c r="G239" i="31"/>
  <c r="F239" i="31"/>
  <c r="W238" i="31"/>
  <c r="K238" i="31"/>
  <c r="J238" i="31"/>
  <c r="I238" i="31"/>
  <c r="H238" i="31"/>
  <c r="G238" i="31"/>
  <c r="F238" i="31"/>
  <c r="W237" i="31"/>
  <c r="K237" i="31"/>
  <c r="J237" i="31"/>
  <c r="I237" i="31"/>
  <c r="H237" i="31"/>
  <c r="G237" i="31"/>
  <c r="F237" i="31"/>
  <c r="W236" i="31"/>
  <c r="K236" i="31"/>
  <c r="J236" i="31"/>
  <c r="I236" i="31"/>
  <c r="H236" i="31"/>
  <c r="G236" i="31"/>
  <c r="F236" i="31"/>
  <c r="W235" i="31"/>
  <c r="K235" i="31"/>
  <c r="J235" i="31"/>
  <c r="I235" i="31"/>
  <c r="H235" i="31"/>
  <c r="G235" i="31"/>
  <c r="F235" i="31"/>
  <c r="W234" i="31"/>
  <c r="K234" i="31"/>
  <c r="J234" i="31"/>
  <c r="I234" i="31"/>
  <c r="H234" i="31"/>
  <c r="G234" i="31"/>
  <c r="F234" i="31"/>
  <c r="W233" i="31"/>
  <c r="K233" i="31"/>
  <c r="J233" i="31"/>
  <c r="I233" i="31"/>
  <c r="H233" i="31"/>
  <c r="G233" i="31"/>
  <c r="F233" i="31"/>
  <c r="W232" i="31"/>
  <c r="K232" i="31"/>
  <c r="J232" i="31"/>
  <c r="I232" i="31"/>
  <c r="H232" i="31"/>
  <c r="G232" i="31"/>
  <c r="F232" i="31"/>
  <c r="W231" i="31"/>
  <c r="K231" i="31"/>
  <c r="J231" i="31"/>
  <c r="I231" i="31"/>
  <c r="H231" i="31"/>
  <c r="G231" i="31"/>
  <c r="F231" i="31"/>
  <c r="W230" i="31"/>
  <c r="K230" i="31"/>
  <c r="J230" i="31"/>
  <c r="I230" i="31"/>
  <c r="H230" i="31"/>
  <c r="G230" i="31"/>
  <c r="F230" i="31"/>
  <c r="W229" i="31"/>
  <c r="K229" i="31"/>
  <c r="J229" i="31"/>
  <c r="I229" i="31"/>
  <c r="H229" i="31"/>
  <c r="G229" i="31"/>
  <c r="F229" i="31"/>
  <c r="W228" i="31"/>
  <c r="K228" i="31"/>
  <c r="J228" i="31"/>
  <c r="I228" i="31"/>
  <c r="H228" i="31"/>
  <c r="G228" i="31"/>
  <c r="F228" i="31"/>
  <c r="W227" i="31"/>
  <c r="K227" i="31"/>
  <c r="J227" i="31"/>
  <c r="I227" i="31"/>
  <c r="H227" i="31"/>
  <c r="G227" i="31"/>
  <c r="F227" i="31"/>
  <c r="W226" i="31"/>
  <c r="K226" i="31"/>
  <c r="J226" i="31"/>
  <c r="I226" i="31"/>
  <c r="H226" i="31"/>
  <c r="G226" i="31"/>
  <c r="F226" i="31"/>
  <c r="W225" i="31"/>
  <c r="K225" i="31"/>
  <c r="J225" i="31"/>
  <c r="I225" i="31"/>
  <c r="H225" i="31"/>
  <c r="G225" i="31"/>
  <c r="F225" i="31"/>
  <c r="W224" i="31"/>
  <c r="K224" i="31"/>
  <c r="J224" i="31"/>
  <c r="I224" i="31"/>
  <c r="H224" i="31"/>
  <c r="G224" i="31"/>
  <c r="F224" i="31"/>
  <c r="W223" i="31"/>
  <c r="K223" i="31"/>
  <c r="J223" i="31"/>
  <c r="I223" i="31"/>
  <c r="H223" i="31"/>
  <c r="G223" i="31"/>
  <c r="F223" i="31"/>
  <c r="W222" i="31"/>
  <c r="K222" i="31"/>
  <c r="J222" i="31"/>
  <c r="I222" i="31"/>
  <c r="H222" i="31"/>
  <c r="G222" i="31"/>
  <c r="F222" i="31"/>
  <c r="W221" i="31"/>
  <c r="K221" i="31"/>
  <c r="J221" i="31"/>
  <c r="I221" i="31"/>
  <c r="H221" i="31"/>
  <c r="G221" i="31"/>
  <c r="F221" i="31"/>
  <c r="W220" i="31"/>
  <c r="K220" i="31"/>
  <c r="J220" i="31"/>
  <c r="I220" i="31"/>
  <c r="H220" i="31"/>
  <c r="G220" i="31"/>
  <c r="F220" i="31"/>
  <c r="W219" i="31"/>
  <c r="K219" i="31"/>
  <c r="J219" i="31"/>
  <c r="I219" i="31"/>
  <c r="H219" i="31"/>
  <c r="G219" i="31"/>
  <c r="F219" i="31"/>
  <c r="W218" i="31"/>
  <c r="K218" i="31"/>
  <c r="J218" i="31"/>
  <c r="I218" i="31"/>
  <c r="H218" i="31"/>
  <c r="G218" i="31"/>
  <c r="F218" i="31"/>
  <c r="W217" i="31"/>
  <c r="K217" i="31"/>
  <c r="J217" i="31"/>
  <c r="I217" i="31"/>
  <c r="H217" i="31"/>
  <c r="G217" i="31"/>
  <c r="F217" i="31"/>
  <c r="W216" i="31"/>
  <c r="K216" i="31"/>
  <c r="J216" i="31"/>
  <c r="I216" i="31"/>
  <c r="H216" i="31"/>
  <c r="G216" i="31"/>
  <c r="F216" i="31"/>
  <c r="W215" i="31"/>
  <c r="K215" i="31"/>
  <c r="J215" i="31"/>
  <c r="I215" i="31"/>
  <c r="H215" i="31"/>
  <c r="G215" i="31"/>
  <c r="F215" i="31"/>
  <c r="W214" i="31"/>
  <c r="K214" i="31"/>
  <c r="J214" i="31"/>
  <c r="I214" i="31"/>
  <c r="H214" i="31"/>
  <c r="G214" i="31"/>
  <c r="F214" i="31"/>
  <c r="W213" i="31"/>
  <c r="K213" i="31"/>
  <c r="J213" i="31"/>
  <c r="I213" i="31"/>
  <c r="H213" i="31"/>
  <c r="G213" i="31"/>
  <c r="F213" i="31"/>
  <c r="W212" i="31"/>
  <c r="K212" i="31"/>
  <c r="J212" i="31"/>
  <c r="I212" i="31"/>
  <c r="H212" i="31"/>
  <c r="G212" i="31"/>
  <c r="F212" i="31"/>
  <c r="W211" i="31"/>
  <c r="K211" i="31"/>
  <c r="J211" i="31"/>
  <c r="I211" i="31"/>
  <c r="H211" i="31"/>
  <c r="G211" i="31"/>
  <c r="F211" i="31"/>
  <c r="W210" i="31"/>
  <c r="K210" i="31"/>
  <c r="J210" i="31"/>
  <c r="I210" i="31"/>
  <c r="H210" i="31"/>
  <c r="G210" i="31"/>
  <c r="F210" i="31"/>
  <c r="W209" i="31"/>
  <c r="K209" i="31"/>
  <c r="J209" i="31"/>
  <c r="I209" i="31"/>
  <c r="H209" i="31"/>
  <c r="G209" i="31"/>
  <c r="F209" i="31"/>
  <c r="W208" i="31"/>
  <c r="K208" i="31"/>
  <c r="J208" i="31"/>
  <c r="I208" i="31"/>
  <c r="H208" i="31"/>
  <c r="G208" i="31"/>
  <c r="F208" i="31"/>
  <c r="W207" i="31"/>
  <c r="K207" i="31"/>
  <c r="J207" i="31"/>
  <c r="I207" i="31"/>
  <c r="H207" i="31"/>
  <c r="G207" i="31"/>
  <c r="F207" i="31"/>
  <c r="W206" i="31"/>
  <c r="K206" i="31"/>
  <c r="J206" i="31"/>
  <c r="I206" i="31"/>
  <c r="H206" i="31"/>
  <c r="G206" i="31"/>
  <c r="F206" i="31"/>
  <c r="W205" i="31"/>
  <c r="K205" i="31"/>
  <c r="J205" i="31"/>
  <c r="I205" i="31"/>
  <c r="H205" i="31"/>
  <c r="G205" i="31"/>
  <c r="F205" i="31"/>
  <c r="W204" i="31"/>
  <c r="K204" i="31"/>
  <c r="J204" i="31"/>
  <c r="I204" i="31"/>
  <c r="H204" i="31"/>
  <c r="G204" i="31"/>
  <c r="F204" i="31"/>
  <c r="W203" i="31"/>
  <c r="K203" i="31"/>
  <c r="J203" i="31"/>
  <c r="I203" i="31"/>
  <c r="H203" i="31"/>
  <c r="G203" i="31"/>
  <c r="F203" i="31"/>
  <c r="W202" i="31"/>
  <c r="K202" i="31"/>
  <c r="J202" i="31"/>
  <c r="I202" i="31"/>
  <c r="H202" i="31"/>
  <c r="G202" i="31"/>
  <c r="F202" i="31"/>
  <c r="W201" i="31"/>
  <c r="K201" i="31"/>
  <c r="J201" i="31"/>
  <c r="I201" i="31"/>
  <c r="H201" i="31"/>
  <c r="G201" i="31"/>
  <c r="F201" i="31"/>
  <c r="W200" i="31"/>
  <c r="K200" i="31"/>
  <c r="J200" i="31"/>
  <c r="I200" i="31"/>
  <c r="H200" i="31"/>
  <c r="G200" i="31"/>
  <c r="F200" i="31"/>
  <c r="W199" i="31"/>
  <c r="K199" i="31"/>
  <c r="J199" i="31"/>
  <c r="I199" i="31"/>
  <c r="H199" i="31"/>
  <c r="G199" i="31"/>
  <c r="F199" i="31"/>
  <c r="W198" i="31"/>
  <c r="K198" i="31"/>
  <c r="J198" i="31"/>
  <c r="I198" i="31"/>
  <c r="H198" i="31"/>
  <c r="G198" i="31"/>
  <c r="F198" i="31"/>
  <c r="W197" i="31"/>
  <c r="K197" i="31"/>
  <c r="J197" i="31"/>
  <c r="I197" i="31"/>
  <c r="H197" i="31"/>
  <c r="G197" i="31"/>
  <c r="F197" i="31"/>
  <c r="W196" i="31"/>
  <c r="K196" i="31"/>
  <c r="J196" i="31"/>
  <c r="I196" i="31"/>
  <c r="H196" i="31"/>
  <c r="G196" i="31"/>
  <c r="F196" i="31"/>
  <c r="W195" i="31"/>
  <c r="K195" i="31"/>
  <c r="J195" i="31"/>
  <c r="I195" i="31"/>
  <c r="H195" i="31"/>
  <c r="G195" i="31"/>
  <c r="F195" i="31"/>
  <c r="W194" i="31"/>
  <c r="K194" i="31"/>
  <c r="J194" i="31"/>
  <c r="I194" i="31"/>
  <c r="H194" i="31"/>
  <c r="G194" i="31"/>
  <c r="F194" i="31"/>
  <c r="W193" i="31"/>
  <c r="K193" i="31"/>
  <c r="J193" i="31"/>
  <c r="I193" i="31"/>
  <c r="H193" i="31"/>
  <c r="G193" i="31"/>
  <c r="F193" i="31"/>
  <c r="W192" i="31"/>
  <c r="K192" i="31"/>
  <c r="J192" i="31"/>
  <c r="I192" i="31"/>
  <c r="H192" i="31"/>
  <c r="G192" i="31"/>
  <c r="F192" i="31"/>
  <c r="W191" i="31"/>
  <c r="K191" i="31"/>
  <c r="J191" i="31"/>
  <c r="I191" i="31"/>
  <c r="H191" i="31"/>
  <c r="G191" i="31"/>
  <c r="F191" i="31"/>
  <c r="W190" i="31"/>
  <c r="K190" i="31"/>
  <c r="J190" i="31"/>
  <c r="I190" i="31"/>
  <c r="H190" i="31"/>
  <c r="G190" i="31"/>
  <c r="F190" i="31"/>
  <c r="W189" i="31"/>
  <c r="K189" i="31"/>
  <c r="J189" i="31"/>
  <c r="I189" i="31"/>
  <c r="H189" i="31"/>
  <c r="G189" i="31"/>
  <c r="F189" i="31"/>
  <c r="W188" i="31"/>
  <c r="K188" i="31"/>
  <c r="J188" i="31"/>
  <c r="I188" i="31"/>
  <c r="H188" i="31"/>
  <c r="G188" i="31"/>
  <c r="F188" i="31"/>
  <c r="W187" i="31"/>
  <c r="K187" i="31"/>
  <c r="J187" i="31"/>
  <c r="I187" i="31"/>
  <c r="H187" i="31"/>
  <c r="G187" i="31"/>
  <c r="F187" i="31"/>
  <c r="W186" i="31"/>
  <c r="K186" i="31"/>
  <c r="J186" i="31"/>
  <c r="I186" i="31"/>
  <c r="H186" i="31"/>
  <c r="G186" i="31"/>
  <c r="F186" i="31"/>
  <c r="W185" i="31"/>
  <c r="K185" i="31"/>
  <c r="J185" i="31"/>
  <c r="I185" i="31"/>
  <c r="H185" i="31"/>
  <c r="G185" i="31"/>
  <c r="F185" i="31"/>
  <c r="W184" i="31"/>
  <c r="K184" i="31"/>
  <c r="J184" i="31"/>
  <c r="I184" i="31"/>
  <c r="H184" i="31"/>
  <c r="G184" i="31"/>
  <c r="F184" i="31"/>
  <c r="W183" i="31"/>
  <c r="K183" i="31"/>
  <c r="J183" i="31"/>
  <c r="I183" i="31"/>
  <c r="H183" i="31"/>
  <c r="G183" i="31"/>
  <c r="F183" i="31"/>
  <c r="W182" i="31"/>
  <c r="K182" i="31"/>
  <c r="J182" i="31"/>
  <c r="I182" i="31"/>
  <c r="H182" i="31"/>
  <c r="G182" i="31"/>
  <c r="F182" i="31"/>
  <c r="W181" i="31"/>
  <c r="K181" i="31"/>
  <c r="J181" i="31"/>
  <c r="I181" i="31"/>
  <c r="H181" i="31"/>
  <c r="G181" i="31"/>
  <c r="F181" i="31"/>
  <c r="W180" i="31"/>
  <c r="K180" i="31"/>
  <c r="J180" i="31"/>
  <c r="I180" i="31"/>
  <c r="H180" i="31"/>
  <c r="G180" i="31"/>
  <c r="F180" i="31"/>
  <c r="W179" i="31"/>
  <c r="K179" i="31"/>
  <c r="J179" i="31"/>
  <c r="I179" i="31"/>
  <c r="H179" i="31"/>
  <c r="G179" i="31"/>
  <c r="F179" i="31"/>
  <c r="W178" i="31"/>
  <c r="K178" i="31"/>
  <c r="J178" i="31"/>
  <c r="I178" i="31"/>
  <c r="H178" i="31"/>
  <c r="G178" i="31"/>
  <c r="F178" i="31"/>
  <c r="W177" i="31"/>
  <c r="K177" i="31"/>
  <c r="J177" i="31"/>
  <c r="I177" i="31"/>
  <c r="H177" i="31"/>
  <c r="G177" i="31"/>
  <c r="F177" i="31"/>
  <c r="W176" i="31"/>
  <c r="K176" i="31"/>
  <c r="J176" i="31"/>
  <c r="I176" i="31"/>
  <c r="H176" i="31"/>
  <c r="G176" i="31"/>
  <c r="F176" i="31"/>
  <c r="W175" i="31"/>
  <c r="K175" i="31"/>
  <c r="J175" i="31"/>
  <c r="I175" i="31"/>
  <c r="H175" i="31"/>
  <c r="G175" i="31"/>
  <c r="F175" i="31"/>
  <c r="W174" i="31"/>
  <c r="K174" i="31"/>
  <c r="J174" i="31"/>
  <c r="I174" i="31"/>
  <c r="H174" i="31"/>
  <c r="G174" i="31"/>
  <c r="F174" i="31"/>
  <c r="W173" i="31"/>
  <c r="K173" i="31"/>
  <c r="J173" i="31"/>
  <c r="I173" i="31"/>
  <c r="H173" i="31"/>
  <c r="G173" i="31"/>
  <c r="F173" i="31"/>
  <c r="W172" i="31"/>
  <c r="K172" i="31"/>
  <c r="J172" i="31"/>
  <c r="I172" i="31"/>
  <c r="H172" i="31"/>
  <c r="G172" i="31"/>
  <c r="F172" i="31"/>
  <c r="W171" i="31"/>
  <c r="K171" i="31"/>
  <c r="J171" i="31"/>
  <c r="I171" i="31"/>
  <c r="H171" i="31"/>
  <c r="G171" i="31"/>
  <c r="F171" i="31"/>
  <c r="W170" i="31"/>
  <c r="K170" i="31"/>
  <c r="J170" i="31"/>
  <c r="I170" i="31"/>
  <c r="H170" i="31"/>
  <c r="G170" i="31"/>
  <c r="F170" i="31"/>
  <c r="W169" i="31"/>
  <c r="K169" i="31"/>
  <c r="J169" i="31"/>
  <c r="I169" i="31"/>
  <c r="H169" i="31"/>
  <c r="G169" i="31"/>
  <c r="F169" i="31"/>
  <c r="W168" i="31"/>
  <c r="K168" i="31"/>
  <c r="J168" i="31"/>
  <c r="I168" i="31"/>
  <c r="H168" i="31"/>
  <c r="G168" i="31"/>
  <c r="F168" i="31"/>
  <c r="W167" i="31"/>
  <c r="K167" i="31"/>
  <c r="J167" i="31"/>
  <c r="I167" i="31"/>
  <c r="H167" i="31"/>
  <c r="G167" i="31"/>
  <c r="F167" i="31"/>
  <c r="W166" i="31"/>
  <c r="K166" i="31"/>
  <c r="J166" i="31"/>
  <c r="I166" i="31"/>
  <c r="H166" i="31"/>
  <c r="G166" i="31"/>
  <c r="F166" i="31"/>
  <c r="W165" i="31"/>
  <c r="K165" i="31"/>
  <c r="J165" i="31"/>
  <c r="I165" i="31"/>
  <c r="H165" i="31"/>
  <c r="G165" i="31"/>
  <c r="F165" i="31"/>
  <c r="W164" i="31"/>
  <c r="K164" i="31"/>
  <c r="J164" i="31"/>
  <c r="I164" i="31"/>
  <c r="H164" i="31"/>
  <c r="G164" i="31"/>
  <c r="F164" i="31"/>
  <c r="W163" i="31"/>
  <c r="K163" i="31"/>
  <c r="J163" i="31"/>
  <c r="I163" i="31"/>
  <c r="H163" i="31"/>
  <c r="G163" i="31"/>
  <c r="F163" i="31"/>
  <c r="W162" i="31"/>
  <c r="K162" i="31"/>
  <c r="J162" i="31"/>
  <c r="I162" i="31"/>
  <c r="H162" i="31"/>
  <c r="G162" i="31"/>
  <c r="F162" i="31"/>
  <c r="W161" i="31"/>
  <c r="K161" i="31"/>
  <c r="J161" i="31"/>
  <c r="I161" i="31"/>
  <c r="H161" i="31"/>
  <c r="G161" i="31"/>
  <c r="F161" i="31"/>
  <c r="W160" i="31"/>
  <c r="K160" i="31"/>
  <c r="J160" i="31"/>
  <c r="I160" i="31"/>
  <c r="H160" i="31"/>
  <c r="G160" i="31"/>
  <c r="F160" i="31"/>
  <c r="W159" i="31"/>
  <c r="K159" i="31"/>
  <c r="J159" i="31"/>
  <c r="I159" i="31"/>
  <c r="H159" i="31"/>
  <c r="G159" i="31"/>
  <c r="F159" i="31"/>
  <c r="W158" i="31"/>
  <c r="K158" i="31"/>
  <c r="J158" i="31"/>
  <c r="I158" i="31"/>
  <c r="H158" i="31"/>
  <c r="G158" i="31"/>
  <c r="F158" i="31"/>
  <c r="W157" i="31"/>
  <c r="K157" i="31"/>
  <c r="J157" i="31"/>
  <c r="I157" i="31"/>
  <c r="H157" i="31"/>
  <c r="G157" i="31"/>
  <c r="F157" i="31"/>
  <c r="W156" i="31"/>
  <c r="K156" i="31"/>
  <c r="J156" i="31"/>
  <c r="I156" i="31"/>
  <c r="H156" i="31"/>
  <c r="G156" i="31"/>
  <c r="F156" i="31"/>
  <c r="W155" i="31"/>
  <c r="K155" i="31"/>
  <c r="J155" i="31"/>
  <c r="I155" i="31"/>
  <c r="H155" i="31"/>
  <c r="G155" i="31"/>
  <c r="F155" i="31"/>
  <c r="W154" i="31"/>
  <c r="K154" i="31"/>
  <c r="J154" i="31"/>
  <c r="I154" i="31"/>
  <c r="H154" i="31"/>
  <c r="G154" i="31"/>
  <c r="F154" i="31"/>
  <c r="W153" i="31"/>
  <c r="K153" i="31"/>
  <c r="J153" i="31"/>
  <c r="I153" i="31"/>
  <c r="H153" i="31"/>
  <c r="G153" i="31"/>
  <c r="F153" i="31"/>
  <c r="W152" i="31"/>
  <c r="K152" i="31"/>
  <c r="J152" i="31"/>
  <c r="I152" i="31"/>
  <c r="H152" i="31"/>
  <c r="G152" i="31"/>
  <c r="F152" i="31"/>
  <c r="W151" i="31"/>
  <c r="K151" i="31"/>
  <c r="J151" i="31"/>
  <c r="I151" i="31"/>
  <c r="H151" i="31"/>
  <c r="G151" i="31"/>
  <c r="F151" i="31"/>
  <c r="W150" i="31"/>
  <c r="K150" i="31"/>
  <c r="J150" i="31"/>
  <c r="I150" i="31"/>
  <c r="H150" i="31"/>
  <c r="G150" i="31"/>
  <c r="F150" i="31"/>
  <c r="W149" i="31"/>
  <c r="K149" i="31"/>
  <c r="J149" i="31"/>
  <c r="I149" i="31"/>
  <c r="H149" i="31"/>
  <c r="G149" i="31"/>
  <c r="F149" i="31"/>
  <c r="W148" i="31"/>
  <c r="K148" i="31"/>
  <c r="J148" i="31"/>
  <c r="I148" i="31"/>
  <c r="H148" i="31"/>
  <c r="G148" i="31"/>
  <c r="F148" i="31"/>
  <c r="W147" i="31"/>
  <c r="K147" i="31"/>
  <c r="J147" i="31"/>
  <c r="I147" i="31"/>
  <c r="H147" i="31"/>
  <c r="G147" i="31"/>
  <c r="F147" i="31"/>
  <c r="W146" i="31"/>
  <c r="K146" i="31"/>
  <c r="J146" i="31"/>
  <c r="I146" i="31"/>
  <c r="H146" i="31"/>
  <c r="G146" i="31"/>
  <c r="F146" i="31"/>
  <c r="W145" i="31"/>
  <c r="K145" i="31"/>
  <c r="J145" i="31"/>
  <c r="I145" i="31"/>
  <c r="H145" i="31"/>
  <c r="G145" i="31"/>
  <c r="F145" i="31"/>
  <c r="W144" i="31"/>
  <c r="K144" i="31"/>
  <c r="J144" i="31"/>
  <c r="I144" i="31"/>
  <c r="H144" i="31"/>
  <c r="G144" i="31"/>
  <c r="F144" i="31"/>
  <c r="W143" i="31"/>
  <c r="K143" i="31"/>
  <c r="J143" i="31"/>
  <c r="I143" i="31"/>
  <c r="H143" i="31"/>
  <c r="G143" i="31"/>
  <c r="F143" i="31"/>
  <c r="W142" i="31"/>
  <c r="K142" i="31"/>
  <c r="J142" i="31"/>
  <c r="I142" i="31"/>
  <c r="H142" i="31"/>
  <c r="G142" i="31"/>
  <c r="F142" i="31"/>
  <c r="W141" i="31"/>
  <c r="K141" i="31"/>
  <c r="J141" i="31"/>
  <c r="I141" i="31"/>
  <c r="H141" i="31"/>
  <c r="G141" i="31"/>
  <c r="F141" i="31"/>
  <c r="W140" i="31"/>
  <c r="K140" i="31"/>
  <c r="J140" i="31"/>
  <c r="I140" i="31"/>
  <c r="H140" i="31"/>
  <c r="G140" i="31"/>
  <c r="F140" i="31"/>
  <c r="W139" i="31"/>
  <c r="K139" i="31"/>
  <c r="J139" i="31"/>
  <c r="I139" i="31"/>
  <c r="H139" i="31"/>
  <c r="G139" i="31"/>
  <c r="F139" i="31"/>
  <c r="W138" i="31"/>
  <c r="K138" i="31"/>
  <c r="J138" i="31"/>
  <c r="I138" i="31"/>
  <c r="H138" i="31"/>
  <c r="G138" i="31"/>
  <c r="F138" i="31"/>
  <c r="W137" i="31"/>
  <c r="K137" i="31"/>
  <c r="J137" i="31"/>
  <c r="I137" i="31"/>
  <c r="H137" i="31"/>
  <c r="G137" i="31"/>
  <c r="F137" i="31"/>
  <c r="W136" i="31"/>
  <c r="K136" i="31"/>
  <c r="J136" i="31"/>
  <c r="I136" i="31"/>
  <c r="H136" i="31"/>
  <c r="G136" i="31"/>
  <c r="F136" i="31"/>
  <c r="W135" i="31"/>
  <c r="K135" i="31"/>
  <c r="J135" i="31"/>
  <c r="I135" i="31"/>
  <c r="H135" i="31"/>
  <c r="G135" i="31"/>
  <c r="F135" i="31"/>
  <c r="W134" i="31"/>
  <c r="K134" i="31"/>
  <c r="J134" i="31"/>
  <c r="I134" i="31"/>
  <c r="H134" i="31"/>
  <c r="G134" i="31"/>
  <c r="F134" i="31"/>
  <c r="W133" i="31"/>
  <c r="K133" i="31"/>
  <c r="J133" i="31"/>
  <c r="I133" i="31"/>
  <c r="H133" i="31"/>
  <c r="G133" i="31"/>
  <c r="F133" i="31"/>
  <c r="W132" i="31"/>
  <c r="K132" i="31"/>
  <c r="J132" i="31"/>
  <c r="I132" i="31"/>
  <c r="H132" i="31"/>
  <c r="G132" i="31"/>
  <c r="F132" i="31"/>
  <c r="W131" i="31"/>
  <c r="K131" i="31"/>
  <c r="J131" i="31"/>
  <c r="I131" i="31"/>
  <c r="H131" i="31"/>
  <c r="G131" i="31"/>
  <c r="F131" i="31"/>
  <c r="W130" i="31"/>
  <c r="K130" i="31"/>
  <c r="J130" i="31"/>
  <c r="I130" i="31"/>
  <c r="H130" i="31"/>
  <c r="G130" i="31"/>
  <c r="F130" i="31"/>
  <c r="W129" i="31"/>
  <c r="K129" i="31"/>
  <c r="J129" i="31"/>
  <c r="I129" i="31"/>
  <c r="H129" i="31"/>
  <c r="G129" i="31"/>
  <c r="F129" i="31"/>
  <c r="W128" i="31"/>
  <c r="K128" i="31"/>
  <c r="J128" i="31"/>
  <c r="I128" i="31"/>
  <c r="H128" i="31"/>
  <c r="G128" i="31"/>
  <c r="F128" i="31"/>
  <c r="W127" i="31"/>
  <c r="K127" i="31"/>
  <c r="J127" i="31"/>
  <c r="I127" i="31"/>
  <c r="H127" i="31"/>
  <c r="G127" i="31"/>
  <c r="F127" i="31"/>
  <c r="W126" i="31"/>
  <c r="K126" i="31"/>
  <c r="J126" i="31"/>
  <c r="I126" i="31"/>
  <c r="H126" i="31"/>
  <c r="G126" i="31"/>
  <c r="F126" i="31"/>
  <c r="W125" i="31"/>
  <c r="K125" i="31"/>
  <c r="J125" i="31"/>
  <c r="I125" i="31"/>
  <c r="H125" i="31"/>
  <c r="G125" i="31"/>
  <c r="F125" i="31"/>
  <c r="W124" i="31"/>
  <c r="K124" i="31"/>
  <c r="J124" i="31"/>
  <c r="I124" i="31"/>
  <c r="H124" i="31"/>
  <c r="G124" i="31"/>
  <c r="F124" i="31"/>
  <c r="W123" i="31"/>
  <c r="K123" i="31"/>
  <c r="J123" i="31"/>
  <c r="I123" i="31"/>
  <c r="H123" i="31"/>
  <c r="G123" i="31"/>
  <c r="F123" i="31"/>
  <c r="W122" i="31"/>
  <c r="K122" i="31"/>
  <c r="J122" i="31"/>
  <c r="I122" i="31"/>
  <c r="H122" i="31"/>
  <c r="G122" i="31"/>
  <c r="F122" i="31"/>
  <c r="W121" i="31"/>
  <c r="K121" i="31"/>
  <c r="J121" i="31"/>
  <c r="I121" i="31"/>
  <c r="H121" i="31"/>
  <c r="G121" i="31"/>
  <c r="F121" i="31"/>
  <c r="W120" i="31"/>
  <c r="K120" i="31"/>
  <c r="J120" i="31"/>
  <c r="I120" i="31"/>
  <c r="H120" i="31"/>
  <c r="G120" i="31"/>
  <c r="F120" i="31"/>
  <c r="W119" i="31"/>
  <c r="K119" i="31"/>
  <c r="J119" i="31"/>
  <c r="I119" i="31"/>
  <c r="H119" i="31"/>
  <c r="G119" i="31"/>
  <c r="F119" i="31"/>
  <c r="W118" i="31"/>
  <c r="K118" i="31"/>
  <c r="J118" i="31"/>
  <c r="I118" i="31"/>
  <c r="H118" i="31"/>
  <c r="G118" i="31"/>
  <c r="F118" i="31"/>
  <c r="W117" i="31"/>
  <c r="K117" i="31"/>
  <c r="J117" i="31"/>
  <c r="I117" i="31"/>
  <c r="H117" i="31"/>
  <c r="G117" i="31"/>
  <c r="F117" i="31"/>
  <c r="W116" i="31"/>
  <c r="K116" i="31"/>
  <c r="J116" i="31"/>
  <c r="I116" i="31"/>
  <c r="H116" i="31"/>
  <c r="G116" i="31"/>
  <c r="F116" i="31"/>
  <c r="W115" i="31"/>
  <c r="K115" i="31"/>
  <c r="J115" i="31"/>
  <c r="I115" i="31"/>
  <c r="H115" i="31"/>
  <c r="G115" i="31"/>
  <c r="F115" i="31"/>
  <c r="W114" i="31"/>
  <c r="K114" i="31"/>
  <c r="J114" i="31"/>
  <c r="I114" i="31"/>
  <c r="H114" i="31"/>
  <c r="G114" i="31"/>
  <c r="F114" i="31"/>
  <c r="W113" i="31"/>
  <c r="K113" i="31"/>
  <c r="J113" i="31"/>
  <c r="I113" i="31"/>
  <c r="H113" i="31"/>
  <c r="G113" i="31"/>
  <c r="F113" i="31"/>
  <c r="W112" i="31"/>
  <c r="K112" i="31"/>
  <c r="J112" i="31"/>
  <c r="I112" i="31"/>
  <c r="H112" i="31"/>
  <c r="G112" i="31"/>
  <c r="F112" i="31"/>
  <c r="W111" i="31"/>
  <c r="K111" i="31"/>
  <c r="J111" i="31"/>
  <c r="I111" i="31"/>
  <c r="H111" i="31"/>
  <c r="G111" i="31"/>
  <c r="F111" i="31"/>
  <c r="W110" i="31"/>
  <c r="K110" i="31"/>
  <c r="J110" i="31"/>
  <c r="I110" i="31"/>
  <c r="H110" i="31"/>
  <c r="G110" i="31"/>
  <c r="F110" i="31"/>
  <c r="W109" i="31"/>
  <c r="K109" i="31"/>
  <c r="J109" i="31"/>
  <c r="I109" i="31"/>
  <c r="H109" i="31"/>
  <c r="G109" i="31"/>
  <c r="F109" i="31"/>
  <c r="W108" i="31"/>
  <c r="K108" i="31"/>
  <c r="J108" i="31"/>
  <c r="I108" i="31"/>
  <c r="H108" i="31"/>
  <c r="G108" i="31"/>
  <c r="F108" i="31"/>
  <c r="W107" i="31"/>
  <c r="K107" i="31"/>
  <c r="J107" i="31"/>
  <c r="I107" i="31"/>
  <c r="H107" i="31"/>
  <c r="G107" i="31"/>
  <c r="F107" i="31"/>
  <c r="W106" i="31"/>
  <c r="K106" i="31"/>
  <c r="J106" i="31"/>
  <c r="I106" i="31"/>
  <c r="H106" i="31"/>
  <c r="G106" i="31"/>
  <c r="F106" i="31"/>
  <c r="W105" i="31"/>
  <c r="K105" i="31"/>
  <c r="J105" i="31"/>
  <c r="I105" i="31"/>
  <c r="H105" i="31"/>
  <c r="G105" i="31"/>
  <c r="F105" i="31"/>
  <c r="W104" i="31"/>
  <c r="K104" i="31"/>
  <c r="J104" i="31"/>
  <c r="I104" i="31"/>
  <c r="H104" i="31"/>
  <c r="G104" i="31"/>
  <c r="F104" i="31"/>
  <c r="W103" i="31"/>
  <c r="K103" i="31"/>
  <c r="J103" i="31"/>
  <c r="I103" i="31"/>
  <c r="H103" i="31"/>
  <c r="G103" i="31"/>
  <c r="F103" i="31"/>
  <c r="W102" i="31"/>
  <c r="K102" i="31"/>
  <c r="J102" i="31"/>
  <c r="I102" i="31"/>
  <c r="H102" i="31"/>
  <c r="G102" i="31"/>
  <c r="F102" i="31"/>
  <c r="W101" i="31"/>
  <c r="K101" i="31"/>
  <c r="J101" i="31"/>
  <c r="I101" i="31"/>
  <c r="H101" i="31"/>
  <c r="G101" i="31"/>
  <c r="F101" i="31"/>
  <c r="W100" i="31"/>
  <c r="K100" i="31"/>
  <c r="J100" i="31"/>
  <c r="I100" i="31"/>
  <c r="H100" i="31"/>
  <c r="G100" i="31"/>
  <c r="F100" i="31"/>
  <c r="W99" i="31"/>
  <c r="K99" i="31"/>
  <c r="J99" i="31"/>
  <c r="I99" i="31"/>
  <c r="H99" i="31"/>
  <c r="G99" i="31"/>
  <c r="F99" i="31"/>
  <c r="W98" i="31"/>
  <c r="K98" i="31"/>
  <c r="J98" i="31"/>
  <c r="I98" i="31"/>
  <c r="H98" i="31"/>
  <c r="G98" i="31"/>
  <c r="F98" i="31"/>
  <c r="W97" i="31"/>
  <c r="K97" i="31"/>
  <c r="J97" i="31"/>
  <c r="I97" i="31"/>
  <c r="H97" i="31"/>
  <c r="G97" i="31"/>
  <c r="F97" i="31"/>
  <c r="W96" i="31"/>
  <c r="K96" i="31"/>
  <c r="J96" i="31"/>
  <c r="I96" i="31"/>
  <c r="H96" i="31"/>
  <c r="G96" i="31"/>
  <c r="F96" i="31"/>
  <c r="W95" i="31"/>
  <c r="K95" i="31"/>
  <c r="J95" i="31"/>
  <c r="I95" i="31"/>
  <c r="H95" i="31"/>
  <c r="G95" i="31"/>
  <c r="F95" i="31"/>
  <c r="W94" i="31"/>
  <c r="K94" i="31"/>
  <c r="J94" i="31"/>
  <c r="I94" i="31"/>
  <c r="H94" i="31"/>
  <c r="G94" i="31"/>
  <c r="F94" i="31"/>
  <c r="W93" i="31"/>
  <c r="K93" i="31"/>
  <c r="J93" i="31"/>
  <c r="I93" i="31"/>
  <c r="H93" i="31"/>
  <c r="G93" i="31"/>
  <c r="F93" i="31"/>
  <c r="W92" i="31"/>
  <c r="K92" i="31"/>
  <c r="J92" i="31"/>
  <c r="I92" i="31"/>
  <c r="H92" i="31"/>
  <c r="G92" i="31"/>
  <c r="F92" i="31"/>
  <c r="W91" i="31"/>
  <c r="K91" i="31"/>
  <c r="J91" i="31"/>
  <c r="I91" i="31"/>
  <c r="H91" i="31"/>
  <c r="G91" i="31"/>
  <c r="F91" i="31"/>
  <c r="W90" i="31"/>
  <c r="K90" i="31"/>
  <c r="J90" i="31"/>
  <c r="I90" i="31"/>
  <c r="H90" i="31"/>
  <c r="G90" i="31"/>
  <c r="F90" i="31"/>
  <c r="W89" i="31"/>
  <c r="K89" i="31"/>
  <c r="J89" i="31"/>
  <c r="I89" i="31"/>
  <c r="H89" i="31"/>
  <c r="G89" i="31"/>
  <c r="F89" i="31"/>
  <c r="W88" i="31"/>
  <c r="K88" i="31"/>
  <c r="J88" i="31"/>
  <c r="I88" i="31"/>
  <c r="H88" i="31"/>
  <c r="G88" i="31"/>
  <c r="F88" i="31"/>
  <c r="W87" i="31"/>
  <c r="K87" i="31"/>
  <c r="J87" i="31"/>
  <c r="I87" i="31"/>
  <c r="H87" i="31"/>
  <c r="G87" i="31"/>
  <c r="F87" i="31"/>
  <c r="W86" i="31"/>
  <c r="K86" i="31"/>
  <c r="J86" i="31"/>
  <c r="I86" i="31"/>
  <c r="H86" i="31"/>
  <c r="G86" i="31"/>
  <c r="F86" i="31"/>
  <c r="W85" i="31"/>
  <c r="K85" i="31"/>
  <c r="J85" i="31"/>
  <c r="I85" i="31"/>
  <c r="H85" i="31"/>
  <c r="G85" i="31"/>
  <c r="F85" i="31"/>
  <c r="W84" i="31"/>
  <c r="K84" i="31"/>
  <c r="J84" i="31"/>
  <c r="I84" i="31"/>
  <c r="H84" i="31"/>
  <c r="G84" i="31"/>
  <c r="F84" i="31"/>
  <c r="W83" i="31"/>
  <c r="K83" i="31"/>
  <c r="J83" i="31"/>
  <c r="I83" i="31"/>
  <c r="H83" i="31"/>
  <c r="G83" i="31"/>
  <c r="F83" i="31"/>
  <c r="W82" i="31"/>
  <c r="K82" i="31"/>
  <c r="J82" i="31"/>
  <c r="I82" i="31"/>
  <c r="H82" i="31"/>
  <c r="G82" i="31"/>
  <c r="F82" i="31"/>
  <c r="W81" i="31"/>
  <c r="K81" i="31"/>
  <c r="J81" i="31"/>
  <c r="I81" i="31"/>
  <c r="H81" i="31"/>
  <c r="G81" i="31"/>
  <c r="F81" i="31"/>
  <c r="W80" i="31"/>
  <c r="K80" i="31"/>
  <c r="J80" i="31"/>
  <c r="I80" i="31"/>
  <c r="H80" i="31"/>
  <c r="G80" i="31"/>
  <c r="F80" i="31"/>
  <c r="W79" i="31"/>
  <c r="K79" i="31"/>
  <c r="J79" i="31"/>
  <c r="I79" i="31"/>
  <c r="H79" i="31"/>
  <c r="G79" i="31"/>
  <c r="F79" i="31"/>
  <c r="W78" i="31"/>
  <c r="K78" i="31"/>
  <c r="J78" i="31"/>
  <c r="I78" i="31"/>
  <c r="H78" i="31"/>
  <c r="G78" i="31"/>
  <c r="F78" i="31"/>
  <c r="W77" i="31"/>
  <c r="K77" i="31"/>
  <c r="J77" i="31"/>
  <c r="I77" i="31"/>
  <c r="H77" i="31"/>
  <c r="G77" i="31"/>
  <c r="F77" i="31"/>
  <c r="W76" i="31"/>
  <c r="K76" i="31"/>
  <c r="J76" i="31"/>
  <c r="I76" i="31"/>
  <c r="H76" i="31"/>
  <c r="G76" i="31"/>
  <c r="F76" i="31"/>
  <c r="W75" i="31"/>
  <c r="K75" i="31"/>
  <c r="J75" i="31"/>
  <c r="I75" i="31"/>
  <c r="H75" i="31"/>
  <c r="G75" i="31"/>
  <c r="F75" i="31"/>
  <c r="W74" i="31"/>
  <c r="K74" i="31"/>
  <c r="J74" i="31"/>
  <c r="I74" i="31"/>
  <c r="H74" i="31"/>
  <c r="G74" i="31"/>
  <c r="F74" i="31"/>
  <c r="W73" i="31"/>
  <c r="K73" i="31"/>
  <c r="J73" i="31"/>
  <c r="I73" i="31"/>
  <c r="H73" i="31"/>
  <c r="G73" i="31"/>
  <c r="F73" i="31"/>
  <c r="W72" i="31"/>
  <c r="K72" i="31"/>
  <c r="J72" i="31"/>
  <c r="I72" i="31"/>
  <c r="H72" i="31"/>
  <c r="G72" i="31"/>
  <c r="F72" i="31"/>
  <c r="W71" i="31"/>
  <c r="K71" i="31"/>
  <c r="J71" i="31"/>
  <c r="I71" i="31"/>
  <c r="H71" i="31"/>
  <c r="G71" i="31"/>
  <c r="F71" i="31"/>
  <c r="W70" i="31"/>
  <c r="K70" i="31"/>
  <c r="J70" i="31"/>
  <c r="I70" i="31"/>
  <c r="H70" i="31"/>
  <c r="G70" i="31"/>
  <c r="F70" i="31"/>
  <c r="W69" i="31"/>
  <c r="K69" i="31"/>
  <c r="J69" i="31"/>
  <c r="I69" i="31"/>
  <c r="H69" i="31"/>
  <c r="G69" i="31"/>
  <c r="F69" i="31"/>
  <c r="W68" i="31"/>
  <c r="K68" i="31"/>
  <c r="J68" i="31"/>
  <c r="I68" i="31"/>
  <c r="H68" i="31"/>
  <c r="G68" i="31"/>
  <c r="F68" i="31"/>
  <c r="W67" i="31"/>
  <c r="K67" i="31"/>
  <c r="J67" i="31"/>
  <c r="I67" i="31"/>
  <c r="H67" i="31"/>
  <c r="G67" i="31"/>
  <c r="F67" i="31"/>
  <c r="W66" i="31"/>
  <c r="K66" i="31"/>
  <c r="J66" i="31"/>
  <c r="I66" i="31"/>
  <c r="H66" i="31"/>
  <c r="G66" i="31"/>
  <c r="F66" i="31"/>
  <c r="W65" i="31"/>
  <c r="K65" i="31"/>
  <c r="J65" i="31"/>
  <c r="I65" i="31"/>
  <c r="H65" i="31"/>
  <c r="G65" i="31"/>
  <c r="F65" i="31"/>
  <c r="W64" i="31"/>
  <c r="K64" i="31"/>
  <c r="J64" i="31"/>
  <c r="I64" i="31"/>
  <c r="H64" i="31"/>
  <c r="G64" i="31"/>
  <c r="F64" i="31"/>
  <c r="W63" i="31"/>
  <c r="K63" i="31"/>
  <c r="J63" i="31"/>
  <c r="I63" i="31"/>
  <c r="H63" i="31"/>
  <c r="G63" i="31"/>
  <c r="F63" i="31"/>
  <c r="W62" i="31"/>
  <c r="K62" i="31"/>
  <c r="J62" i="31"/>
  <c r="I62" i="31"/>
  <c r="H62" i="31"/>
  <c r="G62" i="31"/>
  <c r="F62" i="31"/>
  <c r="W61" i="31"/>
  <c r="K61" i="31"/>
  <c r="J61" i="31"/>
  <c r="I61" i="31"/>
  <c r="H61" i="31"/>
  <c r="G61" i="31"/>
  <c r="F61" i="31"/>
  <c r="W60" i="31"/>
  <c r="K60" i="31"/>
  <c r="J60" i="31"/>
  <c r="I60" i="31"/>
  <c r="H60" i="31"/>
  <c r="G60" i="31"/>
  <c r="F60" i="31"/>
  <c r="W59" i="31"/>
  <c r="K59" i="31"/>
  <c r="J59" i="31"/>
  <c r="I59" i="31"/>
  <c r="H59" i="31"/>
  <c r="G59" i="31"/>
  <c r="F59" i="31"/>
  <c r="W58" i="31"/>
  <c r="K58" i="31"/>
  <c r="J58" i="31"/>
  <c r="I58" i="31"/>
  <c r="H58" i="31"/>
  <c r="G58" i="31"/>
  <c r="F58" i="31"/>
  <c r="W57" i="31"/>
  <c r="K57" i="31"/>
  <c r="J57" i="31"/>
  <c r="I57" i="31"/>
  <c r="H57" i="31"/>
  <c r="G57" i="31"/>
  <c r="F57" i="31"/>
  <c r="W56" i="31"/>
  <c r="K56" i="31"/>
  <c r="J56" i="31"/>
  <c r="I56" i="31"/>
  <c r="H56" i="31"/>
  <c r="G56" i="31"/>
  <c r="F56" i="31"/>
  <c r="W55" i="31"/>
  <c r="K55" i="31"/>
  <c r="J55" i="31"/>
  <c r="I55" i="31"/>
  <c r="H55" i="31"/>
  <c r="G55" i="31"/>
  <c r="F55" i="31"/>
  <c r="W54" i="31"/>
  <c r="K54" i="31"/>
  <c r="J54" i="31"/>
  <c r="I54" i="31"/>
  <c r="H54" i="31"/>
  <c r="G54" i="31"/>
  <c r="F54" i="31"/>
  <c r="W53" i="31"/>
  <c r="K53" i="31"/>
  <c r="J53" i="31"/>
  <c r="I53" i="31"/>
  <c r="H53" i="31"/>
  <c r="G53" i="31"/>
  <c r="F53" i="31"/>
  <c r="W52" i="31"/>
  <c r="K52" i="31"/>
  <c r="J52" i="31"/>
  <c r="I52" i="31"/>
  <c r="H52" i="31"/>
  <c r="G52" i="31"/>
  <c r="F52" i="31"/>
  <c r="W51" i="31"/>
  <c r="K51" i="31"/>
  <c r="J51" i="31"/>
  <c r="I51" i="31"/>
  <c r="H51" i="31"/>
  <c r="G51" i="31"/>
  <c r="F51" i="31"/>
  <c r="W50" i="31"/>
  <c r="K50" i="31"/>
  <c r="J50" i="31"/>
  <c r="I50" i="31"/>
  <c r="H50" i="31"/>
  <c r="G50" i="31"/>
  <c r="F50" i="31"/>
  <c r="W49" i="31"/>
  <c r="K49" i="31"/>
  <c r="J49" i="31"/>
  <c r="I49" i="31"/>
  <c r="H49" i="31"/>
  <c r="G49" i="31"/>
  <c r="F49" i="31"/>
  <c r="W48" i="31"/>
  <c r="K48" i="31"/>
  <c r="J48" i="31"/>
  <c r="I48" i="31"/>
  <c r="H48" i="31"/>
  <c r="G48" i="31"/>
  <c r="F48" i="31"/>
  <c r="W47" i="31"/>
  <c r="K47" i="31"/>
  <c r="J47" i="31"/>
  <c r="I47" i="31"/>
  <c r="H47" i="31"/>
  <c r="G47" i="31"/>
  <c r="F47" i="31"/>
  <c r="W46" i="31"/>
  <c r="K46" i="31"/>
  <c r="J46" i="31"/>
  <c r="I46" i="31"/>
  <c r="H46" i="31"/>
  <c r="G46" i="31"/>
  <c r="F46" i="31"/>
  <c r="W45" i="31"/>
  <c r="K45" i="31"/>
  <c r="J45" i="31"/>
  <c r="I45" i="31"/>
  <c r="H45" i="31"/>
  <c r="G45" i="31"/>
  <c r="F45" i="31"/>
  <c r="W44" i="31"/>
  <c r="K44" i="31"/>
  <c r="J44" i="31"/>
  <c r="I44" i="31"/>
  <c r="H44" i="31"/>
  <c r="G44" i="31"/>
  <c r="F44" i="31"/>
  <c r="W43" i="31"/>
  <c r="K43" i="31"/>
  <c r="J43" i="31"/>
  <c r="I43" i="31"/>
  <c r="H43" i="31"/>
  <c r="G43" i="31"/>
  <c r="F43" i="31"/>
  <c r="W42" i="31"/>
  <c r="K42" i="31"/>
  <c r="J42" i="31"/>
  <c r="I42" i="31"/>
  <c r="H42" i="31"/>
  <c r="G42" i="31"/>
  <c r="F42" i="31"/>
  <c r="W41" i="31"/>
  <c r="K41" i="31"/>
  <c r="J41" i="31"/>
  <c r="I41" i="31"/>
  <c r="H41" i="31"/>
  <c r="G41" i="31"/>
  <c r="F41" i="31"/>
  <c r="W40" i="31"/>
  <c r="K40" i="31"/>
  <c r="J40" i="31"/>
  <c r="I40" i="31"/>
  <c r="H40" i="31"/>
  <c r="G40" i="31"/>
  <c r="F40" i="31"/>
  <c r="W39" i="31"/>
  <c r="K39" i="31"/>
  <c r="J39" i="31"/>
  <c r="I39" i="31"/>
  <c r="H39" i="31"/>
  <c r="G39" i="31"/>
  <c r="F39" i="31"/>
  <c r="W38" i="31"/>
  <c r="K38" i="31"/>
  <c r="J38" i="31"/>
  <c r="I38" i="31"/>
  <c r="H38" i="31"/>
  <c r="G38" i="31"/>
  <c r="F38" i="31"/>
  <c r="W37" i="31"/>
  <c r="K37" i="31"/>
  <c r="J37" i="31"/>
  <c r="I37" i="31"/>
  <c r="H37" i="31"/>
  <c r="G37" i="31"/>
  <c r="F37" i="31"/>
  <c r="W36" i="31"/>
  <c r="K36" i="31"/>
  <c r="J36" i="31"/>
  <c r="I36" i="31"/>
  <c r="H36" i="31"/>
  <c r="G36" i="31"/>
  <c r="F36" i="31"/>
  <c r="W35" i="31"/>
  <c r="K35" i="31"/>
  <c r="J35" i="31"/>
  <c r="I35" i="31"/>
  <c r="H35" i="31"/>
  <c r="G35" i="31"/>
  <c r="F35" i="31"/>
  <c r="W34" i="31"/>
  <c r="K34" i="31"/>
  <c r="J34" i="31"/>
  <c r="I34" i="31"/>
  <c r="H34" i="31"/>
  <c r="G34" i="31"/>
  <c r="F34" i="31"/>
  <c r="W33" i="31"/>
  <c r="K33" i="31"/>
  <c r="J33" i="31"/>
  <c r="I33" i="31"/>
  <c r="H33" i="31"/>
  <c r="G33" i="31"/>
  <c r="F33" i="31"/>
  <c r="W32" i="31"/>
  <c r="K32" i="31"/>
  <c r="J32" i="31"/>
  <c r="I32" i="31"/>
  <c r="H32" i="31"/>
  <c r="G32" i="31"/>
  <c r="F32" i="31"/>
  <c r="P306" i="31" a="1"/>
  <c r="P131" i="31" a="1"/>
  <c r="P309" i="31" a="1"/>
  <c r="P359" i="31" a="1"/>
  <c r="P87" i="31" a="1"/>
  <c r="P204" i="31" a="1"/>
  <c r="P401" i="31" a="1"/>
  <c r="P324" i="31" a="1"/>
  <c r="P115" i="31" a="1"/>
  <c r="P249" i="31" a="1"/>
  <c r="P449" i="31" a="1"/>
  <c r="P32" i="31" a="1"/>
  <c r="P367" i="31" a="1"/>
  <c r="P41" i="31" a="1"/>
  <c r="P45" i="31" a="1"/>
  <c r="P35" i="31" a="1"/>
  <c r="P350" i="31" a="1"/>
  <c r="P387" i="31" a="1"/>
  <c r="P288" i="31" a="1"/>
  <c r="P175" i="31" a="1"/>
  <c r="P146" i="31" a="1"/>
  <c r="P470" i="31" a="1"/>
  <c r="P380" i="31" a="1"/>
  <c r="P158" i="31" a="1"/>
  <c r="P468" i="31" a="1"/>
  <c r="P397" i="31" a="1"/>
  <c r="P466" i="31" a="1"/>
  <c r="P159" i="31" a="1"/>
  <c r="P394" i="31" a="1"/>
  <c r="P489" i="31" a="1"/>
  <c r="P393" i="31" a="1"/>
  <c r="P116" i="31" a="1"/>
  <c r="P253" i="31" a="1"/>
  <c r="P505" i="31" a="1"/>
  <c r="P462" i="31" a="1"/>
  <c r="P37" i="31" a="1"/>
  <c r="P102" i="31" a="1"/>
  <c r="P483" i="31" a="1"/>
  <c r="P265" i="31" a="1"/>
  <c r="P181" i="31" a="1"/>
  <c r="P488" i="31" a="1"/>
  <c r="P184" i="31" a="1"/>
  <c r="P63" i="31" a="1"/>
  <c r="P201" i="31" a="1"/>
  <c r="P212" i="31" a="1"/>
  <c r="P211" i="31" a="1"/>
  <c r="P281" i="31" a="1"/>
  <c r="P246" i="31" a="1"/>
  <c r="P293" i="31" a="1"/>
  <c r="P310" i="31" a="1"/>
  <c r="P40" i="31" a="1"/>
  <c r="P300" i="31" a="1"/>
  <c r="P326" i="31" a="1"/>
  <c r="P420" i="31" a="1"/>
  <c r="P108" i="31" a="1"/>
  <c r="P487" i="31" a="1"/>
  <c r="P322" i="31" a="1"/>
  <c r="P110" i="31" a="1"/>
  <c r="P74" i="31" a="1"/>
  <c r="P345" i="31" a="1"/>
  <c r="P227" i="31" a="1"/>
  <c r="P215" i="31" a="1"/>
  <c r="P150" i="31" a="1"/>
  <c r="P173" i="31" a="1"/>
  <c r="P511" i="31" a="1"/>
  <c r="P390" i="31" a="1"/>
  <c r="P220" i="31" a="1"/>
  <c r="P250" i="31" a="1"/>
  <c r="P256" i="31" a="1"/>
  <c r="P141" i="31" a="1"/>
  <c r="P124" i="31" a="1"/>
  <c r="P58" i="31" a="1"/>
  <c r="P61" i="31" a="1"/>
  <c r="P465" i="31" a="1"/>
  <c r="P213" i="31" a="1"/>
  <c r="P332" i="31" a="1"/>
  <c r="P232" i="31" a="1"/>
  <c r="P197" i="31" a="1"/>
  <c r="P133" i="31" a="1"/>
  <c r="P435" i="31" a="1"/>
  <c r="P353" i="31" a="1"/>
  <c r="P94" i="31" a="1"/>
  <c r="P255" i="31" a="1"/>
  <c r="P513" i="31" a="1"/>
  <c r="P360" i="31" a="1"/>
  <c r="P314" i="31" a="1"/>
  <c r="P244" i="31" a="1"/>
  <c r="P364" i="31" a="1"/>
  <c r="P167" i="31" a="1"/>
  <c r="P385" i="31" a="1"/>
  <c r="P499" i="31" a="1"/>
  <c r="P495" i="31" a="1"/>
  <c r="P65" i="31" a="1"/>
  <c r="P171" i="31" a="1"/>
  <c r="P497" i="31" a="1"/>
  <c r="P107" i="31" a="1"/>
  <c r="P101" i="31" a="1"/>
  <c r="P241" i="31" a="1"/>
  <c r="P187" i="31" a="1"/>
  <c r="P375" i="31" a="1"/>
  <c r="P135" i="31" a="1"/>
  <c r="P456" i="31" a="1"/>
  <c r="P455" i="31" a="1"/>
  <c r="P528" i="31" a="1"/>
  <c r="P247" i="31" a="1"/>
  <c r="P448" i="31" a="1"/>
  <c r="P494" i="31" a="1"/>
  <c r="P378" i="31" a="1"/>
  <c r="P68" i="31" a="1"/>
  <c r="P157" i="31" a="1"/>
  <c r="P409" i="31" a="1"/>
  <c r="P475" i="31" a="1"/>
  <c r="P104" i="31" a="1"/>
  <c r="P234" i="31" a="1"/>
  <c r="P478" i="31" a="1"/>
  <c r="P430" i="31" a="1"/>
  <c r="P38" i="31" a="1"/>
  <c r="P477" i="31" a="1"/>
  <c r="P121" i="31" a="1"/>
  <c r="P196" i="31" a="1"/>
  <c r="P284" i="31" a="1"/>
  <c r="P298" i="31" a="1"/>
  <c r="P296" i="31" a="1"/>
  <c r="P191" i="31" a="1"/>
  <c r="P268" i="31" a="1"/>
  <c r="P230" i="31" a="1"/>
  <c r="P379" i="31" a="1"/>
  <c r="P56" i="31" a="1"/>
  <c r="P348" i="31" a="1"/>
  <c r="P382" i="31" a="1"/>
  <c r="P452" i="31" a="1"/>
  <c r="P140" i="31" a="1"/>
  <c r="P437" i="31" a="1"/>
  <c r="P163" i="31" a="1"/>
  <c r="P233" i="31" a="1"/>
  <c r="P126" i="31" a="1"/>
  <c r="P419" i="31" a="1"/>
  <c r="P111" i="31" a="1"/>
  <c r="P129" i="31" a="1"/>
  <c r="P343" i="31" a="1"/>
  <c r="P166" i="31" a="1"/>
  <c r="P362" i="31" a="1"/>
  <c r="P125" i="31" a="1"/>
  <c r="P127" i="31" a="1"/>
  <c r="P154" i="31" a="1"/>
  <c r="P438" i="31" a="1"/>
  <c r="P365" i="31" a="1"/>
  <c r="P179" i="31" a="1"/>
  <c r="P248" i="31" a="1"/>
  <c r="P64" i="31" a="1"/>
  <c r="P80" i="31" a="1"/>
  <c r="P432" i="31" a="1"/>
  <c r="P73" i="31" a="1"/>
  <c r="P109" i="31" a="1"/>
  <c r="P46" i="31" a="1"/>
  <c r="P286" i="31" a="1"/>
  <c r="P67" i="31" a="1"/>
  <c r="P471" i="31" a="1"/>
  <c r="P82" i="31" a="1"/>
  <c r="P334" i="31" a="1"/>
  <c r="P361" i="31" a="1"/>
  <c r="P219" i="31" a="1"/>
  <c r="P176" i="31" a="1"/>
  <c r="P493" i="31" a="1"/>
  <c r="P417" i="31" a="1"/>
  <c r="P206" i="31" a="1"/>
  <c r="P280" i="31" a="1"/>
  <c r="P457" i="31" a="1"/>
  <c r="P406" i="31" a="1"/>
  <c r="P402" i="31" a="1"/>
  <c r="P132" i="31" a="1"/>
  <c r="P317" i="31" a="1"/>
  <c r="P410" i="31" a="1"/>
  <c r="P490" i="31" a="1"/>
  <c r="P53" i="31" a="1"/>
  <c r="P145" i="31" a="1"/>
  <c r="P524" i="31" a="1"/>
  <c r="P418" i="31" a="1"/>
  <c r="P245" i="31" a="1"/>
  <c r="P372" i="31" a="1"/>
  <c r="P147" i="31" a="1"/>
  <c r="P95" i="31" a="1"/>
  <c r="P263" i="31" a="1"/>
  <c r="P370" i="31" a="1"/>
  <c r="P261" i="31" a="1"/>
  <c r="P464" i="31" a="1"/>
  <c r="P84" i="31" a="1"/>
  <c r="P189" i="31" a="1"/>
  <c r="P441" i="31" a="1"/>
  <c r="P507" i="31" a="1"/>
  <c r="P120" i="31" a="1"/>
  <c r="P269" i="31" a="1"/>
  <c r="P510" i="31" a="1"/>
  <c r="P480" i="31" a="1"/>
  <c r="P70" i="31" a="1"/>
  <c r="P319" i="31" a="1"/>
  <c r="P254" i="31" a="1"/>
  <c r="P302" i="31" a="1"/>
  <c r="P55" i="31" a="1"/>
  <c r="P383" i="31" a="1"/>
  <c r="P122" i="31" a="1"/>
  <c r="P153" i="31" a="1"/>
  <c r="P182" i="31" a="1"/>
  <c r="P205" i="31" a="1"/>
  <c r="P225" i="31" a="1"/>
  <c r="P278" i="31" a="1"/>
  <c r="P252" i="31" a="1"/>
  <c r="P51" i="31" a="1"/>
  <c r="P320" i="31" a="1"/>
  <c r="P60" i="31" a="1"/>
  <c r="P335" i="31" a="1"/>
  <c r="P54" i="31" a="1"/>
  <c r="P162" i="31" a="1"/>
  <c r="P93" i="31" a="1"/>
  <c r="P472" i="31" a="1"/>
  <c r="P305" i="31" a="1"/>
  <c r="P169" i="31" a="1"/>
  <c r="P134" i="31" a="1"/>
  <c r="P103" i="31" a="1"/>
  <c r="P442" i="31" a="1"/>
  <c r="P340" i="31" a="1"/>
  <c r="P207" i="31" a="1"/>
  <c r="P178" i="31" a="1"/>
  <c r="P517" i="31" a="1"/>
  <c r="P412" i="31" a="1"/>
  <c r="P222" i="31" a="1"/>
  <c r="P347" i="31" a="1"/>
  <c r="P525" i="31" a="1"/>
  <c r="P503" i="31" a="1"/>
  <c r="P223" i="31" a="1"/>
  <c r="P458" i="31" a="1"/>
  <c r="P243" i="31" a="1"/>
  <c r="P260" i="31" a="1"/>
  <c r="P81" i="31" a="1"/>
  <c r="P203" i="31" a="1"/>
  <c r="P485" i="31" a="1"/>
  <c r="P287" i="31" a="1"/>
  <c r="P34" i="31" a="1"/>
  <c r="P270" i="31" a="1"/>
  <c r="P459" i="31" a="1"/>
  <c r="P407" i="31" a="1"/>
  <c r="P195" i="31" a="1"/>
  <c r="P161" i="31" a="1"/>
  <c r="P492" i="31" a="1"/>
  <c r="P512" i="31" a="1"/>
  <c r="P75" i="31" a="1"/>
  <c r="P504" i="31" a="1"/>
  <c r="P267" i="31" a="1"/>
  <c r="P481" i="31" a="1"/>
  <c r="P33" i="31" a="1"/>
  <c r="P91" i="31" a="1"/>
  <c r="P469" i="31" a="1"/>
  <c r="P527" i="31" a="1"/>
  <c r="P69" i="31" a="1"/>
  <c r="P177" i="31" a="1"/>
  <c r="P520" i="31" a="1"/>
  <c r="P217" i="31" a="1"/>
  <c r="P369" i="31" a="1"/>
  <c r="P283" i="31" a="1"/>
  <c r="P192" i="31" a="1"/>
  <c r="P277" i="31" a="1"/>
  <c r="P327" i="31" a="1"/>
  <c r="P434" i="31" a="1"/>
  <c r="P391" i="31" a="1"/>
  <c r="P501" i="31" a="1"/>
  <c r="P36" i="31" a="1"/>
  <c r="P295" i="31" a="1"/>
  <c r="P294" i="31" a="1"/>
  <c r="P411" i="31" a="1"/>
  <c r="P72" i="31" a="1"/>
  <c r="P170" i="31" a="1"/>
  <c r="P414" i="31" a="1"/>
  <c r="P484" i="31" a="1"/>
  <c r="P57" i="31" a="1"/>
  <c r="P433" i="31" a="1"/>
  <c r="P279" i="31" a="1"/>
  <c r="P151" i="31" a="1"/>
  <c r="P194" i="31" a="1"/>
  <c r="P502" i="31" a="1"/>
  <c r="P285" i="31" a="1"/>
  <c r="P259" i="31" a="1"/>
  <c r="P273" i="31" a="1"/>
  <c r="P229" i="31" a="1"/>
  <c r="P523" i="31" a="1"/>
  <c r="P467" i="31" a="1"/>
  <c r="P316" i="31" a="1"/>
  <c r="P139" i="31" a="1"/>
  <c r="P329" i="31" a="1"/>
  <c r="P395" i="31" a="1"/>
  <c r="P152" i="31" a="1"/>
  <c r="P389" i="31" a="1"/>
  <c r="P421" i="31" a="1"/>
  <c r="P422" i="31" a="1"/>
  <c r="P231" i="31" a="1"/>
  <c r="P48" i="31" a="1"/>
  <c r="P333" i="31" a="1"/>
  <c r="P62" i="31" a="1"/>
  <c r="P307" i="31" a="1"/>
  <c r="P297" i="31" a="1"/>
  <c r="P292" i="31" a="1"/>
  <c r="P98" i="31" a="1"/>
  <c r="P355" i="31" a="1"/>
  <c r="P396" i="31" a="1"/>
  <c r="P303" i="31" a="1"/>
  <c r="P240" i="31" a="1"/>
  <c r="P439" i="31" a="1"/>
  <c r="P336" i="31" a="1"/>
  <c r="P415" i="31" a="1"/>
  <c r="P323" i="31" a="1"/>
  <c r="P117" i="31" a="1"/>
  <c r="P271" i="31" a="1"/>
  <c r="P530" i="31" a="1"/>
  <c r="P97" i="31" a="1"/>
  <c r="P235" i="31" a="1"/>
  <c r="P518" i="31" a="1"/>
  <c r="P363" i="31" a="1"/>
  <c r="P50" i="31" a="1"/>
  <c r="P291" i="31" a="1"/>
  <c r="P148" i="31" a="1"/>
  <c r="P521" i="31" a="1"/>
  <c r="P258" i="31" a="1"/>
  <c r="P330" i="31" a="1"/>
  <c r="P351" i="31" a="1"/>
  <c r="P282" i="31" a="1"/>
  <c r="P164" i="31" a="1"/>
  <c r="P482" i="31" a="1"/>
  <c r="P474" i="31" a="1"/>
  <c r="P346" i="31" a="1"/>
  <c r="P100" i="31" a="1"/>
  <c r="P221" i="31" a="1"/>
  <c r="P473" i="31" a="1"/>
  <c r="P425" i="31" a="1"/>
  <c r="P136" i="31" a="1"/>
  <c r="P43" i="31" a="1"/>
  <c r="P428" i="31" a="1"/>
  <c r="P522" i="31" a="1"/>
  <c r="P118" i="31" a="1"/>
  <c r="P405" i="31" a="1"/>
  <c r="P339" i="31" a="1"/>
  <c r="P130" i="31" a="1"/>
  <c r="P143" i="31" a="1"/>
  <c r="P479" i="31" a="1"/>
  <c r="P47" i="31" a="1"/>
  <c r="P199" i="31" a="1"/>
  <c r="P71" i="31" a="1"/>
  <c r="P198" i="31" a="1"/>
  <c r="P392" i="31" a="1"/>
  <c r="P276" i="31" a="1"/>
  <c r="P156" i="31" a="1"/>
  <c r="P186" i="31" a="1"/>
  <c r="P526" i="31" a="1"/>
  <c r="P399" i="31" a="1"/>
  <c r="P160" i="31" a="1"/>
  <c r="P376" i="31" a="1"/>
  <c r="P128" i="31" a="1"/>
  <c r="P112" i="31" a="1"/>
  <c r="P496" i="31" a="1"/>
  <c r="P105" i="31" a="1"/>
  <c r="P90" i="31" a="1"/>
  <c r="P168" i="31" a="1"/>
  <c r="P138" i="31" a="1"/>
  <c r="P447" i="31" a="1"/>
  <c r="P371" i="31" a="1"/>
  <c r="P239" i="31" a="1"/>
  <c r="P210" i="31" a="1"/>
  <c r="P315" i="31" a="1"/>
  <c r="P444" i="31" a="1"/>
  <c r="P275" i="31" a="1"/>
  <c r="P416" i="31" a="1"/>
  <c r="P304" i="31" a="1"/>
  <c r="P272" i="31" a="1"/>
  <c r="P123" i="31" a="1"/>
  <c r="P325" i="31" a="1"/>
  <c r="P408" i="31" a="1"/>
  <c r="P426" i="31" a="1"/>
  <c r="P78" i="31" a="1"/>
  <c r="P328" i="31" a="1"/>
  <c r="P352" i="31" a="1"/>
  <c r="P174" i="31" a="1"/>
  <c r="P142" i="31" a="1"/>
  <c r="P114" i="31" a="1"/>
  <c r="P460" i="31" a="1"/>
  <c r="P349" i="31" a="1"/>
  <c r="P59" i="31" a="1"/>
  <c r="P454" i="31" a="1"/>
  <c r="P531" i="31" a="1"/>
  <c r="P299" i="31" a="1"/>
  <c r="P366" i="31" a="1"/>
  <c r="P331" i="31" a="1"/>
  <c r="P461" i="31" a="1"/>
  <c r="P342" i="31" a="1"/>
  <c r="P49" i="31" a="1"/>
  <c r="P137" i="31" a="1"/>
  <c r="P515" i="31" a="1"/>
  <c r="P381" i="31" a="1"/>
  <c r="P85" i="31" a="1"/>
  <c r="P209" i="31" a="1"/>
  <c r="P508" i="31" a="1"/>
  <c r="P313" i="31" a="1"/>
  <c r="P39" i="31" a="1"/>
  <c r="P374" i="31" a="1"/>
  <c r="P266" i="31" a="1"/>
  <c r="P400" i="31" a="1"/>
  <c r="P183" i="31" a="1"/>
  <c r="P498" i="31" a="1"/>
  <c r="P519" i="31" a="1"/>
  <c r="P386" i="31" a="1"/>
  <c r="P214" i="31" a="1"/>
  <c r="P237" i="31" a="1"/>
  <c r="P238" i="31" a="1"/>
  <c r="P44" i="31" a="1"/>
  <c r="P274" i="31" a="1"/>
  <c r="P251" i="31" a="1"/>
  <c r="P388" i="31" a="1"/>
  <c r="P76" i="31" a="1"/>
  <c r="P423" i="31" a="1"/>
  <c r="P149" i="31" a="1"/>
  <c r="P321" i="31" a="1"/>
  <c r="P42" i="31" a="1"/>
  <c r="P514" i="31" a="1"/>
  <c r="P99" i="31" a="1"/>
  <c r="P290" i="31" a="1"/>
  <c r="P337" i="31" a="1"/>
  <c r="P79" i="31" a="1"/>
  <c r="P236" i="31" a="1"/>
  <c r="P463" i="31" a="1"/>
  <c r="P354" i="31" a="1"/>
  <c r="P172" i="31" a="1"/>
  <c r="P368" i="31" a="1"/>
  <c r="P180" i="31" a="1"/>
  <c r="P216" i="31" a="1"/>
  <c r="P453" i="31" a="1"/>
  <c r="P445" i="31" a="1"/>
  <c r="P341" i="31" a="1"/>
  <c r="P193" i="31" a="1"/>
  <c r="P92" i="31" a="1"/>
  <c r="P96" i="31" a="1"/>
  <c r="P200" i="31" a="1"/>
  <c r="P165" i="31" a="1"/>
  <c r="P529" i="31" a="1"/>
  <c r="P403" i="31" a="1"/>
  <c r="P289" i="31" a="1"/>
  <c r="P242" i="31" a="1"/>
  <c r="P83" i="31" a="1"/>
  <c r="P476" i="31" a="1"/>
  <c r="P318" i="31" a="1"/>
  <c r="P491" i="31" a="1"/>
  <c r="P384" i="31" a="1"/>
  <c r="P486" i="31" a="1"/>
  <c r="P185" i="31" a="1"/>
  <c r="P262" i="31" a="1"/>
  <c r="P357" i="31" a="1"/>
  <c r="P500" i="31" a="1"/>
  <c r="P113" i="31" a="1"/>
  <c r="P264" i="31" a="1"/>
  <c r="P413" i="31" a="1"/>
  <c r="P398" i="31" a="1"/>
  <c r="P66" i="31" a="1"/>
  <c r="P312" i="31" a="1"/>
  <c r="P308" i="31" a="1"/>
  <c r="P404" i="31" a="1"/>
  <c r="P311" i="31" a="1"/>
  <c r="P429" i="31" a="1"/>
  <c r="P373" i="31" a="1"/>
  <c r="P506" i="31" a="1"/>
  <c r="P228" i="31" a="1"/>
  <c r="P356" i="31" a="1"/>
  <c r="P155" i="31" a="1"/>
  <c r="P440" i="31" a="1"/>
  <c r="P52" i="31" a="1"/>
  <c r="P338" i="31" a="1"/>
  <c r="P377" i="31" a="1"/>
  <c r="P443" i="31" a="1"/>
  <c r="P88" i="31" a="1"/>
  <c r="P202" i="31" a="1"/>
  <c r="P446" i="31" a="1"/>
  <c r="P516" i="31" a="1"/>
  <c r="P89" i="31" a="1"/>
  <c r="P431" i="31" a="1"/>
  <c r="P208" i="31" a="1"/>
  <c r="P301" i="31" a="1"/>
  <c r="P257" i="31" a="1"/>
  <c r="P427" i="31" a="1"/>
  <c r="P190" i="31" a="1"/>
  <c r="P344" i="31" a="1"/>
  <c r="P119" i="31" a="1"/>
  <c r="P106" i="31" a="1"/>
  <c r="P424" i="31" a="1"/>
  <c r="P358" i="31" a="1"/>
  <c r="P188" i="31" a="1"/>
  <c r="P218" i="31" a="1"/>
  <c r="P436" i="31" a="1"/>
  <c r="P450" i="31" a="1"/>
  <c r="P224" i="31" a="1"/>
  <c r="P509" i="31" a="1"/>
  <c r="P77" i="31" a="1"/>
  <c r="P144" i="31" a="1"/>
  <c r="P451" i="31" a="1"/>
  <c r="P86" i="31" a="1"/>
  <c r="P226" i="31" a="1"/>
  <c r="O153" i="31" a="1"/>
  <c r="N104" i="31" a="1"/>
  <c r="M165" i="31" a="1"/>
  <c r="N182" i="31" a="1"/>
  <c r="N254" i="31" a="1"/>
  <c r="M252" i="31" a="1"/>
  <c r="L255" i="31" a="1"/>
  <c r="N170" i="31" a="1"/>
  <c r="N156" i="31" a="1"/>
  <c r="L507" i="31" a="1"/>
  <c r="O122" i="31" a="1"/>
  <c r="N338" i="31" a="1"/>
  <c r="N51" i="31" a="1"/>
  <c r="O436" i="31" a="1"/>
  <c r="N319" i="31" a="1"/>
  <c r="L209" i="31" a="1"/>
  <c r="M382" i="31" a="1"/>
  <c r="M111" i="31" a="1"/>
  <c r="L179" i="31" a="1"/>
  <c r="N180" i="31" a="1"/>
  <c r="L248" i="31" a="1"/>
  <c r="O486" i="31" a="1"/>
  <c r="L319" i="31" a="1"/>
  <c r="L71" i="31" a="1"/>
  <c r="M342" i="31" a="1"/>
  <c r="N188" i="31" a="1"/>
  <c r="O135" i="31" a="1"/>
  <c r="N437" i="31" a="1"/>
  <c r="O318" i="31" a="1"/>
  <c r="O271" i="31" a="1"/>
  <c r="O54" i="31" a="1"/>
  <c r="M476" i="31" a="1"/>
  <c r="L167" i="31" a="1"/>
  <c r="N500" i="31" a="1"/>
  <c r="O286" i="31" a="1"/>
  <c r="M234" i="31" a="1"/>
  <c r="M191" i="31" a="1"/>
  <c r="M375" i="31" a="1"/>
  <c r="M380" i="31" a="1"/>
  <c r="O434" i="31" a="1"/>
  <c r="M149" i="31" a="1"/>
  <c r="M146" i="31" a="1"/>
  <c r="M399" i="31" a="1"/>
  <c r="N123" i="31" a="1"/>
  <c r="L202" i="31" a="1"/>
  <c r="L86" i="31" a="1"/>
  <c r="O346" i="31" a="1"/>
  <c r="L173" i="31" a="1"/>
  <c r="O51" i="31" a="1"/>
  <c r="M169" i="31" a="1"/>
  <c r="M61" i="31" a="1"/>
  <c r="L251" i="31" a="1"/>
  <c r="L364" i="31" a="1"/>
  <c r="N377" i="31" a="1"/>
  <c r="N45" i="31" a="1"/>
  <c r="M154" i="31" a="1"/>
  <c r="O166" i="31" a="1"/>
  <c r="M69" i="31" a="1"/>
  <c r="M109" i="31" a="1"/>
  <c r="M388" i="31" a="1"/>
  <c r="N330" i="31" a="1"/>
  <c r="O439" i="31" a="1"/>
  <c r="N434" i="31" a="1"/>
  <c r="N213" i="31" a="1"/>
  <c r="L128" i="31" a="1"/>
  <c r="M427" i="31" a="1"/>
  <c r="L453" i="31" a="1"/>
  <c r="M528" i="31" a="1"/>
  <c r="L259" i="31" a="1"/>
  <c r="O365" i="31" a="1"/>
  <c r="N138" i="31" a="1"/>
  <c r="O500" i="31" a="1"/>
  <c r="L192" i="31" a="1"/>
  <c r="N108" i="31" a="1"/>
  <c r="O470" i="31" a="1"/>
  <c r="L370" i="31" a="1"/>
  <c r="N382" i="31" a="1"/>
  <c r="M63" i="31" a="1"/>
  <c r="M189" i="31" a="1"/>
  <c r="M51" i="31" a="1"/>
  <c r="N347" i="31" a="1"/>
  <c r="O117" i="31" a="1"/>
  <c r="N267" i="31" a="1"/>
  <c r="O323" i="31" a="1"/>
  <c r="L142" i="31" a="1"/>
  <c r="L406" i="31" a="1"/>
  <c r="L343" i="31" a="1"/>
  <c r="L193" i="31" a="1"/>
  <c r="M385" i="31" a="1"/>
  <c r="L50" i="31" a="1"/>
  <c r="N522" i="31" a="1"/>
  <c r="M386" i="31" a="1"/>
  <c r="L382" i="31" a="1"/>
  <c r="O453" i="31" a="1"/>
  <c r="M513" i="31" a="1"/>
  <c r="M77" i="31" a="1"/>
  <c r="M46" i="31" a="1"/>
  <c r="M161" i="31" a="1"/>
  <c r="N190" i="31" a="1"/>
  <c r="N244" i="31" a="1"/>
  <c r="N513" i="31" a="1"/>
  <c r="N403" i="31" a="1"/>
  <c r="N357" i="31" a="1"/>
  <c r="N358" i="31" a="1"/>
  <c r="L307" i="31" a="1"/>
  <c r="L467" i="31" a="1"/>
  <c r="N308" i="31" a="1"/>
  <c r="M440" i="31" a="1"/>
  <c r="L326" i="31" a="1"/>
  <c r="N235" i="31" a="1"/>
  <c r="M56" i="31" a="1"/>
  <c r="M509" i="31" a="1"/>
  <c r="N362" i="31" a="1"/>
  <c r="O222" i="31" a="1"/>
  <c r="O86" i="31" a="1"/>
  <c r="L224" i="31" a="1"/>
  <c r="N410" i="31" a="1"/>
  <c r="N66" i="31" a="1"/>
  <c r="O483" i="31" a="1"/>
  <c r="O381" i="31" a="1"/>
  <c r="O156" i="31" a="1"/>
  <c r="M92" i="31" a="1"/>
  <c r="M101" i="31" a="1"/>
  <c r="O116" i="31" a="1"/>
  <c r="L347" i="31" a="1"/>
  <c r="L40" i="31" a="1"/>
  <c r="O275" i="31" a="1"/>
  <c r="N467" i="31" a="1"/>
  <c r="L157" i="31" a="1"/>
  <c r="N185" i="31" a="1"/>
  <c r="N490" i="31" a="1"/>
  <c r="N60" i="31" a="1"/>
  <c r="N334" i="31" a="1"/>
  <c r="M194" i="31" a="1"/>
  <c r="N272" i="31" a="1"/>
  <c r="M162" i="31" a="1"/>
  <c r="M408" i="31" a="1"/>
  <c r="M309" i="31" a="1"/>
  <c r="L43" i="31" a="1"/>
  <c r="M472" i="31" a="1"/>
  <c r="N120" i="31" a="1"/>
  <c r="N505" i="31" a="1"/>
  <c r="L262" i="31" a="1"/>
  <c r="O377" i="31" a="1"/>
  <c r="M37" i="31" a="1"/>
  <c r="M178" i="31" a="1"/>
  <c r="M489" i="31" a="1"/>
  <c r="M444" i="31" a="1"/>
  <c r="L500" i="31" a="1"/>
  <c r="O294" i="31" a="1"/>
  <c r="O59" i="31" a="1"/>
  <c r="O94" i="31" a="1"/>
  <c r="M201" i="31" a="1"/>
  <c r="M418" i="31" a="1"/>
  <c r="L327" i="31" a="1"/>
  <c r="N35" i="31" a="1"/>
  <c r="O64" i="31" a="1"/>
  <c r="M453" i="31" a="1"/>
  <c r="O109" i="31" a="1"/>
  <c r="N71" i="31" a="1"/>
  <c r="N215" i="31" a="1"/>
  <c r="L437" i="31" a="1"/>
  <c r="N132" i="31" a="1"/>
  <c r="N374" i="31" a="1"/>
  <c r="N337" i="31" a="1"/>
  <c r="O428" i="31" a="1"/>
  <c r="M431" i="31" a="1"/>
  <c r="M526" i="31" a="1"/>
  <c r="O295" i="31" a="1"/>
  <c r="L278" i="31" a="1"/>
  <c r="O372" i="31" a="1"/>
  <c r="O144" i="31" a="1"/>
  <c r="M372" i="31" a="1"/>
  <c r="N223" i="31" a="1"/>
  <c r="N95" i="31" a="1"/>
  <c r="L414" i="31" a="1"/>
  <c r="L48" i="31" a="1"/>
  <c r="L460" i="31" a="1"/>
  <c r="O273" i="31" a="1"/>
  <c r="M338" i="31" a="1"/>
  <c r="N230" i="31" a="1"/>
  <c r="L530" i="31" a="1"/>
  <c r="L448" i="31" a="1"/>
  <c r="O369" i="31" a="1"/>
  <c r="M405" i="31" a="1"/>
  <c r="O182" i="31" a="1"/>
  <c r="L283" i="31" a="1"/>
  <c r="N80" i="31" a="1"/>
  <c r="O221" i="31" a="1"/>
  <c r="M249" i="31" a="1"/>
  <c r="L331" i="31" a="1"/>
  <c r="M305" i="31" a="1"/>
  <c r="N255" i="31" a="1"/>
  <c r="M487" i="31" a="1"/>
  <c r="N486" i="31" a="1"/>
  <c r="O391" i="31" a="1"/>
  <c r="L148" i="31" a="1"/>
  <c r="N496" i="31" a="1"/>
  <c r="N303" i="31" a="1"/>
  <c r="L189" i="31" a="1"/>
  <c r="M364" i="31" a="1"/>
  <c r="L78" i="31" a="1"/>
  <c r="M160" i="31" a="1"/>
  <c r="L516" i="31" a="1"/>
  <c r="N340" i="31" a="1"/>
  <c r="N91" i="31" a="1"/>
  <c r="L151" i="31" a="1"/>
  <c r="O345" i="31" a="1"/>
  <c r="N103" i="31" a="1"/>
  <c r="L450" i="31" a="1"/>
  <c r="O231" i="31" a="1"/>
  <c r="O517" i="31" a="1"/>
  <c r="N485" i="31" a="1"/>
  <c r="L166" i="31" a="1"/>
  <c r="L168" i="31" a="1"/>
  <c r="N350" i="31" a="1"/>
  <c r="M136" i="31" a="1"/>
  <c r="N219" i="31" a="1"/>
  <c r="N87" i="31" a="1"/>
  <c r="M232" i="31" a="1"/>
  <c r="O75" i="31" a="1"/>
  <c r="M474" i="31" a="1"/>
  <c r="N58" i="31" a="1"/>
  <c r="M42" i="31" a="1"/>
  <c r="L275" i="31" a="1"/>
  <c r="L495" i="31" a="1"/>
  <c r="N492" i="31" a="1"/>
  <c r="N106" i="31" a="1"/>
  <c r="L112" i="31" a="1"/>
  <c r="O148" i="31" a="1"/>
  <c r="L231" i="31" a="1"/>
  <c r="M106" i="31" a="1"/>
  <c r="M333" i="31" a="1"/>
  <c r="M387" i="31" a="1"/>
  <c r="L236" i="31" a="1"/>
  <c r="L116" i="31" a="1"/>
  <c r="M495" i="31" a="1"/>
  <c r="M97" i="31" a="1"/>
  <c r="O468" i="31" a="1"/>
  <c r="O278" i="31" a="1"/>
  <c r="M277" i="31" a="1"/>
  <c r="O299" i="31" a="1"/>
  <c r="L395" i="31" a="1"/>
  <c r="M315" i="31" a="1"/>
  <c r="O92" i="31" a="1"/>
  <c r="L519" i="31" a="1"/>
  <c r="O238" i="31" a="1"/>
  <c r="O328" i="31" a="1"/>
  <c r="L436" i="31" a="1"/>
  <c r="L330" i="31" a="1"/>
  <c r="O242" i="31" a="1"/>
  <c r="O126" i="31" a="1"/>
  <c r="M187" i="31" a="1"/>
  <c r="O219" i="31" a="1"/>
  <c r="L526" i="31" a="1"/>
  <c r="L299" i="31" a="1"/>
  <c r="L313" i="31" a="1"/>
  <c r="M276" i="31" a="1"/>
  <c r="M90" i="31" a="1"/>
  <c r="N281" i="31" a="1"/>
  <c r="N297" i="31" a="1"/>
  <c r="M267" i="31" a="1"/>
  <c r="O255" i="31" a="1"/>
  <c r="L481" i="31" a="1"/>
  <c r="L488" i="31" a="1"/>
  <c r="M195" i="31" a="1"/>
  <c r="L87" i="31" a="1"/>
  <c r="N405" i="31" a="1"/>
  <c r="O437" i="31" a="1"/>
  <c r="L271" i="31" a="1"/>
  <c r="L104" i="31" a="1"/>
  <c r="O105" i="31" a="1"/>
  <c r="L161" i="31" a="1"/>
  <c r="N231" i="31" a="1"/>
  <c r="L37" i="31" a="1"/>
  <c r="N205" i="31" a="1"/>
  <c r="L194" i="31" a="1"/>
  <c r="M314" i="31" a="1"/>
  <c r="O87" i="31" a="1"/>
  <c r="O339" i="31" a="1"/>
  <c r="L374" i="31" a="1"/>
  <c r="N141" i="31" a="1"/>
  <c r="N204" i="31" a="1"/>
  <c r="M248" i="31" a="1"/>
  <c r="O364" i="31" a="1"/>
  <c r="O134" i="31" a="1"/>
  <c r="O289" i="31" a="1"/>
  <c r="L69" i="31" a="1"/>
  <c r="O130" i="31" a="1"/>
  <c r="N300" i="31" a="1"/>
  <c r="M316" i="31" a="1"/>
  <c r="M269" i="31" a="1"/>
  <c r="O100" i="31" a="1"/>
  <c r="O505" i="31" a="1"/>
  <c r="N425" i="31" a="1"/>
  <c r="L90" i="31" a="1"/>
  <c r="L379" i="31" a="1"/>
  <c r="L515" i="31" a="1"/>
  <c r="M501" i="31" a="1"/>
  <c r="N395" i="31" a="1"/>
  <c r="L101" i="31" a="1"/>
  <c r="L82" i="31" a="1"/>
  <c r="M203" i="31" a="1"/>
  <c r="O313" i="31" a="1"/>
  <c r="O44" i="31" a="1"/>
  <c r="O38" i="31" a="1"/>
  <c r="N152" i="31" a="1"/>
  <c r="O133" i="31" a="1"/>
  <c r="N438" i="31" a="1"/>
  <c r="N452" i="31" a="1"/>
  <c r="N183" i="31" a="1"/>
  <c r="M273" i="31" a="1"/>
  <c r="M241" i="31" a="1"/>
  <c r="L247" i="31" a="1"/>
  <c r="L221" i="31" a="1"/>
  <c r="O413" i="31" a="1"/>
  <c r="L165" i="31" a="1"/>
  <c r="M52" i="31" a="1"/>
  <c r="O168" i="31" a="1"/>
  <c r="L525" i="31" a="1"/>
  <c r="N436" i="31" a="1"/>
  <c r="M126" i="31" a="1"/>
  <c r="N105" i="31" a="1"/>
  <c r="O382" i="31" a="1"/>
  <c r="M183" i="31" a="1"/>
  <c r="M355" i="31" a="1"/>
  <c r="M498" i="31" a="1"/>
  <c r="L355" i="31" a="1"/>
  <c r="M34" i="31" a="1"/>
  <c r="L522" i="31" a="1"/>
  <c r="N160" i="31" a="1"/>
  <c r="N349" i="31" a="1"/>
  <c r="L170" i="31" a="1"/>
  <c r="O352" i="31" a="1"/>
  <c r="N285" i="31" a="1"/>
  <c r="L130" i="31" a="1"/>
  <c r="N280" i="31" a="1"/>
  <c r="N324" i="31" a="1"/>
  <c r="M35" i="31" a="1"/>
  <c r="N78" i="31" a="1"/>
  <c r="L451" i="31" a="1"/>
  <c r="M397" i="31" a="1"/>
  <c r="M170" i="31" a="1"/>
  <c r="N454" i="31" a="1"/>
  <c r="O35" i="31" a="1"/>
  <c r="O136" i="31" a="1"/>
  <c r="M313" i="31" a="1"/>
  <c r="N512" i="31" a="1"/>
  <c r="M378" i="31" a="1"/>
  <c r="O425" i="31" a="1"/>
  <c r="N296" i="31" a="1"/>
  <c r="L269" i="31" a="1"/>
  <c r="M220" i="31" a="1"/>
  <c r="O344" i="31" a="1"/>
  <c r="O164" i="31" a="1"/>
  <c r="M301" i="31" a="1"/>
  <c r="M207" i="31" a="1"/>
  <c r="O374" i="31" a="1"/>
  <c r="N258" i="31" a="1"/>
  <c r="M71" i="31" a="1"/>
  <c r="N322" i="31" a="1"/>
  <c r="O477" i="31" a="1"/>
  <c r="M270" i="31" a="1"/>
  <c r="L521" i="31" a="1"/>
  <c r="N144" i="31" a="1"/>
  <c r="M441" i="31" a="1"/>
  <c r="L53" i="31" a="1"/>
  <c r="L265" i="31" a="1"/>
  <c r="M134" i="31" a="1"/>
  <c r="M423" i="31" a="1"/>
  <c r="M296" i="31" a="1"/>
  <c r="N126" i="31" a="1"/>
  <c r="L74" i="31" a="1"/>
  <c r="O465" i="31" a="1"/>
  <c r="N79" i="31" a="1"/>
  <c r="M503" i="31" a="1"/>
  <c r="O265" i="31" a="1"/>
  <c r="N74" i="31" a="1"/>
  <c r="N520" i="31" a="1"/>
  <c r="M463" i="31" a="1"/>
  <c r="M238" i="31" a="1"/>
  <c r="N448" i="31" a="1"/>
  <c r="M511" i="31" a="1"/>
  <c r="O355" i="31" a="1"/>
  <c r="L320" i="31" a="1"/>
  <c r="O426" i="31" a="1"/>
  <c r="N270" i="31" a="1"/>
  <c r="O308" i="31" a="1"/>
  <c r="M346" i="31" a="1"/>
  <c r="N42" i="31" a="1"/>
  <c r="M251" i="31" a="1"/>
  <c r="N221" i="31" a="1"/>
  <c r="N162" i="31" a="1"/>
  <c r="N163" i="31" a="1"/>
  <c r="L52" i="31" a="1"/>
  <c r="N33" i="31" a="1"/>
  <c r="N411" i="31" a="1"/>
  <c r="O204" i="31" a="1"/>
  <c r="M516" i="31" a="1"/>
  <c r="M113" i="31" a="1"/>
  <c r="M389" i="31" a="1"/>
  <c r="M376" i="31" a="1"/>
  <c r="M466" i="31" a="1"/>
  <c r="M527" i="31" a="1"/>
  <c r="O45" i="31" a="1"/>
  <c r="L169" i="31" a="1"/>
  <c r="O139" i="31" a="1"/>
  <c r="L303" i="31" a="1"/>
  <c r="N435" i="31" a="1"/>
  <c r="L383" i="31" a="1"/>
  <c r="O303" i="31" a="1"/>
  <c r="L309" i="31" a="1"/>
  <c r="L58" i="31" a="1"/>
  <c r="O106" i="31" a="1"/>
  <c r="O260" i="31" a="1"/>
  <c r="L513" i="31" a="1"/>
  <c r="N450" i="31" a="1"/>
  <c r="N326" i="31" a="1"/>
  <c r="O419" i="31" a="1"/>
  <c r="M302" i="31" a="1"/>
  <c r="M219" i="31" a="1"/>
  <c r="O110" i="31" a="1"/>
  <c r="L366" i="31" a="1"/>
  <c r="M519" i="31" a="1"/>
  <c r="M462" i="31" a="1"/>
  <c r="L351" i="31" a="1"/>
  <c r="O90" i="31" a="1"/>
  <c r="O232" i="31" a="1"/>
  <c r="M523" i="31" a="1"/>
  <c r="M306" i="31" a="1"/>
  <c r="N423" i="31" a="1"/>
  <c r="O178" i="31" a="1"/>
  <c r="M425" i="31" a="1"/>
  <c r="O445" i="31" a="1"/>
  <c r="N84" i="31" a="1"/>
  <c r="M455" i="31" a="1"/>
  <c r="L158" i="31" a="1"/>
  <c r="O459" i="31" a="1"/>
  <c r="M514" i="31" a="1"/>
  <c r="O248" i="31" a="1"/>
  <c r="L44" i="31" a="1"/>
  <c r="M377" i="31" a="1"/>
  <c r="M401" i="31" a="1"/>
  <c r="M229" i="31" a="1"/>
  <c r="O330" i="31" a="1"/>
  <c r="L336" i="31" a="1"/>
  <c r="O464" i="31" a="1"/>
  <c r="L252" i="31" a="1"/>
  <c r="M436" i="31" a="1"/>
  <c r="L341" i="31" a="1"/>
  <c r="M494" i="31" a="1"/>
  <c r="L127" i="31" a="1"/>
  <c r="O526" i="31" a="1"/>
  <c r="L317" i="31" a="1"/>
  <c r="M394" i="31" a="1"/>
  <c r="M120" i="31" a="1"/>
  <c r="N398" i="31" a="1"/>
  <c r="O161" i="31" a="1"/>
  <c r="L281" i="31" a="1"/>
  <c r="O398" i="31" a="1"/>
  <c r="L523" i="31" a="1"/>
  <c r="L260" i="31" a="1"/>
  <c r="L491" i="31" a="1"/>
  <c r="M290" i="31" a="1"/>
  <c r="O525" i="31" a="1"/>
  <c r="O236" i="31" a="1"/>
  <c r="L123" i="31" a="1"/>
  <c r="L477" i="31" a="1"/>
  <c r="N446" i="31" a="1"/>
  <c r="N333" i="31" a="1"/>
  <c r="L177" i="31" a="1"/>
  <c r="O329" i="31" a="1"/>
  <c r="M86" i="31" a="1"/>
  <c r="M443" i="31" a="1"/>
  <c r="N366" i="31" a="1"/>
  <c r="N414" i="31" a="1"/>
  <c r="L389" i="31" a="1"/>
  <c r="L197" i="31" a="1"/>
  <c r="M461" i="31" a="1"/>
  <c r="L323" i="31" a="1"/>
  <c r="O83" i="31" a="1"/>
  <c r="L296" i="31" a="1"/>
  <c r="L354" i="31" a="1"/>
  <c r="L107" i="31" a="1"/>
  <c r="O102" i="31" a="1"/>
  <c r="N158" i="31" a="1"/>
  <c r="N447" i="31" a="1"/>
  <c r="O104" i="31" a="1"/>
  <c r="L256" i="31" a="1"/>
  <c r="L270" i="31" a="1"/>
  <c r="L398" i="31" a="1"/>
  <c r="M58" i="31" a="1"/>
  <c r="L120" i="31" a="1"/>
  <c r="O123" i="31" a="1"/>
  <c r="L220" i="31" a="1"/>
  <c r="L423" i="31" a="1"/>
  <c r="L517" i="31" a="1"/>
  <c r="O185" i="31" a="1"/>
  <c r="N167" i="31" a="1"/>
  <c r="L292" i="31" a="1"/>
  <c r="N517" i="31" a="1"/>
  <c r="N530" i="31" a="1"/>
  <c r="O489" i="31" a="1"/>
  <c r="M420" i="31" a="1"/>
  <c r="M212" i="31" a="1"/>
  <c r="M287" i="31" a="1"/>
  <c r="N332" i="31" a="1"/>
  <c r="O388" i="31" a="1"/>
  <c r="M231" i="31" a="1"/>
  <c r="O522" i="31" a="1"/>
  <c r="L212" i="31" a="1"/>
  <c r="N98" i="31" a="1"/>
  <c r="M88" i="31" a="1"/>
  <c r="N318" i="31" a="1"/>
  <c r="O193" i="31" a="1"/>
  <c r="O336" i="31" a="1"/>
  <c r="N96" i="31" a="1"/>
  <c r="N110" i="31" a="1"/>
  <c r="N466" i="31" a="1"/>
  <c r="M209" i="31" a="1"/>
  <c r="M124" i="31" a="1"/>
  <c r="O235" i="31" a="1"/>
  <c r="L263" i="31" a="1"/>
  <c r="N89" i="31" a="1"/>
  <c r="M176" i="31" a="1"/>
  <c r="N245" i="31" a="1"/>
  <c r="L312" i="31" a="1"/>
  <c r="L458" i="31" a="1"/>
  <c r="L289" i="31" a="1"/>
  <c r="M349" i="31" a="1"/>
  <c r="L439" i="31" a="1"/>
  <c r="M196" i="31" a="1"/>
  <c r="O241" i="31" a="1"/>
  <c r="O414" i="31" a="1"/>
  <c r="O199" i="31" a="1"/>
  <c r="N331" i="31" a="1"/>
  <c r="L301" i="31" a="1"/>
  <c r="O396" i="31" a="1"/>
  <c r="O263" i="31" a="1"/>
  <c r="L479" i="31" a="1"/>
  <c r="O69" i="31" a="1"/>
  <c r="N499" i="31" a="1"/>
  <c r="O53" i="31" a="1"/>
  <c r="L183" i="31" a="1"/>
  <c r="M150" i="31" a="1"/>
  <c r="N279" i="31" a="1"/>
  <c r="M499" i="31" a="1"/>
  <c r="M363" i="31" a="1"/>
  <c r="N226" i="31" a="1"/>
  <c r="L268" i="31" a="1"/>
  <c r="M230" i="31" a="1"/>
  <c r="M337" i="31" a="1"/>
  <c r="M192" i="31" a="1"/>
  <c r="N309" i="31" a="1"/>
  <c r="M254" i="31" a="1"/>
  <c r="O279" i="31" a="1"/>
  <c r="N443" i="31" a="1"/>
  <c r="N115" i="31" a="1"/>
  <c r="N489" i="31" a="1"/>
  <c r="L38" i="31" a="1"/>
  <c r="N288" i="31" a="1"/>
  <c r="O359" i="31" a="1"/>
  <c r="O61" i="31" a="1"/>
  <c r="O510" i="31" a="1"/>
  <c r="L321" i="31" a="1"/>
  <c r="O392" i="31" a="1"/>
  <c r="N165" i="31" a="1"/>
  <c r="L381" i="31" a="1"/>
  <c r="O245" i="31" a="1"/>
  <c r="N72" i="31" a="1"/>
  <c r="M439" i="31" a="1"/>
  <c r="L385" i="31" a="1"/>
  <c r="O226" i="31" a="1"/>
  <c r="L486" i="31" a="1"/>
  <c r="O504" i="31" a="1"/>
  <c r="O288" i="31" a="1"/>
  <c r="L92" i="31" a="1"/>
  <c r="O177" i="31" a="1"/>
  <c r="M339" i="31" a="1"/>
  <c r="L284" i="31" a="1"/>
  <c r="N404" i="31" a="1"/>
  <c r="M89" i="31" a="1"/>
  <c r="O307" i="31" a="1"/>
  <c r="N528" i="31" a="1"/>
  <c r="N121" i="31" a="1"/>
  <c r="L498" i="31" a="1"/>
  <c r="M73" i="31" a="1"/>
  <c r="L361" i="31" a="1"/>
  <c r="M300" i="31" a="1"/>
  <c r="L400" i="31" a="1"/>
  <c r="M156" i="31" a="1"/>
  <c r="O393" i="31" a="1"/>
  <c r="O172" i="31" a="1"/>
  <c r="N320" i="31" a="1"/>
  <c r="L84" i="31" a="1"/>
  <c r="L244" i="31" a="1"/>
  <c r="O304" i="31" a="1"/>
  <c r="L264" i="31" a="1"/>
  <c r="L139" i="31" a="1"/>
  <c r="O462" i="31" a="1"/>
  <c r="M67" i="31" a="1"/>
  <c r="O215" i="31" a="1"/>
  <c r="M130" i="31" a="1"/>
  <c r="O186" i="31" a="1"/>
  <c r="O282" i="31" a="1"/>
  <c r="N97" i="31" a="1"/>
  <c r="M451" i="31" a="1"/>
  <c r="O246" i="31" a="1"/>
  <c r="O267" i="31" a="1"/>
  <c r="O385" i="31" a="1"/>
  <c r="O469" i="31" a="1"/>
  <c r="L276" i="31" a="1"/>
  <c r="M244" i="31" a="1"/>
  <c r="L258" i="31" a="1"/>
  <c r="M281" i="31" a="1"/>
  <c r="O394" i="31" a="1"/>
  <c r="N422" i="31" a="1"/>
  <c r="N415" i="31" a="1"/>
  <c r="M117" i="31" a="1"/>
  <c r="O507" i="31" a="1"/>
  <c r="N313" i="31" a="1"/>
  <c r="N344" i="31" a="1"/>
  <c r="O515" i="31" a="1"/>
  <c r="N295" i="31" a="1"/>
  <c r="O261" i="31" a="1"/>
  <c r="L274" i="31" a="1"/>
  <c r="O154" i="31" a="1"/>
  <c r="L425" i="31" a="1"/>
  <c r="N311" i="31" a="1"/>
  <c r="L524" i="31" a="1"/>
  <c r="L468" i="31" a="1"/>
  <c r="M450" i="31" a="1"/>
  <c r="N100" i="31" a="1"/>
  <c r="O448" i="31" a="1"/>
  <c r="M285" i="31" a="1"/>
  <c r="O415" i="31" a="1"/>
  <c r="N369" i="31" a="1"/>
  <c r="M485" i="31" a="1"/>
  <c r="M87" i="31" a="1"/>
  <c r="M53" i="31" a="1"/>
  <c r="O478" i="31" a="1"/>
  <c r="M505" i="31" a="1"/>
  <c r="M155" i="31" a="1"/>
  <c r="N442" i="31" a="1"/>
  <c r="O162" i="31" a="1"/>
  <c r="O95" i="31" a="1"/>
  <c r="O196" i="31" a="1"/>
  <c r="O276" i="31" a="1"/>
  <c r="O409" i="31" a="1"/>
  <c r="N342" i="31" a="1"/>
  <c r="M137" i="31" a="1"/>
  <c r="M473" i="31" a="1"/>
  <c r="M141" i="31" a="1"/>
  <c r="L388" i="31" a="1"/>
  <c r="M457" i="31" a="1"/>
  <c r="N139" i="31" a="1"/>
  <c r="L76" i="31" a="1"/>
  <c r="N482" i="31" a="1"/>
  <c r="O291" i="31" a="1"/>
  <c r="L413" i="31" a="1"/>
  <c r="O300" i="31" a="1"/>
  <c r="N304" i="31" a="1"/>
  <c r="M159" i="31" a="1"/>
  <c r="N130" i="31" a="1"/>
  <c r="M217" i="31" a="1"/>
  <c r="L152" i="31" a="1"/>
  <c r="N224" i="31" a="1"/>
  <c r="L474" i="31" a="1"/>
  <c r="L392" i="31" a="1"/>
  <c r="M226" i="31" a="1"/>
  <c r="O142" i="31" a="1"/>
  <c r="N508" i="31" a="1"/>
  <c r="N249" i="31" a="1"/>
  <c r="L461" i="31" a="1"/>
  <c r="O78" i="31" a="1"/>
  <c r="L213" i="31" a="1"/>
  <c r="L373" i="31" a="1"/>
  <c r="O214" i="31" a="1"/>
  <c r="O270" i="31" a="1"/>
  <c r="N299" i="31" a="1"/>
  <c r="M96" i="31" a="1"/>
  <c r="O305" i="31" a="1"/>
  <c r="N488" i="31" a="1"/>
  <c r="O519" i="31" a="1"/>
  <c r="M484" i="31" a="1"/>
  <c r="N118" i="31" a="1"/>
  <c r="L304" i="31" a="1"/>
  <c r="N310" i="31" a="1"/>
  <c r="M292" i="31" a="1"/>
  <c r="M398" i="31" a="1"/>
  <c r="O503" i="31" a="1"/>
  <c r="O205" i="31" a="1"/>
  <c r="L512" i="31" a="1"/>
  <c r="M210" i="31" a="1"/>
  <c r="O39" i="31" a="1"/>
  <c r="N269" i="31" a="1"/>
  <c r="N381" i="31" a="1"/>
  <c r="N379" i="31" a="1"/>
  <c r="O118" i="31" a="1"/>
  <c r="N76" i="31" a="1"/>
  <c r="N199" i="31" a="1"/>
  <c r="M379" i="31" a="1"/>
  <c r="O293" i="31" a="1"/>
  <c r="M264" i="31" a="1"/>
  <c r="M122" i="31" a="1"/>
  <c r="M275" i="31" a="1"/>
  <c r="N275" i="31" a="1"/>
  <c r="O518" i="31" a="1"/>
  <c r="L357" i="31" a="1"/>
  <c r="N161" i="31" a="1"/>
  <c r="L384" i="31" a="1"/>
  <c r="L386" i="31" a="1"/>
  <c r="O368" i="31" a="1"/>
  <c r="N83" i="31" a="1"/>
  <c r="M392" i="31" a="1"/>
  <c r="O332" i="31" a="1"/>
  <c r="N424" i="31" a="1"/>
  <c r="M480" i="31" a="1"/>
  <c r="N146" i="31" a="1"/>
  <c r="N329" i="31" a="1"/>
  <c r="N124" i="31" a="1"/>
  <c r="M310" i="31" a="1"/>
  <c r="L162" i="31" a="1"/>
  <c r="M432" i="31" a="1"/>
  <c r="M151" i="31" a="1"/>
  <c r="M167" i="31" a="1"/>
  <c r="O356" i="31" a="1"/>
  <c r="O211" i="31" a="1"/>
  <c r="N451" i="31" a="1"/>
  <c r="L433" i="31" a="1"/>
  <c r="L108" i="31" a="1"/>
  <c r="L466" i="31" a="1"/>
  <c r="N147" i="31" a="1"/>
  <c r="N271" i="31" a="1"/>
  <c r="M253" i="31" a="1"/>
  <c r="O252" i="31" a="1"/>
  <c r="O176" i="31" a="1"/>
  <c r="O217" i="31" a="1"/>
  <c r="L47" i="31" a="1"/>
  <c r="L528" i="31" a="1"/>
  <c r="M508" i="31" a="1"/>
  <c r="N164" i="31" a="1"/>
  <c r="N461" i="31" a="1"/>
  <c r="N397" i="31" a="1"/>
  <c r="M347" i="31" a="1"/>
  <c r="N459" i="31" a="1"/>
  <c r="O450" i="31" a="1"/>
  <c r="L371" i="31" a="1"/>
  <c r="M479" i="31" a="1"/>
  <c r="M406" i="31" a="1"/>
  <c r="O274" i="31" a="1"/>
  <c r="M205" i="31" a="1"/>
  <c r="N88" i="31" a="1"/>
  <c r="L73" i="31" a="1"/>
  <c r="N363" i="31" a="1"/>
  <c r="O403" i="31" a="1"/>
  <c r="O390" i="31" a="1"/>
  <c r="M359" i="31" a="1"/>
  <c r="O114" i="31" a="1"/>
  <c r="L91" i="31" a="1"/>
  <c r="N380" i="31" a="1"/>
  <c r="O257" i="31" a="1"/>
  <c r="L394" i="31" a="1"/>
  <c r="N73" i="31" a="1"/>
  <c r="L171" i="31" a="1"/>
  <c r="N240" i="31" a="1"/>
  <c r="N85" i="31" a="1"/>
  <c r="N278" i="31" a="1"/>
  <c r="N312" i="31" a="1"/>
  <c r="N113" i="31" a="1"/>
  <c r="L365" i="31" a="1"/>
  <c r="L232" i="31" a="1"/>
  <c r="N37" i="31" a="1"/>
  <c r="M322" i="31" a="1"/>
  <c r="M460" i="31" a="1"/>
  <c r="L416" i="31" a="1"/>
  <c r="M104" i="31" a="1"/>
  <c r="N171" i="31" a="1"/>
  <c r="O524" i="31" a="1"/>
  <c r="M403" i="31" a="1"/>
  <c r="M280" i="31" a="1"/>
  <c r="M404" i="31" a="1"/>
  <c r="L504" i="31" a="1"/>
  <c r="L246" i="31" a="1"/>
  <c r="L403" i="31" a="1"/>
  <c r="L475" i="31" a="1"/>
  <c r="O63" i="31" a="1"/>
  <c r="M471" i="31" a="1"/>
  <c r="N416" i="31" a="1"/>
  <c r="N145" i="31" a="1"/>
  <c r="M428" i="31" a="1"/>
  <c r="O230" i="31" a="1"/>
  <c r="M36" i="31" a="1"/>
  <c r="O287" i="31" a="1"/>
  <c r="L431" i="31" a="1"/>
  <c r="L356" i="31" a="1"/>
  <c r="L435" i="31" a="1"/>
  <c r="M351" i="31" a="1"/>
  <c r="O421" i="31" a="1"/>
  <c r="O408" i="31" a="1"/>
  <c r="N277" i="31" a="1"/>
  <c r="M66" i="31" a="1"/>
  <c r="N41" i="31" a="1"/>
  <c r="M279" i="31" a="1"/>
  <c r="N360" i="31" a="1"/>
  <c r="L237" i="31" a="1"/>
  <c r="N117" i="31" a="1"/>
  <c r="M233" i="31" a="1"/>
  <c r="M390" i="31" a="1"/>
  <c r="M208" i="31" a="1"/>
  <c r="O43" i="31" a="1"/>
  <c r="L380" i="31" a="1"/>
  <c r="N481" i="31" a="1"/>
  <c r="O262" i="31" a="1"/>
  <c r="M407" i="31" a="1"/>
  <c r="L527" i="31" a="1"/>
  <c r="M488" i="31" a="1"/>
  <c r="O508" i="31" a="1"/>
  <c r="L137" i="31" a="1"/>
  <c r="O438" i="31" a="1"/>
  <c r="O97" i="31" a="1"/>
  <c r="M157" i="31" a="1"/>
  <c r="M135" i="31" a="1"/>
  <c r="M68" i="31" a="1"/>
  <c r="O131" i="31" a="1"/>
  <c r="M268" i="31" a="1"/>
  <c r="O264" i="31" a="1"/>
  <c r="O243" i="31" a="1"/>
  <c r="N206" i="31" a="1"/>
  <c r="N510" i="31" a="1"/>
  <c r="M121" i="31" a="1"/>
  <c r="O337" i="31" a="1"/>
  <c r="O424" i="31" a="1"/>
  <c r="N40" i="31" a="1"/>
  <c r="N265" i="31" a="1"/>
  <c r="N173" i="31" a="1"/>
  <c r="O520" i="31" a="1"/>
  <c r="L427" i="31" a="1"/>
  <c r="N361" i="31" a="1"/>
  <c r="L143" i="31" a="1"/>
  <c r="M293" i="31" a="1"/>
  <c r="O34" i="31" a="1"/>
  <c r="M430" i="31" a="1"/>
  <c r="L145" i="31" a="1"/>
  <c r="O399" i="31" a="1"/>
  <c r="N112" i="31" a="1"/>
  <c r="L115" i="31" a="1"/>
  <c r="O334" i="31" a="1"/>
  <c r="M128" i="31" a="1"/>
  <c r="O49" i="31" a="1"/>
  <c r="N175" i="31" a="1"/>
  <c r="M103" i="31" a="1"/>
  <c r="L415" i="31" a="1"/>
  <c r="M415" i="31" a="1"/>
  <c r="M258" i="31" a="1"/>
  <c r="N348" i="31" a="1"/>
  <c r="L34" i="31" a="1"/>
  <c r="N383" i="31" a="1"/>
  <c r="O66" i="31" a="1"/>
  <c r="L408" i="31" a="1"/>
  <c r="L372" i="31" a="1"/>
  <c r="L310" i="31" a="1"/>
  <c r="N125" i="31" a="1"/>
  <c r="N529" i="31" a="1"/>
  <c r="L119" i="31" a="1"/>
  <c r="M531" i="31" a="1"/>
  <c r="L196" i="31" a="1"/>
  <c r="L295" i="31" a="1"/>
  <c r="M434" i="31" a="1"/>
  <c r="O361" i="31" a="1"/>
  <c r="O333" i="31" a="1"/>
  <c r="M518" i="31" a="1"/>
  <c r="N491" i="31" a="1"/>
  <c r="L420" i="31" a="1"/>
  <c r="L217" i="31" a="1"/>
  <c r="N470" i="31" a="1"/>
  <c r="L294" i="31" a="1"/>
  <c r="O311" i="31" a="1"/>
  <c r="O418" i="31" a="1"/>
  <c r="N351" i="31" a="1"/>
  <c r="N198" i="31" a="1"/>
  <c r="O72" i="31" a="1"/>
  <c r="L490" i="31" a="1"/>
  <c r="M307" i="31" a="1"/>
  <c r="L75" i="31" a="1"/>
  <c r="O171" i="31" a="1"/>
  <c r="O370" i="31" a="1"/>
  <c r="N260" i="31" a="1"/>
  <c r="M148" i="31" a="1"/>
  <c r="N487" i="31" a="1"/>
  <c r="O84" i="31" a="1"/>
  <c r="N401" i="31" a="1"/>
  <c r="O125" i="31" a="1"/>
  <c r="O180" i="31" a="1"/>
  <c r="L418" i="31" a="1"/>
  <c r="M47" i="31" a="1"/>
  <c r="O324" i="31" a="1"/>
  <c r="N355" i="31" a="1"/>
  <c r="L163" i="31" a="1"/>
  <c r="L61" i="31" a="1"/>
  <c r="N186" i="31" a="1"/>
  <c r="O331" i="31" a="1"/>
  <c r="O151" i="31" a="1"/>
  <c r="L63" i="31" a="1"/>
  <c r="O338" i="31" a="1"/>
  <c r="O463" i="31" a="1"/>
  <c r="L36" i="31" a="1"/>
  <c r="O310" i="31" a="1"/>
  <c r="O129" i="31" a="1"/>
  <c r="N408" i="31" a="1"/>
  <c r="L41" i="31" a="1"/>
  <c r="M393" i="31" a="1"/>
  <c r="O40" i="31" a="1"/>
  <c r="N233" i="31" a="1"/>
  <c r="L81" i="31" a="1"/>
  <c r="M483" i="31" a="1"/>
  <c r="N293" i="31" a="1"/>
  <c r="N257" i="31" a="1"/>
  <c r="N211" i="31" a="1"/>
  <c r="L452" i="31" a="1"/>
  <c r="L308" i="31" a="1"/>
  <c r="O472" i="31" a="1"/>
  <c r="L346" i="31" a="1"/>
  <c r="N140" i="31" a="1"/>
  <c r="M433" i="31" a="1"/>
  <c r="L138" i="31" a="1"/>
  <c r="O312" i="31" a="1"/>
  <c r="O225" i="31" a="1"/>
  <c r="M335" i="31" a="1"/>
  <c r="L457" i="31" a="1"/>
  <c r="L93" i="31" a="1"/>
  <c r="L208" i="31" a="1"/>
  <c r="L211" i="31" a="1"/>
  <c r="L447" i="31" a="1"/>
  <c r="M33" i="31" a="1"/>
  <c r="O512" i="31" a="1"/>
  <c r="M166" i="31" a="1"/>
  <c r="N378" i="31" a="1"/>
  <c r="M284" i="31" a="1"/>
  <c r="N388" i="31" a="1"/>
  <c r="L483" i="31" a="1"/>
  <c r="M312" i="31" a="1"/>
  <c r="O416" i="31" a="1"/>
  <c r="O350" i="31" a="1"/>
  <c r="L184" i="31" a="1"/>
  <c r="L279" i="31" a="1"/>
  <c r="L349" i="31" a="1"/>
  <c r="O402" i="31" a="1"/>
  <c r="N394" i="31" a="1"/>
  <c r="M211" i="31" a="1"/>
  <c r="M143" i="31" a="1"/>
  <c r="M193" i="31" a="1"/>
  <c r="M291" i="31" a="1"/>
  <c r="L201" i="31" a="1"/>
  <c r="O111" i="31" a="1"/>
  <c r="N323" i="31" a="1"/>
  <c r="O325" i="31" a="1"/>
  <c r="L98" i="31" a="1"/>
  <c r="O280" i="31" a="1"/>
  <c r="O251" i="31" a="1"/>
  <c r="M507" i="31" a="1"/>
  <c r="O143" i="31" a="1"/>
  <c r="O492" i="31" a="1"/>
  <c r="L459" i="31" a="1"/>
  <c r="N364" i="31" a="1"/>
  <c r="N315" i="31" a="1"/>
  <c r="L378" i="31" a="1"/>
  <c r="O179" i="31" a="1"/>
  <c r="M299" i="31" a="1"/>
  <c r="O48" i="31" a="1"/>
  <c r="N127" i="31" a="1"/>
  <c r="M190" i="31" a="1"/>
  <c r="M123" i="31" a="1"/>
  <c r="M118" i="31" a="1"/>
  <c r="N335" i="31" a="1"/>
  <c r="O137" i="31" a="1"/>
  <c r="M447" i="31" a="1"/>
  <c r="N418" i="31" a="1"/>
  <c r="N518" i="31" a="1"/>
  <c r="L261" i="31" a="1"/>
  <c r="N527" i="31" a="1"/>
  <c r="M345" i="31" a="1"/>
  <c r="N456" i="31" a="1"/>
  <c r="N225" i="31" a="1"/>
  <c r="N367" i="31" a="1"/>
  <c r="O250" i="31" a="1"/>
  <c r="O506" i="31" a="1"/>
  <c r="L344" i="31" a="1"/>
  <c r="L160" i="31" a="1"/>
  <c r="M153" i="31" a="1"/>
  <c r="M213" i="31" a="1"/>
  <c r="O89" i="31" a="1"/>
  <c r="M448" i="31" a="1"/>
  <c r="N294" i="31" a="1"/>
  <c r="N298" i="31" a="1"/>
  <c r="O70" i="31" a="1"/>
  <c r="O348" i="31" a="1"/>
  <c r="M140" i="31" a="1"/>
  <c r="N426" i="31" a="1"/>
  <c r="L175" i="31" a="1"/>
  <c r="O410" i="31" a="1"/>
  <c r="L141" i="31" a="1"/>
  <c r="M133" i="31" a="1"/>
  <c r="O357" i="31" a="1"/>
  <c r="O360" i="31" a="1"/>
  <c r="N341" i="31" a="1"/>
  <c r="M417" i="31" a="1"/>
  <c r="M391" i="31" a="1"/>
  <c r="N234" i="31" a="1"/>
  <c r="O378" i="31" a="1"/>
  <c r="N122" i="31" a="1"/>
  <c r="L502" i="31" a="1"/>
  <c r="N284" i="31" a="1"/>
  <c r="N168" i="31" a="1"/>
  <c r="M80" i="31" a="1"/>
  <c r="N178" i="31" a="1"/>
  <c r="M39" i="31" a="1"/>
  <c r="O397" i="31" a="1"/>
  <c r="N153" i="31" a="1"/>
  <c r="L480" i="31" a="1"/>
  <c r="M93" i="31" a="1"/>
  <c r="N465" i="31" a="1"/>
  <c r="O145" i="31" a="1"/>
  <c r="M132" i="31" a="1"/>
  <c r="O93" i="31" a="1"/>
  <c r="L426" i="31" a="1"/>
  <c r="N94" i="31" a="1"/>
  <c r="L518" i="31" a="1"/>
  <c r="L186" i="31" a="1"/>
  <c r="N247" i="31" a="1"/>
  <c r="L242" i="31" a="1"/>
  <c r="O431" i="31" a="1"/>
  <c r="M158" i="31" a="1"/>
  <c r="O530" i="31" a="1"/>
  <c r="O175" i="31" a="1"/>
  <c r="M367" i="31" a="1"/>
  <c r="N217" i="31" a="1"/>
  <c r="N503" i="31" a="1"/>
  <c r="N495" i="31" a="1"/>
  <c r="M289" i="31" a="1"/>
  <c r="L68" i="31" a="1"/>
  <c r="O227" i="31" a="1"/>
  <c r="L444" i="31" a="1"/>
  <c r="M506" i="31" a="1"/>
  <c r="O349" i="31" a="1"/>
  <c r="O216" i="31" a="1"/>
  <c r="N90" i="31" a="1"/>
  <c r="L222" i="31" a="1"/>
  <c r="N524" i="31" a="1"/>
  <c r="M175" i="31" a="1"/>
  <c r="M442" i="31" a="1"/>
  <c r="N232" i="31" a="1"/>
  <c r="O301" i="31" a="1"/>
  <c r="M371" i="31" a="1"/>
  <c r="N266" i="31" a="1"/>
  <c r="N479" i="31" a="1"/>
  <c r="N276" i="31" a="1"/>
  <c r="M481" i="31" a="1"/>
  <c r="M456" i="31" a="1"/>
  <c r="M332" i="31" a="1"/>
  <c r="N368" i="31" a="1"/>
  <c r="N262" i="31" a="1"/>
  <c r="O247" i="31" a="1"/>
  <c r="M84" i="31" a="1"/>
  <c r="M459" i="31" a="1"/>
  <c r="N202" i="31" a="1"/>
  <c r="M492" i="31" a="1"/>
  <c r="L412" i="31" a="1"/>
  <c r="N384" i="31" a="1"/>
  <c r="M504" i="31" a="1"/>
  <c r="O458" i="31" a="1"/>
  <c r="N107" i="31" a="1"/>
  <c r="M78" i="31" a="1"/>
  <c r="M424" i="31" a="1"/>
  <c r="N38" i="31" a="1"/>
  <c r="N343" i="31" a="1"/>
  <c r="M414" i="31" a="1"/>
  <c r="L424" i="31" a="1"/>
  <c r="M239" i="31" a="1"/>
  <c r="L155" i="31" a="1"/>
  <c r="N376" i="31" a="1"/>
  <c r="O220" i="31" a="1"/>
  <c r="L153" i="31" a="1"/>
  <c r="N413" i="31" a="1"/>
  <c r="O71" i="31" a="1"/>
  <c r="L286" i="31" a="1"/>
  <c r="L133" i="31" a="1"/>
  <c r="M343" i="31" a="1"/>
  <c r="N49" i="31" a="1"/>
  <c r="N50" i="31" a="1"/>
  <c r="N48" i="31" a="1"/>
  <c r="M458" i="31" a="1"/>
  <c r="M352" i="31" a="1"/>
  <c r="L172" i="31" a="1"/>
  <c r="M185" i="31" a="1"/>
  <c r="N455" i="31" a="1"/>
  <c r="O119" i="31" a="1"/>
  <c r="L210" i="31" a="1"/>
  <c r="O285" i="31" a="1"/>
  <c r="O32" i="31" a="1"/>
  <c r="O451" i="31" a="1"/>
  <c r="L243" i="31" a="1"/>
  <c r="O41" i="31" a="1"/>
  <c r="N102" i="31" a="1"/>
  <c r="L156" i="31" a="1"/>
  <c r="M62" i="31" a="1"/>
  <c r="N241" i="31" a="1"/>
  <c r="O85" i="31" a="1"/>
  <c r="L64" i="31" a="1"/>
  <c r="O128" i="31" a="1"/>
  <c r="L497" i="31" a="1"/>
  <c r="O432" i="31" a="1"/>
  <c r="O493" i="31" a="1"/>
  <c r="O65" i="31" a="1"/>
  <c r="L298" i="31" a="1"/>
  <c r="O502" i="31" a="1"/>
  <c r="M40" i="31" a="1"/>
  <c r="M331" i="31" a="1"/>
  <c r="M286" i="31" a="1"/>
  <c r="M200" i="31" a="1"/>
  <c r="O101" i="31" a="1"/>
  <c r="L473" i="31" a="1"/>
  <c r="M294" i="31" a="1"/>
  <c r="O498" i="31" a="1"/>
  <c r="O430" i="31" a="1"/>
  <c r="M38" i="31" a="1"/>
  <c r="M197" i="31" a="1"/>
  <c r="M288" i="31" a="1"/>
  <c r="N475" i="31" a="1"/>
  <c r="L390" i="31" a="1"/>
  <c r="N207" i="31" a="1"/>
  <c r="N99" i="31" a="1"/>
  <c r="N483" i="31" a="1"/>
  <c r="M152" i="31" a="1"/>
  <c r="N236" i="31" a="1"/>
  <c r="M107" i="31" a="1"/>
  <c r="O113" i="31" a="1"/>
  <c r="M426" i="31" a="1"/>
  <c r="O192" i="31" a="1"/>
  <c r="O189" i="31" a="1"/>
  <c r="L440" i="31" a="1"/>
  <c r="O249" i="31" a="1"/>
  <c r="L421" i="31" a="1"/>
  <c r="L235" i="31" a="1"/>
  <c r="M486" i="31" a="1"/>
  <c r="O91" i="31" a="1"/>
  <c r="M396" i="31" a="1"/>
  <c r="M353" i="31" a="1"/>
  <c r="N371" i="31" a="1"/>
  <c r="N433" i="31" a="1"/>
  <c r="L391" i="31" a="1"/>
  <c r="N462" i="31" a="1"/>
  <c r="O320" i="31" a="1"/>
  <c r="M164" i="31" a="1"/>
  <c r="L199" i="31" a="1"/>
  <c r="O290" i="31" a="1"/>
  <c r="L227" i="31" a="1"/>
  <c r="L506" i="31" a="1"/>
  <c r="L300" i="31" a="1"/>
  <c r="O277" i="31" a="1"/>
  <c r="O146" i="31" a="1"/>
  <c r="L445" i="31" a="1"/>
  <c r="L129" i="31" a="1"/>
  <c r="N493" i="31" a="1"/>
  <c r="L469" i="31" a="1"/>
  <c r="N93" i="31" a="1"/>
  <c r="N248" i="31" a="1"/>
  <c r="L42" i="31" a="1"/>
  <c r="O240" i="31" a="1"/>
  <c r="O268" i="31" a="1"/>
  <c r="L345" i="31" a="1"/>
  <c r="L214" i="31" a="1"/>
  <c r="M50" i="31" a="1"/>
  <c r="O452" i="31" a="1"/>
  <c r="O440" i="31" a="1"/>
  <c r="N507" i="31" a="1"/>
  <c r="O319" i="31" a="1"/>
  <c r="O197" i="31" a="1"/>
  <c r="N210" i="31" a="1"/>
  <c r="L290" i="31" a="1"/>
  <c r="M297" i="31" a="1"/>
  <c r="N239" i="31" a="1"/>
  <c r="L83" i="31" a="1"/>
  <c r="L267" i="31" a="1"/>
  <c r="N412" i="31" a="1"/>
  <c r="L410" i="31" a="1"/>
  <c r="L99" i="31" a="1"/>
  <c r="O383" i="31" a="1"/>
  <c r="L350" i="31" a="1"/>
  <c r="M91" i="31" a="1"/>
  <c r="O363" i="31" a="1"/>
  <c r="O342" i="31" a="1"/>
  <c r="L407" i="31" a="1"/>
  <c r="O384" i="31" a="1"/>
  <c r="L489" i="31" a="1"/>
  <c r="O239" i="31" a="1"/>
  <c r="L254" i="31" a="1"/>
  <c r="O358" i="31" a="1"/>
  <c r="M60" i="31" a="1"/>
  <c r="M131" i="31" a="1"/>
  <c r="O155" i="31" a="1"/>
  <c r="L60" i="31" a="1"/>
  <c r="L257" i="31" a="1"/>
  <c r="L229" i="31" a="1"/>
  <c r="M222" i="31" a="1"/>
  <c r="M413" i="31" a="1"/>
  <c r="L118" i="31" a="1"/>
  <c r="M341" i="31" a="1"/>
  <c r="L399" i="31" a="1"/>
  <c r="N69" i="31" a="1"/>
  <c r="M142" i="31" a="1"/>
  <c r="O531" i="31" a="1"/>
  <c r="L131" i="31" a="1"/>
  <c r="M145" i="31" a="1"/>
  <c r="L187" i="31" a="1"/>
  <c r="L33" i="31" a="1"/>
  <c r="O480" i="31" a="1"/>
  <c r="N243" i="31" a="1"/>
  <c r="M180" i="31" a="1"/>
  <c r="L358" i="31" a="1"/>
  <c r="O223" i="31" a="1"/>
  <c r="M265" i="31" a="1"/>
  <c r="L484" i="31" a="1"/>
  <c r="M298" i="31" a="1"/>
  <c r="L282" i="31" a="1"/>
  <c r="O141" i="31" a="1"/>
  <c r="L174" i="31" a="1"/>
  <c r="M361" i="31" a="1"/>
  <c r="L96" i="31" a="1"/>
  <c r="M76" i="31" a="1"/>
  <c r="O183" i="31" a="1"/>
  <c r="O490" i="31" a="1"/>
  <c r="O497" i="31" a="1"/>
  <c r="M311" i="31" a="1"/>
  <c r="O473" i="31" a="1"/>
  <c r="N504" i="31" a="1"/>
  <c r="L456" i="31" a="1"/>
  <c r="N65" i="31" a="1"/>
  <c r="O321" i="31" a="1"/>
  <c r="O400" i="31" a="1"/>
  <c r="N237" i="31" a="1"/>
  <c r="L95" i="31" a="1"/>
  <c r="M204" i="31" a="1"/>
  <c r="O170" i="31" a="1"/>
  <c r="L362" i="31" a="1"/>
  <c r="O405" i="31" a="1"/>
  <c r="N473" i="31" a="1"/>
  <c r="N81" i="31" a="1"/>
  <c r="L487" i="31" a="1"/>
  <c r="L465" i="31" a="1"/>
  <c r="L333" i="31" a="1"/>
  <c r="L396" i="31" a="1"/>
  <c r="O80" i="31" a="1"/>
  <c r="N179" i="31" a="1"/>
  <c r="M55" i="31" a="1"/>
  <c r="M438" i="31" a="1"/>
  <c r="L337" i="31" a="1"/>
  <c r="L338" i="31" a="1"/>
  <c r="M221" i="31" a="1"/>
  <c r="M182" i="31" a="1"/>
  <c r="M419" i="31" a="1"/>
  <c r="N393" i="31" a="1"/>
  <c r="O233" i="31" a="1"/>
  <c r="N151" i="31" a="1"/>
  <c r="O157" i="31" a="1"/>
  <c r="N62" i="31" a="1"/>
  <c r="O108" i="31" a="1"/>
  <c r="O194" i="31" a="1"/>
  <c r="O169" i="31" a="1"/>
  <c r="M48" i="31" a="1"/>
  <c r="M202" i="31" a="1"/>
  <c r="N253" i="31" a="1"/>
  <c r="N525" i="31" a="1"/>
  <c r="N353" i="31" a="1"/>
  <c r="N59" i="31" a="1"/>
  <c r="N53" i="31" a="1"/>
  <c r="O341" i="31" a="1"/>
  <c r="N256" i="31" a="1"/>
  <c r="O411" i="31" a="1"/>
  <c r="N314" i="31" a="1"/>
  <c r="O482" i="31" a="1"/>
  <c r="M465" i="31" a="1"/>
  <c r="M45" i="31" a="1"/>
  <c r="N407" i="31" a="1"/>
  <c r="N137" i="31" a="1"/>
  <c r="O457" i="31" a="1"/>
  <c r="M416" i="31" a="1"/>
  <c r="L79" i="31" a="1"/>
  <c r="N212" i="31" a="1"/>
  <c r="N469" i="31" a="1"/>
  <c r="N526" i="31" a="1"/>
  <c r="N291" i="31" a="1"/>
  <c r="O317" i="31" a="1"/>
  <c r="N150" i="31" a="1"/>
  <c r="L510" i="31" a="1"/>
  <c r="M303" i="31" a="1"/>
  <c r="L472" i="31" a="1"/>
  <c r="M482" i="31" a="1"/>
  <c r="N149" i="31" a="1"/>
  <c r="M260" i="31" a="1"/>
  <c r="N133" i="31" a="1"/>
  <c r="N431" i="31" a="1"/>
  <c r="O362" i="31" a="1"/>
  <c r="M125" i="31" a="1"/>
  <c r="L509" i="31" a="1"/>
  <c r="O173" i="31" a="1"/>
  <c r="L113" i="31" a="1"/>
  <c r="L404" i="31" a="1"/>
  <c r="L94" i="31" a="1"/>
  <c r="L159" i="31" a="1"/>
  <c r="O422" i="31" a="1"/>
  <c r="M496" i="31" a="1"/>
  <c r="N52" i="31" a="1"/>
  <c r="N373" i="31" a="1"/>
  <c r="O244" i="31" a="1"/>
  <c r="M325" i="31" a="1"/>
  <c r="M522" i="31" a="1"/>
  <c r="N354" i="31" a="1"/>
  <c r="L325" i="31" a="1"/>
  <c r="L126" i="31" a="1"/>
  <c r="M358" i="31" a="1"/>
  <c r="M115" i="31" a="1"/>
  <c r="L55" i="31" a="1"/>
  <c r="M256" i="31" a="1"/>
  <c r="L402" i="31" a="1"/>
  <c r="O266" i="31" a="1"/>
  <c r="O302" i="31" a="1"/>
  <c r="M326" i="31" a="1"/>
  <c r="L45" i="31" a="1"/>
  <c r="O315" i="31" a="1"/>
  <c r="N250" i="31" a="1"/>
  <c r="M383" i="31" a="1"/>
  <c r="M235" i="31" a="1"/>
  <c r="M243" i="31" a="1"/>
  <c r="L46" i="31" a="1"/>
  <c r="L387" i="31" a="1"/>
  <c r="O476" i="31" a="1"/>
  <c r="N399" i="31" a="1"/>
  <c r="L401" i="31" a="1"/>
  <c r="L70" i="31" a="1"/>
  <c r="M412" i="31" a="1"/>
  <c r="L432" i="31" a="1"/>
  <c r="L230" i="31" a="1"/>
  <c r="M72" i="31" a="1"/>
  <c r="O258" i="31" a="1"/>
  <c r="O50" i="31" a="1"/>
  <c r="M242" i="31" a="1"/>
  <c r="M223" i="31" a="1"/>
  <c r="L180" i="31" a="1"/>
  <c r="L66" i="31" a="1"/>
  <c r="N242" i="31" a="1"/>
  <c r="L463" i="31" a="1"/>
  <c r="O335" i="31" a="1"/>
  <c r="O296" i="31" a="1"/>
  <c r="M274" i="31" a="1"/>
  <c r="M348" i="31" a="1"/>
  <c r="M225" i="31" a="1"/>
  <c r="N67" i="31" a="1"/>
  <c r="L49" i="31" a="1"/>
  <c r="N208" i="31" a="1"/>
  <c r="N282" i="31" a="1"/>
  <c r="O529" i="31" a="1"/>
  <c r="N32" i="31" a="1"/>
  <c r="O351" i="31" a="1"/>
  <c r="L422" i="31" a="1"/>
  <c r="L181" i="31" a="1"/>
  <c r="O62" i="31" a="1"/>
  <c r="M320" i="31" a="1"/>
  <c r="O158" i="31" a="1"/>
  <c r="N129" i="31" a="1"/>
  <c r="N201" i="31" a="1"/>
  <c r="O494" i="31" a="1"/>
  <c r="L216" i="31" a="1"/>
  <c r="N238" i="31" a="1"/>
  <c r="O283" i="31" a="1"/>
  <c r="N444" i="31" a="1"/>
  <c r="M520" i="31" a="1"/>
  <c r="L288" i="31" a="1"/>
  <c r="N169" i="31" a="1"/>
  <c r="O140" i="31" a="1"/>
  <c r="L233" i="31" a="1"/>
  <c r="O373" i="31" a="1"/>
  <c r="L122" i="31" a="1"/>
  <c r="M215" i="31" a="1"/>
  <c r="N128" i="31" a="1"/>
  <c r="O184" i="31" a="1"/>
  <c r="O256" i="31" a="1"/>
  <c r="M340" i="31" a="1"/>
  <c r="O67" i="31" a="1"/>
  <c r="N460" i="31" a="1"/>
  <c r="N287" i="31" a="1"/>
  <c r="O281" i="31" a="1"/>
  <c r="L329" i="31" a="1"/>
  <c r="M263" i="31" a="1"/>
  <c r="O376" i="31" a="1"/>
  <c r="N497" i="31" a="1"/>
  <c r="O429" i="31" a="1"/>
  <c r="L249" i="31" a="1"/>
  <c r="L190" i="31" a="1"/>
  <c r="L149" i="31" a="1"/>
  <c r="N54" i="31" a="1"/>
  <c r="N181" i="31" a="1"/>
  <c r="N154" i="31" a="1"/>
  <c r="N502" i="31" a="1"/>
  <c r="O150" i="31" a="1"/>
  <c r="M529" i="31" a="1"/>
  <c r="O174" i="31" a="1"/>
  <c r="O449" i="31" a="1"/>
  <c r="O46" i="31" a="1"/>
  <c r="O292" i="31" a="1"/>
  <c r="N148" i="31" a="1"/>
  <c r="N477" i="31" a="1"/>
  <c r="N220" i="31" a="1"/>
  <c r="L297" i="31" a="1"/>
  <c r="M98" i="31" a="1"/>
  <c r="N307" i="31" a="1"/>
  <c r="N441" i="31" a="1"/>
  <c r="M357" i="31" a="1"/>
  <c r="O340" i="31" a="1"/>
  <c r="L291" i="31" a="1"/>
  <c r="N111" i="31" a="1"/>
  <c r="N203" i="31" a="1"/>
  <c r="N214" i="31" a="1"/>
  <c r="N476" i="31" a="1"/>
  <c r="L102" i="31" a="1"/>
  <c r="O188" i="31" a="1"/>
  <c r="N174" i="31" a="1"/>
  <c r="M255" i="31" a="1"/>
  <c r="M186" i="31" a="1"/>
  <c r="L154" i="31" a="1"/>
  <c r="L67" i="31" a="1"/>
  <c r="L51" i="31" a="1"/>
  <c r="M54" i="31" a="1"/>
  <c r="M384" i="31" a="1"/>
  <c r="N498" i="31" a="1"/>
  <c r="O513" i="31" a="1"/>
  <c r="M168" i="31" a="1"/>
  <c r="O412" i="31" a="1"/>
  <c r="M139" i="31" a="1"/>
  <c r="O124" i="31" a="1"/>
  <c r="N157" i="31" a="1"/>
  <c r="M188" i="31" a="1"/>
  <c r="M79" i="31" a="1"/>
  <c r="O191" i="31" a="1"/>
  <c r="O423" i="31" a="1"/>
  <c r="N273" i="31" a="1"/>
  <c r="M32" i="31" a="1"/>
  <c r="L225" i="31" a="1"/>
  <c r="L293" i="31" a="1"/>
  <c r="M410" i="31" a="1"/>
  <c r="M278" i="31" a="1"/>
  <c r="O401" i="31" a="1"/>
  <c r="O442" i="31" a="1"/>
  <c r="L363" i="31" a="1"/>
  <c r="N328" i="31" a="1"/>
  <c r="N427" i="31" a="1"/>
  <c r="N77" i="31" a="1"/>
  <c r="M467" i="31" a="1"/>
  <c r="O121" i="31" a="1"/>
  <c r="O326" i="31" a="1"/>
  <c r="L223" i="31" a="1"/>
  <c r="L228" i="31" a="1"/>
  <c r="M429" i="31" a="1"/>
  <c r="O187" i="31" a="1"/>
  <c r="L485" i="31" a="1"/>
  <c r="N43" i="31" a="1"/>
  <c r="O380" i="31" a="1"/>
  <c r="M261" i="31" a="1"/>
  <c r="O427" i="31" a="1"/>
  <c r="O501" i="31" a="1"/>
  <c r="N385" i="31" a="1"/>
  <c r="L195" i="31" a="1"/>
  <c r="L280" i="31" a="1"/>
  <c r="N34" i="31" a="1"/>
  <c r="L339" i="31" a="1"/>
  <c r="O484" i="31" a="1"/>
  <c r="L106" i="31" a="1"/>
  <c r="O56" i="31" a="1"/>
  <c r="N501" i="31" a="1"/>
  <c r="L430" i="31" a="1"/>
  <c r="L191" i="31" a="1"/>
  <c r="L494" i="31" a="1"/>
  <c r="N359" i="31" a="1"/>
  <c r="L529" i="31" a="1"/>
  <c r="L136" i="31" a="1"/>
  <c r="L97" i="31" a="1"/>
  <c r="M319" i="31" a="1"/>
  <c r="N228" i="31" a="1"/>
  <c r="L198" i="31" a="1"/>
  <c r="N135" i="31" a="1"/>
  <c r="O327" i="31" a="1"/>
  <c r="M437" i="31" a="1"/>
  <c r="M525" i="31" a="1"/>
  <c r="L514" i="31" a="1"/>
  <c r="O167" i="31" a="1"/>
  <c r="M530" i="31" a="1"/>
  <c r="M127" i="31" a="1"/>
  <c r="O354" i="31" a="1"/>
  <c r="N387" i="31" a="1"/>
  <c r="N44" i="31" a="1"/>
  <c r="N274" i="31" a="1"/>
  <c r="N64" i="31" a="1"/>
  <c r="N116" i="31" a="1"/>
  <c r="M259" i="31" a="1"/>
  <c r="N514" i="31" a="1"/>
  <c r="M321" i="31" a="1"/>
  <c r="N155" i="31" a="1"/>
  <c r="M245" i="31" a="1"/>
  <c r="L438" i="31" a="1"/>
  <c r="L328" i="31" a="1"/>
  <c r="O386" i="31" a="1"/>
  <c r="N292" i="31" a="1"/>
  <c r="M100" i="31" a="1"/>
  <c r="O387" i="31" a="1"/>
  <c r="M179" i="31" a="1"/>
  <c r="L443" i="31" a="1"/>
  <c r="M365" i="31" a="1"/>
  <c r="N321" i="31" a="1"/>
  <c r="L277" i="31" a="1"/>
  <c r="M317" i="31" a="1"/>
  <c r="N101" i="31" a="1"/>
  <c r="M173" i="31" a="1"/>
  <c r="N400" i="31" a="1"/>
  <c r="M318" i="31" a="1"/>
  <c r="N346" i="31" a="1"/>
  <c r="M271" i="31" a="1"/>
  <c r="O297" i="31" a="1"/>
  <c r="M181" i="31" a="1"/>
  <c r="L35" i="31" a="1"/>
  <c r="N184" i="31" a="1"/>
  <c r="O481" i="31" a="1"/>
  <c r="M402" i="31" a="1"/>
  <c r="M468" i="31" a="1"/>
  <c r="L368" i="31" a="1"/>
  <c r="O314" i="31" a="1"/>
  <c r="L57" i="31" a="1"/>
  <c r="L207" i="31" a="1"/>
  <c r="M360" i="31" a="1"/>
  <c r="N316" i="31" a="1"/>
  <c r="O475" i="31" a="1"/>
  <c r="N428" i="31" a="1"/>
  <c r="M374" i="31" a="1"/>
  <c r="M247" i="31" a="1"/>
  <c r="O417" i="31" a="1"/>
  <c r="L306" i="31" a="1"/>
  <c r="L360" i="31" a="1"/>
  <c r="L238" i="31" a="1"/>
  <c r="M102" i="31" a="1"/>
  <c r="N290" i="31" a="1"/>
  <c r="L454" i="31" a="1"/>
  <c r="O107" i="31" a="1"/>
  <c r="L150" i="31" a="1"/>
  <c r="O466" i="31" a="1"/>
  <c r="O371" i="31" a="1"/>
  <c r="L135" i="31" a="1"/>
  <c r="L478" i="31" a="1"/>
  <c r="L405" i="31" a="1"/>
  <c r="L273" i="31" a="1"/>
  <c r="N421" i="31" a="1"/>
  <c r="M228" i="31" a="1"/>
  <c r="N55" i="31" a="1"/>
  <c r="O395" i="31" a="1"/>
  <c r="M524" i="31" a="1"/>
  <c r="O200" i="31" a="1"/>
  <c r="N391" i="31" a="1"/>
  <c r="L205" i="31" a="1"/>
  <c r="M362" i="31" a="1"/>
  <c r="M177" i="31" a="1"/>
  <c r="O375" i="31" a="1"/>
  <c r="M119" i="31" a="1"/>
  <c r="L496" i="31" a="1"/>
  <c r="M49" i="31" a="1"/>
  <c r="O479" i="31" a="1"/>
  <c r="N484" i="31" a="1"/>
  <c r="M500" i="31" a="1"/>
  <c r="M328" i="31" a="1"/>
  <c r="O516" i="31" a="1"/>
  <c r="O527" i="31" a="1"/>
  <c r="N216" i="31" a="1"/>
  <c r="O82" i="31" a="1"/>
  <c r="N264" i="31" a="1"/>
  <c r="M323" i="31" a="1"/>
  <c r="O461" i="31" a="1"/>
  <c r="N516" i="31" a="1"/>
  <c r="M44" i="31" a="1"/>
  <c r="L234" i="31" a="1"/>
  <c r="N458" i="31" a="1"/>
  <c r="M163" i="31" a="1"/>
  <c r="N218" i="31" a="1"/>
  <c r="M515" i="31" a="1"/>
  <c r="M308" i="31" a="1"/>
  <c r="M512" i="31" a="1"/>
  <c r="O488" i="31" a="1"/>
  <c r="O208" i="31" a="1"/>
  <c r="L464" i="31" a="1"/>
  <c r="O366" i="31" a="1"/>
  <c r="L203" i="31" a="1"/>
  <c r="O103" i="31" a="1"/>
  <c r="N229" i="31" a="1"/>
  <c r="N472" i="31" a="1"/>
  <c r="L318" i="31" a="1"/>
  <c r="N317" i="31" a="1"/>
  <c r="L176" i="31" a="1"/>
  <c r="O224" i="31" a="1"/>
  <c r="O37" i="31" a="1"/>
  <c r="L520" i="31" a="1"/>
  <c r="L54" i="31" a="1"/>
  <c r="M470" i="31" a="1"/>
  <c r="L124" i="31" a="1"/>
  <c r="O55" i="31" a="1"/>
  <c r="O443" i="31" a="1"/>
  <c r="N339" i="31" a="1"/>
  <c r="M475" i="31" a="1"/>
  <c r="M477" i="31" a="1"/>
  <c r="O147" i="31" a="1"/>
  <c r="M449" i="31" a="1"/>
  <c r="N289" i="31" a="1"/>
  <c r="L239" i="31" a="1"/>
  <c r="O446" i="31" a="1"/>
  <c r="L493" i="31" a="1"/>
  <c r="L240" i="31" a="1"/>
  <c r="L77" i="31" a="1"/>
  <c r="O441" i="31" a="1"/>
  <c r="L503" i="31" a="1"/>
  <c r="M510" i="31" a="1"/>
  <c r="N429" i="31" a="1"/>
  <c r="N306" i="31" a="1"/>
  <c r="M381" i="31" a="1"/>
  <c r="M112" i="31" a="1"/>
  <c r="N352" i="31" a="1"/>
  <c r="L146" i="31" a="1"/>
  <c r="M214" i="31" a="1"/>
  <c r="N402" i="31" a="1"/>
  <c r="L348" i="31" a="1"/>
  <c r="M446" i="31" a="1"/>
  <c r="L367" i="31" a="1"/>
  <c r="M75" i="31" a="1"/>
  <c r="M469" i="31" a="1"/>
  <c r="L100" i="31" a="1"/>
  <c r="N177" i="31" a="1"/>
  <c r="N430" i="31" a="1"/>
  <c r="L32" i="31" a="1"/>
  <c r="M435" i="31" a="1"/>
  <c r="L147" i="31" a="1"/>
  <c r="M237" i="31" a="1"/>
  <c r="N301" i="31" a="1"/>
  <c r="M144" i="31" a="1"/>
  <c r="O57" i="31" a="1"/>
  <c r="L471" i="31" a="1"/>
  <c r="M64" i="31" a="1"/>
  <c r="N261" i="31" a="1"/>
  <c r="M236" i="31" a="1"/>
  <c r="O201" i="31" a="1"/>
  <c r="L206" i="31" a="1"/>
  <c r="L417" i="31" a="1"/>
  <c r="L476" i="31" a="1"/>
  <c r="L85" i="31" a="1"/>
  <c r="N468" i="31" a="1"/>
  <c r="N372" i="31" a="1"/>
  <c r="L397" i="31" a="1"/>
  <c r="N136" i="31" a="1"/>
  <c r="O495" i="31" a="1"/>
  <c r="M206" i="31" a="1"/>
  <c r="O343" i="31" a="1"/>
  <c r="L441" i="31" a="1"/>
  <c r="N47" i="31" a="1"/>
  <c r="O309" i="31" a="1"/>
  <c r="L419" i="31" a="1"/>
  <c r="L311" i="31" a="1"/>
  <c r="L455" i="31" a="1"/>
  <c r="O115" i="31" a="1"/>
  <c r="M41" i="31" a="1"/>
  <c r="M327" i="31" a="1"/>
  <c r="N392" i="31" a="1"/>
  <c r="L429" i="31" a="1"/>
  <c r="O487" i="31" a="1"/>
  <c r="N457" i="31" a="1"/>
  <c r="O218" i="31" a="1"/>
  <c r="N195" i="31" a="1"/>
  <c r="O433" i="31" a="1"/>
  <c r="M110" i="31" a="1"/>
  <c r="N449" i="31" a="1"/>
  <c r="L470" i="31" a="1"/>
  <c r="O471" i="31" a="1"/>
  <c r="L446" i="31" a="1"/>
  <c r="M478" i="31" a="1"/>
  <c r="M43" i="31" a="1"/>
  <c r="O456" i="31" a="1"/>
  <c r="O159" i="31" a="1"/>
  <c r="O202" i="31" a="1"/>
  <c r="N75" i="31" a="1"/>
  <c r="L322" i="31" a="1"/>
  <c r="N511" i="31" a="1"/>
  <c r="N375" i="31" a="1"/>
  <c r="N134" i="31" a="1"/>
  <c r="M114" i="31" a="1"/>
  <c r="N440" i="31" a="1"/>
  <c r="N409" i="31" a="1"/>
  <c r="N506" i="31" a="1"/>
  <c r="N336" i="31" a="1"/>
  <c r="L105" i="31" a="1"/>
  <c r="O79" i="31" a="1"/>
  <c r="M521" i="31" a="1"/>
  <c r="N531" i="31" a="1"/>
  <c r="M452" i="31" a="1"/>
  <c r="N390" i="31" a="1"/>
  <c r="M250" i="31" a="1"/>
  <c r="M283" i="31" a="1"/>
  <c r="M174" i="31" a="1"/>
  <c r="O228" i="31" a="1"/>
  <c r="O272" i="31" a="1"/>
  <c r="N480" i="31" a="1"/>
  <c r="L492" i="31" a="1"/>
  <c r="N286" i="31" a="1"/>
  <c r="M272" i="31" a="1"/>
  <c r="L409" i="31" a="1"/>
  <c r="L140" i="31" a="1"/>
  <c r="N370" i="31" a="1"/>
  <c r="N143" i="31" a="1"/>
  <c r="L103" i="31" a="1"/>
  <c r="O460" i="31" a="1"/>
  <c r="O447" i="31" a="1"/>
  <c r="N305" i="31" a="1"/>
  <c r="O509" i="31" a="1"/>
  <c r="O229" i="31" a="1"/>
  <c r="L334" i="31" a="1"/>
  <c r="M227" i="31" a="1"/>
  <c r="L375" i="31" a="1"/>
  <c r="L72" i="31" a="1"/>
  <c r="L62" i="31" a="1"/>
  <c r="L144" i="31" a="1"/>
  <c r="L65" i="31" a="1"/>
  <c r="M395" i="31" a="1"/>
  <c r="N189" i="31" a="1"/>
  <c r="O88" i="31" a="1"/>
  <c r="M282" i="31" a="1"/>
  <c r="N61" i="31" a="1"/>
  <c r="M216" i="31" a="1"/>
  <c r="M329" i="31" a="1"/>
  <c r="M373" i="31" a="1"/>
  <c r="O152" i="31" a="1"/>
  <c r="O347" i="31" a="1"/>
  <c r="N345" i="31" a="1"/>
  <c r="O47" i="31" a="1"/>
  <c r="O181" i="31" a="1"/>
  <c r="M304" i="31" a="1"/>
  <c r="M138" i="31" a="1"/>
  <c r="N509" i="31" a="1"/>
  <c r="O407" i="31" a="1"/>
  <c r="O511" i="31" a="1"/>
  <c r="L132" i="31" a="1"/>
  <c r="L434" i="31" a="1"/>
  <c r="N159" i="31" a="1"/>
  <c r="O284" i="31" a="1"/>
  <c r="N114" i="31" a="1"/>
  <c r="N268" i="31" a="1"/>
  <c r="N453" i="31" a="1"/>
  <c r="L218" i="31" a="1"/>
  <c r="L185" i="31" a="1"/>
  <c r="M445" i="31" a="1"/>
  <c r="L80" i="31" a="1"/>
  <c r="O491" i="31" a="1"/>
  <c r="M368" i="31" a="1"/>
  <c r="N263" i="31" a="1"/>
  <c r="M262" i="31" a="1"/>
  <c r="M454" i="31" a="1"/>
  <c r="L359" i="31" a="1"/>
  <c r="O76" i="31" a="1"/>
  <c r="M184" i="31" a="1"/>
  <c r="L88" i="31" a="1"/>
  <c r="O514" i="31" a="1"/>
  <c r="L314" i="31" a="1"/>
  <c r="M116" i="31" a="1"/>
  <c r="O213" i="31" a="1"/>
  <c r="N119" i="31" a="1"/>
  <c r="L219" i="31" a="1"/>
  <c r="L204" i="31" a="1"/>
  <c r="O33" i="31" a="1"/>
  <c r="M85" i="31" a="1"/>
  <c r="M105" i="31" a="1"/>
  <c r="O206" i="31" a="1"/>
  <c r="N464" i="31" a="1"/>
  <c r="N471" i="31" a="1"/>
  <c r="N200" i="31" a="1"/>
  <c r="N166" i="31" a="1"/>
  <c r="L501" i="31" a="1"/>
  <c r="L376" i="31" a="1"/>
  <c r="M490" i="31" a="1"/>
  <c r="L342" i="31" a="1"/>
  <c r="N356" i="31" a="1"/>
  <c r="N92" i="31" a="1"/>
  <c r="O474" i="31" a="1"/>
  <c r="N417" i="31" a="1"/>
  <c r="L428" i="31" a="1"/>
  <c r="M95" i="31" a="1"/>
  <c r="O306" i="31" a="1"/>
  <c r="M99" i="31" a="1"/>
  <c r="O203" i="31" a="1"/>
  <c r="L188" i="31" a="1"/>
  <c r="O36" i="31" a="1"/>
  <c r="M370" i="31" a="1"/>
  <c r="O99" i="31" a="1"/>
  <c r="L241" i="31" a="1"/>
  <c r="O112" i="31" a="1"/>
  <c r="O379" i="31" a="1"/>
  <c r="L164" i="31" a="1"/>
  <c r="L266" i="31" a="1"/>
  <c r="N325" i="31" a="1"/>
  <c r="L352" i="31" a="1"/>
  <c r="M421" i="31" a="1"/>
  <c r="L56" i="31" a="1"/>
  <c r="N46" i="31" a="1"/>
  <c r="M82" i="31" a="1"/>
  <c r="O190" i="31" a="1"/>
  <c r="N515" i="31" a="1"/>
  <c r="N419" i="31" a="1"/>
  <c r="N251" i="31" a="1"/>
  <c r="O404" i="31" a="1"/>
  <c r="L250" i="31" a="1"/>
  <c r="N246" i="31" a="1"/>
  <c r="M411" i="31" a="1"/>
  <c r="O467" i="31" a="1"/>
  <c r="N57" i="31" a="1"/>
  <c r="O96" i="31" a="1"/>
  <c r="L109" i="31" a="1"/>
  <c r="O52" i="31" a="1"/>
  <c r="M74" i="31" a="1"/>
  <c r="M493" i="31" a="1"/>
  <c r="O210" i="31" a="1"/>
  <c r="M400" i="31" a="1"/>
  <c r="M129" i="31" a="1"/>
  <c r="N494" i="31" a="1"/>
  <c r="M108" i="31" a="1"/>
  <c r="L272" i="31" a="1"/>
  <c r="M147" i="31" a="1"/>
  <c r="O298" i="31" a="1"/>
  <c r="N521" i="31" a="1"/>
  <c r="N302" i="31" a="1"/>
  <c r="N36" i="31" a="1"/>
  <c r="L89" i="31" a="1"/>
  <c r="L110" i="31" a="1"/>
  <c r="L369" i="31" a="1"/>
  <c r="N445" i="31" a="1"/>
  <c r="L505" i="31" a="1"/>
  <c r="L226" i="31" a="1"/>
  <c r="O269" i="31" a="1"/>
  <c r="M57" i="31" a="1"/>
  <c r="O455" i="31" a="1"/>
  <c r="N222" i="31" a="1"/>
  <c r="L340" i="31" a="1"/>
  <c r="N82" i="31" a="1"/>
  <c r="N209" i="31" a="1"/>
  <c r="L287" i="31" a="1"/>
  <c r="L302" i="31" a="1"/>
  <c r="L442" i="31" a="1"/>
  <c r="L449" i="31" a="1"/>
  <c r="N70" i="31" a="1"/>
  <c r="M257" i="31" a="1"/>
  <c r="O444" i="31" a="1"/>
  <c r="O207" i="31" a="1"/>
  <c r="L353" i="31" a="1"/>
  <c r="L499" i="31" a="1"/>
  <c r="N191" i="31" a="1"/>
  <c r="N519" i="31" a="1"/>
  <c r="L253" i="31" a="1"/>
  <c r="O195" i="31" a="1"/>
  <c r="M354" i="31" a="1"/>
  <c r="N478" i="31" a="1"/>
  <c r="M266" i="31" a="1"/>
  <c r="M171" i="31" a="1"/>
  <c r="L134" i="31" a="1"/>
  <c r="L117" i="31" a="1"/>
  <c r="M295" i="31" a="1"/>
  <c r="M369" i="31" a="1"/>
  <c r="O316" i="31" a="1"/>
  <c r="N396" i="31" a="1"/>
  <c r="N386" i="31" a="1"/>
  <c r="M240" i="31" a="1"/>
  <c r="O212" i="31" a="1"/>
  <c r="O254" i="31" a="1"/>
  <c r="M224" i="31" a="1"/>
  <c r="O234" i="31" a="1"/>
  <c r="O406" i="31" a="1"/>
  <c r="O367" i="31" a="1"/>
  <c r="N63" i="31" a="1"/>
  <c r="O209" i="31" a="1"/>
  <c r="O120" i="31" a="1"/>
  <c r="O74" i="31" a="1"/>
  <c r="O127" i="31" a="1"/>
  <c r="N109" i="31" a="1"/>
  <c r="M517" i="31" a="1"/>
  <c r="L482" i="31" a="1"/>
  <c r="M198" i="31" a="1"/>
  <c r="O198" i="31" a="1"/>
  <c r="L332" i="31" a="1"/>
  <c r="M199" i="31" a="1"/>
  <c r="N406" i="31" a="1"/>
  <c r="L114" i="31" a="1"/>
  <c r="N227" i="31" a="1"/>
  <c r="M497" i="31" a="1"/>
  <c r="L111" i="31" a="1"/>
  <c r="L511" i="31" a="1"/>
  <c r="M246" i="31" a="1"/>
  <c r="N283" i="31" a="1"/>
  <c r="N432" i="31" a="1"/>
  <c r="M83" i="31" a="1"/>
  <c r="N194" i="31" a="1"/>
  <c r="O42" i="31" a="1"/>
  <c r="O521" i="31" a="1"/>
  <c r="O253" i="31" a="1"/>
  <c r="O420" i="31" a="1"/>
  <c r="M59" i="31" a="1"/>
  <c r="L182" i="31" a="1"/>
  <c r="L285" i="31" a="1"/>
  <c r="M422" i="31" a="1"/>
  <c r="O68" i="31" a="1"/>
  <c r="N142" i="31" a="1"/>
  <c r="M94" i="31" a="1"/>
  <c r="O160" i="31" a="1"/>
  <c r="O528" i="31" a="1"/>
  <c r="O149" i="31" a="1"/>
  <c r="M172" i="31" a="1"/>
  <c r="M464" i="31" a="1"/>
  <c r="M65" i="31" a="1"/>
  <c r="N131" i="31" a="1"/>
  <c r="M502" i="31" a="1"/>
  <c r="O60" i="31" a="1"/>
  <c r="N187" i="31" a="1"/>
  <c r="N420" i="31" a="1"/>
  <c r="N463" i="31" a="1"/>
  <c r="N68" i="31" a="1"/>
  <c r="L59" i="31" a="1"/>
  <c r="O132" i="31" a="1"/>
  <c r="O58" i="31" a="1"/>
  <c r="N252" i="31" a="1"/>
  <c r="L324" i="31" a="1"/>
  <c r="M218" i="31" a="1"/>
  <c r="M334" i="31" a="1"/>
  <c r="M70" i="31" a="1"/>
  <c r="O81" i="31" a="1"/>
  <c r="N439" i="31" a="1"/>
  <c r="O237" i="31" a="1"/>
  <c r="L121" i="31" a="1"/>
  <c r="O523" i="31" a="1"/>
  <c r="N389" i="31" a="1"/>
  <c r="O77" i="31" a="1"/>
  <c r="L200" i="31" a="1"/>
  <c r="M491" i="31" a="1"/>
  <c r="L462" i="31" a="1"/>
  <c r="L531" i="31" a="1"/>
  <c r="N365" i="31" a="1"/>
  <c r="L335" i="31" a="1"/>
  <c r="L125" i="31" a="1"/>
  <c r="M81" i="31" a="1"/>
  <c r="O485" i="31" a="1"/>
  <c r="N259" i="31" a="1"/>
  <c r="M336" i="31" a="1"/>
  <c r="N327" i="31" a="1"/>
  <c r="M324" i="31" a="1"/>
  <c r="M350" i="31" a="1"/>
  <c r="N192" i="31" a="1"/>
  <c r="M409" i="31" a="1"/>
  <c r="O163" i="31" a="1"/>
  <c r="N197" i="31" a="1"/>
  <c r="N474" i="31" a="1"/>
  <c r="O389" i="31" a="1"/>
  <c r="M330" i="31" a="1"/>
  <c r="N193" i="31" a="1"/>
  <c r="L215" i="31" a="1"/>
  <c r="N176" i="31" a="1"/>
  <c r="O165" i="31" a="1"/>
  <c r="N39" i="31" a="1"/>
  <c r="N172" i="31" a="1"/>
  <c r="O435" i="31" a="1"/>
  <c r="L377" i="31" a="1"/>
  <c r="M356" i="31" a="1"/>
  <c r="M344" i="31" a="1"/>
  <c r="L305" i="31" a="1"/>
  <c r="O454" i="31" a="1"/>
  <c r="L245" i="31" a="1"/>
  <c r="N56" i="31" a="1"/>
  <c r="L393" i="31" a="1"/>
  <c r="L315" i="31" a="1"/>
  <c r="N196" i="31" a="1"/>
  <c r="L178" i="31" a="1"/>
  <c r="O499" i="31" a="1"/>
  <c r="N523" i="31" a="1"/>
  <c r="L316" i="31" a="1"/>
  <c r="O496" i="31" a="1"/>
  <c r="L508" i="31" a="1"/>
  <c r="O322" i="31" a="1"/>
  <c r="O98" i="31" a="1"/>
  <c r="O259" i="31" a="1"/>
  <c r="L39" i="31" a="1"/>
  <c r="L411" i="31" a="1"/>
  <c r="O73" i="31" a="1"/>
  <c r="O138" i="31" a="1"/>
  <c r="O353" i="31" a="1"/>
  <c r="M366" i="31" a="1"/>
  <c r="N86" i="31" a="1"/>
  <c r="N28" i="31" a="1"/>
  <c r="M28" i="31" a="1"/>
  <c r="O28" i="31" a="1"/>
  <c r="P28" i="31" a="1"/>
  <c r="L28" i="31" a="1"/>
  <c r="P28" i="31" l="1"/>
  <c r="N28" i="31"/>
  <c r="P18" i="31" s="1"/>
  <c r="P19" i="31" s="1"/>
  <c r="O28" i="31"/>
  <c r="M28" i="31"/>
  <c r="L28" i="31"/>
  <c r="P509" i="31"/>
  <c r="P450" i="31"/>
  <c r="V450" i="31" s="1"/>
  <c r="P278" i="31"/>
  <c r="V278" i="31" s="1"/>
  <c r="P495" i="31"/>
  <c r="P449" i="31"/>
  <c r="P399" i="31"/>
  <c r="V399" i="31" s="1"/>
  <c r="P390" i="31"/>
  <c r="V390" i="31" s="1"/>
  <c r="P385" i="31"/>
  <c r="P376" i="31"/>
  <c r="P365" i="31"/>
  <c r="V365" i="31" s="1"/>
  <c r="P358" i="31"/>
  <c r="V358" i="31" s="1"/>
  <c r="P341" i="31"/>
  <c r="P333" i="31"/>
  <c r="P324" i="31"/>
  <c r="V324" i="31" s="1"/>
  <c r="P276" i="31"/>
  <c r="V276" i="31" s="1"/>
  <c r="P262" i="31"/>
  <c r="V262" i="31" s="1"/>
  <c r="P248" i="31"/>
  <c r="P180" i="31"/>
  <c r="V180" i="31" s="1"/>
  <c r="P125" i="31"/>
  <c r="V125" i="31" s="1"/>
  <c r="P500" i="31"/>
  <c r="P445" i="31"/>
  <c r="P395" i="31"/>
  <c r="V395" i="31" s="1"/>
  <c r="P359" i="31"/>
  <c r="V359" i="31" s="1"/>
  <c r="P325" i="31"/>
  <c r="V325" i="31" s="1"/>
  <c r="P249" i="31"/>
  <c r="P513" i="31"/>
  <c r="P463" i="31"/>
  <c r="V463" i="31" s="1"/>
  <c r="P422" i="31"/>
  <c r="P499" i="31"/>
  <c r="P476" i="31"/>
  <c r="V476" i="31" s="1"/>
  <c r="P467" i="31"/>
  <c r="V467" i="31" s="1"/>
  <c r="P458" i="31"/>
  <c r="V458" i="31" s="1"/>
  <c r="P453" i="31"/>
  <c r="P444" i="31"/>
  <c r="V444" i="31" s="1"/>
  <c r="P435" i="31"/>
  <c r="V435" i="31" s="1"/>
  <c r="P426" i="31"/>
  <c r="P421" i="31"/>
  <c r="P412" i="31"/>
  <c r="V412" i="31" s="1"/>
  <c r="P403" i="31"/>
  <c r="V403" i="31" s="1"/>
  <c r="P394" i="31"/>
  <c r="P389" i="31"/>
  <c r="P380" i="31"/>
  <c r="P371" i="31"/>
  <c r="V371" i="31" s="1"/>
  <c r="P364" i="31"/>
  <c r="P357" i="31"/>
  <c r="P349" i="31"/>
  <c r="V349" i="31" s="1"/>
  <c r="P340" i="31"/>
  <c r="V340" i="31" s="1"/>
  <c r="P331" i="31"/>
  <c r="V331" i="31" s="1"/>
  <c r="P314" i="31"/>
  <c r="P303" i="31"/>
  <c r="V303" i="31" s="1"/>
  <c r="P288" i="31"/>
  <c r="V288" i="31" s="1"/>
  <c r="P260" i="31"/>
  <c r="P244" i="31"/>
  <c r="P219" i="31"/>
  <c r="P174" i="31"/>
  <c r="V174" i="31" s="1"/>
  <c r="P117" i="31"/>
  <c r="V117" i="31" s="1"/>
  <c r="P491" i="31"/>
  <c r="P404" i="31"/>
  <c r="V404" i="31" s="1"/>
  <c r="P292" i="31"/>
  <c r="V292" i="31" s="1"/>
  <c r="P486" i="31"/>
  <c r="P408" i="31"/>
  <c r="P521" i="31"/>
  <c r="V521" i="31" s="1"/>
  <c r="P471" i="31"/>
  <c r="V471" i="31" s="1"/>
  <c r="P457" i="31"/>
  <c r="V457" i="31" s="1"/>
  <c r="P416" i="31"/>
  <c r="P407" i="31"/>
  <c r="V407" i="31" s="1"/>
  <c r="P398" i="31"/>
  <c r="V398" i="31" s="1"/>
  <c r="P393" i="31"/>
  <c r="P384" i="31"/>
  <c r="P375" i="31"/>
  <c r="V375" i="31" s="1"/>
  <c r="P363" i="31"/>
  <c r="V363" i="31" s="1"/>
  <c r="P356" i="31"/>
  <c r="V356" i="31" s="1"/>
  <c r="P347" i="31"/>
  <c r="P313" i="31"/>
  <c r="V313" i="31" s="1"/>
  <c r="P287" i="31"/>
  <c r="V287" i="31" s="1"/>
  <c r="P272" i="31"/>
  <c r="P243" i="31"/>
  <c r="P217" i="31"/>
  <c r="V217" i="31" s="1"/>
  <c r="P107" i="31"/>
  <c r="V107" i="31" s="1"/>
  <c r="P482" i="31"/>
  <c r="V482" i="31" s="1"/>
  <c r="P468" i="31"/>
  <c r="P418" i="31"/>
  <c r="V418" i="31" s="1"/>
  <c r="P381" i="31"/>
  <c r="V381" i="31" s="1"/>
  <c r="P342" i="31"/>
  <c r="P304" i="31"/>
  <c r="P265" i="31"/>
  <c r="P527" i="31"/>
  <c r="V527" i="31" s="1"/>
  <c r="P504" i="31"/>
  <c r="V504" i="31" s="1"/>
  <c r="P454" i="31"/>
  <c r="P522" i="31"/>
  <c r="V522" i="31" s="1"/>
  <c r="P490" i="31"/>
  <c r="V490" i="31" s="1"/>
  <c r="P503" i="31"/>
  <c r="P489" i="31"/>
  <c r="P480" i="31"/>
  <c r="V480" i="31" s="1"/>
  <c r="P462" i="31"/>
  <c r="V462" i="31" s="1"/>
  <c r="P448" i="31"/>
  <c r="V448" i="31" s="1"/>
  <c r="P439" i="31"/>
  <c r="P430" i="31"/>
  <c r="V430" i="31" s="1"/>
  <c r="P425" i="31"/>
  <c r="V425" i="31" s="1"/>
  <c r="P530" i="31"/>
  <c r="P525" i="31"/>
  <c r="P516" i="31"/>
  <c r="P507" i="31"/>
  <c r="V507" i="31" s="1"/>
  <c r="P498" i="31"/>
  <c r="V498" i="31" s="1"/>
  <c r="P493" i="31"/>
  <c r="P484" i="31"/>
  <c r="V484" i="31" s="1"/>
  <c r="P475" i="31"/>
  <c r="V475" i="31" s="1"/>
  <c r="P466" i="31"/>
  <c r="P461" i="31"/>
  <c r="P452" i="31"/>
  <c r="V452" i="31" s="1"/>
  <c r="P443" i="31"/>
  <c r="V443" i="31" s="1"/>
  <c r="P434" i="31"/>
  <c r="V434" i="31" s="1"/>
  <c r="P429" i="31"/>
  <c r="P420" i="31"/>
  <c r="P411" i="31"/>
  <c r="V411" i="31" s="1"/>
  <c r="P402" i="31"/>
  <c r="P397" i="31"/>
  <c r="P388" i="31"/>
  <c r="V388" i="31" s="1"/>
  <c r="P379" i="31"/>
  <c r="V379" i="31" s="1"/>
  <c r="P370" i="31"/>
  <c r="V370" i="31" s="1"/>
  <c r="P330" i="31"/>
  <c r="P320" i="31"/>
  <c r="V320" i="31" s="1"/>
  <c r="P310" i="31"/>
  <c r="V310" i="31" s="1"/>
  <c r="P299" i="31"/>
  <c r="P271" i="31"/>
  <c r="P256" i="31"/>
  <c r="P238" i="31"/>
  <c r="V238" i="31" s="1"/>
  <c r="P212" i="31"/>
  <c r="P161" i="31"/>
  <c r="P436" i="31"/>
  <c r="V436" i="31" s="1"/>
  <c r="P225" i="31"/>
  <c r="V225" i="31" s="1"/>
  <c r="P440" i="31"/>
  <c r="P531" i="31"/>
  <c r="P526" i="31"/>
  <c r="V526" i="31" s="1"/>
  <c r="P511" i="31"/>
  <c r="V511" i="31" s="1"/>
  <c r="P479" i="31"/>
  <c r="V479" i="31" s="1"/>
  <c r="P456" i="31"/>
  <c r="P438" i="31"/>
  <c r="P424" i="31"/>
  <c r="V424" i="31" s="1"/>
  <c r="P415" i="31"/>
  <c r="P406" i="31"/>
  <c r="P401" i="31"/>
  <c r="V401" i="31" s="1"/>
  <c r="P392" i="31"/>
  <c r="V392" i="31" s="1"/>
  <c r="P383" i="31"/>
  <c r="V383" i="31" s="1"/>
  <c r="P374" i="31"/>
  <c r="P368" i="31"/>
  <c r="V368" i="31" s="1"/>
  <c r="P362" i="31"/>
  <c r="V362" i="31" s="1"/>
  <c r="P346" i="31"/>
  <c r="P336" i="31"/>
  <c r="P329" i="31"/>
  <c r="V329" i="31" s="1"/>
  <c r="P309" i="31"/>
  <c r="V309" i="31" s="1"/>
  <c r="P298" i="31"/>
  <c r="V298" i="31" s="1"/>
  <c r="P283" i="31"/>
  <c r="P255" i="31"/>
  <c r="V255" i="31" s="1"/>
  <c r="P236" i="31"/>
  <c r="V236" i="31" s="1"/>
  <c r="P206" i="31"/>
  <c r="P155" i="31"/>
  <c r="P83" i="31"/>
  <c r="V83" i="31" s="1"/>
  <c r="P523" i="31"/>
  <c r="V523" i="31" s="1"/>
  <c r="P427" i="31"/>
  <c r="V427" i="31" s="1"/>
  <c r="P372" i="31"/>
  <c r="P315" i="31"/>
  <c r="V315" i="31" s="1"/>
  <c r="P133" i="31"/>
  <c r="V133" i="31" s="1"/>
  <c r="P481" i="31"/>
  <c r="P417" i="31"/>
  <c r="P517" i="31"/>
  <c r="V517" i="31" s="1"/>
  <c r="P529" i="31"/>
  <c r="V529" i="31" s="1"/>
  <c r="P502" i="31"/>
  <c r="V502" i="31" s="1"/>
  <c r="P488" i="31"/>
  <c r="P470" i="31"/>
  <c r="V470" i="31" s="1"/>
  <c r="P447" i="31"/>
  <c r="V447" i="31" s="1"/>
  <c r="P506" i="31"/>
  <c r="P474" i="31"/>
  <c r="P460" i="31"/>
  <c r="V460" i="31" s="1"/>
  <c r="P442" i="31"/>
  <c r="V442" i="31" s="1"/>
  <c r="P419" i="31"/>
  <c r="P405" i="31"/>
  <c r="P396" i="31"/>
  <c r="P387" i="31"/>
  <c r="V387" i="31" s="1"/>
  <c r="P378" i="31"/>
  <c r="P373" i="31"/>
  <c r="P361" i="31"/>
  <c r="V361" i="31" s="1"/>
  <c r="P352" i="31"/>
  <c r="V352" i="31" s="1"/>
  <c r="P345" i="31"/>
  <c r="V345" i="31" s="1"/>
  <c r="P319" i="31"/>
  <c r="P308" i="31"/>
  <c r="V308" i="31" s="1"/>
  <c r="P297" i="31"/>
  <c r="V297" i="31" s="1"/>
  <c r="P282" i="31"/>
  <c r="P267" i="31"/>
  <c r="P148" i="31"/>
  <c r="V148" i="31" s="1"/>
  <c r="P67" i="31"/>
  <c r="V67" i="31" s="1"/>
  <c r="P514" i="31"/>
  <c r="V514" i="31" s="1"/>
  <c r="P477" i="31"/>
  <c r="P459" i="31"/>
  <c r="V459" i="31" s="1"/>
  <c r="P413" i="31"/>
  <c r="V413" i="31" s="1"/>
  <c r="P386" i="31"/>
  <c r="P351" i="31"/>
  <c r="P187" i="31"/>
  <c r="V187" i="31" s="1"/>
  <c r="P518" i="31"/>
  <c r="V518" i="31" s="1"/>
  <c r="P472" i="31"/>
  <c r="V472" i="31" s="1"/>
  <c r="P431" i="31"/>
  <c r="P508" i="31"/>
  <c r="V508" i="31" s="1"/>
  <c r="P485" i="31"/>
  <c r="V485" i="31" s="1"/>
  <c r="P512" i="31"/>
  <c r="P494" i="31"/>
  <c r="P520" i="31"/>
  <c r="V520" i="31" s="1"/>
  <c r="P497" i="31"/>
  <c r="V497" i="31" s="1"/>
  <c r="P465" i="31"/>
  <c r="V465" i="31" s="1"/>
  <c r="P433" i="31"/>
  <c r="P524" i="31"/>
  <c r="P515" i="31"/>
  <c r="V515" i="31" s="1"/>
  <c r="P501" i="31"/>
  <c r="P492" i="31"/>
  <c r="P483" i="31"/>
  <c r="V483" i="31" s="1"/>
  <c r="P469" i="31"/>
  <c r="V469" i="31" s="1"/>
  <c r="P451" i="31"/>
  <c r="V451" i="31" s="1"/>
  <c r="P437" i="31"/>
  <c r="P428" i="31"/>
  <c r="V428" i="31" s="1"/>
  <c r="P410" i="31"/>
  <c r="V410" i="31" s="1"/>
  <c r="P528" i="31"/>
  <c r="P519" i="31"/>
  <c r="P510" i="31"/>
  <c r="V510" i="31" s="1"/>
  <c r="P505" i="31"/>
  <c r="V505" i="31" s="1"/>
  <c r="P496" i="31"/>
  <c r="V496" i="31" s="1"/>
  <c r="P487" i="31"/>
  <c r="P478" i="31"/>
  <c r="V478" i="31" s="1"/>
  <c r="P473" i="31"/>
  <c r="V473" i="31" s="1"/>
  <c r="P464" i="31"/>
  <c r="P455" i="31"/>
  <c r="P446" i="31"/>
  <c r="P441" i="31"/>
  <c r="V441" i="31" s="1"/>
  <c r="P432" i="31"/>
  <c r="V432" i="31" s="1"/>
  <c r="P423" i="31"/>
  <c r="P414" i="31"/>
  <c r="V414" i="31" s="1"/>
  <c r="P409" i="31"/>
  <c r="V409" i="31" s="1"/>
  <c r="P400" i="31"/>
  <c r="P391" i="31"/>
  <c r="P382" i="31"/>
  <c r="P377" i="31"/>
  <c r="V377" i="31" s="1"/>
  <c r="P367" i="31"/>
  <c r="V367" i="31" s="1"/>
  <c r="P335" i="31"/>
  <c r="P326" i="31"/>
  <c r="P294" i="31"/>
  <c r="V294" i="31" s="1"/>
  <c r="P281" i="31"/>
  <c r="P266" i="31"/>
  <c r="P251" i="31"/>
  <c r="V251" i="31" s="1"/>
  <c r="P230" i="31"/>
  <c r="V230" i="31" s="1"/>
  <c r="P193" i="31"/>
  <c r="V193" i="31" s="1"/>
  <c r="P141" i="31"/>
  <c r="P51" i="31"/>
  <c r="V51" i="31" s="1"/>
  <c r="P293" i="31"/>
  <c r="V293" i="31" s="1"/>
  <c r="P277" i="31"/>
  <c r="P261" i="31"/>
  <c r="P250" i="31"/>
  <c r="V250" i="31" s="1"/>
  <c r="P237" i="31"/>
  <c r="V237" i="31" s="1"/>
  <c r="P231" i="31"/>
  <c r="V231" i="31" s="1"/>
  <c r="P224" i="31"/>
  <c r="P218" i="31"/>
  <c r="V218" i="31" s="1"/>
  <c r="P205" i="31"/>
  <c r="V205" i="31" s="1"/>
  <c r="P199" i="31"/>
  <c r="P192" i="31"/>
  <c r="P186" i="31"/>
  <c r="V186" i="31" s="1"/>
  <c r="P173" i="31"/>
  <c r="V173" i="31" s="1"/>
  <c r="P167" i="31"/>
  <c r="V167" i="31" s="1"/>
  <c r="P160" i="31"/>
  <c r="P154" i="31"/>
  <c r="V154" i="31" s="1"/>
  <c r="P106" i="31"/>
  <c r="V106" i="31" s="1"/>
  <c r="P95" i="31"/>
  <c r="P211" i="31"/>
  <c r="P204" i="31"/>
  <c r="V204" i="31" s="1"/>
  <c r="P198" i="31"/>
  <c r="V198" i="31" s="1"/>
  <c r="P185" i="31"/>
  <c r="V185" i="31" s="1"/>
  <c r="P179" i="31"/>
  <c r="P172" i="31"/>
  <c r="P166" i="31"/>
  <c r="V166" i="31" s="1"/>
  <c r="P153" i="31"/>
  <c r="P147" i="31"/>
  <c r="P139" i="31"/>
  <c r="V139" i="31" s="1"/>
  <c r="P131" i="31"/>
  <c r="V131" i="31" s="1"/>
  <c r="P123" i="31"/>
  <c r="P115" i="31"/>
  <c r="P94" i="31"/>
  <c r="P79" i="31"/>
  <c r="V79" i="31" s="1"/>
  <c r="P63" i="31"/>
  <c r="P47" i="31"/>
  <c r="P242" i="31"/>
  <c r="V242" i="31" s="1"/>
  <c r="P229" i="31"/>
  <c r="V229" i="31" s="1"/>
  <c r="P223" i="31"/>
  <c r="P216" i="31"/>
  <c r="P210" i="31"/>
  <c r="V210" i="31" s="1"/>
  <c r="P197" i="31"/>
  <c r="V197" i="31" s="1"/>
  <c r="P191" i="31"/>
  <c r="P184" i="31"/>
  <c r="P178" i="31"/>
  <c r="P165" i="31"/>
  <c r="V165" i="31" s="1"/>
  <c r="P159" i="31"/>
  <c r="V159" i="31" s="1"/>
  <c r="P152" i="31"/>
  <c r="P146" i="31"/>
  <c r="P138" i="31"/>
  <c r="V138" i="31" s="1"/>
  <c r="P130" i="31"/>
  <c r="P122" i="31"/>
  <c r="P114" i="31"/>
  <c r="V114" i="31" s="1"/>
  <c r="P103" i="31"/>
  <c r="V103" i="31" s="1"/>
  <c r="P366" i="31"/>
  <c r="V366" i="31" s="1"/>
  <c r="P360" i="31"/>
  <c r="P355" i="31"/>
  <c r="V355" i="31" s="1"/>
  <c r="P350" i="31"/>
  <c r="V350" i="31" s="1"/>
  <c r="P344" i="31"/>
  <c r="P339" i="31"/>
  <c r="P334" i="31"/>
  <c r="V334" i="31" s="1"/>
  <c r="P328" i="31"/>
  <c r="V328" i="31" s="1"/>
  <c r="P323" i="31"/>
  <c r="V323" i="31" s="1"/>
  <c r="P318" i="31"/>
  <c r="P312" i="31"/>
  <c r="V312" i="31" s="1"/>
  <c r="P307" i="31"/>
  <c r="V307" i="31" s="1"/>
  <c r="P302" i="31"/>
  <c r="P296" i="31"/>
  <c r="P291" i="31"/>
  <c r="V291" i="31" s="1"/>
  <c r="P286" i="31"/>
  <c r="V286" i="31" s="1"/>
  <c r="P280" i="31"/>
  <c r="P275" i="31"/>
  <c r="P270" i="31"/>
  <c r="V270" i="31" s="1"/>
  <c r="P264" i="31"/>
  <c r="V264" i="31" s="1"/>
  <c r="P259" i="31"/>
  <c r="P254" i="31"/>
  <c r="P241" i="31"/>
  <c r="V241" i="31" s="1"/>
  <c r="P235" i="31"/>
  <c r="V235" i="31" s="1"/>
  <c r="P228" i="31"/>
  <c r="V228" i="31" s="1"/>
  <c r="P222" i="31"/>
  <c r="P209" i="31"/>
  <c r="V209" i="31" s="1"/>
  <c r="P203" i="31"/>
  <c r="V203" i="31" s="1"/>
  <c r="P196" i="31"/>
  <c r="P190" i="31"/>
  <c r="P177" i="31"/>
  <c r="V177" i="31" s="1"/>
  <c r="P171" i="31"/>
  <c r="V171" i="31" s="1"/>
  <c r="P164" i="31"/>
  <c r="V164" i="31" s="1"/>
  <c r="P158" i="31"/>
  <c r="P145" i="31"/>
  <c r="V145" i="31" s="1"/>
  <c r="P137" i="31"/>
  <c r="V137" i="31" s="1"/>
  <c r="P129" i="31"/>
  <c r="P121" i="31"/>
  <c r="P102" i="31"/>
  <c r="V102" i="31" s="1"/>
  <c r="P91" i="31"/>
  <c r="V91" i="31" s="1"/>
  <c r="P75" i="31"/>
  <c r="P59" i="31"/>
  <c r="P43" i="31"/>
  <c r="V43" i="31" s="1"/>
  <c r="P317" i="31"/>
  <c r="V317" i="31" s="1"/>
  <c r="P301" i="31"/>
  <c r="P285" i="31"/>
  <c r="P269" i="31"/>
  <c r="P253" i="31"/>
  <c r="V253" i="31" s="1"/>
  <c r="P247" i="31"/>
  <c r="P240" i="31"/>
  <c r="P234" i="31"/>
  <c r="V234" i="31" s="1"/>
  <c r="P221" i="31"/>
  <c r="V221" i="31" s="1"/>
  <c r="P215" i="31"/>
  <c r="P208" i="31"/>
  <c r="P202" i="31"/>
  <c r="V202" i="31" s="1"/>
  <c r="P189" i="31"/>
  <c r="V189" i="31" s="1"/>
  <c r="P183" i="31"/>
  <c r="V183" i="31" s="1"/>
  <c r="P176" i="31"/>
  <c r="P170" i="31"/>
  <c r="V170" i="31" s="1"/>
  <c r="P157" i="31"/>
  <c r="V157" i="31" s="1"/>
  <c r="P151" i="31"/>
  <c r="P111" i="31"/>
  <c r="P348" i="31"/>
  <c r="P338" i="31"/>
  <c r="V338" i="31" s="1"/>
  <c r="P327" i="31"/>
  <c r="V327" i="31" s="1"/>
  <c r="P311" i="31"/>
  <c r="P300" i="31"/>
  <c r="V300" i="31" s="1"/>
  <c r="P295" i="31"/>
  <c r="V295" i="31" s="1"/>
  <c r="P290" i="31"/>
  <c r="P279" i="31"/>
  <c r="P274" i="31"/>
  <c r="V274" i="31" s="1"/>
  <c r="P268" i="31"/>
  <c r="V268" i="31" s="1"/>
  <c r="P263" i="31"/>
  <c r="V263" i="31" s="1"/>
  <c r="P258" i="31"/>
  <c r="P252" i="31"/>
  <c r="V252" i="31" s="1"/>
  <c r="P246" i="31"/>
  <c r="V246" i="31" s="1"/>
  <c r="P233" i="31"/>
  <c r="P227" i="31"/>
  <c r="P220" i="31"/>
  <c r="V220" i="31" s="1"/>
  <c r="P214" i="31"/>
  <c r="V214" i="31" s="1"/>
  <c r="P201" i="31"/>
  <c r="P195" i="31"/>
  <c r="P188" i="31"/>
  <c r="V188" i="31" s="1"/>
  <c r="P182" i="31"/>
  <c r="V182" i="31" s="1"/>
  <c r="P169" i="31"/>
  <c r="P163" i="31"/>
  <c r="P156" i="31"/>
  <c r="P150" i="31"/>
  <c r="V150" i="31" s="1"/>
  <c r="P143" i="31"/>
  <c r="V143" i="31" s="1"/>
  <c r="P135" i="31"/>
  <c r="P127" i="31"/>
  <c r="V127" i="31" s="1"/>
  <c r="P119" i="31"/>
  <c r="V119" i="31" s="1"/>
  <c r="P110" i="31"/>
  <c r="P99" i="31"/>
  <c r="P87" i="31"/>
  <c r="V87" i="31" s="1"/>
  <c r="P71" i="31"/>
  <c r="V71" i="31" s="1"/>
  <c r="P55" i="31"/>
  <c r="V55" i="31" s="1"/>
  <c r="P39" i="31"/>
  <c r="P354" i="31"/>
  <c r="V354" i="31" s="1"/>
  <c r="P343" i="31"/>
  <c r="V343" i="31" s="1"/>
  <c r="P332" i="31"/>
  <c r="P322" i="31"/>
  <c r="P316" i="31"/>
  <c r="V316" i="31" s="1"/>
  <c r="P306" i="31"/>
  <c r="V306" i="31" s="1"/>
  <c r="P284" i="31"/>
  <c r="V284" i="31" s="1"/>
  <c r="P369" i="31"/>
  <c r="P353" i="31"/>
  <c r="V353" i="31" s="1"/>
  <c r="P337" i="31"/>
  <c r="V337" i="31" s="1"/>
  <c r="P321" i="31"/>
  <c r="P305" i="31"/>
  <c r="P289" i="31"/>
  <c r="V289" i="31" s="1"/>
  <c r="P273" i="31"/>
  <c r="V273" i="31" s="1"/>
  <c r="P257" i="31"/>
  <c r="V257" i="31" s="1"/>
  <c r="P245" i="31"/>
  <c r="P239" i="31"/>
  <c r="V239" i="31" s="1"/>
  <c r="P232" i="31"/>
  <c r="V232" i="31" s="1"/>
  <c r="P226" i="31"/>
  <c r="P213" i="31"/>
  <c r="P207" i="31"/>
  <c r="V207" i="31" s="1"/>
  <c r="P200" i="31"/>
  <c r="V200" i="31" s="1"/>
  <c r="P194" i="31"/>
  <c r="V194" i="31" s="1"/>
  <c r="P181" i="31"/>
  <c r="P175" i="31"/>
  <c r="P168" i="31"/>
  <c r="V168" i="31" s="1"/>
  <c r="P162" i="31"/>
  <c r="P149" i="31"/>
  <c r="P142" i="31"/>
  <c r="V142" i="31" s="1"/>
  <c r="P134" i="31"/>
  <c r="V134" i="31" s="1"/>
  <c r="P126" i="31"/>
  <c r="V126" i="31" s="1"/>
  <c r="P118" i="31"/>
  <c r="P98" i="31"/>
  <c r="V98" i="31" s="1"/>
  <c r="P35" i="31"/>
  <c r="V35" i="31" s="1"/>
  <c r="P90" i="31"/>
  <c r="P86" i="31"/>
  <c r="P82" i="31"/>
  <c r="V82" i="31" s="1"/>
  <c r="P78" i="31"/>
  <c r="V78" i="31" s="1"/>
  <c r="P74" i="31"/>
  <c r="P70" i="31"/>
  <c r="P66" i="31"/>
  <c r="V66" i="31" s="1"/>
  <c r="P62" i="31"/>
  <c r="V62" i="31" s="1"/>
  <c r="P58" i="31"/>
  <c r="P54" i="31"/>
  <c r="P50" i="31"/>
  <c r="V50" i="31" s="1"/>
  <c r="P46" i="31"/>
  <c r="V46" i="31" s="1"/>
  <c r="P42" i="31"/>
  <c r="P38" i="31"/>
  <c r="P34" i="31"/>
  <c r="V34" i="31" s="1"/>
  <c r="P113" i="31"/>
  <c r="V113" i="31" s="1"/>
  <c r="P109" i="31"/>
  <c r="P105" i="31"/>
  <c r="P101" i="31"/>
  <c r="V101" i="31" s="1"/>
  <c r="P97" i="31"/>
  <c r="V97" i="31" s="1"/>
  <c r="P93" i="31"/>
  <c r="V93" i="31" s="1"/>
  <c r="P89" i="31"/>
  <c r="P85" i="31"/>
  <c r="V85" i="31" s="1"/>
  <c r="P81" i="31"/>
  <c r="V81" i="31" s="1"/>
  <c r="P77" i="31"/>
  <c r="P73" i="31"/>
  <c r="P69" i="31"/>
  <c r="P65" i="31"/>
  <c r="V65" i="31" s="1"/>
  <c r="P61" i="31"/>
  <c r="V61" i="31" s="1"/>
  <c r="P57" i="31"/>
  <c r="P53" i="31"/>
  <c r="P49" i="31"/>
  <c r="V49" i="31" s="1"/>
  <c r="P45" i="31"/>
  <c r="P41" i="31"/>
  <c r="P37" i="31"/>
  <c r="V37" i="31" s="1"/>
  <c r="P33" i="31"/>
  <c r="V33" i="31" s="1"/>
  <c r="P144" i="31"/>
  <c r="V144" i="31" s="1"/>
  <c r="P140" i="31"/>
  <c r="P136" i="31"/>
  <c r="P132" i="31"/>
  <c r="V132" i="31" s="1"/>
  <c r="P128" i="31"/>
  <c r="P124" i="31"/>
  <c r="P120" i="31"/>
  <c r="V120" i="31" s="1"/>
  <c r="P116" i="31"/>
  <c r="V116" i="31" s="1"/>
  <c r="P112" i="31"/>
  <c r="V112" i="31" s="1"/>
  <c r="P108" i="31"/>
  <c r="P104" i="31"/>
  <c r="V104" i="31" s="1"/>
  <c r="P100" i="31"/>
  <c r="V100" i="31" s="1"/>
  <c r="P96" i="31"/>
  <c r="P92" i="31"/>
  <c r="P88" i="31"/>
  <c r="V88" i="31" s="1"/>
  <c r="P84" i="31"/>
  <c r="V84" i="31" s="1"/>
  <c r="P80" i="31"/>
  <c r="P76" i="31"/>
  <c r="P72" i="31"/>
  <c r="V72" i="31" s="1"/>
  <c r="P68" i="31"/>
  <c r="V68" i="31" s="1"/>
  <c r="P64" i="31"/>
  <c r="P60" i="31"/>
  <c r="P56" i="31"/>
  <c r="P52" i="31"/>
  <c r="V52" i="31" s="1"/>
  <c r="P48" i="31"/>
  <c r="V48" i="31" s="1"/>
  <c r="P44" i="31"/>
  <c r="P40" i="31"/>
  <c r="V40" i="31" s="1"/>
  <c r="P36" i="31"/>
  <c r="V36" i="31" s="1"/>
  <c r="P32" i="31"/>
  <c r="M526" i="31"/>
  <c r="N515" i="31"/>
  <c r="M507" i="31"/>
  <c r="N496" i="31"/>
  <c r="O487" i="31"/>
  <c r="M475" i="31"/>
  <c r="N435" i="31"/>
  <c r="M375" i="31"/>
  <c r="M528" i="31"/>
  <c r="O523" i="31"/>
  <c r="O521" i="31"/>
  <c r="N519" i="31"/>
  <c r="N517" i="31"/>
  <c r="M513" i="31"/>
  <c r="M511" i="31"/>
  <c r="O508" i="31"/>
  <c r="O506" i="31"/>
  <c r="N502" i="31"/>
  <c r="N500" i="31"/>
  <c r="M498" i="31"/>
  <c r="M496" i="31"/>
  <c r="O491" i="31"/>
  <c r="O489" i="31"/>
  <c r="N487" i="31"/>
  <c r="N481" i="31"/>
  <c r="T481" i="31" s="1"/>
  <c r="M474" i="31"/>
  <c r="M471" i="31"/>
  <c r="M467" i="31"/>
  <c r="O461" i="31"/>
  <c r="N456" i="31"/>
  <c r="M451" i="31"/>
  <c r="O445" i="31"/>
  <c r="N440" i="31"/>
  <c r="T440" i="31" s="1"/>
  <c r="M435" i="31"/>
  <c r="O429" i="31"/>
  <c r="N424" i="31"/>
  <c r="M418" i="31"/>
  <c r="N407" i="31"/>
  <c r="O396" i="31"/>
  <c r="M386" i="31"/>
  <c r="M373" i="31"/>
  <c r="N315" i="31"/>
  <c r="O517" i="31"/>
  <c r="M478" i="31"/>
  <c r="N451" i="31"/>
  <c r="O424" i="31"/>
  <c r="O408" i="31"/>
  <c r="O525" i="31"/>
  <c r="M515" i="31"/>
  <c r="O512" i="31"/>
  <c r="O510" i="31"/>
  <c r="N506" i="31"/>
  <c r="N504" i="31"/>
  <c r="M502" i="31"/>
  <c r="M500" i="31"/>
  <c r="O495" i="31"/>
  <c r="O493" i="31"/>
  <c r="N491" i="31"/>
  <c r="N489" i="31"/>
  <c r="N484" i="31"/>
  <c r="O480" i="31"/>
  <c r="O477" i="31"/>
  <c r="M470" i="31"/>
  <c r="M466" i="31"/>
  <c r="O460" i="31"/>
  <c r="N455" i="31"/>
  <c r="M450" i="31"/>
  <c r="O444" i="31"/>
  <c r="N439" i="31"/>
  <c r="M434" i="31"/>
  <c r="O428" i="31"/>
  <c r="N423" i="31"/>
  <c r="O416" i="31"/>
  <c r="M406" i="31"/>
  <c r="N395" i="31"/>
  <c r="O384" i="31"/>
  <c r="N371" i="31"/>
  <c r="O353" i="31"/>
  <c r="O304" i="31"/>
  <c r="O504" i="31"/>
  <c r="O484" i="31"/>
  <c r="M446" i="31"/>
  <c r="M322" i="31"/>
  <c r="N527" i="31"/>
  <c r="O516" i="31"/>
  <c r="N510" i="31"/>
  <c r="N508" i="31"/>
  <c r="M506" i="31"/>
  <c r="M504" i="31"/>
  <c r="O499" i="31"/>
  <c r="O497" i="31"/>
  <c r="N495" i="31"/>
  <c r="N493" i="31"/>
  <c r="M489" i="31"/>
  <c r="M487" i="31"/>
  <c r="N483" i="31"/>
  <c r="O476" i="31"/>
  <c r="O473" i="31"/>
  <c r="O465" i="31"/>
  <c r="N460" i="31"/>
  <c r="M455" i="31"/>
  <c r="O449" i="31"/>
  <c r="N444" i="31"/>
  <c r="M439" i="31"/>
  <c r="O433" i="31"/>
  <c r="N428" i="31"/>
  <c r="M423" i="31"/>
  <c r="N415" i="31"/>
  <c r="O404" i="31"/>
  <c r="M394" i="31"/>
  <c r="N383" i="31"/>
  <c r="O369" i="31"/>
  <c r="O348" i="31"/>
  <c r="M294" i="31"/>
  <c r="N513" i="31"/>
  <c r="O456" i="31"/>
  <c r="M419" i="31"/>
  <c r="O531" i="31"/>
  <c r="M517" i="31"/>
  <c r="M521" i="31"/>
  <c r="M525" i="31"/>
  <c r="N514" i="31"/>
  <c r="N512" i="31"/>
  <c r="M508" i="31"/>
  <c r="O503" i="31"/>
  <c r="O501" i="31"/>
  <c r="N499" i="31"/>
  <c r="N497" i="31"/>
  <c r="M493" i="31"/>
  <c r="M491" i="31"/>
  <c r="O488" i="31"/>
  <c r="O486" i="31"/>
  <c r="N480" i="31"/>
  <c r="O472" i="31"/>
  <c r="O469" i="31"/>
  <c r="O464" i="31"/>
  <c r="N459" i="31"/>
  <c r="T459" i="31" s="1"/>
  <c r="M454" i="31"/>
  <c r="O448" i="31"/>
  <c r="N443" i="31"/>
  <c r="M438" i="31"/>
  <c r="O432" i="31"/>
  <c r="N427" i="31"/>
  <c r="M422" i="31"/>
  <c r="M414" i="31"/>
  <c r="N403" i="31"/>
  <c r="O392" i="31"/>
  <c r="M382" i="31"/>
  <c r="O367" i="31"/>
  <c r="N343" i="31"/>
  <c r="N283" i="31"/>
  <c r="N528" i="31"/>
  <c r="M492" i="31"/>
  <c r="O440" i="31"/>
  <c r="N523" i="31"/>
  <c r="O529" i="31"/>
  <c r="O518" i="31"/>
  <c r="M531" i="31"/>
  <c r="O524" i="31"/>
  <c r="N518" i="31"/>
  <c r="M514" i="31"/>
  <c r="O505" i="31"/>
  <c r="N501" i="31"/>
  <c r="M497" i="31"/>
  <c r="O492" i="31"/>
  <c r="O490" i="31"/>
  <c r="M486" i="31"/>
  <c r="M483" i="31"/>
  <c r="N479" i="31"/>
  <c r="T479" i="31" s="1"/>
  <c r="N476" i="31"/>
  <c r="O468" i="31"/>
  <c r="N464" i="31"/>
  <c r="M459" i="31"/>
  <c r="O453" i="31"/>
  <c r="N448" i="31"/>
  <c r="M443" i="31"/>
  <c r="O437" i="31"/>
  <c r="N432" i="31"/>
  <c r="M427" i="31"/>
  <c r="O421" i="31"/>
  <c r="O412" i="31"/>
  <c r="M402" i="31"/>
  <c r="N391" i="31"/>
  <c r="N380" i="31"/>
  <c r="O365" i="31"/>
  <c r="M338" i="31"/>
  <c r="O266" i="31"/>
  <c r="O519" i="31"/>
  <c r="M509" i="31"/>
  <c r="O502" i="31"/>
  <c r="M494" i="31"/>
  <c r="O481" i="31"/>
  <c r="N467" i="31"/>
  <c r="T467" i="31" s="1"/>
  <c r="M430" i="31"/>
  <c r="N387" i="31"/>
  <c r="M530" i="31"/>
  <c r="N521" i="31"/>
  <c r="N525" i="31"/>
  <c r="O514" i="31"/>
  <c r="N529" i="31"/>
  <c r="O520" i="31"/>
  <c r="M510" i="31"/>
  <c r="M529" i="31"/>
  <c r="M527" i="31"/>
  <c r="O522" i="31"/>
  <c r="N516" i="31"/>
  <c r="M512" i="31"/>
  <c r="O507" i="31"/>
  <c r="N503" i="31"/>
  <c r="T503" i="31" s="1"/>
  <c r="M495" i="31"/>
  <c r="O530" i="31"/>
  <c r="O528" i="31"/>
  <c r="O526" i="31"/>
  <c r="N522" i="31"/>
  <c r="N520" i="31"/>
  <c r="M518" i="31"/>
  <c r="M516" i="31"/>
  <c r="O511" i="31"/>
  <c r="O509" i="31"/>
  <c r="N507" i="31"/>
  <c r="N505" i="31"/>
  <c r="M501" i="31"/>
  <c r="M499" i="31"/>
  <c r="O496" i="31"/>
  <c r="O494" i="31"/>
  <c r="N490" i="31"/>
  <c r="N488" i="31"/>
  <c r="M482" i="31"/>
  <c r="N475" i="31"/>
  <c r="N472" i="31"/>
  <c r="N463" i="31"/>
  <c r="M458" i="31"/>
  <c r="O452" i="31"/>
  <c r="N447" i="31"/>
  <c r="M442" i="31"/>
  <c r="O436" i="31"/>
  <c r="N431" i="31"/>
  <c r="M426" i="31"/>
  <c r="O420" i="31"/>
  <c r="N411" i="31"/>
  <c r="O400" i="31"/>
  <c r="M390" i="31"/>
  <c r="N378" i="31"/>
  <c r="N363" i="31"/>
  <c r="O332" i="31"/>
  <c r="O249" i="31"/>
  <c r="M524" i="31"/>
  <c r="N498" i="31"/>
  <c r="M462" i="31"/>
  <c r="M398" i="31"/>
  <c r="O527" i="31"/>
  <c r="N531" i="31"/>
  <c r="M519" i="31"/>
  <c r="M523" i="31"/>
  <c r="N530" i="31"/>
  <c r="N526" i="31"/>
  <c r="N524" i="31"/>
  <c r="T524" i="31" s="1"/>
  <c r="M522" i="31"/>
  <c r="M520" i="31"/>
  <c r="O515" i="31"/>
  <c r="O513" i="31"/>
  <c r="N511" i="31"/>
  <c r="N509" i="31"/>
  <c r="M505" i="31"/>
  <c r="M503" i="31"/>
  <c r="O500" i="31"/>
  <c r="O498" i="31"/>
  <c r="N494" i="31"/>
  <c r="N492" i="31"/>
  <c r="M490" i="31"/>
  <c r="M488" i="31"/>
  <c r="O485" i="31"/>
  <c r="M479" i="31"/>
  <c r="N471" i="31"/>
  <c r="N468" i="31"/>
  <c r="M463" i="31"/>
  <c r="O457" i="31"/>
  <c r="N452" i="31"/>
  <c r="M447" i="31"/>
  <c r="O441" i="31"/>
  <c r="N436" i="31"/>
  <c r="T436" i="31" s="1"/>
  <c r="M431" i="31"/>
  <c r="O425" i="31"/>
  <c r="N419" i="31"/>
  <c r="M410" i="31"/>
  <c r="N399" i="31"/>
  <c r="O388" i="31"/>
  <c r="O376" i="31"/>
  <c r="N361" i="31"/>
  <c r="T361" i="31" s="1"/>
  <c r="N327" i="31"/>
  <c r="N227" i="31"/>
  <c r="O378" i="31"/>
  <c r="N373" i="31"/>
  <c r="M368" i="31"/>
  <c r="O363" i="31"/>
  <c r="O361" i="31"/>
  <c r="N359" i="31"/>
  <c r="T359" i="31" s="1"/>
  <c r="O356" i="31"/>
  <c r="O349" i="31"/>
  <c r="N344" i="31"/>
  <c r="M339" i="31"/>
  <c r="O333" i="31"/>
  <c r="N328" i="31"/>
  <c r="M323" i="31"/>
  <c r="O316" i="31"/>
  <c r="M306" i="31"/>
  <c r="N295" i="31"/>
  <c r="O284" i="31"/>
  <c r="O251" i="31"/>
  <c r="M380" i="31"/>
  <c r="O374" i="31"/>
  <c r="N369" i="31"/>
  <c r="N367" i="31"/>
  <c r="T367" i="31" s="1"/>
  <c r="N365" i="31"/>
  <c r="M361" i="31"/>
  <c r="M359" i="31"/>
  <c r="N356" i="31"/>
  <c r="O352" i="31"/>
  <c r="N348" i="31"/>
  <c r="M343" i="31"/>
  <c r="O337" i="31"/>
  <c r="N332" i="31"/>
  <c r="M327" i="31"/>
  <c r="O321" i="31"/>
  <c r="M314" i="31"/>
  <c r="N303" i="31"/>
  <c r="O292" i="31"/>
  <c r="O281" i="31"/>
  <c r="O264" i="31"/>
  <c r="N420" i="31"/>
  <c r="O417" i="31"/>
  <c r="N416" i="31"/>
  <c r="M415" i="31"/>
  <c r="O413" i="31"/>
  <c r="N412" i="31"/>
  <c r="M411" i="31"/>
  <c r="O409" i="31"/>
  <c r="N408" i="31"/>
  <c r="M407" i="31"/>
  <c r="O405" i="31"/>
  <c r="N404" i="31"/>
  <c r="M403" i="31"/>
  <c r="O401" i="31"/>
  <c r="N400" i="31"/>
  <c r="M399" i="31"/>
  <c r="O397" i="31"/>
  <c r="N396" i="31"/>
  <c r="M395" i="31"/>
  <c r="O393" i="31"/>
  <c r="N392" i="31"/>
  <c r="M391" i="31"/>
  <c r="O389" i="31"/>
  <c r="N388" i="31"/>
  <c r="T388" i="31" s="1"/>
  <c r="M387" i="31"/>
  <c r="O385" i="31"/>
  <c r="N384" i="31"/>
  <c r="M383" i="31"/>
  <c r="O381" i="31"/>
  <c r="O379" i="31"/>
  <c r="M378" i="31"/>
  <c r="N376" i="31"/>
  <c r="T376" i="31" s="1"/>
  <c r="N374" i="31"/>
  <c r="O372" i="31"/>
  <c r="M371" i="31"/>
  <c r="M369" i="31"/>
  <c r="M365" i="31"/>
  <c r="M363" i="31"/>
  <c r="O360" i="31"/>
  <c r="O358" i="31"/>
  <c r="M356" i="31"/>
  <c r="N347" i="31"/>
  <c r="M342" i="31"/>
  <c r="O336" i="31"/>
  <c r="N331" i="31"/>
  <c r="M326" i="31"/>
  <c r="O320" i="31"/>
  <c r="O312" i="31"/>
  <c r="M302" i="31"/>
  <c r="N291" i="31"/>
  <c r="N262" i="31"/>
  <c r="N245" i="31"/>
  <c r="N206" i="31"/>
  <c r="N381" i="31"/>
  <c r="M376" i="31"/>
  <c r="O370" i="31"/>
  <c r="M367" i="31"/>
  <c r="O364" i="31"/>
  <c r="O362" i="31"/>
  <c r="M358" i="31"/>
  <c r="N355" i="31"/>
  <c r="N352" i="31"/>
  <c r="M347" i="31"/>
  <c r="O341" i="31"/>
  <c r="N336" i="31"/>
  <c r="M331" i="31"/>
  <c r="O325" i="31"/>
  <c r="N320" i="31"/>
  <c r="N311" i="31"/>
  <c r="O300" i="31"/>
  <c r="M290" i="31"/>
  <c r="N277" i="31"/>
  <c r="T277" i="31" s="1"/>
  <c r="N260" i="31"/>
  <c r="M243" i="31"/>
  <c r="M192" i="31"/>
  <c r="N485" i="31"/>
  <c r="M484" i="31"/>
  <c r="O482" i="31"/>
  <c r="M480" i="31"/>
  <c r="O478" i="31"/>
  <c r="N477" i="31"/>
  <c r="M476" i="31"/>
  <c r="O474" i="31"/>
  <c r="N473" i="31"/>
  <c r="M472" i="31"/>
  <c r="O470" i="31"/>
  <c r="N469" i="31"/>
  <c r="M468" i="31"/>
  <c r="O466" i="31"/>
  <c r="N465" i="31"/>
  <c r="M464" i="31"/>
  <c r="O462" i="31"/>
  <c r="N461" i="31"/>
  <c r="M460" i="31"/>
  <c r="O458" i="31"/>
  <c r="N457" i="31"/>
  <c r="T457" i="31" s="1"/>
  <c r="M456" i="31"/>
  <c r="O454" i="31"/>
  <c r="N453" i="31"/>
  <c r="M452" i="31"/>
  <c r="O450" i="31"/>
  <c r="N449" i="31"/>
  <c r="M448" i="31"/>
  <c r="O446" i="31"/>
  <c r="N445" i="31"/>
  <c r="M444" i="31"/>
  <c r="O442" i="31"/>
  <c r="N441" i="31"/>
  <c r="M440" i="31"/>
  <c r="O438" i="31"/>
  <c r="N437" i="31"/>
  <c r="M436" i="31"/>
  <c r="O434" i="31"/>
  <c r="N433" i="31"/>
  <c r="M432" i="31"/>
  <c r="O430" i="31"/>
  <c r="N429" i="31"/>
  <c r="M428" i="31"/>
  <c r="O426" i="31"/>
  <c r="N425" i="31"/>
  <c r="T425" i="31" s="1"/>
  <c r="M424" i="31"/>
  <c r="O422" i="31"/>
  <c r="N421" i="31"/>
  <c r="M420" i="31"/>
  <c r="O418" i="31"/>
  <c r="N417" i="31"/>
  <c r="M416" i="31"/>
  <c r="O414" i="31"/>
  <c r="N413" i="31"/>
  <c r="M412" i="31"/>
  <c r="O410" i="31"/>
  <c r="N409" i="31"/>
  <c r="M408" i="31"/>
  <c r="O406" i="31"/>
  <c r="N405" i="31"/>
  <c r="M404" i="31"/>
  <c r="O402" i="31"/>
  <c r="N401" i="31"/>
  <c r="M400" i="31"/>
  <c r="O398" i="31"/>
  <c r="N397" i="31"/>
  <c r="M396" i="31"/>
  <c r="O394" i="31"/>
  <c r="N393" i="31"/>
  <c r="T393" i="31" s="1"/>
  <c r="M392" i="31"/>
  <c r="O390" i="31"/>
  <c r="N389" i="31"/>
  <c r="M388" i="31"/>
  <c r="O386" i="31"/>
  <c r="N385" i="31"/>
  <c r="M384" i="31"/>
  <c r="O382" i="31"/>
  <c r="M381" i="31"/>
  <c r="N379" i="31"/>
  <c r="O377" i="31"/>
  <c r="O375" i="31"/>
  <c r="M374" i="31"/>
  <c r="N372" i="31"/>
  <c r="N370" i="31"/>
  <c r="O368" i="31"/>
  <c r="O366" i="31"/>
  <c r="N362" i="31"/>
  <c r="N360" i="31"/>
  <c r="N351" i="31"/>
  <c r="M346" i="31"/>
  <c r="O340" i="31"/>
  <c r="N335" i="31"/>
  <c r="M330" i="31"/>
  <c r="O324" i="31"/>
  <c r="N319" i="31"/>
  <c r="M310" i="31"/>
  <c r="N299" i="31"/>
  <c r="O288" i="31"/>
  <c r="N275" i="31"/>
  <c r="N240" i="31"/>
  <c r="M178" i="31"/>
  <c r="N377" i="31"/>
  <c r="M372" i="31"/>
  <c r="N366" i="31"/>
  <c r="N364" i="31"/>
  <c r="M362" i="31"/>
  <c r="M360" i="31"/>
  <c r="O357" i="31"/>
  <c r="M355" i="31"/>
  <c r="M351" i="31"/>
  <c r="O345" i="31"/>
  <c r="N340" i="31"/>
  <c r="M335" i="31"/>
  <c r="O329" i="31"/>
  <c r="N324" i="31"/>
  <c r="M319" i="31"/>
  <c r="O308" i="31"/>
  <c r="M298" i="31"/>
  <c r="N287" i="31"/>
  <c r="M273" i="31"/>
  <c r="M256" i="31"/>
  <c r="O237" i="31"/>
  <c r="O163" i="31"/>
  <c r="N486" i="31"/>
  <c r="M485" i="31"/>
  <c r="O483" i="31"/>
  <c r="N482" i="31"/>
  <c r="M481" i="31"/>
  <c r="O479" i="31"/>
  <c r="N478" i="31"/>
  <c r="M477" i="31"/>
  <c r="O475" i="31"/>
  <c r="N474" i="31"/>
  <c r="T474" i="31" s="1"/>
  <c r="M473" i="31"/>
  <c r="O471" i="31"/>
  <c r="N470" i="31"/>
  <c r="M469" i="31"/>
  <c r="O467" i="31"/>
  <c r="N466" i="31"/>
  <c r="M465" i="31"/>
  <c r="O463" i="31"/>
  <c r="N462" i="31"/>
  <c r="M461" i="31"/>
  <c r="O459" i="31"/>
  <c r="N458" i="31"/>
  <c r="M457" i="31"/>
  <c r="O455" i="31"/>
  <c r="N454" i="31"/>
  <c r="M453" i="31"/>
  <c r="O451" i="31"/>
  <c r="N450" i="31"/>
  <c r="M449" i="31"/>
  <c r="O447" i="31"/>
  <c r="N446" i="31"/>
  <c r="M445" i="31"/>
  <c r="O443" i="31"/>
  <c r="N442" i="31"/>
  <c r="T442" i="31" s="1"/>
  <c r="M441" i="31"/>
  <c r="O439" i="31"/>
  <c r="N438" i="31"/>
  <c r="M437" i="31"/>
  <c r="O435" i="31"/>
  <c r="N434" i="31"/>
  <c r="M433" i="31"/>
  <c r="O431" i="31"/>
  <c r="N430" i="31"/>
  <c r="M429" i="31"/>
  <c r="O427" i="31"/>
  <c r="N426" i="31"/>
  <c r="M425" i="31"/>
  <c r="O423" i="31"/>
  <c r="N422" i="31"/>
  <c r="M421" i="31"/>
  <c r="O419" i="31"/>
  <c r="N418" i="31"/>
  <c r="M417" i="31"/>
  <c r="O415" i="31"/>
  <c r="N414" i="31"/>
  <c r="M413" i="31"/>
  <c r="O411" i="31"/>
  <c r="N410" i="31"/>
  <c r="T410" i="31" s="1"/>
  <c r="M409" i="31"/>
  <c r="O407" i="31"/>
  <c r="N406" i="31"/>
  <c r="M405" i="31"/>
  <c r="O403" i="31"/>
  <c r="N402" i="31"/>
  <c r="M401" i="31"/>
  <c r="O399" i="31"/>
  <c r="N398" i="31"/>
  <c r="M397" i="31"/>
  <c r="O395" i="31"/>
  <c r="N394" i="31"/>
  <c r="M393" i="31"/>
  <c r="O391" i="31"/>
  <c r="N390" i="31"/>
  <c r="M389" i="31"/>
  <c r="O387" i="31"/>
  <c r="N386" i="31"/>
  <c r="M385" i="31"/>
  <c r="O383" i="31"/>
  <c r="N382" i="31"/>
  <c r="O380" i="31"/>
  <c r="M379" i="31"/>
  <c r="M377" i="31"/>
  <c r="N375" i="31"/>
  <c r="O373" i="31"/>
  <c r="O371" i="31"/>
  <c r="M370" i="31"/>
  <c r="N368" i="31"/>
  <c r="M366" i="31"/>
  <c r="M364" i="31"/>
  <c r="O359" i="31"/>
  <c r="N357" i="31"/>
  <c r="M354" i="31"/>
  <c r="M350" i="31"/>
  <c r="O344" i="31"/>
  <c r="N339" i="31"/>
  <c r="M334" i="31"/>
  <c r="O328" i="31"/>
  <c r="N323" i="31"/>
  <c r="T323" i="31" s="1"/>
  <c r="M318" i="31"/>
  <c r="N307" i="31"/>
  <c r="O296" i="31"/>
  <c r="M286" i="31"/>
  <c r="M271" i="31"/>
  <c r="M254" i="31"/>
  <c r="M235" i="31"/>
  <c r="M149" i="31"/>
  <c r="M282" i="31"/>
  <c r="O279" i="31"/>
  <c r="O277" i="31"/>
  <c r="N273" i="31"/>
  <c r="N271" i="31"/>
  <c r="M269" i="31"/>
  <c r="M267" i="31"/>
  <c r="O262" i="31"/>
  <c r="O260" i="31"/>
  <c r="N258" i="31"/>
  <c r="N256" i="31"/>
  <c r="M252" i="31"/>
  <c r="M250" i="31"/>
  <c r="O247" i="31"/>
  <c r="O245" i="31"/>
  <c r="N243" i="31"/>
  <c r="T243" i="31" s="1"/>
  <c r="O240" i="31"/>
  <c r="M238" i="31"/>
  <c r="N235" i="31"/>
  <c r="N232" i="31"/>
  <c r="N221" i="31"/>
  <c r="M208" i="31"/>
  <c r="M194" i="31"/>
  <c r="O179" i="31"/>
  <c r="N165" i="31"/>
  <c r="M151" i="31"/>
  <c r="N281" i="31"/>
  <c r="N279" i="31"/>
  <c r="M277" i="31"/>
  <c r="M275" i="31"/>
  <c r="O270" i="31"/>
  <c r="O268" i="31"/>
  <c r="N266" i="31"/>
  <c r="N264" i="31"/>
  <c r="M260" i="31"/>
  <c r="M258" i="31"/>
  <c r="O255" i="31"/>
  <c r="O253" i="31"/>
  <c r="N249" i="31"/>
  <c r="N247" i="31"/>
  <c r="T247" i="31" s="1"/>
  <c r="M245" i="31"/>
  <c r="O242" i="31"/>
  <c r="M240" i="31"/>
  <c r="N237" i="31"/>
  <c r="O234" i="31"/>
  <c r="N231" i="31"/>
  <c r="N218" i="31"/>
  <c r="O204" i="31"/>
  <c r="N190" i="31"/>
  <c r="M176" i="31"/>
  <c r="M162" i="31"/>
  <c r="O317" i="31"/>
  <c r="N316" i="31"/>
  <c r="M315" i="31"/>
  <c r="O313" i="31"/>
  <c r="N312" i="31"/>
  <c r="T312" i="31" s="1"/>
  <c r="M311" i="31"/>
  <c r="O309" i="31"/>
  <c r="N308" i="31"/>
  <c r="M307" i="31"/>
  <c r="O305" i="31"/>
  <c r="N304" i="31"/>
  <c r="M303" i="31"/>
  <c r="O301" i="31"/>
  <c r="N300" i="31"/>
  <c r="M299" i="31"/>
  <c r="O297" i="31"/>
  <c r="N296" i="31"/>
  <c r="M295" i="31"/>
  <c r="O293" i="31"/>
  <c r="N292" i="31"/>
  <c r="M291" i="31"/>
  <c r="O289" i="31"/>
  <c r="N288" i="31"/>
  <c r="M287" i="31"/>
  <c r="O285" i="31"/>
  <c r="N284" i="31"/>
  <c r="M283" i="31"/>
  <c r="M281" i="31"/>
  <c r="M279" i="31"/>
  <c r="O274" i="31"/>
  <c r="O272" i="31"/>
  <c r="N270" i="31"/>
  <c r="N268" i="31"/>
  <c r="M264" i="31"/>
  <c r="M262" i="31"/>
  <c r="O259" i="31"/>
  <c r="O257" i="31"/>
  <c r="N253" i="31"/>
  <c r="N251" i="31"/>
  <c r="M249" i="31"/>
  <c r="M247" i="31"/>
  <c r="M231" i="31"/>
  <c r="M226" i="31"/>
  <c r="O202" i="31"/>
  <c r="O188" i="31"/>
  <c r="N174" i="31"/>
  <c r="M160" i="31"/>
  <c r="M139" i="31"/>
  <c r="O278" i="31"/>
  <c r="O276" i="31"/>
  <c r="N274" i="31"/>
  <c r="N272" i="31"/>
  <c r="M268" i="31"/>
  <c r="M266" i="31"/>
  <c r="O263" i="31"/>
  <c r="O261" i="31"/>
  <c r="N257" i="31"/>
  <c r="N255" i="31"/>
  <c r="M253" i="31"/>
  <c r="M251" i="31"/>
  <c r="O246" i="31"/>
  <c r="O244" i="31"/>
  <c r="M242" i="31"/>
  <c r="N239" i="31"/>
  <c r="O236" i="31"/>
  <c r="M234" i="31"/>
  <c r="O224" i="31"/>
  <c r="N215" i="31"/>
  <c r="M201" i="31"/>
  <c r="O186" i="31"/>
  <c r="O172" i="31"/>
  <c r="N158" i="31"/>
  <c r="O354" i="31"/>
  <c r="N353" i="31"/>
  <c r="M352" i="31"/>
  <c r="O350" i="31"/>
  <c r="N349" i="31"/>
  <c r="T349" i="31" s="1"/>
  <c r="M348" i="31"/>
  <c r="O346" i="31"/>
  <c r="N345" i="31"/>
  <c r="M344" i="31"/>
  <c r="O342" i="31"/>
  <c r="N341" i="31"/>
  <c r="M340" i="31"/>
  <c r="O338" i="31"/>
  <c r="N337" i="31"/>
  <c r="M336" i="31"/>
  <c r="O334" i="31"/>
  <c r="N333" i="31"/>
  <c r="M332" i="31"/>
  <c r="O330" i="31"/>
  <c r="N329" i="31"/>
  <c r="M328" i="31"/>
  <c r="O326" i="31"/>
  <c r="N325" i="31"/>
  <c r="M324" i="31"/>
  <c r="O322" i="31"/>
  <c r="N321" i="31"/>
  <c r="M320" i="31"/>
  <c r="O318" i="31"/>
  <c r="N317" i="31"/>
  <c r="T317" i="31" s="1"/>
  <c r="M316" i="31"/>
  <c r="O314" i="31"/>
  <c r="N313" i="31"/>
  <c r="M312" i="31"/>
  <c r="O310" i="31"/>
  <c r="N309" i="31"/>
  <c r="M308" i="31"/>
  <c r="O306" i="31"/>
  <c r="N305" i="31"/>
  <c r="M304" i="31"/>
  <c r="O302" i="31"/>
  <c r="N301" i="31"/>
  <c r="M300" i="31"/>
  <c r="O298" i="31"/>
  <c r="N297" i="31"/>
  <c r="M296" i="31"/>
  <c r="O294" i="31"/>
  <c r="N293" i="31"/>
  <c r="M292" i="31"/>
  <c r="O290" i="31"/>
  <c r="N289" i="31"/>
  <c r="M288" i="31"/>
  <c r="O286" i="31"/>
  <c r="N285" i="31"/>
  <c r="T285" i="31" s="1"/>
  <c r="M284" i="31"/>
  <c r="O282" i="31"/>
  <c r="O280" i="31"/>
  <c r="N278" i="31"/>
  <c r="N276" i="31"/>
  <c r="M272" i="31"/>
  <c r="M270" i="31"/>
  <c r="O267" i="31"/>
  <c r="O265" i="31"/>
  <c r="N261" i="31"/>
  <c r="N259" i="31"/>
  <c r="M257" i="31"/>
  <c r="M255" i="31"/>
  <c r="O250" i="31"/>
  <c r="O248" i="31"/>
  <c r="N246" i="31"/>
  <c r="T246" i="31" s="1"/>
  <c r="N244" i="31"/>
  <c r="O241" i="31"/>
  <c r="M239" i="31"/>
  <c r="N236" i="31"/>
  <c r="O233" i="31"/>
  <c r="M230" i="31"/>
  <c r="N213" i="31"/>
  <c r="N199" i="31"/>
  <c r="T199" i="31" s="1"/>
  <c r="M185" i="31"/>
  <c r="O170" i="31"/>
  <c r="O156" i="31"/>
  <c r="N114" i="31"/>
  <c r="N282" i="31"/>
  <c r="N280" i="31"/>
  <c r="M276" i="31"/>
  <c r="M274" i="31"/>
  <c r="O271" i="31"/>
  <c r="O269" i="31"/>
  <c r="N265" i="31"/>
  <c r="N263" i="31"/>
  <c r="M261" i="31"/>
  <c r="M259" i="31"/>
  <c r="O254" i="31"/>
  <c r="O252" i="31"/>
  <c r="N250" i="31"/>
  <c r="N248" i="31"/>
  <c r="M244" i="31"/>
  <c r="N241" i="31"/>
  <c r="O238" i="31"/>
  <c r="M236" i="31"/>
  <c r="O211" i="31"/>
  <c r="N197" i="31"/>
  <c r="T197" i="31" s="1"/>
  <c r="N183" i="31"/>
  <c r="M169" i="31"/>
  <c r="O154" i="31"/>
  <c r="M93" i="31"/>
  <c r="N358" i="31"/>
  <c r="M357" i="31"/>
  <c r="O355" i="31"/>
  <c r="N354" i="31"/>
  <c r="T354" i="31" s="1"/>
  <c r="M353" i="31"/>
  <c r="O351" i="31"/>
  <c r="N350" i="31"/>
  <c r="M349" i="31"/>
  <c r="O347" i="31"/>
  <c r="N346" i="31"/>
  <c r="M345" i="31"/>
  <c r="O343" i="31"/>
  <c r="N342" i="31"/>
  <c r="M341" i="31"/>
  <c r="O339" i="31"/>
  <c r="N338" i="31"/>
  <c r="M337" i="31"/>
  <c r="O335" i="31"/>
  <c r="N334" i="31"/>
  <c r="M333" i="31"/>
  <c r="O331" i="31"/>
  <c r="N330" i="31"/>
  <c r="M329" i="31"/>
  <c r="O327" i="31"/>
  <c r="N326" i="31"/>
  <c r="M325" i="31"/>
  <c r="O323" i="31"/>
  <c r="N322" i="31"/>
  <c r="T322" i="31" s="1"/>
  <c r="M321" i="31"/>
  <c r="O319" i="31"/>
  <c r="N318" i="31"/>
  <c r="M317" i="31"/>
  <c r="O315" i="31"/>
  <c r="N314" i="31"/>
  <c r="M313" i="31"/>
  <c r="O311" i="31"/>
  <c r="N310" i="31"/>
  <c r="M309" i="31"/>
  <c r="O307" i="31"/>
  <c r="N306" i="31"/>
  <c r="M305" i="31"/>
  <c r="O303" i="31"/>
  <c r="N302" i="31"/>
  <c r="M301" i="31"/>
  <c r="O299" i="31"/>
  <c r="N298" i="31"/>
  <c r="M297" i="31"/>
  <c r="O295" i="31"/>
  <c r="N294" i="31"/>
  <c r="M293" i="31"/>
  <c r="O291" i="31"/>
  <c r="N290" i="31"/>
  <c r="T290" i="31" s="1"/>
  <c r="M289" i="31"/>
  <c r="O287" i="31"/>
  <c r="N286" i="31"/>
  <c r="M285" i="31"/>
  <c r="O283" i="31"/>
  <c r="M280" i="31"/>
  <c r="M278" i="31"/>
  <c r="O275" i="31"/>
  <c r="O273" i="31"/>
  <c r="N269" i="31"/>
  <c r="N267" i="31"/>
  <c r="M265" i="31"/>
  <c r="M263" i="31"/>
  <c r="O258" i="31"/>
  <c r="O256" i="31"/>
  <c r="N254" i="31"/>
  <c r="T254" i="31" s="1"/>
  <c r="N252" i="31"/>
  <c r="M248" i="31"/>
  <c r="M246" i="31"/>
  <c r="O232" i="31"/>
  <c r="O228" i="31"/>
  <c r="M223" i="31"/>
  <c r="M210" i="31"/>
  <c r="O195" i="31"/>
  <c r="N181" i="31"/>
  <c r="N167" i="31"/>
  <c r="M153" i="31"/>
  <c r="O71" i="31"/>
  <c r="O221" i="31"/>
  <c r="M220" i="31"/>
  <c r="M217" i="31"/>
  <c r="O213" i="31"/>
  <c r="N208" i="31"/>
  <c r="M203" i="31"/>
  <c r="O197" i="31"/>
  <c r="N192" i="31"/>
  <c r="M187" i="31"/>
  <c r="O181" i="31"/>
  <c r="N176" i="31"/>
  <c r="M171" i="31"/>
  <c r="O165" i="31"/>
  <c r="N160" i="31"/>
  <c r="M155" i="31"/>
  <c r="N151" i="31"/>
  <c r="O146" i="31"/>
  <c r="M141" i="31"/>
  <c r="N132" i="31"/>
  <c r="M117" i="31"/>
  <c r="O95" i="31"/>
  <c r="N74" i="31"/>
  <c r="N224" i="31"/>
  <c r="O222" i="31"/>
  <c r="O219" i="31"/>
  <c r="O216" i="31"/>
  <c r="M215" i="31"/>
  <c r="O209" i="31"/>
  <c r="N204" i="31"/>
  <c r="M199" i="31"/>
  <c r="O193" i="31"/>
  <c r="N188" i="31"/>
  <c r="M183" i="31"/>
  <c r="O177" i="31"/>
  <c r="N172" i="31"/>
  <c r="M167" i="31"/>
  <c r="O161" i="31"/>
  <c r="N156" i="31"/>
  <c r="O150" i="31"/>
  <c r="O148" i="31"/>
  <c r="M146" i="31"/>
  <c r="O138" i="31"/>
  <c r="N130" i="31"/>
  <c r="O111" i="31"/>
  <c r="N90" i="31"/>
  <c r="M69" i="31"/>
  <c r="O229" i="31"/>
  <c r="N228" i="31"/>
  <c r="M227" i="31"/>
  <c r="O225" i="31"/>
  <c r="M224" i="31"/>
  <c r="M221" i="31"/>
  <c r="M218" i="31"/>
  <c r="O214" i="31"/>
  <c r="M213" i="31"/>
  <c r="N211" i="31"/>
  <c r="N209" i="31"/>
  <c r="O207" i="31"/>
  <c r="M206" i="31"/>
  <c r="M204" i="31"/>
  <c r="N202" i="31"/>
  <c r="O200" i="31"/>
  <c r="O198" i="31"/>
  <c r="M197" i="31"/>
  <c r="N195" i="31"/>
  <c r="N193" i="31"/>
  <c r="O191" i="31"/>
  <c r="M190" i="31"/>
  <c r="M188" i="31"/>
  <c r="N186" i="31"/>
  <c r="O184" i="31"/>
  <c r="O182" i="31"/>
  <c r="M181" i="31"/>
  <c r="N179" i="31"/>
  <c r="N177" i="31"/>
  <c r="O175" i="31"/>
  <c r="M174" i="31"/>
  <c r="M172" i="31"/>
  <c r="N170" i="31"/>
  <c r="O168" i="31"/>
  <c r="O166" i="31"/>
  <c r="M165" i="31"/>
  <c r="N163" i="31"/>
  <c r="N161" i="31"/>
  <c r="T161" i="31" s="1"/>
  <c r="O159" i="31"/>
  <c r="M158" i="31"/>
  <c r="M156" i="31"/>
  <c r="N154" i="31"/>
  <c r="O152" i="31"/>
  <c r="N148" i="31"/>
  <c r="N145" i="31"/>
  <c r="M137" i="31"/>
  <c r="M128" i="31"/>
  <c r="M109" i="31"/>
  <c r="O87" i="31"/>
  <c r="N66" i="31"/>
  <c r="N225" i="31"/>
  <c r="N222" i="31"/>
  <c r="N219" i="31"/>
  <c r="N216" i="31"/>
  <c r="T216" i="31" s="1"/>
  <c r="M211" i="31"/>
  <c r="O205" i="31"/>
  <c r="N200" i="31"/>
  <c r="M195" i="31"/>
  <c r="O189" i="31"/>
  <c r="N184" i="31"/>
  <c r="M179" i="31"/>
  <c r="O173" i="31"/>
  <c r="N168" i="31"/>
  <c r="M163" i="31"/>
  <c r="O157" i="31"/>
  <c r="N152" i="31"/>
  <c r="N150" i="31"/>
  <c r="M148" i="31"/>
  <c r="O136" i="31"/>
  <c r="O127" i="31"/>
  <c r="N106" i="31"/>
  <c r="M85" i="31"/>
  <c r="O63" i="31"/>
  <c r="N233" i="31"/>
  <c r="M232" i="31"/>
  <c r="O230" i="31"/>
  <c r="N229" i="31"/>
  <c r="M228" i="31"/>
  <c r="O226" i="31"/>
  <c r="O223" i="31"/>
  <c r="O220" i="31"/>
  <c r="O217" i="31"/>
  <c r="M216" i="31"/>
  <c r="N214" i="31"/>
  <c r="O212" i="31"/>
  <c r="O210" i="31"/>
  <c r="M209" i="31"/>
  <c r="N207" i="31"/>
  <c r="N205" i="31"/>
  <c r="O203" i="31"/>
  <c r="M202" i="31"/>
  <c r="M200" i="31"/>
  <c r="N198" i="31"/>
  <c r="O196" i="31"/>
  <c r="O194" i="31"/>
  <c r="M193" i="31"/>
  <c r="N191" i="31"/>
  <c r="N189" i="31"/>
  <c r="O187" i="31"/>
  <c r="M186" i="31"/>
  <c r="M184" i="31"/>
  <c r="N182" i="31"/>
  <c r="T182" i="31" s="1"/>
  <c r="O180" i="31"/>
  <c r="O178" i="31"/>
  <c r="M177" i="31"/>
  <c r="N175" i="31"/>
  <c r="N173" i="31"/>
  <c r="O171" i="31"/>
  <c r="M170" i="31"/>
  <c r="M168" i="31"/>
  <c r="N166" i="31"/>
  <c r="O164" i="31"/>
  <c r="O162" i="31"/>
  <c r="M161" i="31"/>
  <c r="N159" i="31"/>
  <c r="N157" i="31"/>
  <c r="O155" i="31"/>
  <c r="M154" i="31"/>
  <c r="M152" i="31"/>
  <c r="M150" i="31"/>
  <c r="N143" i="31"/>
  <c r="O134" i="31"/>
  <c r="M125" i="31"/>
  <c r="O103" i="31"/>
  <c r="N82" i="31"/>
  <c r="M60" i="31"/>
  <c r="M225" i="31"/>
  <c r="M222" i="31"/>
  <c r="M219" i="31"/>
  <c r="N217" i="31"/>
  <c r="N212" i="31"/>
  <c r="M207" i="31"/>
  <c r="O201" i="31"/>
  <c r="N196" i="31"/>
  <c r="T196" i="31" s="1"/>
  <c r="M191" i="31"/>
  <c r="O185" i="31"/>
  <c r="N180" i="31"/>
  <c r="M175" i="31"/>
  <c r="O169" i="31"/>
  <c r="N164" i="31"/>
  <c r="M159" i="31"/>
  <c r="O153" i="31"/>
  <c r="O149" i="31"/>
  <c r="O147" i="31"/>
  <c r="M143" i="31"/>
  <c r="N122" i="31"/>
  <c r="M101" i="31"/>
  <c r="O79" i="31"/>
  <c r="O51" i="31"/>
  <c r="O243" i="31"/>
  <c r="N242" i="31"/>
  <c r="M241" i="31"/>
  <c r="O239" i="31"/>
  <c r="N238" i="31"/>
  <c r="M237" i="31"/>
  <c r="O235" i="31"/>
  <c r="N234" i="31"/>
  <c r="M233" i="31"/>
  <c r="O231" i="31"/>
  <c r="N230" i="31"/>
  <c r="M229" i="31"/>
  <c r="O227" i="31"/>
  <c r="N226" i="31"/>
  <c r="N223" i="31"/>
  <c r="N220" i="31"/>
  <c r="O218" i="31"/>
  <c r="O215" i="31"/>
  <c r="M214" i="31"/>
  <c r="M212" i="31"/>
  <c r="N210" i="31"/>
  <c r="O208" i="31"/>
  <c r="O206" i="31"/>
  <c r="M205" i="31"/>
  <c r="N203" i="31"/>
  <c r="T203" i="31" s="1"/>
  <c r="N201" i="31"/>
  <c r="O199" i="31"/>
  <c r="M198" i="31"/>
  <c r="M196" i="31"/>
  <c r="N194" i="31"/>
  <c r="O192" i="31"/>
  <c r="O190" i="31"/>
  <c r="M189" i="31"/>
  <c r="N187" i="31"/>
  <c r="N185" i="31"/>
  <c r="O183" i="31"/>
  <c r="M182" i="31"/>
  <c r="M180" i="31"/>
  <c r="N178" i="31"/>
  <c r="O176" i="31"/>
  <c r="O174" i="31"/>
  <c r="M173" i="31"/>
  <c r="N171" i="31"/>
  <c r="N169" i="31"/>
  <c r="O167" i="31"/>
  <c r="M166" i="31"/>
  <c r="M164" i="31"/>
  <c r="N162" i="31"/>
  <c r="O160" i="31"/>
  <c r="O158" i="31"/>
  <c r="M157" i="31"/>
  <c r="N155" i="31"/>
  <c r="N153" i="31"/>
  <c r="O151" i="31"/>
  <c r="N149" i="31"/>
  <c r="N147" i="31"/>
  <c r="O132" i="31"/>
  <c r="O119" i="31"/>
  <c r="N98" i="31"/>
  <c r="M77" i="31"/>
  <c r="M41" i="31"/>
  <c r="N125" i="31"/>
  <c r="O122" i="31"/>
  <c r="M120" i="31"/>
  <c r="N117" i="31"/>
  <c r="T117" i="31" s="1"/>
  <c r="O114" i="31"/>
  <c r="M112" i="31"/>
  <c r="N109" i="31"/>
  <c r="O106" i="31"/>
  <c r="M104" i="31"/>
  <c r="N101" i="31"/>
  <c r="O98" i="31"/>
  <c r="M96" i="31"/>
  <c r="N93" i="31"/>
  <c r="O90" i="31"/>
  <c r="M88" i="31"/>
  <c r="N85" i="31"/>
  <c r="O82" i="31"/>
  <c r="M80" i="31"/>
  <c r="N77" i="31"/>
  <c r="O74" i="31"/>
  <c r="M72" i="31"/>
  <c r="N69" i="31"/>
  <c r="O66" i="31"/>
  <c r="M64" i="31"/>
  <c r="O60" i="31"/>
  <c r="M53" i="31"/>
  <c r="N42" i="31"/>
  <c r="N146" i="31"/>
  <c r="T146" i="31" s="1"/>
  <c r="M145" i="31"/>
  <c r="O142" i="31"/>
  <c r="O140" i="31"/>
  <c r="N136" i="31"/>
  <c r="N134" i="31"/>
  <c r="M132" i="31"/>
  <c r="M130" i="31"/>
  <c r="N127" i="31"/>
  <c r="T127" i="31" s="1"/>
  <c r="O124" i="31"/>
  <c r="M122" i="31"/>
  <c r="N119" i="31"/>
  <c r="O116" i="31"/>
  <c r="M114" i="31"/>
  <c r="N111" i="31"/>
  <c r="O108" i="31"/>
  <c r="M106" i="31"/>
  <c r="N103" i="31"/>
  <c r="O100" i="31"/>
  <c r="M98" i="31"/>
  <c r="N95" i="31"/>
  <c r="O92" i="31"/>
  <c r="M90" i="31"/>
  <c r="N87" i="31"/>
  <c r="O84" i="31"/>
  <c r="M82" i="31"/>
  <c r="N79" i="31"/>
  <c r="O76" i="31"/>
  <c r="M74" i="31"/>
  <c r="N71" i="31"/>
  <c r="O68" i="31"/>
  <c r="M66" i="31"/>
  <c r="N63" i="31"/>
  <c r="T63" i="31" s="1"/>
  <c r="O59" i="31"/>
  <c r="N50" i="31"/>
  <c r="O39" i="31"/>
  <c r="O144" i="31"/>
  <c r="N140" i="31"/>
  <c r="N138" i="31"/>
  <c r="M136" i="31"/>
  <c r="M134" i="31"/>
  <c r="O129" i="31"/>
  <c r="M127" i="31"/>
  <c r="N124" i="31"/>
  <c r="O121" i="31"/>
  <c r="M119" i="31"/>
  <c r="N116" i="31"/>
  <c r="O113" i="31"/>
  <c r="M111" i="31"/>
  <c r="N108" i="31"/>
  <c r="O105" i="31"/>
  <c r="M103" i="31"/>
  <c r="N100" i="31"/>
  <c r="O97" i="31"/>
  <c r="M95" i="31"/>
  <c r="N92" i="31"/>
  <c r="O89" i="31"/>
  <c r="M87" i="31"/>
  <c r="N84" i="31"/>
  <c r="O81" i="31"/>
  <c r="M79" i="31"/>
  <c r="N76" i="31"/>
  <c r="O73" i="31"/>
  <c r="M71" i="31"/>
  <c r="N68" i="31"/>
  <c r="T68" i="31" s="1"/>
  <c r="O65" i="31"/>
  <c r="O62" i="31"/>
  <c r="O58" i="31"/>
  <c r="M49" i="31"/>
  <c r="N38" i="31"/>
  <c r="N144" i="31"/>
  <c r="N142" i="31"/>
  <c r="M140" i="31"/>
  <c r="M138" i="31"/>
  <c r="O133" i="31"/>
  <c r="O131" i="31"/>
  <c r="N129" i="31"/>
  <c r="O126" i="31"/>
  <c r="M124" i="31"/>
  <c r="N121" i="31"/>
  <c r="O118" i="31"/>
  <c r="M116" i="31"/>
  <c r="N113" i="31"/>
  <c r="O110" i="31"/>
  <c r="M108" i="31"/>
  <c r="N105" i="31"/>
  <c r="O102" i="31"/>
  <c r="M100" i="31"/>
  <c r="N97" i="31"/>
  <c r="T97" i="31" s="1"/>
  <c r="O94" i="31"/>
  <c r="M92" i="31"/>
  <c r="N89" i="31"/>
  <c r="O86" i="31"/>
  <c r="M84" i="31"/>
  <c r="N81" i="31"/>
  <c r="O78" i="31"/>
  <c r="M76" i="31"/>
  <c r="N73" i="31"/>
  <c r="O70" i="31"/>
  <c r="M68" i="31"/>
  <c r="N65" i="31"/>
  <c r="T65" i="31" s="1"/>
  <c r="N62" i="31"/>
  <c r="N58" i="31"/>
  <c r="O47" i="31"/>
  <c r="M37" i="31"/>
  <c r="M144" i="31"/>
  <c r="M142" i="31"/>
  <c r="O137" i="31"/>
  <c r="O135" i="31"/>
  <c r="N133" i="31"/>
  <c r="N131" i="31"/>
  <c r="M129" i="31"/>
  <c r="N126" i="31"/>
  <c r="T126" i="31" s="1"/>
  <c r="O123" i="31"/>
  <c r="M121" i="31"/>
  <c r="N118" i="31"/>
  <c r="O115" i="31"/>
  <c r="M113" i="31"/>
  <c r="N110" i="31"/>
  <c r="O107" i="31"/>
  <c r="M105" i="31"/>
  <c r="N102" i="31"/>
  <c r="O99" i="31"/>
  <c r="M97" i="31"/>
  <c r="N94" i="31"/>
  <c r="T94" i="31" s="1"/>
  <c r="O91" i="31"/>
  <c r="M89" i="31"/>
  <c r="N86" i="31"/>
  <c r="O83" i="31"/>
  <c r="M81" i="31"/>
  <c r="N78" i="31"/>
  <c r="O75" i="31"/>
  <c r="M73" i="31"/>
  <c r="N70" i="31"/>
  <c r="O67" i="31"/>
  <c r="M65" i="31"/>
  <c r="M62" i="31"/>
  <c r="M57" i="31"/>
  <c r="N46" i="31"/>
  <c r="O35" i="31"/>
  <c r="M147" i="31"/>
  <c r="O145" i="31"/>
  <c r="O141" i="31"/>
  <c r="O139" i="31"/>
  <c r="N137" i="31"/>
  <c r="T137" i="31" s="1"/>
  <c r="N135" i="31"/>
  <c r="M131" i="31"/>
  <c r="O128" i="31"/>
  <c r="M126" i="31"/>
  <c r="N123" i="31"/>
  <c r="O120" i="31"/>
  <c r="M118" i="31"/>
  <c r="N115" i="31"/>
  <c r="T115" i="31" s="1"/>
  <c r="O112" i="31"/>
  <c r="M110" i="31"/>
  <c r="N107" i="31"/>
  <c r="O104" i="31"/>
  <c r="M102" i="31"/>
  <c r="N99" i="31"/>
  <c r="O96" i="31"/>
  <c r="M94" i="31"/>
  <c r="N91" i="31"/>
  <c r="O88" i="31"/>
  <c r="M86" i="31"/>
  <c r="N83" i="31"/>
  <c r="T83" i="31" s="1"/>
  <c r="O80" i="31"/>
  <c r="M78" i="31"/>
  <c r="N75" i="31"/>
  <c r="O72" i="31"/>
  <c r="M70" i="31"/>
  <c r="N67" i="31"/>
  <c r="O64" i="31"/>
  <c r="N61" i="31"/>
  <c r="T61" i="31" s="1"/>
  <c r="O55" i="31"/>
  <c r="M45" i="31"/>
  <c r="N34" i="31"/>
  <c r="O143" i="31"/>
  <c r="N141" i="31"/>
  <c r="N139" i="31"/>
  <c r="M135" i="31"/>
  <c r="M133" i="31"/>
  <c r="O130" i="31"/>
  <c r="N128" i="31"/>
  <c r="O125" i="31"/>
  <c r="M123" i="31"/>
  <c r="N120" i="31"/>
  <c r="O117" i="31"/>
  <c r="M115" i="31"/>
  <c r="N112" i="31"/>
  <c r="T112" i="31" s="1"/>
  <c r="O109" i="31"/>
  <c r="M107" i="31"/>
  <c r="N104" i="31"/>
  <c r="O101" i="31"/>
  <c r="M99" i="31"/>
  <c r="N96" i="31"/>
  <c r="O93" i="31"/>
  <c r="M91" i="31"/>
  <c r="N88" i="31"/>
  <c r="O85" i="31"/>
  <c r="M83" i="31"/>
  <c r="N80" i="31"/>
  <c r="T80" i="31" s="1"/>
  <c r="O77" i="31"/>
  <c r="M75" i="31"/>
  <c r="N72" i="31"/>
  <c r="O69" i="31"/>
  <c r="M67" i="31"/>
  <c r="N64" i="31"/>
  <c r="M61" i="31"/>
  <c r="N54" i="31"/>
  <c r="T54" i="31" s="1"/>
  <c r="O43" i="31"/>
  <c r="M33" i="31"/>
  <c r="N59" i="31"/>
  <c r="M58" i="31"/>
  <c r="O56" i="31"/>
  <c r="N55" i="31"/>
  <c r="M54" i="31"/>
  <c r="O52" i="31"/>
  <c r="N51" i="31"/>
  <c r="M50" i="31"/>
  <c r="O48" i="31"/>
  <c r="N47" i="31"/>
  <c r="T47" i="31" s="1"/>
  <c r="M46" i="31"/>
  <c r="O44" i="31"/>
  <c r="N43" i="31"/>
  <c r="M42" i="31"/>
  <c r="O40" i="31"/>
  <c r="N39" i="31"/>
  <c r="M38" i="31"/>
  <c r="O36" i="31"/>
  <c r="N35" i="31"/>
  <c r="M34" i="31"/>
  <c r="O32" i="31"/>
  <c r="M63" i="31"/>
  <c r="O61" i="31"/>
  <c r="N60" i="31"/>
  <c r="M59" i="31"/>
  <c r="O57" i="31"/>
  <c r="N56" i="31"/>
  <c r="M55" i="31"/>
  <c r="O53" i="31"/>
  <c r="N52" i="31"/>
  <c r="T52" i="31" s="1"/>
  <c r="M51" i="31"/>
  <c r="O49" i="31"/>
  <c r="N48" i="31"/>
  <c r="M47" i="31"/>
  <c r="O45" i="31"/>
  <c r="N44" i="31"/>
  <c r="M43" i="31"/>
  <c r="O41" i="31"/>
  <c r="N40" i="31"/>
  <c r="M39" i="31"/>
  <c r="O37" i="31"/>
  <c r="N36" i="31"/>
  <c r="T36" i="31" s="1"/>
  <c r="M35" i="31"/>
  <c r="O33" i="31"/>
  <c r="N32" i="31"/>
  <c r="N57" i="31"/>
  <c r="T57" i="31" s="1"/>
  <c r="M56" i="31"/>
  <c r="O54" i="31"/>
  <c r="N53" i="31"/>
  <c r="M52" i="31"/>
  <c r="O50" i="31"/>
  <c r="N49" i="31"/>
  <c r="M48" i="31"/>
  <c r="O46" i="31"/>
  <c r="N45" i="31"/>
  <c r="M44" i="31"/>
  <c r="O42" i="31"/>
  <c r="N41" i="31"/>
  <c r="T41" i="31" s="1"/>
  <c r="M40" i="31"/>
  <c r="O38" i="31"/>
  <c r="N37" i="31"/>
  <c r="M36" i="31"/>
  <c r="O34" i="31"/>
  <c r="N33" i="31"/>
  <c r="M32" i="31"/>
  <c r="L358" i="31"/>
  <c r="L268" i="31"/>
  <c r="L528" i="31"/>
  <c r="L524" i="31"/>
  <c r="L520" i="31"/>
  <c r="L516" i="31"/>
  <c r="L512" i="31"/>
  <c r="L508" i="31"/>
  <c r="R508" i="31" s="1"/>
  <c r="L504" i="31"/>
  <c r="L500" i="31"/>
  <c r="L496" i="31"/>
  <c r="L492" i="31"/>
  <c r="L488" i="31"/>
  <c r="L484" i="31"/>
  <c r="L480" i="31"/>
  <c r="L476" i="31"/>
  <c r="R476" i="31" s="1"/>
  <c r="L472" i="31"/>
  <c r="L468" i="31"/>
  <c r="L464" i="31"/>
  <c r="L460" i="31"/>
  <c r="L456" i="31"/>
  <c r="L452" i="31"/>
  <c r="L448" i="31"/>
  <c r="L444" i="31"/>
  <c r="L440" i="31"/>
  <c r="L436" i="31"/>
  <c r="L432" i="31"/>
  <c r="L428" i="31"/>
  <c r="L424" i="31"/>
  <c r="L420" i="31"/>
  <c r="L416" i="31"/>
  <c r="L412" i="31"/>
  <c r="L408" i="31"/>
  <c r="L404" i="31"/>
  <c r="L400" i="31"/>
  <c r="L396" i="31"/>
  <c r="L392" i="31"/>
  <c r="L388" i="31"/>
  <c r="L384" i="31"/>
  <c r="L380" i="31"/>
  <c r="R380" i="31" s="1"/>
  <c r="L376" i="31"/>
  <c r="L365" i="31"/>
  <c r="L359" i="31"/>
  <c r="L352" i="31"/>
  <c r="L346" i="31"/>
  <c r="L333" i="31"/>
  <c r="L327" i="31"/>
  <c r="L320" i="31"/>
  <c r="R320" i="31" s="1"/>
  <c r="L314" i="31"/>
  <c r="L301" i="31"/>
  <c r="L295" i="31"/>
  <c r="L288" i="31"/>
  <c r="L282" i="31"/>
  <c r="L269" i="31"/>
  <c r="L263" i="31"/>
  <c r="L252" i="31"/>
  <c r="R252" i="31" s="1"/>
  <c r="L241" i="31"/>
  <c r="L225" i="31"/>
  <c r="L209" i="31"/>
  <c r="L193" i="31"/>
  <c r="L177" i="31"/>
  <c r="L160" i="31"/>
  <c r="L128" i="31"/>
  <c r="L96" i="31"/>
  <c r="L64" i="31"/>
  <c r="L339" i="31"/>
  <c r="L300" i="31"/>
  <c r="L240" i="31"/>
  <c r="L156" i="31"/>
  <c r="L527" i="31"/>
  <c r="L511" i="31"/>
  <c r="L495" i="31"/>
  <c r="L479" i="31"/>
  <c r="L471" i="31"/>
  <c r="L459" i="31"/>
  <c r="L451" i="31"/>
  <c r="L443" i="31"/>
  <c r="L435" i="31"/>
  <c r="L431" i="31"/>
  <c r="L423" i="31"/>
  <c r="L419" i="31"/>
  <c r="L411" i="31"/>
  <c r="L407" i="31"/>
  <c r="L403" i="31"/>
  <c r="L399" i="31"/>
  <c r="L395" i="31"/>
  <c r="L391" i="31"/>
  <c r="L387" i="31"/>
  <c r="L383" i="31"/>
  <c r="L379" i="31"/>
  <c r="L375" i="31"/>
  <c r="L370" i="31"/>
  <c r="L357" i="31"/>
  <c r="L351" i="31"/>
  <c r="L344" i="31"/>
  <c r="L338" i="31"/>
  <c r="R338" i="31" s="1"/>
  <c r="L325" i="31"/>
  <c r="L319" i="31"/>
  <c r="L312" i="31"/>
  <c r="L306" i="31"/>
  <c r="L293" i="31"/>
  <c r="L287" i="31"/>
  <c r="L280" i="31"/>
  <c r="L274" i="31"/>
  <c r="R274" i="31" s="1"/>
  <c r="L260" i="31"/>
  <c r="L249" i="31"/>
  <c r="L237" i="31"/>
  <c r="L221" i="31"/>
  <c r="L205" i="31"/>
  <c r="L189" i="31"/>
  <c r="L173" i="31"/>
  <c r="L152" i="31"/>
  <c r="R152" i="31" s="1"/>
  <c r="L120" i="31"/>
  <c r="L88" i="31"/>
  <c r="L56" i="31"/>
  <c r="L332" i="31"/>
  <c r="L281" i="31"/>
  <c r="L92" i="31"/>
  <c r="L519" i="31"/>
  <c r="L499" i="31"/>
  <c r="R499" i="31" s="1"/>
  <c r="L487" i="31"/>
  <c r="L475" i="31"/>
  <c r="L467" i="31"/>
  <c r="L463" i="31"/>
  <c r="L455" i="31"/>
  <c r="L447" i="31"/>
  <c r="L439" i="31"/>
  <c r="L427" i="31"/>
  <c r="R427" i="31" s="1"/>
  <c r="L415" i="31"/>
  <c r="L369" i="31"/>
  <c r="L363" i="31"/>
  <c r="L356" i="31"/>
  <c r="L350" i="31"/>
  <c r="L337" i="31"/>
  <c r="L331" i="31"/>
  <c r="L324" i="31"/>
  <c r="R324" i="31" s="1"/>
  <c r="L318" i="31"/>
  <c r="L305" i="31"/>
  <c r="L299" i="31"/>
  <c r="L292" i="31"/>
  <c r="L286" i="31"/>
  <c r="L273" i="31"/>
  <c r="L267" i="31"/>
  <c r="L248" i="31"/>
  <c r="L236" i="31"/>
  <c r="L220" i="31"/>
  <c r="L204" i="31"/>
  <c r="L188" i="31"/>
  <c r="L172" i="31"/>
  <c r="L148" i="31"/>
  <c r="L116" i="31"/>
  <c r="L84" i="31"/>
  <c r="R84" i="31" s="1"/>
  <c r="L52" i="31"/>
  <c r="L364" i="31"/>
  <c r="L60" i="31"/>
  <c r="L523" i="31"/>
  <c r="L503" i="31"/>
  <c r="L483" i="31"/>
  <c r="L526" i="31"/>
  <c r="L518" i="31"/>
  <c r="R518" i="31" s="1"/>
  <c r="L506" i="31"/>
  <c r="L498" i="31"/>
  <c r="L490" i="31"/>
  <c r="L482" i="31"/>
  <c r="L474" i="31"/>
  <c r="L466" i="31"/>
  <c r="L458" i="31"/>
  <c r="L450" i="31"/>
  <c r="R450" i="31" s="1"/>
  <c r="L442" i="31"/>
  <c r="L430" i="31"/>
  <c r="L422" i="31"/>
  <c r="L414" i="31"/>
  <c r="L410" i="31"/>
  <c r="L402" i="31"/>
  <c r="L398" i="31"/>
  <c r="L394" i="31"/>
  <c r="R394" i="31" s="1"/>
  <c r="L390" i="31"/>
  <c r="L386" i="31"/>
  <c r="L382" i="31"/>
  <c r="L378" i="31"/>
  <c r="L374" i="31"/>
  <c r="L368" i="31"/>
  <c r="L362" i="31"/>
  <c r="L349" i="31"/>
  <c r="R349" i="31" s="1"/>
  <c r="L343" i="31"/>
  <c r="L336" i="31"/>
  <c r="L330" i="31"/>
  <c r="L317" i="31"/>
  <c r="L311" i="31"/>
  <c r="L304" i="31"/>
  <c r="L298" i="31"/>
  <c r="L285" i="31"/>
  <c r="L279" i="31"/>
  <c r="L272" i="31"/>
  <c r="L266" i="31"/>
  <c r="L257" i="31"/>
  <c r="L233" i="31"/>
  <c r="L217" i="31"/>
  <c r="L201" i="31"/>
  <c r="L185" i="31"/>
  <c r="R185" i="31" s="1"/>
  <c r="L169" i="31"/>
  <c r="L144" i="31"/>
  <c r="L112" i="31"/>
  <c r="L80" i="31"/>
  <c r="L48" i="31"/>
  <c r="L371" i="31"/>
  <c r="L313" i="31"/>
  <c r="L294" i="31"/>
  <c r="L261" i="31"/>
  <c r="L208" i="31"/>
  <c r="L124" i="31"/>
  <c r="L531" i="31"/>
  <c r="L515" i="31"/>
  <c r="L507" i="31"/>
  <c r="L491" i="31"/>
  <c r="L530" i="31"/>
  <c r="R530" i="31" s="1"/>
  <c r="L522" i="31"/>
  <c r="L514" i="31"/>
  <c r="L510" i="31"/>
  <c r="L502" i="31"/>
  <c r="L494" i="31"/>
  <c r="L486" i="31"/>
  <c r="L478" i="31"/>
  <c r="L470" i="31"/>
  <c r="R470" i="31" s="1"/>
  <c r="L462" i="31"/>
  <c r="L454" i="31"/>
  <c r="L446" i="31"/>
  <c r="L438" i="31"/>
  <c r="L434" i="31"/>
  <c r="L426" i="31"/>
  <c r="L418" i="31"/>
  <c r="L406" i="31"/>
  <c r="R406" i="31" s="1"/>
  <c r="L361" i="31"/>
  <c r="L355" i="31"/>
  <c r="L348" i="31"/>
  <c r="L342" i="31"/>
  <c r="L329" i="31"/>
  <c r="L323" i="31"/>
  <c r="L316" i="31"/>
  <c r="L310" i="31"/>
  <c r="R310" i="31" s="1"/>
  <c r="L297" i="31"/>
  <c r="L291" i="31"/>
  <c r="L284" i="31"/>
  <c r="L278" i="31"/>
  <c r="L265" i="31"/>
  <c r="L256" i="31"/>
  <c r="L245" i="31"/>
  <c r="L232" i="31"/>
  <c r="R232" i="31" s="1"/>
  <c r="L216" i="31"/>
  <c r="L200" i="31"/>
  <c r="L184" i="31"/>
  <c r="L168" i="31"/>
  <c r="L140" i="31"/>
  <c r="L108" i="31"/>
  <c r="L76" i="31"/>
  <c r="L44" i="31"/>
  <c r="R44" i="31" s="1"/>
  <c r="L345" i="31"/>
  <c r="L307" i="31"/>
  <c r="L224" i="31"/>
  <c r="L176" i="31"/>
  <c r="L525" i="31"/>
  <c r="L517" i="31"/>
  <c r="L509" i="31"/>
  <c r="L501" i="31"/>
  <c r="L493" i="31"/>
  <c r="L485" i="31"/>
  <c r="L477" i="31"/>
  <c r="L465" i="31"/>
  <c r="L457" i="31"/>
  <c r="L449" i="31"/>
  <c r="L441" i="31"/>
  <c r="L433" i="31"/>
  <c r="L425" i="31"/>
  <c r="L417" i="31"/>
  <c r="L409" i="31"/>
  <c r="L401" i="31"/>
  <c r="L393" i="31"/>
  <c r="L389" i="31"/>
  <c r="L381" i="31"/>
  <c r="L377" i="31"/>
  <c r="L373" i="31"/>
  <c r="L367" i="31"/>
  <c r="L360" i="31"/>
  <c r="L354" i="31"/>
  <c r="L341" i="31"/>
  <c r="L335" i="31"/>
  <c r="L328" i="31"/>
  <c r="L322" i="31"/>
  <c r="R322" i="31" s="1"/>
  <c r="L309" i="31"/>
  <c r="L303" i="31"/>
  <c r="L296" i="31"/>
  <c r="L290" i="31"/>
  <c r="L277" i="31"/>
  <c r="L271" i="31"/>
  <c r="L264" i="31"/>
  <c r="L244" i="31"/>
  <c r="L229" i="31"/>
  <c r="L213" i="31"/>
  <c r="L197" i="31"/>
  <c r="L181" i="31"/>
  <c r="L165" i="31"/>
  <c r="L136" i="31"/>
  <c r="L104" i="31"/>
  <c r="L72" i="31"/>
  <c r="R72" i="31" s="1"/>
  <c r="L40" i="31"/>
  <c r="L326" i="31"/>
  <c r="L275" i="31"/>
  <c r="L192" i="31"/>
  <c r="L529" i="31"/>
  <c r="L521" i="31"/>
  <c r="L513" i="31"/>
  <c r="L505" i="31"/>
  <c r="R505" i="31" s="1"/>
  <c r="L497" i="31"/>
  <c r="L489" i="31"/>
  <c r="L481" i="31"/>
  <c r="L473" i="31"/>
  <c r="L469" i="31"/>
  <c r="L461" i="31"/>
  <c r="L453" i="31"/>
  <c r="L445" i="31"/>
  <c r="L437" i="31"/>
  <c r="L429" i="31"/>
  <c r="L421" i="31"/>
  <c r="L413" i="31"/>
  <c r="L405" i="31"/>
  <c r="L397" i="31"/>
  <c r="L385" i="31"/>
  <c r="L372" i="31"/>
  <c r="R372" i="31" s="1"/>
  <c r="L366" i="31"/>
  <c r="L353" i="31"/>
  <c r="L347" i="31"/>
  <c r="L340" i="31"/>
  <c r="L334" i="31"/>
  <c r="L321" i="31"/>
  <c r="L315" i="31"/>
  <c r="L308" i="31"/>
  <c r="L302" i="31"/>
  <c r="L289" i="31"/>
  <c r="L283" i="31"/>
  <c r="L276" i="31"/>
  <c r="L270" i="31"/>
  <c r="L253" i="31"/>
  <c r="L228" i="31"/>
  <c r="L212" i="31"/>
  <c r="L196" i="31"/>
  <c r="L180" i="31"/>
  <c r="L164" i="31"/>
  <c r="L132" i="31"/>
  <c r="L100" i="31"/>
  <c r="L68" i="31"/>
  <c r="L36" i="31"/>
  <c r="L259" i="31"/>
  <c r="R259" i="31" s="1"/>
  <c r="L255" i="31"/>
  <c r="L251" i="31"/>
  <c r="L247" i="31"/>
  <c r="L243" i="31"/>
  <c r="L239" i="31"/>
  <c r="L235" i="31"/>
  <c r="L231" i="31"/>
  <c r="L227" i="31"/>
  <c r="R227" i="31" s="1"/>
  <c r="L223" i="31"/>
  <c r="L219" i="31"/>
  <c r="L215" i="31"/>
  <c r="L211" i="31"/>
  <c r="L207" i="31"/>
  <c r="L203" i="31"/>
  <c r="L199" i="31"/>
  <c r="L195" i="31"/>
  <c r="L191" i="31"/>
  <c r="L187" i="31"/>
  <c r="L183" i="31"/>
  <c r="L179" i="31"/>
  <c r="L175" i="31"/>
  <c r="L171" i="31"/>
  <c r="L167" i="31"/>
  <c r="L163" i="31"/>
  <c r="L159" i="31"/>
  <c r="L155" i="31"/>
  <c r="L151" i="31"/>
  <c r="L147" i="31"/>
  <c r="L143" i="31"/>
  <c r="L139" i="31"/>
  <c r="L135" i="31"/>
  <c r="L131" i="31"/>
  <c r="R131" i="31" s="1"/>
  <c r="L127" i="31"/>
  <c r="L123" i="31"/>
  <c r="L119" i="31"/>
  <c r="L115" i="31"/>
  <c r="L111" i="31"/>
  <c r="L107" i="31"/>
  <c r="L103" i="31"/>
  <c r="L99" i="31"/>
  <c r="R99" i="31" s="1"/>
  <c r="L95" i="31"/>
  <c r="L91" i="31"/>
  <c r="L87" i="31"/>
  <c r="L83" i="31"/>
  <c r="L79" i="31"/>
  <c r="L75" i="31"/>
  <c r="L71" i="31"/>
  <c r="L67" i="31"/>
  <c r="L63" i="31"/>
  <c r="L59" i="31"/>
  <c r="L55" i="31"/>
  <c r="L51" i="31"/>
  <c r="L47" i="31"/>
  <c r="L43" i="31"/>
  <c r="L39" i="31"/>
  <c r="L35" i="31"/>
  <c r="R35" i="31" s="1"/>
  <c r="L262" i="31"/>
  <c r="L258" i="31"/>
  <c r="L254" i="31"/>
  <c r="L250" i="31"/>
  <c r="L246" i="31"/>
  <c r="L242" i="31"/>
  <c r="L238" i="31"/>
  <c r="L234" i="31"/>
  <c r="L230" i="31"/>
  <c r="L226" i="31"/>
  <c r="L222" i="31"/>
  <c r="L218" i="31"/>
  <c r="L214" i="31"/>
  <c r="L210" i="31"/>
  <c r="L206" i="31"/>
  <c r="L202" i="31"/>
  <c r="R202" i="31" s="1"/>
  <c r="L198" i="31"/>
  <c r="L194" i="31"/>
  <c r="L190" i="31"/>
  <c r="L186" i="31"/>
  <c r="L182" i="31"/>
  <c r="L178" i="31"/>
  <c r="L174" i="31"/>
  <c r="L170" i="31"/>
  <c r="R170" i="31" s="1"/>
  <c r="L166" i="31"/>
  <c r="L162" i="31"/>
  <c r="L158" i="31"/>
  <c r="L154" i="31"/>
  <c r="L150" i="31"/>
  <c r="L146" i="31"/>
  <c r="L142" i="31"/>
  <c r="L138" i="31"/>
  <c r="L134" i="31"/>
  <c r="L130" i="31"/>
  <c r="L126" i="31"/>
  <c r="L122" i="31"/>
  <c r="L118" i="31"/>
  <c r="L114" i="31"/>
  <c r="L110" i="31"/>
  <c r="L106" i="31"/>
  <c r="R106" i="31" s="1"/>
  <c r="L102" i="31"/>
  <c r="L98" i="31"/>
  <c r="L94" i="31"/>
  <c r="L90" i="31"/>
  <c r="L86" i="31"/>
  <c r="L82" i="31"/>
  <c r="L78" i="31"/>
  <c r="L74" i="31"/>
  <c r="R74" i="31" s="1"/>
  <c r="L70" i="31"/>
  <c r="L66" i="31"/>
  <c r="L62" i="31"/>
  <c r="L58" i="31"/>
  <c r="L54" i="31"/>
  <c r="L50" i="31"/>
  <c r="L46" i="31"/>
  <c r="L42" i="31"/>
  <c r="L38" i="31"/>
  <c r="L34" i="31"/>
  <c r="L161" i="31"/>
  <c r="L157" i="31"/>
  <c r="L153" i="31"/>
  <c r="L149" i="31"/>
  <c r="L145" i="31"/>
  <c r="L141" i="31"/>
  <c r="R141" i="31" s="1"/>
  <c r="L137" i="31"/>
  <c r="L133" i="31"/>
  <c r="L129" i="31"/>
  <c r="L125" i="31"/>
  <c r="L121" i="31"/>
  <c r="L117" i="31"/>
  <c r="L113" i="31"/>
  <c r="L109" i="31"/>
  <c r="R109" i="31" s="1"/>
  <c r="L105" i="31"/>
  <c r="L101" i="31"/>
  <c r="L97" i="31"/>
  <c r="L93" i="31"/>
  <c r="L89" i="31"/>
  <c r="L85" i="31"/>
  <c r="L81" i="31"/>
  <c r="L77" i="31"/>
  <c r="R77" i="31" s="1"/>
  <c r="L73" i="31"/>
  <c r="L69" i="31"/>
  <c r="L65" i="31"/>
  <c r="L61" i="31"/>
  <c r="L57" i="31"/>
  <c r="L53" i="31"/>
  <c r="L49" i="31"/>
  <c r="L45" i="31"/>
  <c r="R45" i="31" s="1"/>
  <c r="L41" i="31"/>
  <c r="L37" i="31"/>
  <c r="L33" i="31"/>
  <c r="L32" i="31"/>
  <c r="K24" i="31"/>
  <c r="W24" i="31"/>
  <c r="R18" i="31"/>
  <c r="R19" i="31" s="1"/>
  <c r="V501" i="31"/>
  <c r="V386" i="31"/>
  <c r="V258" i="31"/>
  <c r="V281" i="31"/>
  <c r="V179" i="31"/>
  <c r="V360" i="31"/>
  <c r="V141" i="31"/>
  <c r="V422" i="31"/>
  <c r="V445" i="31"/>
  <c r="V419" i="31"/>
  <c r="V260" i="31"/>
  <c r="V446" i="31"/>
  <c r="V318" i="31"/>
  <c r="V341" i="31"/>
  <c r="V213" i="31"/>
  <c r="V219" i="31"/>
  <c r="V111" i="31"/>
  <c r="V64" i="31"/>
  <c r="V215" i="31"/>
  <c r="V73" i="31"/>
  <c r="V332" i="31"/>
  <c r="V509" i="31"/>
  <c r="V266" i="31"/>
  <c r="V184" i="31"/>
  <c r="V86" i="31"/>
  <c r="V149" i="31"/>
  <c r="V433" i="31"/>
  <c r="V75" i="31"/>
  <c r="V408" i="31"/>
  <c r="V41" i="31"/>
  <c r="V528" i="31"/>
  <c r="V439" i="31"/>
  <c r="V53" i="31"/>
  <c r="V181" i="31"/>
  <c r="V393" i="31"/>
  <c r="V265" i="31"/>
  <c r="V519" i="31"/>
  <c r="V163" i="31"/>
  <c r="V492" i="31"/>
  <c r="V406" i="31"/>
  <c r="V429" i="31"/>
  <c r="V301" i="31"/>
  <c r="V192" i="31"/>
  <c r="V275" i="31"/>
  <c r="V400" i="31"/>
  <c r="V152" i="31"/>
  <c r="V161" i="31"/>
  <c r="V39" i="31"/>
  <c r="V516" i="31"/>
  <c r="V302" i="31"/>
  <c r="V208" i="31"/>
  <c r="V95" i="31"/>
  <c r="V299" i="31"/>
  <c r="V122" i="31"/>
  <c r="V176" i="31"/>
  <c r="V57" i="31"/>
  <c r="V123" i="31"/>
  <c r="V369" i="31"/>
  <c r="V280" i="31"/>
  <c r="V464" i="31"/>
  <c r="V124" i="31"/>
  <c r="V191" i="31"/>
  <c r="V426" i="31"/>
  <c r="V385" i="31"/>
  <c r="V249" i="31"/>
  <c r="V487" i="31"/>
  <c r="V147" i="31"/>
  <c r="V351" i="31"/>
  <c r="V296" i="31"/>
  <c r="V109" i="31"/>
  <c r="V420" i="31"/>
  <c r="V285" i="31"/>
  <c r="V259" i="31"/>
  <c r="V136" i="31"/>
  <c r="V531" i="31"/>
  <c r="V223" i="31"/>
  <c r="V500" i="31"/>
  <c r="V437" i="31"/>
  <c r="V283" i="31"/>
  <c r="V416" i="31"/>
  <c r="V160" i="31"/>
  <c r="V169" i="31"/>
  <c r="V44" i="31"/>
  <c r="V244" i="31"/>
  <c r="V417" i="31"/>
  <c r="V59" i="31"/>
  <c r="V376" i="31"/>
  <c r="V305" i="31"/>
  <c r="V156" i="31"/>
  <c r="V311" i="31"/>
  <c r="V60" i="31"/>
  <c r="V449" i="31"/>
  <c r="V503" i="31"/>
  <c r="V453" i="31"/>
  <c r="V233" i="31"/>
  <c r="V454" i="31"/>
  <c r="V335" i="31"/>
  <c r="V158" i="31"/>
  <c r="V489" i="31"/>
  <c r="V374" i="31"/>
  <c r="V397" i="31"/>
  <c r="V269" i="31"/>
  <c r="V243" i="31"/>
  <c r="V336" i="31"/>
  <c r="V226" i="31"/>
  <c r="V129" i="31"/>
  <c r="V45" i="31"/>
  <c r="V513" i="31"/>
  <c r="V421" i="31"/>
  <c r="V63" i="31"/>
  <c r="V267" i="31"/>
  <c r="V90" i="31"/>
  <c r="V384" i="31"/>
  <c r="V153" i="31"/>
  <c r="V466" i="31"/>
  <c r="V248" i="31"/>
  <c r="V372" i="31"/>
  <c r="V92" i="31"/>
  <c r="V378" i="31"/>
  <c r="V247" i="31"/>
  <c r="V155" i="31"/>
  <c r="V512" i="31"/>
  <c r="V530" i="31"/>
  <c r="V322" i="31"/>
  <c r="V222" i="31"/>
  <c r="V115" i="31"/>
  <c r="V319" i="31"/>
  <c r="V77" i="31"/>
  <c r="V495" i="31"/>
  <c r="V151" i="31"/>
  <c r="V178" i="31"/>
  <c r="V304" i="31"/>
  <c r="V468" i="31"/>
  <c r="V382" i="31"/>
  <c r="V254" i="31"/>
  <c r="V405" i="31"/>
  <c r="V277" i="31"/>
  <c r="V175" i="31"/>
  <c r="V74" i="31"/>
  <c r="V128" i="31"/>
  <c r="V499" i="31"/>
  <c r="V391" i="31"/>
  <c r="V140" i="31"/>
  <c r="V279" i="31"/>
  <c r="V314" i="31"/>
  <c r="V216" i="31"/>
  <c r="V321" i="31"/>
  <c r="V201" i="31"/>
  <c r="V211" i="31"/>
  <c r="V99" i="31"/>
  <c r="V431" i="31"/>
  <c r="V456" i="31"/>
  <c r="V342" i="31"/>
  <c r="V135" i="31"/>
  <c r="V339" i="31"/>
  <c r="V162" i="31"/>
  <c r="V272" i="31"/>
  <c r="V396" i="31"/>
  <c r="V481" i="31"/>
  <c r="V389" i="31"/>
  <c r="V261" i="31"/>
  <c r="V58" i="31"/>
  <c r="V121" i="31"/>
  <c r="V455" i="31"/>
  <c r="V76" i="31"/>
  <c r="V346" i="31"/>
  <c r="V493" i="31"/>
  <c r="V70" i="31"/>
  <c r="V54" i="31"/>
  <c r="V423" i="31"/>
  <c r="V290" i="31"/>
  <c r="V415" i="31"/>
  <c r="V110" i="31"/>
  <c r="V348" i="31"/>
  <c r="V47" i="31"/>
  <c r="V326" i="31"/>
  <c r="V224" i="31"/>
  <c r="V146" i="31"/>
  <c r="V240" i="31"/>
  <c r="V364" i="31"/>
  <c r="V373" i="31"/>
  <c r="V245" i="31"/>
  <c r="V506" i="31"/>
  <c r="V347" i="31"/>
  <c r="V42" i="31"/>
  <c r="V96" i="31"/>
  <c r="V105" i="31"/>
  <c r="V394" i="31"/>
  <c r="V525" i="31"/>
  <c r="V282" i="31"/>
  <c r="V195" i="31"/>
  <c r="V486" i="31"/>
  <c r="V69" i="31"/>
  <c r="V440" i="31"/>
  <c r="V206" i="31"/>
  <c r="V108" i="31"/>
  <c r="V172" i="31"/>
  <c r="V488" i="31"/>
  <c r="V402" i="31"/>
  <c r="V190" i="31"/>
  <c r="V271" i="31"/>
  <c r="V94" i="31"/>
  <c r="V212" i="31"/>
  <c r="V196" i="31"/>
  <c r="V524" i="31"/>
  <c r="V438" i="31"/>
  <c r="V333" i="31"/>
  <c r="V130" i="31"/>
  <c r="V56" i="31"/>
  <c r="V199" i="31"/>
  <c r="V357" i="31"/>
  <c r="V474" i="31"/>
  <c r="V256" i="31"/>
  <c r="V80" i="31"/>
  <c r="V491" i="31"/>
  <c r="V89" i="31"/>
  <c r="V380" i="31"/>
  <c r="V330" i="31"/>
  <c r="V227" i="31"/>
  <c r="V461" i="31"/>
  <c r="V38" i="31"/>
  <c r="V344" i="31"/>
  <c r="V494" i="31"/>
  <c r="V32" i="31"/>
  <c r="V118" i="31"/>
  <c r="V477" i="31"/>
  <c r="T248" i="31" l="1"/>
  <c r="T413" i="31"/>
  <c r="T471" i="31"/>
  <c r="T515" i="31"/>
  <c r="U499" i="31"/>
  <c r="U45" i="31"/>
  <c r="U43" i="31"/>
  <c r="U130" i="31"/>
  <c r="U123" i="31"/>
  <c r="U94" i="31"/>
  <c r="U97" i="31"/>
  <c r="U92" i="31"/>
  <c r="U82" i="31"/>
  <c r="U151" i="31"/>
  <c r="U215" i="31"/>
  <c r="U149" i="31"/>
  <c r="U194" i="31"/>
  <c r="U189" i="31"/>
  <c r="U159" i="31"/>
  <c r="U95" i="31"/>
  <c r="U165" i="31"/>
  <c r="U283" i="31"/>
  <c r="U347" i="31"/>
  <c r="U271" i="31"/>
  <c r="U326" i="31"/>
  <c r="U244" i="31"/>
  <c r="U255" i="31"/>
  <c r="U240" i="31"/>
  <c r="U435" i="31"/>
  <c r="U237" i="31"/>
  <c r="U288" i="31"/>
  <c r="U402" i="31"/>
  <c r="U434" i="31"/>
  <c r="U381" i="31"/>
  <c r="U352" i="31"/>
  <c r="U453" i="31"/>
  <c r="U440" i="31"/>
  <c r="U501" i="31"/>
  <c r="Q18" i="31"/>
  <c r="Q19" i="31" s="1"/>
  <c r="Q21" i="31" s="1"/>
  <c r="U38" i="31"/>
  <c r="U54" i="31"/>
  <c r="U33" i="31"/>
  <c r="U49" i="31"/>
  <c r="U44" i="31"/>
  <c r="U85" i="31"/>
  <c r="U117" i="31"/>
  <c r="U88" i="31"/>
  <c r="U120" i="31"/>
  <c r="U141" i="31"/>
  <c r="U67" i="31"/>
  <c r="U99" i="31"/>
  <c r="U70" i="31"/>
  <c r="U102" i="31"/>
  <c r="U133" i="31"/>
  <c r="U62" i="31"/>
  <c r="U73" i="31"/>
  <c r="U105" i="31"/>
  <c r="U68" i="31"/>
  <c r="U100" i="31"/>
  <c r="U142" i="31"/>
  <c r="U90" i="31"/>
  <c r="U122" i="31"/>
  <c r="U192" i="31"/>
  <c r="U199" i="31"/>
  <c r="U206" i="31"/>
  <c r="U235" i="31"/>
  <c r="U79" i="31"/>
  <c r="U147" i="31"/>
  <c r="U185" i="31"/>
  <c r="U103" i="31"/>
  <c r="U164" i="31"/>
  <c r="U171" i="31"/>
  <c r="U178" i="31"/>
  <c r="U223" i="31"/>
  <c r="U230" i="31"/>
  <c r="U205" i="31"/>
  <c r="U34" i="31"/>
  <c r="U40" i="31"/>
  <c r="U77" i="31"/>
  <c r="U112" i="31"/>
  <c r="U91" i="31"/>
  <c r="U126" i="31"/>
  <c r="U65" i="31"/>
  <c r="U124" i="31"/>
  <c r="U114" i="31"/>
  <c r="U158" i="31"/>
  <c r="U231" i="31"/>
  <c r="U187" i="31"/>
  <c r="U166" i="31"/>
  <c r="U161" i="31"/>
  <c r="U146" i="31"/>
  <c r="U228" i="31"/>
  <c r="U299" i="31"/>
  <c r="U238" i="31"/>
  <c r="U233" i="31"/>
  <c r="U310" i="31"/>
  <c r="U342" i="31"/>
  <c r="U274" i="31"/>
  <c r="U234" i="31"/>
  <c r="U260" i="31"/>
  <c r="U403" i="31"/>
  <c r="U467" i="31"/>
  <c r="U324" i="31"/>
  <c r="U386" i="31"/>
  <c r="U450" i="31"/>
  <c r="U397" i="31"/>
  <c r="U249" i="31"/>
  <c r="U490" i="31"/>
  <c r="U472" i="31"/>
  <c r="U531" i="31"/>
  <c r="U477" i="31"/>
  <c r="U523" i="31"/>
  <c r="U356" i="31"/>
  <c r="U497" i="31"/>
  <c r="U50" i="31"/>
  <c r="U61" i="31"/>
  <c r="U56" i="31"/>
  <c r="U109" i="31"/>
  <c r="U55" i="31"/>
  <c r="U80" i="31"/>
  <c r="U145" i="31"/>
  <c r="U129" i="31"/>
  <c r="U59" i="31"/>
  <c r="U60" i="31"/>
  <c r="U119" i="31"/>
  <c r="U208" i="31"/>
  <c r="U169" i="31"/>
  <c r="U180" i="31"/>
  <c r="U226" i="31"/>
  <c r="U152" i="31"/>
  <c r="U219" i="31"/>
  <c r="U221" i="31"/>
  <c r="U273" i="31"/>
  <c r="U315" i="31"/>
  <c r="U331" i="31"/>
  <c r="U265" i="31"/>
  <c r="U294" i="31"/>
  <c r="U186" i="31"/>
  <c r="U276" i="31"/>
  <c r="U289" i="31"/>
  <c r="U305" i="31"/>
  <c r="U387" i="31"/>
  <c r="U419" i="31"/>
  <c r="U451" i="31"/>
  <c r="U483" i="31"/>
  <c r="U329" i="31"/>
  <c r="U366" i="31"/>
  <c r="U418" i="31"/>
  <c r="U466" i="31"/>
  <c r="U413" i="31"/>
  <c r="U333" i="31"/>
  <c r="U502" i="31"/>
  <c r="U505" i="31"/>
  <c r="U432" i="31"/>
  <c r="U449" i="31"/>
  <c r="U353" i="31"/>
  <c r="U424" i="31"/>
  <c r="U491" i="31"/>
  <c r="U200" i="31"/>
  <c r="U207" i="31"/>
  <c r="U214" i="31"/>
  <c r="U225" i="31"/>
  <c r="U138" i="31"/>
  <c r="U177" i="31"/>
  <c r="U216" i="31"/>
  <c r="U181" i="31"/>
  <c r="U258" i="31"/>
  <c r="U287" i="31"/>
  <c r="U303" i="31"/>
  <c r="U319" i="31"/>
  <c r="U335" i="31"/>
  <c r="U351" i="31"/>
  <c r="U269" i="31"/>
  <c r="U170" i="31"/>
  <c r="U241" i="31"/>
  <c r="U250" i="31"/>
  <c r="U282" i="31"/>
  <c r="U298" i="31"/>
  <c r="U314" i="31"/>
  <c r="U330" i="31"/>
  <c r="U346" i="31"/>
  <c r="U172" i="31"/>
  <c r="U224" i="31"/>
  <c r="U263" i="31"/>
  <c r="U272" i="31"/>
  <c r="U293" i="31"/>
  <c r="U309" i="31"/>
  <c r="U242" i="31"/>
  <c r="U253" i="31"/>
  <c r="U247" i="31"/>
  <c r="U279" i="31"/>
  <c r="U373" i="31"/>
  <c r="U380" i="31"/>
  <c r="U391" i="31"/>
  <c r="U407" i="31"/>
  <c r="U423" i="31"/>
  <c r="U439" i="31"/>
  <c r="U455" i="31"/>
  <c r="U471" i="31"/>
  <c r="U163" i="31"/>
  <c r="U340" i="31"/>
  <c r="U390" i="31"/>
  <c r="U406" i="31"/>
  <c r="U422" i="31"/>
  <c r="U438" i="31"/>
  <c r="U454" i="31"/>
  <c r="U470" i="31"/>
  <c r="U482" i="31"/>
  <c r="U300" i="31"/>
  <c r="U364" i="31"/>
  <c r="U379" i="31"/>
  <c r="U385" i="31"/>
  <c r="U401" i="31"/>
  <c r="U417" i="31"/>
  <c r="U292" i="31"/>
  <c r="U374" i="31"/>
  <c r="U349" i="31"/>
  <c r="U363" i="31"/>
  <c r="U388" i="31"/>
  <c r="U425" i="31"/>
  <c r="U498" i="31"/>
  <c r="U527" i="31"/>
  <c r="U420" i="31"/>
  <c r="U509" i="31"/>
  <c r="U530" i="31"/>
  <c r="U514" i="31"/>
  <c r="U266" i="31"/>
  <c r="U468" i="31"/>
  <c r="U524" i="31"/>
  <c r="U392" i="31"/>
  <c r="U448" i="31"/>
  <c r="U469" i="31"/>
  <c r="U488" i="31"/>
  <c r="U465" i="31"/>
  <c r="U304" i="31"/>
  <c r="U428" i="31"/>
  <c r="U510" i="31"/>
  <c r="U408" i="31"/>
  <c r="U517" i="31"/>
  <c r="U396" i="31"/>
  <c r="U429" i="31"/>
  <c r="U489" i="31"/>
  <c r="U521" i="31"/>
  <c r="T477" i="31"/>
  <c r="T44" i="31"/>
  <c r="T39" i="31"/>
  <c r="T128" i="31"/>
  <c r="T139" i="31"/>
  <c r="T67" i="31"/>
  <c r="T99" i="31"/>
  <c r="T46" i="31"/>
  <c r="T78" i="31"/>
  <c r="T110" i="31"/>
  <c r="T131" i="31"/>
  <c r="T58" i="31"/>
  <c r="T81" i="31"/>
  <c r="T113" i="31"/>
  <c r="T144" i="31"/>
  <c r="T84" i="31"/>
  <c r="T116" i="31"/>
  <c r="T138" i="31"/>
  <c r="T111" i="31"/>
  <c r="T101" i="31"/>
  <c r="T149" i="31"/>
  <c r="T178" i="31"/>
  <c r="T223" i="31"/>
  <c r="T164" i="31"/>
  <c r="T157" i="31"/>
  <c r="T214" i="31"/>
  <c r="T184" i="31"/>
  <c r="T222" i="31"/>
  <c r="T148" i="31"/>
  <c r="T179" i="31"/>
  <c r="T193" i="31"/>
  <c r="T156" i="31"/>
  <c r="T298" i="31"/>
  <c r="T264" i="31"/>
  <c r="T307" i="31"/>
  <c r="T418" i="31"/>
  <c r="T319" i="31"/>
  <c r="T362" i="31"/>
  <c r="T379" i="31"/>
  <c r="T433" i="31"/>
  <c r="T396" i="31"/>
  <c r="T468" i="31"/>
  <c r="T488" i="31"/>
  <c r="T501" i="31"/>
  <c r="T513" i="31"/>
  <c r="T489" i="31"/>
  <c r="T33" i="31"/>
  <c r="T49" i="31"/>
  <c r="T60" i="31"/>
  <c r="T55" i="31"/>
  <c r="T64" i="31"/>
  <c r="T96" i="31"/>
  <c r="T476" i="31"/>
  <c r="T432" i="31"/>
  <c r="T45" i="31"/>
  <c r="T40" i="31"/>
  <c r="T56" i="31"/>
  <c r="T35" i="31"/>
  <c r="T51" i="31"/>
  <c r="T88" i="31"/>
  <c r="T120" i="31"/>
  <c r="T141" i="31"/>
  <c r="T91" i="31"/>
  <c r="T123" i="31"/>
  <c r="T135" i="31"/>
  <c r="T70" i="31"/>
  <c r="T102" i="31"/>
  <c r="T133" i="31"/>
  <c r="T62" i="31"/>
  <c r="T73" i="31"/>
  <c r="T105" i="31"/>
  <c r="T38" i="31"/>
  <c r="T76" i="31"/>
  <c r="T108" i="31"/>
  <c r="T140" i="31"/>
  <c r="T71" i="31"/>
  <c r="T103" i="31"/>
  <c r="T134" i="31"/>
  <c r="T93" i="31"/>
  <c r="T125" i="31"/>
  <c r="T187" i="31"/>
  <c r="T194" i="31"/>
  <c r="T201" i="31"/>
  <c r="T226" i="31"/>
  <c r="T242" i="31"/>
  <c r="T212" i="31"/>
  <c r="T159" i="31"/>
  <c r="T166" i="31"/>
  <c r="T173" i="31"/>
  <c r="T106" i="31"/>
  <c r="T150" i="31"/>
  <c r="T168" i="31"/>
  <c r="T225" i="31"/>
  <c r="T195" i="31"/>
  <c r="T202" i="31"/>
  <c r="T209" i="31"/>
  <c r="T90" i="31"/>
  <c r="T204" i="31"/>
  <c r="T208" i="31"/>
  <c r="T181" i="31"/>
  <c r="T252" i="31"/>
  <c r="T294" i="31"/>
  <c r="T310" i="31"/>
  <c r="T326" i="31"/>
  <c r="T342" i="31"/>
  <c r="T358" i="31"/>
  <c r="T183" i="31"/>
  <c r="T250" i="31"/>
  <c r="T282" i="31"/>
  <c r="T244" i="31"/>
  <c r="T276" i="31"/>
  <c r="T289" i="31"/>
  <c r="T305" i="31"/>
  <c r="T321" i="31"/>
  <c r="T337" i="31"/>
  <c r="T353" i="31"/>
  <c r="T255" i="31"/>
  <c r="T174" i="31"/>
  <c r="T253" i="31"/>
  <c r="T284" i="31"/>
  <c r="T300" i="31"/>
  <c r="T316" i="31"/>
  <c r="T190" i="31"/>
  <c r="T266" i="31"/>
  <c r="T165" i="31"/>
  <c r="T221" i="31"/>
  <c r="T271" i="31"/>
  <c r="T339" i="31"/>
  <c r="T357" i="31"/>
  <c r="T368" i="31"/>
  <c r="T375" i="31"/>
  <c r="T382" i="31"/>
  <c r="T398" i="31"/>
  <c r="T414" i="31"/>
  <c r="T430" i="31"/>
  <c r="T446" i="31"/>
  <c r="T462" i="31"/>
  <c r="T478" i="31"/>
  <c r="T377" i="31"/>
  <c r="T397" i="31"/>
  <c r="T429" i="31"/>
  <c r="T445" i="31"/>
  <c r="T461" i="31"/>
  <c r="T260" i="31"/>
  <c r="T311" i="31"/>
  <c r="T336" i="31"/>
  <c r="T355" i="31"/>
  <c r="T206" i="31"/>
  <c r="T331" i="31"/>
  <c r="T374" i="31"/>
  <c r="T392" i="31"/>
  <c r="T408" i="31"/>
  <c r="T420" i="31"/>
  <c r="T303" i="31"/>
  <c r="T332" i="31"/>
  <c r="T365" i="31"/>
  <c r="T327" i="31"/>
  <c r="T447" i="31"/>
  <c r="T490" i="31"/>
  <c r="T403" i="31"/>
  <c r="T514" i="31"/>
  <c r="T428" i="31"/>
  <c r="T491" i="31"/>
  <c r="T315" i="31"/>
  <c r="T502" i="31"/>
  <c r="T455" i="31"/>
  <c r="T37" i="31"/>
  <c r="T53" i="31"/>
  <c r="T32" i="31"/>
  <c r="T48" i="31"/>
  <c r="T43" i="31"/>
  <c r="T59" i="31"/>
  <c r="T72" i="31"/>
  <c r="T104" i="31"/>
  <c r="T34" i="31"/>
  <c r="T75" i="31"/>
  <c r="T107" i="31"/>
  <c r="T86" i="31"/>
  <c r="T118" i="31"/>
  <c r="T89" i="31"/>
  <c r="T121" i="31"/>
  <c r="T142" i="31"/>
  <c r="T92" i="31"/>
  <c r="T124" i="31"/>
  <c r="T87" i="31"/>
  <c r="T119" i="31"/>
  <c r="T42" i="31"/>
  <c r="T77" i="31"/>
  <c r="T109" i="31"/>
  <c r="T147" i="31"/>
  <c r="T155" i="31"/>
  <c r="T162" i="31"/>
  <c r="T169" i="31"/>
  <c r="T220" i="31"/>
  <c r="T234" i="31"/>
  <c r="U473" i="31"/>
  <c r="U372" i="31"/>
  <c r="U511" i="31"/>
  <c r="U345" i="31"/>
  <c r="U46" i="31"/>
  <c r="U41" i="31"/>
  <c r="U57" i="31"/>
  <c r="U36" i="31"/>
  <c r="U52" i="31"/>
  <c r="U69" i="31"/>
  <c r="U101" i="31"/>
  <c r="U143" i="31"/>
  <c r="U72" i="31"/>
  <c r="U104" i="31"/>
  <c r="U83" i="31"/>
  <c r="U115" i="31"/>
  <c r="U135" i="31"/>
  <c r="U86" i="31"/>
  <c r="U118" i="31"/>
  <c r="U89" i="31"/>
  <c r="U121" i="31"/>
  <c r="U144" i="31"/>
  <c r="U84" i="31"/>
  <c r="U116" i="31"/>
  <c r="U74" i="31"/>
  <c r="U106" i="31"/>
  <c r="U132" i="31"/>
  <c r="U160" i="31"/>
  <c r="U167" i="31"/>
  <c r="U174" i="31"/>
  <c r="U218" i="31"/>
  <c r="U227" i="31"/>
  <c r="U243" i="31"/>
  <c r="U153" i="31"/>
  <c r="U134" i="31"/>
  <c r="U196" i="31"/>
  <c r="U203" i="31"/>
  <c r="U210" i="31"/>
  <c r="U217" i="31"/>
  <c r="U127" i="31"/>
  <c r="U173" i="31"/>
  <c r="U168" i="31"/>
  <c r="U175" i="31"/>
  <c r="U182" i="31"/>
  <c r="U111" i="31"/>
  <c r="U148" i="31"/>
  <c r="U209" i="31"/>
  <c r="U222" i="31"/>
  <c r="U213" i="31"/>
  <c r="U71" i="31"/>
  <c r="U195" i="31"/>
  <c r="U232" i="31"/>
  <c r="U275" i="31"/>
  <c r="U295" i="31"/>
  <c r="U311" i="31"/>
  <c r="U327" i="31"/>
  <c r="U343" i="31"/>
  <c r="U252" i="31"/>
  <c r="U267" i="31"/>
  <c r="U290" i="31"/>
  <c r="U306" i="31"/>
  <c r="U322" i="31"/>
  <c r="U338" i="31"/>
  <c r="U354" i="31"/>
  <c r="U236" i="31"/>
  <c r="U246" i="31"/>
  <c r="U278" i="31"/>
  <c r="U188" i="31"/>
  <c r="U257" i="31"/>
  <c r="U285" i="31"/>
  <c r="U301" i="31"/>
  <c r="U317" i="31"/>
  <c r="U204" i="31"/>
  <c r="U268" i="31"/>
  <c r="U179" i="31"/>
  <c r="U262" i="31"/>
  <c r="U344" i="31"/>
  <c r="U359" i="31"/>
  <c r="U383" i="31"/>
  <c r="U399" i="31"/>
  <c r="U415" i="31"/>
  <c r="U431" i="31"/>
  <c r="U447" i="31"/>
  <c r="U463" i="31"/>
  <c r="U479" i="31"/>
  <c r="U308" i="31"/>
  <c r="U368" i="31"/>
  <c r="U375" i="31"/>
  <c r="U382" i="31"/>
  <c r="U398" i="31"/>
  <c r="U414" i="31"/>
  <c r="U430" i="31"/>
  <c r="U446" i="31"/>
  <c r="U462" i="31"/>
  <c r="U478" i="31"/>
  <c r="U341" i="31"/>
  <c r="U370" i="31"/>
  <c r="U312" i="31"/>
  <c r="U336" i="31"/>
  <c r="U358" i="31"/>
  <c r="U393" i="31"/>
  <c r="U409" i="31"/>
  <c r="U264" i="31"/>
  <c r="U337" i="31"/>
  <c r="U251" i="31"/>
  <c r="U316" i="31"/>
  <c r="U457" i="31"/>
  <c r="U513" i="31"/>
  <c r="U332" i="31"/>
  <c r="U400" i="31"/>
  <c r="U452" i="31"/>
  <c r="U494" i="31"/>
  <c r="U526" i="31"/>
  <c r="U522" i="31"/>
  <c r="U520" i="31"/>
  <c r="U365" i="31"/>
  <c r="U412" i="31"/>
  <c r="U437" i="31"/>
  <c r="U492" i="31"/>
  <c r="U518" i="31"/>
  <c r="U367" i="31"/>
  <c r="U503" i="31"/>
  <c r="U348" i="31"/>
  <c r="U404" i="31"/>
  <c r="U433" i="31"/>
  <c r="U476" i="31"/>
  <c r="U516" i="31"/>
  <c r="U484" i="31"/>
  <c r="U416" i="31"/>
  <c r="U460" i="31"/>
  <c r="U480" i="31"/>
  <c r="U493" i="31"/>
  <c r="U461" i="31"/>
  <c r="U506" i="31"/>
  <c r="U487" i="31"/>
  <c r="S327" i="31"/>
  <c r="U500" i="31"/>
  <c r="U512" i="31"/>
  <c r="U42" i="31"/>
  <c r="U37" i="31"/>
  <c r="U53" i="31"/>
  <c r="U32" i="31"/>
  <c r="U48" i="31"/>
  <c r="U93" i="31"/>
  <c r="U125" i="31"/>
  <c r="U64" i="31"/>
  <c r="U96" i="31"/>
  <c r="U128" i="31"/>
  <c r="U139" i="31"/>
  <c r="U35" i="31"/>
  <c r="U75" i="31"/>
  <c r="U107" i="31"/>
  <c r="U137" i="31"/>
  <c r="U47" i="31"/>
  <c r="U78" i="31"/>
  <c r="U110" i="31"/>
  <c r="U131" i="31"/>
  <c r="U58" i="31"/>
  <c r="U81" i="31"/>
  <c r="U113" i="31"/>
  <c r="U39" i="31"/>
  <c r="U76" i="31"/>
  <c r="U108" i="31"/>
  <c r="U140" i="31"/>
  <c r="U66" i="31"/>
  <c r="U98" i="31"/>
  <c r="U176" i="31"/>
  <c r="U183" i="31"/>
  <c r="U190" i="31"/>
  <c r="U239" i="31"/>
  <c r="U51" i="31"/>
  <c r="U201" i="31"/>
  <c r="U155" i="31"/>
  <c r="U162" i="31"/>
  <c r="U212" i="31"/>
  <c r="U220" i="31"/>
  <c r="U63" i="31"/>
  <c r="U136" i="31"/>
  <c r="U157" i="31"/>
  <c r="U87" i="31"/>
  <c r="U184" i="31"/>
  <c r="U191" i="31"/>
  <c r="U198" i="31"/>
  <c r="U229" i="31"/>
  <c r="U150" i="31"/>
  <c r="U193" i="31"/>
  <c r="U197" i="31"/>
  <c r="U256" i="31"/>
  <c r="U291" i="31"/>
  <c r="U307" i="31"/>
  <c r="U323" i="31"/>
  <c r="U339" i="31"/>
  <c r="U355" i="31"/>
  <c r="U154" i="31"/>
  <c r="U211" i="31"/>
  <c r="U254" i="31"/>
  <c r="U156" i="31"/>
  <c r="U248" i="31"/>
  <c r="U280" i="31"/>
  <c r="U286" i="31"/>
  <c r="U302" i="31"/>
  <c r="U318" i="31"/>
  <c r="U334" i="31"/>
  <c r="U350" i="31"/>
  <c r="U261" i="31"/>
  <c r="U202" i="31"/>
  <c r="U259" i="31"/>
  <c r="U297" i="31"/>
  <c r="U313" i="31"/>
  <c r="U270" i="31"/>
  <c r="U245" i="31"/>
  <c r="U277" i="31"/>
  <c r="U296" i="31"/>
  <c r="U328" i="31"/>
  <c r="U371" i="31"/>
  <c r="U395" i="31"/>
  <c r="U411" i="31"/>
  <c r="U427" i="31"/>
  <c r="U443" i="31"/>
  <c r="U459" i="31"/>
  <c r="U475" i="31"/>
  <c r="U357" i="31"/>
  <c r="U377" i="31"/>
  <c r="U394" i="31"/>
  <c r="U410" i="31"/>
  <c r="U426" i="31"/>
  <c r="U442" i="31"/>
  <c r="U458" i="31"/>
  <c r="U474" i="31"/>
  <c r="U325" i="31"/>
  <c r="U362" i="31"/>
  <c r="U320" i="31"/>
  <c r="U360" i="31"/>
  <c r="U389" i="31"/>
  <c r="U405" i="31"/>
  <c r="U281" i="31"/>
  <c r="U321" i="31"/>
  <c r="U284" i="31"/>
  <c r="U361" i="31"/>
  <c r="U378" i="31"/>
  <c r="U376" i="31"/>
  <c r="U441" i="31"/>
  <c r="U485" i="31"/>
  <c r="U515" i="31"/>
  <c r="U436" i="31"/>
  <c r="U496" i="31"/>
  <c r="U528" i="31"/>
  <c r="U507" i="31"/>
  <c r="U481" i="31"/>
  <c r="U519" i="31"/>
  <c r="U421" i="31"/>
  <c r="U529" i="31"/>
  <c r="U464" i="31"/>
  <c r="U486" i="31"/>
  <c r="U456" i="31"/>
  <c r="U369" i="31"/>
  <c r="U504" i="31"/>
  <c r="U384" i="31"/>
  <c r="U444" i="31"/>
  <c r="U495" i="31"/>
  <c r="U525" i="31"/>
  <c r="U445" i="31"/>
  <c r="U508" i="31"/>
  <c r="S522" i="31"/>
  <c r="S75" i="31"/>
  <c r="S107" i="31"/>
  <c r="S89" i="31"/>
  <c r="S92" i="31"/>
  <c r="S95" i="31"/>
  <c r="S127" i="31"/>
  <c r="S132" i="31"/>
  <c r="S80" i="31"/>
  <c r="S148" i="31"/>
  <c r="S223" i="31"/>
  <c r="S309" i="31"/>
  <c r="S325" i="31"/>
  <c r="S341" i="31"/>
  <c r="S272" i="31"/>
  <c r="S288" i="31"/>
  <c r="S176" i="31"/>
  <c r="S238" i="31"/>
  <c r="S254" i="31"/>
  <c r="S413" i="31"/>
  <c r="S477" i="31"/>
  <c r="S428" i="31"/>
  <c r="S447" i="31"/>
  <c r="S488" i="31"/>
  <c r="S524" i="31"/>
  <c r="S499" i="31"/>
  <c r="S487" i="31"/>
  <c r="S322" i="31"/>
  <c r="S511" i="31"/>
  <c r="S520" i="31"/>
  <c r="S409" i="31"/>
  <c r="S381" i="31"/>
  <c r="S397" i="31"/>
  <c r="S471" i="31"/>
  <c r="S390" i="31"/>
  <c r="S40" i="31"/>
  <c r="S56" i="31"/>
  <c r="S35" i="31"/>
  <c r="S51" i="31"/>
  <c r="S46" i="31"/>
  <c r="S67" i="31"/>
  <c r="S99" i="31"/>
  <c r="S70" i="31"/>
  <c r="S102" i="31"/>
  <c r="S57" i="31"/>
  <c r="S81" i="31"/>
  <c r="S113" i="31"/>
  <c r="S144" i="31"/>
  <c r="S84" i="31"/>
  <c r="S116" i="31"/>
  <c r="S138" i="31"/>
  <c r="S87" i="31"/>
  <c r="S119" i="31"/>
  <c r="S82" i="31"/>
  <c r="S114" i="31"/>
  <c r="S145" i="31"/>
  <c r="S72" i="31"/>
  <c r="S104" i="31"/>
  <c r="S166" i="31"/>
  <c r="S173" i="31"/>
  <c r="S44" i="31"/>
  <c r="S55" i="31"/>
  <c r="S90" i="31"/>
  <c r="S122" i="31"/>
  <c r="S53" i="31"/>
  <c r="S207" i="31"/>
  <c r="S150" i="31"/>
  <c r="S109" i="31"/>
  <c r="S69" i="31"/>
  <c r="S203" i="31"/>
  <c r="S248" i="31"/>
  <c r="S236" i="31"/>
  <c r="S259" i="31"/>
  <c r="S304" i="31"/>
  <c r="S320" i="31"/>
  <c r="S336" i="31"/>
  <c r="S352" i="31"/>
  <c r="S253" i="31"/>
  <c r="S226" i="31"/>
  <c r="S262" i="31"/>
  <c r="S283" i="31"/>
  <c r="S299" i="31"/>
  <c r="S315" i="31"/>
  <c r="S275" i="31"/>
  <c r="S208" i="31"/>
  <c r="S269" i="31"/>
  <c r="S444" i="31"/>
  <c r="S331" i="31"/>
  <c r="S363" i="31"/>
  <c r="S442" i="31"/>
  <c r="S470" i="31"/>
  <c r="S500" i="31"/>
  <c r="S451" i="31"/>
  <c r="S461" i="31"/>
  <c r="S423" i="31"/>
  <c r="S454" i="31"/>
  <c r="S407" i="31"/>
  <c r="S510" i="31"/>
  <c r="O18" i="31"/>
  <c r="O19" i="31" s="1"/>
  <c r="S36" i="31"/>
  <c r="S52" i="31"/>
  <c r="S47" i="31"/>
  <c r="S63" i="31"/>
  <c r="S42" i="31"/>
  <c r="S58" i="31"/>
  <c r="S91" i="31"/>
  <c r="S123" i="31"/>
  <c r="S133" i="31"/>
  <c r="S94" i="31"/>
  <c r="S126" i="31"/>
  <c r="S147" i="31"/>
  <c r="S62" i="31"/>
  <c r="S73" i="31"/>
  <c r="S105" i="31"/>
  <c r="S37" i="31"/>
  <c r="S76" i="31"/>
  <c r="S108" i="31"/>
  <c r="S140" i="31"/>
  <c r="S49" i="31"/>
  <c r="S79" i="31"/>
  <c r="S111" i="31"/>
  <c r="S134" i="31"/>
  <c r="S450" i="31"/>
  <c r="S491" i="31"/>
  <c r="S507" i="31"/>
  <c r="S429" i="31"/>
  <c r="S39" i="31"/>
  <c r="S34" i="31"/>
  <c r="S50" i="31"/>
  <c r="S33" i="31"/>
  <c r="S45" i="31"/>
  <c r="S78" i="31"/>
  <c r="S110" i="31"/>
  <c r="S131" i="31"/>
  <c r="S121" i="31"/>
  <c r="S142" i="31"/>
  <c r="S124" i="31"/>
  <c r="S112" i="31"/>
  <c r="S157" i="31"/>
  <c r="S164" i="31"/>
  <c r="S214" i="31"/>
  <c r="S241" i="31"/>
  <c r="S222" i="31"/>
  <c r="S186" i="31"/>
  <c r="S193" i="31"/>
  <c r="S200" i="31"/>
  <c r="S85" i="31"/>
  <c r="S163" i="31"/>
  <c r="S158" i="31"/>
  <c r="S165" i="31"/>
  <c r="S172" i="31"/>
  <c r="S199" i="31"/>
  <c r="S141" i="31"/>
  <c r="S220" i="31"/>
  <c r="S280" i="31"/>
  <c r="S293" i="31"/>
  <c r="S357" i="31"/>
  <c r="S169" i="31"/>
  <c r="S230" i="31"/>
  <c r="S242" i="31"/>
  <c r="S160" i="31"/>
  <c r="S151" i="31"/>
  <c r="S334" i="31"/>
  <c r="S366" i="31"/>
  <c r="S445" i="31"/>
  <c r="S360" i="31"/>
  <c r="S372" i="31"/>
  <c r="S396" i="31"/>
  <c r="S412" i="31"/>
  <c r="S460" i="31"/>
  <c r="S476" i="31"/>
  <c r="S243" i="31"/>
  <c r="S326" i="31"/>
  <c r="S391" i="31"/>
  <c r="S361" i="31"/>
  <c r="S512" i="31"/>
  <c r="S529" i="31"/>
  <c r="S494" i="31"/>
  <c r="S486" i="31"/>
  <c r="S517" i="31"/>
  <c r="S354" i="31"/>
  <c r="S427" i="31"/>
  <c r="S446" i="31"/>
  <c r="S367" i="31"/>
  <c r="P20" i="31"/>
  <c r="P21" i="31"/>
  <c r="S180" i="31"/>
  <c r="S237" i="31"/>
  <c r="S101" i="31"/>
  <c r="S191" i="31"/>
  <c r="S225" i="31"/>
  <c r="S125" i="31"/>
  <c r="S152" i="31"/>
  <c r="S202" i="31"/>
  <c r="S209" i="31"/>
  <c r="S216" i="31"/>
  <c r="S232" i="31"/>
  <c r="S211" i="31"/>
  <c r="S128" i="31"/>
  <c r="S174" i="31"/>
  <c r="S181" i="31"/>
  <c r="S188" i="31"/>
  <c r="S218" i="31"/>
  <c r="S227" i="31"/>
  <c r="S146" i="31"/>
  <c r="S183" i="31"/>
  <c r="S187" i="31"/>
  <c r="S263" i="31"/>
  <c r="S289" i="31"/>
  <c r="S305" i="31"/>
  <c r="S321" i="31"/>
  <c r="S337" i="31"/>
  <c r="S353" i="31"/>
  <c r="S261" i="31"/>
  <c r="S185" i="31"/>
  <c r="S255" i="31"/>
  <c r="S284" i="31"/>
  <c r="S300" i="31"/>
  <c r="S316" i="31"/>
  <c r="S332" i="31"/>
  <c r="S348" i="31"/>
  <c r="S234" i="31"/>
  <c r="S266" i="31"/>
  <c r="S231" i="31"/>
  <c r="S264" i="31"/>
  <c r="S295" i="31"/>
  <c r="S311" i="31"/>
  <c r="S245" i="31"/>
  <c r="S277" i="31"/>
  <c r="S250" i="31"/>
  <c r="S282" i="31"/>
  <c r="S271" i="31"/>
  <c r="S318" i="31"/>
  <c r="S393" i="31"/>
  <c r="S425" i="31"/>
  <c r="S441" i="31"/>
  <c r="S457" i="31"/>
  <c r="S473" i="31"/>
  <c r="S298" i="31"/>
  <c r="S351" i="31"/>
  <c r="S362" i="31"/>
  <c r="S346" i="31"/>
  <c r="S374" i="31"/>
  <c r="S392" i="31"/>
  <c r="S408" i="31"/>
  <c r="S424" i="31"/>
  <c r="S440" i="31"/>
  <c r="S456" i="31"/>
  <c r="S472" i="31"/>
  <c r="S484" i="31"/>
  <c r="S302" i="31"/>
  <c r="S356" i="31"/>
  <c r="S365" i="31"/>
  <c r="S387" i="31"/>
  <c r="S403" i="31"/>
  <c r="S380" i="31"/>
  <c r="S306" i="31"/>
  <c r="S368" i="31"/>
  <c r="S431" i="31"/>
  <c r="S490" i="31"/>
  <c r="S523" i="31"/>
  <c r="S426" i="31"/>
  <c r="S501" i="31"/>
  <c r="S402" i="31"/>
  <c r="S531" i="31"/>
  <c r="S394" i="31"/>
  <c r="S489" i="31"/>
  <c r="S434" i="31"/>
  <c r="S502" i="31"/>
  <c r="S513" i="31"/>
  <c r="S475" i="31"/>
  <c r="S74" i="31"/>
  <c r="S106" i="31"/>
  <c r="S64" i="31"/>
  <c r="S96" i="31"/>
  <c r="S41" i="31"/>
  <c r="S182" i="31"/>
  <c r="S189" i="31"/>
  <c r="S196" i="31"/>
  <c r="S233" i="31"/>
  <c r="S175" i="31"/>
  <c r="S60" i="31"/>
  <c r="S154" i="31"/>
  <c r="S161" i="31"/>
  <c r="S168" i="31"/>
  <c r="S228" i="31"/>
  <c r="S195" i="31"/>
  <c r="S137" i="31"/>
  <c r="S190" i="31"/>
  <c r="S197" i="31"/>
  <c r="S204" i="31"/>
  <c r="S221" i="31"/>
  <c r="S167" i="31"/>
  <c r="S117" i="31"/>
  <c r="S171" i="31"/>
  <c r="S265" i="31"/>
  <c r="S285" i="31"/>
  <c r="S301" i="31"/>
  <c r="S317" i="31"/>
  <c r="S333" i="31"/>
  <c r="S349" i="31"/>
  <c r="S93" i="31"/>
  <c r="S274" i="31"/>
  <c r="S257" i="31"/>
  <c r="S296" i="31"/>
  <c r="S312" i="31"/>
  <c r="S328" i="31"/>
  <c r="S344" i="31"/>
  <c r="S201" i="31"/>
  <c r="S268" i="31"/>
  <c r="S247" i="31"/>
  <c r="S279" i="31"/>
  <c r="S291" i="31"/>
  <c r="S307" i="31"/>
  <c r="S258" i="31"/>
  <c r="S252" i="31"/>
  <c r="S149" i="31"/>
  <c r="S286" i="31"/>
  <c r="S370" i="31"/>
  <c r="S377" i="31"/>
  <c r="S389" i="31"/>
  <c r="S405" i="31"/>
  <c r="S421" i="31"/>
  <c r="S437" i="31"/>
  <c r="S453" i="31"/>
  <c r="S469" i="31"/>
  <c r="S485" i="31"/>
  <c r="S256" i="31"/>
  <c r="S335" i="31"/>
  <c r="S355" i="31"/>
  <c r="S178" i="31"/>
  <c r="S330" i="31"/>
  <c r="S388" i="31"/>
  <c r="S404" i="31"/>
  <c r="S420" i="31"/>
  <c r="S436" i="31"/>
  <c r="S452" i="31"/>
  <c r="S468" i="31"/>
  <c r="S358" i="31"/>
  <c r="S369" i="31"/>
  <c r="S383" i="31"/>
  <c r="S399" i="31"/>
  <c r="S415" i="31"/>
  <c r="S314" i="31"/>
  <c r="S339" i="31"/>
  <c r="S410" i="31"/>
  <c r="S479" i="31"/>
  <c r="S503" i="31"/>
  <c r="S519" i="31"/>
  <c r="S462" i="31"/>
  <c r="S509" i="31"/>
  <c r="S459" i="31"/>
  <c r="S438" i="31"/>
  <c r="S419" i="31"/>
  <c r="S455" i="31"/>
  <c r="S418" i="31"/>
  <c r="S496" i="31"/>
  <c r="S32" i="31"/>
  <c r="S48" i="31"/>
  <c r="S43" i="31"/>
  <c r="S59" i="31"/>
  <c r="S38" i="31"/>
  <c r="S54" i="31"/>
  <c r="S61" i="31"/>
  <c r="S83" i="31"/>
  <c r="S115" i="31"/>
  <c r="S135" i="31"/>
  <c r="S86" i="31"/>
  <c r="S118" i="31"/>
  <c r="S65" i="31"/>
  <c r="S97" i="31"/>
  <c r="S129" i="31"/>
  <c r="S68" i="31"/>
  <c r="S100" i="31"/>
  <c r="S71" i="31"/>
  <c r="S103" i="31"/>
  <c r="S136" i="31"/>
  <c r="S66" i="31"/>
  <c r="S98" i="31"/>
  <c r="S130" i="31"/>
  <c r="S88" i="31"/>
  <c r="S120" i="31"/>
  <c r="S77" i="31"/>
  <c r="S198" i="31"/>
  <c r="S205" i="31"/>
  <c r="S212" i="31"/>
  <c r="S229" i="31"/>
  <c r="S143" i="31"/>
  <c r="S159" i="31"/>
  <c r="S219" i="31"/>
  <c r="S170" i="31"/>
  <c r="S177" i="31"/>
  <c r="S184" i="31"/>
  <c r="S179" i="31"/>
  <c r="S156" i="31"/>
  <c r="S206" i="31"/>
  <c r="S213" i="31"/>
  <c r="S224" i="31"/>
  <c r="S215" i="31"/>
  <c r="S155" i="31"/>
  <c r="S217" i="31"/>
  <c r="S153" i="31"/>
  <c r="S210" i="31"/>
  <c r="S246" i="31"/>
  <c r="S278" i="31"/>
  <c r="S297" i="31"/>
  <c r="S313" i="31"/>
  <c r="S329" i="31"/>
  <c r="S345" i="31"/>
  <c r="S244" i="31"/>
  <c r="S276" i="31"/>
  <c r="S239" i="31"/>
  <c r="S270" i="31"/>
  <c r="S292" i="31"/>
  <c r="S308" i="31"/>
  <c r="S324" i="31"/>
  <c r="S340" i="31"/>
  <c r="S251" i="31"/>
  <c r="S139" i="31"/>
  <c r="S249" i="31"/>
  <c r="S281" i="31"/>
  <c r="S287" i="31"/>
  <c r="S303" i="31"/>
  <c r="S162" i="31"/>
  <c r="S240" i="31"/>
  <c r="S260" i="31"/>
  <c r="S194" i="31"/>
  <c r="S267" i="31"/>
  <c r="S235" i="31"/>
  <c r="S350" i="31"/>
  <c r="S364" i="31"/>
  <c r="S379" i="31"/>
  <c r="S385" i="31"/>
  <c r="S401" i="31"/>
  <c r="S417" i="31"/>
  <c r="S433" i="31"/>
  <c r="S449" i="31"/>
  <c r="S465" i="31"/>
  <c r="S481" i="31"/>
  <c r="S273" i="31"/>
  <c r="S319" i="31"/>
  <c r="S310" i="31"/>
  <c r="S384" i="31"/>
  <c r="S400" i="31"/>
  <c r="S416" i="31"/>
  <c r="S432" i="31"/>
  <c r="S448" i="31"/>
  <c r="S464" i="31"/>
  <c r="S480" i="31"/>
  <c r="S192" i="31"/>
  <c r="S290" i="31"/>
  <c r="S347" i="31"/>
  <c r="S376" i="31"/>
  <c r="S342" i="31"/>
  <c r="S371" i="31"/>
  <c r="S378" i="31"/>
  <c r="S395" i="31"/>
  <c r="S411" i="31"/>
  <c r="S343" i="31"/>
  <c r="S359" i="31"/>
  <c r="S323" i="31"/>
  <c r="S463" i="31"/>
  <c r="S505" i="31"/>
  <c r="S482" i="31"/>
  <c r="S527" i="31"/>
  <c r="S530" i="31"/>
  <c r="S497" i="31"/>
  <c r="S382" i="31"/>
  <c r="S508" i="31"/>
  <c r="S478" i="31"/>
  <c r="S467" i="31"/>
  <c r="S498" i="31"/>
  <c r="R21" i="31"/>
  <c r="R20" i="31"/>
  <c r="S398" i="31"/>
  <c r="S495" i="31"/>
  <c r="S430" i="31"/>
  <c r="S338" i="31"/>
  <c r="S294" i="31"/>
  <c r="S406" i="31"/>
  <c r="S435" i="31"/>
  <c r="S474" i="31"/>
  <c r="S516" i="31"/>
  <c r="S514" i="31"/>
  <c r="S492" i="31"/>
  <c r="S414" i="31"/>
  <c r="S493" i="31"/>
  <c r="S525" i="31"/>
  <c r="S515" i="31"/>
  <c r="S458" i="31"/>
  <c r="S518" i="31"/>
  <c r="S443" i="31"/>
  <c r="S483" i="31"/>
  <c r="S422" i="31"/>
  <c r="S521" i="31"/>
  <c r="R33" i="31"/>
  <c r="R65" i="31"/>
  <c r="R97" i="31"/>
  <c r="R129" i="31"/>
  <c r="R161" i="31"/>
  <c r="R62" i="31"/>
  <c r="R94" i="31"/>
  <c r="R126" i="31"/>
  <c r="R158" i="31"/>
  <c r="R190" i="31"/>
  <c r="R222" i="31"/>
  <c r="R254" i="31"/>
  <c r="R55" i="31"/>
  <c r="R87" i="31"/>
  <c r="R119" i="31"/>
  <c r="R151" i="31"/>
  <c r="R183" i="31"/>
  <c r="R215" i="31"/>
  <c r="R247" i="31"/>
  <c r="R164" i="31"/>
  <c r="R283" i="31"/>
  <c r="R347" i="31"/>
  <c r="R421" i="31"/>
  <c r="S504" i="31"/>
  <c r="S373" i="31"/>
  <c r="S528" i="31"/>
  <c r="S526" i="31"/>
  <c r="S439" i="31"/>
  <c r="S506" i="31"/>
  <c r="S466" i="31"/>
  <c r="S386" i="31"/>
  <c r="S375" i="31"/>
  <c r="T314" i="31"/>
  <c r="T346" i="31"/>
  <c r="T280" i="31"/>
  <c r="T309" i="31"/>
  <c r="T341" i="31"/>
  <c r="T274" i="31"/>
  <c r="T304" i="31"/>
  <c r="T231" i="31"/>
  <c r="T402" i="31"/>
  <c r="T434" i="31"/>
  <c r="T466" i="31"/>
  <c r="T324" i="31"/>
  <c r="T275" i="31"/>
  <c r="T372" i="31"/>
  <c r="T385" i="31"/>
  <c r="T417" i="31"/>
  <c r="T449" i="31"/>
  <c r="T352" i="31"/>
  <c r="T381" i="31"/>
  <c r="T412" i="31"/>
  <c r="T348" i="31"/>
  <c r="T328" i="31"/>
  <c r="T509" i="31"/>
  <c r="T530" i="31"/>
  <c r="T463" i="31"/>
  <c r="T520" i="31"/>
  <c r="T391" i="31"/>
  <c r="T448" i="31"/>
  <c r="T283" i="31"/>
  <c r="T427" i="31"/>
  <c r="T499" i="31"/>
  <c r="T383" i="31"/>
  <c r="T444" i="31"/>
  <c r="T508" i="31"/>
  <c r="T435" i="31"/>
  <c r="T399" i="31"/>
  <c r="T452" i="31"/>
  <c r="T511" i="31"/>
  <c r="T472" i="31"/>
  <c r="T522" i="31"/>
  <c r="T516" i="31"/>
  <c r="T525" i="31"/>
  <c r="T343" i="31"/>
  <c r="T510" i="31"/>
  <c r="T407" i="31"/>
  <c r="T456" i="31"/>
  <c r="T129" i="31"/>
  <c r="T100" i="31"/>
  <c r="T95" i="31"/>
  <c r="T136" i="31"/>
  <c r="T85" i="31"/>
  <c r="T153" i="31"/>
  <c r="T210" i="31"/>
  <c r="T238" i="31"/>
  <c r="T122" i="31"/>
  <c r="T217" i="31"/>
  <c r="T175" i="31"/>
  <c r="T189" i="31"/>
  <c r="T233" i="31"/>
  <c r="T152" i="31"/>
  <c r="T66" i="31"/>
  <c r="T154" i="31"/>
  <c r="T211" i="31"/>
  <c r="T228" i="31"/>
  <c r="T188" i="31"/>
  <c r="T151" i="31"/>
  <c r="T192" i="31"/>
  <c r="T306" i="31"/>
  <c r="T338" i="31"/>
  <c r="T241" i="31"/>
  <c r="T263" i="31"/>
  <c r="T114" i="31"/>
  <c r="T236" i="31"/>
  <c r="T278" i="31"/>
  <c r="T301" i="31"/>
  <c r="T333" i="31"/>
  <c r="T257" i="31"/>
  <c r="T268" i="31"/>
  <c r="T296" i="31"/>
  <c r="T237" i="31"/>
  <c r="T279" i="31"/>
  <c r="T232" i="31"/>
  <c r="T273" i="31"/>
  <c r="T394" i="31"/>
  <c r="T426" i="31"/>
  <c r="T458" i="31"/>
  <c r="T364" i="31"/>
  <c r="T299" i="31"/>
  <c r="T351" i="31"/>
  <c r="T409" i="31"/>
  <c r="T441" i="31"/>
  <c r="T473" i="31"/>
  <c r="T485" i="31"/>
  <c r="T320" i="31"/>
  <c r="T245" i="31"/>
  <c r="T404" i="31"/>
  <c r="T356" i="31"/>
  <c r="T373" i="31"/>
  <c r="T492" i="31"/>
  <c r="T431" i="31"/>
  <c r="T475" i="31"/>
  <c r="T505" i="31"/>
  <c r="T521" i="31"/>
  <c r="T480" i="31"/>
  <c r="T493" i="31"/>
  <c r="T371" i="31"/>
  <c r="T439" i="31"/>
  <c r="T504" i="31"/>
  <c r="T451" i="31"/>
  <c r="T517" i="31"/>
  <c r="T180" i="31"/>
  <c r="T143" i="31"/>
  <c r="T191" i="31"/>
  <c r="T205" i="31"/>
  <c r="T200" i="31"/>
  <c r="T170" i="31"/>
  <c r="T224" i="31"/>
  <c r="T267" i="31"/>
  <c r="T286" i="31"/>
  <c r="T318" i="31"/>
  <c r="T350" i="31"/>
  <c r="T265" i="31"/>
  <c r="T259" i="31"/>
  <c r="T313" i="31"/>
  <c r="T345" i="31"/>
  <c r="T158" i="31"/>
  <c r="T239" i="31"/>
  <c r="T270" i="31"/>
  <c r="T308" i="31"/>
  <c r="T281" i="31"/>
  <c r="T235" i="31"/>
  <c r="T256" i="31"/>
  <c r="T406" i="31"/>
  <c r="T438" i="31"/>
  <c r="T470" i="31"/>
  <c r="T340" i="31"/>
  <c r="T366" i="31"/>
  <c r="T360" i="31"/>
  <c r="T389" i="31"/>
  <c r="T421" i="31"/>
  <c r="T453" i="31"/>
  <c r="T262" i="31"/>
  <c r="T384" i="31"/>
  <c r="T416" i="31"/>
  <c r="T344" i="31"/>
  <c r="T419" i="31"/>
  <c r="T494" i="31"/>
  <c r="T531" i="31"/>
  <c r="T363" i="31"/>
  <c r="T507" i="31"/>
  <c r="T464" i="31"/>
  <c r="T443" i="31"/>
  <c r="T415" i="31"/>
  <c r="T460" i="31"/>
  <c r="T495" i="31"/>
  <c r="T527" i="31"/>
  <c r="T484" i="31"/>
  <c r="T506" i="31"/>
  <c r="T424" i="31"/>
  <c r="T519" i="31"/>
  <c r="T496" i="31"/>
  <c r="T50" i="31"/>
  <c r="T79" i="31"/>
  <c r="T69" i="31"/>
  <c r="T98" i="31"/>
  <c r="T171" i="31"/>
  <c r="T185" i="31"/>
  <c r="T230" i="31"/>
  <c r="T207" i="31"/>
  <c r="T186" i="31"/>
  <c r="T74" i="31"/>
  <c r="T160" i="31"/>
  <c r="T167" i="31"/>
  <c r="T269" i="31"/>
  <c r="T330" i="31"/>
  <c r="T261" i="31"/>
  <c r="T293" i="31"/>
  <c r="T325" i="31"/>
  <c r="T251" i="31"/>
  <c r="T288" i="31"/>
  <c r="T258" i="31"/>
  <c r="T386" i="31"/>
  <c r="T450" i="31"/>
  <c r="T482" i="31"/>
  <c r="T287" i="31"/>
  <c r="T401" i="31"/>
  <c r="T465" i="31"/>
  <c r="T291" i="31"/>
  <c r="T347" i="31"/>
  <c r="T295" i="31"/>
  <c r="T227" i="31"/>
  <c r="T378" i="31"/>
  <c r="T387" i="31"/>
  <c r="T523" i="31"/>
  <c r="T512" i="31"/>
  <c r="T395" i="31"/>
  <c r="T500" i="31"/>
  <c r="T82" i="31"/>
  <c r="T198" i="31"/>
  <c r="T229" i="31"/>
  <c r="T219" i="31"/>
  <c r="T145" i="31"/>
  <c r="T163" i="31"/>
  <c r="T177" i="31"/>
  <c r="T130" i="31"/>
  <c r="T172" i="31"/>
  <c r="T132" i="31"/>
  <c r="T176" i="31"/>
  <c r="T302" i="31"/>
  <c r="T334" i="31"/>
  <c r="T213" i="31"/>
  <c r="T297" i="31"/>
  <c r="T329" i="31"/>
  <c r="T215" i="31"/>
  <c r="T272" i="31"/>
  <c r="T292" i="31"/>
  <c r="T218" i="31"/>
  <c r="T249" i="31"/>
  <c r="T390" i="31"/>
  <c r="T422" i="31"/>
  <c r="T454" i="31"/>
  <c r="T486" i="31"/>
  <c r="T240" i="31"/>
  <c r="T335" i="31"/>
  <c r="T370" i="31"/>
  <c r="T405" i="31"/>
  <c r="T437" i="31"/>
  <c r="T469" i="31"/>
  <c r="T400" i="31"/>
  <c r="T369" i="31"/>
  <c r="T526" i="31"/>
  <c r="T498" i="31"/>
  <c r="T411" i="31"/>
  <c r="T529" i="31"/>
  <c r="T380" i="31"/>
  <c r="T518" i="31"/>
  <c r="T528" i="31"/>
  <c r="T497" i="31"/>
  <c r="T483" i="31"/>
  <c r="T423" i="31"/>
  <c r="T487" i="31"/>
  <c r="R481" i="31"/>
  <c r="R197" i="31"/>
  <c r="R360" i="31"/>
  <c r="R477" i="31"/>
  <c r="R184" i="31"/>
  <c r="R348" i="31"/>
  <c r="R510" i="31"/>
  <c r="R112" i="31"/>
  <c r="R330" i="31"/>
  <c r="R422" i="31"/>
  <c r="R60" i="31"/>
  <c r="R299" i="31"/>
  <c r="R467" i="31"/>
  <c r="R237" i="31"/>
  <c r="R375" i="31"/>
  <c r="R459" i="31"/>
  <c r="R209" i="31"/>
  <c r="R400" i="31"/>
  <c r="R464" i="31"/>
  <c r="R528" i="31"/>
  <c r="R275" i="31"/>
  <c r="R296" i="31"/>
  <c r="R409" i="31"/>
  <c r="R224" i="31"/>
  <c r="R284" i="31"/>
  <c r="R446" i="31"/>
  <c r="R124" i="31"/>
  <c r="R266" i="31"/>
  <c r="R382" i="31"/>
  <c r="R490" i="31"/>
  <c r="R204" i="31"/>
  <c r="R363" i="31"/>
  <c r="R56" i="31"/>
  <c r="R312" i="31"/>
  <c r="R407" i="31"/>
  <c r="R300" i="31"/>
  <c r="R295" i="31"/>
  <c r="R359" i="31"/>
  <c r="R432" i="31"/>
  <c r="R496" i="31"/>
  <c r="R516" i="31"/>
  <c r="R298" i="31"/>
  <c r="R39" i="31"/>
  <c r="R178" i="31"/>
  <c r="N18" i="31"/>
  <c r="N19" i="31" s="1"/>
  <c r="R344" i="31"/>
  <c r="R199" i="31"/>
  <c r="R104" i="31"/>
  <c r="R245" i="31"/>
  <c r="R439" i="31"/>
  <c r="R384" i="31"/>
  <c r="R231" i="31"/>
  <c r="R449" i="31"/>
  <c r="R371" i="31"/>
  <c r="R527" i="31"/>
  <c r="R201" i="31"/>
  <c r="R46" i="31"/>
  <c r="R228" i="31"/>
  <c r="R328" i="31"/>
  <c r="R313" i="31"/>
  <c r="R327" i="31"/>
  <c r="R173" i="31"/>
  <c r="R71" i="31"/>
  <c r="R431" i="31"/>
  <c r="R453" i="31"/>
  <c r="R480" i="31"/>
  <c r="R264" i="31"/>
  <c r="R271" i="31"/>
  <c r="R385" i="31"/>
  <c r="R526" i="31"/>
  <c r="R512" i="31"/>
  <c r="R142" i="31"/>
  <c r="R113" i="31"/>
  <c r="R337" i="31"/>
  <c r="R316" i="31"/>
  <c r="R128" i="31"/>
  <c r="R78" i="31"/>
  <c r="R507" i="31"/>
  <c r="R49" i="31"/>
  <c r="R511" i="31"/>
  <c r="R452" i="31"/>
  <c r="R206" i="31"/>
  <c r="R484" i="31"/>
  <c r="R92" i="31"/>
  <c r="R103" i="31"/>
  <c r="R416" i="31"/>
  <c r="R323" i="31"/>
  <c r="R36" i="31"/>
  <c r="R315" i="31"/>
  <c r="R433" i="31"/>
  <c r="R391" i="31"/>
  <c r="R160" i="31"/>
  <c r="R135" i="31"/>
  <c r="R491" i="31"/>
  <c r="R238" i="31"/>
  <c r="R418" i="31"/>
  <c r="R362" i="31"/>
  <c r="R458" i="31"/>
  <c r="R116" i="31"/>
  <c r="R85" i="31"/>
  <c r="R171" i="31"/>
  <c r="R68" i="31"/>
  <c r="R57" i="31"/>
  <c r="R89" i="31"/>
  <c r="R153" i="31"/>
  <c r="R54" i="31"/>
  <c r="R86" i="31"/>
  <c r="R118" i="31"/>
  <c r="R150" i="31"/>
  <c r="R182" i="31"/>
  <c r="R214" i="31"/>
  <c r="R246" i="31"/>
  <c r="R47" i="31"/>
  <c r="R79" i="31"/>
  <c r="R111" i="31"/>
  <c r="R143" i="31"/>
  <c r="R175" i="31"/>
  <c r="R207" i="31"/>
  <c r="R239" i="31"/>
  <c r="R100" i="31"/>
  <c r="R270" i="31"/>
  <c r="R334" i="31"/>
  <c r="R405" i="31"/>
  <c r="R469" i="31"/>
  <c r="R529" i="31"/>
  <c r="R165" i="31"/>
  <c r="R277" i="31"/>
  <c r="R341" i="31"/>
  <c r="R393" i="31"/>
  <c r="R457" i="31"/>
  <c r="R525" i="31"/>
  <c r="R140" i="31"/>
  <c r="R265" i="31"/>
  <c r="R329" i="31"/>
  <c r="R434" i="31"/>
  <c r="R494" i="31"/>
  <c r="R515" i="31"/>
  <c r="R48" i="31"/>
  <c r="R233" i="31"/>
  <c r="R311" i="31"/>
  <c r="R374" i="31"/>
  <c r="R410" i="31"/>
  <c r="R474" i="31"/>
  <c r="R503" i="31"/>
  <c r="R172" i="31"/>
  <c r="R286" i="31"/>
  <c r="R350" i="31"/>
  <c r="R455" i="31"/>
  <c r="R281" i="31"/>
  <c r="R205" i="31"/>
  <c r="R293" i="31"/>
  <c r="R357" i="31"/>
  <c r="R399" i="31"/>
  <c r="R443" i="31"/>
  <c r="R156" i="31"/>
  <c r="R177" i="31"/>
  <c r="R282" i="31"/>
  <c r="R346" i="31"/>
  <c r="R392" i="31"/>
  <c r="R424" i="31"/>
  <c r="R456" i="31"/>
  <c r="R488" i="31"/>
  <c r="R520" i="31"/>
  <c r="R121" i="31"/>
  <c r="R426" i="31"/>
  <c r="R280" i="31"/>
  <c r="R478" i="31"/>
  <c r="R513" i="31"/>
  <c r="R110" i="31"/>
  <c r="R509" i="31"/>
  <c r="R381" i="31"/>
  <c r="R321" i="31"/>
  <c r="R244" i="31"/>
  <c r="R76" i="31"/>
  <c r="R212" i="31"/>
  <c r="R163" i="31"/>
  <c r="R423" i="31"/>
  <c r="R67" i="31"/>
  <c r="R445" i="31"/>
  <c r="R263" i="31"/>
  <c r="R304" i="31"/>
  <c r="R81" i="31"/>
  <c r="R495" i="31"/>
  <c r="R448" i="31"/>
  <c r="R412" i="31"/>
  <c r="R234" i="31"/>
  <c r="R398" i="31"/>
  <c r="R42" i="31"/>
  <c r="R267" i="31"/>
  <c r="R248" i="31"/>
  <c r="R174" i="31"/>
  <c r="R331" i="31"/>
  <c r="R483" i="31"/>
  <c r="R519" i="31"/>
  <c r="R444" i="31"/>
  <c r="R195" i="31"/>
  <c r="R38" i="31"/>
  <c r="R96" i="31"/>
  <c r="R388" i="31"/>
  <c r="R501" i="31"/>
  <c r="R377" i="31"/>
  <c r="R420" i="31"/>
  <c r="R138" i="31"/>
  <c r="R441" i="31"/>
  <c r="R308" i="31"/>
  <c r="R387" i="31"/>
  <c r="R294" i="31"/>
  <c r="R145" i="31"/>
  <c r="R167" i="31"/>
  <c r="R285" i="31"/>
  <c r="R37" i="31"/>
  <c r="R69" i="31"/>
  <c r="R101" i="31"/>
  <c r="R133" i="31"/>
  <c r="R34" i="31"/>
  <c r="R66" i="31"/>
  <c r="R98" i="31"/>
  <c r="R130" i="31"/>
  <c r="R162" i="31"/>
  <c r="R194" i="31"/>
  <c r="R226" i="31"/>
  <c r="R258" i="31"/>
  <c r="R59" i="31"/>
  <c r="R91" i="31"/>
  <c r="R123" i="31"/>
  <c r="R155" i="31"/>
  <c r="R187" i="31"/>
  <c r="R219" i="31"/>
  <c r="R251" i="31"/>
  <c r="R180" i="31"/>
  <c r="R289" i="31"/>
  <c r="R353" i="31"/>
  <c r="R429" i="31"/>
  <c r="R489" i="31"/>
  <c r="R326" i="31"/>
  <c r="R213" i="31"/>
  <c r="R303" i="31"/>
  <c r="R367" i="31"/>
  <c r="R417" i="31"/>
  <c r="R485" i="31"/>
  <c r="R307" i="31"/>
  <c r="R200" i="31"/>
  <c r="R291" i="31"/>
  <c r="R355" i="31"/>
  <c r="R454" i="31"/>
  <c r="R514" i="31"/>
  <c r="R208" i="31"/>
  <c r="R144" i="31"/>
  <c r="R272" i="31"/>
  <c r="R336" i="31"/>
  <c r="R386" i="31"/>
  <c r="R430" i="31"/>
  <c r="R498" i="31"/>
  <c r="R364" i="31"/>
  <c r="R220" i="31"/>
  <c r="R305" i="31"/>
  <c r="R369" i="31"/>
  <c r="R475" i="31"/>
  <c r="R88" i="31"/>
  <c r="R249" i="31"/>
  <c r="R319" i="31"/>
  <c r="R379" i="31"/>
  <c r="R411" i="31"/>
  <c r="R471" i="31"/>
  <c r="R339" i="31"/>
  <c r="R225" i="31"/>
  <c r="R301" i="31"/>
  <c r="R365" i="31"/>
  <c r="R404" i="31"/>
  <c r="R436" i="31"/>
  <c r="R468" i="31"/>
  <c r="R500" i="31"/>
  <c r="R268" i="31"/>
  <c r="R41" i="31"/>
  <c r="R73" i="31"/>
  <c r="R105" i="31"/>
  <c r="R137" i="31"/>
  <c r="R70" i="31"/>
  <c r="R102" i="31"/>
  <c r="R134" i="31"/>
  <c r="R166" i="31"/>
  <c r="R198" i="31"/>
  <c r="R230" i="31"/>
  <c r="R262" i="31"/>
  <c r="R63" i="31"/>
  <c r="R95" i="31"/>
  <c r="R127" i="31"/>
  <c r="R159" i="31"/>
  <c r="R191" i="31"/>
  <c r="R223" i="31"/>
  <c r="R255" i="31"/>
  <c r="R196" i="31"/>
  <c r="R302" i="31"/>
  <c r="R366" i="31"/>
  <c r="R437" i="31"/>
  <c r="R497" i="31"/>
  <c r="R40" i="31"/>
  <c r="R229" i="31"/>
  <c r="R309" i="31"/>
  <c r="R373" i="31"/>
  <c r="R425" i="31"/>
  <c r="R493" i="31"/>
  <c r="R345" i="31"/>
  <c r="R216" i="31"/>
  <c r="R297" i="31"/>
  <c r="R361" i="31"/>
  <c r="R462" i="31"/>
  <c r="R522" i="31"/>
  <c r="R261" i="31"/>
  <c r="R169" i="31"/>
  <c r="R279" i="31"/>
  <c r="R343" i="31"/>
  <c r="R390" i="31"/>
  <c r="R442" i="31"/>
  <c r="R506" i="31"/>
  <c r="R52" i="31"/>
  <c r="R236" i="31"/>
  <c r="R318" i="31"/>
  <c r="R415" i="31"/>
  <c r="R487" i="31"/>
  <c r="R120" i="31"/>
  <c r="R260" i="31"/>
  <c r="R325" i="31"/>
  <c r="R383" i="31"/>
  <c r="R419" i="31"/>
  <c r="R479" i="31"/>
  <c r="R64" i="31"/>
  <c r="R241" i="31"/>
  <c r="R314" i="31"/>
  <c r="R376" i="31"/>
  <c r="R408" i="31"/>
  <c r="R440" i="31"/>
  <c r="R472" i="31"/>
  <c r="R504" i="31"/>
  <c r="R358" i="31"/>
  <c r="R53" i="31"/>
  <c r="R117" i="31"/>
  <c r="R149" i="31"/>
  <c r="R50" i="31"/>
  <c r="R82" i="31"/>
  <c r="R114" i="31"/>
  <c r="R146" i="31"/>
  <c r="R210" i="31"/>
  <c r="R242" i="31"/>
  <c r="R43" i="31"/>
  <c r="R75" i="31"/>
  <c r="R107" i="31"/>
  <c r="R139" i="31"/>
  <c r="R203" i="31"/>
  <c r="R235" i="31"/>
  <c r="R253" i="31"/>
  <c r="R397" i="31"/>
  <c r="R461" i="31"/>
  <c r="R521" i="31"/>
  <c r="R136" i="31"/>
  <c r="R335" i="31"/>
  <c r="R389" i="31"/>
  <c r="R517" i="31"/>
  <c r="R108" i="31"/>
  <c r="R256" i="31"/>
  <c r="R486" i="31"/>
  <c r="R217" i="31"/>
  <c r="R368" i="31"/>
  <c r="R402" i="31"/>
  <c r="R466" i="31"/>
  <c r="R148" i="31"/>
  <c r="R273" i="31"/>
  <c r="R447" i="31"/>
  <c r="R189" i="31"/>
  <c r="R287" i="31"/>
  <c r="R351" i="31"/>
  <c r="R395" i="31"/>
  <c r="R435" i="31"/>
  <c r="R269" i="31"/>
  <c r="R333" i="31"/>
  <c r="R61" i="31"/>
  <c r="R93" i="31"/>
  <c r="R125" i="31"/>
  <c r="R157" i="31"/>
  <c r="R58" i="31"/>
  <c r="R90" i="31"/>
  <c r="R122" i="31"/>
  <c r="R154" i="31"/>
  <c r="R186" i="31"/>
  <c r="R218" i="31"/>
  <c r="R250" i="31"/>
  <c r="R51" i="31"/>
  <c r="R83" i="31"/>
  <c r="R115" i="31"/>
  <c r="R147" i="31"/>
  <c r="R179" i="31"/>
  <c r="R211" i="31"/>
  <c r="R243" i="31"/>
  <c r="R132" i="31"/>
  <c r="R276" i="31"/>
  <c r="R340" i="31"/>
  <c r="R413" i="31"/>
  <c r="R473" i="31"/>
  <c r="R192" i="31"/>
  <c r="R181" i="31"/>
  <c r="R290" i="31"/>
  <c r="R354" i="31"/>
  <c r="R401" i="31"/>
  <c r="R465" i="31"/>
  <c r="R176" i="31"/>
  <c r="R168" i="31"/>
  <c r="R278" i="31"/>
  <c r="R342" i="31"/>
  <c r="R438" i="31"/>
  <c r="R502" i="31"/>
  <c r="R531" i="31"/>
  <c r="R80" i="31"/>
  <c r="R257" i="31"/>
  <c r="R317" i="31"/>
  <c r="R378" i="31"/>
  <c r="R414" i="31"/>
  <c r="R482" i="31"/>
  <c r="R523" i="31"/>
  <c r="R188" i="31"/>
  <c r="R292" i="31"/>
  <c r="R356" i="31"/>
  <c r="R463" i="31"/>
  <c r="R332" i="31"/>
  <c r="R221" i="31"/>
  <c r="R306" i="31"/>
  <c r="R370" i="31"/>
  <c r="R403" i="31"/>
  <c r="R451" i="31"/>
  <c r="R240" i="31"/>
  <c r="R193" i="31"/>
  <c r="R288" i="31"/>
  <c r="R352" i="31"/>
  <c r="R396" i="31"/>
  <c r="R428" i="31"/>
  <c r="R460" i="31"/>
  <c r="R492" i="31"/>
  <c r="R524" i="31"/>
  <c r="R32" i="31"/>
  <c r="J24" i="31"/>
  <c r="Y216" i="31" l="1"/>
  <c r="AA216" i="31" s="1"/>
  <c r="Y476" i="31"/>
  <c r="AA476" i="31" s="1"/>
  <c r="Y208" i="31"/>
  <c r="AB208" i="31" s="1"/>
  <c r="Y417" i="31"/>
  <c r="AA417" i="31" s="1"/>
  <c r="Y375" i="31"/>
  <c r="AA375" i="31" s="1"/>
  <c r="Y518" i="31"/>
  <c r="AB518" i="31" s="1"/>
  <c r="Y170" i="31"/>
  <c r="AA170" i="31" s="1"/>
  <c r="Y161" i="31"/>
  <c r="AB161" i="31" s="1"/>
  <c r="Y45" i="31"/>
  <c r="AA45" i="31" s="1"/>
  <c r="Y197" i="31"/>
  <c r="AA197" i="31" s="1"/>
  <c r="Y122" i="31"/>
  <c r="AA122" i="31" s="1"/>
  <c r="Y336" i="31"/>
  <c r="AB336" i="31" s="1"/>
  <c r="Y133" i="31"/>
  <c r="AA133" i="31" s="1"/>
  <c r="Y358" i="31"/>
  <c r="AA358" i="31" s="1"/>
  <c r="Y294" i="31"/>
  <c r="AB294" i="31" s="1"/>
  <c r="Y349" i="31"/>
  <c r="AB349" i="31" s="1"/>
  <c r="Y141" i="31"/>
  <c r="AB141" i="31" s="1"/>
  <c r="Y165" i="31"/>
  <c r="AB165" i="31" s="1"/>
  <c r="Y55" i="31"/>
  <c r="AA55" i="31" s="1"/>
  <c r="Y319" i="31"/>
  <c r="AB319" i="31" s="1"/>
  <c r="Y106" i="31"/>
  <c r="AB106" i="31" s="1"/>
  <c r="Y403" i="31"/>
  <c r="AB403" i="31" s="1"/>
  <c r="Y284" i="31"/>
  <c r="AB284" i="31" s="1"/>
  <c r="Y77" i="31"/>
  <c r="AA77" i="31" s="1"/>
  <c r="Y90" i="31"/>
  <c r="AB90" i="31" s="1"/>
  <c r="Y166" i="31"/>
  <c r="AA166" i="31" s="1"/>
  <c r="Y123" i="31"/>
  <c r="AB123" i="31" s="1"/>
  <c r="Y226" i="31"/>
  <c r="AB226" i="31" s="1"/>
  <c r="Y315" i="31"/>
  <c r="AB315" i="31" s="1"/>
  <c r="Y471" i="31"/>
  <c r="AB471" i="31" s="1"/>
  <c r="Y63" i="31"/>
  <c r="AB63" i="31" s="1"/>
  <c r="Q20" i="31"/>
  <c r="Y156" i="31"/>
  <c r="AB156" i="31" s="1"/>
  <c r="Y204" i="31"/>
  <c r="AB204" i="31" s="1"/>
  <c r="Y276" i="31"/>
  <c r="AA276" i="31" s="1"/>
  <c r="Y111" i="31"/>
  <c r="AB111" i="31" s="1"/>
  <c r="Y39" i="31"/>
  <c r="AB39" i="31" s="1"/>
  <c r="Y169" i="31"/>
  <c r="AB169" i="31" s="1"/>
  <c r="Y200" i="31"/>
  <c r="AA200" i="31" s="1"/>
  <c r="Y410" i="31"/>
  <c r="AA410" i="31" s="1"/>
  <c r="Y79" i="31"/>
  <c r="AA79" i="31" s="1"/>
  <c r="Y173" i="31"/>
  <c r="AB173" i="31" s="1"/>
  <c r="Y32" i="31"/>
  <c r="AA32" i="31" s="1"/>
  <c r="Y250" i="31"/>
  <c r="AB250" i="31" s="1"/>
  <c r="Y260" i="31"/>
  <c r="AB260" i="31" s="1"/>
  <c r="Y76" i="31"/>
  <c r="AA76" i="31" s="1"/>
  <c r="Y312" i="31"/>
  <c r="AB312" i="31" s="1"/>
  <c r="Y418" i="31"/>
  <c r="AB418" i="31" s="1"/>
  <c r="Y142" i="31"/>
  <c r="AB142" i="31" s="1"/>
  <c r="Y252" i="31"/>
  <c r="AB252" i="31" s="1"/>
  <c r="Y35" i="31"/>
  <c r="AA35" i="31" s="1"/>
  <c r="Y221" i="31"/>
  <c r="AB221" i="31" s="1"/>
  <c r="Y61" i="31"/>
  <c r="AB61" i="31" s="1"/>
  <c r="Y73" i="31"/>
  <c r="AB73" i="31" s="1"/>
  <c r="Y187" i="31"/>
  <c r="AA187" i="31" s="1"/>
  <c r="Y398" i="31"/>
  <c r="AB398" i="31" s="1"/>
  <c r="Y316" i="31"/>
  <c r="AB316" i="31" s="1"/>
  <c r="Y71" i="31"/>
  <c r="AA71" i="31" s="1"/>
  <c r="Y44" i="31"/>
  <c r="AA44" i="31" s="1"/>
  <c r="Y105" i="31"/>
  <c r="AA105" i="31" s="1"/>
  <c r="Y91" i="31"/>
  <c r="AA91" i="31" s="1"/>
  <c r="Y271" i="31"/>
  <c r="AA271" i="31" s="1"/>
  <c r="Y99" i="31"/>
  <c r="AA99" i="31" s="1"/>
  <c r="Y491" i="31"/>
  <c r="AB491" i="31" s="1"/>
  <c r="Y310" i="31"/>
  <c r="AB310" i="31" s="1"/>
  <c r="Y131" i="31"/>
  <c r="AB131" i="31" s="1"/>
  <c r="Y234" i="31"/>
  <c r="AB234" i="31" s="1"/>
  <c r="Y488" i="31"/>
  <c r="AB488" i="31" s="1"/>
  <c r="Y150" i="31"/>
  <c r="AB150" i="31" s="1"/>
  <c r="Y184" i="31"/>
  <c r="AA184" i="31" s="1"/>
  <c r="Y190" i="31"/>
  <c r="AA190" i="31" s="1"/>
  <c r="Y396" i="31"/>
  <c r="AA396" i="31" s="1"/>
  <c r="Y243" i="31"/>
  <c r="AB243" i="31" s="1"/>
  <c r="Y461" i="31"/>
  <c r="AB461" i="31" s="1"/>
  <c r="Y203" i="31"/>
  <c r="AB203" i="31" s="1"/>
  <c r="Y43" i="31"/>
  <c r="AB43" i="31" s="1"/>
  <c r="Y137" i="31"/>
  <c r="AB137" i="31" s="1"/>
  <c r="Y429" i="31"/>
  <c r="AB429" i="31" s="1"/>
  <c r="Y47" i="31"/>
  <c r="AB47" i="31" s="1"/>
  <c r="Y103" i="31"/>
  <c r="AA103" i="31" s="1"/>
  <c r="Y382" i="31"/>
  <c r="AA382" i="31" s="1"/>
  <c r="Y253" i="31"/>
  <c r="AB253" i="31" s="1"/>
  <c r="Y255" i="31"/>
  <c r="AB255" i="31" s="1"/>
  <c r="Y162" i="31"/>
  <c r="AA162" i="31" s="1"/>
  <c r="Y34" i="31"/>
  <c r="AB34" i="31" s="1"/>
  <c r="Y174" i="31"/>
  <c r="AB174" i="31" s="1"/>
  <c r="Y392" i="31"/>
  <c r="AB392" i="31" s="1"/>
  <c r="Y86" i="31"/>
  <c r="AA86" i="31" s="1"/>
  <c r="Y116" i="31"/>
  <c r="AB116" i="31" s="1"/>
  <c r="Y199" i="31"/>
  <c r="AA199" i="31" s="1"/>
  <c r="Y164" i="31"/>
  <c r="AB164" i="31" s="1"/>
  <c r="Y126" i="31"/>
  <c r="AA126" i="31" s="1"/>
  <c r="Y332" i="31"/>
  <c r="AB332" i="31" s="1"/>
  <c r="Y378" i="31"/>
  <c r="AB378" i="31" s="1"/>
  <c r="Y428" i="31"/>
  <c r="AB428" i="31" s="1"/>
  <c r="Y125" i="31"/>
  <c r="AA125" i="31" s="1"/>
  <c r="Y148" i="31"/>
  <c r="AA148" i="31" s="1"/>
  <c r="Y75" i="31"/>
  <c r="AB75" i="31" s="1"/>
  <c r="Y442" i="31"/>
  <c r="AB442" i="31" s="1"/>
  <c r="Y41" i="31"/>
  <c r="AB41" i="31" s="1"/>
  <c r="Y436" i="31"/>
  <c r="AB436" i="31" s="1"/>
  <c r="Y379" i="31"/>
  <c r="AB379" i="31" s="1"/>
  <c r="Y514" i="31"/>
  <c r="AA514" i="31" s="1"/>
  <c r="Y367" i="31"/>
  <c r="AA367" i="31" s="1"/>
  <c r="Y155" i="31"/>
  <c r="AA155" i="31" s="1"/>
  <c r="Y81" i="31"/>
  <c r="AB81" i="31" s="1"/>
  <c r="Y433" i="31"/>
  <c r="AA433" i="31" s="1"/>
  <c r="Y206" i="31"/>
  <c r="AA206" i="31" s="1"/>
  <c r="Y359" i="31"/>
  <c r="AA359" i="31" s="1"/>
  <c r="Y490" i="31"/>
  <c r="AB490" i="31" s="1"/>
  <c r="Y380" i="31"/>
  <c r="AA380" i="31" s="1"/>
  <c r="Y74" i="31"/>
  <c r="AA74" i="31" s="1"/>
  <c r="Y499" i="31"/>
  <c r="AA499" i="31" s="1"/>
  <c r="Y242" i="31"/>
  <c r="AA242" i="31" s="1"/>
  <c r="Y503" i="31"/>
  <c r="AA503" i="31" s="1"/>
  <c r="Y246" i="31"/>
  <c r="AB246" i="31" s="1"/>
  <c r="Y104" i="31"/>
  <c r="AB104" i="31" s="1"/>
  <c r="Y72" i="31"/>
  <c r="AA72" i="31" s="1"/>
  <c r="Y202" i="31"/>
  <c r="AB202" i="31" s="1"/>
  <c r="Y109" i="31"/>
  <c r="AA109" i="31" s="1"/>
  <c r="Y322" i="31"/>
  <c r="AB322" i="31" s="1"/>
  <c r="Y87" i="31"/>
  <c r="AB87" i="31" s="1"/>
  <c r="Y414" i="31"/>
  <c r="AA414" i="31" s="1"/>
  <c r="Y305" i="31"/>
  <c r="AA305" i="31" s="1"/>
  <c r="Y144" i="31"/>
  <c r="AA144" i="31" s="1"/>
  <c r="Y355" i="31"/>
  <c r="AB355" i="31" s="1"/>
  <c r="Y331" i="31"/>
  <c r="AB331" i="31" s="1"/>
  <c r="Y179" i="31"/>
  <c r="AA179" i="31" s="1"/>
  <c r="Y157" i="31"/>
  <c r="AB157" i="31" s="1"/>
  <c r="Y368" i="31"/>
  <c r="AB368" i="31" s="1"/>
  <c r="Y108" i="31"/>
  <c r="AA108" i="31" s="1"/>
  <c r="Y64" i="31"/>
  <c r="AB64" i="31" s="1"/>
  <c r="Y462" i="31"/>
  <c r="AB462" i="31" s="1"/>
  <c r="Y309" i="31"/>
  <c r="AB309" i="31" s="1"/>
  <c r="Y102" i="31"/>
  <c r="AB102" i="31" s="1"/>
  <c r="Y468" i="31"/>
  <c r="AA468" i="31" s="1"/>
  <c r="Y220" i="31"/>
  <c r="AB220" i="31" s="1"/>
  <c r="Y212" i="31"/>
  <c r="AA212" i="31" s="1"/>
  <c r="Y478" i="31"/>
  <c r="AB478" i="31" s="1"/>
  <c r="Y57" i="31"/>
  <c r="AA57" i="31" s="1"/>
  <c r="Y432" i="31"/>
  <c r="AA432" i="31" s="1"/>
  <c r="Y60" i="31"/>
  <c r="AA60" i="31" s="1"/>
  <c r="Y394" i="31"/>
  <c r="AA394" i="31" s="1"/>
  <c r="Y530" i="31"/>
  <c r="AA530" i="31" s="1"/>
  <c r="Y324" i="31"/>
  <c r="AA324" i="31" s="1"/>
  <c r="Y84" i="31"/>
  <c r="AA84" i="31" s="1"/>
  <c r="I24" i="31"/>
  <c r="Y189" i="31"/>
  <c r="AB189" i="31" s="1"/>
  <c r="Y117" i="31"/>
  <c r="AA117" i="31" s="1"/>
  <c r="Y40" i="31"/>
  <c r="AB40" i="31" s="1"/>
  <c r="Y307" i="31"/>
  <c r="AB307" i="31" s="1"/>
  <c r="Y101" i="31"/>
  <c r="AB101" i="31" s="1"/>
  <c r="Y377" i="31"/>
  <c r="AA377" i="31" s="1"/>
  <c r="Y38" i="31"/>
  <c r="AB38" i="31" s="1"/>
  <c r="Y267" i="31"/>
  <c r="AA267" i="31" s="1"/>
  <c r="Y244" i="31"/>
  <c r="AB244" i="31" s="1"/>
  <c r="Y393" i="31"/>
  <c r="AB393" i="31" s="1"/>
  <c r="Y362" i="31"/>
  <c r="AB362" i="31" s="1"/>
  <c r="Y78" i="31"/>
  <c r="AB78" i="31" s="1"/>
  <c r="Y46" i="31"/>
  <c r="AB46" i="31" s="1"/>
  <c r="Y508" i="31"/>
  <c r="AB508" i="31" s="1"/>
  <c r="Y427" i="31"/>
  <c r="AB427" i="31" s="1"/>
  <c r="Y62" i="31"/>
  <c r="AA62" i="31" s="1"/>
  <c r="Y65" i="31"/>
  <c r="AB65" i="31" s="1"/>
  <c r="Y413" i="31"/>
  <c r="AB413" i="31" s="1"/>
  <c r="Y120" i="31"/>
  <c r="AB120" i="31" s="1"/>
  <c r="Y342" i="31"/>
  <c r="AB342" i="31" s="1"/>
  <c r="Y134" i="31"/>
  <c r="AA134" i="31" s="1"/>
  <c r="Y42" i="31"/>
  <c r="AA42" i="31" s="1"/>
  <c r="Y300" i="31"/>
  <c r="AA300" i="31" s="1"/>
  <c r="Y112" i="31"/>
  <c r="AB112" i="31" s="1"/>
  <c r="Y33" i="31"/>
  <c r="AB33" i="31" s="1"/>
  <c r="Y479" i="31"/>
  <c r="AB479" i="31" s="1"/>
  <c r="Y225" i="31"/>
  <c r="AB225" i="31" s="1"/>
  <c r="Y290" i="31"/>
  <c r="AA290" i="31" s="1"/>
  <c r="Y115" i="31"/>
  <c r="AA115" i="31" s="1"/>
  <c r="Y93" i="31"/>
  <c r="AA93" i="31" s="1"/>
  <c r="Y425" i="31"/>
  <c r="AB425" i="31" s="1"/>
  <c r="Y339" i="31"/>
  <c r="AB339" i="31" s="1"/>
  <c r="Y303" i="31"/>
  <c r="AB303" i="31" s="1"/>
  <c r="Y110" i="31"/>
  <c r="AA110" i="31" s="1"/>
  <c r="Y515" i="31"/>
  <c r="AA515" i="31" s="1"/>
  <c r="Y135" i="31"/>
  <c r="AB135" i="31" s="1"/>
  <c r="Y451" i="31"/>
  <c r="AA451" i="31" s="1"/>
  <c r="Y80" i="31"/>
  <c r="AB80" i="31" s="1"/>
  <c r="Y58" i="31"/>
  <c r="AB58" i="31" s="1"/>
  <c r="Y397" i="31"/>
  <c r="AA397" i="31" s="1"/>
  <c r="Y139" i="31"/>
  <c r="AA139" i="31" s="1"/>
  <c r="Y53" i="31"/>
  <c r="AA53" i="31" s="1"/>
  <c r="Y440" i="31"/>
  <c r="AB440" i="31" s="1"/>
  <c r="Y52" i="31"/>
  <c r="AB52" i="31" s="1"/>
  <c r="Y196" i="31"/>
  <c r="AA196" i="31" s="1"/>
  <c r="Y194" i="31"/>
  <c r="AA194" i="31" s="1"/>
  <c r="Y501" i="31"/>
  <c r="AA501" i="31" s="1"/>
  <c r="Y195" i="31"/>
  <c r="AA195" i="31" s="1"/>
  <c r="Y321" i="31"/>
  <c r="AA321" i="31" s="1"/>
  <c r="Y513" i="31"/>
  <c r="AB513" i="31" s="1"/>
  <c r="Y121" i="31"/>
  <c r="AA121" i="31" s="1"/>
  <c r="Y455" i="31"/>
  <c r="AB455" i="31" s="1"/>
  <c r="Y311" i="31"/>
  <c r="AA311" i="31" s="1"/>
  <c r="Y140" i="31"/>
  <c r="AA140" i="31" s="1"/>
  <c r="Y89" i="31"/>
  <c r="AB89" i="31" s="1"/>
  <c r="Y36" i="31"/>
  <c r="AB36" i="31" s="1"/>
  <c r="Y92" i="31"/>
  <c r="AB92" i="31" s="1"/>
  <c r="Y128" i="31"/>
  <c r="AA128" i="31" s="1"/>
  <c r="Y178" i="31"/>
  <c r="AB178" i="31" s="1"/>
  <c r="Y266" i="31"/>
  <c r="AB266" i="31" s="1"/>
  <c r="Y459" i="31"/>
  <c r="AA459" i="31" s="1"/>
  <c r="Y477" i="31"/>
  <c r="AB477" i="31" s="1"/>
  <c r="Y338" i="31"/>
  <c r="AA338" i="31" s="1"/>
  <c r="Y283" i="31"/>
  <c r="AB283" i="31" s="1"/>
  <c r="Y183" i="31"/>
  <c r="AA183" i="31" s="1"/>
  <c r="Y473" i="31"/>
  <c r="AA473" i="31" s="1"/>
  <c r="Y361" i="31"/>
  <c r="AB361" i="31" s="1"/>
  <c r="Y489" i="31"/>
  <c r="AA489" i="31" s="1"/>
  <c r="Y180" i="31"/>
  <c r="AA180" i="31" s="1"/>
  <c r="Y420" i="31"/>
  <c r="AB420" i="31" s="1"/>
  <c r="Y96" i="31"/>
  <c r="AA96" i="31" s="1"/>
  <c r="Y67" i="31"/>
  <c r="AB67" i="31" s="1"/>
  <c r="Y48" i="31"/>
  <c r="AA48" i="31" s="1"/>
  <c r="Y54" i="31"/>
  <c r="AB54" i="31" s="1"/>
  <c r="Y337" i="31"/>
  <c r="AB337" i="31" s="1"/>
  <c r="Y298" i="31"/>
  <c r="AA298" i="31" s="1"/>
  <c r="Y446" i="31"/>
  <c r="AA446" i="31" s="1"/>
  <c r="Y227" i="31"/>
  <c r="AB227" i="31" s="1"/>
  <c r="Y185" i="31"/>
  <c r="AB185" i="31" s="1"/>
  <c r="Y259" i="31"/>
  <c r="AA259" i="31" s="1"/>
  <c r="Y119" i="31"/>
  <c r="AA119" i="31" s="1"/>
  <c r="Y222" i="31"/>
  <c r="AA222" i="31" s="1"/>
  <c r="Y94" i="31"/>
  <c r="AA94" i="31" s="1"/>
  <c r="Y317" i="31"/>
  <c r="AB317" i="31" s="1"/>
  <c r="Y364" i="31"/>
  <c r="AA364" i="31" s="1"/>
  <c r="Y524" i="31"/>
  <c r="AA524" i="31" s="1"/>
  <c r="Y282" i="31"/>
  <c r="AA282" i="31" s="1"/>
  <c r="Y374" i="31"/>
  <c r="AB374" i="31" s="1"/>
  <c r="Y171" i="31"/>
  <c r="AB171" i="31" s="1"/>
  <c r="Y113" i="31"/>
  <c r="AA113" i="31" s="1"/>
  <c r="Y327" i="31"/>
  <c r="AA327" i="31" s="1"/>
  <c r="Y56" i="31"/>
  <c r="AA56" i="31" s="1"/>
  <c r="Y209" i="31"/>
  <c r="AA209" i="31" s="1"/>
  <c r="Y467" i="31"/>
  <c r="AB467" i="31" s="1"/>
  <c r="Y481" i="31"/>
  <c r="AA481" i="31" s="1"/>
  <c r="Y505" i="31"/>
  <c r="AB505" i="31" s="1"/>
  <c r="Y320" i="31"/>
  <c r="AA320" i="31" s="1"/>
  <c r="Y232" i="31"/>
  <c r="AA232" i="31" s="1"/>
  <c r="Y372" i="31"/>
  <c r="AB372" i="31" s="1"/>
  <c r="Y274" i="31"/>
  <c r="AA274" i="31" s="1"/>
  <c r="Y254" i="31"/>
  <c r="AB254" i="31" s="1"/>
  <c r="Y83" i="31"/>
  <c r="AB83" i="31" s="1"/>
  <c r="Y159" i="31"/>
  <c r="AB159" i="31" s="1"/>
  <c r="Y531" i="31"/>
  <c r="AA531" i="31" s="1"/>
  <c r="Y51" i="31"/>
  <c r="AA51" i="31" s="1"/>
  <c r="Y107" i="31"/>
  <c r="AA107" i="31" s="1"/>
  <c r="Y291" i="31"/>
  <c r="AA291" i="31" s="1"/>
  <c r="Y289" i="31"/>
  <c r="AB289" i="31" s="1"/>
  <c r="Y59" i="31"/>
  <c r="AB59" i="31" s="1"/>
  <c r="Y37" i="31"/>
  <c r="AB37" i="31" s="1"/>
  <c r="Y138" i="31"/>
  <c r="AA138" i="31" s="1"/>
  <c r="Y388" i="31"/>
  <c r="AA388" i="31" s="1"/>
  <c r="Y445" i="31"/>
  <c r="AB445" i="31" s="1"/>
  <c r="Y277" i="31"/>
  <c r="AB277" i="31" s="1"/>
  <c r="Y214" i="31"/>
  <c r="AB214" i="31" s="1"/>
  <c r="Y323" i="31"/>
  <c r="AB323" i="31" s="1"/>
  <c r="Y264" i="31"/>
  <c r="AB264" i="31" s="1"/>
  <c r="Y193" i="31"/>
  <c r="AB193" i="31" s="1"/>
  <c r="Y502" i="31"/>
  <c r="AA502" i="31" s="1"/>
  <c r="Y168" i="31"/>
  <c r="AB168" i="31" s="1"/>
  <c r="Y354" i="31"/>
  <c r="AA354" i="31" s="1"/>
  <c r="Y147" i="31"/>
  <c r="AA147" i="31" s="1"/>
  <c r="Y146" i="31"/>
  <c r="AB146" i="31" s="1"/>
  <c r="Y149" i="31"/>
  <c r="AA149" i="31" s="1"/>
  <c r="Y376" i="31"/>
  <c r="AA376" i="31" s="1"/>
  <c r="Y223" i="31"/>
  <c r="AA223" i="31" s="1"/>
  <c r="Y70" i="31"/>
  <c r="AA70" i="31" s="1"/>
  <c r="Y285" i="31"/>
  <c r="AB285" i="31" s="1"/>
  <c r="Y248" i="31"/>
  <c r="AA248" i="31" s="1"/>
  <c r="Y457" i="31"/>
  <c r="AA457" i="31" s="1"/>
  <c r="Y182" i="31"/>
  <c r="AA182" i="31" s="1"/>
  <c r="Y68" i="31"/>
  <c r="AA68" i="31" s="1"/>
  <c r="Y450" i="31"/>
  <c r="AB450" i="31" s="1"/>
  <c r="Y470" i="31"/>
  <c r="AB470" i="31" s="1"/>
  <c r="Y247" i="31"/>
  <c r="AB247" i="31" s="1"/>
  <c r="Y97" i="31"/>
  <c r="AB97" i="31" s="1"/>
  <c r="N20" i="31"/>
  <c r="N21" i="31"/>
  <c r="Y447" i="31"/>
  <c r="AB447" i="31" s="1"/>
  <c r="Y487" i="31"/>
  <c r="AB487" i="31" s="1"/>
  <c r="Y430" i="31"/>
  <c r="AA430" i="31" s="1"/>
  <c r="Y357" i="31"/>
  <c r="AA357" i="31" s="1"/>
  <c r="Y118" i="31"/>
  <c r="AA118" i="31" s="1"/>
  <c r="Y201" i="31"/>
  <c r="AA201" i="31" s="1"/>
  <c r="Y496" i="31"/>
  <c r="AB496" i="31" s="1"/>
  <c r="O20" i="31"/>
  <c r="O21" i="31"/>
  <c r="Y181" i="31"/>
  <c r="AB181" i="31" s="1"/>
  <c r="Y365" i="31"/>
  <c r="AB365" i="31" s="1"/>
  <c r="Y353" i="31"/>
  <c r="AB353" i="31" s="1"/>
  <c r="Y408" i="31"/>
  <c r="AA408" i="31" s="1"/>
  <c r="Y127" i="31"/>
  <c r="AB127" i="31" s="1"/>
  <c r="Y88" i="31"/>
  <c r="AB88" i="31" s="1"/>
  <c r="Y326" i="31"/>
  <c r="AB326" i="31" s="1"/>
  <c r="Y49" i="31"/>
  <c r="AB49" i="31" s="1"/>
  <c r="Y124" i="31"/>
  <c r="AB124" i="31" s="1"/>
  <c r="Y152" i="31"/>
  <c r="AB152" i="31" s="1"/>
  <c r="Y406" i="31"/>
  <c r="AA406" i="31" s="1"/>
  <c r="Y151" i="31"/>
  <c r="AB151" i="31" s="1"/>
  <c r="Y463" i="31"/>
  <c r="AA463" i="31" s="1"/>
  <c r="Y366" i="31"/>
  <c r="AB366" i="31" s="1"/>
  <c r="Y356" i="31"/>
  <c r="AB356" i="31" s="1"/>
  <c r="Y236" i="31"/>
  <c r="AA236" i="31" s="1"/>
  <c r="Y308" i="31"/>
  <c r="AA308" i="31" s="1"/>
  <c r="Y175" i="31"/>
  <c r="AA175" i="31" s="1"/>
  <c r="Y449" i="31"/>
  <c r="AB449" i="31" s="1"/>
  <c r="Y474" i="31"/>
  <c r="AA474" i="31" s="1"/>
  <c r="Y158" i="31"/>
  <c r="AB158" i="31" s="1"/>
  <c r="Y343" i="31"/>
  <c r="AB343" i="31" s="1"/>
  <c r="Y235" i="31"/>
  <c r="AA235" i="31" s="1"/>
  <c r="Y504" i="31"/>
  <c r="AA504" i="31" s="1"/>
  <c r="Y493" i="31"/>
  <c r="AA493" i="31" s="1"/>
  <c r="Y280" i="31"/>
  <c r="AB280" i="31" s="1"/>
  <c r="Y346" i="31"/>
  <c r="AB346" i="31" s="1"/>
  <c r="Y215" i="31"/>
  <c r="AA215" i="31" s="1"/>
  <c r="Y492" i="31"/>
  <c r="AA492" i="31" s="1"/>
  <c r="Y465" i="31"/>
  <c r="AA465" i="31" s="1"/>
  <c r="Y441" i="31"/>
  <c r="AA441" i="31" s="1"/>
  <c r="Y129" i="31"/>
  <c r="AB129" i="31" s="1"/>
  <c r="Y526" i="31"/>
  <c r="AB526" i="31" s="1"/>
  <c r="Y347" i="31"/>
  <c r="AB347" i="31" s="1"/>
  <c r="Y421" i="31"/>
  <c r="AB421" i="31" s="1"/>
  <c r="Y435" i="31"/>
  <c r="AA435" i="31" s="1"/>
  <c r="Y466" i="31"/>
  <c r="AA466" i="31" s="1"/>
  <c r="Y389" i="31"/>
  <c r="AB389" i="31" s="1"/>
  <c r="Y251" i="31"/>
  <c r="AA251" i="31" s="1"/>
  <c r="Y213" i="31"/>
  <c r="AA213" i="31" s="1"/>
  <c r="Y85" i="31"/>
  <c r="AA85" i="31" s="1"/>
  <c r="Y301" i="31"/>
  <c r="AB301" i="31" s="1"/>
  <c r="Y381" i="31"/>
  <c r="AA381" i="31" s="1"/>
  <c r="Y233" i="31"/>
  <c r="AB233" i="31" s="1"/>
  <c r="Y391" i="31"/>
  <c r="AB391" i="31" s="1"/>
  <c r="Y390" i="31"/>
  <c r="AB390" i="31" s="1"/>
  <c r="Y163" i="31"/>
  <c r="AA163" i="31" s="1"/>
  <c r="Y494" i="31"/>
  <c r="AA494" i="31" s="1"/>
  <c r="Y192" i="31"/>
  <c r="AB192" i="31" s="1"/>
  <c r="Y273" i="31"/>
  <c r="AB273" i="31" s="1"/>
  <c r="Y437" i="31"/>
  <c r="AA437" i="31" s="1"/>
  <c r="Y495" i="31"/>
  <c r="AA495" i="31" s="1"/>
  <c r="Y512" i="31"/>
  <c r="AB512" i="31" s="1"/>
  <c r="Y460" i="31"/>
  <c r="AA460" i="31" s="1"/>
  <c r="Y136" i="31"/>
  <c r="AA136" i="31" s="1"/>
  <c r="Y520" i="31"/>
  <c r="AA520" i="31" s="1"/>
  <c r="Y525" i="31"/>
  <c r="AB525" i="31" s="1"/>
  <c r="Y405" i="31"/>
  <c r="AB405" i="31" s="1"/>
  <c r="Y360" i="31"/>
  <c r="AB360" i="31" s="1"/>
  <c r="Y419" i="31"/>
  <c r="AB419" i="31" s="1"/>
  <c r="Y401" i="31"/>
  <c r="AB401" i="31" s="1"/>
  <c r="Y523" i="31"/>
  <c r="AA523" i="31" s="1"/>
  <c r="Y352" i="31"/>
  <c r="AB352" i="31" s="1"/>
  <c r="Y186" i="31"/>
  <c r="AB186" i="31" s="1"/>
  <c r="Y278" i="31"/>
  <c r="AB278" i="31" s="1"/>
  <c r="Y434" i="31"/>
  <c r="AB434" i="31" s="1"/>
  <c r="Y409" i="31"/>
  <c r="AB409" i="31" s="1"/>
  <c r="Y516" i="31"/>
  <c r="AB516" i="31" s="1"/>
  <c r="Y95" i="31"/>
  <c r="AA95" i="31" s="1"/>
  <c r="Y387" i="31"/>
  <c r="AB387" i="31" s="1"/>
  <c r="Y207" i="31"/>
  <c r="AA207" i="31" s="1"/>
  <c r="Y344" i="31"/>
  <c r="AB344" i="31" s="1"/>
  <c r="Y302" i="31"/>
  <c r="AB302" i="31" s="1"/>
  <c r="Y402" i="31"/>
  <c r="AA402" i="31" s="1"/>
  <c r="Y219" i="31"/>
  <c r="AB219" i="31" s="1"/>
  <c r="Y444" i="31"/>
  <c r="AA444" i="31" s="1"/>
  <c r="Y350" i="31"/>
  <c r="AB350" i="31" s="1"/>
  <c r="Y373" i="31"/>
  <c r="AB373" i="31" s="1"/>
  <c r="Y188" i="31"/>
  <c r="AA188" i="31" s="1"/>
  <c r="Y351" i="31"/>
  <c r="AA351" i="31" s="1"/>
  <c r="Y370" i="31"/>
  <c r="AB370" i="31" s="1"/>
  <c r="Y287" i="31"/>
  <c r="AA287" i="31" s="1"/>
  <c r="Y218" i="31"/>
  <c r="AB218" i="31" s="1"/>
  <c r="Y314" i="31"/>
  <c r="AB314" i="31" s="1"/>
  <c r="Y191" i="31"/>
  <c r="AA191" i="31" s="1"/>
  <c r="Y415" i="31"/>
  <c r="AB415" i="31" s="1"/>
  <c r="Y279" i="31"/>
  <c r="AB279" i="31" s="1"/>
  <c r="Y411" i="31"/>
  <c r="AA411" i="31" s="1"/>
  <c r="Y293" i="31"/>
  <c r="AB293" i="31" s="1"/>
  <c r="Y160" i="31"/>
  <c r="AB160" i="31" s="1"/>
  <c r="Y528" i="31"/>
  <c r="AB528" i="31" s="1"/>
  <c r="Y422" i="31"/>
  <c r="AB422" i="31" s="1"/>
  <c r="Y269" i="31"/>
  <c r="AA269" i="31" s="1"/>
  <c r="Y517" i="31"/>
  <c r="AA517" i="31" s="1"/>
  <c r="G24" i="31"/>
  <c r="Y407" i="31"/>
  <c r="AB407" i="31" s="1"/>
  <c r="Y257" i="31"/>
  <c r="AA257" i="31" s="1"/>
  <c r="Y275" i="31"/>
  <c r="AA275" i="31" s="1"/>
  <c r="Y439" i="31"/>
  <c r="AA439" i="31" s="1"/>
  <c r="Y306" i="31"/>
  <c r="AB306" i="31" s="1"/>
  <c r="Y412" i="31"/>
  <c r="AB412" i="31" s="1"/>
  <c r="Y399" i="31"/>
  <c r="AB399" i="31" s="1"/>
  <c r="Y153" i="31"/>
  <c r="AA153" i="31" s="1"/>
  <c r="Y448" i="31"/>
  <c r="AA448" i="31" s="1"/>
  <c r="Y431" i="31"/>
  <c r="AA431" i="31" s="1"/>
  <c r="Y333" i="31"/>
  <c r="AB333" i="31" s="1"/>
  <c r="Y210" i="31"/>
  <c r="AB210" i="31" s="1"/>
  <c r="Y345" i="31"/>
  <c r="AA345" i="31" s="1"/>
  <c r="Y510" i="31"/>
  <c r="AA510" i="31" s="1"/>
  <c r="Y205" i="31"/>
  <c r="AB205" i="31" s="1"/>
  <c r="Y371" i="31"/>
  <c r="AA371" i="31" s="1"/>
  <c r="Y281" i="31"/>
  <c r="AA281" i="31" s="1"/>
  <c r="Y265" i="31"/>
  <c r="AA265" i="31" s="1"/>
  <c r="Y249" i="31"/>
  <c r="AB249" i="31" s="1"/>
  <c r="Y50" i="31"/>
  <c r="AA50" i="31" s="1"/>
  <c r="Y325" i="31"/>
  <c r="AB325" i="31" s="1"/>
  <c r="Y145" i="31"/>
  <c r="AA145" i="31" s="1"/>
  <c r="Y258" i="31"/>
  <c r="AB258" i="31" s="1"/>
  <c r="Y330" i="31"/>
  <c r="AB330" i="31" s="1"/>
  <c r="Y529" i="31"/>
  <c r="AA529" i="31" s="1"/>
  <c r="Y334" i="31"/>
  <c r="AB334" i="31" s="1"/>
  <c r="Y400" i="31"/>
  <c r="AB400" i="31" s="1"/>
  <c r="Y454" i="31"/>
  <c r="AB454" i="31" s="1"/>
  <c r="Y426" i="31"/>
  <c r="AA426" i="31" s="1"/>
  <c r="Y475" i="31"/>
  <c r="AB475" i="31" s="1"/>
  <c r="Y98" i="31"/>
  <c r="AB98" i="31" s="1"/>
  <c r="Y167" i="31"/>
  <c r="AB167" i="31" s="1"/>
  <c r="Y452" i="31"/>
  <c r="AA452" i="31" s="1"/>
  <c r="Y500" i="31"/>
  <c r="AA500" i="31" s="1"/>
  <c r="Y485" i="31"/>
  <c r="AA485" i="31" s="1"/>
  <c r="Y66" i="31"/>
  <c r="AA66" i="31" s="1"/>
  <c r="Y341" i="31"/>
  <c r="AA341" i="31" s="1"/>
  <c r="Y143" i="31"/>
  <c r="AB143" i="31" s="1"/>
  <c r="Y299" i="31"/>
  <c r="AA299" i="31" s="1"/>
  <c r="Y464" i="31"/>
  <c r="AB464" i="31" s="1"/>
  <c r="Y318" i="31"/>
  <c r="AB318" i="31" s="1"/>
  <c r="Y507" i="31"/>
  <c r="AB507" i="31" s="1"/>
  <c r="Y237" i="31"/>
  <c r="AB237" i="31" s="1"/>
  <c r="Y292" i="31"/>
  <c r="AB292" i="31" s="1"/>
  <c r="Y340" i="31"/>
  <c r="AA340" i="31" s="1"/>
  <c r="Y335" i="31"/>
  <c r="AA335" i="31" s="1"/>
  <c r="Y383" i="31"/>
  <c r="AB383" i="31" s="1"/>
  <c r="Y522" i="31"/>
  <c r="AA522" i="31" s="1"/>
  <c r="Y231" i="31"/>
  <c r="AB231" i="31" s="1"/>
  <c r="Y176" i="31"/>
  <c r="AB176" i="31" s="1"/>
  <c r="Y217" i="31"/>
  <c r="AA217" i="31" s="1"/>
  <c r="Y114" i="31"/>
  <c r="AA114" i="31" s="1"/>
  <c r="Y482" i="31"/>
  <c r="AA482" i="31" s="1"/>
  <c r="Y384" i="31"/>
  <c r="AA384" i="31" s="1"/>
  <c r="Y295" i="31"/>
  <c r="AA295" i="31" s="1"/>
  <c r="Y469" i="31"/>
  <c r="AA469" i="31" s="1"/>
  <c r="Y177" i="31"/>
  <c r="AA177" i="31" s="1"/>
  <c r="H24" i="31"/>
  <c r="Y288" i="31"/>
  <c r="AA288" i="31" s="1"/>
  <c r="Y154" i="31"/>
  <c r="AB154" i="31" s="1"/>
  <c r="Y238" i="31"/>
  <c r="AA238" i="31" s="1"/>
  <c r="Y527" i="31"/>
  <c r="AA527" i="31" s="1"/>
  <c r="Y395" i="31"/>
  <c r="AB395" i="31" s="1"/>
  <c r="Y82" i="31"/>
  <c r="AB82" i="31" s="1"/>
  <c r="Y262" i="31"/>
  <c r="AB262" i="31" s="1"/>
  <c r="Y69" i="31"/>
  <c r="AB69" i="31" s="1"/>
  <c r="Y313" i="31"/>
  <c r="AB313" i="31" s="1"/>
  <c r="Y386" i="31"/>
  <c r="AB386" i="31" s="1"/>
  <c r="Y506" i="31"/>
  <c r="AA506" i="31" s="1"/>
  <c r="Y458" i="31"/>
  <c r="AA458" i="31" s="1"/>
  <c r="Y328" i="31"/>
  <c r="AB328" i="31" s="1"/>
  <c r="Y438" i="31"/>
  <c r="AA438" i="31" s="1"/>
  <c r="Y486" i="31"/>
  <c r="AA486" i="31" s="1"/>
  <c r="Y297" i="31"/>
  <c r="AA297" i="31" s="1"/>
  <c r="Y268" i="31"/>
  <c r="AB268" i="31" s="1"/>
  <c r="Y369" i="31"/>
  <c r="AA369" i="31" s="1"/>
  <c r="Y456" i="31"/>
  <c r="AA456" i="31" s="1"/>
  <c r="Y172" i="31"/>
  <c r="AB172" i="31" s="1"/>
  <c r="Y256" i="31"/>
  <c r="AB256" i="31" s="1"/>
  <c r="Y241" i="31"/>
  <c r="AB241" i="31" s="1"/>
  <c r="Y497" i="31"/>
  <c r="AB497" i="31" s="1"/>
  <c r="Y511" i="31"/>
  <c r="AB511" i="31" s="1"/>
  <c r="Y296" i="31"/>
  <c r="AA296" i="31" s="1"/>
  <c r="Y239" i="31"/>
  <c r="AB239" i="31" s="1"/>
  <c r="Y472" i="31"/>
  <c r="AB472" i="31" s="1"/>
  <c r="Y304" i="31"/>
  <c r="AB304" i="31" s="1"/>
  <c r="Y385" i="31"/>
  <c r="AB385" i="31" s="1"/>
  <c r="Y263" i="31"/>
  <c r="AA263" i="31" s="1"/>
  <c r="Y240" i="31"/>
  <c r="AA240" i="31" s="1"/>
  <c r="Y132" i="31"/>
  <c r="AA132" i="31" s="1"/>
  <c r="Y521" i="31"/>
  <c r="AB521" i="31" s="1"/>
  <c r="Y198" i="31"/>
  <c r="AA198" i="31" s="1"/>
  <c r="Y509" i="31"/>
  <c r="AB509" i="31" s="1"/>
  <c r="Y286" i="31"/>
  <c r="AA286" i="31" s="1"/>
  <c r="Y272" i="31"/>
  <c r="AA272" i="31" s="1"/>
  <c r="Y483" i="31"/>
  <c r="AB483" i="31" s="1"/>
  <c r="Y245" i="31"/>
  <c r="AB245" i="31" s="1"/>
  <c r="Y211" i="31"/>
  <c r="AA211" i="31" s="1"/>
  <c r="Y424" i="31"/>
  <c r="AA424" i="31" s="1"/>
  <c r="Y329" i="31"/>
  <c r="AB329" i="31" s="1"/>
  <c r="Y416" i="31"/>
  <c r="AA416" i="31" s="1"/>
  <c r="Y348" i="31"/>
  <c r="AB348" i="31" s="1"/>
  <c r="Y261" i="31"/>
  <c r="AB261" i="31" s="1"/>
  <c r="Y404" i="31"/>
  <c r="AB404" i="31" s="1"/>
  <c r="Y498" i="31"/>
  <c r="AA498" i="31" s="1"/>
  <c r="Y230" i="31"/>
  <c r="AB230" i="31" s="1"/>
  <c r="Y484" i="31"/>
  <c r="AB484" i="31" s="1"/>
  <c r="Y229" i="31"/>
  <c r="AB229" i="31" s="1"/>
  <c r="Y130" i="31"/>
  <c r="AA130" i="31" s="1"/>
  <c r="Y519" i="31"/>
  <c r="AB519" i="31" s="1"/>
  <c r="Y443" i="31"/>
  <c r="AB443" i="31" s="1"/>
  <c r="Y480" i="31"/>
  <c r="AA480" i="31" s="1"/>
  <c r="Y228" i="31"/>
  <c r="AB228" i="31" s="1"/>
  <c r="Y423" i="31"/>
  <c r="AA423" i="31" s="1"/>
  <c r="Y270" i="31"/>
  <c r="AA270" i="31" s="1"/>
  <c r="Y453" i="31"/>
  <c r="AA453" i="31" s="1"/>
  <c r="Y100" i="31"/>
  <c r="AB100" i="31" s="1"/>
  <c r="Y363" i="31"/>
  <c r="AB363" i="31" s="1"/>
  <c r="Y224" i="31"/>
  <c r="AB224" i="31" s="1"/>
  <c r="F24" i="31"/>
  <c r="AA518" i="31"/>
  <c r="AA208" i="31"/>
  <c r="AB216" i="31"/>
  <c r="AB476" i="31" l="1"/>
  <c r="AB170" i="31"/>
  <c r="AB417" i="31"/>
  <c r="AB375" i="31"/>
  <c r="AB45" i="31"/>
  <c r="AA161" i="31"/>
  <c r="AB55" i="31"/>
  <c r="AB76" i="31"/>
  <c r="AB166" i="31"/>
  <c r="AB122" i="31"/>
  <c r="AA392" i="31"/>
  <c r="AB433" i="31"/>
  <c r="AB259" i="31"/>
  <c r="AA442" i="31"/>
  <c r="AA505" i="31"/>
  <c r="AB197" i="31"/>
  <c r="AA349" i="31"/>
  <c r="AA336" i="31"/>
  <c r="AA106" i="31"/>
  <c r="AB133" i="31"/>
  <c r="AB358" i="31"/>
  <c r="AA403" i="31"/>
  <c r="AA165" i="31"/>
  <c r="AA156" i="31"/>
  <c r="AA39" i="31"/>
  <c r="AA90" i="31"/>
  <c r="AA315" i="31"/>
  <c r="AA52" i="31"/>
  <c r="AB489" i="31"/>
  <c r="AB200" i="31"/>
  <c r="AA255" i="31"/>
  <c r="AA141" i="31"/>
  <c r="AA294" i="31"/>
  <c r="AA266" i="31"/>
  <c r="AB187" i="31"/>
  <c r="AB414" i="31"/>
  <c r="AA319" i="31"/>
  <c r="AA488" i="31"/>
  <c r="AB503" i="31"/>
  <c r="AB108" i="31"/>
  <c r="AA123" i="31"/>
  <c r="AB35" i="31"/>
  <c r="AA283" i="31"/>
  <c r="AA112" i="31"/>
  <c r="AA331" i="31"/>
  <c r="AA47" i="31"/>
  <c r="AB274" i="31"/>
  <c r="AB44" i="31"/>
  <c r="AA478" i="31"/>
  <c r="AA164" i="31"/>
  <c r="AA342" i="31"/>
  <c r="AA67" i="31"/>
  <c r="AA455" i="31"/>
  <c r="AA289" i="31"/>
  <c r="AB32" i="31"/>
  <c r="AA284" i="31"/>
  <c r="AB267" i="31"/>
  <c r="AA203" i="31"/>
  <c r="AA202" i="31"/>
  <c r="AA78" i="31"/>
  <c r="AB380" i="31"/>
  <c r="AB394" i="31"/>
  <c r="AA428" i="31"/>
  <c r="AB290" i="31"/>
  <c r="AA63" i="31"/>
  <c r="AB68" i="31"/>
  <c r="AB514" i="31"/>
  <c r="AB56" i="31"/>
  <c r="AB276" i="31"/>
  <c r="AB397" i="31"/>
  <c r="AA307" i="31"/>
  <c r="AB298" i="31"/>
  <c r="AA317" i="31"/>
  <c r="AA234" i="31"/>
  <c r="AA36" i="31"/>
  <c r="AB62" i="31"/>
  <c r="AA339" i="31"/>
  <c r="AA374" i="31"/>
  <c r="AA312" i="31"/>
  <c r="AA102" i="31"/>
  <c r="AB99" i="31"/>
  <c r="AB195" i="31"/>
  <c r="AB190" i="31"/>
  <c r="AA135" i="31"/>
  <c r="AA226" i="31"/>
  <c r="AB77" i="31"/>
  <c r="AA471" i="31"/>
  <c r="AA173" i="31"/>
  <c r="AA204" i="31"/>
  <c r="AA169" i="31"/>
  <c r="AA131" i="31"/>
  <c r="AB103" i="31"/>
  <c r="AB530" i="31"/>
  <c r="AA43" i="31"/>
  <c r="AA310" i="31"/>
  <c r="AB396" i="31"/>
  <c r="AA111" i="31"/>
  <c r="AA101" i="31"/>
  <c r="AA41" i="31"/>
  <c r="AA171" i="31"/>
  <c r="AA64" i="31"/>
  <c r="AB105" i="31"/>
  <c r="AB74" i="31"/>
  <c r="AA418" i="31"/>
  <c r="AB125" i="31"/>
  <c r="AB86" i="31"/>
  <c r="AA246" i="31"/>
  <c r="AB162" i="31"/>
  <c r="AA491" i="31"/>
  <c r="AB134" i="31"/>
  <c r="AB354" i="31"/>
  <c r="AA221" i="31"/>
  <c r="AB126" i="31"/>
  <c r="AB206" i="31"/>
  <c r="AB367" i="31"/>
  <c r="AA398" i="31"/>
  <c r="AA250" i="31"/>
  <c r="AB410" i="31"/>
  <c r="AB359" i="31"/>
  <c r="AB79" i="31"/>
  <c r="AB499" i="31"/>
  <c r="AB71" i="31"/>
  <c r="AB242" i="31"/>
  <c r="AA73" i="31"/>
  <c r="AA252" i="31"/>
  <c r="AA61" i="31"/>
  <c r="AA243" i="31"/>
  <c r="AB148" i="31"/>
  <c r="AA322" i="31"/>
  <c r="AA104" i="31"/>
  <c r="AB144" i="31"/>
  <c r="AA142" i="31"/>
  <c r="AA260" i="31"/>
  <c r="AA34" i="31"/>
  <c r="AA116" i="31"/>
  <c r="AA332" i="31"/>
  <c r="AB42" i="31"/>
  <c r="AA150" i="31"/>
  <c r="AB382" i="31"/>
  <c r="AA83" i="31"/>
  <c r="AB91" i="31"/>
  <c r="AB473" i="31"/>
  <c r="AA436" i="31"/>
  <c r="AA513" i="31"/>
  <c r="AB155" i="31"/>
  <c r="AA316" i="31"/>
  <c r="AA137" i="31"/>
  <c r="AA247" i="31"/>
  <c r="AA178" i="31"/>
  <c r="AB184" i="31"/>
  <c r="AB271" i="31"/>
  <c r="AB182" i="31"/>
  <c r="AB408" i="31"/>
  <c r="AA372" i="31"/>
  <c r="AA185" i="31"/>
  <c r="AA120" i="31"/>
  <c r="AB501" i="31"/>
  <c r="AA58" i="31"/>
  <c r="AA461" i="31"/>
  <c r="AB327" i="31"/>
  <c r="AA40" i="31"/>
  <c r="AA38" i="31"/>
  <c r="AB212" i="31"/>
  <c r="AA174" i="31"/>
  <c r="AA368" i="31"/>
  <c r="AA490" i="31"/>
  <c r="AA87" i="31"/>
  <c r="AA362" i="31"/>
  <c r="AB96" i="31"/>
  <c r="AA214" i="31"/>
  <c r="AA427" i="31"/>
  <c r="AA337" i="31"/>
  <c r="AA151" i="31"/>
  <c r="AA146" i="31"/>
  <c r="AB282" i="31"/>
  <c r="AA225" i="31"/>
  <c r="AB199" i="31"/>
  <c r="AA429" i="31"/>
  <c r="AA447" i="31"/>
  <c r="AA89" i="31"/>
  <c r="AA75" i="31"/>
  <c r="AA253" i="31"/>
  <c r="AA425" i="31"/>
  <c r="AA81" i="31"/>
  <c r="AB118" i="31"/>
  <c r="AB481" i="31"/>
  <c r="AB60" i="31"/>
  <c r="AB70" i="31"/>
  <c r="AA361" i="31"/>
  <c r="AB121" i="31"/>
  <c r="AB72" i="31"/>
  <c r="AA378" i="31"/>
  <c r="AA159" i="31"/>
  <c r="AA49" i="31"/>
  <c r="AB94" i="31"/>
  <c r="AB515" i="31"/>
  <c r="AB502" i="31"/>
  <c r="AA309" i="31"/>
  <c r="AB338" i="31"/>
  <c r="AB138" i="31"/>
  <c r="AA355" i="31"/>
  <c r="AA440" i="31"/>
  <c r="AB300" i="31"/>
  <c r="AA379" i="31"/>
  <c r="AB291" i="31"/>
  <c r="AB84" i="31"/>
  <c r="AA353" i="31"/>
  <c r="AB110" i="31"/>
  <c r="AA157" i="31"/>
  <c r="AA462" i="31"/>
  <c r="AB324" i="31"/>
  <c r="AB524" i="31"/>
  <c r="AA470" i="31"/>
  <c r="AB357" i="31"/>
  <c r="AA479" i="31"/>
  <c r="AA54" i="31"/>
  <c r="AB117" i="31"/>
  <c r="AA420" i="31"/>
  <c r="AA227" i="31"/>
  <c r="AB109" i="31"/>
  <c r="AA189" i="31"/>
  <c r="AA244" i="31"/>
  <c r="AA88" i="31"/>
  <c r="AA92" i="31"/>
  <c r="AB119" i="31"/>
  <c r="AB57" i="31"/>
  <c r="AA33" i="31"/>
  <c r="AB305" i="31"/>
  <c r="AB468" i="31"/>
  <c r="AA264" i="31"/>
  <c r="AB179" i="31"/>
  <c r="AA65" i="31"/>
  <c r="AB180" i="31"/>
  <c r="AA46" i="31"/>
  <c r="AA326" i="31"/>
  <c r="AA277" i="31"/>
  <c r="AB113" i="31"/>
  <c r="AB432" i="31"/>
  <c r="AA467" i="31"/>
  <c r="AA477" i="31"/>
  <c r="AA508" i="31"/>
  <c r="AB194" i="31"/>
  <c r="AB223" i="31"/>
  <c r="AA193" i="31"/>
  <c r="AA80" i="31"/>
  <c r="AB107" i="31"/>
  <c r="AA413" i="31"/>
  <c r="AA97" i="31"/>
  <c r="AB232" i="31"/>
  <c r="AB128" i="31"/>
  <c r="AA220" i="31"/>
  <c r="AB406" i="31"/>
  <c r="AB140" i="31"/>
  <c r="AB93" i="31"/>
  <c r="AB53" i="31"/>
  <c r="AB377" i="31"/>
  <c r="AB147" i="31"/>
  <c r="AB222" i="31"/>
  <c r="AA37" i="31"/>
  <c r="AB457" i="31"/>
  <c r="AA393" i="31"/>
  <c r="AA152" i="31"/>
  <c r="AA496" i="31"/>
  <c r="AA450" i="31"/>
  <c r="AB320" i="31"/>
  <c r="AB311" i="31"/>
  <c r="AB321" i="31"/>
  <c r="AB459" i="31"/>
  <c r="AB364" i="31"/>
  <c r="AB430" i="31"/>
  <c r="AB139" i="31"/>
  <c r="AB196" i="31"/>
  <c r="AB183" i="31"/>
  <c r="AB446" i="31"/>
  <c r="AB209" i="31"/>
  <c r="AB115" i="31"/>
  <c r="AA365" i="31"/>
  <c r="AB451" i="31"/>
  <c r="AA59" i="31"/>
  <c r="AB248" i="31"/>
  <c r="AA254" i="31"/>
  <c r="AB51" i="31"/>
  <c r="AA303" i="31"/>
  <c r="AA445" i="31"/>
  <c r="AB48" i="31"/>
  <c r="AB376" i="31"/>
  <c r="AA158" i="31"/>
  <c r="AA487" i="31"/>
  <c r="AB201" i="31"/>
  <c r="AA124" i="31"/>
  <c r="AB149" i="31"/>
  <c r="AA181" i="31"/>
  <c r="AB531" i="31"/>
  <c r="AA127" i="31"/>
  <c r="AA168" i="31"/>
  <c r="AB388" i="31"/>
  <c r="AA285" i="31"/>
  <c r="AA323" i="31"/>
  <c r="AA343" i="31"/>
  <c r="AB465" i="31"/>
  <c r="AA366" i="31"/>
  <c r="AB463" i="31"/>
  <c r="AB235" i="31"/>
  <c r="AB441" i="31"/>
  <c r="AA356" i="31"/>
  <c r="AB493" i="31"/>
  <c r="AB175" i="31"/>
  <c r="AA129" i="31"/>
  <c r="AB236" i="31"/>
  <c r="AB474" i="31"/>
  <c r="AA449" i="31"/>
  <c r="AB308" i="31"/>
  <c r="AB504" i="31"/>
  <c r="AA346" i="31"/>
  <c r="AA280" i="31"/>
  <c r="AA347" i="31"/>
  <c r="AA421" i="31"/>
  <c r="AB215" i="31"/>
  <c r="AB495" i="31"/>
  <c r="AB492" i="31"/>
  <c r="AA233" i="31"/>
  <c r="AB435" i="31"/>
  <c r="AA526" i="31"/>
  <c r="AA390" i="31"/>
  <c r="AA373" i="31"/>
  <c r="AA415" i="31"/>
  <c r="AA352" i="31"/>
  <c r="AB251" i="31"/>
  <c r="AB466" i="31"/>
  <c r="AA512" i="31"/>
  <c r="AA391" i="31"/>
  <c r="AA434" i="31"/>
  <c r="AA273" i="31"/>
  <c r="AA387" i="31"/>
  <c r="AB85" i="31"/>
  <c r="AB523" i="31"/>
  <c r="AA192" i="31"/>
  <c r="AB460" i="31"/>
  <c r="AA258" i="31"/>
  <c r="AA389" i="31"/>
  <c r="AA278" i="31"/>
  <c r="AA409" i="31"/>
  <c r="AA301" i="31"/>
  <c r="AB213" i="31"/>
  <c r="AA360" i="31"/>
  <c r="AB381" i="31"/>
  <c r="AB437" i="31"/>
  <c r="AA186" i="31"/>
  <c r="AB163" i="31"/>
  <c r="AB520" i="31"/>
  <c r="AB207" i="31"/>
  <c r="AB494" i="31"/>
  <c r="AB188" i="31"/>
  <c r="AB136" i="31"/>
  <c r="AA279" i="31"/>
  <c r="AA405" i="31"/>
  <c r="AB402" i="31"/>
  <c r="AA419" i="31"/>
  <c r="AA422" i="31"/>
  <c r="AA516" i="31"/>
  <c r="AA314" i="31"/>
  <c r="AB95" i="31"/>
  <c r="AA401" i="31"/>
  <c r="AA350" i="31"/>
  <c r="AB191" i="31"/>
  <c r="AB510" i="31"/>
  <c r="AA525" i="31"/>
  <c r="AB269" i="31"/>
  <c r="AB411" i="31"/>
  <c r="AB351" i="31"/>
  <c r="AA344" i="31"/>
  <c r="AA370" i="31"/>
  <c r="AA293" i="31"/>
  <c r="AA160" i="31"/>
  <c r="AB287" i="31"/>
  <c r="AB439" i="31"/>
  <c r="AA218" i="31"/>
  <c r="AA454" i="31"/>
  <c r="AA219" i="31"/>
  <c r="AA528" i="31"/>
  <c r="AA302" i="31"/>
  <c r="AB444" i="31"/>
  <c r="AB371" i="31"/>
  <c r="AA205" i="31"/>
  <c r="AA399" i="31"/>
  <c r="AB517" i="31"/>
  <c r="AA261" i="31"/>
  <c r="AA407" i="31"/>
  <c r="AB257" i="31"/>
  <c r="AB431" i="31"/>
  <c r="AB275" i="31"/>
  <c r="AB341" i="31"/>
  <c r="AB482" i="31"/>
  <c r="AB238" i="31"/>
  <c r="AB416" i="31"/>
  <c r="AA306" i="31"/>
  <c r="AB345" i="31"/>
  <c r="AB340" i="31"/>
  <c r="AB50" i="31"/>
  <c r="AB114" i="31"/>
  <c r="AB66" i="31"/>
  <c r="AA210" i="31"/>
  <c r="AA400" i="31"/>
  <c r="AB265" i="31"/>
  <c r="AA333" i="31"/>
  <c r="AA249" i="31"/>
  <c r="AA334" i="31"/>
  <c r="AA472" i="31"/>
  <c r="AB426" i="31"/>
  <c r="AA325" i="31"/>
  <c r="AB448" i="31"/>
  <c r="AB456" i="31"/>
  <c r="AB529" i="31"/>
  <c r="AA330" i="31"/>
  <c r="AA412" i="31"/>
  <c r="AB506" i="31"/>
  <c r="AB153" i="31"/>
  <c r="AB281" i="31"/>
  <c r="AA464" i="31"/>
  <c r="AA509" i="31"/>
  <c r="AB527" i="31"/>
  <c r="AB145" i="31"/>
  <c r="AA304" i="31"/>
  <c r="AA143" i="31"/>
  <c r="AA363" i="31"/>
  <c r="AB335" i="31"/>
  <c r="AA348" i="31"/>
  <c r="AB286" i="31"/>
  <c r="AB458" i="31"/>
  <c r="AB384" i="31"/>
  <c r="AA519" i="31"/>
  <c r="AA475" i="31"/>
  <c r="AA172" i="31"/>
  <c r="AA167" i="31"/>
  <c r="AA98" i="31"/>
  <c r="AB299" i="31"/>
  <c r="AB486" i="31"/>
  <c r="AB177" i="31"/>
  <c r="AB452" i="31"/>
  <c r="AA231" i="31"/>
  <c r="AA318" i="31"/>
  <c r="AA228" i="31"/>
  <c r="AB485" i="31"/>
  <c r="AA521" i="31"/>
  <c r="AA237" i="31"/>
  <c r="AA313" i="31"/>
  <c r="AB424" i="31"/>
  <c r="AB288" i="31"/>
  <c r="AB296" i="31"/>
  <c r="AA268" i="31"/>
  <c r="AB217" i="31"/>
  <c r="AB297" i="31"/>
  <c r="AA69" i="31"/>
  <c r="AB500" i="31"/>
  <c r="AA507" i="31"/>
  <c r="K25" i="31"/>
  <c r="AA511" i="31"/>
  <c r="AB211" i="31"/>
  <c r="AA176" i="31"/>
  <c r="AA292" i="31"/>
  <c r="AA229" i="31"/>
  <c r="AA328" i="31"/>
  <c r="AB272" i="31"/>
  <c r="AA383" i="31"/>
  <c r="AA443" i="31"/>
  <c r="AB263" i="31"/>
  <c r="AA385" i="31"/>
  <c r="AB295" i="31"/>
  <c r="AB438" i="31"/>
  <c r="AB522" i="31"/>
  <c r="AA256" i="31"/>
  <c r="AA395" i="31"/>
  <c r="AB469" i="31"/>
  <c r="AA82" i="31"/>
  <c r="AA224" i="31"/>
  <c r="AB369" i="31"/>
  <c r="AA239" i="31"/>
  <c r="AA100" i="31"/>
  <c r="AA329" i="31"/>
  <c r="AA154" i="31"/>
  <c r="AB453" i="31"/>
  <c r="AB198" i="31"/>
  <c r="AB130" i="31"/>
  <c r="AA386" i="31"/>
  <c r="AB240" i="31"/>
  <c r="AA245" i="31"/>
  <c r="AA497" i="31"/>
  <c r="AA262" i="31"/>
  <c r="AA241" i="31"/>
  <c r="AA404" i="31"/>
  <c r="AA483" i="31"/>
  <c r="AB498" i="31"/>
  <c r="AB132" i="31"/>
  <c r="AA230" i="31"/>
  <c r="AC32" i="31"/>
  <c r="AD98" i="31" s="1"/>
  <c r="AB480" i="31"/>
  <c r="AA484" i="31"/>
  <c r="AB270" i="31"/>
  <c r="AB423" i="31"/>
  <c r="J25" i="31"/>
  <c r="H25" i="31"/>
  <c r="G25" i="31"/>
  <c r="I25" i="31"/>
  <c r="F25" i="31"/>
  <c r="AD182" i="31" l="1"/>
  <c r="AD196" i="31"/>
  <c r="AD280" i="31"/>
  <c r="AD36" i="31"/>
  <c r="AD246" i="31"/>
  <c r="AD513" i="31"/>
  <c r="AD233" i="31"/>
  <c r="AD472" i="31"/>
  <c r="AD249" i="31"/>
  <c r="AD386" i="31"/>
  <c r="AD261" i="31"/>
  <c r="AD201" i="31"/>
  <c r="AD344" i="31"/>
  <c r="AD486" i="31"/>
  <c r="AD214" i="31"/>
  <c r="AD108" i="31"/>
  <c r="AD64" i="31"/>
  <c r="AD44" i="31"/>
  <c r="AD89" i="31"/>
  <c r="AD528" i="31"/>
  <c r="AD216" i="31"/>
  <c r="AD393" i="31"/>
  <c r="AD227" i="31"/>
  <c r="AD333" i="31"/>
  <c r="AD162" i="31"/>
  <c r="AD462" i="31"/>
  <c r="AD255" i="31"/>
  <c r="AD368" i="31"/>
  <c r="AD119" i="31"/>
  <c r="AD179" i="31"/>
  <c r="AD40" i="31"/>
  <c r="AD355" i="31"/>
  <c r="AD314" i="31"/>
  <c r="AD59" i="31"/>
  <c r="AD198" i="31"/>
  <c r="AD247" i="31"/>
  <c r="AD334" i="31"/>
  <c r="AD207" i="31"/>
  <c r="AD353" i="31"/>
  <c r="AD112" i="31"/>
  <c r="AD91" i="31"/>
  <c r="AD300" i="31"/>
  <c r="AD126" i="31"/>
  <c r="AD226" i="31"/>
  <c r="AD329" i="31"/>
  <c r="AD168" i="31"/>
  <c r="AD444" i="31"/>
  <c r="AD460" i="31"/>
  <c r="AD359" i="31"/>
  <c r="AD191" i="31"/>
  <c r="AD117" i="31"/>
  <c r="AD416" i="31"/>
  <c r="AD327" i="31"/>
  <c r="AD490" i="31"/>
  <c r="AD152" i="31"/>
  <c r="AD61" i="31"/>
  <c r="AD474" i="31"/>
  <c r="AD440" i="31"/>
  <c r="AD463" i="31"/>
  <c r="AD199" i="31"/>
  <c r="AD501" i="31"/>
  <c r="AD385" i="31"/>
  <c r="AD128" i="31"/>
  <c r="AD390" i="31"/>
  <c r="AD228" i="31"/>
  <c r="AD32" i="31"/>
  <c r="AD102" i="31"/>
  <c r="AD387" i="31"/>
  <c r="AD448" i="31"/>
  <c r="AD206" i="31"/>
  <c r="AD254" i="31"/>
  <c r="AD396" i="31"/>
  <c r="AD159" i="31"/>
  <c r="AD492" i="31"/>
  <c r="AD257" i="31"/>
  <c r="AD130" i="31"/>
  <c r="AD301" i="31"/>
  <c r="AD92" i="31"/>
  <c r="AD499" i="31"/>
  <c r="AD391" i="31"/>
  <c r="AD379" i="31"/>
  <c r="AD155" i="31"/>
  <c r="AD297" i="31"/>
  <c r="AD133" i="31"/>
  <c r="AD341" i="31"/>
  <c r="AD502" i="31"/>
  <c r="AD149" i="31"/>
  <c r="AD426" i="31"/>
  <c r="AD269" i="31"/>
  <c r="AD408" i="31"/>
  <c r="AD350" i="31"/>
  <c r="AD85" i="31"/>
  <c r="AD354" i="31"/>
  <c r="AD69" i="31"/>
  <c r="AD481" i="31"/>
  <c r="AD147" i="31"/>
  <c r="AD104" i="31"/>
  <c r="AD458" i="31"/>
  <c r="AD456" i="31"/>
  <c r="AD195" i="31"/>
  <c r="AD485" i="31"/>
  <c r="AD208" i="31"/>
  <c r="AD237" i="31"/>
  <c r="AD264" i="31"/>
  <c r="AD265" i="31"/>
  <c r="AD132" i="31"/>
  <c r="AD122" i="31"/>
  <c r="AD307" i="31"/>
  <c r="AD503" i="31"/>
  <c r="AD231" i="31"/>
  <c r="AD58" i="31"/>
  <c r="AD506" i="31"/>
  <c r="AD114" i="31"/>
  <c r="AD243" i="31"/>
  <c r="AD479" i="31"/>
  <c r="AD449" i="31"/>
  <c r="AD464" i="31"/>
  <c r="AD160" i="31"/>
  <c r="AD332" i="31"/>
  <c r="AD72" i="31"/>
  <c r="AD274" i="31"/>
  <c r="AD210" i="31"/>
  <c r="AD465" i="31"/>
  <c r="AD515" i="31"/>
  <c r="AD225" i="31"/>
  <c r="AD45" i="31"/>
  <c r="AD338" i="31"/>
  <c r="AD412" i="31"/>
  <c r="AD136" i="31"/>
  <c r="AD47" i="31"/>
  <c r="AD174" i="31"/>
  <c r="AD215" i="31"/>
  <c r="AD94" i="31"/>
  <c r="AD53" i="31"/>
  <c r="AD324" i="31"/>
  <c r="AD319" i="31"/>
  <c r="AD362" i="31"/>
  <c r="AD79" i="31"/>
  <c r="AD107" i="31"/>
  <c r="AD129" i="31"/>
  <c r="AD124" i="31"/>
  <c r="AD171" i="31"/>
  <c r="AD482" i="31"/>
  <c r="AD459" i="31"/>
  <c r="AD150" i="31"/>
  <c r="AD414" i="31"/>
  <c r="AD343" i="31"/>
  <c r="AD232" i="31"/>
  <c r="AD352" i="31"/>
  <c r="AD116" i="31"/>
  <c r="AD395" i="31"/>
  <c r="AD441" i="31"/>
  <c r="AD204" i="31"/>
  <c r="AD399" i="31"/>
  <c r="AD240" i="31"/>
  <c r="AD305" i="31"/>
  <c r="AD468" i="31"/>
  <c r="AD43" i="31"/>
  <c r="AD445" i="31"/>
  <c r="AD509" i="31"/>
  <c r="AD342" i="31"/>
  <c r="AD484" i="31"/>
  <c r="AD148" i="31"/>
  <c r="AD400" i="31"/>
  <c r="AD39" i="31"/>
  <c r="AD518" i="31"/>
  <c r="AD521" i="31"/>
  <c r="AD475" i="31"/>
  <c r="AD238" i="31"/>
  <c r="AD296" i="31"/>
  <c r="AD299" i="31"/>
  <c r="AD224" i="31"/>
  <c r="AD272" i="31"/>
  <c r="AD156" i="31"/>
  <c r="AD403" i="31"/>
  <c r="AD389" i="31"/>
  <c r="AD175" i="31"/>
  <c r="AD283" i="31"/>
  <c r="AD186" i="31"/>
  <c r="AD73" i="31"/>
  <c r="AD290" i="31"/>
  <c r="AD276" i="31"/>
  <c r="AD500" i="31"/>
  <c r="AD78" i="31"/>
  <c r="AD326" i="31"/>
  <c r="AD74" i="31"/>
  <c r="AD425" i="31"/>
  <c r="AD303" i="31"/>
  <c r="AD331" i="31"/>
  <c r="AD311" i="31"/>
  <c r="AD422" i="31"/>
  <c r="AD531" i="31"/>
  <c r="AD270" i="31"/>
  <c r="AD137" i="31"/>
  <c r="AD304" i="31"/>
  <c r="AD63" i="31"/>
  <c r="AD427" i="31"/>
  <c r="AD284" i="31"/>
  <c r="AD120" i="31"/>
  <c r="AD172" i="31"/>
  <c r="AD370" i="31"/>
  <c r="AD434" i="31"/>
  <c r="AD287" i="31"/>
  <c r="AD110" i="31"/>
  <c r="AD526" i="31"/>
  <c r="AD282" i="31"/>
  <c r="AD251" i="31"/>
  <c r="AD222" i="31"/>
  <c r="AD289" i="31"/>
  <c r="AD145" i="31"/>
  <c r="AD253" i="31"/>
  <c r="AD190" i="31"/>
  <c r="AD140" i="31"/>
  <c r="AD415" i="31"/>
  <c r="AD428" i="31"/>
  <c r="AD436" i="31"/>
  <c r="AD273" i="31"/>
  <c r="AD178" i="31"/>
  <c r="AD418" i="31"/>
  <c r="AD480" i="31"/>
  <c r="AD424" i="31"/>
  <c r="AD392" i="31"/>
  <c r="AD348" i="31"/>
  <c r="AD495" i="31"/>
  <c r="AD447" i="31"/>
  <c r="AD525" i="31"/>
  <c r="AD453" i="31"/>
  <c r="AD37" i="31"/>
  <c r="AD121" i="31"/>
  <c r="AD452" i="31"/>
  <c r="AD209" i="31"/>
  <c r="AD398" i="31"/>
  <c r="AD277" i="31"/>
  <c r="AD336" i="31"/>
  <c r="AD135" i="31"/>
  <c r="AD48" i="31"/>
  <c r="AD205" i="31"/>
  <c r="AD402" i="31"/>
  <c r="AD88" i="31"/>
  <c r="AD371" i="31"/>
  <c r="AD298" i="31"/>
  <c r="AD437" i="31"/>
  <c r="AD365" i="31"/>
  <c r="AD380" i="31"/>
  <c r="AD189" i="31"/>
  <c r="AD248" i="31"/>
  <c r="AD161" i="31"/>
  <c r="AD443" i="31"/>
  <c r="AD60" i="31"/>
  <c r="AD429" i="31"/>
  <c r="AD318" i="31"/>
  <c r="AD435" i="31"/>
  <c r="AD236" i="31"/>
  <c r="AD364" i="31"/>
  <c r="AD90" i="31"/>
  <c r="AD113" i="31"/>
  <c r="AD510" i="31"/>
  <c r="AD86" i="31"/>
  <c r="AD46" i="31"/>
  <c r="AD125" i="31"/>
  <c r="AD131" i="31"/>
  <c r="AD356" i="31"/>
  <c r="AD491" i="31"/>
  <c r="AD146" i="31"/>
  <c r="AD80" i="31"/>
  <c r="AD192" i="31"/>
  <c r="AD62" i="31"/>
  <c r="AD363" i="31"/>
  <c r="AD494" i="31"/>
  <c r="AD520" i="31"/>
  <c r="AD256" i="31"/>
  <c r="AD165" i="31"/>
  <c r="AD508" i="31"/>
  <c r="AD127" i="31"/>
  <c r="AD75" i="31"/>
  <c r="AD95" i="31"/>
  <c r="AD294" i="31"/>
  <c r="AD163" i="31"/>
  <c r="AD93" i="31"/>
  <c r="AD310" i="31"/>
  <c r="AD488" i="31"/>
  <c r="F26" i="31"/>
  <c r="AD193" i="31"/>
  <c r="AD291" i="31"/>
  <c r="AD381" i="31"/>
  <c r="AD384" i="31"/>
  <c r="AD382" i="31"/>
  <c r="AD306" i="31"/>
  <c r="AD439" i="31"/>
  <c r="AD118" i="31"/>
  <c r="AD292" i="31"/>
  <c r="AD109" i="31"/>
  <c r="AD366" i="31"/>
  <c r="AD101" i="31"/>
  <c r="AD138" i="31"/>
  <c r="AD267" i="31"/>
  <c r="AD266" i="31"/>
  <c r="AD309" i="31"/>
  <c r="AD258" i="31"/>
  <c r="AD321" i="31"/>
  <c r="AD170" i="31"/>
  <c r="AD302" i="31"/>
  <c r="AD52" i="31"/>
  <c r="AD177" i="31"/>
  <c r="AD375" i="31"/>
  <c r="AD259" i="31"/>
  <c r="AD372" i="31"/>
  <c r="AD388" i="31"/>
  <c r="AD123" i="31"/>
  <c r="AD446" i="31"/>
  <c r="AD242" i="31"/>
  <c r="AD315" i="31"/>
  <c r="AD406" i="31"/>
  <c r="AD404" i="31"/>
  <c r="AD71" i="31"/>
  <c r="AD239" i="31"/>
  <c r="AD483" i="31"/>
  <c r="AD419" i="31"/>
  <c r="AD512" i="31"/>
  <c r="AD511" i="31"/>
  <c r="AD278" i="31"/>
  <c r="AD77" i="31"/>
  <c r="AD476" i="31"/>
  <c r="AD141" i="31"/>
  <c r="AD410" i="31"/>
  <c r="AD313" i="31"/>
  <c r="AD478" i="31"/>
  <c r="AD524" i="31"/>
  <c r="AD219" i="31"/>
  <c r="AD100" i="31"/>
  <c r="AD337" i="31"/>
  <c r="AD527" i="31"/>
  <c r="AD505" i="31"/>
  <c r="AD401" i="31"/>
  <c r="AD275" i="31"/>
  <c r="AD38" i="31"/>
  <c r="AD487" i="31"/>
  <c r="AD405" i="31"/>
  <c r="AD308" i="31"/>
  <c r="AD325" i="31"/>
  <c r="AD346" i="31"/>
  <c r="AD413" i="31"/>
  <c r="AD42" i="31"/>
  <c r="AD244" i="31"/>
  <c r="AD504" i="31"/>
  <c r="AD180" i="31"/>
  <c r="AD451" i="31"/>
  <c r="AD407" i="31"/>
  <c r="AD217" i="31"/>
  <c r="AD376" i="31"/>
  <c r="AD519" i="31"/>
  <c r="AD65" i="31"/>
  <c r="AD33" i="31"/>
  <c r="AD34" i="31"/>
  <c r="AD423" i="31"/>
  <c r="AD67" i="31"/>
  <c r="AD99" i="31"/>
  <c r="AD66" i="31"/>
  <c r="AD432" i="31"/>
  <c r="AD220" i="31"/>
  <c r="AD212" i="31"/>
  <c r="AD271" i="31"/>
  <c r="AD411" i="31"/>
  <c r="AD397" i="31"/>
  <c r="AD139" i="31"/>
  <c r="AD49" i="31"/>
  <c r="AD51" i="31"/>
  <c r="AD176" i="31"/>
  <c r="AD360" i="31"/>
  <c r="AD347" i="31"/>
  <c r="AD477" i="31"/>
  <c r="AD181" i="31"/>
  <c r="AD158" i="31"/>
  <c r="AD316" i="31"/>
  <c r="AD339" i="31"/>
  <c r="AD378" i="31"/>
  <c r="AD461" i="31"/>
  <c r="AD234" i="31"/>
  <c r="AD497" i="31"/>
  <c r="AD433" i="31"/>
  <c r="AD322" i="31"/>
  <c r="AD430" i="31"/>
  <c r="AD250" i="31"/>
  <c r="AD230" i="31"/>
  <c r="AD241" i="31"/>
  <c r="AD279" i="31"/>
  <c r="AD70" i="31"/>
  <c r="AD223" i="31"/>
  <c r="AD466" i="31"/>
  <c r="AD317" i="31"/>
  <c r="AD473" i="31"/>
  <c r="AD373" i="31"/>
  <c r="AD142" i="31"/>
  <c r="AD167" i="31"/>
  <c r="AD157" i="31"/>
  <c r="AD211" i="31"/>
  <c r="AD409" i="31"/>
  <c r="AD450" i="31"/>
  <c r="AD417" i="31"/>
  <c r="AD218" i="31"/>
  <c r="AD245" i="31"/>
  <c r="AD377" i="31"/>
  <c r="AD345" i="31"/>
  <c r="AD529" i="31"/>
  <c r="AD262" i="31"/>
  <c r="AD84" i="31"/>
  <c r="AD151" i="31"/>
  <c r="AD202" i="31"/>
  <c r="AD358" i="31"/>
  <c r="AD194" i="31"/>
  <c r="AD357" i="31"/>
  <c r="AD288" i="31"/>
  <c r="AD87" i="31"/>
  <c r="AD187" i="31"/>
  <c r="AD489" i="31"/>
  <c r="AD295" i="31"/>
  <c r="AD144" i="31"/>
  <c r="AD173" i="31"/>
  <c r="AD323" i="31"/>
  <c r="AD166" i="31"/>
  <c r="AD431" i="31"/>
  <c r="AD493" i="31"/>
  <c r="AD394" i="31"/>
  <c r="AD330" i="31"/>
  <c r="AD229" i="31"/>
  <c r="AD169" i="31"/>
  <c r="AD55" i="31"/>
  <c r="AD455" i="31"/>
  <c r="AD268" i="31"/>
  <c r="AD469" i="31"/>
  <c r="AD184" i="31"/>
  <c r="AD285" i="31"/>
  <c r="AD328" i="31"/>
  <c r="AD367" i="31"/>
  <c r="AD454" i="31"/>
  <c r="AD442" i="31"/>
  <c r="AD115" i="31"/>
  <c r="AD516" i="31"/>
  <c r="AD517" i="31"/>
  <c r="AD183" i="31"/>
  <c r="AD35" i="31"/>
  <c r="AD203" i="31"/>
  <c r="AD281" i="31"/>
  <c r="AD106" i="31"/>
  <c r="AD134" i="31"/>
  <c r="AD471" i="31"/>
  <c r="AD200" i="31"/>
  <c r="AD96" i="31"/>
  <c r="AD50" i="31"/>
  <c r="AD293" i="31"/>
  <c r="AD467" i="31"/>
  <c r="AD97" i="31"/>
  <c r="AD470" i="31"/>
  <c r="AD374" i="31"/>
  <c r="AD498" i="31"/>
  <c r="AD221" i="31"/>
  <c r="AD351" i="31"/>
  <c r="AD369" i="31"/>
  <c r="AD105" i="31"/>
  <c r="AD260" i="31"/>
  <c r="AD496" i="31"/>
  <c r="AD111" i="31"/>
  <c r="AD340" i="31"/>
  <c r="AD154" i="31"/>
  <c r="AD185" i="31"/>
  <c r="AD197" i="31"/>
  <c r="AD349" i="31"/>
  <c r="AD286" i="31"/>
  <c r="AD54" i="31"/>
  <c r="AD143" i="31"/>
  <c r="AD41" i="31"/>
  <c r="AD361" i="31"/>
  <c r="AD263" i="31"/>
  <c r="AD82" i="31"/>
  <c r="AD522" i="31"/>
  <c r="AD76" i="31"/>
  <c r="AD188" i="31"/>
  <c r="AD153" i="31"/>
  <c r="AD312" i="31"/>
  <c r="AD523" i="31"/>
  <c r="AD56" i="31"/>
  <c r="AD252" i="31"/>
  <c r="AD320" i="31"/>
  <c r="AD57" i="31"/>
  <c r="AD103" i="31"/>
  <c r="AD457" i="31"/>
  <c r="AD420" i="31"/>
  <c r="AD83" i="31"/>
  <c r="AD507" i="31"/>
  <c r="AD383" i="31"/>
  <c r="AD438" i="31"/>
  <c r="AD335" i="31"/>
  <c r="AD164" i="31"/>
  <c r="AD530" i="31"/>
  <c r="AD68" i="31"/>
  <c r="AD421" i="31"/>
  <c r="AD81" i="31"/>
  <c r="AD213" i="31"/>
  <c r="AD514" i="31"/>
  <c r="AD235" i="31"/>
  <c r="W25" i="31"/>
  <c r="F27" i="3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<sst xmlns="http://schemas.openxmlformats.org/spreadsheetml/2006/main" count="67" uniqueCount="60">
  <si>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EXPERIMENTAL</t>
  </si>
  <si>
    <t>time (t)</t>
  </si>
  <si>
    <t>I(t)</t>
  </si>
  <si>
    <t>SUMS</t>
  </si>
  <si>
    <t>THEORETICAL</t>
  </si>
  <si>
    <t>Itot</t>
  </si>
  <si>
    <t>(EXPER. - THEOR.)^2</t>
  </si>
  <si>
    <t>FOM(%)</t>
  </si>
  <si>
    <t>z1</t>
  </si>
  <si>
    <t>z2</t>
  </si>
  <si>
    <t>z3</t>
  </si>
  <si>
    <t>R</t>
  </si>
  <si>
    <t>#1</t>
  </si>
  <si>
    <t>#2</t>
  </si>
  <si>
    <t>#3</t>
  </si>
  <si>
    <t>#4</t>
  </si>
  <si>
    <t>#5</t>
  </si>
  <si>
    <t>parameters</t>
  </si>
  <si>
    <t>COMPONENTS</t>
  </si>
  <si>
    <t>z4</t>
  </si>
  <si>
    <t>z5</t>
  </si>
  <si>
    <t>W(e^z1)</t>
  </si>
  <si>
    <t>W(e^z2)</t>
  </si>
  <si>
    <t>W(e^z3)</t>
  </si>
  <si>
    <t>W(e^z4)</t>
  </si>
  <si>
    <t>W(e^z5)</t>
  </si>
  <si>
    <t>I1</t>
  </si>
  <si>
    <t>I2</t>
  </si>
  <si>
    <t>I3</t>
  </si>
  <si>
    <t>I4</t>
  </si>
  <si>
    <t>I5</t>
  </si>
  <si>
    <t>DATA</t>
  </si>
  <si>
    <t>LM-OSL fitting with Lambert Wo function</t>
  </si>
  <si>
    <t>P</t>
  </si>
  <si>
    <t>backround</t>
  </si>
  <si>
    <t>© adamiani</t>
  </si>
  <si>
    <t>Afit</t>
  </si>
  <si>
    <t>FOM</t>
  </si>
  <si>
    <t>Least squares</t>
  </si>
  <si>
    <t>background</t>
  </si>
  <si>
    <t>Im</t>
  </si>
  <si>
    <t>tm</t>
  </si>
  <si>
    <t>z1m</t>
  </si>
  <si>
    <t>z2m</t>
  </si>
  <si>
    <t>z3m</t>
  </si>
  <si>
    <t>z4m</t>
  </si>
  <si>
    <t>z5m</t>
  </si>
  <si>
    <t>W(z1m)</t>
  </si>
  <si>
    <t>W(z2m)</t>
  </si>
  <si>
    <t>W(z3m)</t>
  </si>
  <si>
    <t>W(z4m)</t>
  </si>
  <si>
    <t>W(z5m)</t>
  </si>
  <si>
    <t>(EXPER.-THER.)</t>
  </si>
  <si>
    <t>Iph</t>
  </si>
  <si>
    <t>λ</t>
  </si>
  <si>
    <t>Phos</t>
  </si>
  <si>
    <t>Contribution (%)</t>
  </si>
  <si>
    <t>FLM-OSL</t>
  </si>
  <si>
    <t>τ</t>
  </si>
  <si>
    <t>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</si>
</sst>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sz val="11"/>
      <color rgb="FFC00000"/>
      <name val="Calibri"/>
      <family val="2"/>
      <charset val="161"/>
      <scheme val="minor"/>
    </font>
    <font>
      <b/>
      <sz val="14"/>
      <color rgb="FFC00000"/>
      <name val="Calibri"/>
      <family val="2"/>
      <charset val="161"/>
      <scheme val="minor"/>
    </font>
    <font>
      <b/>
      <sz val="11"/>
      <color rgb="FFC00000"/>
      <name val="Calibri"/>
      <family val="2"/>
      <charset val="161"/>
      <scheme val="minor"/>
    </font>
    <font>
      <b/>
      <i/>
      <sz val="11"/>
      <color theme="1"/>
      <name val="Calibri"/>
      <family val="2"/>
      <charset val="161"/>
      <scheme val="minor"/>
    </font>
    <font>
      <b/>
      <i/>
      <sz val="10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2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7" fillId="33" borderId="0" applyNumberFormat="0" applyBorder="0" applyAlignment="0" applyProtection="0"/>
  </cellStyleXfs>
  <cellXfs count="35">
    <xf numFmtId="0" fontId="0" fillId="0" borderId="0" xfId="0"/>
    <xf numFmtId="0" fontId="20" fillId="2" borderId="0" xfId="0" applyFont="1" applyFill="1" applyAlignment="1" applyProtection="1"/>
    <xf numFmtId="0" fontId="0" fillId="2" borderId="0" xfId="0" applyFill="1" applyProtection="1"/>
    <xf numFmtId="0" fontId="0" fillId="0" borderId="0" xfId="0" applyProtection="1"/>
    <xf numFmtId="0" fontId="0" fillId="36" borderId="0" xfId="0" applyFill="1" applyProtection="1"/>
    <xf numFmtId="0" fontId="1" fillId="0" borderId="0" xfId="0" applyFont="1" applyProtection="1"/>
    <xf numFmtId="0" fontId="24" fillId="2" borderId="0" xfId="0" applyFont="1" applyFill="1" applyProtection="1"/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/>
    <xf numFmtId="0" fontId="23" fillId="36" borderId="0" xfId="0" applyFont="1" applyFill="1" applyAlignment="1" applyProtection="1">
      <alignment horizontal="right"/>
    </xf>
    <xf numFmtId="0" fontId="22" fillId="36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right"/>
    </xf>
    <xf numFmtId="0" fontId="0" fillId="0" borderId="0" xfId="0" applyFill="1" applyProtection="1"/>
    <xf numFmtId="0" fontId="18" fillId="0" borderId="0" xfId="0" applyFont="1" applyAlignment="1" applyProtection="1">
      <alignment horizontal="right"/>
    </xf>
    <xf numFmtId="49" fontId="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right"/>
    </xf>
    <xf numFmtId="0" fontId="19" fillId="0" borderId="0" xfId="0" applyFont="1" applyAlignment="1" applyProtection="1">
      <alignment horizontal="center"/>
    </xf>
    <xf numFmtId="0" fontId="0" fillId="35" borderId="0" xfId="0" applyFill="1" applyProtection="1"/>
    <xf numFmtId="0" fontId="1" fillId="0" borderId="0" xfId="0" applyFont="1" applyAlignment="1" applyProtection="1">
      <alignment horizontal="center"/>
    </xf>
    <xf numFmtId="0" fontId="0" fillId="34" borderId="0" xfId="0" applyFill="1" applyProtection="1"/>
    <xf numFmtId="0" fontId="0" fillId="34" borderId="0" xfId="0" applyFill="1"/>
    <xf numFmtId="0" fontId="26" fillId="37" borderId="0" xfId="0" applyFont="1" applyFill="1" applyAlignment="1" applyProtection="1">
      <alignment horizontal="right"/>
    </xf>
    <xf numFmtId="0" fontId="26" fillId="37" borderId="0" xfId="0" applyFont="1" applyFill="1" applyProtection="1"/>
    <xf numFmtId="0" fontId="25" fillId="38" borderId="0" xfId="0" applyFont="1" applyFill="1" applyAlignment="1" applyProtection="1">
      <alignment horizontal="right"/>
    </xf>
    <xf numFmtId="0" fontId="25" fillId="38" borderId="0" xfId="0" applyFont="1" applyFill="1" applyProtection="1"/>
    <xf numFmtId="0" fontId="2" fillId="38" borderId="0" xfId="0" applyFont="1" applyFill="1" applyProtection="1"/>
    <xf numFmtId="0" fontId="0" fillId="0" borderId="0" xfId="0" applyAlignment="1" applyProtection="1">
      <alignment horizontal="center"/>
    </xf>
    <xf numFmtId="0" fontId="27" fillId="0" borderId="0" xfId="0" applyFont="1" applyAlignment="1">
      <alignment horizontal="center"/>
    </xf>
    <xf numFmtId="0" fontId="22" fillId="39" borderId="0" xfId="0" applyFont="1" applyFill="1" applyAlignment="1" applyProtection="1">
      <alignment horizontal="center"/>
    </xf>
    <xf numFmtId="0" fontId="27" fillId="39" borderId="0" xfId="0" applyFont="1" applyFill="1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36" borderId="0" xfId="0" applyFont="1" applyFill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367364253123319"/>
          <c:y val="3.7775985806267745E-2"/>
          <c:w val="0.64397450434123171"/>
          <c:h val="0.84658189373941439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'LM-OSL'!$D$32:$D$1031</c:f>
              <c:numCache>
                <c:formatCode>General</c:formatCode>
                <c:ptCount val="1000"/>
                <c:pt idx="0">
                  <c:v>9133</c:v>
                </c:pt>
                <c:pt idx="1">
                  <c:v>20200</c:v>
                </c:pt>
                <c:pt idx="2">
                  <c:v>30377</c:v>
                </c:pt>
                <c:pt idx="3">
                  <c:v>38104</c:v>
                </c:pt>
                <c:pt idx="4">
                  <c:v>43662</c:v>
                </c:pt>
                <c:pt idx="5">
                  <c:v>47562</c:v>
                </c:pt>
                <c:pt idx="6">
                  <c:v>50290</c:v>
                </c:pt>
                <c:pt idx="7">
                  <c:v>51794</c:v>
                </c:pt>
                <c:pt idx="8">
                  <c:v>51927</c:v>
                </c:pt>
                <c:pt idx="9">
                  <c:v>50938</c:v>
                </c:pt>
                <c:pt idx="10">
                  <c:v>49954</c:v>
                </c:pt>
                <c:pt idx="11">
                  <c:v>48081</c:v>
                </c:pt>
                <c:pt idx="12">
                  <c:v>45731</c:v>
                </c:pt>
                <c:pt idx="13">
                  <c:v>43408</c:v>
                </c:pt>
                <c:pt idx="14">
                  <c:v>40659</c:v>
                </c:pt>
                <c:pt idx="15">
                  <c:v>37558</c:v>
                </c:pt>
                <c:pt idx="16">
                  <c:v>35295</c:v>
                </c:pt>
                <c:pt idx="17">
                  <c:v>32789</c:v>
                </c:pt>
                <c:pt idx="18">
                  <c:v>29994</c:v>
                </c:pt>
                <c:pt idx="19">
                  <c:v>27954</c:v>
                </c:pt>
                <c:pt idx="20">
                  <c:v>25950</c:v>
                </c:pt>
                <c:pt idx="21">
                  <c:v>23882</c:v>
                </c:pt>
                <c:pt idx="22">
                  <c:v>21911</c:v>
                </c:pt>
                <c:pt idx="23">
                  <c:v>20310</c:v>
                </c:pt>
                <c:pt idx="24">
                  <c:v>18574</c:v>
                </c:pt>
                <c:pt idx="25">
                  <c:v>17483</c:v>
                </c:pt>
                <c:pt idx="26">
                  <c:v>16209</c:v>
                </c:pt>
                <c:pt idx="27">
                  <c:v>15088</c:v>
                </c:pt>
                <c:pt idx="28">
                  <c:v>13862</c:v>
                </c:pt>
                <c:pt idx="29">
                  <c:v>13025</c:v>
                </c:pt>
                <c:pt idx="30">
                  <c:v>12248</c:v>
                </c:pt>
                <c:pt idx="31">
                  <c:v>11524</c:v>
                </c:pt>
                <c:pt idx="32">
                  <c:v>10872</c:v>
                </c:pt>
                <c:pt idx="33">
                  <c:v>10314</c:v>
                </c:pt>
                <c:pt idx="34">
                  <c:v>9750</c:v>
                </c:pt>
                <c:pt idx="35">
                  <c:v>9423</c:v>
                </c:pt>
                <c:pt idx="36">
                  <c:v>8749</c:v>
                </c:pt>
                <c:pt idx="37">
                  <c:v>8524</c:v>
                </c:pt>
                <c:pt idx="38">
                  <c:v>8209</c:v>
                </c:pt>
                <c:pt idx="39">
                  <c:v>7799</c:v>
                </c:pt>
                <c:pt idx="40">
                  <c:v>7530</c:v>
                </c:pt>
                <c:pt idx="41">
                  <c:v>7408</c:v>
                </c:pt>
                <c:pt idx="42">
                  <c:v>7296</c:v>
                </c:pt>
                <c:pt idx="43">
                  <c:v>7043</c:v>
                </c:pt>
                <c:pt idx="44">
                  <c:v>6825</c:v>
                </c:pt>
                <c:pt idx="45">
                  <c:v>6825</c:v>
                </c:pt>
                <c:pt idx="46">
                  <c:v>6416</c:v>
                </c:pt>
                <c:pt idx="47">
                  <c:v>6510</c:v>
                </c:pt>
                <c:pt idx="48">
                  <c:v>6357</c:v>
                </c:pt>
                <c:pt idx="49">
                  <c:v>6420</c:v>
                </c:pt>
                <c:pt idx="50">
                  <c:v>6122</c:v>
                </c:pt>
                <c:pt idx="51">
                  <c:v>6251</c:v>
                </c:pt>
                <c:pt idx="52">
                  <c:v>6155</c:v>
                </c:pt>
                <c:pt idx="53">
                  <c:v>6027</c:v>
                </c:pt>
                <c:pt idx="54">
                  <c:v>6035</c:v>
                </c:pt>
                <c:pt idx="55">
                  <c:v>5835</c:v>
                </c:pt>
                <c:pt idx="56">
                  <c:v>6006</c:v>
                </c:pt>
                <c:pt idx="57">
                  <c:v>5960</c:v>
                </c:pt>
                <c:pt idx="58">
                  <c:v>5964</c:v>
                </c:pt>
                <c:pt idx="59">
                  <c:v>5993</c:v>
                </c:pt>
                <c:pt idx="60">
                  <c:v>5867</c:v>
                </c:pt>
                <c:pt idx="61">
                  <c:v>5827</c:v>
                </c:pt>
                <c:pt idx="62">
                  <c:v>5856</c:v>
                </c:pt>
                <c:pt idx="63">
                  <c:v>5938</c:v>
                </c:pt>
                <c:pt idx="64">
                  <c:v>5928</c:v>
                </c:pt>
                <c:pt idx="65">
                  <c:v>5871</c:v>
                </c:pt>
                <c:pt idx="66">
                  <c:v>5910</c:v>
                </c:pt>
                <c:pt idx="67">
                  <c:v>5883</c:v>
                </c:pt>
                <c:pt idx="68">
                  <c:v>6064</c:v>
                </c:pt>
                <c:pt idx="69">
                  <c:v>5871</c:v>
                </c:pt>
                <c:pt idx="70">
                  <c:v>5981</c:v>
                </c:pt>
                <c:pt idx="71">
                  <c:v>5961</c:v>
                </c:pt>
                <c:pt idx="72">
                  <c:v>5778</c:v>
                </c:pt>
                <c:pt idx="73">
                  <c:v>5983</c:v>
                </c:pt>
                <c:pt idx="74">
                  <c:v>6075</c:v>
                </c:pt>
                <c:pt idx="75">
                  <c:v>6129</c:v>
                </c:pt>
                <c:pt idx="76">
                  <c:v>5811</c:v>
                </c:pt>
                <c:pt idx="77">
                  <c:v>6044</c:v>
                </c:pt>
                <c:pt idx="78">
                  <c:v>6086</c:v>
                </c:pt>
                <c:pt idx="79">
                  <c:v>6044</c:v>
                </c:pt>
                <c:pt idx="80">
                  <c:v>6059</c:v>
                </c:pt>
                <c:pt idx="81">
                  <c:v>5973</c:v>
                </c:pt>
                <c:pt idx="82">
                  <c:v>5878</c:v>
                </c:pt>
                <c:pt idx="83">
                  <c:v>5954</c:v>
                </c:pt>
                <c:pt idx="84">
                  <c:v>5966</c:v>
                </c:pt>
                <c:pt idx="85">
                  <c:v>6012</c:v>
                </c:pt>
                <c:pt idx="86">
                  <c:v>6081</c:v>
                </c:pt>
                <c:pt idx="87">
                  <c:v>6086</c:v>
                </c:pt>
                <c:pt idx="88">
                  <c:v>6102</c:v>
                </c:pt>
                <c:pt idx="89">
                  <c:v>5997</c:v>
                </c:pt>
                <c:pt idx="90">
                  <c:v>5986</c:v>
                </c:pt>
                <c:pt idx="91">
                  <c:v>6055</c:v>
                </c:pt>
                <c:pt idx="92">
                  <c:v>6106</c:v>
                </c:pt>
                <c:pt idx="93">
                  <c:v>6288</c:v>
                </c:pt>
                <c:pt idx="94">
                  <c:v>6244</c:v>
                </c:pt>
                <c:pt idx="95">
                  <c:v>6108</c:v>
                </c:pt>
                <c:pt idx="96">
                  <c:v>6158</c:v>
                </c:pt>
                <c:pt idx="97">
                  <c:v>6176</c:v>
                </c:pt>
                <c:pt idx="98">
                  <c:v>6143</c:v>
                </c:pt>
                <c:pt idx="99">
                  <c:v>6209</c:v>
                </c:pt>
                <c:pt idx="100">
                  <c:v>6318</c:v>
                </c:pt>
                <c:pt idx="101">
                  <c:v>6026</c:v>
                </c:pt>
                <c:pt idx="102">
                  <c:v>6245</c:v>
                </c:pt>
                <c:pt idx="103">
                  <c:v>6326</c:v>
                </c:pt>
                <c:pt idx="104">
                  <c:v>6109</c:v>
                </c:pt>
                <c:pt idx="105">
                  <c:v>6198</c:v>
                </c:pt>
                <c:pt idx="106">
                  <c:v>6285</c:v>
                </c:pt>
                <c:pt idx="107">
                  <c:v>6207</c:v>
                </c:pt>
                <c:pt idx="108">
                  <c:v>6191</c:v>
                </c:pt>
                <c:pt idx="109">
                  <c:v>6188</c:v>
                </c:pt>
                <c:pt idx="110">
                  <c:v>6341</c:v>
                </c:pt>
                <c:pt idx="111">
                  <c:v>6273</c:v>
                </c:pt>
                <c:pt idx="112">
                  <c:v>6192</c:v>
                </c:pt>
                <c:pt idx="113">
                  <c:v>6270</c:v>
                </c:pt>
                <c:pt idx="114">
                  <c:v>6142</c:v>
                </c:pt>
                <c:pt idx="115">
                  <c:v>6141</c:v>
                </c:pt>
                <c:pt idx="116">
                  <c:v>6275</c:v>
                </c:pt>
                <c:pt idx="117">
                  <c:v>6310</c:v>
                </c:pt>
                <c:pt idx="118">
                  <c:v>6203</c:v>
                </c:pt>
                <c:pt idx="119">
                  <c:v>6197</c:v>
                </c:pt>
                <c:pt idx="120">
                  <c:v>6241</c:v>
                </c:pt>
                <c:pt idx="121">
                  <c:v>6423</c:v>
                </c:pt>
                <c:pt idx="122">
                  <c:v>6251</c:v>
                </c:pt>
                <c:pt idx="123">
                  <c:v>6340</c:v>
                </c:pt>
                <c:pt idx="124">
                  <c:v>6289</c:v>
                </c:pt>
                <c:pt idx="125">
                  <c:v>6190</c:v>
                </c:pt>
                <c:pt idx="126">
                  <c:v>6155</c:v>
                </c:pt>
                <c:pt idx="127">
                  <c:v>6335</c:v>
                </c:pt>
                <c:pt idx="128">
                  <c:v>6142</c:v>
                </c:pt>
                <c:pt idx="129">
                  <c:v>6193</c:v>
                </c:pt>
                <c:pt idx="130">
                  <c:v>6187</c:v>
                </c:pt>
                <c:pt idx="131">
                  <c:v>6152</c:v>
                </c:pt>
                <c:pt idx="132">
                  <c:v>6430</c:v>
                </c:pt>
                <c:pt idx="133">
                  <c:v>6122</c:v>
                </c:pt>
                <c:pt idx="134">
                  <c:v>6153</c:v>
                </c:pt>
                <c:pt idx="135">
                  <c:v>6246</c:v>
                </c:pt>
                <c:pt idx="136">
                  <c:v>6233</c:v>
                </c:pt>
                <c:pt idx="137">
                  <c:v>6282</c:v>
                </c:pt>
                <c:pt idx="138">
                  <c:v>6079</c:v>
                </c:pt>
                <c:pt idx="139">
                  <c:v>6269</c:v>
                </c:pt>
                <c:pt idx="140">
                  <c:v>6199</c:v>
                </c:pt>
                <c:pt idx="141">
                  <c:v>6210</c:v>
                </c:pt>
                <c:pt idx="142">
                  <c:v>6141</c:v>
                </c:pt>
                <c:pt idx="143">
                  <c:v>6053</c:v>
                </c:pt>
                <c:pt idx="144">
                  <c:v>6127</c:v>
                </c:pt>
                <c:pt idx="145">
                  <c:v>6185</c:v>
                </c:pt>
                <c:pt idx="146">
                  <c:v>6144</c:v>
                </c:pt>
                <c:pt idx="147">
                  <c:v>6179</c:v>
                </c:pt>
                <c:pt idx="148">
                  <c:v>6105</c:v>
                </c:pt>
                <c:pt idx="149">
                  <c:v>6082</c:v>
                </c:pt>
                <c:pt idx="150">
                  <c:v>6043</c:v>
                </c:pt>
                <c:pt idx="151">
                  <c:v>5971</c:v>
                </c:pt>
                <c:pt idx="152">
                  <c:v>6092</c:v>
                </c:pt>
                <c:pt idx="153">
                  <c:v>6057</c:v>
                </c:pt>
                <c:pt idx="154">
                  <c:v>6017</c:v>
                </c:pt>
                <c:pt idx="155">
                  <c:v>6088</c:v>
                </c:pt>
                <c:pt idx="156">
                  <c:v>5831</c:v>
                </c:pt>
                <c:pt idx="157">
                  <c:v>5996</c:v>
                </c:pt>
                <c:pt idx="158">
                  <c:v>5914</c:v>
                </c:pt>
                <c:pt idx="159">
                  <c:v>6052</c:v>
                </c:pt>
                <c:pt idx="160">
                  <c:v>5957</c:v>
                </c:pt>
                <c:pt idx="161">
                  <c:v>5905</c:v>
                </c:pt>
                <c:pt idx="162">
                  <c:v>6066</c:v>
                </c:pt>
                <c:pt idx="163">
                  <c:v>5800</c:v>
                </c:pt>
                <c:pt idx="164">
                  <c:v>5905</c:v>
                </c:pt>
                <c:pt idx="165">
                  <c:v>5883</c:v>
                </c:pt>
                <c:pt idx="166">
                  <c:v>5864</c:v>
                </c:pt>
                <c:pt idx="167">
                  <c:v>5828</c:v>
                </c:pt>
                <c:pt idx="168">
                  <c:v>5884</c:v>
                </c:pt>
                <c:pt idx="169">
                  <c:v>5866</c:v>
                </c:pt>
                <c:pt idx="170">
                  <c:v>5891</c:v>
                </c:pt>
                <c:pt idx="171">
                  <c:v>5973</c:v>
                </c:pt>
                <c:pt idx="172">
                  <c:v>5952</c:v>
                </c:pt>
                <c:pt idx="173">
                  <c:v>5735</c:v>
                </c:pt>
                <c:pt idx="174">
                  <c:v>5756</c:v>
                </c:pt>
                <c:pt idx="175">
                  <c:v>5835</c:v>
                </c:pt>
                <c:pt idx="176">
                  <c:v>5650</c:v>
                </c:pt>
                <c:pt idx="177">
                  <c:v>5732</c:v>
                </c:pt>
                <c:pt idx="178">
                  <c:v>5660</c:v>
                </c:pt>
                <c:pt idx="179">
                  <c:v>5661</c:v>
                </c:pt>
                <c:pt idx="180">
                  <c:v>5760</c:v>
                </c:pt>
                <c:pt idx="181">
                  <c:v>5849</c:v>
                </c:pt>
                <c:pt idx="182">
                  <c:v>5749</c:v>
                </c:pt>
                <c:pt idx="183">
                  <c:v>5545</c:v>
                </c:pt>
                <c:pt idx="184">
                  <c:v>5550</c:v>
                </c:pt>
                <c:pt idx="185">
                  <c:v>5622</c:v>
                </c:pt>
                <c:pt idx="186">
                  <c:v>5672</c:v>
                </c:pt>
                <c:pt idx="187">
                  <c:v>5682</c:v>
                </c:pt>
                <c:pt idx="188">
                  <c:v>5451</c:v>
                </c:pt>
                <c:pt idx="189">
                  <c:v>5582</c:v>
                </c:pt>
                <c:pt idx="190">
                  <c:v>5456</c:v>
                </c:pt>
                <c:pt idx="191">
                  <c:v>5553</c:v>
                </c:pt>
                <c:pt idx="192">
                  <c:v>5583</c:v>
                </c:pt>
                <c:pt idx="193">
                  <c:v>5340</c:v>
                </c:pt>
                <c:pt idx="194">
                  <c:v>5519</c:v>
                </c:pt>
                <c:pt idx="195">
                  <c:v>5514</c:v>
                </c:pt>
                <c:pt idx="196">
                  <c:v>5417</c:v>
                </c:pt>
                <c:pt idx="197">
                  <c:v>5556</c:v>
                </c:pt>
                <c:pt idx="198">
                  <c:v>5350</c:v>
                </c:pt>
                <c:pt idx="199">
                  <c:v>5403</c:v>
                </c:pt>
                <c:pt idx="200">
                  <c:v>5377</c:v>
                </c:pt>
                <c:pt idx="201">
                  <c:v>5345</c:v>
                </c:pt>
                <c:pt idx="202">
                  <c:v>5395</c:v>
                </c:pt>
                <c:pt idx="203">
                  <c:v>5278</c:v>
                </c:pt>
                <c:pt idx="204">
                  <c:v>5401</c:v>
                </c:pt>
                <c:pt idx="205">
                  <c:v>5319</c:v>
                </c:pt>
                <c:pt idx="206">
                  <c:v>5361</c:v>
                </c:pt>
                <c:pt idx="207">
                  <c:v>5327</c:v>
                </c:pt>
                <c:pt idx="208">
                  <c:v>5294</c:v>
                </c:pt>
                <c:pt idx="209">
                  <c:v>5197</c:v>
                </c:pt>
                <c:pt idx="210">
                  <c:v>5342</c:v>
                </c:pt>
                <c:pt idx="211">
                  <c:v>5233</c:v>
                </c:pt>
                <c:pt idx="212">
                  <c:v>5202</c:v>
                </c:pt>
                <c:pt idx="213">
                  <c:v>5165</c:v>
                </c:pt>
                <c:pt idx="214">
                  <c:v>5111</c:v>
                </c:pt>
                <c:pt idx="215">
                  <c:v>5083</c:v>
                </c:pt>
                <c:pt idx="216">
                  <c:v>5139</c:v>
                </c:pt>
                <c:pt idx="217">
                  <c:v>5059</c:v>
                </c:pt>
                <c:pt idx="218">
                  <c:v>5062</c:v>
                </c:pt>
                <c:pt idx="219">
                  <c:v>5122</c:v>
                </c:pt>
                <c:pt idx="220">
                  <c:v>5166</c:v>
                </c:pt>
                <c:pt idx="221">
                  <c:v>5086</c:v>
                </c:pt>
                <c:pt idx="222">
                  <c:v>5128</c:v>
                </c:pt>
                <c:pt idx="223">
                  <c:v>4846</c:v>
                </c:pt>
                <c:pt idx="224">
                  <c:v>4988</c:v>
                </c:pt>
                <c:pt idx="225">
                  <c:v>5036</c:v>
                </c:pt>
                <c:pt idx="226">
                  <c:v>4874</c:v>
                </c:pt>
                <c:pt idx="227">
                  <c:v>5057</c:v>
                </c:pt>
                <c:pt idx="228">
                  <c:v>4878</c:v>
                </c:pt>
                <c:pt idx="229">
                  <c:v>4821</c:v>
                </c:pt>
                <c:pt idx="230">
                  <c:v>4925</c:v>
                </c:pt>
                <c:pt idx="231">
                  <c:v>4942</c:v>
                </c:pt>
                <c:pt idx="232">
                  <c:v>4788</c:v>
                </c:pt>
                <c:pt idx="233">
                  <c:v>4682</c:v>
                </c:pt>
                <c:pt idx="234">
                  <c:v>4884</c:v>
                </c:pt>
                <c:pt idx="235">
                  <c:v>4826</c:v>
                </c:pt>
                <c:pt idx="236">
                  <c:v>4846</c:v>
                </c:pt>
                <c:pt idx="237">
                  <c:v>4810</c:v>
                </c:pt>
                <c:pt idx="238">
                  <c:v>4751</c:v>
                </c:pt>
                <c:pt idx="239">
                  <c:v>4619</c:v>
                </c:pt>
                <c:pt idx="240">
                  <c:v>4782</c:v>
                </c:pt>
                <c:pt idx="241">
                  <c:v>4685</c:v>
                </c:pt>
                <c:pt idx="242">
                  <c:v>4584</c:v>
                </c:pt>
                <c:pt idx="243">
                  <c:v>4570</c:v>
                </c:pt>
                <c:pt idx="244">
                  <c:v>4514</c:v>
                </c:pt>
                <c:pt idx="245">
                  <c:v>4620</c:v>
                </c:pt>
                <c:pt idx="246">
                  <c:v>4505</c:v>
                </c:pt>
                <c:pt idx="247">
                  <c:v>4543</c:v>
                </c:pt>
                <c:pt idx="248">
                  <c:v>4629</c:v>
                </c:pt>
                <c:pt idx="249">
                  <c:v>4542</c:v>
                </c:pt>
                <c:pt idx="250">
                  <c:v>4613</c:v>
                </c:pt>
                <c:pt idx="251">
                  <c:v>4378</c:v>
                </c:pt>
                <c:pt idx="252">
                  <c:v>4631</c:v>
                </c:pt>
                <c:pt idx="253">
                  <c:v>4420</c:v>
                </c:pt>
                <c:pt idx="254">
                  <c:v>4546</c:v>
                </c:pt>
                <c:pt idx="255">
                  <c:v>4428</c:v>
                </c:pt>
                <c:pt idx="256">
                  <c:v>4449</c:v>
                </c:pt>
                <c:pt idx="257">
                  <c:v>4485</c:v>
                </c:pt>
                <c:pt idx="258">
                  <c:v>4444</c:v>
                </c:pt>
                <c:pt idx="259">
                  <c:v>4419</c:v>
                </c:pt>
                <c:pt idx="260">
                  <c:v>4380</c:v>
                </c:pt>
                <c:pt idx="261">
                  <c:v>4319</c:v>
                </c:pt>
                <c:pt idx="262">
                  <c:v>4225</c:v>
                </c:pt>
                <c:pt idx="263">
                  <c:v>4261</c:v>
                </c:pt>
                <c:pt idx="264">
                  <c:v>4214</c:v>
                </c:pt>
                <c:pt idx="265">
                  <c:v>4324</c:v>
                </c:pt>
                <c:pt idx="266">
                  <c:v>4312</c:v>
                </c:pt>
                <c:pt idx="267">
                  <c:v>4303</c:v>
                </c:pt>
                <c:pt idx="268">
                  <c:v>4323</c:v>
                </c:pt>
                <c:pt idx="269">
                  <c:v>4216</c:v>
                </c:pt>
                <c:pt idx="270">
                  <c:v>4070</c:v>
                </c:pt>
                <c:pt idx="271">
                  <c:v>4165</c:v>
                </c:pt>
                <c:pt idx="272">
                  <c:v>4078</c:v>
                </c:pt>
                <c:pt idx="273">
                  <c:v>4037</c:v>
                </c:pt>
                <c:pt idx="274">
                  <c:v>4113</c:v>
                </c:pt>
                <c:pt idx="275">
                  <c:v>4146</c:v>
                </c:pt>
                <c:pt idx="276">
                  <c:v>4085</c:v>
                </c:pt>
                <c:pt idx="277">
                  <c:v>4072</c:v>
                </c:pt>
                <c:pt idx="278">
                  <c:v>4107</c:v>
                </c:pt>
                <c:pt idx="279">
                  <c:v>4113</c:v>
                </c:pt>
                <c:pt idx="280">
                  <c:v>4023</c:v>
                </c:pt>
                <c:pt idx="281">
                  <c:v>4039</c:v>
                </c:pt>
                <c:pt idx="282">
                  <c:v>4070</c:v>
                </c:pt>
                <c:pt idx="283">
                  <c:v>4011</c:v>
                </c:pt>
                <c:pt idx="284">
                  <c:v>4029</c:v>
                </c:pt>
                <c:pt idx="285">
                  <c:v>3998</c:v>
                </c:pt>
                <c:pt idx="286">
                  <c:v>3947</c:v>
                </c:pt>
                <c:pt idx="287">
                  <c:v>3980</c:v>
                </c:pt>
                <c:pt idx="288">
                  <c:v>3990</c:v>
                </c:pt>
                <c:pt idx="289">
                  <c:v>3996</c:v>
                </c:pt>
                <c:pt idx="290">
                  <c:v>3937</c:v>
                </c:pt>
                <c:pt idx="291">
                  <c:v>3936</c:v>
                </c:pt>
                <c:pt idx="292">
                  <c:v>3969</c:v>
                </c:pt>
                <c:pt idx="293">
                  <c:v>3918</c:v>
                </c:pt>
                <c:pt idx="294">
                  <c:v>3845</c:v>
                </c:pt>
                <c:pt idx="295">
                  <c:v>3892</c:v>
                </c:pt>
                <c:pt idx="296">
                  <c:v>3802</c:v>
                </c:pt>
                <c:pt idx="297">
                  <c:v>3732</c:v>
                </c:pt>
                <c:pt idx="298">
                  <c:v>3792</c:v>
                </c:pt>
                <c:pt idx="299">
                  <c:v>3747</c:v>
                </c:pt>
                <c:pt idx="300">
                  <c:v>3820</c:v>
                </c:pt>
                <c:pt idx="301">
                  <c:v>3804</c:v>
                </c:pt>
                <c:pt idx="302">
                  <c:v>3646</c:v>
                </c:pt>
                <c:pt idx="303">
                  <c:v>3711</c:v>
                </c:pt>
                <c:pt idx="304">
                  <c:v>3768</c:v>
                </c:pt>
                <c:pt idx="305">
                  <c:v>3657</c:v>
                </c:pt>
                <c:pt idx="306">
                  <c:v>3656</c:v>
                </c:pt>
                <c:pt idx="307">
                  <c:v>3702</c:v>
                </c:pt>
                <c:pt idx="308">
                  <c:v>3717</c:v>
                </c:pt>
                <c:pt idx="309">
                  <c:v>3731</c:v>
                </c:pt>
                <c:pt idx="310">
                  <c:v>3595</c:v>
                </c:pt>
                <c:pt idx="311">
                  <c:v>3512</c:v>
                </c:pt>
                <c:pt idx="312">
                  <c:v>3637</c:v>
                </c:pt>
                <c:pt idx="313">
                  <c:v>3682</c:v>
                </c:pt>
                <c:pt idx="314">
                  <c:v>3623</c:v>
                </c:pt>
                <c:pt idx="315">
                  <c:v>3553</c:v>
                </c:pt>
                <c:pt idx="316">
                  <c:v>3631</c:v>
                </c:pt>
                <c:pt idx="317">
                  <c:v>3576</c:v>
                </c:pt>
                <c:pt idx="318">
                  <c:v>3533</c:v>
                </c:pt>
                <c:pt idx="319">
                  <c:v>3608</c:v>
                </c:pt>
                <c:pt idx="320">
                  <c:v>3526</c:v>
                </c:pt>
                <c:pt idx="321">
                  <c:v>3513</c:v>
                </c:pt>
                <c:pt idx="322">
                  <c:v>3467</c:v>
                </c:pt>
                <c:pt idx="323">
                  <c:v>3487</c:v>
                </c:pt>
                <c:pt idx="324">
                  <c:v>3431</c:v>
                </c:pt>
                <c:pt idx="325">
                  <c:v>3440</c:v>
                </c:pt>
                <c:pt idx="326">
                  <c:v>3398</c:v>
                </c:pt>
                <c:pt idx="327">
                  <c:v>3405</c:v>
                </c:pt>
                <c:pt idx="328">
                  <c:v>3328</c:v>
                </c:pt>
                <c:pt idx="329">
                  <c:v>3446</c:v>
                </c:pt>
                <c:pt idx="330">
                  <c:v>3348</c:v>
                </c:pt>
                <c:pt idx="331">
                  <c:v>3375</c:v>
                </c:pt>
                <c:pt idx="332">
                  <c:v>3395</c:v>
                </c:pt>
                <c:pt idx="333">
                  <c:v>3302</c:v>
                </c:pt>
                <c:pt idx="334">
                  <c:v>3362</c:v>
                </c:pt>
                <c:pt idx="335">
                  <c:v>3348</c:v>
                </c:pt>
                <c:pt idx="336">
                  <c:v>3386</c:v>
                </c:pt>
                <c:pt idx="337">
                  <c:v>3361</c:v>
                </c:pt>
                <c:pt idx="338">
                  <c:v>3248</c:v>
                </c:pt>
                <c:pt idx="339">
                  <c:v>3326</c:v>
                </c:pt>
                <c:pt idx="340">
                  <c:v>3232</c:v>
                </c:pt>
                <c:pt idx="341">
                  <c:v>3287</c:v>
                </c:pt>
                <c:pt idx="342">
                  <c:v>3182</c:v>
                </c:pt>
                <c:pt idx="343">
                  <c:v>3247</c:v>
                </c:pt>
                <c:pt idx="344">
                  <c:v>3133</c:v>
                </c:pt>
                <c:pt idx="345">
                  <c:v>3151</c:v>
                </c:pt>
                <c:pt idx="346">
                  <c:v>3249</c:v>
                </c:pt>
                <c:pt idx="347">
                  <c:v>3103</c:v>
                </c:pt>
                <c:pt idx="348">
                  <c:v>3219</c:v>
                </c:pt>
                <c:pt idx="349">
                  <c:v>3209</c:v>
                </c:pt>
                <c:pt idx="350">
                  <c:v>3216</c:v>
                </c:pt>
                <c:pt idx="351">
                  <c:v>3139</c:v>
                </c:pt>
                <c:pt idx="352">
                  <c:v>3140</c:v>
                </c:pt>
                <c:pt idx="353">
                  <c:v>3149</c:v>
                </c:pt>
                <c:pt idx="354">
                  <c:v>3201</c:v>
                </c:pt>
                <c:pt idx="355">
                  <c:v>3096</c:v>
                </c:pt>
                <c:pt idx="356">
                  <c:v>3160</c:v>
                </c:pt>
                <c:pt idx="357">
                  <c:v>3038</c:v>
                </c:pt>
                <c:pt idx="358">
                  <c:v>3109</c:v>
                </c:pt>
                <c:pt idx="359">
                  <c:v>3106</c:v>
                </c:pt>
                <c:pt idx="360">
                  <c:v>2997</c:v>
                </c:pt>
                <c:pt idx="361">
                  <c:v>2982</c:v>
                </c:pt>
                <c:pt idx="362">
                  <c:v>3024</c:v>
                </c:pt>
                <c:pt idx="363">
                  <c:v>3028</c:v>
                </c:pt>
                <c:pt idx="364">
                  <c:v>3030</c:v>
                </c:pt>
                <c:pt idx="365">
                  <c:v>2883</c:v>
                </c:pt>
                <c:pt idx="366">
                  <c:v>2927</c:v>
                </c:pt>
                <c:pt idx="367">
                  <c:v>2956</c:v>
                </c:pt>
                <c:pt idx="368">
                  <c:v>2999</c:v>
                </c:pt>
                <c:pt idx="369">
                  <c:v>2943</c:v>
                </c:pt>
                <c:pt idx="370">
                  <c:v>2923</c:v>
                </c:pt>
                <c:pt idx="371">
                  <c:v>2896</c:v>
                </c:pt>
                <c:pt idx="372">
                  <c:v>2904</c:v>
                </c:pt>
                <c:pt idx="373">
                  <c:v>2958</c:v>
                </c:pt>
                <c:pt idx="374">
                  <c:v>2864</c:v>
                </c:pt>
                <c:pt idx="375">
                  <c:v>2889</c:v>
                </c:pt>
                <c:pt idx="376">
                  <c:v>2962</c:v>
                </c:pt>
                <c:pt idx="377">
                  <c:v>2973</c:v>
                </c:pt>
                <c:pt idx="378">
                  <c:v>2889</c:v>
                </c:pt>
                <c:pt idx="379">
                  <c:v>2849</c:v>
                </c:pt>
                <c:pt idx="380">
                  <c:v>2818</c:v>
                </c:pt>
                <c:pt idx="381">
                  <c:v>2783</c:v>
                </c:pt>
                <c:pt idx="382">
                  <c:v>2808</c:v>
                </c:pt>
                <c:pt idx="383">
                  <c:v>2823</c:v>
                </c:pt>
                <c:pt idx="384">
                  <c:v>2909</c:v>
                </c:pt>
                <c:pt idx="385">
                  <c:v>2862</c:v>
                </c:pt>
                <c:pt idx="386">
                  <c:v>2860</c:v>
                </c:pt>
                <c:pt idx="387">
                  <c:v>2836</c:v>
                </c:pt>
                <c:pt idx="388">
                  <c:v>2825</c:v>
                </c:pt>
                <c:pt idx="389">
                  <c:v>2892</c:v>
                </c:pt>
                <c:pt idx="390">
                  <c:v>2828</c:v>
                </c:pt>
                <c:pt idx="391">
                  <c:v>2749</c:v>
                </c:pt>
                <c:pt idx="392">
                  <c:v>2835</c:v>
                </c:pt>
                <c:pt idx="393">
                  <c:v>2788</c:v>
                </c:pt>
                <c:pt idx="394">
                  <c:v>2591</c:v>
                </c:pt>
                <c:pt idx="395">
                  <c:v>2828</c:v>
                </c:pt>
                <c:pt idx="396">
                  <c:v>2722</c:v>
                </c:pt>
                <c:pt idx="397">
                  <c:v>2771</c:v>
                </c:pt>
                <c:pt idx="398">
                  <c:v>2726</c:v>
                </c:pt>
                <c:pt idx="399">
                  <c:v>2684</c:v>
                </c:pt>
                <c:pt idx="400">
                  <c:v>2714</c:v>
                </c:pt>
                <c:pt idx="401">
                  <c:v>2669</c:v>
                </c:pt>
                <c:pt idx="402">
                  <c:v>2759</c:v>
                </c:pt>
                <c:pt idx="403">
                  <c:v>2671</c:v>
                </c:pt>
                <c:pt idx="404">
                  <c:v>2692</c:v>
                </c:pt>
                <c:pt idx="405">
                  <c:v>2663</c:v>
                </c:pt>
                <c:pt idx="406">
                  <c:v>2667</c:v>
                </c:pt>
                <c:pt idx="407">
                  <c:v>2673</c:v>
                </c:pt>
                <c:pt idx="408">
                  <c:v>2590</c:v>
                </c:pt>
                <c:pt idx="409">
                  <c:v>2743</c:v>
                </c:pt>
                <c:pt idx="410">
                  <c:v>2633</c:v>
                </c:pt>
                <c:pt idx="411">
                  <c:v>2705</c:v>
                </c:pt>
                <c:pt idx="412">
                  <c:v>2587</c:v>
                </c:pt>
                <c:pt idx="413">
                  <c:v>2587</c:v>
                </c:pt>
                <c:pt idx="414">
                  <c:v>2661</c:v>
                </c:pt>
                <c:pt idx="415">
                  <c:v>2556</c:v>
                </c:pt>
                <c:pt idx="416">
                  <c:v>2516</c:v>
                </c:pt>
                <c:pt idx="417">
                  <c:v>2537</c:v>
                </c:pt>
                <c:pt idx="418">
                  <c:v>2592</c:v>
                </c:pt>
                <c:pt idx="419">
                  <c:v>2555</c:v>
                </c:pt>
                <c:pt idx="420">
                  <c:v>2618</c:v>
                </c:pt>
                <c:pt idx="421">
                  <c:v>2508</c:v>
                </c:pt>
                <c:pt idx="422">
                  <c:v>2509</c:v>
                </c:pt>
                <c:pt idx="423">
                  <c:v>2560</c:v>
                </c:pt>
                <c:pt idx="424">
                  <c:v>2587</c:v>
                </c:pt>
                <c:pt idx="425">
                  <c:v>2523</c:v>
                </c:pt>
                <c:pt idx="426">
                  <c:v>2470</c:v>
                </c:pt>
                <c:pt idx="427">
                  <c:v>2496</c:v>
                </c:pt>
                <c:pt idx="428">
                  <c:v>2475</c:v>
                </c:pt>
                <c:pt idx="429">
                  <c:v>2536</c:v>
                </c:pt>
                <c:pt idx="430">
                  <c:v>2463</c:v>
                </c:pt>
                <c:pt idx="431">
                  <c:v>2534</c:v>
                </c:pt>
                <c:pt idx="432">
                  <c:v>2488</c:v>
                </c:pt>
                <c:pt idx="433">
                  <c:v>2402</c:v>
                </c:pt>
                <c:pt idx="434">
                  <c:v>2477</c:v>
                </c:pt>
                <c:pt idx="435">
                  <c:v>2470</c:v>
                </c:pt>
                <c:pt idx="436">
                  <c:v>2375</c:v>
                </c:pt>
                <c:pt idx="437">
                  <c:v>2492</c:v>
                </c:pt>
                <c:pt idx="438">
                  <c:v>2446</c:v>
                </c:pt>
                <c:pt idx="439">
                  <c:v>2348</c:v>
                </c:pt>
                <c:pt idx="440">
                  <c:v>2457</c:v>
                </c:pt>
                <c:pt idx="441">
                  <c:v>2463</c:v>
                </c:pt>
                <c:pt idx="442">
                  <c:v>2297</c:v>
                </c:pt>
                <c:pt idx="443">
                  <c:v>2427</c:v>
                </c:pt>
                <c:pt idx="444">
                  <c:v>2305</c:v>
                </c:pt>
                <c:pt idx="445">
                  <c:v>2392</c:v>
                </c:pt>
                <c:pt idx="446">
                  <c:v>2305</c:v>
                </c:pt>
                <c:pt idx="447">
                  <c:v>2425</c:v>
                </c:pt>
                <c:pt idx="448">
                  <c:v>2336</c:v>
                </c:pt>
                <c:pt idx="449">
                  <c:v>2349</c:v>
                </c:pt>
                <c:pt idx="450">
                  <c:v>2268</c:v>
                </c:pt>
                <c:pt idx="451">
                  <c:v>2378</c:v>
                </c:pt>
                <c:pt idx="452">
                  <c:v>2348</c:v>
                </c:pt>
                <c:pt idx="453">
                  <c:v>2378</c:v>
                </c:pt>
                <c:pt idx="454">
                  <c:v>2378</c:v>
                </c:pt>
                <c:pt idx="455">
                  <c:v>2340</c:v>
                </c:pt>
                <c:pt idx="456">
                  <c:v>2276</c:v>
                </c:pt>
                <c:pt idx="457">
                  <c:v>2338</c:v>
                </c:pt>
                <c:pt idx="458">
                  <c:v>2241</c:v>
                </c:pt>
                <c:pt idx="459">
                  <c:v>2342</c:v>
                </c:pt>
                <c:pt idx="460">
                  <c:v>2193</c:v>
                </c:pt>
                <c:pt idx="461">
                  <c:v>2222</c:v>
                </c:pt>
                <c:pt idx="462">
                  <c:v>2233</c:v>
                </c:pt>
                <c:pt idx="463">
                  <c:v>2261</c:v>
                </c:pt>
                <c:pt idx="464">
                  <c:v>2259</c:v>
                </c:pt>
                <c:pt idx="465">
                  <c:v>2254</c:v>
                </c:pt>
                <c:pt idx="466">
                  <c:v>2187</c:v>
                </c:pt>
                <c:pt idx="467">
                  <c:v>2186</c:v>
                </c:pt>
                <c:pt idx="468">
                  <c:v>2256</c:v>
                </c:pt>
                <c:pt idx="469">
                  <c:v>2254</c:v>
                </c:pt>
                <c:pt idx="470">
                  <c:v>2232</c:v>
                </c:pt>
                <c:pt idx="471">
                  <c:v>2133</c:v>
                </c:pt>
                <c:pt idx="472">
                  <c:v>2234</c:v>
                </c:pt>
                <c:pt idx="473">
                  <c:v>2188</c:v>
                </c:pt>
                <c:pt idx="474">
                  <c:v>2188</c:v>
                </c:pt>
                <c:pt idx="475">
                  <c:v>2190</c:v>
                </c:pt>
                <c:pt idx="476">
                  <c:v>2184</c:v>
                </c:pt>
                <c:pt idx="477">
                  <c:v>2118</c:v>
                </c:pt>
                <c:pt idx="478">
                  <c:v>2224</c:v>
                </c:pt>
                <c:pt idx="479">
                  <c:v>2075</c:v>
                </c:pt>
                <c:pt idx="480">
                  <c:v>2158</c:v>
                </c:pt>
                <c:pt idx="481">
                  <c:v>2182</c:v>
                </c:pt>
                <c:pt idx="482">
                  <c:v>2188</c:v>
                </c:pt>
                <c:pt idx="483">
                  <c:v>2147</c:v>
                </c:pt>
                <c:pt idx="484">
                  <c:v>2147</c:v>
                </c:pt>
                <c:pt idx="485">
                  <c:v>2128</c:v>
                </c:pt>
                <c:pt idx="486">
                  <c:v>2164</c:v>
                </c:pt>
                <c:pt idx="487">
                  <c:v>2150</c:v>
                </c:pt>
                <c:pt idx="488">
                  <c:v>2172</c:v>
                </c:pt>
                <c:pt idx="489">
                  <c:v>2065</c:v>
                </c:pt>
                <c:pt idx="490">
                  <c:v>2092</c:v>
                </c:pt>
                <c:pt idx="491">
                  <c:v>2047</c:v>
                </c:pt>
                <c:pt idx="492">
                  <c:v>2121</c:v>
                </c:pt>
                <c:pt idx="493">
                  <c:v>2102</c:v>
                </c:pt>
                <c:pt idx="494">
                  <c:v>2052</c:v>
                </c:pt>
                <c:pt idx="495">
                  <c:v>2126</c:v>
                </c:pt>
                <c:pt idx="496">
                  <c:v>2038</c:v>
                </c:pt>
                <c:pt idx="497">
                  <c:v>2050</c:v>
                </c:pt>
                <c:pt idx="498">
                  <c:v>1991</c:v>
                </c:pt>
                <c:pt idx="499">
                  <c:v>2037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1-491C-9CE7-BCD1A6474A31}"/>
            </c:ext>
          </c:extLst>
        </c:ser>
        <c:ser>
          <c:idx val="1"/>
          <c:order val="1"/>
          <c:tx>
            <c:v>Theoretical</c:v>
          </c:tx>
          <c:spPr>
            <a:ln w="28575"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'LM-OSL'!$Y$32:$Y$1031</c:f>
              <c:numCache>
                <c:formatCode>General</c:formatCode>
                <c:ptCount val="1000"/>
                <c:pt idx="0">
                  <c:v>9133</c:v>
                </c:pt>
                <c:pt idx="1">
                  <c:v>20127.830023918483</c:v>
                </c:pt>
                <c:pt idx="2">
                  <c:v>29645.235916803325</c:v>
                </c:pt>
                <c:pt idx="3">
                  <c:v>37219.49339708875</c:v>
                </c:pt>
                <c:pt idx="4">
                  <c:v>43105.046086626229</c:v>
                </c:pt>
                <c:pt idx="5">
                  <c:v>47539.199342767577</c:v>
                </c:pt>
                <c:pt idx="6">
                  <c:v>50588.972135790013</c:v>
                </c:pt>
                <c:pt idx="7">
                  <c:v>52297.722760278462</c:v>
                </c:pt>
                <c:pt idx="8">
                  <c:v>52773.685171486926</c:v>
                </c:pt>
                <c:pt idx="9">
                  <c:v>52191.666328042003</c:v>
                </c:pt>
                <c:pt idx="10">
                  <c:v>50763.246620191967</c:v>
                </c:pt>
                <c:pt idx="11">
                  <c:v>48706.226027825775</c:v>
                </c:pt>
                <c:pt idx="12">
                  <c:v>46222.643598522984</c:v>
                </c:pt>
                <c:pt idx="13">
                  <c:v>43486.215628962127</c:v>
                </c:pt>
                <c:pt idx="14">
                  <c:v>40637.373054096766</c:v>
                </c:pt>
                <c:pt idx="15">
                  <c:v>37783.519930725524</c:v>
                </c:pt>
                <c:pt idx="16">
                  <c:v>35002.363604296253</c:v>
                </c:pt>
                <c:pt idx="17">
                  <c:v>32346.670561802221</c:v>
                </c:pt>
                <c:pt idx="18">
                  <c:v>29849.33818422757</c:v>
                </c:pt>
                <c:pt idx="19">
                  <c:v>27528.127436667397</c:v>
                </c:pt>
                <c:pt idx="20">
                  <c:v>25389.736644051165</c:v>
                </c:pt>
                <c:pt idx="21">
                  <c:v>23433.116308588716</c:v>
                </c:pt>
                <c:pt idx="22">
                  <c:v>21652.052721109332</c:v>
                </c:pt>
                <c:pt idx="23">
                  <c:v>20037.111143278602</c:v>
                </c:pt>
                <c:pt idx="24">
                  <c:v>18577.051328366499</c:v>
                </c:pt>
                <c:pt idx="25">
                  <c:v>17259.826847230688</c:v>
                </c:pt>
                <c:pt idx="26">
                  <c:v>16073.26699610942</c:v>
                </c:pt>
                <c:pt idx="27">
                  <c:v>15005.523253589688</c:v>
                </c:pt>
                <c:pt idx="28">
                  <c:v>14045.345341656124</c:v>
                </c:pt>
                <c:pt idx="29">
                  <c:v>13182.236860099349</c:v>
                </c:pt>
                <c:pt idx="30">
                  <c:v>12406.527904450608</c:v>
                </c:pt>
                <c:pt idx="31">
                  <c:v>11709.392083348337</c:v>
                </c:pt>
                <c:pt idx="32">
                  <c:v>11082.827649141987</c:v>
                </c:pt>
                <c:pt idx="33">
                  <c:v>10519.616662106775</c:v>
                </c:pt>
                <c:pt idx="34">
                  <c:v>10013.271834409339</c:v>
                </c:pt>
                <c:pt idx="35">
                  <c:v>9557.9775975990469</c:v>
                </c:pt>
                <c:pt idx="36">
                  <c:v>9148.5297183094845</c:v>
                </c:pt>
                <c:pt idx="37">
                  <c:v>8780.2762216858555</c:v>
                </c:pt>
                <c:pt idx="38">
                  <c:v>8449.0612940022656</c:v>
                </c:pt>
                <c:pt idx="39">
                  <c:v>8151.1730916825254</c:v>
                </c:pt>
                <c:pt idx="40">
                  <c:v>7883.2958846404526</c:v>
                </c:pt>
                <c:pt idx="41">
                  <c:v>7642.4666351846336</c:v>
                </c:pt>
                <c:pt idx="42">
                  <c:v>7426.0359073494192</c:v>
                </c:pt>
                <c:pt idx="43">
                  <c:v>7231.6328779016912</c:v>
                </c:pt>
                <c:pt idx="44">
                  <c:v>7057.1341527755412</c:v>
                </c:pt>
                <c:pt idx="45">
                  <c:v>6900.6360625256557</c:v>
                </c:pt>
                <c:pt idx="46">
                  <c:v>6760.4301044536305</c:v>
                </c:pt>
                <c:pt idx="47">
                  <c:v>6634.9812082852677</c:v>
                </c:pt>
                <c:pt idx="48">
                  <c:v>6522.9085204673174</c:v>
                </c:pt>
                <c:pt idx="49">
                  <c:v>6422.9684251376912</c:v>
                </c:pt>
                <c:pt idx="50">
                  <c:v>6334.0395448465752</c:v>
                </c:pt>
                <c:pt idx="51">
                  <c:v>6255.1094893925765</c:v>
                </c:pt>
                <c:pt idx="52">
                  <c:v>6185.2631455869587</c:v>
                </c:pt>
                <c:pt idx="53">
                  <c:v>6123.6723237297419</c:v>
                </c:pt>
                <c:pt idx="54">
                  <c:v>6069.5865977397716</c:v>
                </c:pt>
                <c:pt idx="55">
                  <c:v>6022.3251950949443</c:v>
                </c:pt>
                <c:pt idx="56">
                  <c:v>5981.2698100059506</c:v>
                </c:pt>
                <c:pt idx="57">
                  <c:v>5945.858228643614</c:v>
                </c:pt>
                <c:pt idx="58">
                  <c:v>5915.5786688875542</c:v>
                </c:pt>
                <c:pt idx="59">
                  <c:v>5889.9647491072838</c:v>
                </c:pt>
                <c:pt idx="60">
                  <c:v>5868.5910110783498</c:v>
                </c:pt>
                <c:pt idx="61">
                  <c:v>5851.0689314270521</c:v>
                </c:pt>
                <c:pt idx="62">
                  <c:v>5837.0433641321306</c:v>
                </c:pt>
                <c:pt idx="63">
                  <c:v>5826.1893637246467</c:v>
                </c:pt>
                <c:pt idx="64">
                  <c:v>5818.2093450411639</c:v>
                </c:pt>
                <c:pt idx="65">
                  <c:v>5812.8305408105734</c:v>
                </c:pt>
                <c:pt idx="66">
                  <c:v>5809.8027230904481</c:v>
                </c:pt>
                <c:pt idx="67">
                  <c:v>5808.8961587022923</c:v>
                </c:pt>
                <c:pt idx="68">
                  <c:v>5809.899780079274</c:v>
                </c:pt>
                <c:pt idx="69">
                  <c:v>5812.6195017837326</c:v>
                </c:pt>
                <c:pt idx="70">
                  <c:v>5816.8767808552675</c:v>
                </c:pt>
                <c:pt idx="71">
                  <c:v>5822.5072424587624</c:v>
                </c:pt>
                <c:pt idx="72">
                  <c:v>5829.3594774999765</c:v>
                </c:pt>
                <c:pt idx="73">
                  <c:v>5837.2939483735336</c:v>
                </c:pt>
                <c:pt idx="74">
                  <c:v>5846.1819989369314</c:v>
                </c:pt>
                <c:pt idx="75">
                  <c:v>5855.9049577616606</c:v>
                </c:pt>
                <c:pt idx="76">
                  <c:v>5866.3533249563407</c:v>
                </c:pt>
                <c:pt idx="77">
                  <c:v>5877.4260339496468</c:v>
                </c:pt>
                <c:pt idx="78">
                  <c:v>5889.029780582222</c:v>
                </c:pt>
                <c:pt idx="79">
                  <c:v>5901.0784127031739</c:v>
                </c:pt>
                <c:pt idx="80">
                  <c:v>5913.4923742129367</c:v>
                </c:pt>
                <c:pt idx="81">
                  <c:v>5926.1981981526751</c:v>
                </c:pt>
                <c:pt idx="82">
                  <c:v>5939.1280440219107</c:v>
                </c:pt>
                <c:pt idx="83">
                  <c:v>5952.2192750204122</c:v>
                </c:pt>
                <c:pt idx="84">
                  <c:v>5965.4140713656425</c:v>
                </c:pt>
                <c:pt idx="85">
                  <c:v>5978.6590762405513</c:v>
                </c:pt>
                <c:pt idx="86">
                  <c:v>5991.9050712844555</c:v>
                </c:pt>
                <c:pt idx="87">
                  <c:v>6005.1066788577409</c:v>
                </c:pt>
                <c:pt idx="88">
                  <c:v>6018.2220885937468</c:v>
                </c:pt>
                <c:pt idx="89">
                  <c:v>6031.2128060028335</c:v>
                </c:pt>
                <c:pt idx="90">
                  <c:v>6044.0434211178608</c:v>
                </c:pt>
                <c:pt idx="91">
                  <c:v>6056.6813953702076</c:v>
                </c:pt>
                <c:pt idx="92">
                  <c:v>6069.0968650640925</c:v>
                </c:pt>
                <c:pt idx="93">
                  <c:v>6081.2624599764804</c:v>
                </c:pt>
                <c:pt idx="94">
                  <c:v>6093.1531357527401</c:v>
                </c:pt>
                <c:pt idx="95">
                  <c:v>6104.7460188960176</c:v>
                </c:pt>
                <c:pt idx="96">
                  <c:v>6116.0202632630035</c:v>
                </c:pt>
                <c:pt idx="97">
                  <c:v>6126.9569170816567</c:v>
                </c:pt>
                <c:pt idx="98">
                  <c:v>6137.5387995988367</c:v>
                </c:pt>
                <c:pt idx="99">
                  <c:v>6147.7503865489334</c:v>
                </c:pt>
                <c:pt idx="100">
                  <c:v>6157.5777037093021</c:v>
                </c:pt>
                <c:pt idx="101">
                  <c:v>6167.0082278757491</c:v>
                </c:pt>
                <c:pt idx="102">
                  <c:v>6176.0307946519351</c:v>
                </c:pt>
                <c:pt idx="103">
                  <c:v>6184.6355125014397</c:v>
                </c:pt>
                <c:pt idx="104">
                  <c:v>6192.8136825606534</c:v>
                </c:pt>
                <c:pt idx="105">
                  <c:v>6200.557723755418</c:v>
                </c:pt>
                <c:pt idx="106">
                  <c:v>6207.8611028047653</c:v>
                </c:pt>
                <c:pt idx="107">
                  <c:v>6214.7182687317199</c:v>
                </c:pt>
                <c:pt idx="108">
                  <c:v>6221.1245915343652</c:v>
                </c:pt>
                <c:pt idx="109">
                  <c:v>6227.0763047003393</c:v>
                </c:pt>
                <c:pt idx="110">
                  <c:v>6232.5704512753546</c:v>
                </c:pt>
                <c:pt idx="111">
                  <c:v>6237.6048332209721</c:v>
                </c:pt>
                <c:pt idx="112">
                  <c:v>6242.1779638195112</c:v>
                </c:pt>
                <c:pt idx="113">
                  <c:v>6246.2890229043187</c:v>
                </c:pt>
                <c:pt idx="114">
                  <c:v>6249.9378147123143</c:v>
                </c:pt>
                <c:pt idx="115">
                  <c:v>6253.1247281726655</c:v>
                </c:pt>
                <c:pt idx="116">
                  <c:v>6255.8506994608679</c:v>
                </c:pt>
                <c:pt idx="117">
                  <c:v>6258.1171766615644</c:v>
                </c:pt>
                <c:pt idx="118">
                  <c:v>6259.9260863962909</c:v>
                </c:pt>
                <c:pt idx="119">
                  <c:v>6261.2798022840543</c:v>
                </c:pt>
                <c:pt idx="120">
                  <c:v>6262.1811151132333</c:v>
                </c:pt>
                <c:pt idx="121">
                  <c:v>6262.6332046131874</c:v>
                </c:pt>
                <c:pt idx="122">
                  <c:v>6262.6396127227481</c:v>
                </c:pt>
                <c:pt idx="123">
                  <c:v>6262.2042182609866</c:v>
                </c:pt>
                <c:pt idx="124">
                  <c:v>6261.3312129130409</c:v>
                </c:pt>
                <c:pt idx="125">
                  <c:v>6260.0250784506725</c:v>
                </c:pt>
                <c:pt idx="126">
                  <c:v>6258.2905651133351</c:v>
                </c:pt>
                <c:pt idx="127">
                  <c:v>6256.1326710813973</c:v>
                </c:pt>
                <c:pt idx="128">
                  <c:v>6253.556622978218</c:v>
                </c:pt>
                <c:pt idx="129">
                  <c:v>6250.5678573426858</c:v>
                </c:pt>
                <c:pt idx="130">
                  <c:v>6247.1720030181359</c:v>
                </c:pt>
                <c:pt idx="131">
                  <c:v>6243.3748644076104</c:v>
                </c:pt>
                <c:pt idx="132">
                  <c:v>6239.1824055490806</c:v>
                </c:pt>
                <c:pt idx="133">
                  <c:v>6234.6007349676256</c:v>
                </c:pt>
                <c:pt idx="134">
                  <c:v>6229.636091264666</c:v>
                </c:pt>
                <c:pt idx="135">
                  <c:v>6224.2948294071766</c:v>
                </c:pt>
                <c:pt idx="136">
                  <c:v>6218.5834076823703</c:v>
                </c:pt>
                <c:pt idx="137">
                  <c:v>6212.5083752857727</c:v>
                </c:pt>
                <c:pt idx="138">
                  <c:v>6206.0763605127777</c:v>
                </c:pt>
                <c:pt idx="139">
                  <c:v>6199.2940595257205</c:v>
                </c:pt>
                <c:pt idx="140">
                  <c:v>6192.1682256704653</c:v>
                </c:pt>
                <c:pt idx="141">
                  <c:v>6184.7056593180378</c:v>
                </c:pt>
                <c:pt idx="142">
                  <c:v>6176.9131982085137</c:v>
                </c:pt>
                <c:pt idx="143">
                  <c:v>6168.7977082756779</c:v>
                </c:pt>
                <c:pt idx="144">
                  <c:v>6160.3660749324063</c:v>
                </c:pt>
                <c:pt idx="145">
                  <c:v>6151.6251947977353</c:v>
                </c:pt>
                <c:pt idx="146">
                  <c:v>6142.5819678478492</c:v>
                </c:pt>
                <c:pt idx="147">
                  <c:v>6133.2432899741298</c:v>
                </c:pt>
                <c:pt idx="148">
                  <c:v>6123.6160459323519</c:v>
                </c:pt>
                <c:pt idx="149">
                  <c:v>6113.707102667945</c:v>
                </c:pt>
                <c:pt idx="150">
                  <c:v>6103.5233030030677</c:v>
                </c:pt>
                <c:pt idx="151">
                  <c:v>6093.0714596718644</c:v>
                </c:pt>
                <c:pt idx="152">
                  <c:v>6082.3583496910478</c:v>
                </c:pt>
                <c:pt idx="153">
                  <c:v>6071.3907090534321</c:v>
                </c:pt>
                <c:pt idx="154">
                  <c:v>6060.1752277326668</c:v>
                </c:pt>
                <c:pt idx="155">
                  <c:v>6048.7185449879771</c:v>
                </c:pt>
                <c:pt idx="156">
                  <c:v>6037.0272449580061</c:v>
                </c:pt>
                <c:pt idx="157">
                  <c:v>6025.1078525335424</c:v>
                </c:pt>
                <c:pt idx="158">
                  <c:v>6012.966829499077</c:v>
                </c:pt>
                <c:pt idx="159">
                  <c:v>6000.610570933658</c:v>
                </c:pt>
                <c:pt idx="160">
                  <c:v>5988.0454018617938</c:v>
                </c:pt>
                <c:pt idx="161">
                  <c:v>5975.277574145477</c:v>
                </c:pt>
                <c:pt idx="162">
                  <c:v>5962.3132636086766</c:v>
                </c:pt>
                <c:pt idx="163">
                  <c:v>5949.1585673859772</c:v>
                </c:pt>
                <c:pt idx="164">
                  <c:v>5935.819501487239</c:v>
                </c:pt>
                <c:pt idx="165">
                  <c:v>5922.3019985703841</c:v>
                </c:pt>
                <c:pt idx="166">
                  <c:v>5908.6119059147395</c:v>
                </c:pt>
                <c:pt idx="167">
                  <c:v>5894.7549835874015</c:v>
                </c:pt>
                <c:pt idx="168">
                  <c:v>5880.7369027954719</c:v>
                </c:pt>
                <c:pt idx="169">
                  <c:v>5866.5632444170587</c:v>
                </c:pt>
                <c:pt idx="170">
                  <c:v>5852.2394977041777</c:v>
                </c:pt>
                <c:pt idx="171">
                  <c:v>5837.7710591508558</c:v>
                </c:pt>
                <c:pt idx="172">
                  <c:v>5823.1632315198831</c:v>
                </c:pt>
                <c:pt idx="173">
                  <c:v>5808.42122302181</c:v>
                </c:pt>
                <c:pt idx="174">
                  <c:v>5793.5501466399583</c:v>
                </c:pt>
                <c:pt idx="175">
                  <c:v>5778.5550195953319</c:v>
                </c:pt>
                <c:pt idx="176">
                  <c:v>5763.4407629454663</c:v>
                </c:pt>
                <c:pt idx="177">
                  <c:v>5748.2129158032376</c:v>
                </c:pt>
                <c:pt idx="178">
                  <c:v>5732.8747507592034</c:v>
                </c:pt>
                <c:pt idx="179">
                  <c:v>5717.4316412954522</c:v>
                </c:pt>
                <c:pt idx="180">
                  <c:v>5701.8881222285836</c:v>
                </c:pt>
                <c:pt idx="181">
                  <c:v>5686.2486320182852</c:v>
                </c:pt>
                <c:pt idx="182">
                  <c:v>5670.5175130516927</c:v>
                </c:pt>
                <c:pt idx="183">
                  <c:v>5654.6990120235632</c:v>
                </c:pt>
                <c:pt idx="184">
                  <c:v>5638.7972804072815</c:v>
                </c:pt>
                <c:pt idx="185">
                  <c:v>5622.8163750118674</c:v>
                </c:pt>
                <c:pt idx="186">
                  <c:v>5606.7602586202411</c:v>
                </c:pt>
                <c:pt idx="187">
                  <c:v>5590.6328007041675</c:v>
                </c:pt>
                <c:pt idx="188">
                  <c:v>5574.4377782113479</c:v>
                </c:pt>
                <c:pt idx="189">
                  <c:v>5558.1788764203202</c:v>
                </c:pt>
                <c:pt idx="190">
                  <c:v>5541.859689858883</c:v>
                </c:pt>
                <c:pt idx="191">
                  <c:v>5525.4837232818918</c:v>
                </c:pt>
                <c:pt idx="192">
                  <c:v>5509.0543927044109</c:v>
                </c:pt>
                <c:pt idx="193">
                  <c:v>5492.5750264862918</c:v>
                </c:pt>
                <c:pt idx="194">
                  <c:v>5476.0488664643553</c:v>
                </c:pt>
                <c:pt idx="195">
                  <c:v>5459.4790691285261</c:v>
                </c:pt>
                <c:pt idx="196">
                  <c:v>5442.8687068382833</c:v>
                </c:pt>
                <c:pt idx="197">
                  <c:v>5426.2207690759969</c:v>
                </c:pt>
                <c:pt idx="198">
                  <c:v>5409.5381637337914</c:v>
                </c:pt>
                <c:pt idx="199">
                  <c:v>5392.823718430659</c:v>
                </c:pt>
                <c:pt idx="200">
                  <c:v>5376.0801818567143</c:v>
                </c:pt>
                <c:pt idx="201">
                  <c:v>5359.3102251415485</c:v>
                </c:pt>
                <c:pt idx="202">
                  <c:v>5342.516443243785</c:v>
                </c:pt>
                <c:pt idx="203">
                  <c:v>5325.7013563589826</c:v>
                </c:pt>
                <c:pt idx="204">
                  <c:v>5308.8674113432298</c:v>
                </c:pt>
                <c:pt idx="205">
                  <c:v>5292.0169831498006</c:v>
                </c:pt>
                <c:pt idx="206">
                  <c:v>5275.1523762763836</c:v>
                </c:pt>
                <c:pt idx="207">
                  <c:v>5258.275826220517</c:v>
                </c:pt>
                <c:pt idx="208">
                  <c:v>5241.3895009408861</c:v>
                </c:pt>
                <c:pt idx="209">
                  <c:v>5224.4955023223702</c:v>
                </c:pt>
                <c:pt idx="210">
                  <c:v>5207.5958676426762</c:v>
                </c:pt>
                <c:pt idx="211">
                  <c:v>5190.6925710386267</c:v>
                </c:pt>
                <c:pt idx="212">
                  <c:v>5173.7875249701719</c:v>
                </c:pt>
                <c:pt idx="213">
                  <c:v>5156.8825816803383</c:v>
                </c:pt>
                <c:pt idx="214">
                  <c:v>5139.9795346494075</c:v>
                </c:pt>
                <c:pt idx="215">
                  <c:v>5123.0801200417045</c:v>
                </c:pt>
                <c:pt idx="216">
                  <c:v>5106.1860181434777</c:v>
                </c:pt>
                <c:pt idx="217">
                  <c:v>5089.2988547904079</c:v>
                </c:pt>
                <c:pt idx="218">
                  <c:v>5072.4202027834299</c:v>
                </c:pt>
                <c:pt idx="219">
                  <c:v>5055.5515832915444</c:v>
                </c:pt>
                <c:pt idx="220">
                  <c:v>5038.6944672404761</c:v>
                </c:pt>
                <c:pt idx="221">
                  <c:v>5021.8502766860511</c:v>
                </c:pt>
                <c:pt idx="222">
                  <c:v>5005.0203861712416</c:v>
                </c:pt>
                <c:pt idx="223">
                  <c:v>4988.2061240659395</c:v>
                </c:pt>
                <c:pt idx="224">
                  <c:v>4971.4087738885664</c:v>
                </c:pt>
                <c:pt idx="225">
                  <c:v>4954.6295756087166</c:v>
                </c:pt>
                <c:pt idx="226">
                  <c:v>4937.869726930031</c:v>
                </c:pt>
                <c:pt idx="227">
                  <c:v>4921.1303845527236</c:v>
                </c:pt>
                <c:pt idx="228">
                  <c:v>4904.4126654150159</c:v>
                </c:pt>
                <c:pt idx="229">
                  <c:v>4887.7176479130276</c:v>
                </c:pt>
                <c:pt idx="230">
                  <c:v>4871.046373098573</c:v>
                </c:pt>
                <c:pt idx="231">
                  <c:v>4854.3998458544429</c:v>
                </c:pt>
                <c:pt idx="232">
                  <c:v>4837.779036046767</c:v>
                </c:pt>
                <c:pt idx="233">
                  <c:v>4821.1848796541517</c:v>
                </c:pt>
                <c:pt idx="234">
                  <c:v>4804.6182798733025</c:v>
                </c:pt>
                <c:pt idx="235">
                  <c:v>4788.0801082008829</c:v>
                </c:pt>
                <c:pt idx="236">
                  <c:v>4771.5712054914547</c:v>
                </c:pt>
                <c:pt idx="237">
                  <c:v>4755.092382991319</c:v>
                </c:pt>
                <c:pt idx="238">
                  <c:v>4738.6444233482016</c:v>
                </c:pt>
                <c:pt idx="239">
                  <c:v>4722.2280815966915</c:v>
                </c:pt>
                <c:pt idx="240">
                  <c:v>4705.8440861194222</c:v>
                </c:pt>
                <c:pt idx="241">
                  <c:v>4689.4931395840204</c:v>
                </c:pt>
                <c:pt idx="242">
                  <c:v>4673.1759198558511</c:v>
                </c:pt>
                <c:pt idx="243">
                  <c:v>4656.893080886678</c:v>
                </c:pt>
                <c:pt idx="244">
                  <c:v>4640.6452535792805</c:v>
                </c:pt>
                <c:pt idx="245">
                  <c:v>4624.4330466282881</c:v>
                </c:pt>
                <c:pt idx="246">
                  <c:v>4608.2570473372689</c:v>
                </c:pt>
                <c:pt idx="247">
                  <c:v>4592.117822412356</c:v>
                </c:pt>
                <c:pt idx="248">
                  <c:v>4576.0159187326071</c:v>
                </c:pt>
                <c:pt idx="249">
                  <c:v>4559.951864097321</c:v>
                </c:pt>
                <c:pt idx="250">
                  <c:v>4543.9261679505898</c:v>
                </c:pt>
                <c:pt idx="251">
                  <c:v>4527.9393220833663</c:v>
                </c:pt>
                <c:pt idx="252">
                  <c:v>4511.9918013133347</c:v>
                </c:pt>
                <c:pt idx="253">
                  <c:v>4496.0840641429058</c:v>
                </c:pt>
                <c:pt idx="254">
                  <c:v>4480.2165533956631</c:v>
                </c:pt>
                <c:pt idx="255">
                  <c:v>4464.3896968316012</c:v>
                </c:pt>
                <c:pt idx="256">
                  <c:v>4448.6039077415217</c:v>
                </c:pt>
                <c:pt idx="257">
                  <c:v>4432.8595855209214</c:v>
                </c:pt>
                <c:pt idx="258">
                  <c:v>4417.157116223796</c:v>
                </c:pt>
                <c:pt idx="259">
                  <c:v>4401.4968730966939</c:v>
                </c:pt>
                <c:pt idx="260">
                  <c:v>4385.8792170934476</c:v>
                </c:pt>
                <c:pt idx="261">
                  <c:v>4370.3044973709639</c:v>
                </c:pt>
                <c:pt idx="262">
                  <c:v>4354.7730517664768</c:v>
                </c:pt>
                <c:pt idx="263">
                  <c:v>4339.285207256682</c:v>
                </c:pt>
                <c:pt idx="264">
                  <c:v>4323.841280399155</c:v>
                </c:pt>
                <c:pt idx="265">
                  <c:v>4308.44157775646</c:v>
                </c:pt>
                <c:pt idx="266">
                  <c:v>4293.086396303408</c:v>
                </c:pt>
                <c:pt idx="267">
                  <c:v>4277.7760238178143</c:v>
                </c:pt>
                <c:pt idx="268">
                  <c:v>4262.5107392552491</c:v>
                </c:pt>
                <c:pt idx="269">
                  <c:v>4247.2908131081349</c:v>
                </c:pt>
                <c:pt idx="270">
                  <c:v>4232.1165077496571</c:v>
                </c:pt>
                <c:pt idx="271">
                  <c:v>4216.9880777628778</c:v>
                </c:pt>
                <c:pt idx="272">
                  <c:v>4201.9057702554883</c:v>
                </c:pt>
                <c:pt idx="273">
                  <c:v>4186.8698251605792</c:v>
                </c:pt>
                <c:pt idx="274">
                  <c:v>4171.8804755238853</c:v>
                </c:pt>
                <c:pt idx="275">
                  <c:v>4156.9379477778721</c:v>
                </c:pt>
                <c:pt idx="276">
                  <c:v>4142.0424620030844</c:v>
                </c:pt>
                <c:pt idx="277">
                  <c:v>4127.1942321771503</c:v>
                </c:pt>
                <c:pt idx="278">
                  <c:v>4112.3934664118478</c:v>
                </c:pt>
                <c:pt idx="279">
                  <c:v>4097.6403671785965</c:v>
                </c:pt>
                <c:pt idx="280">
                  <c:v>4082.9351315227855</c:v>
                </c:pt>
                <c:pt idx="281">
                  <c:v>4068.2779512673001</c:v>
                </c:pt>
                <c:pt idx="282">
                  <c:v>4053.669013205616</c:v>
                </c:pt>
                <c:pt idx="283">
                  <c:v>4039.1084992848541</c:v>
                </c:pt>
                <c:pt idx="284">
                  <c:v>4024.5965867791197</c:v>
                </c:pt>
                <c:pt idx="285">
                  <c:v>4010.1334484534968</c:v>
                </c:pt>
                <c:pt idx="286">
                  <c:v>3995.7192527190614</c:v>
                </c:pt>
                <c:pt idx="287">
                  <c:v>3981.3541637792237</c:v>
                </c:pt>
                <c:pt idx="288">
                  <c:v>3967.0383417677472</c:v>
                </c:pt>
                <c:pt idx="289">
                  <c:v>3952.7719428787805</c:v>
                </c:pt>
                <c:pt idx="290">
                  <c:v>3938.5551194892037</c:v>
                </c:pt>
                <c:pt idx="291">
                  <c:v>3924.3880202736132</c:v>
                </c:pt>
                <c:pt idx="292">
                  <c:v>3910.2707903122459</c:v>
                </c:pt>
                <c:pt idx="293">
                  <c:v>3896.2035711921426</c:v>
                </c:pt>
                <c:pt idx="294">
                  <c:v>3882.1865011018367</c:v>
                </c:pt>
                <c:pt idx="295">
                  <c:v>3868.2197149198628</c:v>
                </c:pt>
                <c:pt idx="296">
                  <c:v>3854.3033442973501</c:v>
                </c:pt>
                <c:pt idx="297">
                  <c:v>3840.4375177349602</c:v>
                </c:pt>
                <c:pt idx="298">
                  <c:v>3826.6223606544704</c:v>
                </c:pt>
                <c:pt idx="299">
                  <c:v>3812.857995465205</c:v>
                </c:pt>
                <c:pt idx="300">
                  <c:v>3799.1445416255979</c:v>
                </c:pt>
                <c:pt idx="301">
                  <c:v>3785.4821157001138</c:v>
                </c:pt>
                <c:pt idx="302">
                  <c:v>3771.8708314117589</c:v>
                </c:pt>
                <c:pt idx="303">
                  <c:v>3758.3107996904182</c:v>
                </c:pt>
                <c:pt idx="304">
                  <c:v>3744.8021287172173</c:v>
                </c:pt>
                <c:pt idx="305">
                  <c:v>3731.3449239651445</c:v>
                </c:pt>
                <c:pt idx="306">
                  <c:v>3717.9392882361226</c:v>
                </c:pt>
                <c:pt idx="307">
                  <c:v>3704.5853216947321</c:v>
                </c:pt>
                <c:pt idx="308">
                  <c:v>3691.2831218987862</c:v>
                </c:pt>
                <c:pt idx="309">
                  <c:v>3678.0327838269236</c:v>
                </c:pt>
                <c:pt idx="310">
                  <c:v>3664.8343999034228</c:v>
                </c:pt>
                <c:pt idx="311">
                  <c:v>3651.6880600203936</c:v>
                </c:pt>
                <c:pt idx="312">
                  <c:v>3638.5938515575094</c:v>
                </c:pt>
                <c:pt idx="313">
                  <c:v>3625.5518593994611</c:v>
                </c:pt>
                <c:pt idx="314">
                  <c:v>3612.562165951264</c:v>
                </c:pt>
                <c:pt idx="315">
                  <c:v>3599.624851151581</c:v>
                </c:pt>
                <c:pt idx="316">
                  <c:v>3586.739992484197</c:v>
                </c:pt>
                <c:pt idx="317">
                  <c:v>3573.907664987787</c:v>
                </c:pt>
                <c:pt idx="318">
                  <c:v>3561.127941264107</c:v>
                </c:pt>
                <c:pt idx="319">
                  <c:v>3548.4008914847368</c:v>
                </c:pt>
                <c:pt idx="320">
                  <c:v>3535.7265833964902</c:v>
                </c:pt>
                <c:pt idx="321">
                  <c:v>3523.1050823256169</c:v>
                </c:pt>
                <c:pt idx="322">
                  <c:v>3510.536451180893</c:v>
                </c:pt>
                <c:pt idx="323">
                  <c:v>3498.0207504557311</c:v>
                </c:pt>
                <c:pt idx="324">
                  <c:v>3485.558038229387</c:v>
                </c:pt>
                <c:pt idx="325">
                  <c:v>3473.1483701673692</c:v>
                </c:pt>
                <c:pt idx="326">
                  <c:v>3460.7917995211478</c:v>
                </c:pt>
                <c:pt idx="327">
                  <c:v>3448.488377127243</c:v>
                </c:pt>
                <c:pt idx="328">
                  <c:v>3436.2381514057902</c:v>
                </c:pt>
                <c:pt idx="329">
                  <c:v>3424.0411683586353</c:v>
                </c:pt>
                <c:pt idx="330">
                  <c:v>3411.8974715670765</c:v>
                </c:pt>
                <c:pt idx="331">
                  <c:v>3399.8071021892792</c:v>
                </c:pt>
                <c:pt idx="332">
                  <c:v>3387.7700989574719</c:v>
                </c:pt>
                <c:pt idx="333">
                  <c:v>3375.7864981749485</c:v>
                </c:pt>
                <c:pt idx="334">
                  <c:v>3363.8563337129931</c:v>
                </c:pt>
                <c:pt idx="335">
                  <c:v>3351.9796370077106</c:v>
                </c:pt>
                <c:pt idx="336">
                  <c:v>3340.1564370568917</c:v>
                </c:pt>
                <c:pt idx="337">
                  <c:v>3328.3867604169095</c:v>
                </c:pt>
                <c:pt idx="338">
                  <c:v>3316.6706311997264</c:v>
                </c:pt>
                <c:pt idx="339">
                  <c:v>3305.0080710700381</c:v>
                </c:pt>
                <c:pt idx="340">
                  <c:v>3293.3990992426138</c:v>
                </c:pt>
                <c:pt idx="341">
                  <c:v>3281.843732479856</c:v>
                </c:pt>
                <c:pt idx="342">
                  <c:v>3270.3419850896189</c:v>
                </c:pt>
                <c:pt idx="343">
                  <c:v>3258.8938689233373</c:v>
                </c:pt>
                <c:pt idx="344">
                  <c:v>3247.4993933744777</c:v>
                </c:pt>
                <c:pt idx="345">
                  <c:v>3236.1585653773404</c:v>
                </c:pt>
                <c:pt idx="346">
                  <c:v>3224.8713894062585</c:v>
                </c:pt>
                <c:pt idx="347">
                  <c:v>3213.6378674752027</c:v>
                </c:pt>
                <c:pt idx="348">
                  <c:v>3202.457999137815</c:v>
                </c:pt>
                <c:pt idx="349">
                  <c:v>3191.3317814878951</c:v>
                </c:pt>
                <c:pt idx="350">
                  <c:v>3180.2592091603751</c:v>
                </c:pt>
                <c:pt idx="351">
                  <c:v>3169.2402743327493</c:v>
                </c:pt>
                <c:pt idx="352">
                  <c:v>3158.2749667270505</c:v>
                </c:pt>
                <c:pt idx="353">
                  <c:v>3147.3632736123063</c:v>
                </c:pt>
                <c:pt idx="354">
                  <c:v>3136.5051798075433</c:v>
                </c:pt>
                <c:pt idx="355">
                  <c:v>3125.7006676853275</c:v>
                </c:pt>
                <c:pt idx="356">
                  <c:v>3114.9497171758489</c:v>
                </c:pt>
                <c:pt idx="357">
                  <c:v>3104.2523057715648</c:v>
                </c:pt>
                <c:pt idx="358">
                  <c:v>3093.6084085323987</c:v>
                </c:pt>
                <c:pt idx="359">
                  <c:v>3083.0179980915086</c:v>
                </c:pt>
                <c:pt idx="360">
                  <c:v>3072.4810446616261</c:v>
                </c:pt>
                <c:pt idx="361">
                  <c:v>3061.9975160419531</c:v>
                </c:pt>
                <c:pt idx="362">
                  <c:v>3051.5673776256513</c:v>
                </c:pt>
                <c:pt idx="363">
                  <c:v>3041.1905924078787</c:v>
                </c:pt>
                <c:pt idx="364">
                  <c:v>3030.8671209944246</c:v>
                </c:pt>
                <c:pt idx="365">
                  <c:v>3020.5969216108856</c:v>
                </c:pt>
                <c:pt idx="366">
                  <c:v>3010.3799501124263</c:v>
                </c:pt>
                <c:pt idx="367">
                  <c:v>3000.216159994096</c:v>
                </c:pt>
                <c:pt idx="368">
                  <c:v>2990.1055024017073</c:v>
                </c:pt>
                <c:pt idx="369">
                  <c:v>2980.0479261432556</c:v>
                </c:pt>
                <c:pt idx="370">
                  <c:v>2970.0433777009007</c:v>
                </c:pt>
                <c:pt idx="371">
                  <c:v>2960.0918012434809</c:v>
                </c:pt>
                <c:pt idx="372">
                  <c:v>2950.1931386395604</c:v>
                </c:pt>
                <c:pt idx="373">
                  <c:v>2940.3473294710029</c:v>
                </c:pt>
                <c:pt idx="374">
                  <c:v>2930.5543110470589</c:v>
                </c:pt>
                <c:pt idx="375">
                  <c:v>2920.8140184189738</c:v>
                </c:pt>
                <c:pt idx="376">
                  <c:v>2911.1263843950787</c:v>
                </c:pt>
                <c:pt idx="377">
                  <c:v>2901.4913395563822</c:v>
                </c:pt>
                <c:pt idx="378">
                  <c:v>2891.9088122726375</c:v>
                </c:pt>
                <c:pt idx="379">
                  <c:v>2882.3787287188798</c:v>
                </c:pt>
                <c:pt idx="380">
                  <c:v>2872.9010128924206</c:v>
                </c:pt>
                <c:pt idx="381">
                  <c:v>2863.4755866302962</c:v>
                </c:pt>
                <c:pt idx="382">
                  <c:v>2854.102369627145</c:v>
                </c:pt>
                <c:pt idx="383">
                  <c:v>2844.781279453508</c:v>
                </c:pt>
                <c:pt idx="384">
                  <c:v>2835.5122315745534</c:v>
                </c:pt>
                <c:pt idx="385">
                  <c:v>2826.295139369196</c:v>
                </c:pt>
                <c:pt idx="386">
                  <c:v>2817.1299141496038</c:v>
                </c:pt>
                <c:pt idx="387">
                  <c:v>2808.0164651810819</c:v>
                </c:pt>
                <c:pt idx="388">
                  <c:v>2798.9546997023308</c:v>
                </c:pt>
                <c:pt idx="389">
                  <c:v>2789.9445229460443</c:v>
                </c:pt>
                <c:pt idx="390">
                  <c:v>2780.9858381598519</c:v>
                </c:pt>
                <c:pt idx="391">
                  <c:v>2772.078546627597</c:v>
                </c:pt>
                <c:pt idx="392">
                  <c:v>2763.2225476909157</c:v>
                </c:pt>
                <c:pt idx="393">
                  <c:v>2754.4177387711279</c:v>
                </c:pt>
                <c:pt idx="394">
                  <c:v>2745.6640153914177</c:v>
                </c:pt>
                <c:pt idx="395">
                  <c:v>2736.9612711992836</c:v>
                </c:pt>
                <c:pt idx="396">
                  <c:v>2728.3093979892619</c:v>
                </c:pt>
                <c:pt idx="397">
                  <c:v>2719.7082857258965</c:v>
                </c:pt>
                <c:pt idx="398">
                  <c:v>2711.1578225669546</c:v>
                </c:pt>
                <c:pt idx="399">
                  <c:v>2702.6578948868569</c:v>
                </c:pt>
                <c:pt idx="400">
                  <c:v>2694.2083873003398</c:v>
                </c:pt>
                <c:pt idx="401">
                  <c:v>2685.8091826863042</c:v>
                </c:pt>
                <c:pt idx="402">
                  <c:v>2677.460162211868</c:v>
                </c:pt>
                <c:pt idx="403">
                  <c:v>2669.1612053565859</c:v>
                </c:pt>
                <c:pt idx="404">
                  <c:v>2660.912189936842</c:v>
                </c:pt>
                <c:pt idx="405">
                  <c:v>2652.712992130394</c:v>
                </c:pt>
                <c:pt idx="406">
                  <c:v>2644.5634865010666</c:v>
                </c:pt>
                <c:pt idx="407">
                  <c:v>2636.4635460235654</c:v>
                </c:pt>
                <c:pt idx="408">
                  <c:v>2628.4130421084215</c:v>
                </c:pt>
                <c:pt idx="409">
                  <c:v>2620.4118446270386</c:v>
                </c:pt>
                <c:pt idx="410">
                  <c:v>2612.4598219368349</c:v>
                </c:pt>
                <c:pt idx="411">
                  <c:v>2604.5568409064863</c:v>
                </c:pt>
                <c:pt idx="412">
                  <c:v>2596.7027669412255</c:v>
                </c:pt>
                <c:pt idx="413">
                  <c:v>2588.8974640082242</c:v>
                </c:pt>
                <c:pt idx="414">
                  <c:v>2581.1407946620175</c:v>
                </c:pt>
                <c:pt idx="415">
                  <c:v>2573.4326200699816</c:v>
                </c:pt>
                <c:pt idx="416">
                  <c:v>2565.7728000378415</c:v>
                </c:pt>
                <c:pt idx="417">
                  <c:v>2558.1611930352087</c:v>
                </c:pt>
                <c:pt idx="418">
                  <c:v>2550.5976562211263</c:v>
                </c:pt>
                <c:pt idx="419">
                  <c:v>2543.0820454696277</c:v>
                </c:pt>
                <c:pt idx="420">
                  <c:v>2535.6142153952887</c:v>
                </c:pt>
                <c:pt idx="421">
                  <c:v>2528.1940193787682</c:v>
                </c:pt>
                <c:pt idx="422">
                  <c:v>2520.8213095923252</c:v>
                </c:pt>
                <c:pt idx="423">
                  <c:v>2513.4959370253091</c:v>
                </c:pt>
                <c:pt idx="424">
                  <c:v>2506.2177515096091</c:v>
                </c:pt>
                <c:pt idx="425">
                  <c:v>2498.9866017450604</c:v>
                </c:pt>
                <c:pt idx="426">
                  <c:v>2491.8023353247909</c:v>
                </c:pt>
                <c:pt idx="427">
                  <c:v>2484.6647987605097</c:v>
                </c:pt>
                <c:pt idx="428">
                  <c:v>2477.5738375077235</c:v>
                </c:pt>
                <c:pt idx="429">
                  <c:v>2470.5292959908775</c:v>
                </c:pt>
                <c:pt idx="430">
                  <c:v>2463.5310176284056</c:v>
                </c:pt>
                <c:pt idx="431">
                  <c:v>2456.5788448576977</c:v>
                </c:pt>
                <c:pt idx="432">
                  <c:v>2449.6726191599596</c:v>
                </c:pt>
                <c:pt idx="433">
                  <c:v>2442.8121810849752</c:v>
                </c:pt>
                <c:pt idx="434">
                  <c:v>2435.997370275752</c:v>
                </c:pt>
                <c:pt idx="435">
                  <c:v>2429.2280254930506</c:v>
                </c:pt>
                <c:pt idx="436">
                  <c:v>2422.5039846397844</c:v>
                </c:pt>
                <c:pt idx="437">
                  <c:v>2415.8250847853051</c:v>
                </c:pt>
                <c:pt idx="438">
                  <c:v>2409.1911621895356</c:v>
                </c:pt>
                <c:pt idx="439">
                  <c:v>2402.6020523269667</c:v>
                </c:pt>
                <c:pt idx="440">
                  <c:v>2396.0575899105156</c:v>
                </c:pt>
                <c:pt idx="441">
                  <c:v>2389.5576089152219</c:v>
                </c:pt>
                <c:pt idx="442">
                  <c:v>2383.1019426017956</c:v>
                </c:pt>
                <c:pt idx="443">
                  <c:v>2376.690423540002</c:v>
                </c:pt>
                <c:pt idx="444">
                  <c:v>2370.3228836318754</c:v>
                </c:pt>
                <c:pt idx="445">
                  <c:v>2363.9991541347727</c:v>
                </c:pt>
                <c:pt idx="446">
                  <c:v>2357.7190656842445</c:v>
                </c:pt>
                <c:pt idx="447">
                  <c:v>2351.4824483167367</c:v>
                </c:pt>
                <c:pt idx="448">
                  <c:v>2345.2891314920985</c:v>
                </c:pt>
                <c:pt idx="449">
                  <c:v>2339.1389441159181</c:v>
                </c:pt>
                <c:pt idx="450">
                  <c:v>2333.0317145616609</c:v>
                </c:pt>
                <c:pt idx="451">
                  <c:v>2326.9672706926135</c:v>
                </c:pt>
                <c:pt idx="452">
                  <c:v>2320.9454398836451</c:v>
                </c:pt>
                <c:pt idx="453">
                  <c:v>2314.9660490427532</c:v>
                </c:pt>
                <c:pt idx="454">
                  <c:v>2309.0289246324182</c:v>
                </c:pt>
                <c:pt idx="455">
                  <c:v>2303.1338926907574</c:v>
                </c:pt>
                <c:pt idx="456">
                  <c:v>2297.2807788524583</c:v>
                </c:pt>
                <c:pt idx="457">
                  <c:v>2291.4694083695172</c:v>
                </c:pt>
                <c:pt idx="458">
                  <c:v>2285.69960613176</c:v>
                </c:pt>
                <c:pt idx="459">
                  <c:v>2279.9711966871496</c:v>
                </c:pt>
                <c:pt idx="460">
                  <c:v>2274.2840042618764</c:v>
                </c:pt>
                <c:pt idx="461">
                  <c:v>2268.6378527802372</c:v>
                </c:pt>
                <c:pt idx="462">
                  <c:v>2263.0325658842889</c:v>
                </c:pt>
                <c:pt idx="463">
                  <c:v>2257.4679669532857</c:v>
                </c:pt>
                <c:pt idx="464">
                  <c:v>2251.9438791228922</c:v>
                </c:pt>
                <c:pt idx="465">
                  <c:v>2246.4601253041724</c:v>
                </c:pt>
                <c:pt idx="466">
                  <c:v>2241.016528202359</c:v>
                </c:pt>
                <c:pt idx="467">
                  <c:v>2235.6129103353887</c:v>
                </c:pt>
                <c:pt idx="468">
                  <c:v>2230.2490940522193</c:v>
                </c:pt>
                <c:pt idx="469">
                  <c:v>2224.9249015509135</c:v>
                </c:pt>
                <c:pt idx="470">
                  <c:v>2219.6401548964964</c:v>
                </c:pt>
                <c:pt idx="471">
                  <c:v>2214.3946760385861</c:v>
                </c:pt>
                <c:pt idx="472">
                  <c:v>2209.188286828788</c:v>
                </c:pt>
                <c:pt idx="473">
                  <c:v>2204.0208090378692</c:v>
                </c:pt>
                <c:pt idx="474">
                  <c:v>2198.892064372696</c:v>
                </c:pt>
                <c:pt idx="475">
                  <c:v>2193.8018744929386</c:v>
                </c:pt>
                <c:pt idx="476">
                  <c:v>2188.7500610275556</c:v>
                </c:pt>
                <c:pt idx="477">
                  <c:v>2183.7364455910315</c:v>
                </c:pt>
                <c:pt idx="478">
                  <c:v>2178.7608497994024</c:v>
                </c:pt>
                <c:pt idx="479">
                  <c:v>2173.8230952860381</c:v>
                </c:pt>
                <c:pt idx="480">
                  <c:v>2168.9230037171933</c:v>
                </c:pt>
                <c:pt idx="481">
                  <c:v>2164.0603968073424</c:v>
                </c:pt>
                <c:pt idx="482">
                  <c:v>2159.2350963342633</c:v>
                </c:pt>
                <c:pt idx="483">
                  <c:v>2154.4469241539132</c:v>
                </c:pt>
                <c:pt idx="484">
                  <c:v>2149.6957022150627</c:v>
                </c:pt>
                <c:pt idx="485">
                  <c:v>2144.9812525737043</c:v>
                </c:pt>
                <c:pt idx="486">
                  <c:v>2140.3033974072346</c:v>
                </c:pt>
                <c:pt idx="487">
                  <c:v>2135.6619590284113</c:v>
                </c:pt>
                <c:pt idx="488">
                  <c:v>2131.0567598990779</c:v>
                </c:pt>
                <c:pt idx="489">
                  <c:v>2126.4876226436736</c:v>
                </c:pt>
                <c:pt idx="490">
                  <c:v>2121.9543700625068</c:v>
                </c:pt>
                <c:pt idx="491">
                  <c:v>2117.4568251448163</c:v>
                </c:pt>
                <c:pt idx="492">
                  <c:v>2112.9948110816008</c:v>
                </c:pt>
                <c:pt idx="493">
                  <c:v>2108.5681512782371</c:v>
                </c:pt>
                <c:pt idx="494">
                  <c:v>2104.1766693668674</c:v>
                </c:pt>
                <c:pt idx="495">
                  <c:v>2099.8201892185757</c:v>
                </c:pt>
                <c:pt idx="496">
                  <c:v>2095.4985349553472</c:v>
                </c:pt>
                <c:pt idx="497">
                  <c:v>2091.2115309618011</c:v>
                </c:pt>
                <c:pt idx="498">
                  <c:v>2086.9590018967224</c:v>
                </c:pt>
                <c:pt idx="499">
                  <c:v>2082.7407727043683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11-491C-9CE7-BCD1A6474A31}"/>
            </c:ext>
          </c:extLst>
        </c:ser>
        <c:ser>
          <c:idx val="2"/>
          <c:order val="2"/>
          <c:tx>
            <c:v>I1</c:v>
          </c:tx>
          <c:spPr>
            <a:ln w="28575">
              <a:solidFill>
                <a:schemeClr val="accent6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'LM-OSL'!$R$32:$R$1031</c:f>
              <c:numCache>
                <c:formatCode>General</c:formatCode>
                <c:ptCount val="1000"/>
                <c:pt idx="0">
                  <c:v>0</c:v>
                </c:pt>
                <c:pt idx="1">
                  <c:v>1836.2567143010317</c:v>
                </c:pt>
                <c:pt idx="2">
                  <c:v>2663.6998728343988</c:v>
                </c:pt>
                <c:pt idx="3">
                  <c:v>2472.992549045282</c:v>
                </c:pt>
                <c:pt idx="4">
                  <c:v>1864.3574738871644</c:v>
                </c:pt>
                <c:pt idx="5">
                  <c:v>1282.6235851216843</c:v>
                </c:pt>
                <c:pt idx="6">
                  <c:v>860.44898535049549</c:v>
                </c:pt>
                <c:pt idx="7">
                  <c:v>582.12385728122558</c:v>
                </c:pt>
                <c:pt idx="8">
                  <c:v>402.87077318857058</c:v>
                </c:pt>
                <c:pt idx="9">
                  <c:v>286.45425555736426</c:v>
                </c:pt>
                <c:pt idx="10">
                  <c:v>209.21876359967703</c:v>
                </c:pt>
                <c:pt idx="11">
                  <c:v>156.65283086328395</c:v>
                </c:pt>
                <c:pt idx="12">
                  <c:v>119.94179505325017</c:v>
                </c:pt>
                <c:pt idx="13">
                  <c:v>93.670123291882419</c:v>
                </c:pt>
                <c:pt idx="14">
                  <c:v>74.443289178317272</c:v>
                </c:pt>
                <c:pt idx="15">
                  <c:v>60.083928159396564</c:v>
                </c:pt>
                <c:pt idx="16">
                  <c:v>49.162265113069097</c:v>
                </c:pt>
                <c:pt idx="17">
                  <c:v>40.717944197033802</c:v>
                </c:pt>
                <c:pt idx="18">
                  <c:v>34.092034624664095</c:v>
                </c:pt>
                <c:pt idx="19">
                  <c:v>28.823402587193701</c:v>
                </c:pt>
                <c:pt idx="20">
                  <c:v>24.583404632595315</c:v>
                </c:pt>
                <c:pt idx="21">
                  <c:v>21.133866141541311</c:v>
                </c:pt>
                <c:pt idx="22">
                  <c:v>18.29950168302236</c:v>
                </c:pt>
                <c:pt idx="23">
                  <c:v>15.949473169215624</c:v>
                </c:pt>
                <c:pt idx="24">
                  <c:v>13.984841179647937</c:v>
                </c:pt>
                <c:pt idx="25">
                  <c:v>12.329886178525429</c:v>
                </c:pt>
                <c:pt idx="26">
                  <c:v>10.926014527323508</c:v>
                </c:pt>
                <c:pt idx="27">
                  <c:v>9.7274186621262224</c:v>
                </c:pt>
                <c:pt idx="28">
                  <c:v>8.6979456140279261</c:v>
                </c:pt>
                <c:pt idx="29">
                  <c:v>7.8088095819978554</c:v>
                </c:pt>
                <c:pt idx="30">
                  <c:v>7.0369018426372474</c:v>
                </c:pt>
                <c:pt idx="31">
                  <c:v>6.3635285966075932</c:v>
                </c:pt>
                <c:pt idx="32">
                  <c:v>5.7734589258572582</c:v>
                </c:pt>
                <c:pt idx="33">
                  <c:v>5.2541999069486387</c:v>
                </c:pt>
                <c:pt idx="34">
                  <c:v>4.7954398056018892</c:v>
                </c:pt>
                <c:pt idx="35">
                  <c:v>4.3886168281800266</c:v>
                </c:pt>
                <c:pt idx="36">
                  <c:v>4.0265825075835968</c:v>
                </c:pt>
                <c:pt idx="37">
                  <c:v>3.7033370212947054</c:v>
                </c:pt>
                <c:pt idx="38">
                  <c:v>3.4138196229896005</c:v>
                </c:pt>
                <c:pt idx="39">
                  <c:v>3.1537416209678302</c:v>
                </c:pt>
                <c:pt idx="40">
                  <c:v>2.9194524372552122</c:v>
                </c:pt>
                <c:pt idx="41">
                  <c:v>2.707831561888971</c:v>
                </c:pt>
                <c:pt idx="42">
                  <c:v>2.5162009081956933</c:v>
                </c:pt>
                <c:pt idx="43">
                  <c:v>2.3422533389033973</c:v>
                </c:pt>
                <c:pt idx="44">
                  <c:v>2.1839940846359189</c:v>
                </c:pt>
                <c:pt idx="45">
                  <c:v>2.039692497951084</c:v>
                </c:pt>
                <c:pt idx="46">
                  <c:v>1.907842136914855</c:v>
                </c:pt>
                <c:pt idx="47">
                  <c:v>1.7871275953692023</c:v>
                </c:pt>
                <c:pt idx="48">
                  <c:v>1.6763968241325347</c:v>
                </c:pt>
                <c:pt idx="49">
                  <c:v>1.5746379416657985</c:v>
                </c:pt>
                <c:pt idx="50">
                  <c:v>1.4809597315497189</c:v>
                </c:pt>
                <c:pt idx="51">
                  <c:v>1.3945751803877351</c:v>
                </c:pt>
                <c:pt idx="52">
                  <c:v>1.3147875332097003</c:v>
                </c:pt>
                <c:pt idx="53">
                  <c:v>1.2409784414722316</c:v>
                </c:pt>
                <c:pt idx="54">
                  <c:v>1.1725978569425251</c:v>
                </c:pt>
                <c:pt idx="55">
                  <c:v>1.1091553874085422</c:v>
                </c:pt>
                <c:pt idx="56">
                  <c:v>1.0502128805852233</c:v>
                </c:pt>
                <c:pt idx="57">
                  <c:v>0.9953780433412085</c:v>
                </c:pt>
                <c:pt idx="58">
                  <c:v>0.94429893644155316</c:v>
                </c:pt>
                <c:pt idx="59">
                  <c:v>0.89665921194241027</c:v>
                </c:pt>
                <c:pt idx="60">
                  <c:v>0.8521739824021799</c:v>
                </c:pt>
                <c:pt idx="61">
                  <c:v>0.81058622915117717</c:v>
                </c:pt>
                <c:pt idx="62">
                  <c:v>0.77166367174865147</c:v>
                </c:pt>
                <c:pt idx="63">
                  <c:v>0.73519603305672854</c:v>
                </c:pt>
                <c:pt idx="64">
                  <c:v>0.70099264455768751</c:v>
                </c:pt>
                <c:pt idx="65">
                  <c:v>0.66888034502054228</c:v>
                </c:pt>
                <c:pt idx="66">
                  <c:v>0.63870163269576707</c:v>
                </c:pt>
                <c:pt idx="67">
                  <c:v>0.61031303713396745</c:v>
                </c:pt>
                <c:pt idx="68">
                  <c:v>0.58359133746051783</c:v>
                </c:pt>
                <c:pt idx="69">
                  <c:v>0.55840095056604311</c:v>
                </c:pt>
                <c:pt idx="70">
                  <c:v>0.53464096631183411</c:v>
                </c:pt>
                <c:pt idx="71">
                  <c:v>0.51221121146792192</c:v>
                </c:pt>
                <c:pt idx="72">
                  <c:v>0.49101981901201158</c:v>
                </c:pt>
                <c:pt idx="73">
                  <c:v>0.47098243525496802</c:v>
                </c:pt>
                <c:pt idx="74">
                  <c:v>0.45202151232283805</c:v>
                </c:pt>
                <c:pt idx="75">
                  <c:v>0.43406567579305155</c:v>
                </c:pt>
                <c:pt idx="76">
                  <c:v>0.41704915861977976</c:v>
                </c:pt>
                <c:pt idx="77">
                  <c:v>0.40091129363044953</c:v>
                </c:pt>
                <c:pt idx="78">
                  <c:v>0.3855960578612242</c:v>
                </c:pt>
                <c:pt idx="79">
                  <c:v>0.37105166284833524</c:v>
                </c:pt>
                <c:pt idx="80">
                  <c:v>0.35723018572485449</c:v>
                </c:pt>
                <c:pt idx="81">
                  <c:v>0.34408723660606594</c:v>
                </c:pt>
                <c:pt idx="82">
                  <c:v>0.33158165829546848</c:v>
                </c:pt>
                <c:pt idx="83">
                  <c:v>0.31967525481980374</c:v>
                </c:pt>
                <c:pt idx="84">
                  <c:v>0.30833254571572427</c:v>
                </c:pt>
                <c:pt idx="85">
                  <c:v>0.29752054335148365</c:v>
                </c:pt>
                <c:pt idx="86">
                  <c:v>0.28720855088182928</c:v>
                </c:pt>
                <c:pt idx="87">
                  <c:v>0.27736797870939606</c:v>
                </c:pt>
                <c:pt idx="88">
                  <c:v>0.26797217756674313</c:v>
                </c:pt>
                <c:pt idx="89">
                  <c:v>0.25899628654434492</c:v>
                </c:pt>
                <c:pt idx="90">
                  <c:v>0.25041709457530176</c:v>
                </c:pt>
                <c:pt idx="91">
                  <c:v>0.24221291405062875</c:v>
                </c:pt>
                <c:pt idx="92">
                  <c:v>0.23436346538265382</c:v>
                </c:pt>
                <c:pt idx="93">
                  <c:v>0.22684977146076965</c:v>
                </c:pt>
                <c:pt idx="94">
                  <c:v>0.21965406105573754</c:v>
                </c:pt>
                <c:pt idx="95">
                  <c:v>0.21275968032775092</c:v>
                </c:pt>
                <c:pt idx="96">
                  <c:v>0.20615101168118616</c:v>
                </c:pt>
                <c:pt idx="97">
                  <c:v>0.19981339928675443</c:v>
                </c:pt>
                <c:pt idx="98">
                  <c:v>0.19373308066086398</c:v>
                </c:pt>
                <c:pt idx="99">
                  <c:v>0.18789712375343237</c:v>
                </c:pt>
                <c:pt idx="100">
                  <c:v>0.18229336905009574</c:v>
                </c:pt>
                <c:pt idx="101">
                  <c:v>0.17691037624350969</c:v>
                </c:pt>
                <c:pt idx="102">
                  <c:v>0.17173737507196679</c:v>
                </c:pt>
                <c:pt idx="103">
                  <c:v>0.1667642199624283</c:v>
                </c:pt>
                <c:pt idx="104">
                  <c:v>0.16198134814985923</c:v>
                </c:pt>
                <c:pt idx="105">
                  <c:v>0.15737974097590013</c:v>
                </c:pt>
                <c:pt idx="106">
                  <c:v>0.15295088809784013</c:v>
                </c:pt>
                <c:pt idx="107">
                  <c:v>0.14868675436391957</c:v>
                </c:pt>
                <c:pt idx="108">
                  <c:v>0.1445797491335081</c:v>
                </c:pt>
                <c:pt idx="109">
                  <c:v>0.1406226978409611</c:v>
                </c:pt>
                <c:pt idx="110">
                  <c:v>0.13680881562018751</c:v>
                </c:pt>
                <c:pt idx="111">
                  <c:v>0.13313168282339768</c:v>
                </c:pt>
                <c:pt idx="112">
                  <c:v>0.12958522228232081</c:v>
                </c:pt>
                <c:pt idx="113">
                  <c:v>0.12616367817356833</c:v>
                </c:pt>
                <c:pt idx="114">
                  <c:v>0.12286159636191143</c:v>
                </c:pt>
                <c:pt idx="115">
                  <c:v>0.11967380610619131</c:v>
                </c:pt>
                <c:pt idx="116">
                  <c:v>0.11659540302248121</c:v>
                </c:pt>
                <c:pt idx="117">
                  <c:v>0.11362173320810355</c:v>
                </c:pt>
                <c:pt idx="118">
                  <c:v>0.11074837843824827</c:v>
                </c:pt>
                <c:pt idx="119">
                  <c:v>0.10797114235433244</c:v>
                </c:pt>
                <c:pt idx="120">
                  <c:v>0.10528603756996091</c:v>
                </c:pt>
                <c:pt idx="121">
                  <c:v>0.10268927362645211</c:v>
                </c:pt>
                <c:pt idx="122">
                  <c:v>0.10017724573546012</c:v>
                </c:pt>
                <c:pt idx="123">
                  <c:v>9.7746524251281192E-2</c:v>
                </c:pt>
                <c:pt idx="124">
                  <c:v>9.539384482005353E-2</c:v>
                </c:pt>
                <c:pt idx="125">
                  <c:v>9.3116099157266832E-2</c:v>
                </c:pt>
                <c:pt idx="126">
                  <c:v>9.0910326408845485E-2</c:v>
                </c:pt>
                <c:pt idx="127">
                  <c:v>8.8773705054578864E-2</c:v>
                </c:pt>
                <c:pt idx="128">
                  <c:v>8.6703545315885228E-2</c:v>
                </c:pt>
                <c:pt idx="129">
                  <c:v>8.4697282032832527E-2</c:v>
                </c:pt>
                <c:pt idx="130">
                  <c:v>8.275246797803168E-2</c:v>
                </c:pt>
                <c:pt idx="131">
                  <c:v>8.0866767577480042E-2</c:v>
                </c:pt>
                <c:pt idx="132">
                  <c:v>7.9037951010695953E-2</c:v>
                </c:pt>
                <c:pt idx="133">
                  <c:v>7.726388866455644E-2</c:v>
                </c:pt>
                <c:pt idx="134">
                  <c:v>7.5542545917155701E-2</c:v>
                </c:pt>
                <c:pt idx="135">
                  <c:v>7.3871978229750473E-2</c:v>
                </c:pt>
                <c:pt idx="136">
                  <c:v>7.2250326526466999E-2</c:v>
                </c:pt>
                <c:pt idx="137">
                  <c:v>7.0675812842922681E-2</c:v>
                </c:pt>
                <c:pt idx="138">
                  <c:v>6.9146736226279176E-2</c:v>
                </c:pt>
                <c:pt idx="139">
                  <c:v>6.7661468870495206E-2</c:v>
                </c:pt>
                <c:pt idx="140">
                  <c:v>6.6218452471706768E-2</c:v>
                </c:pt>
                <c:pt idx="141">
                  <c:v>6.4816194789724751E-2</c:v>
                </c:pt>
                <c:pt idx="142">
                  <c:v>6.345326640262694E-2</c:v>
                </c:pt>
                <c:pt idx="143">
                  <c:v>6.2128297642327551E-2</c:v>
                </c:pt>
                <c:pt idx="144">
                  <c:v>6.0839975699847504E-2</c:v>
                </c:pt>
                <c:pt idx="145">
                  <c:v>5.9587041889783171E-2</c:v>
                </c:pt>
                <c:pt idx="146">
                  <c:v>5.8368289064190046E-2</c:v>
                </c:pt>
                <c:pt idx="147">
                  <c:v>5.7182559166760349E-2</c:v>
                </c:pt>
                <c:pt idx="148">
                  <c:v>5.6028740918788539E-2</c:v>
                </c:pt>
                <c:pt idx="149">
                  <c:v>5.4905767628987627E-2</c:v>
                </c:pt>
                <c:pt idx="150">
                  <c:v>5.3812615119748025E-2</c:v>
                </c:pt>
                <c:pt idx="151">
                  <c:v>5.2748299762918102E-2</c:v>
                </c:pt>
                <c:pt idx="152">
                  <c:v>5.1711876618641524E-2</c:v>
                </c:pt>
                <c:pt idx="153">
                  <c:v>5.0702437671206087E-2</c:v>
                </c:pt>
                <c:pt idx="154">
                  <c:v>4.9719110156252029E-2</c:v>
                </c:pt>
                <c:pt idx="155">
                  <c:v>4.87610549740497E-2</c:v>
                </c:pt>
                <c:pt idx="156">
                  <c:v>4.7827465183896245E-2</c:v>
                </c:pt>
                <c:pt idx="157">
                  <c:v>4.6917564574993742E-2</c:v>
                </c:pt>
                <c:pt idx="158">
                  <c:v>4.6030606309465857E-2</c:v>
                </c:pt>
                <c:pt idx="159">
                  <c:v>4.5165871633440664E-2</c:v>
                </c:pt>
                <c:pt idx="160">
                  <c:v>4.4322668652382338E-2</c:v>
                </c:pt>
                <c:pt idx="161">
                  <c:v>4.3500331167090157E-2</c:v>
                </c:pt>
                <c:pt idx="162">
                  <c:v>4.2698217567004614E-2</c:v>
                </c:pt>
                <c:pt idx="163">
                  <c:v>4.1915709777664768E-2</c:v>
                </c:pt>
                <c:pt idx="164">
                  <c:v>4.1152212259353997E-2</c:v>
                </c:pt>
                <c:pt idx="165">
                  <c:v>4.0407151054149791E-2</c:v>
                </c:pt>
                <c:pt idx="166">
                  <c:v>3.9679972878761127E-2</c:v>
                </c:pt>
                <c:pt idx="167">
                  <c:v>3.8970144260691959E-2</c:v>
                </c:pt>
                <c:pt idx="168">
                  <c:v>3.827715071541718E-2</c:v>
                </c:pt>
                <c:pt idx="169">
                  <c:v>3.7600495962392635E-2</c:v>
                </c:pt>
                <c:pt idx="170">
                  <c:v>3.6939701177848908E-2</c:v>
                </c:pt>
                <c:pt idx="171">
                  <c:v>3.6294304282438974E-2</c:v>
                </c:pt>
                <c:pt idx="172">
                  <c:v>3.5663859261920013E-2</c:v>
                </c:pt>
                <c:pt idx="173">
                  <c:v>3.5047935519156574E-2</c:v>
                </c:pt>
                <c:pt idx="174">
                  <c:v>3.4446117255829065E-2</c:v>
                </c:pt>
                <c:pt idx="175">
                  <c:v>3.3858002882324052E-2</c:v>
                </c:pt>
                <c:pt idx="176">
                  <c:v>3.3283204454369365E-2</c:v>
                </c:pt>
                <c:pt idx="177">
                  <c:v>3.2721347135057852E-2</c:v>
                </c:pt>
                <c:pt idx="178">
                  <c:v>3.2172068680979521E-2</c:v>
                </c:pt>
                <c:pt idx="179">
                  <c:v>3.1635018951253251E-2</c:v>
                </c:pt>
                <c:pt idx="180">
                  <c:v>3.1109859438316279E-2</c:v>
                </c:pt>
                <c:pt idx="181">
                  <c:v>3.0596262819392518E-2</c:v>
                </c:pt>
                <c:pt idx="182">
                  <c:v>3.0093912527619799E-2</c:v>
                </c:pt>
                <c:pt idx="183">
                  <c:v>2.9602502341871929E-2</c:v>
                </c:pt>
                <c:pt idx="184">
                  <c:v>2.9121735994363664E-2</c:v>
                </c:pt>
                <c:pt idx="185">
                  <c:v>2.8651326795175618E-2</c:v>
                </c:pt>
                <c:pt idx="186">
                  <c:v>2.8190997272882767E-2</c:v>
                </c:pt>
                <c:pt idx="187">
                  <c:v>2.7740478830513653E-2</c:v>
                </c:pt>
                <c:pt idx="188">
                  <c:v>2.7299511416107973E-2</c:v>
                </c:pt>
                <c:pt idx="189">
                  <c:v>2.686784320717981E-2</c:v>
                </c:pt>
                <c:pt idx="190">
                  <c:v>2.6445230308428914E-2</c:v>
                </c:pt>
                <c:pt idx="191">
                  <c:v>2.6031436462078131E-2</c:v>
                </c:pt>
                <c:pt idx="192">
                  <c:v>2.5626232770246067E-2</c:v>
                </c:pt>
                <c:pt idx="193">
                  <c:v>2.5229397428795632E-2</c:v>
                </c:pt>
                <c:pt idx="194">
                  <c:v>2.4840715472127413E-2</c:v>
                </c:pt>
                <c:pt idx="195">
                  <c:v>2.4459978528413914E-2</c:v>
                </c:pt>
                <c:pt idx="196">
                  <c:v>2.4086984584796606E-2</c:v>
                </c:pt>
                <c:pt idx="197">
                  <c:v>2.3721537762091884E-2</c:v>
                </c:pt>
                <c:pt idx="198">
                  <c:v>2.336344809857473E-2</c:v>
                </c:pt>
                <c:pt idx="199">
                  <c:v>2.3012531342430538E-2</c:v>
                </c:pt>
                <c:pt idx="200">
                  <c:v>2.2668608752486236E-2</c:v>
                </c:pt>
                <c:pt idx="201">
                  <c:v>2.2331506906850838E-2</c:v>
                </c:pt>
                <c:pt idx="202">
                  <c:v>2.2001057519113947E-2</c:v>
                </c:pt>
                <c:pt idx="203">
                  <c:v>2.1677097261767919E-2</c:v>
                </c:pt>
                <c:pt idx="204">
                  <c:v>2.1359467596536036E-2</c:v>
                </c:pt>
                <c:pt idx="205">
                  <c:v>2.1048014611303956E-2</c:v>
                </c:pt>
                <c:pt idx="206">
                  <c:v>2.0742588863367026E-2</c:v>
                </c:pt>
                <c:pt idx="207">
                  <c:v>2.0443045228719283E-2</c:v>
                </c:pt>
                <c:pt idx="208">
                  <c:v>2.0149242757123518E-2</c:v>
                </c:pt>
                <c:pt idx="209">
                  <c:v>1.9861044532714044E-2</c:v>
                </c:pt>
                <c:pt idx="210">
                  <c:v>1.9578317539895747E-2</c:v>
                </c:pt>
                <c:pt idx="211">
                  <c:v>1.930093253431393E-2</c:v>
                </c:pt>
                <c:pt idx="212">
                  <c:v>1.9028763918680365E-2</c:v>
                </c:pt>
                <c:pt idx="213">
                  <c:v>1.8761689623250765E-2</c:v>
                </c:pt>
                <c:pt idx="214">
                  <c:v>1.849959099075861E-2</c:v>
                </c:pt>
                <c:pt idx="215">
                  <c:v>1.8242352665619282E-2</c:v>
                </c:pt>
                <c:pt idx="216">
                  <c:v>1.7989862487226942E-2</c:v>
                </c:pt>
                <c:pt idx="217">
                  <c:v>1.7742011387174805E-2</c:v>
                </c:pt>
                <c:pt idx="218">
                  <c:v>1.7498693290237396E-2</c:v>
                </c:pt>
                <c:pt idx="219">
                  <c:v>1.725980501896044E-2</c:v>
                </c:pt>
                <c:pt idx="220">
                  <c:v>1.7025246201711159E-2</c:v>
                </c:pt>
                <c:pt idx="221">
                  <c:v>1.6794919184048428E-2</c:v>
                </c:pt>
                <c:pt idx="222">
                  <c:v>1.6568728943278672E-2</c:v>
                </c:pt>
                <c:pt idx="223">
                  <c:v>1.6346583006068883E-2</c:v>
                </c:pt>
                <c:pt idx="224">
                  <c:v>1.6128391368994757E-2</c:v>
                </c:pt>
                <c:pt idx="225">
                  <c:v>1.5914066421906254E-2</c:v>
                </c:pt>
                <c:pt idx="226">
                  <c:v>1.5703522873999121E-2</c:v>
                </c:pt>
                <c:pt idx="227">
                  <c:v>1.5496677682485095E-2</c:v>
                </c:pt>
                <c:pt idx="228">
                  <c:v>1.5293449983758593E-2</c:v>
                </c:pt>
                <c:pt idx="229">
                  <c:v>1.5093761026961888E-2</c:v>
                </c:pt>
                <c:pt idx="230">
                  <c:v>1.4897534109855221E-2</c:v>
                </c:pt>
                <c:pt idx="231">
                  <c:v>1.4704694516902313E-2</c:v>
                </c:pt>
                <c:pt idx="232">
                  <c:v>1.4515169459485359E-2</c:v>
                </c:pt>
                <c:pt idx="233">
                  <c:v>1.4328888018167701E-2</c:v>
                </c:pt>
                <c:pt idx="234">
                  <c:v>1.4145781086925316E-2</c:v>
                </c:pt>
                <c:pt idx="235">
                  <c:v>1.3965781319272274E-2</c:v>
                </c:pt>
                <c:pt idx="236">
                  <c:v>1.3788823076207645E-2</c:v>
                </c:pt>
                <c:pt idx="237">
                  <c:v>1.3614842375915266E-2</c:v>
                </c:pt>
                <c:pt idx="238">
                  <c:v>1.3443776845150045E-2</c:v>
                </c:pt>
                <c:pt idx="239">
                  <c:v>1.3275565672247462E-2</c:v>
                </c:pt>
                <c:pt idx="240">
                  <c:v>1.3110149561695466E-2</c:v>
                </c:pt>
                <c:pt idx="241">
                  <c:v>1.2947470690210771E-2</c:v>
                </c:pt>
                <c:pt idx="242">
                  <c:v>1.2787472664263552E-2</c:v>
                </c:pt>
                <c:pt idx="243">
                  <c:v>1.2630100478997033E-2</c:v>
                </c:pt>
                <c:pt idx="244">
                  <c:v>1.2475300478490743E-2</c:v>
                </c:pt>
                <c:pt idx="245">
                  <c:v>1.2323020317318077E-2</c:v>
                </c:pt>
                <c:pt idx="246">
                  <c:v>1.2173208923351025E-2</c:v>
                </c:pt>
                <c:pt idx="247">
                  <c:v>1.202581646176664E-2</c:v>
                </c:pt>
                <c:pt idx="248">
                  <c:v>1.1880794300211774E-2</c:v>
                </c:pt>
                <c:pt idx="249">
                  <c:v>1.1738094975084329E-2</c:v>
                </c:pt>
                <c:pt idx="250">
                  <c:v>1.1597672158890912E-2</c:v>
                </c:pt>
                <c:pt idx="251">
                  <c:v>1.1459480628642361E-2</c:v>
                </c:pt>
                <c:pt idx="252">
                  <c:v>1.1323476235250188E-2</c:v>
                </c:pt>
                <c:pt idx="253">
                  <c:v>1.1189615873888387E-2</c:v>
                </c:pt>
                <c:pt idx="254">
                  <c:v>1.1057857455286563E-2</c:v>
                </c:pt>
                <c:pt idx="255">
                  <c:v>1.0928159877921432E-2</c:v>
                </c:pt>
                <c:pt idx="256">
                  <c:v>1.080048300107532E-2</c:v>
                </c:pt>
                <c:pt idx="257">
                  <c:v>1.067478761873133E-2</c:v>
                </c:pt>
                <c:pt idx="258">
                  <c:v>1.0551035434276023E-2</c:v>
                </c:pt>
                <c:pt idx="259">
                  <c:v>1.0429189035981631E-2</c:v>
                </c:pt>
                <c:pt idx="260">
                  <c:v>1.0309211873240923E-2</c:v>
                </c:pt>
                <c:pt idx="261">
                  <c:v>1.0191068233528743E-2</c:v>
                </c:pt>
                <c:pt idx="262">
                  <c:v>1.0074723220065411E-2</c:v>
                </c:pt>
                <c:pt idx="263">
                  <c:v>9.9601427301579427E-3</c:v>
                </c:pt>
                <c:pt idx="264">
                  <c:v>9.8472934341960888E-3</c:v>
                </c:pt>
                <c:pt idx="265">
                  <c:v>9.7361427552809417E-3</c:v>
                </c:pt>
                <c:pt idx="266">
                  <c:v>9.6266588494648593E-3</c:v>
                </c:pt>
                <c:pt idx="267">
                  <c:v>9.5188105865819973E-3</c:v>
                </c:pt>
                <c:pt idx="268">
                  <c:v>9.4125675316498042E-3</c:v>
                </c:pt>
                <c:pt idx="269">
                  <c:v>9.3078999268223252E-3</c:v>
                </c:pt>
                <c:pt idx="270">
                  <c:v>9.2047786738770291E-3</c:v>
                </c:pt>
                <c:pt idx="271">
                  <c:v>9.1031753172173806E-3</c:v>
                </c:pt>
                <c:pt idx="272">
                  <c:v>9.0030620273742461E-3</c:v>
                </c:pt>
                <c:pt idx="273">
                  <c:v>8.904411584989641E-3</c:v>
                </c:pt>
                <c:pt idx="274">
                  <c:v>8.8071973652670589E-3</c:v>
                </c:pt>
                <c:pt idx="275">
                  <c:v>8.7113933228731167E-3</c:v>
                </c:pt>
                <c:pt idx="276">
                  <c:v>8.616973977275828E-3</c:v>
                </c:pt>
                <c:pt idx="277">
                  <c:v>8.5239143985053716E-3</c:v>
                </c:pt>
                <c:pt idx="278">
                  <c:v>8.4321901933237329E-3</c:v>
                </c:pt>
                <c:pt idx="279">
                  <c:v>8.341777491789916E-3</c:v>
                </c:pt>
                <c:pt idx="280">
                  <c:v>8.2526529342082829E-3</c:v>
                </c:pt>
                <c:pt idx="281">
                  <c:v>8.1647936584475257E-3</c:v>
                </c:pt>
                <c:pt idx="282">
                  <c:v>8.0781772876186309E-3</c:v>
                </c:pt>
                <c:pt idx="283">
                  <c:v>7.9927819181003779E-3</c:v>
                </c:pt>
                <c:pt idx="284">
                  <c:v>7.908586107901407E-3</c:v>
                </c:pt>
                <c:pt idx="285">
                  <c:v>7.8255688653482095E-3</c:v>
                </c:pt>
                <c:pt idx="286">
                  <c:v>7.7437096380888939E-3</c:v>
                </c:pt>
                <c:pt idx="287">
                  <c:v>7.662988302402707E-3</c:v>
                </c:pt>
                <c:pt idx="288">
                  <c:v>7.5833851528059439E-3</c:v>
                </c:pt>
                <c:pt idx="289">
                  <c:v>7.5048808919448732E-3</c:v>
                </c:pt>
                <c:pt idx="290">
                  <c:v>7.4274566207669169E-3</c:v>
                </c:pt>
                <c:pt idx="291">
                  <c:v>7.3510938289614303E-3</c:v>
                </c:pt>
                <c:pt idx="292">
                  <c:v>7.2757743856617929E-3</c:v>
                </c:pt>
                <c:pt idx="293">
                  <c:v>7.2014805304008297E-3</c:v>
                </c:pt>
                <c:pt idx="294">
                  <c:v>7.1281948643117958E-3</c:v>
                </c:pt>
                <c:pt idx="295">
                  <c:v>7.0559003415674639E-3</c:v>
                </c:pt>
                <c:pt idx="296">
                  <c:v>6.9845802610500858E-3</c:v>
                </c:pt>
                <c:pt idx="297">
                  <c:v>6.9142182582452392E-3</c:v>
                </c:pt>
                <c:pt idx="298">
                  <c:v>6.8447982973528403E-3</c:v>
                </c:pt>
                <c:pt idx="299">
                  <c:v>6.7763046636087395E-3</c:v>
                </c:pt>
                <c:pt idx="300">
                  <c:v>6.7087219558106901E-3</c:v>
                </c:pt>
                <c:pt idx="301">
                  <c:v>6.6420350790424645E-3</c:v>
                </c:pt>
                <c:pt idx="302">
                  <c:v>6.5762292375903782E-3</c:v>
                </c:pt>
                <c:pt idx="303">
                  <c:v>6.5112899280463515E-3</c:v>
                </c:pt>
                <c:pt idx="304">
                  <c:v>6.4472029325921562E-3</c:v>
                </c:pt>
                <c:pt idx="305">
                  <c:v>6.3839543124593907E-3</c:v>
                </c:pt>
                <c:pt idx="306">
                  <c:v>6.3215304015600843E-3</c:v>
                </c:pt>
                <c:pt idx="307">
                  <c:v>6.2599178002829634E-3</c:v>
                </c:pt>
                <c:pt idx="308">
                  <c:v>6.199103369450433E-3</c:v>
                </c:pt>
                <c:pt idx="309">
                  <c:v>6.1390742244317766E-3</c:v>
                </c:pt>
                <c:pt idx="310">
                  <c:v>6.0798177294078774E-3</c:v>
                </c:pt>
                <c:pt idx="311">
                  <c:v>6.0213214917832093E-3</c:v>
                </c:pt>
                <c:pt idx="312">
                  <c:v>5.9635733567407773E-3</c:v>
                </c:pt>
                <c:pt idx="313">
                  <c:v>5.9065614019359622E-3</c:v>
                </c:pt>
                <c:pt idx="314">
                  <c:v>5.8502739323252574E-3</c:v>
                </c:pt>
                <c:pt idx="315">
                  <c:v>5.7946994751260682E-3</c:v>
                </c:pt>
                <c:pt idx="316">
                  <c:v>5.739826774903852E-3</c:v>
                </c:pt>
                <c:pt idx="317">
                  <c:v>5.6856447887829809E-3</c:v>
                </c:pt>
                <c:pt idx="318">
                  <c:v>5.6321426817778283E-3</c:v>
                </c:pt>
                <c:pt idx="319">
                  <c:v>5.5793098222407184E-3</c:v>
                </c:pt>
                <c:pt idx="320">
                  <c:v>5.5271357774234328E-3</c:v>
                </c:pt>
                <c:pt idx="321">
                  <c:v>5.4756103091490992E-3</c:v>
                </c:pt>
                <c:pt idx="322">
                  <c:v>5.4247233695914132E-3</c:v>
                </c:pt>
                <c:pt idx="323">
                  <c:v>5.3744650971581575E-3</c:v>
                </c:pt>
                <c:pt idx="324">
                  <c:v>5.3248258124761749E-3</c:v>
                </c:pt>
                <c:pt idx="325">
                  <c:v>5.2757960144749648E-3</c:v>
                </c:pt>
                <c:pt idx="326">
                  <c:v>5.2273663765661869E-3</c:v>
                </c:pt>
                <c:pt idx="327">
                  <c:v>5.1795277429164538E-3</c:v>
                </c:pt>
                <c:pt idx="328">
                  <c:v>5.1322711248108221E-3</c:v>
                </c:pt>
                <c:pt idx="329">
                  <c:v>5.0855876971045832E-3</c:v>
                </c:pt>
                <c:pt idx="330">
                  <c:v>5.0394687947608275E-3</c:v>
                </c:pt>
                <c:pt idx="331">
                  <c:v>4.9939059094715821E-3</c:v>
                </c:pt>
                <c:pt idx="332">
                  <c:v>4.948890686360171E-3</c:v>
                </c:pt>
                <c:pt idx="333">
                  <c:v>4.9044149207626555E-3</c:v>
                </c:pt>
                <c:pt idx="334">
                  <c:v>4.8604705550861936E-3</c:v>
                </c:pt>
                <c:pt idx="335">
                  <c:v>4.8170496757422975E-3</c:v>
                </c:pt>
                <c:pt idx="336">
                  <c:v>4.7741445101529409E-3</c:v>
                </c:pt>
                <c:pt idx="337">
                  <c:v>4.7317474238276168E-3</c:v>
                </c:pt>
                <c:pt idx="338">
                  <c:v>4.689850917509418E-3</c:v>
                </c:pt>
                <c:pt idx="339">
                  <c:v>4.6484476243883414E-3</c:v>
                </c:pt>
                <c:pt idx="340">
                  <c:v>4.607530307380054E-3</c:v>
                </c:pt>
                <c:pt idx="341">
                  <c:v>4.567091856468343E-3</c:v>
                </c:pt>
                <c:pt idx="342">
                  <c:v>4.5271252861096099E-3</c:v>
                </c:pt>
                <c:pt idx="343">
                  <c:v>4.4876237326978109E-3</c:v>
                </c:pt>
                <c:pt idx="344">
                  <c:v>4.4485804520882138E-3</c:v>
                </c:pt>
                <c:pt idx="345">
                  <c:v>4.4099888171784543E-3</c:v>
                </c:pt>
                <c:pt idx="346">
                  <c:v>4.3718423155454395E-3</c:v>
                </c:pt>
                <c:pt idx="347">
                  <c:v>4.3341345471366033E-3</c:v>
                </c:pt>
                <c:pt idx="348">
                  <c:v>4.2968592220141493E-3</c:v>
                </c:pt>
                <c:pt idx="349">
                  <c:v>4.2600101581508768E-3</c:v>
                </c:pt>
                <c:pt idx="350">
                  <c:v>4.2235812792763274E-3</c:v>
                </c:pt>
                <c:pt idx="351">
                  <c:v>4.1875666127718794E-3</c:v>
                </c:pt>
                <c:pt idx="352">
                  <c:v>4.1519602876136453E-3</c:v>
                </c:pt>
                <c:pt idx="353">
                  <c:v>4.1167565323618439E-3</c:v>
                </c:pt>
                <c:pt idx="354">
                  <c:v>4.081949673195564E-3</c:v>
                </c:pt>
                <c:pt idx="355">
                  <c:v>4.0475341319917016E-3</c:v>
                </c:pt>
                <c:pt idx="356">
                  <c:v>4.0135044244470099E-3</c:v>
                </c:pt>
                <c:pt idx="357">
                  <c:v>3.9798551582421304E-3</c:v>
                </c:pt>
                <c:pt idx="358">
                  <c:v>3.9465810312465802E-3</c:v>
                </c:pt>
                <c:pt idx="359">
                  <c:v>3.9136768297636706E-3</c:v>
                </c:pt>
                <c:pt idx="360">
                  <c:v>3.8811374268143384E-3</c:v>
                </c:pt>
                <c:pt idx="361">
                  <c:v>3.8489577804589566E-3</c:v>
                </c:pt>
                <c:pt idx="362">
                  <c:v>3.8171329321561409E-3</c:v>
                </c:pt>
                <c:pt idx="363">
                  <c:v>3.7856580051576719E-3</c:v>
                </c:pt>
                <c:pt idx="364">
                  <c:v>3.7545282029386147E-3</c:v>
                </c:pt>
                <c:pt idx="365">
                  <c:v>3.7237388076618049E-3</c:v>
                </c:pt>
                <c:pt idx="366">
                  <c:v>3.6932851786758E-3</c:v>
                </c:pt>
                <c:pt idx="367">
                  <c:v>3.663162751045548E-3</c:v>
                </c:pt>
                <c:pt idx="368">
                  <c:v>3.6333670341149042E-3</c:v>
                </c:pt>
                <c:pt idx="369">
                  <c:v>3.6038936101002901E-3</c:v>
                </c:pt>
                <c:pt idx="370">
                  <c:v>3.57473813271467E-3</c:v>
                </c:pt>
                <c:pt idx="371">
                  <c:v>3.5458963258211602E-3</c:v>
                </c:pt>
                <c:pt idx="372">
                  <c:v>3.5173639821155464E-3</c:v>
                </c:pt>
                <c:pt idx="373">
                  <c:v>3.4891369618369875E-3</c:v>
                </c:pt>
                <c:pt idx="374">
                  <c:v>3.4612111915062545E-3</c:v>
                </c:pt>
                <c:pt idx="375">
                  <c:v>3.4335826626908472E-3</c:v>
                </c:pt>
                <c:pt idx="376">
                  <c:v>3.4062474307963212E-3</c:v>
                </c:pt>
                <c:pt idx="377">
                  <c:v>3.3792016138832256E-3</c:v>
                </c:pt>
                <c:pt idx="378">
                  <c:v>3.352441391509026E-3</c:v>
                </c:pt>
                <c:pt idx="379">
                  <c:v>3.3259630035944341E-3</c:v>
                </c:pt>
                <c:pt idx="380">
                  <c:v>3.2997627493135651E-3</c:v>
                </c:pt>
                <c:pt idx="381">
                  <c:v>3.2738369860073357E-3</c:v>
                </c:pt>
                <c:pt idx="382">
                  <c:v>3.248182128119597E-3</c:v>
                </c:pt>
                <c:pt idx="383">
                  <c:v>3.2227946461554436E-3</c:v>
                </c:pt>
                <c:pt idx="384">
                  <c:v>3.1976710656611783E-3</c:v>
                </c:pt>
                <c:pt idx="385">
                  <c:v>3.1728079662254431E-3</c:v>
                </c:pt>
                <c:pt idx="386">
                  <c:v>3.148201980501007E-3</c:v>
                </c:pt>
                <c:pt idx="387">
                  <c:v>3.1238497932467484E-3</c:v>
                </c:pt>
                <c:pt idx="388">
                  <c:v>3.0997481403893367E-3</c:v>
                </c:pt>
                <c:pt idx="389">
                  <c:v>3.0758938081042022E-3</c:v>
                </c:pt>
                <c:pt idx="390">
                  <c:v>3.0522836319153016E-3</c:v>
                </c:pt>
                <c:pt idx="391">
                  <c:v>3.028914495813273E-3</c:v>
                </c:pt>
                <c:pt idx="392">
                  <c:v>3.0057833313915767E-3</c:v>
                </c:pt>
                <c:pt idx="393">
                  <c:v>2.9828871170001531E-3</c:v>
                </c:pt>
                <c:pt idx="394">
                  <c:v>2.9602228769162733E-3</c:v>
                </c:pt>
                <c:pt idx="395">
                  <c:v>2.9377876805321201E-3</c:v>
                </c:pt>
                <c:pt idx="396">
                  <c:v>2.9155786415587743E-3</c:v>
                </c:pt>
                <c:pt idx="397">
                  <c:v>2.8935929172461965E-3</c:v>
                </c:pt>
                <c:pt idx="398">
                  <c:v>2.8718277076188836E-3</c:v>
                </c:pt>
                <c:pt idx="399">
                  <c:v>2.8502802547267884E-3</c:v>
                </c:pt>
                <c:pt idx="400">
                  <c:v>2.8289478419112318E-3</c:v>
                </c:pt>
                <c:pt idx="401">
                  <c:v>2.807827793085407E-3</c:v>
                </c:pt>
                <c:pt idx="402">
                  <c:v>2.7869174720291864E-3</c:v>
                </c:pt>
                <c:pt idx="403">
                  <c:v>2.7662142816979119E-3</c:v>
                </c:pt>
                <c:pt idx="404">
                  <c:v>2.7457156635448269E-3</c:v>
                </c:pt>
                <c:pt idx="405">
                  <c:v>2.7254190968568912E-3</c:v>
                </c:pt>
                <c:pt idx="406">
                  <c:v>2.7053220981036485E-3</c:v>
                </c:pt>
                <c:pt idx="407">
                  <c:v>2.6854222202988705E-3</c:v>
                </c:pt>
                <c:pt idx="408">
                  <c:v>2.6657170523746989E-3</c:v>
                </c:pt>
                <c:pt idx="409">
                  <c:v>2.6462042185680088E-3</c:v>
                </c:pt>
                <c:pt idx="410">
                  <c:v>2.6268813778187257E-3</c:v>
                </c:pt>
                <c:pt idx="411">
                  <c:v>2.6077462231798207E-3</c:v>
                </c:pt>
                <c:pt idx="412">
                  <c:v>2.5887964812387667E-3</c:v>
                </c:pt>
                <c:pt idx="413">
                  <c:v>2.5700299115501567E-3</c:v>
                </c:pt>
                <c:pt idx="414">
                  <c:v>2.5514443060792851E-3</c:v>
                </c:pt>
                <c:pt idx="415">
                  <c:v>2.5330374886564314E-3</c:v>
                </c:pt>
                <c:pt idx="416">
                  <c:v>2.5148073144416064E-3</c:v>
                </c:pt>
                <c:pt idx="417">
                  <c:v>2.4967516693995815E-3</c:v>
                </c:pt>
                <c:pt idx="418">
                  <c:v>2.4788684697849149E-3</c:v>
                </c:pt>
                <c:pt idx="419">
                  <c:v>2.4611556616368122E-3</c:v>
                </c:pt>
                <c:pt idx="420">
                  <c:v>2.4436112202835853E-3</c:v>
                </c:pt>
                <c:pt idx="421">
                  <c:v>2.4262331498565177E-3</c:v>
                </c:pt>
                <c:pt idx="422">
                  <c:v>2.4090194828129238E-3</c:v>
                </c:pt>
                <c:pt idx="423">
                  <c:v>2.3919682794682159E-3</c:v>
                </c:pt>
                <c:pt idx="424">
                  <c:v>2.3750776275367853E-3</c:v>
                </c:pt>
                <c:pt idx="425">
                  <c:v>2.3583456416815078E-3</c:v>
                </c:pt>
                <c:pt idx="426">
                  <c:v>2.3417704630717033E-3</c:v>
                </c:pt>
                <c:pt idx="427">
                  <c:v>2.3253502589493493E-3</c:v>
                </c:pt>
                <c:pt idx="428">
                  <c:v>2.3090832222034106E-3</c:v>
                </c:pt>
                <c:pt idx="429">
                  <c:v>2.2929675709520607E-3</c:v>
                </c:pt>
                <c:pt idx="430">
                  <c:v>2.2770015481327049E-3</c:v>
                </c:pt>
                <c:pt idx="431">
                  <c:v>2.2611834210995614E-3</c:v>
                </c:pt>
                <c:pt idx="432">
                  <c:v>2.2455114812287018E-3</c:v>
                </c:pt>
                <c:pt idx="433">
                  <c:v>2.2299840435303824E-3</c:v>
                </c:pt>
                <c:pt idx="434">
                  <c:v>2.2145994462684881E-3</c:v>
                </c:pt>
                <c:pt idx="435">
                  <c:v>2.1993560505869847E-3</c:v>
                </c:pt>
                <c:pt idx="436">
                  <c:v>2.1842522401432011E-3</c:v>
                </c:pt>
                <c:pt idx="437">
                  <c:v>2.1692864207478232E-3</c:v>
                </c:pt>
                <c:pt idx="438">
                  <c:v>2.1544570200114411E-3</c:v>
                </c:pt>
                <c:pt idx="439">
                  <c:v>2.1397624869975347E-3</c:v>
                </c:pt>
                <c:pt idx="440">
                  <c:v>2.1252012918817577E-3</c:v>
                </c:pt>
                <c:pt idx="441">
                  <c:v>2.1107719256173883E-3</c:v>
                </c:pt>
                <c:pt idx="442">
                  <c:v>2.0964728996068333E-3</c:v>
                </c:pt>
                <c:pt idx="443">
                  <c:v>2.0823027453790422E-3</c:v>
                </c:pt>
                <c:pt idx="444">
                  <c:v>2.0682600142727359E-3</c:v>
                </c:pt>
                <c:pt idx="445">
                  <c:v>2.054343277125309E-3</c:v>
                </c:pt>
                <c:pt idx="446">
                  <c:v>2.0405511239673236E-3</c:v>
                </c:pt>
                <c:pt idx="447">
                  <c:v>2.0268821637224373E-3</c:v>
                </c:pt>
                <c:pt idx="448">
                  <c:v>2.0133350239126932E-3</c:v>
                </c:pt>
                <c:pt idx="449">
                  <c:v>1.9999083503690579E-3</c:v>
                </c:pt>
                <c:pt idx="450">
                  <c:v>1.9866008069470819E-3</c:v>
                </c:pt>
                <c:pt idx="451">
                  <c:v>1.9734110752476115E-3</c:v>
                </c:pt>
                <c:pt idx="452">
                  <c:v>1.9603378543424244E-3</c:v>
                </c:pt>
                <c:pt idx="453">
                  <c:v>1.9473798605047091E-3</c:v>
                </c:pt>
                <c:pt idx="454">
                  <c:v>1.9345358269442861E-3</c:v>
                </c:pt>
                <c:pt idx="455">
                  <c:v>1.9218045035474655E-3</c:v>
                </c:pt>
                <c:pt idx="456">
                  <c:v>1.9091846566214839E-3</c:v>
                </c:pt>
                <c:pt idx="457">
                  <c:v>1.8966750686433822E-3</c:v>
                </c:pt>
                <c:pt idx="458">
                  <c:v>1.8842745380132852E-3</c:v>
                </c:pt>
                <c:pt idx="459">
                  <c:v>1.8719818788119553E-3</c:v>
                </c:pt>
                <c:pt idx="460">
                  <c:v>1.8597959205625728E-3</c:v>
                </c:pt>
                <c:pt idx="461">
                  <c:v>1.8477155079966319E-3</c:v>
                </c:pt>
                <c:pt idx="462">
                  <c:v>1.8357395008238872E-3</c:v>
                </c:pt>
                <c:pt idx="463">
                  <c:v>1.8238667735062742E-3</c:v>
                </c:pt>
                <c:pt idx="464">
                  <c:v>1.8120962150357091E-3</c:v>
                </c:pt>
                <c:pt idx="465">
                  <c:v>1.800426728715724E-3</c:v>
                </c:pt>
                <c:pt idx="466">
                  <c:v>1.7888572319468231E-3</c:v>
                </c:pt>
                <c:pt idx="467">
                  <c:v>1.7773866560155294E-3</c:v>
                </c:pt>
                <c:pt idx="468">
                  <c:v>1.7660139458870201E-3</c:v>
                </c:pt>
                <c:pt idx="469">
                  <c:v>1.7547380600012978E-3</c:v>
                </c:pt>
                <c:pt idx="470">
                  <c:v>1.7435579700728254E-3</c:v>
                </c:pt>
                <c:pt idx="471">
                  <c:v>1.7324726608935548E-3</c:v>
                </c:pt>
                <c:pt idx="472">
                  <c:v>1.7214811301393019E-3</c:v>
                </c:pt>
                <c:pt idx="473">
                  <c:v>1.7105823881793682E-3</c:v>
                </c:pt>
                <c:pt idx="474">
                  <c:v>1.6997754578893978E-3</c:v>
                </c:pt>
                <c:pt idx="475">
                  <c:v>1.6890593744673583E-3</c:v>
                </c:pt>
                <c:pt idx="476">
                  <c:v>1.678433185252626E-3</c:v>
                </c:pt>
                <c:pt idx="477">
                  <c:v>1.6678959495480909E-3</c:v>
                </c:pt>
                <c:pt idx="478">
                  <c:v>1.6574467384452333E-3</c:v>
                </c:pt>
                <c:pt idx="479">
                  <c:v>1.6470846346521319E-3</c:v>
                </c:pt>
                <c:pt idx="480">
                  <c:v>1.6368087323243101E-3</c:v>
                </c:pt>
                <c:pt idx="481">
                  <c:v>1.6266181368984184E-3</c:v>
                </c:pt>
                <c:pt idx="482">
                  <c:v>1.6165119649286473E-3</c:v>
                </c:pt>
                <c:pt idx="483">
                  <c:v>1.6064893439258713E-3</c:v>
                </c:pt>
                <c:pt idx="484">
                  <c:v>1.5965494121994168E-3</c:v>
                </c:pt>
                <c:pt idx="485">
                  <c:v>1.586691318701469E-3</c:v>
                </c:pt>
                <c:pt idx="486">
                  <c:v>1.5769142228740127E-3</c:v>
                </c:pt>
                <c:pt idx="487">
                  <c:v>1.5672172944982893E-3</c:v>
                </c:pt>
                <c:pt idx="488">
                  <c:v>1.5575997135467282E-3</c:v>
                </c:pt>
                <c:pt idx="489">
                  <c:v>1.5480606700372767E-3</c:v>
                </c:pt>
                <c:pt idx="490">
                  <c:v>1.5385993638901301E-3</c:v>
                </c:pt>
                <c:pt idx="491">
                  <c:v>1.5292150047867645E-3</c:v>
                </c:pt>
                <c:pt idx="492">
                  <c:v>1.5199068120312872E-3</c:v>
                </c:pt>
                <c:pt idx="493">
                  <c:v>1.5106740144140078E-3</c:v>
                </c:pt>
                <c:pt idx="494">
                  <c:v>1.501515850077231E-3</c:v>
                </c:pt>
                <c:pt idx="495">
                  <c:v>1.4924315663832123E-3</c:v>
                </c:pt>
                <c:pt idx="496">
                  <c:v>1.4834204197842352E-3</c:v>
                </c:pt>
                <c:pt idx="497">
                  <c:v>1.4744816756947841E-3</c:v>
                </c:pt>
                <c:pt idx="498">
                  <c:v>1.4656146083657591E-3</c:v>
                </c:pt>
                <c:pt idx="499">
                  <c:v>1.456818500760713E-3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11-491C-9CE7-BCD1A6474A31}"/>
            </c:ext>
          </c:extLst>
        </c:ser>
        <c:ser>
          <c:idx val="3"/>
          <c:order val="3"/>
          <c:tx>
            <c:v>I2</c:v>
          </c:tx>
          <c:spPr>
            <a:ln w="28575">
              <a:solidFill>
                <a:srgbClr val="00B0F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'LM-OSL'!$S$32:$S$1031</c:f>
              <c:numCache>
                <c:formatCode>General</c:formatCode>
                <c:ptCount val="1000"/>
                <c:pt idx="0">
                  <c:v>0</c:v>
                </c:pt>
                <c:pt idx="1">
                  <c:v>9720.6612091470033</c:v>
                </c:pt>
                <c:pt idx="2">
                  <c:v>18926.778396087338</c:v>
                </c:pt>
                <c:pt idx="3">
                  <c:v>27165.25291678396</c:v>
                </c:pt>
                <c:pt idx="4">
                  <c:v>34093.361858492666</c:v>
                </c:pt>
                <c:pt idx="5">
                  <c:v>39506.421848375758</c:v>
                </c:pt>
                <c:pt idx="6">
                  <c:v>43341.433322506447</c:v>
                </c:pt>
                <c:pt idx="7">
                  <c:v>45659.917579051398</c:v>
                </c:pt>
                <c:pt idx="8">
                  <c:v>46617.166047415674</c:v>
                </c:pt>
                <c:pt idx="9">
                  <c:v>46426.340369921498</c:v>
                </c:pt>
                <c:pt idx="10">
                  <c:v>45324.646267593482</c:v>
                </c:pt>
                <c:pt idx="11">
                  <c:v>43546.22617134852</c:v>
                </c:pt>
                <c:pt idx="12">
                  <c:v>41303.635825591402</c:v>
                </c:pt>
                <c:pt idx="13">
                  <c:v>38777.589298064369</c:v>
                </c:pt>
                <c:pt idx="14">
                  <c:v>36113.382993922853</c:v>
                </c:pt>
                <c:pt idx="15">
                  <c:v>33421.965880525415</c:v>
                </c:pt>
                <c:pt idx="16">
                  <c:v>30783.746560952175</c:v>
                </c:pt>
                <c:pt idx="17">
                  <c:v>28253.634109069211</c:v>
                </c:pt>
                <c:pt idx="18">
                  <c:v>25866.284143100387</c:v>
                </c:pt>
                <c:pt idx="19">
                  <c:v>23640.941020136579</c:v>
                </c:pt>
                <c:pt idx="20">
                  <c:v>21585.582376268634</c:v>
                </c:pt>
                <c:pt idx="21">
                  <c:v>19700.281034610605</c:v>
                </c:pt>
                <c:pt idx="22">
                  <c:v>17979.820904270509</c:v>
                </c:pt>
                <c:pt idx="23">
                  <c:v>16415.662977035117</c:v>
                </c:pt>
                <c:pt idx="24">
                  <c:v>14997.377457946155</c:v>
                </c:pt>
                <c:pt idx="25">
                  <c:v>13713.655541883909</c:v>
                </c:pt>
                <c:pt idx="26">
                  <c:v>12553.000918449547</c:v>
                </c:pt>
                <c:pt idx="27">
                  <c:v>11504.183822276382</c:v>
                </c:pt>
                <c:pt idx="28">
                  <c:v>10556.52324727061</c:v>
                </c:pt>
                <c:pt idx="29">
                  <c:v>9700.0476748602086</c:v>
                </c:pt>
                <c:pt idx="30">
                  <c:v>8925.5719884697883</c:v>
                </c:pt>
                <c:pt idx="31">
                  <c:v>8224.7181737719166</c:v>
                </c:pt>
                <c:pt idx="32">
                  <c:v>7589.8996495779274</c:v>
                </c:pt>
                <c:pt idx="33">
                  <c:v>7014.2832449872121</c:v>
                </c:pt>
                <c:pt idx="34">
                  <c:v>6491.7385394265084</c:v>
                </c:pt>
                <c:pt idx="35">
                  <c:v>6016.7811624828964</c:v>
                </c:pt>
                <c:pt idx="36">
                  <c:v>5584.5144189879711</c:v>
                </c:pt>
                <c:pt idx="37">
                  <c:v>5190.5720307211468</c:v>
                </c:pt>
                <c:pt idx="38">
                  <c:v>4831.0636915136556</c:v>
                </c:pt>
                <c:pt idx="39">
                  <c:v>4502.5243834282901</c:v>
                </c:pt>
                <c:pt idx="40">
                  <c:v>4201.8678987299872</c:v>
                </c:pt>
                <c:pt idx="41">
                  <c:v>3926.3446828892079</c:v>
                </c:pt>
                <c:pt idx="42">
                  <c:v>3673.5039053009209</c:v>
                </c:pt>
                <c:pt idx="43">
                  <c:v>3441.1595390757061</c:v>
                </c:pt>
                <c:pt idx="44">
                  <c:v>3227.3601623922568</c:v>
                </c:pt>
                <c:pt idx="45">
                  <c:v>3030.3621626292238</c:v>
                </c:pt>
                <c:pt idx="46">
                  <c:v>2848.6060176461701</c:v>
                </c:pt>
                <c:pt idx="47">
                  <c:v>2680.6953370489064</c:v>
                </c:pt>
                <c:pt idx="48">
                  <c:v>2525.3783638265054</c:v>
                </c:pt>
                <c:pt idx="49">
                  <c:v>2381.5316591893197</c:v>
                </c:pt>
                <c:pt idx="50">
                  <c:v>2248.1457179933677</c:v>
                </c:pt>
                <c:pt idx="51">
                  <c:v>2124.3122870171728</c:v>
                </c:pt>
                <c:pt idx="52">
                  <c:v>2009.2131824509183</c:v>
                </c:pt>
                <c:pt idx="53">
                  <c:v>1902.1104256150327</c:v>
                </c:pt>
                <c:pt idx="54">
                  <c:v>1802.337536805436</c:v>
                </c:pt>
                <c:pt idx="55">
                  <c:v>1709.2918461282184</c:v>
                </c:pt>
                <c:pt idx="56">
                  <c:v>1622.4276972306895</c:v>
                </c:pt>
                <c:pt idx="57">
                  <c:v>1541.2504350312349</c:v>
                </c:pt>
                <c:pt idx="58">
                  <c:v>1465.3110820160425</c:v>
                </c:pt>
                <c:pt idx="59">
                  <c:v>1394.2016195488129</c:v>
                </c:pt>
                <c:pt idx="60">
                  <c:v>1327.5508010803949</c:v>
                </c:pt>
                <c:pt idx="61">
                  <c:v>1265.0204332987462</c:v>
                </c:pt>
                <c:pt idx="62">
                  <c:v>1206.3020692685438</c:v>
                </c:pt>
                <c:pt idx="63">
                  <c:v>1151.1140646073054</c:v>
                </c:pt>
                <c:pt idx="64">
                  <c:v>1099.1989538527018</c:v>
                </c:pt>
                <c:pt idx="65">
                  <c:v>1050.3211095035754</c:v>
                </c:pt>
                <c:pt idx="66">
                  <c:v>1004.2646508629846</c:v>
                </c:pt>
                <c:pt idx="67">
                  <c:v>960.83157386235359</c:v>
                </c:pt>
                <c:pt idx="68">
                  <c:v>919.84007657795303</c:v>
                </c:pt>
                <c:pt idx="69">
                  <c:v>881.12305823177712</c:v>
                </c:pt>
                <c:pt idx="70">
                  <c:v>844.5267721570948</c:v>
                </c:pt>
                <c:pt idx="71">
                  <c:v>809.90961555580486</c:v>
                </c:pt>
                <c:pt idx="72">
                  <c:v>777.14104092482023</c:v>
                </c:pt>
                <c:pt idx="73">
                  <c:v>746.10057582081731</c:v>
                </c:pt>
                <c:pt idx="74">
                  <c:v>716.67693920044633</c:v>
                </c:pt>
                <c:pt idx="75">
                  <c:v>688.76724394577354</c:v>
                </c:pt>
                <c:pt idx="76">
                  <c:v>662.2762763875437</c:v>
                </c:pt>
                <c:pt idx="77">
                  <c:v>637.11584469387742</c:v>
                </c:pt>
                <c:pt idx="78">
                  <c:v>613.20418891820782</c:v>
                </c:pt>
                <c:pt idx="79">
                  <c:v>590.46544631415088</c:v>
                </c:pt>
                <c:pt idx="80">
                  <c:v>568.82916624093571</c:v>
                </c:pt>
                <c:pt idx="81">
                  <c:v>548.22986961336937</c:v>
                </c:pt>
                <c:pt idx="82">
                  <c:v>528.60664840589652</c:v>
                </c:pt>
                <c:pt idx="83">
                  <c:v>509.90280121049932</c:v>
                </c:pt>
                <c:pt idx="84">
                  <c:v>492.06550128110206</c:v>
                </c:pt>
                <c:pt idx="85">
                  <c:v>475.04549387987026</c:v>
                </c:pt>
                <c:pt idx="86">
                  <c:v>458.79682007953676</c:v>
                </c:pt>
                <c:pt idx="87">
                  <c:v>443.27656447593995</c:v>
                </c:pt>
                <c:pt idx="88">
                  <c:v>428.44462453108855</c:v>
                </c:pt>
                <c:pt idx="89">
                  <c:v>414.26349950328716</c:v>
                </c:pt>
                <c:pt idx="90">
                  <c:v>400.69809713078928</c:v>
                </c:pt>
                <c:pt idx="91">
                  <c:v>387.71555642216623</c:v>
                </c:pt>
                <c:pt idx="92">
                  <c:v>375.28508507285028</c:v>
                </c:pt>
                <c:pt idx="93">
                  <c:v>363.37781017550867</c:v>
                </c:pt>
                <c:pt idx="94">
                  <c:v>351.96664102411609</c:v>
                </c:pt>
                <c:pt idx="95">
                  <c:v>341.02614292967189</c:v>
                </c:pt>
                <c:pt idx="96">
                  <c:v>330.53242107106502</c:v>
                </c:pt>
                <c:pt idx="97">
                  <c:v>320.46301349902814</c:v>
                </c:pt>
                <c:pt idx="98">
                  <c:v>310.79679249571569</c:v>
                </c:pt>
                <c:pt idx="99">
                  <c:v>301.5138735682761</c:v>
                </c:pt>
                <c:pt idx="100">
                  <c:v>292.59553142282573</c:v>
                </c:pt>
                <c:pt idx="101">
                  <c:v>284.0241223263497</c:v>
                </c:pt>
                <c:pt idx="102">
                  <c:v>275.78301231899803</c:v>
                </c:pt>
                <c:pt idx="103">
                  <c:v>267.85651078866505</c:v>
                </c:pt>
                <c:pt idx="104">
                  <c:v>260.22980896426446</c:v>
                </c:pt>
                <c:pt idx="105">
                  <c:v>252.88892292423756</c:v>
                </c:pt>
                <c:pt idx="106">
                  <c:v>245.82064075301852</c:v>
                </c:pt>
                <c:pt idx="107">
                  <c:v>239.01247351087369</c:v>
                </c:pt>
                <c:pt idx="108">
                  <c:v>232.45260971206108</c:v>
                </c:pt>
                <c:pt idx="109">
                  <c:v>226.12987303296191</c:v>
                </c:pt>
                <c:pt idx="110">
                  <c:v>220.03368299602189</c:v>
                </c:pt>
                <c:pt idx="111">
                  <c:v>214.15401839723293</c:v>
                </c:pt>
                <c:pt idx="112">
                  <c:v>208.48138326474731</c:v>
                </c:pt>
                <c:pt idx="113">
                  <c:v>203.00677515423072</c:v>
                </c:pt>
                <c:pt idx="114">
                  <c:v>197.72165560291805</c:v>
                </c:pt>
                <c:pt idx="115">
                  <c:v>192.61792257920612</c:v>
                </c:pt>
                <c:pt idx="116">
                  <c:v>187.68788477813351</c:v>
                </c:pt>
                <c:pt idx="117">
                  <c:v>182.92423762540085</c:v>
                </c:pt>
                <c:pt idx="118">
                  <c:v>178.32004086379825</c:v>
                </c:pt>
                <c:pt idx="119">
                  <c:v>173.8686976061108</c:v>
                </c:pt>
                <c:pt idx="120">
                  <c:v>169.56393474789655</c:v>
                </c:pt>
                <c:pt idx="121">
                  <c:v>165.39978464203321</c:v>
                </c:pt>
                <c:pt idx="122">
                  <c:v>161.37056794469072</c:v>
                </c:pt>
                <c:pt idx="123">
                  <c:v>157.47087754949649</c:v>
                </c:pt>
                <c:pt idx="124">
                  <c:v>153.69556353314024</c:v>
                </c:pt>
                <c:pt idx="125">
                  <c:v>150.03971904161941</c:v>
                </c:pt>
                <c:pt idx="126">
                  <c:v>146.49866705176007</c:v>
                </c:pt>
                <c:pt idx="127">
                  <c:v>143.06794794764039</c:v>
                </c:pt>
                <c:pt idx="128">
                  <c:v>139.74330785611767</c:v>
                </c:pt>
                <c:pt idx="129">
                  <c:v>136.5206876898545</c:v>
                </c:pt>
                <c:pt idx="130">
                  <c:v>133.39621285009648</c:v>
                </c:pt>
                <c:pt idx="131">
                  <c:v>130.36618354499404</c:v>
                </c:pt>
                <c:pt idx="132">
                  <c:v>127.42706568251491</c:v>
                </c:pt>
                <c:pt idx="133">
                  <c:v>124.57548229998967</c:v>
                </c:pt>
                <c:pt idx="134">
                  <c:v>121.80820549508982</c:v>
                </c:pt>
                <c:pt idx="135">
                  <c:v>119.12214882557421</c:v>
                </c:pt>
                <c:pt idx="136">
                  <c:v>116.51436014748057</c:v>
                </c:pt>
                <c:pt idx="137">
                  <c:v>113.98201486359572</c:v>
                </c:pt>
                <c:pt idx="138">
                  <c:v>111.5224095560272</c:v>
                </c:pt>
                <c:pt idx="139">
                  <c:v>109.13295597853795</c:v>
                </c:pt>
                <c:pt idx="140">
                  <c:v>106.81117538599821</c:v>
                </c:pt>
                <c:pt idx="141">
                  <c:v>104.55469317988231</c:v>
                </c:pt>
                <c:pt idx="142">
                  <c:v>102.36123385018229</c:v>
                </c:pt>
                <c:pt idx="143">
                  <c:v>100.22861619545438</c:v>
                </c:pt>
                <c:pt idx="144">
                  <c:v>98.154748803955314</c:v>
                </c:pt>
                <c:pt idx="145">
                  <c:v>96.137625779972879</c:v>
                </c:pt>
                <c:pt idx="146">
                  <c:v>94.175322700522656</c:v>
                </c:pt>
                <c:pt idx="147">
                  <c:v>92.265992788568994</c:v>
                </c:pt>
                <c:pt idx="148">
                  <c:v>90.407863289842922</c:v>
                </c:pt>
                <c:pt idx="149">
                  <c:v>88.599232041181097</c:v>
                </c:pt>
                <c:pt idx="150">
                  <c:v>86.838464219097105</c:v>
                </c:pt>
                <c:pt idx="151">
                  <c:v>85.123989258030676</c:v>
                </c:pt>
                <c:pt idx="152">
                  <c:v>83.454297928398631</c:v>
                </c:pt>
                <c:pt idx="153">
                  <c:v>81.82793956520743</c:v>
                </c:pt>
                <c:pt idx="154">
                  <c:v>80.243519438573088</c:v>
                </c:pt>
                <c:pt idx="155">
                  <c:v>78.699696258044071</c:v>
                </c:pt>
                <c:pt idx="156">
                  <c:v>77.1951798031306</c:v>
                </c:pt>
                <c:pt idx="157">
                  <c:v>75.728728672921946</c:v>
                </c:pt>
                <c:pt idx="158">
                  <c:v>74.299148148112195</c:v>
                </c:pt>
                <c:pt idx="159">
                  <c:v>72.905288159170325</c:v>
                </c:pt>
                <c:pt idx="160">
                  <c:v>71.546041354774232</c:v>
                </c:pt>
                <c:pt idx="161">
                  <c:v>70.220341264986985</c:v>
                </c:pt>
                <c:pt idx="162">
                  <c:v>68.927160553989438</c:v>
                </c:pt>
                <c:pt idx="163">
                  <c:v>67.66550935749548</c:v>
                </c:pt>
                <c:pt idx="164">
                  <c:v>66.434433700269395</c:v>
                </c:pt>
                <c:pt idx="165">
                  <c:v>65.233013989436856</c:v>
                </c:pt>
                <c:pt idx="166">
                  <c:v>64.060363579537736</c:v>
                </c:pt>
                <c:pt idx="167">
                  <c:v>62.915627405506704</c:v>
                </c:pt>
                <c:pt idx="168">
                  <c:v>61.797980679991475</c:v>
                </c:pt>
                <c:pt idx="169">
                  <c:v>60.706627651628324</c:v>
                </c:pt>
                <c:pt idx="170">
                  <c:v>59.640800421089487</c:v>
                </c:pt>
                <c:pt idx="171">
                  <c:v>58.599757811901085</c:v>
                </c:pt>
                <c:pt idx="172">
                  <c:v>57.58278429320211</c:v>
                </c:pt>
                <c:pt idx="173">
                  <c:v>56.589188951776137</c:v>
                </c:pt>
                <c:pt idx="174">
                  <c:v>55.61830451083901</c:v>
                </c:pt>
                <c:pt idx="175">
                  <c:v>54.669486393206533</c:v>
                </c:pt>
                <c:pt idx="176">
                  <c:v>53.742111826600826</c:v>
                </c:pt>
                <c:pt idx="177">
                  <c:v>52.83629348083128</c:v>
                </c:pt>
                <c:pt idx="178">
                  <c:v>51.949994224118953</c:v>
                </c:pt>
                <c:pt idx="179">
                  <c:v>51.083393790225678</c:v>
                </c:pt>
                <c:pt idx="180">
                  <c:v>50.235948397669453</c:v>
                </c:pt>
                <c:pt idx="181">
                  <c:v>49.407132161119179</c:v>
                </c:pt>
                <c:pt idx="182">
                  <c:v>48.596436408777791</c:v>
                </c:pt>
                <c:pt idx="183">
                  <c:v>47.803369029324884</c:v>
                </c:pt>
                <c:pt idx="184">
                  <c:v>47.027453846987868</c:v>
                </c:pt>
                <c:pt idx="185">
                  <c:v>46.268230023388348</c:v>
                </c:pt>
                <c:pt idx="186">
                  <c:v>45.525251484881402</c:v>
                </c:pt>
                <c:pt idx="187">
                  <c:v>44.79808637417338</c:v>
                </c:pt>
                <c:pt idx="188">
                  <c:v>44.086316525067808</c:v>
                </c:pt>
                <c:pt idx="189">
                  <c:v>43.389536959249313</c:v>
                </c:pt>
                <c:pt idx="190">
                  <c:v>42.707355404071699</c:v>
                </c:pt>
                <c:pt idx="191">
                  <c:v>42.039391830370469</c:v>
                </c:pt>
                <c:pt idx="192">
                  <c:v>41.385278009369969</c:v>
                </c:pt>
                <c:pt idx="193">
                  <c:v>40.744657087803475</c:v>
                </c:pt>
                <c:pt idx="194">
                  <c:v>40.117183180408979</c:v>
                </c:pt>
                <c:pt idx="195">
                  <c:v>39.502520979006711</c:v>
                </c:pt>
                <c:pt idx="196">
                  <c:v>38.900345377403433</c:v>
                </c:pt>
                <c:pt idx="197">
                  <c:v>38.310341111407482</c:v>
                </c:pt>
                <c:pt idx="198">
                  <c:v>37.73220241327359</c:v>
                </c:pt>
                <c:pt idx="199">
                  <c:v>37.165632679931122</c:v>
                </c:pt>
                <c:pt idx="200">
                  <c:v>36.610344154380286</c:v>
                </c:pt>
                <c:pt idx="201">
                  <c:v>36.066057619672669</c:v>
                </c:pt>
                <c:pt idx="202">
                  <c:v>35.532502104919473</c:v>
                </c:pt>
                <c:pt idx="203">
                  <c:v>35.009414602799126</c:v>
                </c:pt>
                <c:pt idx="204">
                  <c:v>34.496539798061256</c:v>
                </c:pt>
                <c:pt idx="205">
                  <c:v>33.993629806548121</c:v>
                </c:pt>
                <c:pt idx="206">
                  <c:v>33.500443924277761</c:v>
                </c:pt>
                <c:pt idx="207">
                  <c:v>33.016748386155086</c:v>
                </c:pt>
                <c:pt idx="208">
                  <c:v>32.542316133897799</c:v>
                </c:pt>
                <c:pt idx="209">
                  <c:v>32.076926592782918</c:v>
                </c:pt>
                <c:pt idx="210">
                  <c:v>31.62036545683965</c:v>
                </c:pt>
                <c:pt idx="211">
                  <c:v>31.172424482130502</c:v>
                </c:pt>
                <c:pt idx="212">
                  <c:v>30.732901287780237</c:v>
                </c:pt>
                <c:pt idx="213">
                  <c:v>30.301599164427756</c:v>
                </c:pt>
                <c:pt idx="214">
                  <c:v>29.878326889790987</c:v>
                </c:pt>
                <c:pt idx="215">
                  <c:v>29.462898551049399</c:v>
                </c:pt>
                <c:pt idx="216">
                  <c:v>29.05513337376193</c:v>
                </c:pt>
                <c:pt idx="217">
                  <c:v>28.65485555705154</c:v>
                </c:pt>
                <c:pt idx="218">
                  <c:v>28.261894114799478</c:v>
                </c:pt>
                <c:pt idx="219">
                  <c:v>27.876082722603805</c:v>
                </c:pt>
                <c:pt idx="220">
                  <c:v>27.497259570268312</c:v>
                </c:pt>
                <c:pt idx="221">
                  <c:v>27.125267219598314</c:v>
                </c:pt>
                <c:pt idx="222">
                  <c:v>26.759952467289082</c:v>
                </c:pt>
                <c:pt idx="223">
                  <c:v>26.401166212703487</c:v>
                </c:pt>
                <c:pt idx="224">
                  <c:v>26.048763330343412</c:v>
                </c:pt>
                <c:pt idx="225">
                  <c:v>25.702602546828292</c:v>
                </c:pt>
                <c:pt idx="226">
                  <c:v>25.362546322202896</c:v>
                </c:pt>
                <c:pt idx="227">
                  <c:v>25.028460735403524</c:v>
                </c:pt>
                <c:pt idx="228">
                  <c:v>24.70021537371969</c:v>
                </c:pt>
                <c:pt idx="229">
                  <c:v>24.377683226095147</c:v>
                </c:pt>
                <c:pt idx="230">
                  <c:v>24.060740580119298</c:v>
                </c:pt>
                <c:pt idx="231">
                  <c:v>23.749266922565582</c:v>
                </c:pt>
                <c:pt idx="232">
                  <c:v>23.443144843340761</c:v>
                </c:pt>
                <c:pt idx="233">
                  <c:v>23.142259942713565</c:v>
                </c:pt>
                <c:pt idx="234">
                  <c:v>22.846500741697831</c:v>
                </c:pt>
                <c:pt idx="235">
                  <c:v>22.555758595469769</c:v>
                </c:pt>
                <c:pt idx="236">
                  <c:v>22.269927609704386</c:v>
                </c:pt>
                <c:pt idx="237">
                  <c:v>21.988904559721053</c:v>
                </c:pt>
                <c:pt idx="238">
                  <c:v>21.712588812332427</c:v>
                </c:pt>
                <c:pt idx="239">
                  <c:v>21.440882250295552</c:v>
                </c:pt>
                <c:pt idx="240">
                  <c:v>21.173689199268313</c:v>
                </c:pt>
                <c:pt idx="241">
                  <c:v>20.910916357177996</c:v>
                </c:pt>
                <c:pt idx="242">
                  <c:v>20.652472725912787</c:v>
                </c:pt>
                <c:pt idx="243">
                  <c:v>20.398269545250908</c:v>
                </c:pt>
                <c:pt idx="244">
                  <c:v>20.148220228944957</c:v>
                </c:pt>
                <c:pt idx="245">
                  <c:v>19.902240302883094</c:v>
                </c:pt>
                <c:pt idx="246">
                  <c:v>19.660247345251072</c:v>
                </c:pt>
                <c:pt idx="247">
                  <c:v>19.422160928623217</c:v>
                </c:pt>
                <c:pt idx="248">
                  <c:v>19.187902563911983</c:v>
                </c:pt>
                <c:pt idx="249">
                  <c:v>18.957395646110015</c:v>
                </c:pt>
                <c:pt idx="250">
                  <c:v>18.730565401759925</c:v>
                </c:pt>
                <c:pt idx="251">
                  <c:v>18.507338838090604</c:v>
                </c:pt>
                <c:pt idx="252">
                  <c:v>18.287644693760523</c:v>
                </c:pt>
                <c:pt idx="253">
                  <c:v>18.071413391151481</c:v>
                </c:pt>
                <c:pt idx="254">
                  <c:v>17.858576990157793</c:v>
                </c:pt>
                <c:pt idx="255">
                  <c:v>17.64906914341876</c:v>
                </c:pt>
                <c:pt idx="256">
                  <c:v>17.442825052943661</c:v>
                </c:pt>
                <c:pt idx="257">
                  <c:v>17.239781428080871</c:v>
                </c:pt>
                <c:pt idx="258">
                  <c:v>17.039876444784497</c:v>
                </c:pt>
                <c:pt idx="259">
                  <c:v>16.843049706133549</c:v>
                </c:pt>
                <c:pt idx="260">
                  <c:v>16.649242204060588</c:v>
                </c:pt>
                <c:pt idx="261">
                  <c:v>16.458396282248302</c:v>
                </c:pt>
                <c:pt idx="262">
                  <c:v>16.270455600154133</c:v>
                </c:pt>
                <c:pt idx="263">
                  <c:v>16.085365098124484</c:v>
                </c:pt>
                <c:pt idx="264">
                  <c:v>15.903070963561591</c:v>
                </c:pt>
                <c:pt idx="265">
                  <c:v>15.723520598107374</c:v>
                </c:pt>
                <c:pt idx="266">
                  <c:v>15.546662585810221</c:v>
                </c:pt>
                <c:pt idx="267">
                  <c:v>15.372446662241485</c:v>
                </c:pt>
                <c:pt idx="268">
                  <c:v>15.200823684530119</c:v>
                </c:pt>
                <c:pt idx="269">
                  <c:v>15.031745602284806</c:v>
                </c:pt>
                <c:pt idx="270">
                  <c:v>14.865165429374141</c:v>
                </c:pt>
                <c:pt idx="271">
                  <c:v>14.70103721653649</c:v>
                </c:pt>
                <c:pt idx="272">
                  <c:v>14.539316024792214</c:v>
                </c:pt>
                <c:pt idx="273">
                  <c:v>14.379957899631954</c:v>
                </c:pt>
                <c:pt idx="274">
                  <c:v>14.22291984595546</c:v>
                </c:pt>
                <c:pt idx="275">
                  <c:v>14.06815980373673</c:v>
                </c:pt>
                <c:pt idx="276">
                  <c:v>13.915636624391682</c:v>
                </c:pt>
                <c:pt idx="277">
                  <c:v>13.765310047825698</c:v>
                </c:pt>
                <c:pt idx="278">
                  <c:v>13.617140680139146</c:v>
                </c:pt>
                <c:pt idx="279">
                  <c:v>13.471089971969796</c:v>
                </c:pt>
                <c:pt idx="280">
                  <c:v>13.327120197451569</c:v>
                </c:pt>
                <c:pt idx="281">
                  <c:v>13.185194433770096</c:v>
                </c:pt>
                <c:pt idx="282">
                  <c:v>13.045276541296198</c:v>
                </c:pt>
                <c:pt idx="283">
                  <c:v>12.907331144278702</c:v>
                </c:pt>
                <c:pt idx="284">
                  <c:v>12.771323612079279</c:v>
                </c:pt>
                <c:pt idx="285">
                  <c:v>12.637220040931982</c:v>
                </c:pt>
                <c:pt idx="286">
                  <c:v>12.504987236211235</c:v>
                </c:pt>
                <c:pt idx="287">
                  <c:v>12.374592695192245</c:v>
                </c:pt>
                <c:pt idx="288">
                  <c:v>12.246004590288576</c:v>
                </c:pt>
                <c:pt idx="289">
                  <c:v>12.119191752752164</c:v>
                </c:pt>
                <c:pt idx="290">
                  <c:v>11.994123656821268</c:v>
                </c:pt>
                <c:pt idx="291">
                  <c:v>11.870770404302782</c:v>
                </c:pt>
                <c:pt idx="292">
                  <c:v>11.749102709575446</c:v>
                </c:pt>
                <c:pt idx="293">
                  <c:v>11.62909188500109</c:v>
                </c:pt>
                <c:pt idx="294">
                  <c:v>11.510709826731485</c:v>
                </c:pt>
                <c:pt idx="295">
                  <c:v>11.393929000898799</c:v>
                </c:pt>
                <c:pt idx="296">
                  <c:v>11.278722430177988</c:v>
                </c:pt>
                <c:pt idx="297">
                  <c:v>11.16506368070992</c:v>
                </c:pt>
                <c:pt idx="298">
                  <c:v>11.052926849374405</c:v>
                </c:pt>
                <c:pt idx="299">
                  <c:v>10.942286551402564</c:v>
                </c:pt>
                <c:pt idx="300">
                  <c:v>10.833117908318499</c:v>
                </c:pt>
                <c:pt idx="301">
                  <c:v>10.72539653620033</c:v>
                </c:pt>
                <c:pt idx="302">
                  <c:v>10.619098534251211</c:v>
                </c:pt>
                <c:pt idx="303">
                  <c:v>10.51420047367114</c:v>
                </c:pt>
                <c:pt idx="304">
                  <c:v>10.41067938682062</c:v>
                </c:pt>
                <c:pt idx="305">
                  <c:v>10.308512756667675</c:v>
                </c:pt>
                <c:pt idx="306">
                  <c:v>10.207678506509904</c:v>
                </c:pt>
                <c:pt idx="307">
                  <c:v>10.108154989963396</c:v>
                </c:pt>
                <c:pt idx="308">
                  <c:v>10.009920981211026</c:v>
                </c:pt>
                <c:pt idx="309">
                  <c:v>9.9129556655022899</c:v>
                </c:pt>
                <c:pt idx="310">
                  <c:v>9.8172386298976022</c:v>
                </c:pt>
                <c:pt idx="311">
                  <c:v>9.7227498542499404</c:v>
                </c:pt>
                <c:pt idx="312">
                  <c:v>9.6294697024169924</c:v>
                </c:pt>
                <c:pt idx="313">
                  <c:v>9.5373789136972782</c:v>
                </c:pt>
                <c:pt idx="314">
                  <c:v>9.4464585944837207</c:v>
                </c:pt>
                <c:pt idx="315">
                  <c:v>9.356690210128626</c:v>
                </c:pt>
                <c:pt idx="316">
                  <c:v>9.2680555770139321</c:v>
                </c:pt>
                <c:pt idx="317">
                  <c:v>9.1805368548210069</c:v>
                </c:pt>
                <c:pt idx="318">
                  <c:v>9.0941165389943421</c:v>
                </c:pt>
                <c:pt idx="319">
                  <c:v>9.0087774533936802</c:v>
                </c:pt>
                <c:pt idx="320">
                  <c:v>8.9245027431292954</c:v>
                </c:pt>
                <c:pt idx="321">
                  <c:v>8.8412758675753071</c:v>
                </c:pt>
                <c:pt idx="322">
                  <c:v>8.7590805935561011</c:v>
                </c:pt>
                <c:pt idx="323">
                  <c:v>8.6779009887009799</c:v>
                </c:pt>
                <c:pt idx="324">
                  <c:v>8.5977214149624412</c:v>
                </c:pt>
                <c:pt idx="325">
                  <c:v>8.5185265222935715</c:v>
                </c:pt>
                <c:pt idx="326">
                  <c:v>8.4403012424801211</c:v>
                </c:pt>
                <c:pt idx="327">
                  <c:v>8.3630307831230795</c:v>
                </c:pt>
                <c:pt idx="328">
                  <c:v>8.286700621767574</c:v>
                </c:pt>
                <c:pt idx="329">
                  <c:v>8.2112965001741536</c:v>
                </c:pt>
                <c:pt idx="330">
                  <c:v>8.1368044187285751</c:v>
                </c:pt>
                <c:pt idx="331">
                  <c:v>8.0632106309862905</c:v>
                </c:pt>
                <c:pt idx="332">
                  <c:v>7.9905016383480598</c:v>
                </c:pt>
                <c:pt idx="333">
                  <c:v>7.9186641848631423</c:v>
                </c:pt>
                <c:pt idx="334">
                  <c:v>7.8476852521565448</c:v>
                </c:pt>
                <c:pt idx="335">
                  <c:v>7.7775520544772059</c:v>
                </c:pt>
                <c:pt idx="336">
                  <c:v>7.708252033863662</c:v>
                </c:pt>
                <c:pt idx="337">
                  <c:v>7.6397728554241935</c:v>
                </c:pt>
                <c:pt idx="338">
                  <c:v>7.5721024027284205</c:v>
                </c:pt>
                <c:pt idx="339">
                  <c:v>7.5052287733073175</c:v>
                </c:pt>
                <c:pt idx="340">
                  <c:v>7.4391402742588797</c:v>
                </c:pt>
                <c:pt idx="341">
                  <c:v>7.3738254179565423</c:v>
                </c:pt>
                <c:pt idx="342">
                  <c:v>7.3092729178578093</c:v>
                </c:pt>
                <c:pt idx="343">
                  <c:v>7.2454716844103233</c:v>
                </c:pt>
                <c:pt idx="344">
                  <c:v>7.1824108210529127</c:v>
                </c:pt>
                <c:pt idx="345">
                  <c:v>7.1200796203091672</c:v>
                </c:pt>
                <c:pt idx="346">
                  <c:v>7.0584675599710422</c:v>
                </c:pt>
                <c:pt idx="347">
                  <c:v>6.9975642993702776</c:v>
                </c:pt>
                <c:pt idx="348">
                  <c:v>6.9373596757352844</c:v>
                </c:pt>
                <c:pt idx="349">
                  <c:v>6.8778437006313471</c:v>
                </c:pt>
                <c:pt idx="350">
                  <c:v>6.8190065564819804</c:v>
                </c:pt>
                <c:pt idx="351">
                  <c:v>6.7608385931693746</c:v>
                </c:pt>
                <c:pt idx="352">
                  <c:v>6.7033303247119216</c:v>
                </c:pt>
                <c:pt idx="353">
                  <c:v>6.6464724260168406</c:v>
                </c:pt>
                <c:pt idx="354">
                  <c:v>6.5902557297060138</c:v>
                </c:pt>
                <c:pt idx="355">
                  <c:v>6.5346712230131772</c:v>
                </c:pt>
                <c:pt idx="356">
                  <c:v>6.4797100447506732</c:v>
                </c:pt>
                <c:pt idx="357">
                  <c:v>6.4253634823440064</c:v>
                </c:pt>
                <c:pt idx="358">
                  <c:v>6.3716229689325088</c:v>
                </c:pt>
                <c:pt idx="359">
                  <c:v>6.3184800805344583</c:v>
                </c:pt>
                <c:pt idx="360">
                  <c:v>6.2659265332750333</c:v>
                </c:pt>
                <c:pt idx="361">
                  <c:v>6.2139541806755831</c:v>
                </c:pt>
                <c:pt idx="362">
                  <c:v>6.162555011002631</c:v>
                </c:pt>
                <c:pt idx="363">
                  <c:v>6.1117211446751636</c:v>
                </c:pt>
                <c:pt idx="364">
                  <c:v>6.0614448317288057</c:v>
                </c:pt>
                <c:pt idx="365">
                  <c:v>6.0117184493354054</c:v>
                </c:pt>
                <c:pt idx="366">
                  <c:v>5.9625344993767273</c:v>
                </c:pt>
                <c:pt idx="367">
                  <c:v>5.9138856060709175</c:v>
                </c:pt>
                <c:pt idx="368">
                  <c:v>5.8657645136504346</c:v>
                </c:pt>
                <c:pt idx="369">
                  <c:v>5.8181640840902258</c:v>
                </c:pt>
                <c:pt idx="370">
                  <c:v>5.7710772948849014</c:v>
                </c:pt>
                <c:pt idx="371">
                  <c:v>5.7244972368737219</c:v>
                </c:pt>
                <c:pt idx="372">
                  <c:v>5.6784171121122871</c:v>
                </c:pt>
                <c:pt idx="373">
                  <c:v>5.632830231789729</c:v>
                </c:pt>
                <c:pt idx="374">
                  <c:v>5.5877300141903907</c:v>
                </c:pt>
                <c:pt idx="375">
                  <c:v>5.543109982698871</c:v>
                </c:pt>
                <c:pt idx="376">
                  <c:v>5.4989637638474287</c:v>
                </c:pt>
                <c:pt idx="377">
                  <c:v>5.4552850854047437</c:v>
                </c:pt>
                <c:pt idx="378">
                  <c:v>5.4120677745050054</c:v>
                </c:pt>
                <c:pt idx="379">
                  <c:v>5.3693057558164439</c:v>
                </c:pt>
                <c:pt idx="380">
                  <c:v>5.3269930497482987</c:v>
                </c:pt>
                <c:pt idx="381">
                  <c:v>5.2851237706953977</c:v>
                </c:pt>
                <c:pt idx="382">
                  <c:v>5.2436921253193649</c:v>
                </c:pt>
                <c:pt idx="383">
                  <c:v>5.2026924108657084</c:v>
                </c:pt>
                <c:pt idx="384">
                  <c:v>5.1621190135158574</c:v>
                </c:pt>
                <c:pt idx="385">
                  <c:v>5.1219664067733746</c:v>
                </c:pt>
                <c:pt idx="386">
                  <c:v>5.0822291498835588</c:v>
                </c:pt>
                <c:pt idx="387">
                  <c:v>5.0429018862856339</c:v>
                </c:pt>
                <c:pt idx="388">
                  <c:v>5.0039793420968008</c:v>
                </c:pt>
                <c:pt idx="389">
                  <c:v>4.9654563246273682</c:v>
                </c:pt>
                <c:pt idx="390">
                  <c:v>4.9273277209263275</c:v>
                </c:pt>
                <c:pt idx="391">
                  <c:v>4.8895884963565663</c:v>
                </c:pt>
                <c:pt idx="392">
                  <c:v>4.8522336931991514</c:v>
                </c:pt>
                <c:pt idx="393">
                  <c:v>4.8152584292859357</c:v>
                </c:pt>
                <c:pt idx="394">
                  <c:v>4.7786578966598752</c:v>
                </c:pt>
                <c:pt idx="395">
                  <c:v>4.7424273602624263</c:v>
                </c:pt>
                <c:pt idx="396">
                  <c:v>4.7065621566474194</c:v>
                </c:pt>
                <c:pt idx="397">
                  <c:v>4.6710576927207752</c:v>
                </c:pt>
                <c:pt idx="398">
                  <c:v>4.6359094445055096</c:v>
                </c:pt>
                <c:pt idx="399">
                  <c:v>4.6011129559314545</c:v>
                </c:pt>
                <c:pt idx="400">
                  <c:v>4.566663837649144</c:v>
                </c:pt>
                <c:pt idx="401">
                  <c:v>4.5325577658672911</c:v>
                </c:pt>
                <c:pt idx="402">
                  <c:v>4.4987904812133817</c:v>
                </c:pt>
                <c:pt idx="403">
                  <c:v>4.4653577876168251</c:v>
                </c:pt>
                <c:pt idx="404">
                  <c:v>4.4322555512141735</c:v>
                </c:pt>
                <c:pt idx="405">
                  <c:v>4.3994796992759424</c:v>
                </c:pt>
                <c:pt idx="406">
                  <c:v>4.3670262191545248</c:v>
                </c:pt>
                <c:pt idx="407">
                  <c:v>4.3348911572527342</c:v>
                </c:pt>
                <c:pt idx="408">
                  <c:v>4.3030706180125566</c:v>
                </c:pt>
                <c:pt idx="409">
                  <c:v>4.2715607629236327</c:v>
                </c:pt>
                <c:pt idx="410">
                  <c:v>4.2403578095510355</c:v>
                </c:pt>
                <c:pt idx="411">
                  <c:v>4.2094580305819624</c:v>
                </c:pt>
                <c:pt idx="412">
                  <c:v>4.1788577528908801</c:v>
                </c:pt>
                <c:pt idx="413">
                  <c:v>4.1485533566227586</c:v>
                </c:pt>
                <c:pt idx="414">
                  <c:v>4.1185412742939862</c:v>
                </c:pt>
                <c:pt idx="415">
                  <c:v>4.0888179899105612</c:v>
                </c:pt>
                <c:pt idx="416">
                  <c:v>4.0593800381032459</c:v>
                </c:pt>
                <c:pt idx="417">
                  <c:v>4.0302240032792449</c:v>
                </c:pt>
                <c:pt idx="418">
                  <c:v>4.0013465187901218</c:v>
                </c:pt>
                <c:pt idx="419">
                  <c:v>3.9727442661155483</c:v>
                </c:pt>
                <c:pt idx="420">
                  <c:v>3.9444139740625821</c:v>
                </c:pt>
                <c:pt idx="421">
                  <c:v>3.9163524179801352</c:v>
                </c:pt>
                <c:pt idx="422">
                  <c:v>3.8885564189882964</c:v>
                </c:pt>
                <c:pt idx="423">
                  <c:v>3.861022843222218</c:v>
                </c:pt>
                <c:pt idx="424">
                  <c:v>3.8337486010902304</c:v>
                </c:pt>
                <c:pt idx="425">
                  <c:v>3.8067306465458883</c:v>
                </c:pt>
                <c:pt idx="426">
                  <c:v>3.7799659763736955</c:v>
                </c:pt>
                <c:pt idx="427">
                  <c:v>3.7534516294881426</c:v>
                </c:pt>
                <c:pt idx="428">
                  <c:v>3.7271846862458657</c:v>
                </c:pt>
                <c:pt idx="429">
                  <c:v>3.7011622677705787</c:v>
                </c:pt>
                <c:pt idx="430">
                  <c:v>3.6753815352905552</c:v>
                </c:pt>
                <c:pt idx="431">
                  <c:v>3.6498396894883878</c:v>
                </c:pt>
                <c:pt idx="432">
                  <c:v>3.6245339698627639</c:v>
                </c:pt>
                <c:pt idx="433">
                  <c:v>3.5994616541019995</c:v>
                </c:pt>
                <c:pt idx="434">
                  <c:v>3.5746200574691382</c:v>
                </c:pt>
                <c:pt idx="435">
                  <c:v>3.5500065321982888</c:v>
                </c:pt>
                <c:pt idx="436">
                  <c:v>3.5256184669020563</c:v>
                </c:pt>
                <c:pt idx="437">
                  <c:v>3.5014532859897947</c:v>
                </c:pt>
                <c:pt idx="438">
                  <c:v>3.4775084490964532</c:v>
                </c:pt>
                <c:pt idx="439">
                  <c:v>3.4537814505218263</c:v>
                </c:pt>
                <c:pt idx="440">
                  <c:v>3.4302698186799794</c:v>
                </c:pt>
                <c:pt idx="441">
                  <c:v>3.4069711155586413</c:v>
                </c:pt>
                <c:pt idx="442">
                  <c:v>3.3838829361883653</c:v>
                </c:pt>
                <c:pt idx="443">
                  <c:v>3.3610029081212582</c:v>
                </c:pt>
                <c:pt idx="444">
                  <c:v>3.3383286909191003</c:v>
                </c:pt>
                <c:pt idx="445">
                  <c:v>3.3158579756506255</c:v>
                </c:pt>
                <c:pt idx="446">
                  <c:v>3.2935884843978287</c:v>
                </c:pt>
                <c:pt idx="447">
                  <c:v>3.2715179697710819</c:v>
                </c:pt>
                <c:pt idx="448">
                  <c:v>3.2496442144328888</c:v>
                </c:pt>
                <c:pt idx="449">
                  <c:v>3.2279650306301297</c:v>
                </c:pt>
                <c:pt idx="450">
                  <c:v>3.2064782597345909</c:v>
                </c:pt>
                <c:pt idx="451">
                  <c:v>3.1851817717916302</c:v>
                </c:pt>
                <c:pt idx="452">
                  <c:v>3.1640734650768305</c:v>
                </c:pt>
                <c:pt idx="453">
                  <c:v>3.1431512656604657</c:v>
                </c:pt>
                <c:pt idx="454">
                  <c:v>3.1224131269796191</c:v>
                </c:pt>
                <c:pt idx="455">
                  <c:v>3.1018570294178169</c:v>
                </c:pt>
                <c:pt idx="456">
                  <c:v>3.0814809798920426</c:v>
                </c:pt>
                <c:pt idx="457">
                  <c:v>3.0612830114469309</c:v>
                </c:pt>
                <c:pt idx="458">
                  <c:v>3.0412611828560756</c:v>
                </c:pt>
                <c:pt idx="459">
                  <c:v>3.0214135782302627</c:v>
                </c:pt>
                <c:pt idx="460">
                  <c:v>3.0017383066324865</c:v>
                </c:pt>
                <c:pt idx="461">
                  <c:v>2.9822335016996728</c:v>
                </c:pt>
                <c:pt idx="462">
                  <c:v>2.9628973212709107</c:v>
                </c:pt>
                <c:pt idx="463">
                  <c:v>2.9437279470221052</c:v>
                </c:pt>
                <c:pt idx="464">
                  <c:v>2.9247235841069328</c:v>
                </c:pt>
                <c:pt idx="465">
                  <c:v>2.9058824608039462</c:v>
                </c:pt>
                <c:pt idx="466">
                  <c:v>2.8872028281697393</c:v>
                </c:pt>
                <c:pt idx="467">
                  <c:v>2.8686829596980359</c:v>
                </c:pt>
                <c:pt idx="468">
                  <c:v>2.850321150984608</c:v>
                </c:pt>
                <c:pt idx="469">
                  <c:v>2.8321157193978874</c:v>
                </c:pt>
                <c:pt idx="470">
                  <c:v>2.8140650037551853</c:v>
                </c:pt>
                <c:pt idx="471">
                  <c:v>2.7961673640043974</c:v>
                </c:pt>
                <c:pt idx="472">
                  <c:v>2.7784211809110997</c:v>
                </c:pt>
                <c:pt idx="473">
                  <c:v>2.7608248557509194</c:v>
                </c:pt>
                <c:pt idx="474">
                  <c:v>2.7433768100071068</c:v>
                </c:pt>
                <c:pt idx="475">
                  <c:v>2.7260754850731694</c:v>
                </c:pt>
                <c:pt idx="476">
                  <c:v>2.7089193419605233</c:v>
                </c:pt>
                <c:pt idx="477">
                  <c:v>2.6919068610110086</c:v>
                </c:pt>
                <c:pt idx="478">
                  <c:v>2.6750365416142428</c:v>
                </c:pt>
                <c:pt idx="479">
                  <c:v>2.6583069019296595</c:v>
                </c:pt>
                <c:pt idx="480">
                  <c:v>2.641716478613191</c:v>
                </c:pt>
                <c:pt idx="481">
                  <c:v>2.6252638265484758</c:v>
                </c:pt>
                <c:pt idx="482">
                  <c:v>2.608947518582537</c:v>
                </c:pt>
                <c:pt idx="483">
                  <c:v>2.5927661452658097</c:v>
                </c:pt>
                <c:pt idx="484">
                  <c:v>2.576718314596488</c:v>
                </c:pt>
                <c:pt idx="485">
                  <c:v>2.560802651769051</c:v>
                </c:pt>
                <c:pt idx="486">
                  <c:v>2.5450177989269527</c:v>
                </c:pt>
                <c:pt idx="487">
                  <c:v>2.5293624149193388</c:v>
                </c:pt>
                <c:pt idx="488">
                  <c:v>2.5138351750617729</c:v>
                </c:pt>
                <c:pt idx="489">
                  <c:v>2.4984347709008548</c:v>
                </c:pt>
                <c:pt idx="490">
                  <c:v>2.4831599099826724</c:v>
                </c:pt>
                <c:pt idx="491">
                  <c:v>2.468009315625042</c:v>
                </c:pt>
                <c:pt idx="492">
                  <c:v>2.4529817266934235</c:v>
                </c:pt>
                <c:pt idx="493">
                  <c:v>2.4380758973804841</c:v>
                </c:pt>
                <c:pt idx="494">
                  <c:v>2.4232905969892085</c:v>
                </c:pt>
                <c:pt idx="495">
                  <c:v>2.4086246097195265</c:v>
                </c:pt>
                <c:pt idx="496">
                  <c:v>2.3940767344583711</c:v>
                </c:pt>
                <c:pt idx="497">
                  <c:v>2.379645784573106</c:v>
                </c:pt>
                <c:pt idx="498">
                  <c:v>2.3653305877082698</c:v>
                </c:pt>
                <c:pt idx="499">
                  <c:v>2.3511299855855805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11-491C-9CE7-BCD1A6474A31}"/>
            </c:ext>
          </c:extLst>
        </c:ser>
        <c:ser>
          <c:idx val="4"/>
          <c:order val="4"/>
          <c:tx>
            <c:v>I3</c:v>
          </c:tx>
          <c:spPr>
            <a:ln w="28575">
              <a:solidFill>
                <a:srgbClr val="92D05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'LM-OSL'!$T$32:$T$1031</c:f>
              <c:numCache>
                <c:formatCode>General</c:formatCode>
                <c:ptCount val="1000"/>
                <c:pt idx="0">
                  <c:v>0</c:v>
                </c:pt>
                <c:pt idx="1">
                  <c:v>51.867288961871076</c:v>
                </c:pt>
                <c:pt idx="2">
                  <c:v>103.71730222648722</c:v>
                </c:pt>
                <c:pt idx="3">
                  <c:v>155.5327746637976</c:v>
                </c:pt>
                <c:pt idx="4">
                  <c:v>207.29646226891876</c:v>
                </c:pt>
                <c:pt idx="5">
                  <c:v>258.99115270162622</c:v>
                </c:pt>
                <c:pt idx="6">
                  <c:v>310.59967579816418</c:v>
                </c:pt>
                <c:pt idx="7">
                  <c:v>362.10491404619171</c:v>
                </c:pt>
                <c:pt idx="8">
                  <c:v>413.48981301372794</c:v>
                </c:pt>
                <c:pt idx="9">
                  <c:v>464.73739172300378</c:v>
                </c:pt>
                <c:pt idx="10">
                  <c:v>515.83075296019229</c:v>
                </c:pt>
                <c:pt idx="11">
                  <c:v>566.75309351205647</c:v>
                </c:pt>
                <c:pt idx="12">
                  <c:v>617.487714320637</c:v>
                </c:pt>
                <c:pt idx="13">
                  <c:v>668.01803054718698</c:v>
                </c:pt>
                <c:pt idx="14">
                  <c:v>718.32758153666396</c:v>
                </c:pt>
                <c:pt idx="15">
                  <c:v>768.4000406741925</c:v>
                </c:pt>
                <c:pt idx="16">
                  <c:v>818.21922512503841</c:v>
                </c:pt>
                <c:pt idx="17">
                  <c:v>867.76910544974737</c:v>
                </c:pt>
                <c:pt idx="18">
                  <c:v>917.03381508625159</c:v>
                </c:pt>
                <c:pt idx="19">
                  <c:v>965.99765969087696</c:v>
                </c:pt>
                <c:pt idx="20">
                  <c:v>1014.6451263303597</c:v>
                </c:pt>
                <c:pt idx="21">
                  <c:v>1062.9608925171076</c:v>
                </c:pt>
                <c:pt idx="22">
                  <c:v>1110.9298350801505</c:v>
                </c:pt>
                <c:pt idx="23">
                  <c:v>1158.537038864368</c:v>
                </c:pt>
                <c:pt idx="24">
                  <c:v>1205.7678052507949</c:v>
                </c:pt>
                <c:pt idx="25">
                  <c:v>1252.6076604909692</c:v>
                </c:pt>
                <c:pt idx="26">
                  <c:v>1299.0423638485297</c:v>
                </c:pt>
                <c:pt idx="27">
                  <c:v>1345.0579155414182</c:v>
                </c:pt>
                <c:pt idx="28">
                  <c:v>1390.6405644783197</c:v>
                </c:pt>
                <c:pt idx="29">
                  <c:v>1435.7768157831454</c:v>
                </c:pt>
                <c:pt idx="30">
                  <c:v>1480.4534381016153</c:v>
                </c:pt>
                <c:pt idx="31">
                  <c:v>1524.6574706842212</c:v>
                </c:pt>
                <c:pt idx="32">
                  <c:v>1568.3762302400919</c:v>
                </c:pt>
                <c:pt idx="33">
                  <c:v>1611.5973175565255</c:v>
                </c:pt>
                <c:pt idx="34">
                  <c:v>1654.3086238792055</c:v>
                </c:pt>
                <c:pt idx="35">
                  <c:v>1696.4983370483592</c:v>
                </c:pt>
                <c:pt idx="36">
                  <c:v>1738.1549473863984</c:v>
                </c:pt>
                <c:pt idx="37">
                  <c:v>1779.2672533328159</c:v>
                </c:pt>
                <c:pt idx="38">
                  <c:v>1819.824366822405</c:v>
                </c:pt>
                <c:pt idx="39">
                  <c:v>1859.815718403112</c:v>
                </c:pt>
                <c:pt idx="40">
                  <c:v>1899.2310620901308</c:v>
                </c:pt>
                <c:pt idx="41">
                  <c:v>1938.0604799531059</c:v>
                </c:pt>
                <c:pt idx="42">
                  <c:v>1976.2943864335957</c:v>
                </c:pt>
                <c:pt idx="43">
                  <c:v>2013.9235323902183</c:v>
                </c:pt>
                <c:pt idx="44">
                  <c:v>2050.939008869213</c:v>
                </c:pt>
                <c:pt idx="45">
                  <c:v>2087.3322505983892</c:v>
                </c:pt>
                <c:pt idx="46">
                  <c:v>2123.0950392027662</c:v>
                </c:pt>
                <c:pt idx="47">
                  <c:v>2158.21950614045</c:v>
                </c:pt>
                <c:pt idx="48">
                  <c:v>2192.6981353576207</c:v>
                </c:pt>
                <c:pt idx="49">
                  <c:v>2226.5237656617583</c:v>
                </c:pt>
                <c:pt idx="50">
                  <c:v>2259.6895928125323</c:v>
                </c:pt>
                <c:pt idx="51">
                  <c:v>2292.1891713300738</c:v>
                </c:pt>
                <c:pt idx="52">
                  <c:v>2324.0164160206136</c:v>
                </c:pt>
                <c:pt idx="53">
                  <c:v>2355.1656032197889</c:v>
                </c:pt>
                <c:pt idx="54">
                  <c:v>2385.631371754153</c:v>
                </c:pt>
                <c:pt idx="55">
                  <c:v>2415.4087236217515</c:v>
                </c:pt>
                <c:pt idx="56">
                  <c:v>2444.4930243928761</c:v>
                </c:pt>
                <c:pt idx="57">
                  <c:v>2472.8800033323923</c:v>
                </c:pt>
                <c:pt idx="58">
                  <c:v>2500.5657532453197</c:v>
                </c:pt>
                <c:pt idx="59">
                  <c:v>2527.5467300475848</c:v>
                </c:pt>
                <c:pt idx="60">
                  <c:v>2553.8197520641752</c:v>
                </c:pt>
                <c:pt idx="61">
                  <c:v>2579.3819990571446</c:v>
                </c:pt>
                <c:pt idx="62">
                  <c:v>2604.2310109862078</c:v>
                </c:pt>
                <c:pt idx="63">
                  <c:v>2628.3646865049009</c:v>
                </c:pt>
                <c:pt idx="64">
                  <c:v>2651.7812811955396</c:v>
                </c:pt>
                <c:pt idx="65">
                  <c:v>2674.479405546454</c:v>
                </c:pt>
                <c:pt idx="66">
                  <c:v>2696.4580226752155</c:v>
                </c:pt>
                <c:pt idx="67">
                  <c:v>2717.7164458018106</c:v>
                </c:pt>
                <c:pt idx="68">
                  <c:v>2738.2543354759341</c:v>
                </c:pt>
                <c:pt idx="69">
                  <c:v>2758.0716965628108</c:v>
                </c:pt>
                <c:pt idx="70">
                  <c:v>2777.1688749921723</c:v>
                </c:pt>
                <c:pt idx="71">
                  <c:v>2795.546554275209</c:v>
                </c:pt>
                <c:pt idx="72">
                  <c:v>2813.2057517945427</c:v>
                </c:pt>
                <c:pt idx="73">
                  <c:v>2830.1478148724423</c:v>
                </c:pt>
                <c:pt idx="74">
                  <c:v>2846.3744166227225</c:v>
                </c:pt>
                <c:pt idx="75">
                  <c:v>2861.8875515919203</c:v>
                </c:pt>
                <c:pt idx="76">
                  <c:v>2876.6895311955282</c:v>
                </c:pt>
                <c:pt idx="77">
                  <c:v>2890.7829789552598</c:v>
                </c:pt>
                <c:pt idx="78">
                  <c:v>2904.1708255434196</c:v>
                </c:pt>
                <c:pt idx="79">
                  <c:v>2916.8563036406954</c:v>
                </c:pt>
                <c:pt idx="80">
                  <c:v>2928.8429426137191</c:v>
                </c:pt>
                <c:pt idx="81">
                  <c:v>2940.1345630190067</c:v>
                </c:pt>
                <c:pt idx="82">
                  <c:v>2950.7352709399051</c:v>
                </c:pt>
                <c:pt idx="83">
                  <c:v>2960.6494521633599</c:v>
                </c:pt>
                <c:pt idx="84">
                  <c:v>2969.8817662034062</c:v>
                </c:pt>
                <c:pt idx="85">
                  <c:v>2978.4371401784033</c:v>
                </c:pt>
                <c:pt idx="86">
                  <c:v>2986.3207625490836</c:v>
                </c:pt>
                <c:pt idx="87">
                  <c:v>2993.5380767246461</c:v>
                </c:pt>
                <c:pt idx="88">
                  <c:v>3000.0947745441235</c:v>
                </c:pt>
                <c:pt idx="89">
                  <c:v>3005.9967896403746</c:v>
                </c:pt>
                <c:pt idx="90">
                  <c:v>3011.250290694084</c:v>
                </c:pt>
                <c:pt idx="91">
                  <c:v>3015.8616745852073</c:v>
                </c:pt>
                <c:pt idx="92">
                  <c:v>3019.8375594493536</c:v>
                </c:pt>
                <c:pt idx="93">
                  <c:v>3023.1847776465929</c:v>
                </c:pt>
                <c:pt idx="94">
                  <c:v>3025.9103686502485</c:v>
                </c:pt>
                <c:pt idx="95">
                  <c:v>3028.0215718632007</c:v>
                </c:pt>
                <c:pt idx="96">
                  <c:v>3029.525819369268</c:v>
                </c:pt>
                <c:pt idx="97">
                  <c:v>3030.4307286271874</c:v>
                </c:pt>
                <c:pt idx="98">
                  <c:v>3030.7440951147628</c:v>
                </c:pt>
                <c:pt idx="99">
                  <c:v>3030.4738849306564</c:v>
                </c:pt>
                <c:pt idx="100">
                  <c:v>3029.6282273613128</c:v>
                </c:pt>
                <c:pt idx="101">
                  <c:v>3028.2154074204614</c:v>
                </c:pt>
                <c:pt idx="102">
                  <c:v>3026.2438583685798</c:v>
                </c:pt>
                <c:pt idx="103">
                  <c:v>3023.7221542196339</c:v>
                </c:pt>
                <c:pt idx="104">
                  <c:v>3020.6590022423961</c:v>
                </c:pt>
                <c:pt idx="105">
                  <c:v>3017.0632354634845</c:v>
                </c:pt>
                <c:pt idx="106">
                  <c:v>3012.9438051792768</c:v>
                </c:pt>
                <c:pt idx="107">
                  <c:v>3008.3097734836815</c:v>
                </c:pt>
                <c:pt idx="108">
                  <c:v>3003.1703058187104</c:v>
                </c:pt>
                <c:pt idx="109">
                  <c:v>2997.5346635546407</c:v>
                </c:pt>
                <c:pt idx="110">
                  <c:v>2991.4121966064922</c:v>
                </c:pt>
                <c:pt idx="111">
                  <c:v>2984.8123360933741</c:v>
                </c:pt>
                <c:pt idx="112">
                  <c:v>2977.7445870471679</c:v>
                </c:pt>
                <c:pt idx="113">
                  <c:v>2970.2185211768456</c:v>
                </c:pt>
                <c:pt idx="114">
                  <c:v>2962.2437696946122</c:v>
                </c:pt>
                <c:pt idx="115">
                  <c:v>2953.8300162098817</c:v>
                </c:pt>
                <c:pt idx="116">
                  <c:v>2944.9869896969644</c:v>
                </c:pt>
                <c:pt idx="117">
                  <c:v>2935.7244575421732</c:v>
                </c:pt>
                <c:pt idx="118">
                  <c:v>2926.0522186758831</c:v>
                </c:pt>
                <c:pt idx="119">
                  <c:v>2915.9800967949373</c:v>
                </c:pt>
                <c:pt idx="120">
                  <c:v>2905.5179336805563</c:v>
                </c:pt>
                <c:pt idx="121">
                  <c:v>2894.6755826168014</c:v>
                </c:pt>
                <c:pt idx="122">
                  <c:v>2883.4629019143945</c:v>
                </c:pt>
                <c:pt idx="123">
                  <c:v>2871.8897485445236</c:v>
                </c:pt>
                <c:pt idx="124">
                  <c:v>2859.965971887108</c:v>
                </c:pt>
                <c:pt idx="125">
                  <c:v>2847.7014075977208</c:v>
                </c:pt>
                <c:pt idx="126">
                  <c:v>2835.1058715972367</c:v>
                </c:pt>
                <c:pt idx="127">
                  <c:v>2822.1891541880432</c:v>
                </c:pt>
                <c:pt idx="128">
                  <c:v>2808.961014300422</c:v>
                </c:pt>
                <c:pt idx="129">
                  <c:v>2795.4311738725382</c:v>
                </c:pt>
                <c:pt idx="130">
                  <c:v>2781.6093123672367</c:v>
                </c:pt>
                <c:pt idx="131">
                  <c:v>2767.5050614286424</c:v>
                </c:pt>
                <c:pt idx="132">
                  <c:v>2753.1279996813469</c:v>
                </c:pt>
                <c:pt idx="133">
                  <c:v>2738.4876476747299</c:v>
                </c:pt>
                <c:pt idx="134">
                  <c:v>2723.5934629747853</c:v>
                </c:pt>
                <c:pt idx="135">
                  <c:v>2708.4548354055714</c:v>
                </c:pt>
                <c:pt idx="136">
                  <c:v>2693.0810824422001</c:v>
                </c:pt>
                <c:pt idx="137">
                  <c:v>2677.4814447570707</c:v>
                </c:pt>
                <c:pt idx="138">
                  <c:v>2661.6650819208317</c:v>
                </c:pt>
                <c:pt idx="139">
                  <c:v>2645.6410682593346</c:v>
                </c:pt>
                <c:pt idx="140">
                  <c:v>2629.418388867653</c:v>
                </c:pt>
                <c:pt idx="141">
                  <c:v>2613.0059357820028</c:v>
                </c:pt>
                <c:pt idx="142">
                  <c:v>2596.4125043102067</c:v>
                </c:pt>
                <c:pt idx="143">
                  <c:v>2579.6467895211458</c:v>
                </c:pt>
                <c:pt idx="144">
                  <c:v>2562.7173828934165</c:v>
                </c:pt>
                <c:pt idx="145">
                  <c:v>2545.6327691232332</c:v>
                </c:pt>
                <c:pt idx="146">
                  <c:v>2528.4013230914061</c:v>
                </c:pt>
                <c:pt idx="147">
                  <c:v>2511.0313069890449</c:v>
                </c:pt>
                <c:pt idx="148">
                  <c:v>2493.5308676014265</c:v>
                </c:pt>
                <c:pt idx="149">
                  <c:v>2475.9080337493028</c:v>
                </c:pt>
                <c:pt idx="150">
                  <c:v>2458.1707138867482</c:v>
                </c:pt>
                <c:pt idx="151">
                  <c:v>2440.3266938544284</c:v>
                </c:pt>
                <c:pt idx="152">
                  <c:v>2422.3836347870674</c:v>
                </c:pt>
                <c:pt idx="153">
                  <c:v>2404.3490711736608</c:v>
                </c:pt>
                <c:pt idx="154">
                  <c:v>2386.2304090688635</c:v>
                </c:pt>
                <c:pt idx="155">
                  <c:v>2368.0349244538224</c:v>
                </c:pt>
                <c:pt idx="156">
                  <c:v>2349.7697617445378</c:v>
                </c:pt>
                <c:pt idx="157">
                  <c:v>2331.4419324457663</c:v>
                </c:pt>
                <c:pt idx="158">
                  <c:v>2313.0583139482546</c:v>
                </c:pt>
                <c:pt idx="159">
                  <c:v>2294.6256484670398</c:v>
                </c:pt>
                <c:pt idx="160">
                  <c:v>2276.1505421183783</c:v>
                </c:pt>
                <c:pt idx="161">
                  <c:v>2257.6394641327765</c:v>
                </c:pt>
                <c:pt idx="162">
                  <c:v>2239.0987462014523</c:v>
                </c:pt>
                <c:pt idx="163">
                  <c:v>2220.5345819535055</c:v>
                </c:pt>
                <c:pt idx="164">
                  <c:v>2201.9530265609151</c:v>
                </c:pt>
                <c:pt idx="165">
                  <c:v>2183.3599964684317</c:v>
                </c:pt>
                <c:pt idx="166">
                  <c:v>2164.761269245349</c:v>
                </c:pt>
                <c:pt idx="167">
                  <c:v>2146.1624835560215</c:v>
                </c:pt>
                <c:pt idx="168">
                  <c:v>2127.5691392459808</c:v>
                </c:pt>
                <c:pt idx="169">
                  <c:v>2108.9865975403945</c:v>
                </c:pt>
                <c:pt idx="170">
                  <c:v>2090.4200813515677</c:v>
                </c:pt>
                <c:pt idx="171">
                  <c:v>2071.8746756921496</c:v>
                </c:pt>
                <c:pt idx="172">
                  <c:v>2053.3553281906425</c:v>
                </c:pt>
                <c:pt idx="173">
                  <c:v>2034.8668497057824</c:v>
                </c:pt>
                <c:pt idx="174">
                  <c:v>2016.4139150363378</c:v>
                </c:pt>
                <c:pt idx="175">
                  <c:v>1998.0010637228236</c:v>
                </c:pt>
                <c:pt idx="176">
                  <c:v>1979.632700937645</c:v>
                </c:pt>
                <c:pt idx="177">
                  <c:v>1961.3130984601275</c:v>
                </c:pt>
                <c:pt idx="178">
                  <c:v>1943.0463957329212</c:v>
                </c:pt>
                <c:pt idx="179">
                  <c:v>1924.836600996256</c:v>
                </c:pt>
                <c:pt idx="180">
                  <c:v>1906.6875924965145</c:v>
                </c:pt>
                <c:pt idx="181">
                  <c:v>1888.6031197656073</c:v>
                </c:pt>
                <c:pt idx="182">
                  <c:v>1870.5868049676662</c:v>
                </c:pt>
                <c:pt idx="183">
                  <c:v>1852.6421443095717</c:v>
                </c:pt>
                <c:pt idx="184">
                  <c:v>1834.7725095118446</c:v>
                </c:pt>
                <c:pt idx="185">
                  <c:v>1816.9811493365191</c:v>
                </c:pt>
                <c:pt idx="186">
                  <c:v>1799.2711911685687</c:v>
                </c:pt>
                <c:pt idx="187">
                  <c:v>1781.6456426475588</c:v>
                </c:pt>
                <c:pt idx="188">
                  <c:v>1764.1073933462112</c:v>
                </c:pt>
                <c:pt idx="189">
                  <c:v>1746.659216492623</c:v>
                </c:pt>
                <c:pt idx="190">
                  <c:v>1729.3037707329402</c:v>
                </c:pt>
                <c:pt idx="191">
                  <c:v>1712.0436019313051</c:v>
                </c:pt>
                <c:pt idx="192">
                  <c:v>1694.8811450040105</c:v>
                </c:pt>
                <c:pt idx="193">
                  <c:v>1677.8187257847976</c:v>
                </c:pt>
                <c:pt idx="194">
                  <c:v>1660.8585629183408</c:v>
                </c:pt>
                <c:pt idx="195">
                  <c:v>1644.0027697789965</c:v>
                </c:pt>
                <c:pt idx="196">
                  <c:v>1627.2533564119844</c:v>
                </c:pt>
                <c:pt idx="197">
                  <c:v>1610.6122314942172</c:v>
                </c:pt>
                <c:pt idx="198">
                  <c:v>1594.0812043120968</c:v>
                </c:pt>
                <c:pt idx="199">
                  <c:v>1577.6619867536358</c:v>
                </c:pt>
                <c:pt idx="200">
                  <c:v>1561.3561953123572</c:v>
                </c:pt>
                <c:pt idx="201">
                  <c:v>1545.1653531005059</c:v>
                </c:pt>
                <c:pt idx="202">
                  <c:v>1529.0908918691675</c:v>
                </c:pt>
                <c:pt idx="203">
                  <c:v>1513.134154032974</c:v>
                </c:pt>
                <c:pt idx="204">
                  <c:v>1497.2963946971738</c:v>
                </c:pt>
                <c:pt idx="205">
                  <c:v>1481.578783684886</c:v>
                </c:pt>
                <c:pt idx="206">
                  <c:v>1465.9824075624776</c:v>
                </c:pt>
                <c:pt idx="207">
                  <c:v>1450.5082716610577</c:v>
                </c:pt>
                <c:pt idx="208">
                  <c:v>1435.1573020921735</c:v>
                </c:pt>
                <c:pt idx="209">
                  <c:v>1419.9303477558769</c:v>
                </c:pt>
                <c:pt idx="210">
                  <c:v>1404.8281823393856</c:v>
                </c:pt>
                <c:pt idx="211">
                  <c:v>1389.8515063046927</c:v>
                </c:pt>
                <c:pt idx="212">
                  <c:v>1375.0009488635048</c:v>
                </c:pt>
                <c:pt idx="213">
                  <c:v>1360.2770699379864</c:v>
                </c:pt>
                <c:pt idx="214">
                  <c:v>1345.6803621058923</c:v>
                </c:pt>
                <c:pt idx="215">
                  <c:v>1331.2112525287016</c:v>
                </c:pt>
                <c:pt idx="216">
                  <c:v>1316.8701048614735</c:v>
                </c:pt>
                <c:pt idx="217">
                  <c:v>1302.6572211432112</c:v>
                </c:pt>
                <c:pt idx="218">
                  <c:v>1288.5728436665959</c:v>
                </c:pt>
                <c:pt idx="219">
                  <c:v>1274.6171568260104</c:v>
                </c:pt>
                <c:pt idx="220">
                  <c:v>1260.7902889428701</c:v>
                </c:pt>
                <c:pt idx="221">
                  <c:v>1247.0923140673285</c:v>
                </c:pt>
                <c:pt idx="222">
                  <c:v>1233.523253755488</c:v>
                </c:pt>
                <c:pt idx="223">
                  <c:v>1220.0830788213309</c:v>
                </c:pt>
                <c:pt idx="224">
                  <c:v>1206.7717110626413</c:v>
                </c:pt>
                <c:pt idx="225">
                  <c:v>1193.5890249602471</c:v>
                </c:pt>
                <c:pt idx="226">
                  <c:v>1180.5348493499703</c:v>
                </c:pt>
                <c:pt idx="227">
                  <c:v>1167.6089690667598</c:v>
                </c:pt>
                <c:pt idx="228">
                  <c:v>1154.8111265604878</c:v>
                </c:pt>
                <c:pt idx="229">
                  <c:v>1142.1410234830068</c:v>
                </c:pt>
                <c:pt idx="230">
                  <c:v>1129.5983222460634</c:v>
                </c:pt>
                <c:pt idx="231">
                  <c:v>1117.1826475497628</c:v>
                </c:pt>
                <c:pt idx="232">
                  <c:v>1104.8935878812817</c:v>
                </c:pt>
                <c:pt idx="233">
                  <c:v>1092.7306969836302</c:v>
                </c:pt>
                <c:pt idx="234">
                  <c:v>1080.6934952942527</c:v>
                </c:pt>
                <c:pt idx="235">
                  <c:v>1068.7814713533505</c:v>
                </c:pt>
                <c:pt idx="236">
                  <c:v>1056.9940831818203</c:v>
                </c:pt>
                <c:pt idx="237">
                  <c:v>1045.3307596287539</c:v>
                </c:pt>
                <c:pt idx="238">
                  <c:v>1033.7909016884876</c:v>
                </c:pt>
                <c:pt idx="239">
                  <c:v>1022.3738837872271</c:v>
                </c:pt>
                <c:pt idx="240">
                  <c:v>1011.0790550392904</c:v>
                </c:pt>
                <c:pt idx="241">
                  <c:v>999.90574047307803</c:v>
                </c:pt>
                <c:pt idx="242">
                  <c:v>988.85324222687882</c:v>
                </c:pt>
                <c:pt idx="243">
                  <c:v>977.92084071467536</c:v>
                </c:pt>
                <c:pt idx="244">
                  <c:v>967.10779576211928</c:v>
                </c:pt>
                <c:pt idx="245">
                  <c:v>956.41334771289507</c:v>
                </c:pt>
                <c:pt idx="246">
                  <c:v>945.83671850570397</c:v>
                </c:pt>
                <c:pt idx="247">
                  <c:v>935.37711272211777</c:v>
                </c:pt>
                <c:pt idx="248">
                  <c:v>925.03371860559423</c:v>
                </c:pt>
                <c:pt idx="249">
                  <c:v>914.80570905194509</c:v>
                </c:pt>
                <c:pt idx="250">
                  <c:v>904.69224257157964</c:v>
                </c:pt>
                <c:pt idx="251">
                  <c:v>894.69246422386334</c:v>
                </c:pt>
                <c:pt idx="252">
                  <c:v>884.805506523943</c:v>
                </c:pt>
                <c:pt idx="253">
                  <c:v>875.03049032240767</c:v>
                </c:pt>
                <c:pt idx="254">
                  <c:v>865.36652565816769</c:v>
                </c:pt>
                <c:pt idx="255">
                  <c:v>855.8127125849519</c:v>
                </c:pt>
                <c:pt idx="256">
                  <c:v>846.36814197182548</c:v>
                </c:pt>
                <c:pt idx="257">
                  <c:v>837.03189627814584</c:v>
                </c:pt>
                <c:pt idx="258">
                  <c:v>827.80305030338582</c:v>
                </c:pt>
                <c:pt idx="259">
                  <c:v>818.68067191225839</c:v>
                </c:pt>
                <c:pt idx="260">
                  <c:v>809.66382273558554</c:v>
                </c:pt>
                <c:pt idx="261">
                  <c:v>800.75155884735068</c:v>
                </c:pt>
                <c:pt idx="262">
                  <c:v>791.94293141840592</c:v>
                </c:pt>
                <c:pt idx="263">
                  <c:v>783.23698734727179</c:v>
                </c:pt>
                <c:pt idx="264">
                  <c:v>774.63276986850326</c:v>
                </c:pt>
                <c:pt idx="265">
                  <c:v>766.12931913908164</c:v>
                </c:pt>
                <c:pt idx="266">
                  <c:v>757.72567280329713</c:v>
                </c:pt>
                <c:pt idx="267">
                  <c:v>749.4208665365893</c:v>
                </c:pt>
                <c:pt idx="268">
                  <c:v>741.21393456881572</c:v>
                </c:pt>
                <c:pt idx="269">
                  <c:v>733.10391018740984</c:v>
                </c:pt>
                <c:pt idx="270">
                  <c:v>725.08982622089491</c:v>
                </c:pt>
                <c:pt idx="271">
                  <c:v>717.17071550323101</c:v>
                </c:pt>
                <c:pt idx="272">
                  <c:v>709.34561131943656</c:v>
                </c:pt>
                <c:pt idx="273">
                  <c:v>701.6135478329619</c:v>
                </c:pt>
                <c:pt idx="274">
                  <c:v>693.97356049526616</c:v>
                </c:pt>
                <c:pt idx="275">
                  <c:v>686.42468643805262</c:v>
                </c:pt>
                <c:pt idx="276">
                  <c:v>678.96596484860868</c:v>
                </c:pt>
                <c:pt idx="277">
                  <c:v>671.59643732870256</c:v>
                </c:pt>
                <c:pt idx="278">
                  <c:v>664.31514823747557</c:v>
                </c:pt>
                <c:pt idx="279">
                  <c:v>657.12114501876647</c:v>
                </c:pt>
                <c:pt idx="280">
                  <c:v>650.01347851329547</c:v>
                </c:pt>
                <c:pt idx="281">
                  <c:v>642.99120325614422</c:v>
                </c:pt>
                <c:pt idx="282">
                  <c:v>636.05337775993962</c:v>
                </c:pt>
                <c:pt idx="283">
                  <c:v>629.19906478416362</c:v>
                </c:pt>
                <c:pt idx="284">
                  <c:v>622.42733159099737</c:v>
                </c:pt>
                <c:pt idx="285">
                  <c:v>615.7372501880908</c:v>
                </c:pt>
                <c:pt idx="286">
                  <c:v>609.12789755867209</c:v>
                </c:pt>
                <c:pt idx="287">
                  <c:v>602.59835587936595</c:v>
                </c:pt>
                <c:pt idx="288">
                  <c:v>596.14771272611279</c:v>
                </c:pt>
                <c:pt idx="289">
                  <c:v>589.77506126856247</c:v>
                </c:pt>
                <c:pt idx="290">
                  <c:v>583.47950045331038</c:v>
                </c:pt>
                <c:pt idx="291">
                  <c:v>577.26013517632964</c:v>
                </c:pt>
                <c:pt idx="292">
                  <c:v>571.11607644496803</c:v>
                </c:pt>
                <c:pt idx="293">
                  <c:v>565.04644152983747</c:v>
                </c:pt>
                <c:pt idx="294">
                  <c:v>559.05035410694927</c:v>
                </c:pt>
                <c:pt idx="295">
                  <c:v>553.12694439042241</c:v>
                </c:pt>
                <c:pt idx="296">
                  <c:v>547.27534925608325</c:v>
                </c:pt>
                <c:pt idx="297">
                  <c:v>541.49471235628607</c:v>
                </c:pt>
                <c:pt idx="298">
                  <c:v>535.78418422625225</c:v>
                </c:pt>
                <c:pt idx="299">
                  <c:v>530.1429223822413</c:v>
                </c:pt>
                <c:pt idx="300">
                  <c:v>524.57009141183892</c:v>
                </c:pt>
                <c:pt idx="301">
                  <c:v>519.06486305665715</c:v>
                </c:pt>
                <c:pt idx="302">
                  <c:v>513.62641628773008</c:v>
                </c:pt>
                <c:pt idx="303">
                  <c:v>508.25393737386952</c:v>
                </c:pt>
                <c:pt idx="304">
                  <c:v>502.94661994325509</c:v>
                </c:pt>
                <c:pt idx="305">
                  <c:v>497.70366503852279</c:v>
                </c:pt>
                <c:pt idx="306">
                  <c:v>492.52428116558997</c:v>
                </c:pt>
                <c:pt idx="307">
                  <c:v>487.4076843364814</c:v>
                </c:pt>
                <c:pt idx="308">
                  <c:v>482.35309810638483</c:v>
                </c:pt>
                <c:pt idx="309">
                  <c:v>477.35975360517068</c:v>
                </c:pt>
                <c:pt idx="310">
                  <c:v>472.42688956360627</c:v>
                </c:pt>
                <c:pt idx="311">
                  <c:v>467.55375233448137</c:v>
                </c:pt>
                <c:pt idx="312">
                  <c:v>462.73959590886079</c:v>
                </c:pt>
                <c:pt idx="313">
                  <c:v>457.98368192767094</c:v>
                </c:pt>
                <c:pt idx="314">
                  <c:v>453.28527968882111</c:v>
                </c:pt>
                <c:pt idx="315">
                  <c:v>448.64366615005594</c:v>
                </c:pt>
                <c:pt idx="316">
                  <c:v>444.05812592772884</c:v>
                </c:pt>
                <c:pt idx="317">
                  <c:v>439.52795129168112</c:v>
                </c:pt>
                <c:pt idx="318">
                  <c:v>435.05244215640016</c:v>
                </c:pt>
                <c:pt idx="319">
                  <c:v>430.63090606863722</c:v>
                </c:pt>
                <c:pt idx="320">
                  <c:v>426.26265819164308</c:v>
                </c:pt>
                <c:pt idx="321">
                  <c:v>421.94702128619093</c:v>
                </c:pt>
                <c:pt idx="322">
                  <c:v>417.68332568853771</c:v>
                </c:pt>
                <c:pt idx="323">
                  <c:v>413.47090928547789</c:v>
                </c:pt>
                <c:pt idx="324">
                  <c:v>409.30911748663596</c:v>
                </c:pt>
                <c:pt idx="325">
                  <c:v>405.19730319413856</c:v>
                </c:pt>
                <c:pt idx="326">
                  <c:v>401.13482676980283</c:v>
                </c:pt>
                <c:pt idx="327">
                  <c:v>397.12105599997278</c:v>
                </c:pt>
                <c:pt idx="328">
                  <c:v>393.15536605813446</c:v>
                </c:pt>
                <c:pt idx="329">
                  <c:v>389.23713946542517</c:v>
                </c:pt>
                <c:pt idx="330">
                  <c:v>385.36576604916809</c:v>
                </c:pt>
                <c:pt idx="331">
                  <c:v>381.54064289953402</c:v>
                </c:pt>
                <c:pt idx="332">
                  <c:v>377.7611743244471</c:v>
                </c:pt>
                <c:pt idx="333">
                  <c:v>374.02677180284263</c:v>
                </c:pt>
                <c:pt idx="334">
                  <c:v>370.33685393637501</c:v>
                </c:pt>
                <c:pt idx="335">
                  <c:v>366.69084639967741</c:v>
                </c:pt>
                <c:pt idx="336">
                  <c:v>363.08818188926847</c:v>
                </c:pt>
                <c:pt idx="337">
                  <c:v>359.52830007119519</c:v>
                </c:pt>
                <c:pt idx="338">
                  <c:v>356.01064752750341</c:v>
                </c:pt>
                <c:pt idx="339">
                  <c:v>352.53467770161808</c:v>
                </c:pt>
                <c:pt idx="340">
                  <c:v>349.09985084271642</c:v>
                </c:pt>
                <c:pt idx="341">
                  <c:v>345.7056339491694</c:v>
                </c:pt>
                <c:pt idx="342">
                  <c:v>342.35150071113179</c:v>
                </c:pt>
                <c:pt idx="343">
                  <c:v>339.0369314523474</c:v>
                </c:pt>
                <c:pt idx="344">
                  <c:v>335.76141307124226</c:v>
                </c:pt>
                <c:pt idx="345">
                  <c:v>332.52443898137119</c:v>
                </c:pt>
                <c:pt idx="346">
                  <c:v>329.3255090512809</c:v>
                </c:pt>
                <c:pt idx="347">
                  <c:v>326.16412954385333</c:v>
                </c:pt>
                <c:pt idx="348">
                  <c:v>323.03981305518079</c:v>
                </c:pt>
                <c:pt idx="349">
                  <c:v>319.95207845304066</c:v>
                </c:pt>
                <c:pt idx="350">
                  <c:v>316.90045081500938</c:v>
                </c:pt>
                <c:pt idx="351">
                  <c:v>313.88446136627897</c:v>
                </c:pt>
                <c:pt idx="352">
                  <c:v>310.90364741721748</c:v>
                </c:pt>
                <c:pt idx="353">
                  <c:v>307.95755230072479</c:v>
                </c:pt>
                <c:pt idx="354">
                  <c:v>305.04572530942323</c:v>
                </c:pt>
                <c:pt idx="355">
                  <c:v>302.16772163273259</c:v>
                </c:pt>
                <c:pt idx="356">
                  <c:v>299.32310229386542</c:v>
                </c:pt>
                <c:pt idx="357">
                  <c:v>296.51143408678149</c:v>
                </c:pt>
                <c:pt idx="358">
                  <c:v>293.73228951314161</c:v>
                </c:pt>
                <c:pt idx="359">
                  <c:v>290.98524671929255</c:v>
                </c:pt>
                <c:pt idx="360">
                  <c:v>288.26988943331912</c:v>
                </c:pt>
                <c:pt idx="361">
                  <c:v>285.5858069021931</c:v>
                </c:pt>
                <c:pt idx="362">
                  <c:v>282.93259382905211</c:v>
                </c:pt>
                <c:pt idx="363">
                  <c:v>280.3098503106342</c:v>
                </c:pt>
                <c:pt idx="364">
                  <c:v>277.71718177489657</c:v>
                </c:pt>
                <c:pt idx="365">
                  <c:v>275.15419891884659</c:v>
                </c:pt>
                <c:pt idx="366">
                  <c:v>272.6205176466035</c:v>
                </c:pt>
                <c:pt idx="367">
                  <c:v>270.11575900772169</c:v>
                </c:pt>
                <c:pt idx="368">
                  <c:v>267.63954913579221</c:v>
                </c:pt>
                <c:pt idx="369">
                  <c:v>265.19151918734292</c:v>
                </c:pt>
                <c:pt idx="370">
                  <c:v>262.77130528106136</c:v>
                </c:pt>
                <c:pt idx="371">
                  <c:v>260.37854843735266</c:v>
                </c:pt>
                <c:pt idx="372">
                  <c:v>258.012894518255</c:v>
                </c:pt>
                <c:pt idx="373">
                  <c:v>255.6739941677248</c:v>
                </c:pt>
                <c:pt idx="374">
                  <c:v>253.36150275230969</c:v>
                </c:pt>
                <c:pt idx="375">
                  <c:v>251.07508030222198</c:v>
                </c:pt>
                <c:pt idx="376">
                  <c:v>248.81439145282539</c:v>
                </c:pt>
                <c:pt idx="377">
                  <c:v>246.57910538654926</c:v>
                </c:pt>
                <c:pt idx="378">
                  <c:v>244.36889577524087</c:v>
                </c:pt>
                <c:pt idx="379">
                  <c:v>242.18344072296472</c:v>
                </c:pt>
                <c:pt idx="380">
                  <c:v>240.022422709262</c:v>
                </c:pt>
                <c:pt idx="381">
                  <c:v>237.88552853287803</c:v>
                </c:pt>
                <c:pt idx="382">
                  <c:v>235.77244925596389</c:v>
                </c:pt>
                <c:pt idx="383">
                  <c:v>233.68288014876393</c:v>
                </c:pt>
                <c:pt idx="384">
                  <c:v>231.61652063479281</c:v>
                </c:pt>
                <c:pt idx="385">
                  <c:v>229.57307423651085</c:v>
                </c:pt>
                <c:pt idx="386">
                  <c:v>227.55224852150184</c:v>
                </c:pt>
                <c:pt idx="387">
                  <c:v>225.55375504915941</c:v>
                </c:pt>
                <c:pt idx="388">
                  <c:v>223.57730931788706</c:v>
                </c:pt>
                <c:pt idx="389">
                  <c:v>221.62263071281393</c:v>
                </c:pt>
                <c:pt idx="390">
                  <c:v>219.68944245403324</c:v>
                </c:pt>
                <c:pt idx="391">
                  <c:v>217.77747154536291</c:v>
                </c:pt>
                <c:pt idx="392">
                  <c:v>215.88644872363443</c:v>
                </c:pt>
                <c:pt idx="393">
                  <c:v>214.01610840850881</c:v>
                </c:pt>
                <c:pt idx="394">
                  <c:v>212.16618865282527</c:v>
                </c:pt>
                <c:pt idx="395">
                  <c:v>210.33643109348017</c:v>
                </c:pt>
                <c:pt idx="396">
                  <c:v>208.52658090284041</c:v>
                </c:pt>
                <c:pt idx="397">
                  <c:v>206.73638674068982</c:v>
                </c:pt>
                <c:pt idx="398">
                  <c:v>204.96560070670952</c:v>
                </c:pt>
                <c:pt idx="399">
                  <c:v>203.21397829349323</c:v>
                </c:pt>
                <c:pt idx="400">
                  <c:v>201.48127834009549</c:v>
                </c:pt>
                <c:pt idx="401">
                  <c:v>199.76726298611382</c:v>
                </c:pt>
                <c:pt idx="402">
                  <c:v>198.07169762630204</c:v>
                </c:pt>
                <c:pt idx="403">
                  <c:v>196.39435086571572</c:v>
                </c:pt>
                <c:pt idx="404">
                  <c:v>194.73499447538634</c:v>
                </c:pt>
                <c:pt idx="405">
                  <c:v>193.09340334852408</c:v>
                </c:pt>
                <c:pt idx="406">
                  <c:v>191.46935545724659</c:v>
                </c:pt>
                <c:pt idx="407">
                  <c:v>189.86263180983124</c:v>
                </c:pt>
                <c:pt idx="408">
                  <c:v>188.27301640848987</c:v>
                </c:pt>
                <c:pt idx="409">
                  <c:v>186.7002962076613</c:v>
                </c:pt>
                <c:pt idx="410">
                  <c:v>185.14426107282179</c:v>
                </c:pt>
                <c:pt idx="411">
                  <c:v>183.60470373980894</c:v>
                </c:pt>
                <c:pt idx="412">
                  <c:v>182.08141977465462</c:v>
                </c:pt>
                <c:pt idx="413">
                  <c:v>180.57420753392771</c:v>
                </c:pt>
                <c:pt idx="414">
                  <c:v>179.08286812557884</c:v>
                </c:pt>
                <c:pt idx="415">
                  <c:v>177.60720537028794</c:v>
                </c:pt>
                <c:pt idx="416">
                  <c:v>176.14702576330689</c:v>
                </c:pt>
                <c:pt idx="417">
                  <c:v>174.70213843679798</c:v>
                </c:pt>
                <c:pt idx="418">
                  <c:v>173.27235512265943</c:v>
                </c:pt>
                <c:pt idx="419">
                  <c:v>171.85749011583994</c:v>
                </c:pt>
                <c:pt idx="420">
                  <c:v>170.45736023813282</c:v>
                </c:pt>
                <c:pt idx="421">
                  <c:v>169.07178480244883</c:v>
                </c:pt>
                <c:pt idx="422">
                  <c:v>167.70058557756386</c:v>
                </c:pt>
                <c:pt idx="423">
                  <c:v>166.34358675333436</c:v>
                </c:pt>
                <c:pt idx="424">
                  <c:v>165.0006149063797</c:v>
                </c:pt>
                <c:pt idx="425">
                  <c:v>163.67149896622524</c:v>
                </c:pt>
                <c:pt idx="426">
                  <c:v>162.35607018190231</c:v>
                </c:pt>
                <c:pt idx="427">
                  <c:v>161.05416208899973</c:v>
                </c:pt>
                <c:pt idx="428">
                  <c:v>159.7656104771649</c:v>
                </c:pt>
                <c:pt idx="429">
                  <c:v>158.49025335804663</c:v>
                </c:pt>
                <c:pt idx="430">
                  <c:v>157.2279309336779</c:v>
                </c:pt>
                <c:pt idx="431">
                  <c:v>155.97848556529294</c:v>
                </c:pt>
                <c:pt idx="432">
                  <c:v>154.74176174257437</c:v>
                </c:pt>
                <c:pt idx="433">
                  <c:v>153.51760605332433</c:v>
                </c:pt>
                <c:pt idx="434">
                  <c:v>152.30586715355852</c:v>
                </c:pt>
                <c:pt idx="435">
                  <c:v>151.10639573801424</c:v>
                </c:pt>
                <c:pt idx="436">
                  <c:v>149.91904451107078</c:v>
                </c:pt>
                <c:pt idx="437">
                  <c:v>148.74366815807662</c:v>
                </c:pt>
                <c:pt idx="438">
                  <c:v>147.58012331707917</c:v>
                </c:pt>
                <c:pt idx="439">
                  <c:v>146.42826855095083</c:v>
                </c:pt>
                <c:pt idx="440">
                  <c:v>145.28796431990992</c:v>
                </c:pt>
                <c:pt idx="441">
                  <c:v>144.15907295442784</c:v>
                </c:pt>
                <c:pt idx="442">
                  <c:v>143.0414586285217</c:v>
                </c:pt>
                <c:pt idx="443">
                  <c:v>141.93498733342506</c:v>
                </c:pt>
                <c:pt idx="444">
                  <c:v>140.83952685163374</c:v>
                </c:pt>
                <c:pt idx="445">
                  <c:v>139.75494673132101</c:v>
                </c:pt>
                <c:pt idx="446">
                  <c:v>138.68111826111902</c:v>
                </c:pt>
                <c:pt idx="447">
                  <c:v>137.61791444526054</c:v>
                </c:pt>
                <c:pt idx="448">
                  <c:v>136.56520997907717</c:v>
                </c:pt>
                <c:pt idx="449">
                  <c:v>135.5228812248497</c:v>
                </c:pt>
                <c:pt idx="450">
                  <c:v>134.49080618800525</c:v>
                </c:pt>
                <c:pt idx="451">
                  <c:v>133.4688644936584</c:v>
                </c:pt>
                <c:pt idx="452">
                  <c:v>132.45693736349008</c:v>
                </c:pt>
                <c:pt idx="453">
                  <c:v>131.45490759296101</c:v>
                </c:pt>
                <c:pt idx="454">
                  <c:v>130.46265952885457</c:v>
                </c:pt>
                <c:pt idx="455">
                  <c:v>129.48007904714606</c:v>
                </c:pt>
                <c:pt idx="456">
                  <c:v>128.50705353119201</c:v>
                </c:pt>
                <c:pt idx="457">
                  <c:v>127.54347185023742</c:v>
                </c:pt>
                <c:pt idx="458">
                  <c:v>126.58922433823545</c:v>
                </c:pt>
                <c:pt idx="459">
                  <c:v>125.64420277297513</c:v>
                </c:pt>
                <c:pt idx="460">
                  <c:v>124.70830035551448</c:v>
                </c:pt>
                <c:pt idx="461">
                  <c:v>123.78141168991289</c:v>
                </c:pt>
                <c:pt idx="462">
                  <c:v>122.86343276326015</c:v>
                </c:pt>
                <c:pt idx="463">
                  <c:v>121.95426092599767</c:v>
                </c:pt>
                <c:pt idx="464">
                  <c:v>121.05379487252793</c:v>
                </c:pt>
                <c:pt idx="465">
                  <c:v>120.16193462210755</c:v>
                </c:pt>
                <c:pt idx="466">
                  <c:v>119.27858150002102</c:v>
                </c:pt>
                <c:pt idx="467">
                  <c:v>118.40363811903086</c:v>
                </c:pt>
                <c:pt idx="468">
                  <c:v>117.53700836109992</c:v>
                </c:pt>
                <c:pt idx="469">
                  <c:v>116.67859735938234</c:v>
                </c:pt>
                <c:pt idx="470">
                  <c:v>115.82831148047998</c:v>
                </c:pt>
                <c:pt idx="471">
                  <c:v>114.98605830695912</c:v>
                </c:pt>
                <c:pt idx="472">
                  <c:v>114.15174662012552</c:v>
                </c:pt>
                <c:pt idx="473">
                  <c:v>113.32528638305243</c:v>
                </c:pt>
                <c:pt idx="474">
                  <c:v>112.50658872385958</c:v>
                </c:pt>
                <c:pt idx="475">
                  <c:v>111.69556591923818</c:v>
                </c:pt>
                <c:pt idx="476">
                  <c:v>110.89213137821956</c:v>
                </c:pt>
                <c:pt idx="477">
                  <c:v>110.09619962618284</c:v>
                </c:pt>
                <c:pt idx="478">
                  <c:v>109.30768628909938</c:v>
                </c:pt>
                <c:pt idx="479">
                  <c:v>108.5265080780093</c:v>
                </c:pt>
                <c:pt idx="480">
                  <c:v>107.75258277372797</c:v>
                </c:pt>
                <c:pt idx="481">
                  <c:v>106.98582921177824</c:v>
                </c:pt>
                <c:pt idx="482">
                  <c:v>106.22616726754561</c:v>
                </c:pt>
                <c:pt idx="483">
                  <c:v>105.47351784165252</c:v>
                </c:pt>
                <c:pt idx="484">
                  <c:v>104.72780284554985</c:v>
                </c:pt>
                <c:pt idx="485">
                  <c:v>103.98894518732021</c:v>
                </c:pt>
                <c:pt idx="486">
                  <c:v>103.25686875769269</c:v>
                </c:pt>
                <c:pt idx="487">
                  <c:v>102.53149841626346</c:v>
                </c:pt>
                <c:pt idx="488">
                  <c:v>101.8127599779209</c:v>
                </c:pt>
                <c:pt idx="489">
                  <c:v>101.10058019947121</c:v>
                </c:pt>
                <c:pt idx="490">
                  <c:v>100.39488676646235</c:v>
                </c:pt>
                <c:pt idx="491">
                  <c:v>99.695608280202421</c:v>
                </c:pt>
                <c:pt idx="492">
                  <c:v>99.002674244970805</c:v>
                </c:pt>
                <c:pt idx="493">
                  <c:v>98.316015055417893</c:v>
                </c:pt>
                <c:pt idx="494">
                  <c:v>97.635561984151664</c:v>
                </c:pt>
                <c:pt idx="495">
                  <c:v>96.961247169507871</c:v>
                </c:pt>
                <c:pt idx="496">
                  <c:v>96.293003603500864</c:v>
                </c:pt>
                <c:pt idx="497">
                  <c:v>95.630765119953125</c:v>
                </c:pt>
                <c:pt idx="498">
                  <c:v>94.97446638279979</c:v>
                </c:pt>
                <c:pt idx="499">
                  <c:v>94.324042874566402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11-491C-9CE7-BCD1A6474A31}"/>
            </c:ext>
          </c:extLst>
        </c:ser>
        <c:ser>
          <c:idx val="5"/>
          <c:order val="5"/>
          <c:tx>
            <c:v>I4</c:v>
          </c:tx>
          <c:spPr>
            <a:ln w="28575">
              <a:solidFill>
                <a:srgbClr val="7030A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'LM-OSL'!$U$32:$U$1031</c:f>
              <c:numCache>
                <c:formatCode>General</c:formatCode>
                <c:ptCount val="1000"/>
                <c:pt idx="0">
                  <c:v>0</c:v>
                </c:pt>
                <c:pt idx="1">
                  <c:v>30.333375269714374</c:v>
                </c:pt>
                <c:pt idx="2">
                  <c:v>60.663920748180637</c:v>
                </c:pt>
                <c:pt idx="3">
                  <c:v>90.988807161512014</c:v>
                </c:pt>
                <c:pt idx="4">
                  <c:v>121.30520627040181</c:v>
                </c:pt>
                <c:pt idx="5">
                  <c:v>151.61029138705695</c:v>
                </c:pt>
                <c:pt idx="6">
                  <c:v>181.90123789170411</c:v>
                </c:pt>
                <c:pt idx="7">
                  <c:v>212.17522374852609</c:v>
                </c:pt>
                <c:pt idx="8">
                  <c:v>242.4294300208858</c:v>
                </c:pt>
                <c:pt idx="9">
                  <c:v>272.66104138569716</c:v>
                </c:pt>
                <c:pt idx="10">
                  <c:v>302.8672466468006</c:v>
                </c:pt>
                <c:pt idx="11">
                  <c:v>333.04523924720155</c:v>
                </c:pt>
                <c:pt idx="12">
                  <c:v>363.19221778003237</c:v>
                </c:pt>
                <c:pt idx="13">
                  <c:v>393.30538649809768</c:v>
                </c:pt>
                <c:pt idx="14">
                  <c:v>423.38195582185989</c:v>
                </c:pt>
                <c:pt idx="15">
                  <c:v>453.41914284573119</c:v>
                </c:pt>
                <c:pt idx="16">
                  <c:v>483.41417184252862</c:v>
                </c:pt>
                <c:pt idx="17">
                  <c:v>513.36427476595702</c:v>
                </c:pt>
                <c:pt idx="18">
                  <c:v>543.26669175098027</c:v>
                </c:pt>
                <c:pt idx="19">
                  <c:v>573.11867161194857</c:v>
                </c:pt>
                <c:pt idx="20">
                  <c:v>602.91747233833848</c:v>
                </c:pt>
                <c:pt idx="21">
                  <c:v>632.66036158798249</c:v>
                </c:pt>
                <c:pt idx="22">
                  <c:v>662.34461717763838</c:v>
                </c:pt>
                <c:pt idx="23">
                  <c:v>691.96752757078332</c:v>
                </c:pt>
                <c:pt idx="24">
                  <c:v>721.52639236248467</c:v>
                </c:pt>
                <c:pt idx="25">
                  <c:v>751.01852276122781</c:v>
                </c:pt>
                <c:pt idx="26">
                  <c:v>780.44124206756237</c:v>
                </c:pt>
                <c:pt idx="27">
                  <c:v>809.79188614944906</c:v>
                </c:pt>
                <c:pt idx="28">
                  <c:v>839.06780391416498</c:v>
                </c:pt>
                <c:pt idx="29">
                  <c:v>868.26635777665581</c:v>
                </c:pt>
                <c:pt idx="30">
                  <c:v>897.38492412419896</c:v>
                </c:pt>
                <c:pt idx="31">
                  <c:v>926.4208937772587</c:v>
                </c:pt>
                <c:pt idx="32">
                  <c:v>955.3716724464108</c:v>
                </c:pt>
                <c:pt idx="33">
                  <c:v>984.23468118521566</c:v>
                </c:pt>
                <c:pt idx="34">
                  <c:v>1013.0073568389162</c:v>
                </c:pt>
                <c:pt idx="35">
                  <c:v>1041.6871524888493</c:v>
                </c:pt>
                <c:pt idx="36">
                  <c:v>1070.2715378924481</c:v>
                </c:pt>
                <c:pt idx="37">
                  <c:v>1098.7579999187271</c:v>
                </c:pt>
                <c:pt idx="38">
                  <c:v>1127.1440429791235</c:v>
                </c:pt>
                <c:pt idx="39">
                  <c:v>1155.4271894536016</c:v>
                </c:pt>
                <c:pt idx="40">
                  <c:v>1183.6049801118945</c:v>
                </c:pt>
                <c:pt idx="41">
                  <c:v>1211.6749745297798</c:v>
                </c:pt>
                <c:pt idx="42">
                  <c:v>1239.6347515002872</c:v>
                </c:pt>
                <c:pt idx="43">
                  <c:v>1267.4819094397258</c:v>
                </c:pt>
                <c:pt idx="44">
                  <c:v>1295.2140667884335</c:v>
                </c:pt>
                <c:pt idx="45">
                  <c:v>1322.8288624061431</c:v>
                </c:pt>
                <c:pt idx="46">
                  <c:v>1350.3239559618714</c:v>
                </c:pt>
                <c:pt idx="47">
                  <c:v>1377.6970283182252</c:v>
                </c:pt>
                <c:pt idx="48">
                  <c:v>1404.9457819100392</c:v>
                </c:pt>
                <c:pt idx="49">
                  <c:v>1432.0679411172473</c:v>
                </c:pt>
                <c:pt idx="50">
                  <c:v>1459.061252631888</c:v>
                </c:pt>
                <c:pt idx="51">
                  <c:v>1485.9234858191746</c:v>
                </c:pt>
                <c:pt idx="52">
                  <c:v>1512.6524330725206</c:v>
                </c:pt>
                <c:pt idx="53">
                  <c:v>1539.2459101624499</c:v>
                </c:pt>
                <c:pt idx="54">
                  <c:v>1565.7017565793033</c:v>
                </c:pt>
                <c:pt idx="55">
                  <c:v>1592.0178358696623</c:v>
                </c:pt>
                <c:pt idx="56">
                  <c:v>1618.1920359664082</c:v>
                </c:pt>
                <c:pt idx="57">
                  <c:v>1644.2222695123421</c:v>
                </c:pt>
                <c:pt idx="58">
                  <c:v>1670.1064741772964</c:v>
                </c:pt>
                <c:pt idx="59">
                  <c:v>1695.8426129686563</c:v>
                </c:pt>
                <c:pt idx="60">
                  <c:v>1721.4286745352276</c:v>
                </c:pt>
                <c:pt idx="61">
                  <c:v>1746.8626734643822</c:v>
                </c:pt>
                <c:pt idx="62">
                  <c:v>1772.1426505724194</c:v>
                </c:pt>
                <c:pt idx="63">
                  <c:v>1797.2666731880702</c:v>
                </c:pt>
                <c:pt idx="64">
                  <c:v>1822.2328354290987</c:v>
                </c:pt>
                <c:pt idx="65">
                  <c:v>1847.0392584719323</c:v>
                </c:pt>
                <c:pt idx="66">
                  <c:v>1871.6840908142622</c:v>
                </c:pt>
                <c:pt idx="67">
                  <c:v>1896.1655085305745</c:v>
                </c:pt>
                <c:pt idx="68">
                  <c:v>1920.4817155205524</c:v>
                </c:pt>
                <c:pt idx="69">
                  <c:v>1944.6309437502939</c:v>
                </c:pt>
                <c:pt idx="70">
                  <c:v>1968.6114534863154</c:v>
                </c:pt>
                <c:pt idx="71">
                  <c:v>1992.421533522288</c:v>
                </c:pt>
                <c:pt idx="72">
                  <c:v>2016.0595013984585</c:v>
                </c:pt>
                <c:pt idx="73">
                  <c:v>2039.5237036137412</c:v>
                </c:pt>
                <c:pt idx="74">
                  <c:v>2062.8125158304097</c:v>
                </c:pt>
                <c:pt idx="75">
                  <c:v>2085.9243430713864</c:v>
                </c:pt>
                <c:pt idx="76">
                  <c:v>2108.8576199100817</c:v>
                </c:pt>
                <c:pt idx="77">
                  <c:v>2131.6108106527536</c:v>
                </c:pt>
                <c:pt idx="78">
                  <c:v>2154.1824095133798</c:v>
                </c:pt>
                <c:pt idx="79">
                  <c:v>2176.5709407809882</c:v>
                </c:pt>
                <c:pt idx="80">
                  <c:v>2198.7749589794535</c:v>
                </c:pt>
                <c:pt idx="81">
                  <c:v>2220.7930490197277</c:v>
                </c:pt>
                <c:pt idx="82">
                  <c:v>2242.6238263444884</c:v>
                </c:pt>
                <c:pt idx="83">
                  <c:v>2264.2659370651959</c:v>
                </c:pt>
                <c:pt idx="84">
                  <c:v>2285.7180580915415</c:v>
                </c:pt>
                <c:pt idx="85">
                  <c:v>2306.9788972532901</c:v>
                </c:pt>
                <c:pt idx="86">
                  <c:v>2328.0471934144971</c:v>
                </c:pt>
                <c:pt idx="87">
                  <c:v>2348.9217165801051</c:v>
                </c:pt>
                <c:pt idx="88">
                  <c:v>2369.6012679949208</c:v>
                </c:pt>
                <c:pt idx="89">
                  <c:v>2390.0846802349597</c:v>
                </c:pt>
                <c:pt idx="90">
                  <c:v>2410.3708172911852</c:v>
                </c:pt>
                <c:pt idx="91">
                  <c:v>2430.4585746456296</c:v>
                </c:pt>
                <c:pt idx="92">
                  <c:v>2450.3468793399115</c:v>
                </c:pt>
                <c:pt idx="93">
                  <c:v>2470.0346900361624</c:v>
                </c:pt>
                <c:pt idx="94">
                  <c:v>2489.5209970703813</c:v>
                </c:pt>
                <c:pt idx="95">
                  <c:v>2508.8048224982181</c:v>
                </c:pt>
                <c:pt idx="96">
                  <c:v>2527.8852201332193</c:v>
                </c:pt>
                <c:pt idx="97">
                  <c:v>2546.7612755775594</c:v>
                </c:pt>
                <c:pt idx="98">
                  <c:v>2565.432106245255</c:v>
                </c:pt>
                <c:pt idx="99">
                  <c:v>2583.8968613779257</c:v>
                </c:pt>
                <c:pt idx="100">
                  <c:v>2602.1547220530979</c:v>
                </c:pt>
                <c:pt idx="101">
                  <c:v>2620.2049011851013</c:v>
                </c:pt>
                <c:pt idx="102">
                  <c:v>2638.0466435185767</c:v>
                </c:pt>
                <c:pt idx="103">
                  <c:v>2655.6792256146455</c:v>
                </c:pt>
                <c:pt idx="104">
                  <c:v>2673.1019558297644</c:v>
                </c:pt>
                <c:pt idx="105">
                  <c:v>2690.3141742873095</c:v>
                </c:pt>
                <c:pt idx="106">
                  <c:v>2707.3152528419396</c:v>
                </c:pt>
                <c:pt idx="107">
                  <c:v>2724.1045950367629</c:v>
                </c:pt>
                <c:pt idx="108">
                  <c:v>2740.6816360533799</c:v>
                </c:pt>
                <c:pt idx="109">
                  <c:v>2757.0458426548244</c:v>
                </c:pt>
                <c:pt idx="110">
                  <c:v>2773.1967131214737</c:v>
                </c:pt>
                <c:pt idx="111">
                  <c:v>2789.1337771799672</c:v>
                </c:pt>
                <c:pt idx="112">
                  <c:v>2804.8565959251882</c:v>
                </c:pt>
                <c:pt idx="113">
                  <c:v>2820.3647617353854</c:v>
                </c:pt>
                <c:pt idx="114">
                  <c:v>2835.657898180455</c:v>
                </c:pt>
                <c:pt idx="115">
                  <c:v>2850.7356599234859</c:v>
                </c:pt>
                <c:pt idx="116">
                  <c:v>2865.5977326155999</c:v>
                </c:pt>
                <c:pt idx="117">
                  <c:v>2880.2438327841614</c:v>
                </c:pt>
                <c:pt idx="118">
                  <c:v>2894.6737077144271</c:v>
                </c:pt>
                <c:pt idx="119">
                  <c:v>2908.887135324705</c:v>
                </c:pt>
                <c:pt idx="120">
                  <c:v>2922.8839240350712</c:v>
                </c:pt>
                <c:pt idx="121">
                  <c:v>2936.663912629755</c:v>
                </c:pt>
                <c:pt idx="122">
                  <c:v>2950.2269701132245</c:v>
                </c:pt>
                <c:pt idx="123">
                  <c:v>2963.5729955600818</c:v>
                </c:pt>
                <c:pt idx="124">
                  <c:v>2976.7019179588128</c:v>
                </c:pt>
                <c:pt idx="125">
                  <c:v>2989.6136960495096</c:v>
                </c:pt>
                <c:pt idx="126">
                  <c:v>3002.3083181556035</c:v>
                </c:pt>
                <c:pt idx="127">
                  <c:v>3014.7858020097228</c:v>
                </c:pt>
                <c:pt idx="128">
                  <c:v>3027.0461945737352</c:v>
                </c:pt>
                <c:pt idx="129">
                  <c:v>3039.0895718530846</c:v>
                </c:pt>
                <c:pt idx="130">
                  <c:v>3050.9160387054753</c:v>
                </c:pt>
                <c:pt idx="131">
                  <c:v>3062.5257286440296</c:v>
                </c:pt>
                <c:pt idx="132">
                  <c:v>3073.918803634976</c:v>
                </c:pt>
                <c:pt idx="133">
                  <c:v>3085.0954538899682</c:v>
                </c:pt>
                <c:pt idx="134">
                  <c:v>3096.055897653142</c:v>
                </c:pt>
                <c:pt idx="135">
                  <c:v>3106.8003809829756</c:v>
                </c:pt>
                <c:pt idx="136">
                  <c:v>3117.32917752907</c:v>
                </c:pt>
                <c:pt idx="137">
                  <c:v>3127.6425883039269</c:v>
                </c:pt>
                <c:pt idx="138">
                  <c:v>3137.7409414498475</c:v>
                </c:pt>
                <c:pt idx="139">
                  <c:v>3147.6245920010028</c:v>
                </c:pt>
                <c:pt idx="140">
                  <c:v>3157.2939216408363</c:v>
                </c:pt>
                <c:pt idx="141">
                  <c:v>3166.7493384548334</c:v>
                </c:pt>
                <c:pt idx="142">
                  <c:v>3175.9912766788148</c:v>
                </c:pt>
                <c:pt idx="143">
                  <c:v>3185.0201964428052</c:v>
                </c:pt>
                <c:pt idx="144">
                  <c:v>3193.836583510631</c:v>
                </c:pt>
                <c:pt idx="145">
                  <c:v>3202.4409490153007</c:v>
                </c:pt>
                <c:pt idx="146">
                  <c:v>3210.8338291902974</c:v>
                </c:pt>
                <c:pt idx="147">
                  <c:v>3219.0157850968958</c:v>
                </c:pt>
                <c:pt idx="148">
                  <c:v>3226.9874023475845</c:v>
                </c:pt>
                <c:pt idx="149">
                  <c:v>3234.7492908257213</c:v>
                </c:pt>
                <c:pt idx="150">
                  <c:v>3242.3020844015068</c:v>
                </c:pt>
                <c:pt idx="151">
                  <c:v>3249.6464406444106</c:v>
                </c:pt>
                <c:pt idx="152">
                  <c:v>3256.783040532127</c:v>
                </c:pt>
                <c:pt idx="153">
                  <c:v>3263.7125881561942</c:v>
                </c:pt>
                <c:pt idx="154">
                  <c:v>3270.435810424362</c:v>
                </c:pt>
                <c:pt idx="155">
                  <c:v>3276.9534567598462</c:v>
                </c:pt>
                <c:pt idx="156">
                  <c:v>3283.2662987975414</c:v>
                </c:pt>
                <c:pt idx="157">
                  <c:v>3289.3751300773338</c:v>
                </c:pt>
                <c:pt idx="158">
                  <c:v>3295.2807657346093</c:v>
                </c:pt>
                <c:pt idx="159">
                  <c:v>3300.9840421880644</c:v>
                </c:pt>
                <c:pt idx="160">
                  <c:v>3306.485816824932</c:v>
                </c:pt>
                <c:pt idx="161">
                  <c:v>3311.7869676837458</c:v>
                </c:pt>
                <c:pt idx="162">
                  <c:v>3316.8883931347218</c:v>
                </c:pt>
                <c:pt idx="163">
                  <c:v>3321.7910115579029</c:v>
                </c:pt>
                <c:pt idx="164">
                  <c:v>3326.4957610191514</c:v>
                </c:pt>
                <c:pt idx="165">
                  <c:v>3331.0035989441058</c:v>
                </c:pt>
                <c:pt idx="166">
                  <c:v>3335.3155017902232</c:v>
                </c:pt>
                <c:pt idx="167">
                  <c:v>3339.4324647169942</c:v>
                </c:pt>
                <c:pt idx="168">
                  <c:v>3343.3555012544689</c:v>
                </c:pt>
                <c:pt idx="169">
                  <c:v>3347.0856429701676</c:v>
                </c:pt>
                <c:pt idx="170">
                  <c:v>3350.6239391345225</c:v>
                </c:pt>
                <c:pt idx="171">
                  <c:v>3353.9714563849284</c:v>
                </c:pt>
                <c:pt idx="172">
                  <c:v>3357.1292783885342</c:v>
                </c:pt>
                <c:pt idx="173">
                  <c:v>3360.0985055038586</c:v>
                </c:pt>
                <c:pt idx="174">
                  <c:v>3362.8802544413666</c:v>
                </c:pt>
                <c:pt idx="175">
                  <c:v>3365.4756579230857</c:v>
                </c:pt>
                <c:pt idx="176">
                  <c:v>3367.8858643413832</c:v>
                </c:pt>
                <c:pt idx="177">
                  <c:v>3370.1120374170132</c:v>
                </c:pt>
                <c:pt idx="178">
                  <c:v>3372.1553558565251</c:v>
                </c:pt>
                <c:pt idx="179">
                  <c:v>3374.0170130091551</c:v>
                </c:pt>
                <c:pt idx="180">
                  <c:v>3375.6982165232798</c:v>
                </c:pt>
                <c:pt idx="181">
                  <c:v>3377.2001880025746</c:v>
                </c:pt>
                <c:pt idx="182">
                  <c:v>3378.5241626619299</c:v>
                </c:pt>
                <c:pt idx="183">
                  <c:v>3379.6713889832668</c:v>
                </c:pt>
                <c:pt idx="184">
                  <c:v>3380.64312837134</c:v>
                </c:pt>
                <c:pt idx="185">
                  <c:v>3381.4406548096172</c:v>
                </c:pt>
                <c:pt idx="186">
                  <c:v>3382.065254516348</c:v>
                </c:pt>
                <c:pt idx="187">
                  <c:v>3382.5182256009207</c:v>
                </c:pt>
                <c:pt idx="188">
                  <c:v>3382.8008777205846</c:v>
                </c:pt>
                <c:pt idx="189">
                  <c:v>3382.9145317376638</c:v>
                </c:pt>
                <c:pt idx="190">
                  <c:v>3382.8605193773387</c:v>
                </c:pt>
                <c:pt idx="191">
                  <c:v>3382.6401828860803</c:v>
                </c:pt>
                <c:pt idx="192">
                  <c:v>3382.2548746908642</c:v>
                </c:pt>
                <c:pt idx="193">
                  <c:v>3381.7059570592178</c:v>
                </c:pt>
                <c:pt idx="194">
                  <c:v>3380.9948017602137</c:v>
                </c:pt>
                <c:pt idx="195">
                  <c:v>3380.1227897265021</c:v>
                </c:pt>
                <c:pt idx="196">
                  <c:v>3379.091310717447</c:v>
                </c:pt>
                <c:pt idx="197">
                  <c:v>3377.9017629834807</c:v>
                </c:pt>
                <c:pt idx="198">
                  <c:v>3376.5555529317517</c:v>
                </c:pt>
                <c:pt idx="199">
                  <c:v>3375.0540947931404</c:v>
                </c:pt>
                <c:pt idx="200">
                  <c:v>3373.3988102907429</c:v>
                </c:pt>
                <c:pt idx="201">
                  <c:v>3371.5911283098944</c:v>
                </c:pt>
                <c:pt idx="202">
                  <c:v>3369.6324845698209</c:v>
                </c:pt>
                <c:pt idx="203">
                  <c:v>3367.5243212969876</c:v>
                </c:pt>
                <c:pt idx="204">
                  <c:v>3365.2680869002324</c:v>
                </c:pt>
                <c:pt idx="205">
                  <c:v>3362.8652356477569</c:v>
                </c:pt>
                <c:pt idx="206">
                  <c:v>3360.3172273460464</c:v>
                </c:pt>
                <c:pt idx="207">
                  <c:v>3357.6255270208071</c:v>
                </c:pt>
                <c:pt idx="208">
                  <c:v>3354.7916045999714</c:v>
                </c:pt>
                <c:pt idx="209">
                  <c:v>3351.8169345988554</c:v>
                </c:pt>
                <c:pt idx="210">
                  <c:v>3348.7029958075445</c:v>
                </c:pt>
                <c:pt idx="211">
                  <c:v>3345.4512709805581</c:v>
                </c:pt>
                <c:pt idx="212">
                  <c:v>3342.0632465288672</c:v>
                </c:pt>
                <c:pt idx="213">
                  <c:v>3338.5404122143395</c:v>
                </c:pt>
                <c:pt idx="214">
                  <c:v>3334.8842608466598</c:v>
                </c:pt>
                <c:pt idx="215">
                  <c:v>3331.0962879827948</c:v>
                </c:pt>
                <c:pt idx="216">
                  <c:v>3327.1779916290679</c:v>
                </c:pt>
                <c:pt idx="217">
                  <c:v>3323.130871945888</c:v>
                </c:pt>
                <c:pt idx="218">
                  <c:v>3318.9564309552093</c:v>
                </c:pt>
                <c:pt idx="219">
                  <c:v>3314.6561722507568</c:v>
                </c:pt>
                <c:pt idx="220">
                  <c:v>3310.2316007110858</c:v>
                </c:pt>
                <c:pt idx="221">
                  <c:v>3305.6842222155274</c:v>
                </c:pt>
                <c:pt idx="222">
                  <c:v>3301.0155433630594</c:v>
                </c:pt>
                <c:pt idx="223">
                  <c:v>3296.2270711941669</c:v>
                </c:pt>
                <c:pt idx="224">
                  <c:v>3291.3203129157205</c:v>
                </c:pt>
                <c:pt idx="225">
                  <c:v>3286.2967756289499</c:v>
                </c:pt>
                <c:pt idx="226">
                  <c:v>3281.1579660605121</c:v>
                </c:pt>
                <c:pt idx="227">
                  <c:v>3275.9053902967471</c:v>
                </c:pt>
                <c:pt idx="228">
                  <c:v>3270.5405535211212</c:v>
                </c:pt>
                <c:pt idx="229">
                  <c:v>3265.0649597549109</c:v>
                </c:pt>
                <c:pt idx="230">
                  <c:v>3259.4801116011877</c:v>
                </c:pt>
                <c:pt idx="231">
                  <c:v>3253.7875099921002</c:v>
                </c:pt>
                <c:pt idx="232">
                  <c:v>3247.9886539395134</c:v>
                </c:pt>
                <c:pt idx="233">
                  <c:v>3242.0850402890355</c:v>
                </c:pt>
                <c:pt idx="234">
                  <c:v>3236.078163477468</c:v>
                </c:pt>
                <c:pt idx="235">
                  <c:v>3229.9695152936829</c:v>
                </c:pt>
                <c:pt idx="236">
                  <c:v>3223.7605846429969</c:v>
                </c:pt>
                <c:pt idx="237">
                  <c:v>3217.4528573150251</c:v>
                </c:pt>
                <c:pt idx="238">
                  <c:v>3211.0478157550838</c:v>
                </c:pt>
                <c:pt idx="239">
                  <c:v>3204.546938839118</c:v>
                </c:pt>
                <c:pt idx="240">
                  <c:v>3197.9517016522268</c:v>
                </c:pt>
                <c:pt idx="241">
                  <c:v>3191.263575270762</c:v>
                </c:pt>
                <c:pt idx="242">
                  <c:v>3184.4840265480402</c:v>
                </c:pt>
                <c:pt idx="243">
                  <c:v>3177.6145179037007</c:v>
                </c:pt>
                <c:pt idx="244">
                  <c:v>3170.6565071166738</c:v>
                </c:pt>
                <c:pt idx="245">
                  <c:v>3163.6114471218511</c:v>
                </c:pt>
                <c:pt idx="246">
                  <c:v>3156.4807858103864</c:v>
                </c:pt>
                <c:pt idx="247">
                  <c:v>3149.265965833707</c:v>
                </c:pt>
                <c:pt idx="248">
                  <c:v>3141.96842441121</c:v>
                </c:pt>
                <c:pt idx="249">
                  <c:v>3134.5895931416494</c:v>
                </c:pt>
                <c:pt idx="250">
                  <c:v>3127.1308978182483</c:v>
                </c:pt>
                <c:pt idx="251">
                  <c:v>3119.5937582475144</c:v>
                </c:pt>
                <c:pt idx="252">
                  <c:v>3111.9795880717752</c:v>
                </c:pt>
                <c:pt idx="253">
                  <c:v>3104.2897945954373</c:v>
                </c:pt>
                <c:pt idx="254">
                  <c:v>3096.5257786149618</c:v>
                </c:pt>
                <c:pt idx="255">
                  <c:v>3088.6889342525669</c:v>
                </c:pt>
                <c:pt idx="256">
                  <c:v>3080.7806487936509</c:v>
                </c:pt>
                <c:pt idx="257">
                  <c:v>3072.802302527934</c:v>
                </c:pt>
                <c:pt idx="258">
                  <c:v>3064.7552685943069</c:v>
                </c:pt>
                <c:pt idx="259">
                  <c:v>3056.6409128294044</c:v>
                </c:pt>
                <c:pt idx="260">
                  <c:v>3048.4605936198632</c:v>
                </c:pt>
                <c:pt idx="261">
                  <c:v>3040.2156617582909</c:v>
                </c:pt>
                <c:pt idx="262">
                  <c:v>3031.9074603029107</c:v>
                </c:pt>
                <c:pt idx="263">
                  <c:v>3023.537324440887</c:v>
                </c:pt>
                <c:pt idx="264">
                  <c:v>3015.1065813553164</c:v>
                </c:pt>
                <c:pt idx="265">
                  <c:v>3006.6165500958632</c:v>
                </c:pt>
                <c:pt idx="266">
                  <c:v>2998.0685414530503</c:v>
                </c:pt>
                <c:pt idx="267">
                  <c:v>2989.4638578361555</c:v>
                </c:pt>
                <c:pt idx="268">
                  <c:v>2980.8037931547274</c:v>
                </c:pt>
                <c:pt idx="269">
                  <c:v>2972.0896327036908</c:v>
                </c:pt>
                <c:pt idx="270">
                  <c:v>2963.3226530520246</c:v>
                </c:pt>
                <c:pt idx="271">
                  <c:v>2954.5041219349932</c:v>
                </c:pt>
                <c:pt idx="272">
                  <c:v>2945.6352981499172</c:v>
                </c:pt>
                <c:pt idx="273">
                  <c:v>2936.7174314554513</c:v>
                </c:pt>
                <c:pt idx="274">
                  <c:v>2927.75176247436</c:v>
                </c:pt>
                <c:pt idx="275">
                  <c:v>2918.7395225997629</c:v>
                </c:pt>
                <c:pt idx="276">
                  <c:v>2909.6819339048193</c:v>
                </c:pt>
                <c:pt idx="277">
                  <c:v>2900.5802090558359</c:v>
                </c:pt>
                <c:pt idx="278">
                  <c:v>2891.435551228778</c:v>
                </c:pt>
                <c:pt idx="279">
                  <c:v>2882.2491540291389</c:v>
                </c:pt>
                <c:pt idx="280">
                  <c:v>2873.0222014151564</c:v>
                </c:pt>
                <c:pt idx="281">
                  <c:v>2863.7558676243489</c:v>
                </c:pt>
                <c:pt idx="282">
                  <c:v>2854.4513171033204</c:v>
                </c:pt>
                <c:pt idx="283">
                  <c:v>2845.1097044408475</c:v>
                </c:pt>
                <c:pt idx="284">
                  <c:v>2835.7321743041689</c:v>
                </c:pt>
                <c:pt idx="285">
                  <c:v>2826.3198613784812</c:v>
                </c:pt>
                <c:pt idx="286">
                  <c:v>2816.8738903096023</c:v>
                </c:pt>
                <c:pt idx="287">
                  <c:v>2807.3953756497576</c:v>
                </c:pt>
                <c:pt idx="288">
                  <c:v>2797.8854218064712</c:v>
                </c:pt>
                <c:pt idx="289">
                  <c:v>2788.3451229945235</c:v>
                </c:pt>
                <c:pt idx="290">
                  <c:v>2778.775563190939</c:v>
                </c:pt>
                <c:pt idx="291">
                  <c:v>2769.1778160929725</c:v>
                </c:pt>
                <c:pt idx="292">
                  <c:v>2759.55294507906</c:v>
                </c:pt>
                <c:pt idx="293">
                  <c:v>2749.9020031726927</c:v>
                </c:pt>
                <c:pt idx="294">
                  <c:v>2740.2260330091872</c:v>
                </c:pt>
                <c:pt idx="295">
                  <c:v>2730.5260668053097</c:v>
                </c:pt>
                <c:pt idx="296">
                  <c:v>2720.8031263317234</c:v>
                </c:pt>
                <c:pt idx="297">
                  <c:v>2711.0582228881995</c:v>
                </c:pt>
                <c:pt idx="298">
                  <c:v>2701.2923572816007</c:v>
                </c:pt>
                <c:pt idx="299">
                  <c:v>2691.5065198065454</c:v>
                </c:pt>
                <c:pt idx="300">
                  <c:v>2681.7016902287514</c:v>
                </c:pt>
                <c:pt idx="301">
                  <c:v>2671.8788377710121</c:v>
                </c:pt>
                <c:pt idx="302">
                  <c:v>2662.0389211017491</c:v>
                </c:pt>
                <c:pt idx="303">
                  <c:v>2652.1828883261351</c:v>
                </c:pt>
                <c:pt idx="304">
                  <c:v>2642.311676979713</c:v>
                </c:pt>
                <c:pt idx="305">
                  <c:v>2632.4262140244928</c:v>
                </c:pt>
                <c:pt idx="306">
                  <c:v>2622.5274158474872</c:v>
                </c:pt>
                <c:pt idx="307">
                  <c:v>2612.6161882616266</c:v>
                </c:pt>
                <c:pt idx="308">
                  <c:v>2602.693426509044</c:v>
                </c:pt>
                <c:pt idx="309">
                  <c:v>2592.7600152666555</c:v>
                </c:pt>
                <c:pt idx="310">
                  <c:v>2582.8168286540217</c:v>
                </c:pt>
                <c:pt idx="311">
                  <c:v>2572.8647302434424</c:v>
                </c:pt>
                <c:pt idx="312">
                  <c:v>2562.9045730722351</c:v>
                </c:pt>
                <c:pt idx="313">
                  <c:v>2552.9371996571676</c:v>
                </c:pt>
                <c:pt idx="314">
                  <c:v>2542.9634420110015</c:v>
                </c:pt>
                <c:pt idx="315">
                  <c:v>2532.9841216611057</c:v>
                </c:pt>
                <c:pt idx="316">
                  <c:v>2523.0000496700882</c:v>
                </c:pt>
                <c:pt idx="317">
                  <c:v>2513.0120266584286</c:v>
                </c:pt>
                <c:pt idx="318">
                  <c:v>2503.0208428290489</c:v>
                </c:pt>
                <c:pt idx="319">
                  <c:v>2493.0272779937955</c:v>
                </c:pt>
                <c:pt idx="320">
                  <c:v>2483.0321016017788</c:v>
                </c:pt>
                <c:pt idx="321">
                  <c:v>2473.0360727695506</c:v>
                </c:pt>
                <c:pt idx="322">
                  <c:v>2463.0399403130518</c:v>
                </c:pt>
                <c:pt idx="323">
                  <c:v>2453.0444427813127</c:v>
                </c:pt>
                <c:pt idx="324">
                  <c:v>2443.0503084918614</c:v>
                </c:pt>
                <c:pt idx="325">
                  <c:v>2433.0582555677838</c:v>
                </c:pt>
                <c:pt idx="326">
                  <c:v>2423.0689919764204</c:v>
                </c:pt>
                <c:pt idx="327">
                  <c:v>2413.0832155696385</c:v>
                </c:pt>
                <c:pt idx="328">
                  <c:v>2403.1016141256555</c:v>
                </c:pt>
                <c:pt idx="329">
                  <c:v>2393.1248653923622</c:v>
                </c:pt>
                <c:pt idx="330">
                  <c:v>2383.1536371321213</c:v>
                </c:pt>
                <c:pt idx="331">
                  <c:v>2373.188587167982</c:v>
                </c:pt>
                <c:pt idx="332">
                  <c:v>2363.2303634312943</c:v>
                </c:pt>
                <c:pt idx="333">
                  <c:v>2353.2796040106618</c:v>
                </c:pt>
                <c:pt idx="334">
                  <c:v>2343.3369372022257</c:v>
                </c:pt>
                <c:pt idx="335">
                  <c:v>2333.4029815611989</c:v>
                </c:pt>
                <c:pt idx="336">
                  <c:v>2323.4783459546561</c:v>
                </c:pt>
                <c:pt idx="337">
                  <c:v>2313.5636296155149</c:v>
                </c:pt>
                <c:pt idx="338">
                  <c:v>2303.6594221976816</c:v>
                </c:pt>
                <c:pt idx="339">
                  <c:v>2293.766303832319</c:v>
                </c:pt>
                <c:pt idx="340">
                  <c:v>2283.8848451852105</c:v>
                </c:pt>
                <c:pt idx="341">
                  <c:v>2274.0156075151704</c:v>
                </c:pt>
                <c:pt idx="342">
                  <c:v>2264.1591427334733</c:v>
                </c:pt>
                <c:pt idx="343">
                  <c:v>2254.3159934642663</c:v>
                </c:pt>
                <c:pt idx="344">
                  <c:v>2244.486693105935</c:v>
                </c:pt>
                <c:pt idx="345">
                  <c:v>2234.671765893363</c:v>
                </c:pt>
                <c:pt idx="346">
                  <c:v>2224.8717269610916</c:v>
                </c:pt>
                <c:pt idx="347">
                  <c:v>2215.087082407309</c:v>
                </c:pt>
                <c:pt idx="348">
                  <c:v>2205.3183293586535</c:v>
                </c:pt>
                <c:pt idx="349">
                  <c:v>2195.5659560357931</c:v>
                </c:pt>
                <c:pt idx="350">
                  <c:v>2185.830441819759</c:v>
                </c:pt>
                <c:pt idx="351">
                  <c:v>2176.1122573189687</c:v>
                </c:pt>
                <c:pt idx="352">
                  <c:v>2166.4118644369596</c:v>
                </c:pt>
                <c:pt idx="353">
                  <c:v>2156.7297164407451</c:v>
                </c:pt>
                <c:pt idx="354">
                  <c:v>2147.0662580297976</c:v>
                </c:pt>
                <c:pt idx="355">
                  <c:v>2137.4219254056275</c:v>
                </c:pt>
                <c:pt idx="356">
                  <c:v>2127.797146341898</c:v>
                </c:pt>
                <c:pt idx="357">
                  <c:v>2118.1923402550892</c:v>
                </c:pt>
                <c:pt idx="358">
                  <c:v>2108.6079182756407</c:v>
                </c:pt>
                <c:pt idx="359">
                  <c:v>2099.0442833195716</c:v>
                </c:pt>
                <c:pt idx="360">
                  <c:v>2089.5018301605423</c:v>
                </c:pt>
                <c:pt idx="361">
                  <c:v>2079.9809455023142</c:v>
                </c:pt>
                <c:pt idx="362">
                  <c:v>2070.4820080516133</c:v>
                </c:pt>
                <c:pt idx="363">
                  <c:v>2061.0053885913289</c:v>
                </c:pt>
                <c:pt idx="364">
                  <c:v>2051.5514500540603</c:v>
                </c:pt>
                <c:pt idx="365">
                  <c:v>2042.1205475959528</c:v>
                </c:pt>
                <c:pt idx="366">
                  <c:v>2032.7130286708173</c:v>
                </c:pt>
                <c:pt idx="367">
                  <c:v>2023.3292331045031</c:v>
                </c:pt>
                <c:pt idx="368">
                  <c:v>2013.9694931694958</c:v>
                </c:pt>
                <c:pt idx="369">
                  <c:v>2004.6341336597125</c:v>
                </c:pt>
                <c:pt idx="370">
                  <c:v>1995.3234719654822</c:v>
                </c:pt>
                <c:pt idx="371">
                  <c:v>1986.037818148681</c:v>
                </c:pt>
                <c:pt idx="372">
                  <c:v>1976.7774750179915</c:v>
                </c:pt>
                <c:pt idx="373">
                  <c:v>1967.5427382042751</c:v>
                </c:pt>
                <c:pt idx="374">
                  <c:v>1958.3338962360297</c:v>
                </c:pt>
                <c:pt idx="375">
                  <c:v>1949.1512306149143</c:v>
                </c:pt>
                <c:pt idx="376">
                  <c:v>1939.9950158913141</c:v>
                </c:pt>
                <c:pt idx="377">
                  <c:v>1930.8655197399232</c:v>
                </c:pt>
                <c:pt idx="378">
                  <c:v>1921.7630030353384</c:v>
                </c:pt>
                <c:pt idx="379">
                  <c:v>1912.6877199276239</c:v>
                </c:pt>
                <c:pt idx="380">
                  <c:v>1903.6399179178457</c:v>
                </c:pt>
                <c:pt idx="381">
                  <c:v>1894.619837933544</c:v>
                </c:pt>
                <c:pt idx="382">
                  <c:v>1885.6277144041326</c:v>
                </c:pt>
                <c:pt idx="383">
                  <c:v>1876.6637753361949</c:v>
                </c:pt>
                <c:pt idx="384">
                  <c:v>1867.7282423886791</c:v>
                </c:pt>
                <c:pt idx="385">
                  <c:v>1858.8213309479586</c:v>
                </c:pt>
                <c:pt idx="386">
                  <c:v>1849.9432502027405</c:v>
                </c:pt>
                <c:pt idx="387">
                  <c:v>1841.0942032188152</c:v>
                </c:pt>
                <c:pt idx="388">
                  <c:v>1832.2743870136271</c:v>
                </c:pt>
                <c:pt idx="389">
                  <c:v>1823.4839926306465</c:v>
                </c:pt>
                <c:pt idx="390">
                  <c:v>1814.7232052135264</c:v>
                </c:pt>
                <c:pt idx="391">
                  <c:v>1805.9922040800457</c:v>
                </c:pt>
                <c:pt idx="392">
                  <c:v>1797.2911627957983</c:v>
                </c:pt>
                <c:pt idx="393">
                  <c:v>1788.6202492476341</c:v>
                </c:pt>
                <c:pt idx="394">
                  <c:v>1779.9796257168309</c:v>
                </c:pt>
                <c:pt idx="395">
                  <c:v>1771.3694489519817</c:v>
                </c:pt>
                <c:pt idx="396">
                  <c:v>1762.7898702415882</c:v>
                </c:pt>
                <c:pt idx="397">
                  <c:v>1754.2410354863493</c:v>
                </c:pt>
                <c:pt idx="398">
                  <c:v>1745.7230852711277</c:v>
                </c:pt>
                <c:pt idx="399">
                  <c:v>1737.2361549365799</c:v>
                </c:pt>
                <c:pt idx="400">
                  <c:v>1728.780374650454</c:v>
                </c:pt>
                <c:pt idx="401">
                  <c:v>1720.3558694785224</c:v>
                </c:pt>
                <c:pt idx="402">
                  <c:v>1711.9627594551566</c:v>
                </c:pt>
                <c:pt idx="403">
                  <c:v>1703.6011596535254</c:v>
                </c:pt>
                <c:pt idx="404">
                  <c:v>1695.2711802554027</c:v>
                </c:pt>
                <c:pt idx="405">
                  <c:v>1686.9729266205882</c:v>
                </c:pt>
                <c:pt idx="406">
                  <c:v>1678.7064993559188</c:v>
                </c:pt>
                <c:pt idx="407">
                  <c:v>1670.4719943838688</c:v>
                </c:pt>
                <c:pt idx="408">
                  <c:v>1662.2695030107254</c:v>
                </c:pt>
                <c:pt idx="409">
                  <c:v>1654.099111994341</c:v>
                </c:pt>
                <c:pt idx="410">
                  <c:v>1645.9609036114337</c:v>
                </c:pt>
                <c:pt idx="411">
                  <c:v>1637.8549557244608</c:v>
                </c:pt>
                <c:pt idx="412">
                  <c:v>1629.7813418480239</c:v>
                </c:pt>
                <c:pt idx="413">
                  <c:v>1621.7401312148208</c:v>
                </c:pt>
                <c:pt idx="414">
                  <c:v>1613.7313888411275</c:v>
                </c:pt>
                <c:pt idx="415">
                  <c:v>1605.7551755918109</c:v>
                </c:pt>
                <c:pt idx="416">
                  <c:v>1597.8115482448591</c:v>
                </c:pt>
                <c:pt idx="417">
                  <c:v>1589.900559555427</c:v>
                </c:pt>
                <c:pt idx="418">
                  <c:v>1582.0222583193922</c:v>
                </c:pt>
                <c:pt idx="419">
                  <c:v>1574.1766894364148</c:v>
                </c:pt>
                <c:pt idx="420">
                  <c:v>1566.3638939724942</c:v>
                </c:pt>
                <c:pt idx="421">
                  <c:v>1558.583909222026</c:v>
                </c:pt>
                <c:pt idx="422">
                  <c:v>1550.8367687693403</c:v>
                </c:pt>
                <c:pt idx="423">
                  <c:v>1543.1225025497349</c:v>
                </c:pt>
                <c:pt idx="424">
                  <c:v>1535.4411369099844</c:v>
                </c:pt>
                <c:pt idx="425">
                  <c:v>1527.7926946683297</c:v>
                </c:pt>
                <c:pt idx="426">
                  <c:v>1520.177195173942</c:v>
                </c:pt>
                <c:pt idx="427">
                  <c:v>1512.5946543658604</c:v>
                </c:pt>
                <c:pt idx="428">
                  <c:v>1505.0450848313942</c:v>
                </c:pt>
                <c:pt idx="429">
                  <c:v>1497.5284958639979</c:v>
                </c:pt>
                <c:pt idx="430">
                  <c:v>1490.0448935206023</c:v>
                </c:pt>
                <c:pt idx="431">
                  <c:v>1482.5942806784115</c:v>
                </c:pt>
                <c:pt idx="432">
                  <c:v>1475.1766570911602</c:v>
                </c:pt>
                <c:pt idx="433">
                  <c:v>1467.7920194448268</c:v>
                </c:pt>
                <c:pt idx="434">
                  <c:v>1460.4403614128005</c:v>
                </c:pt>
                <c:pt idx="435">
                  <c:v>1453.1216737105103</c:v>
                </c:pt>
                <c:pt idx="436">
                  <c:v>1445.8359441494949</c:v>
                </c:pt>
                <c:pt idx="437">
                  <c:v>1438.5831576909411</c:v>
                </c:pt>
                <c:pt idx="438">
                  <c:v>1431.3632964986618</c:v>
                </c:pt>
                <c:pt idx="439">
                  <c:v>1424.1763399915276</c:v>
                </c:pt>
                <c:pt idx="440">
                  <c:v>1417.0222648953527</c:v>
                </c:pt>
                <c:pt idx="441">
                  <c:v>1409.9010452942264</c:v>
                </c:pt>
                <c:pt idx="442">
                  <c:v>1402.8126526813003</c:v>
                </c:pt>
                <c:pt idx="443">
                  <c:v>1395.7570560090217</c:v>
                </c:pt>
                <c:pt idx="444">
                  <c:v>1388.7342217388166</c:v>
                </c:pt>
                <c:pt idx="445">
                  <c:v>1381.7441138902286</c:v>
                </c:pt>
                <c:pt idx="446">
                  <c:v>1374.7866940895049</c:v>
                </c:pt>
                <c:pt idx="447">
                  <c:v>1367.8619216176385</c:v>
                </c:pt>
                <c:pt idx="448">
                  <c:v>1360.9697534578572</c:v>
                </c:pt>
                <c:pt idx="449">
                  <c:v>1354.1101443425762</c:v>
                </c:pt>
                <c:pt idx="450">
                  <c:v>1347.2830467997976</c:v>
                </c:pt>
                <c:pt idx="451">
                  <c:v>1340.488411198967</c:v>
                </c:pt>
                <c:pt idx="452">
                  <c:v>1333.7261857962978</c:v>
                </c:pt>
                <c:pt idx="453">
                  <c:v>1326.9963167795397</c:v>
                </c:pt>
                <c:pt idx="454">
                  <c:v>1320.2987483122204</c:v>
                </c:pt>
                <c:pt idx="455">
                  <c:v>1313.6334225773478</c:v>
                </c:pt>
                <c:pt idx="456">
                  <c:v>1307.0002798205699</c:v>
                </c:pt>
                <c:pt idx="457">
                  <c:v>1300.3992583928109</c:v>
                </c:pt>
                <c:pt idx="458">
                  <c:v>1293.8302947923712</c:v>
                </c:pt>
                <c:pt idx="459">
                  <c:v>1287.2933237065001</c:v>
                </c:pt>
                <c:pt idx="460">
                  <c:v>1280.7882780524376</c:v>
                </c:pt>
                <c:pt idx="461">
                  <c:v>1274.3150890179393</c:v>
                </c:pt>
                <c:pt idx="462">
                  <c:v>1267.8736861012737</c:v>
                </c:pt>
                <c:pt idx="463">
                  <c:v>1261.4639971507027</c:v>
                </c:pt>
                <c:pt idx="464">
                  <c:v>1255.0859484034461</c:v>
                </c:pt>
                <c:pt idx="465">
                  <c:v>1248.7394645241295</c:v>
                </c:pt>
                <c:pt idx="466">
                  <c:v>1242.4244686427273</c:v>
                </c:pt>
                <c:pt idx="467">
                  <c:v>1236.1408823919883</c:v>
                </c:pt>
                <c:pt idx="468">
                  <c:v>1229.8886259443668</c:v>
                </c:pt>
                <c:pt idx="469">
                  <c:v>1223.6676180484444</c:v>
                </c:pt>
                <c:pt idx="470">
                  <c:v>1217.4777760648558</c:v>
                </c:pt>
                <c:pt idx="471">
                  <c:v>1211.3190160017193</c:v>
                </c:pt>
                <c:pt idx="472">
                  <c:v>1205.1912525495723</c:v>
                </c:pt>
                <c:pt idx="473">
                  <c:v>1199.0943991158219</c:v>
                </c:pt>
                <c:pt idx="474">
                  <c:v>1193.0283678587089</c:v>
                </c:pt>
                <c:pt idx="475">
                  <c:v>1186.9930697207835</c:v>
                </c:pt>
                <c:pt idx="476">
                  <c:v>1180.9884144619139</c:v>
                </c:pt>
                <c:pt idx="477">
                  <c:v>1175.0143106918049</c:v>
                </c:pt>
                <c:pt idx="478">
                  <c:v>1169.07066590206</c:v>
                </c:pt>
                <c:pt idx="479">
                  <c:v>1163.1573864977672</c:v>
                </c:pt>
                <c:pt idx="480">
                  <c:v>1157.2743778286156</c:v>
                </c:pt>
                <c:pt idx="481">
                  <c:v>1151.4215442195673</c:v>
                </c:pt>
                <c:pt idx="482">
                  <c:v>1145.5987890010517</c:v>
                </c:pt>
                <c:pt idx="483">
                  <c:v>1139.8060145387255</c:v>
                </c:pt>
                <c:pt idx="484">
                  <c:v>1134.0431222627719</c:v>
                </c:pt>
                <c:pt idx="485">
                  <c:v>1128.3100126967565</c:v>
                </c:pt>
                <c:pt idx="486">
                  <c:v>1122.6065854860456</c:v>
                </c:pt>
                <c:pt idx="487">
                  <c:v>1116.93273942578</c:v>
                </c:pt>
                <c:pt idx="488">
                  <c:v>1111.2883724884205</c:v>
                </c:pt>
                <c:pt idx="489">
                  <c:v>1105.6733818508635</c:v>
                </c:pt>
                <c:pt idx="490">
                  <c:v>1100.0876639211224</c:v>
                </c:pt>
                <c:pt idx="491">
                  <c:v>1094.5311143646013</c:v>
                </c:pt>
                <c:pt idx="492">
                  <c:v>1089.0036281299354</c:v>
                </c:pt>
                <c:pt idx="493">
                  <c:v>1083.5050994744274</c:v>
                </c:pt>
                <c:pt idx="494">
                  <c:v>1078.0354219890721</c:v>
                </c:pt>
                <c:pt idx="495">
                  <c:v>1072.5944886231709</c:v>
                </c:pt>
                <c:pt idx="496">
                  <c:v>1067.1821917085497</c:v>
                </c:pt>
                <c:pt idx="497">
                  <c:v>1061.7984229833737</c:v>
                </c:pt>
                <c:pt idx="498">
                  <c:v>1056.443073615573</c:v>
                </c:pt>
                <c:pt idx="499">
                  <c:v>1051.1160342258754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11-491C-9CE7-BCD1A6474A31}"/>
            </c:ext>
          </c:extLst>
        </c:ser>
        <c:ser>
          <c:idx val="6"/>
          <c:order val="6"/>
          <c:tx>
            <c:v>I5</c:v>
          </c:tx>
          <c:spPr>
            <a:ln w="28575">
              <a:solidFill>
                <a:srgbClr val="FFFF0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'LM-OSL'!$V$32:$V$1031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11-491C-9CE7-BCD1A6474A31}"/>
            </c:ext>
          </c:extLst>
        </c:ser>
        <c:ser>
          <c:idx val="7"/>
          <c:order val="7"/>
          <c:tx>
            <c:v>background</c:v>
          </c:tx>
          <c:spPr>
            <a:ln w="28575">
              <a:solidFill>
                <a:srgbClr val="C0000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'LM-OSL'!$W$32:$W$1031</c:f>
              <c:numCache>
                <c:formatCode>General</c:formatCode>
                <c:ptCount val="1000"/>
                <c:pt idx="0">
                  <c:v>50</c:v>
                </c:pt>
                <c:pt idx="1">
                  <c:v>51.773443103807296</c:v>
                </c:pt>
                <c:pt idx="2">
                  <c:v>53.546886207614584</c:v>
                </c:pt>
                <c:pt idx="3">
                  <c:v>55.320329311421879</c:v>
                </c:pt>
                <c:pt idx="4">
                  <c:v>57.093772415229168</c:v>
                </c:pt>
                <c:pt idx="5">
                  <c:v>58.867215519036463</c:v>
                </c:pt>
                <c:pt idx="6">
                  <c:v>60.640658622843759</c:v>
                </c:pt>
                <c:pt idx="7">
                  <c:v>62.414101726651054</c:v>
                </c:pt>
                <c:pt idx="8">
                  <c:v>64.187544830458336</c:v>
                </c:pt>
                <c:pt idx="9">
                  <c:v>65.960987934265631</c:v>
                </c:pt>
                <c:pt idx="10">
                  <c:v>67.734431038072927</c:v>
                </c:pt>
                <c:pt idx="11">
                  <c:v>69.507874141880222</c:v>
                </c:pt>
                <c:pt idx="12">
                  <c:v>71.281317245687518</c:v>
                </c:pt>
                <c:pt idx="13">
                  <c:v>73.054760349494813</c:v>
                </c:pt>
                <c:pt idx="14">
                  <c:v>74.828203453302109</c:v>
                </c:pt>
                <c:pt idx="15">
                  <c:v>76.60164655710939</c:v>
                </c:pt>
                <c:pt idx="16">
                  <c:v>78.375089660916686</c:v>
                </c:pt>
                <c:pt idx="17">
                  <c:v>80.148532764723981</c:v>
                </c:pt>
                <c:pt idx="18">
                  <c:v>81.921975868531263</c:v>
                </c:pt>
                <c:pt idx="19">
                  <c:v>83.695418972338558</c:v>
                </c:pt>
                <c:pt idx="20">
                  <c:v>85.468862076145854</c:v>
                </c:pt>
                <c:pt idx="21">
                  <c:v>87.242305179953149</c:v>
                </c:pt>
                <c:pt idx="22">
                  <c:v>89.015748283760445</c:v>
                </c:pt>
                <c:pt idx="23">
                  <c:v>90.78919138756774</c:v>
                </c:pt>
                <c:pt idx="24">
                  <c:v>92.562634491375036</c:v>
                </c:pt>
                <c:pt idx="25">
                  <c:v>94.336077595182331</c:v>
                </c:pt>
                <c:pt idx="26">
                  <c:v>96.109520698989613</c:v>
                </c:pt>
                <c:pt idx="27">
                  <c:v>97.882963802796908</c:v>
                </c:pt>
                <c:pt idx="28">
                  <c:v>99.656406906604204</c:v>
                </c:pt>
                <c:pt idx="29">
                  <c:v>101.42985001041149</c:v>
                </c:pt>
                <c:pt idx="30">
                  <c:v>103.20329311421878</c:v>
                </c:pt>
                <c:pt idx="31">
                  <c:v>104.97673621802608</c:v>
                </c:pt>
                <c:pt idx="32">
                  <c:v>106.75017932183337</c:v>
                </c:pt>
                <c:pt idx="33">
                  <c:v>108.52362242564067</c:v>
                </c:pt>
                <c:pt idx="34">
                  <c:v>110.29706552944796</c:v>
                </c:pt>
                <c:pt idx="35">
                  <c:v>112.07050863325526</c:v>
                </c:pt>
                <c:pt idx="36">
                  <c:v>113.84395173706254</c:v>
                </c:pt>
                <c:pt idx="37">
                  <c:v>115.61739484086984</c:v>
                </c:pt>
                <c:pt idx="38">
                  <c:v>117.39083794467713</c:v>
                </c:pt>
                <c:pt idx="39">
                  <c:v>119.16428104848443</c:v>
                </c:pt>
                <c:pt idx="40">
                  <c:v>120.93772415229171</c:v>
                </c:pt>
                <c:pt idx="41">
                  <c:v>122.711167256099</c:v>
                </c:pt>
                <c:pt idx="42">
                  <c:v>124.4846103599063</c:v>
                </c:pt>
                <c:pt idx="43">
                  <c:v>126.25805346371359</c:v>
                </c:pt>
                <c:pt idx="44">
                  <c:v>128.03149656752089</c:v>
                </c:pt>
                <c:pt idx="45">
                  <c:v>129.80493967132819</c:v>
                </c:pt>
                <c:pt idx="46">
                  <c:v>131.57838277513548</c:v>
                </c:pt>
                <c:pt idx="47">
                  <c:v>133.35182587894275</c:v>
                </c:pt>
                <c:pt idx="48">
                  <c:v>135.12526898275007</c:v>
                </c:pt>
                <c:pt idx="49">
                  <c:v>136.89871208655734</c:v>
                </c:pt>
                <c:pt idx="50">
                  <c:v>138.67215519036466</c:v>
                </c:pt>
                <c:pt idx="51">
                  <c:v>140.44559829417193</c:v>
                </c:pt>
                <c:pt idx="52">
                  <c:v>142.21904139797923</c:v>
                </c:pt>
                <c:pt idx="53">
                  <c:v>143.99248450178652</c:v>
                </c:pt>
                <c:pt idx="54">
                  <c:v>145.76592760559382</c:v>
                </c:pt>
                <c:pt idx="55">
                  <c:v>147.53937070940111</c:v>
                </c:pt>
                <c:pt idx="56">
                  <c:v>149.31281381320841</c:v>
                </c:pt>
                <c:pt idx="57">
                  <c:v>151.0862569170157</c:v>
                </c:pt>
                <c:pt idx="58">
                  <c:v>152.85970002082297</c:v>
                </c:pt>
                <c:pt idx="59">
                  <c:v>154.63314312463029</c:v>
                </c:pt>
                <c:pt idx="60">
                  <c:v>156.40658622843756</c:v>
                </c:pt>
                <c:pt idx="61">
                  <c:v>158.18002933224489</c:v>
                </c:pt>
                <c:pt idx="62">
                  <c:v>159.95347243605215</c:v>
                </c:pt>
                <c:pt idx="63">
                  <c:v>161.72691553985945</c:v>
                </c:pt>
                <c:pt idx="64">
                  <c:v>163.50035864366674</c:v>
                </c:pt>
                <c:pt idx="65">
                  <c:v>165.27380174747404</c:v>
                </c:pt>
                <c:pt idx="66">
                  <c:v>167.04724485128133</c:v>
                </c:pt>
                <c:pt idx="67">
                  <c:v>168.8206879550886</c:v>
                </c:pt>
                <c:pt idx="68">
                  <c:v>170.59413105889593</c:v>
                </c:pt>
                <c:pt idx="69">
                  <c:v>172.36757416270319</c:v>
                </c:pt>
                <c:pt idx="70">
                  <c:v>174.14101726651052</c:v>
                </c:pt>
                <c:pt idx="71">
                  <c:v>175.91446037031778</c:v>
                </c:pt>
                <c:pt idx="72">
                  <c:v>177.68790347412508</c:v>
                </c:pt>
                <c:pt idx="73">
                  <c:v>179.46134657793237</c:v>
                </c:pt>
                <c:pt idx="74">
                  <c:v>181.23478968173967</c:v>
                </c:pt>
                <c:pt idx="75">
                  <c:v>183.00823278554697</c:v>
                </c:pt>
                <c:pt idx="76">
                  <c:v>184.78167588935426</c:v>
                </c:pt>
                <c:pt idx="77">
                  <c:v>186.55511899316156</c:v>
                </c:pt>
                <c:pt idx="78">
                  <c:v>188.32856209696885</c:v>
                </c:pt>
                <c:pt idx="79">
                  <c:v>190.10200520077615</c:v>
                </c:pt>
                <c:pt idx="80">
                  <c:v>191.87544830458341</c:v>
                </c:pt>
                <c:pt idx="81">
                  <c:v>193.64889140839071</c:v>
                </c:pt>
                <c:pt idx="82">
                  <c:v>195.42233451219801</c:v>
                </c:pt>
                <c:pt idx="83">
                  <c:v>197.1957776160053</c:v>
                </c:pt>
                <c:pt idx="84">
                  <c:v>198.9692207198126</c:v>
                </c:pt>
                <c:pt idx="85">
                  <c:v>200.74266382361989</c:v>
                </c:pt>
                <c:pt idx="86">
                  <c:v>202.51610692742719</c:v>
                </c:pt>
                <c:pt idx="87">
                  <c:v>204.28955003123448</c:v>
                </c:pt>
                <c:pt idx="88">
                  <c:v>206.06299313504178</c:v>
                </c:pt>
                <c:pt idx="89">
                  <c:v>207.83643623884907</c:v>
                </c:pt>
                <c:pt idx="90">
                  <c:v>209.60987934265637</c:v>
                </c:pt>
                <c:pt idx="91">
                  <c:v>211.38332244646364</c:v>
                </c:pt>
                <c:pt idx="92">
                  <c:v>213.15676555027093</c:v>
                </c:pt>
                <c:pt idx="93">
                  <c:v>214.93020865407823</c:v>
                </c:pt>
                <c:pt idx="94">
                  <c:v>216.70365175788552</c:v>
                </c:pt>
                <c:pt idx="95">
                  <c:v>218.47709486169282</c:v>
                </c:pt>
                <c:pt idx="96">
                  <c:v>220.25053796550011</c:v>
                </c:pt>
                <c:pt idx="97">
                  <c:v>222.02398106930741</c:v>
                </c:pt>
                <c:pt idx="98">
                  <c:v>223.79742417311471</c:v>
                </c:pt>
                <c:pt idx="99">
                  <c:v>225.570867276922</c:v>
                </c:pt>
                <c:pt idx="100">
                  <c:v>227.3443103807293</c:v>
                </c:pt>
                <c:pt idx="101">
                  <c:v>229.11775348453659</c:v>
                </c:pt>
                <c:pt idx="102">
                  <c:v>230.89119658834386</c:v>
                </c:pt>
                <c:pt idx="103">
                  <c:v>232.66463969215116</c:v>
                </c:pt>
                <c:pt idx="104">
                  <c:v>234.43808279595845</c:v>
                </c:pt>
                <c:pt idx="105">
                  <c:v>236.21152589976575</c:v>
                </c:pt>
                <c:pt idx="106">
                  <c:v>237.98496900357304</c:v>
                </c:pt>
                <c:pt idx="107">
                  <c:v>239.75841210738034</c:v>
                </c:pt>
                <c:pt idx="108">
                  <c:v>241.53185521118763</c:v>
                </c:pt>
                <c:pt idx="109">
                  <c:v>243.30529831499493</c:v>
                </c:pt>
                <c:pt idx="110">
                  <c:v>245.07874141880222</c:v>
                </c:pt>
                <c:pt idx="111">
                  <c:v>246.85218452260952</c:v>
                </c:pt>
                <c:pt idx="112">
                  <c:v>248.62562762641682</c:v>
                </c:pt>
                <c:pt idx="113">
                  <c:v>250.39907073022408</c:v>
                </c:pt>
                <c:pt idx="114">
                  <c:v>252.17251383403138</c:v>
                </c:pt>
                <c:pt idx="115">
                  <c:v>253.94595693783867</c:v>
                </c:pt>
                <c:pt idx="116">
                  <c:v>255.71940004164597</c:v>
                </c:pt>
                <c:pt idx="117">
                  <c:v>257.49284314545326</c:v>
                </c:pt>
                <c:pt idx="118">
                  <c:v>259.26628624926059</c:v>
                </c:pt>
                <c:pt idx="119">
                  <c:v>261.03972935306786</c:v>
                </c:pt>
                <c:pt idx="120">
                  <c:v>262.81317245687512</c:v>
                </c:pt>
                <c:pt idx="121">
                  <c:v>264.58661556068245</c:v>
                </c:pt>
                <c:pt idx="122">
                  <c:v>266.36005866448977</c:v>
                </c:pt>
                <c:pt idx="123">
                  <c:v>268.13350176829704</c:v>
                </c:pt>
                <c:pt idx="124">
                  <c:v>269.9069448721043</c:v>
                </c:pt>
                <c:pt idx="125">
                  <c:v>271.68038797591157</c:v>
                </c:pt>
                <c:pt idx="126">
                  <c:v>273.4538310797189</c:v>
                </c:pt>
                <c:pt idx="127">
                  <c:v>275.22727418352622</c:v>
                </c:pt>
                <c:pt idx="128">
                  <c:v>277.00071728733349</c:v>
                </c:pt>
                <c:pt idx="129">
                  <c:v>278.77416039114075</c:v>
                </c:pt>
                <c:pt idx="130">
                  <c:v>280.54760349494808</c:v>
                </c:pt>
                <c:pt idx="131">
                  <c:v>282.3210465987554</c:v>
                </c:pt>
                <c:pt idx="132">
                  <c:v>284.09448970256267</c:v>
                </c:pt>
                <c:pt idx="133">
                  <c:v>285.86793280636994</c:v>
                </c:pt>
                <c:pt idx="134">
                  <c:v>287.6413759101772</c:v>
                </c:pt>
                <c:pt idx="135">
                  <c:v>289.41481901398453</c:v>
                </c:pt>
                <c:pt idx="136">
                  <c:v>291.18826211779185</c:v>
                </c:pt>
                <c:pt idx="137">
                  <c:v>292.96170522159912</c:v>
                </c:pt>
                <c:pt idx="138">
                  <c:v>294.73514832540639</c:v>
                </c:pt>
                <c:pt idx="139">
                  <c:v>296.50859142921371</c:v>
                </c:pt>
                <c:pt idx="140">
                  <c:v>298.28203453302103</c:v>
                </c:pt>
                <c:pt idx="141">
                  <c:v>300.0554776368283</c:v>
                </c:pt>
                <c:pt idx="142">
                  <c:v>301.82892074063557</c:v>
                </c:pt>
                <c:pt idx="143">
                  <c:v>303.60236384444289</c:v>
                </c:pt>
                <c:pt idx="144">
                  <c:v>305.37580694825016</c:v>
                </c:pt>
                <c:pt idx="145">
                  <c:v>307.14925005205748</c:v>
                </c:pt>
                <c:pt idx="146">
                  <c:v>308.92269315586475</c:v>
                </c:pt>
                <c:pt idx="147">
                  <c:v>310.69613625967207</c:v>
                </c:pt>
                <c:pt idx="148">
                  <c:v>312.46957936347934</c:v>
                </c:pt>
                <c:pt idx="149">
                  <c:v>314.24302246728666</c:v>
                </c:pt>
                <c:pt idx="150">
                  <c:v>316.01646557109393</c:v>
                </c:pt>
                <c:pt idx="151">
                  <c:v>317.7899086749012</c:v>
                </c:pt>
                <c:pt idx="152">
                  <c:v>319.56335177870852</c:v>
                </c:pt>
                <c:pt idx="153">
                  <c:v>321.33679488251579</c:v>
                </c:pt>
                <c:pt idx="154">
                  <c:v>323.11023798632311</c:v>
                </c:pt>
                <c:pt idx="155">
                  <c:v>324.88368109013038</c:v>
                </c:pt>
                <c:pt idx="156">
                  <c:v>326.6571241939377</c:v>
                </c:pt>
                <c:pt idx="157">
                  <c:v>328.43056729774497</c:v>
                </c:pt>
                <c:pt idx="158">
                  <c:v>330.2040104015523</c:v>
                </c:pt>
                <c:pt idx="159">
                  <c:v>331.97745350535956</c:v>
                </c:pt>
                <c:pt idx="160">
                  <c:v>333.75089660916683</c:v>
                </c:pt>
                <c:pt idx="161">
                  <c:v>335.52433971297415</c:v>
                </c:pt>
                <c:pt idx="162">
                  <c:v>337.29778281678142</c:v>
                </c:pt>
                <c:pt idx="163">
                  <c:v>339.07122592058874</c:v>
                </c:pt>
                <c:pt idx="164">
                  <c:v>340.84466902439601</c:v>
                </c:pt>
                <c:pt idx="165">
                  <c:v>342.61811212820334</c:v>
                </c:pt>
                <c:pt idx="166">
                  <c:v>344.3915552320106</c:v>
                </c:pt>
                <c:pt idx="167">
                  <c:v>346.16499833581793</c:v>
                </c:pt>
                <c:pt idx="168">
                  <c:v>347.93844143962519</c:v>
                </c:pt>
                <c:pt idx="169">
                  <c:v>349.71188454343252</c:v>
                </c:pt>
                <c:pt idx="170">
                  <c:v>351.48532764723979</c:v>
                </c:pt>
                <c:pt idx="171">
                  <c:v>353.25877075104705</c:v>
                </c:pt>
                <c:pt idx="172">
                  <c:v>355.03221385485438</c:v>
                </c:pt>
                <c:pt idx="173">
                  <c:v>356.80565695866164</c:v>
                </c:pt>
                <c:pt idx="174">
                  <c:v>358.57910006246897</c:v>
                </c:pt>
                <c:pt idx="175">
                  <c:v>360.35254316627623</c:v>
                </c:pt>
                <c:pt idx="176">
                  <c:v>362.12598627008356</c:v>
                </c:pt>
                <c:pt idx="177">
                  <c:v>363.89942937389083</c:v>
                </c:pt>
                <c:pt idx="178">
                  <c:v>365.67287247769815</c:v>
                </c:pt>
                <c:pt idx="179">
                  <c:v>367.44631558150542</c:v>
                </c:pt>
                <c:pt idx="180">
                  <c:v>369.21975868531274</c:v>
                </c:pt>
                <c:pt idx="181">
                  <c:v>370.99320178912001</c:v>
                </c:pt>
                <c:pt idx="182">
                  <c:v>372.76664489292727</c:v>
                </c:pt>
                <c:pt idx="183">
                  <c:v>374.5400879967346</c:v>
                </c:pt>
                <c:pt idx="184">
                  <c:v>376.31353110054187</c:v>
                </c:pt>
                <c:pt idx="185">
                  <c:v>378.08697420434919</c:v>
                </c:pt>
                <c:pt idx="186">
                  <c:v>379.86041730815646</c:v>
                </c:pt>
                <c:pt idx="187">
                  <c:v>381.63386041196378</c:v>
                </c:pt>
                <c:pt idx="188">
                  <c:v>383.40730351577105</c:v>
                </c:pt>
                <c:pt idx="189">
                  <c:v>385.18074661957837</c:v>
                </c:pt>
                <c:pt idx="190">
                  <c:v>386.95418972338564</c:v>
                </c:pt>
                <c:pt idx="191">
                  <c:v>388.72763282719296</c:v>
                </c:pt>
                <c:pt idx="192">
                  <c:v>390.50107593100023</c:v>
                </c:pt>
                <c:pt idx="193">
                  <c:v>392.2745190348075</c:v>
                </c:pt>
                <c:pt idx="194">
                  <c:v>394.04796213861482</c:v>
                </c:pt>
                <c:pt idx="195">
                  <c:v>395.82140524242209</c:v>
                </c:pt>
                <c:pt idx="196">
                  <c:v>397.59484834622941</c:v>
                </c:pt>
                <c:pt idx="197">
                  <c:v>399.36829145003668</c:v>
                </c:pt>
                <c:pt idx="198">
                  <c:v>401.141734553844</c:v>
                </c:pt>
                <c:pt idx="199">
                  <c:v>402.91517765765127</c:v>
                </c:pt>
                <c:pt idx="200">
                  <c:v>404.68862076145859</c:v>
                </c:pt>
                <c:pt idx="201">
                  <c:v>406.46206386526586</c:v>
                </c:pt>
                <c:pt idx="202">
                  <c:v>408.23550696907319</c:v>
                </c:pt>
                <c:pt idx="203">
                  <c:v>410.00895007288045</c:v>
                </c:pt>
                <c:pt idx="204">
                  <c:v>411.78239317668772</c:v>
                </c:pt>
                <c:pt idx="205">
                  <c:v>413.55583628049504</c:v>
                </c:pt>
                <c:pt idx="206">
                  <c:v>415.32927938430231</c:v>
                </c:pt>
                <c:pt idx="207">
                  <c:v>417.10272248810963</c:v>
                </c:pt>
                <c:pt idx="208">
                  <c:v>418.8761655919169</c:v>
                </c:pt>
                <c:pt idx="209">
                  <c:v>420.64960869572423</c:v>
                </c:pt>
                <c:pt idx="210">
                  <c:v>422.42305179953149</c:v>
                </c:pt>
                <c:pt idx="211">
                  <c:v>424.19649490333882</c:v>
                </c:pt>
                <c:pt idx="212">
                  <c:v>425.96993800714608</c:v>
                </c:pt>
                <c:pt idx="213">
                  <c:v>427.74338111095341</c:v>
                </c:pt>
                <c:pt idx="214">
                  <c:v>429.51682421476067</c:v>
                </c:pt>
                <c:pt idx="215">
                  <c:v>431.29026731856794</c:v>
                </c:pt>
                <c:pt idx="216">
                  <c:v>433.06371042237527</c:v>
                </c:pt>
                <c:pt idx="217">
                  <c:v>434.83715352618253</c:v>
                </c:pt>
                <c:pt idx="218">
                  <c:v>436.61059662998986</c:v>
                </c:pt>
                <c:pt idx="219">
                  <c:v>438.38403973379712</c:v>
                </c:pt>
                <c:pt idx="220">
                  <c:v>440.15748283760445</c:v>
                </c:pt>
                <c:pt idx="221">
                  <c:v>441.93092594141172</c:v>
                </c:pt>
                <c:pt idx="222">
                  <c:v>443.70436904521904</c:v>
                </c:pt>
                <c:pt idx="223">
                  <c:v>445.47781214902631</c:v>
                </c:pt>
                <c:pt idx="224">
                  <c:v>447.25125525283363</c:v>
                </c:pt>
                <c:pt idx="225">
                  <c:v>449.0246983566409</c:v>
                </c:pt>
                <c:pt idx="226">
                  <c:v>450.79814146044816</c:v>
                </c:pt>
                <c:pt idx="227">
                  <c:v>452.57158456425549</c:v>
                </c:pt>
                <c:pt idx="228">
                  <c:v>454.34502766806276</c:v>
                </c:pt>
                <c:pt idx="229">
                  <c:v>456.11847077187008</c:v>
                </c:pt>
                <c:pt idx="230">
                  <c:v>457.89191387567735</c:v>
                </c:pt>
                <c:pt idx="231">
                  <c:v>459.66535697948467</c:v>
                </c:pt>
                <c:pt idx="232">
                  <c:v>461.43880008329194</c:v>
                </c:pt>
                <c:pt idx="233">
                  <c:v>463.21224318709926</c:v>
                </c:pt>
                <c:pt idx="234">
                  <c:v>464.98568629090653</c:v>
                </c:pt>
                <c:pt idx="235">
                  <c:v>466.7591293947138</c:v>
                </c:pt>
                <c:pt idx="236">
                  <c:v>468.53257249852112</c:v>
                </c:pt>
                <c:pt idx="237">
                  <c:v>470.30601560232839</c:v>
                </c:pt>
                <c:pt idx="238">
                  <c:v>472.07945870613571</c:v>
                </c:pt>
                <c:pt idx="239">
                  <c:v>473.85290180994298</c:v>
                </c:pt>
                <c:pt idx="240">
                  <c:v>475.6263449137503</c:v>
                </c:pt>
                <c:pt idx="241">
                  <c:v>477.39978801755757</c:v>
                </c:pt>
                <c:pt idx="242">
                  <c:v>479.17323112136489</c:v>
                </c:pt>
                <c:pt idx="243">
                  <c:v>480.94667422517216</c:v>
                </c:pt>
                <c:pt idx="244">
                  <c:v>482.72011732897948</c:v>
                </c:pt>
                <c:pt idx="245">
                  <c:v>484.49356043278675</c:v>
                </c:pt>
                <c:pt idx="246">
                  <c:v>486.26700353659402</c:v>
                </c:pt>
                <c:pt idx="247">
                  <c:v>488.04044664040134</c:v>
                </c:pt>
                <c:pt idx="248">
                  <c:v>489.81388974420861</c:v>
                </c:pt>
                <c:pt idx="249">
                  <c:v>491.58733284801593</c:v>
                </c:pt>
                <c:pt idx="250">
                  <c:v>493.3607759518232</c:v>
                </c:pt>
                <c:pt idx="251">
                  <c:v>495.13421905563052</c:v>
                </c:pt>
                <c:pt idx="252">
                  <c:v>496.90766215943779</c:v>
                </c:pt>
                <c:pt idx="253">
                  <c:v>498.68110526324512</c:v>
                </c:pt>
                <c:pt idx="254">
                  <c:v>500.45454836705238</c:v>
                </c:pt>
                <c:pt idx="255">
                  <c:v>502.22799147085971</c:v>
                </c:pt>
                <c:pt idx="256">
                  <c:v>504.00143457466697</c:v>
                </c:pt>
                <c:pt idx="257">
                  <c:v>505.77487767847424</c:v>
                </c:pt>
                <c:pt idx="258">
                  <c:v>507.54832078228156</c:v>
                </c:pt>
                <c:pt idx="259">
                  <c:v>509.32176388608883</c:v>
                </c:pt>
                <c:pt idx="260">
                  <c:v>511.09520698989616</c:v>
                </c:pt>
                <c:pt idx="261">
                  <c:v>512.86865009370342</c:v>
                </c:pt>
                <c:pt idx="262">
                  <c:v>514.6420931975108</c:v>
                </c:pt>
                <c:pt idx="263">
                  <c:v>516.41553630131807</c:v>
                </c:pt>
                <c:pt idx="264">
                  <c:v>518.18897940512534</c:v>
                </c:pt>
                <c:pt idx="265">
                  <c:v>519.9624225089326</c:v>
                </c:pt>
                <c:pt idx="266">
                  <c:v>521.73586561273987</c:v>
                </c:pt>
                <c:pt idx="267">
                  <c:v>523.50930871654714</c:v>
                </c:pt>
                <c:pt idx="268">
                  <c:v>525.28275182035441</c:v>
                </c:pt>
                <c:pt idx="269">
                  <c:v>527.05619492416179</c:v>
                </c:pt>
                <c:pt idx="270">
                  <c:v>528.82963802796905</c:v>
                </c:pt>
                <c:pt idx="271">
                  <c:v>530.60308113177643</c:v>
                </c:pt>
                <c:pt idx="272">
                  <c:v>532.3765242355837</c:v>
                </c:pt>
                <c:pt idx="273">
                  <c:v>534.14996733939097</c:v>
                </c:pt>
                <c:pt idx="274">
                  <c:v>535.92341044319824</c:v>
                </c:pt>
                <c:pt idx="275">
                  <c:v>537.6968535470055</c:v>
                </c:pt>
                <c:pt idx="276">
                  <c:v>539.47029665081277</c:v>
                </c:pt>
                <c:pt idx="277">
                  <c:v>541.24373975462015</c:v>
                </c:pt>
                <c:pt idx="278">
                  <c:v>543.01718285842742</c:v>
                </c:pt>
                <c:pt idx="279">
                  <c:v>544.79062596223469</c:v>
                </c:pt>
                <c:pt idx="280">
                  <c:v>546.56406906604207</c:v>
                </c:pt>
                <c:pt idx="281">
                  <c:v>548.33751216984933</c:v>
                </c:pt>
                <c:pt idx="282">
                  <c:v>550.1109552736566</c:v>
                </c:pt>
                <c:pt idx="283">
                  <c:v>551.88439837746387</c:v>
                </c:pt>
                <c:pt idx="284">
                  <c:v>553.65784148127113</c:v>
                </c:pt>
                <c:pt idx="285">
                  <c:v>555.4312845850784</c:v>
                </c:pt>
                <c:pt idx="286">
                  <c:v>557.20472768888578</c:v>
                </c:pt>
                <c:pt idx="287">
                  <c:v>558.97817079269305</c:v>
                </c:pt>
                <c:pt idx="288">
                  <c:v>560.75161389650032</c:v>
                </c:pt>
                <c:pt idx="289">
                  <c:v>562.52505700030758</c:v>
                </c:pt>
                <c:pt idx="290">
                  <c:v>564.29850010411496</c:v>
                </c:pt>
                <c:pt idx="291">
                  <c:v>566.07194320792223</c:v>
                </c:pt>
                <c:pt idx="292">
                  <c:v>567.8453863117295</c:v>
                </c:pt>
                <c:pt idx="293">
                  <c:v>569.61882941553677</c:v>
                </c:pt>
                <c:pt idx="294">
                  <c:v>571.39227251934415</c:v>
                </c:pt>
                <c:pt idx="295">
                  <c:v>573.16571562315141</c:v>
                </c:pt>
                <c:pt idx="296">
                  <c:v>574.93915872695868</c:v>
                </c:pt>
                <c:pt idx="297">
                  <c:v>576.71260183076595</c:v>
                </c:pt>
                <c:pt idx="298">
                  <c:v>578.48604493457333</c:v>
                </c:pt>
                <c:pt idx="299">
                  <c:v>580.2594880383806</c:v>
                </c:pt>
                <c:pt idx="300">
                  <c:v>582.03293114218786</c:v>
                </c:pt>
                <c:pt idx="301">
                  <c:v>583.80637424599513</c:v>
                </c:pt>
                <c:pt idx="302">
                  <c:v>585.5798173498024</c:v>
                </c:pt>
                <c:pt idx="303">
                  <c:v>587.35326045360978</c:v>
                </c:pt>
                <c:pt idx="304">
                  <c:v>589.12670355741704</c:v>
                </c:pt>
                <c:pt idx="305">
                  <c:v>590.90014666122431</c:v>
                </c:pt>
                <c:pt idx="306">
                  <c:v>592.67358976503158</c:v>
                </c:pt>
                <c:pt idx="307">
                  <c:v>594.44703286883896</c:v>
                </c:pt>
                <c:pt idx="308">
                  <c:v>596.22047597264623</c:v>
                </c:pt>
                <c:pt idx="309">
                  <c:v>597.99391907645349</c:v>
                </c:pt>
                <c:pt idx="310">
                  <c:v>599.76736218026076</c:v>
                </c:pt>
                <c:pt idx="311">
                  <c:v>601.54080528406803</c:v>
                </c:pt>
                <c:pt idx="312">
                  <c:v>603.31424838787541</c:v>
                </c:pt>
                <c:pt idx="313">
                  <c:v>605.08769149168268</c:v>
                </c:pt>
                <c:pt idx="314">
                  <c:v>606.86113459548994</c:v>
                </c:pt>
                <c:pt idx="315">
                  <c:v>608.63457769929721</c:v>
                </c:pt>
                <c:pt idx="316">
                  <c:v>610.40802080310459</c:v>
                </c:pt>
                <c:pt idx="317">
                  <c:v>612.18146390691186</c:v>
                </c:pt>
                <c:pt idx="318">
                  <c:v>613.95490701071913</c:v>
                </c:pt>
                <c:pt idx="319">
                  <c:v>615.72835011452639</c:v>
                </c:pt>
                <c:pt idx="320">
                  <c:v>617.50179321833366</c:v>
                </c:pt>
                <c:pt idx="321">
                  <c:v>619.27523632214104</c:v>
                </c:pt>
                <c:pt idx="322">
                  <c:v>621.04867942594831</c:v>
                </c:pt>
                <c:pt idx="323">
                  <c:v>622.82212252975557</c:v>
                </c:pt>
                <c:pt idx="324">
                  <c:v>624.59556563356284</c:v>
                </c:pt>
                <c:pt idx="325">
                  <c:v>626.36900873737022</c:v>
                </c:pt>
                <c:pt idx="326">
                  <c:v>628.14245184117749</c:v>
                </c:pt>
                <c:pt idx="327">
                  <c:v>629.91589494498476</c:v>
                </c:pt>
                <c:pt idx="328">
                  <c:v>631.68933804879202</c:v>
                </c:pt>
                <c:pt idx="329">
                  <c:v>633.4627811525994</c:v>
                </c:pt>
                <c:pt idx="330">
                  <c:v>635.23622425640667</c:v>
                </c:pt>
                <c:pt idx="331">
                  <c:v>637.00966736021394</c:v>
                </c:pt>
                <c:pt idx="332">
                  <c:v>638.78311046402121</c:v>
                </c:pt>
                <c:pt idx="333">
                  <c:v>640.55655356782847</c:v>
                </c:pt>
                <c:pt idx="334">
                  <c:v>642.32999667163585</c:v>
                </c:pt>
                <c:pt idx="335">
                  <c:v>644.10343977544312</c:v>
                </c:pt>
                <c:pt idx="336">
                  <c:v>645.87688287925039</c:v>
                </c:pt>
                <c:pt idx="337">
                  <c:v>647.65032598305766</c:v>
                </c:pt>
                <c:pt idx="338">
                  <c:v>649.42376908686504</c:v>
                </c:pt>
                <c:pt idx="339">
                  <c:v>651.1972121906723</c:v>
                </c:pt>
                <c:pt idx="340">
                  <c:v>652.97065529447957</c:v>
                </c:pt>
                <c:pt idx="341">
                  <c:v>654.74409839828684</c:v>
                </c:pt>
                <c:pt idx="342">
                  <c:v>656.5175415020941</c:v>
                </c:pt>
                <c:pt idx="343">
                  <c:v>658.29098460590149</c:v>
                </c:pt>
                <c:pt idx="344">
                  <c:v>660.06442770970875</c:v>
                </c:pt>
                <c:pt idx="345">
                  <c:v>661.83787081351602</c:v>
                </c:pt>
                <c:pt idx="346">
                  <c:v>663.61131391732329</c:v>
                </c:pt>
                <c:pt idx="347">
                  <c:v>665.38475702113067</c:v>
                </c:pt>
                <c:pt idx="348">
                  <c:v>667.15820012493793</c:v>
                </c:pt>
                <c:pt idx="349">
                  <c:v>668.9316432287452</c:v>
                </c:pt>
                <c:pt idx="350">
                  <c:v>670.70508633255247</c:v>
                </c:pt>
                <c:pt idx="351">
                  <c:v>672.47852943635985</c:v>
                </c:pt>
                <c:pt idx="352">
                  <c:v>674.25197254016712</c:v>
                </c:pt>
                <c:pt idx="353">
                  <c:v>676.02541564397438</c:v>
                </c:pt>
                <c:pt idx="354">
                  <c:v>677.79885874778165</c:v>
                </c:pt>
                <c:pt idx="355">
                  <c:v>679.57230185158892</c:v>
                </c:pt>
                <c:pt idx="356">
                  <c:v>681.3457449553963</c:v>
                </c:pt>
                <c:pt idx="357">
                  <c:v>683.11918805920357</c:v>
                </c:pt>
                <c:pt idx="358">
                  <c:v>684.89263116301083</c:v>
                </c:pt>
                <c:pt idx="359">
                  <c:v>686.6660742668181</c:v>
                </c:pt>
                <c:pt idx="360">
                  <c:v>688.43951737062548</c:v>
                </c:pt>
                <c:pt idx="361">
                  <c:v>690.21296047443275</c:v>
                </c:pt>
                <c:pt idx="362">
                  <c:v>691.98640357824002</c:v>
                </c:pt>
                <c:pt idx="363">
                  <c:v>693.75984668204728</c:v>
                </c:pt>
                <c:pt idx="364">
                  <c:v>695.53328978585455</c:v>
                </c:pt>
                <c:pt idx="365">
                  <c:v>697.30673288966193</c:v>
                </c:pt>
                <c:pt idx="366">
                  <c:v>699.0801759934692</c:v>
                </c:pt>
                <c:pt idx="367">
                  <c:v>700.85361909727646</c:v>
                </c:pt>
                <c:pt idx="368">
                  <c:v>702.62706220108373</c:v>
                </c:pt>
                <c:pt idx="369">
                  <c:v>704.40050530489111</c:v>
                </c:pt>
                <c:pt idx="370">
                  <c:v>706.17394840869838</c:v>
                </c:pt>
                <c:pt idx="371">
                  <c:v>707.94739151250565</c:v>
                </c:pt>
                <c:pt idx="372">
                  <c:v>709.72083461631291</c:v>
                </c:pt>
                <c:pt idx="373">
                  <c:v>711.49427772012029</c:v>
                </c:pt>
                <c:pt idx="374">
                  <c:v>713.26772082392756</c:v>
                </c:pt>
                <c:pt idx="375">
                  <c:v>715.04116392773483</c:v>
                </c:pt>
                <c:pt idx="376">
                  <c:v>716.8146070315421</c:v>
                </c:pt>
                <c:pt idx="377">
                  <c:v>718.58805013534936</c:v>
                </c:pt>
                <c:pt idx="378">
                  <c:v>720.36149323915674</c:v>
                </c:pt>
                <c:pt idx="379">
                  <c:v>722.13493634296401</c:v>
                </c:pt>
                <c:pt idx="380">
                  <c:v>723.90837944677128</c:v>
                </c:pt>
                <c:pt idx="381">
                  <c:v>725.68182255057854</c:v>
                </c:pt>
                <c:pt idx="382">
                  <c:v>727.45526565438593</c:v>
                </c:pt>
                <c:pt idx="383">
                  <c:v>729.22870875819319</c:v>
                </c:pt>
                <c:pt idx="384">
                  <c:v>731.00215186200046</c:v>
                </c:pt>
                <c:pt idx="385">
                  <c:v>732.77559496580773</c:v>
                </c:pt>
                <c:pt idx="386">
                  <c:v>734.54903806961499</c:v>
                </c:pt>
                <c:pt idx="387">
                  <c:v>736.32248117342237</c:v>
                </c:pt>
                <c:pt idx="388">
                  <c:v>738.09592427722964</c:v>
                </c:pt>
                <c:pt idx="389">
                  <c:v>739.86936738103691</c:v>
                </c:pt>
                <c:pt idx="390">
                  <c:v>741.64281048484418</c:v>
                </c:pt>
                <c:pt idx="391">
                  <c:v>743.41625358865156</c:v>
                </c:pt>
                <c:pt idx="392">
                  <c:v>745.18969669245882</c:v>
                </c:pt>
                <c:pt idx="393">
                  <c:v>746.96313979626609</c:v>
                </c:pt>
                <c:pt idx="394">
                  <c:v>748.73658290007336</c:v>
                </c:pt>
                <c:pt idx="395">
                  <c:v>750.51002600388063</c:v>
                </c:pt>
                <c:pt idx="396">
                  <c:v>752.28346910768801</c:v>
                </c:pt>
                <c:pt idx="397">
                  <c:v>754.05691221149527</c:v>
                </c:pt>
                <c:pt idx="398">
                  <c:v>755.83035531530254</c:v>
                </c:pt>
                <c:pt idx="399">
                  <c:v>757.60379841910981</c:v>
                </c:pt>
                <c:pt idx="400">
                  <c:v>759.37724152291719</c:v>
                </c:pt>
                <c:pt idx="401">
                  <c:v>761.15068462672446</c:v>
                </c:pt>
                <c:pt idx="402">
                  <c:v>762.92412773053172</c:v>
                </c:pt>
                <c:pt idx="403">
                  <c:v>764.69757083433899</c:v>
                </c:pt>
                <c:pt idx="404">
                  <c:v>766.47101393814637</c:v>
                </c:pt>
                <c:pt idx="405">
                  <c:v>768.24445704195364</c:v>
                </c:pt>
                <c:pt idx="406">
                  <c:v>770.0179001457609</c:v>
                </c:pt>
                <c:pt idx="407">
                  <c:v>771.79134324956817</c:v>
                </c:pt>
                <c:pt idx="408">
                  <c:v>773.56478635337544</c:v>
                </c:pt>
                <c:pt idx="409">
                  <c:v>775.33822945718282</c:v>
                </c:pt>
                <c:pt idx="410">
                  <c:v>777.11167256099009</c:v>
                </c:pt>
                <c:pt idx="411">
                  <c:v>778.88511566479735</c:v>
                </c:pt>
                <c:pt idx="412">
                  <c:v>780.65855876860462</c:v>
                </c:pt>
                <c:pt idx="413">
                  <c:v>782.432001872412</c:v>
                </c:pt>
                <c:pt idx="414">
                  <c:v>784.20544497621927</c:v>
                </c:pt>
                <c:pt idx="415">
                  <c:v>785.97888808002654</c:v>
                </c:pt>
                <c:pt idx="416">
                  <c:v>787.7523311838338</c:v>
                </c:pt>
                <c:pt idx="417">
                  <c:v>789.52577428764107</c:v>
                </c:pt>
                <c:pt idx="418">
                  <c:v>791.29921739144845</c:v>
                </c:pt>
                <c:pt idx="419">
                  <c:v>793.07266049525572</c:v>
                </c:pt>
                <c:pt idx="420">
                  <c:v>794.84610359906299</c:v>
                </c:pt>
                <c:pt idx="421">
                  <c:v>796.61954670287025</c:v>
                </c:pt>
                <c:pt idx="422">
                  <c:v>798.39298980667763</c:v>
                </c:pt>
                <c:pt idx="423">
                  <c:v>800.1664329104849</c:v>
                </c:pt>
                <c:pt idx="424">
                  <c:v>801.93987601429217</c:v>
                </c:pt>
                <c:pt idx="425">
                  <c:v>803.71331911809943</c:v>
                </c:pt>
                <c:pt idx="426">
                  <c:v>805.48676222190682</c:v>
                </c:pt>
                <c:pt idx="427">
                  <c:v>807.26020532571408</c:v>
                </c:pt>
                <c:pt idx="428">
                  <c:v>809.03364842952135</c:v>
                </c:pt>
                <c:pt idx="429">
                  <c:v>810.80709153332862</c:v>
                </c:pt>
                <c:pt idx="430">
                  <c:v>812.58053463713588</c:v>
                </c:pt>
                <c:pt idx="431">
                  <c:v>814.35397774094326</c:v>
                </c:pt>
                <c:pt idx="432">
                  <c:v>816.12742084475053</c:v>
                </c:pt>
                <c:pt idx="433">
                  <c:v>817.9008639485578</c:v>
                </c:pt>
                <c:pt idx="434">
                  <c:v>819.67430705236507</c:v>
                </c:pt>
                <c:pt idx="435">
                  <c:v>821.44775015617245</c:v>
                </c:pt>
                <c:pt idx="436">
                  <c:v>823.22119325997971</c:v>
                </c:pt>
                <c:pt idx="437">
                  <c:v>824.99463636378698</c:v>
                </c:pt>
                <c:pt idx="438">
                  <c:v>826.76807946759425</c:v>
                </c:pt>
                <c:pt idx="439">
                  <c:v>828.54152257140152</c:v>
                </c:pt>
                <c:pt idx="440">
                  <c:v>830.3149656752089</c:v>
                </c:pt>
                <c:pt idx="441">
                  <c:v>832.08840877901616</c:v>
                </c:pt>
                <c:pt idx="442">
                  <c:v>833.86185188282343</c:v>
                </c:pt>
                <c:pt idx="443">
                  <c:v>835.6352949866307</c:v>
                </c:pt>
                <c:pt idx="444">
                  <c:v>837.40873809043808</c:v>
                </c:pt>
                <c:pt idx="445">
                  <c:v>839.18218119424535</c:v>
                </c:pt>
                <c:pt idx="446">
                  <c:v>840.95562429805261</c:v>
                </c:pt>
                <c:pt idx="447">
                  <c:v>842.72906740185988</c:v>
                </c:pt>
                <c:pt idx="448">
                  <c:v>844.50251050566726</c:v>
                </c:pt>
                <c:pt idx="449">
                  <c:v>846.27595360947453</c:v>
                </c:pt>
                <c:pt idx="450">
                  <c:v>848.04939671328179</c:v>
                </c:pt>
                <c:pt idx="451">
                  <c:v>849.82283981708906</c:v>
                </c:pt>
                <c:pt idx="452">
                  <c:v>851.59628292089633</c:v>
                </c:pt>
                <c:pt idx="453">
                  <c:v>853.36972602470371</c:v>
                </c:pt>
                <c:pt idx="454">
                  <c:v>855.14316912851098</c:v>
                </c:pt>
                <c:pt idx="455">
                  <c:v>856.91661223231824</c:v>
                </c:pt>
                <c:pt idx="456">
                  <c:v>858.69005533612551</c:v>
                </c:pt>
                <c:pt idx="457">
                  <c:v>860.46349843993289</c:v>
                </c:pt>
                <c:pt idx="458">
                  <c:v>862.23694154374016</c:v>
                </c:pt>
                <c:pt idx="459">
                  <c:v>864.01038464754743</c:v>
                </c:pt>
                <c:pt idx="460">
                  <c:v>865.78382775135469</c:v>
                </c:pt>
                <c:pt idx="461">
                  <c:v>867.55727085516196</c:v>
                </c:pt>
                <c:pt idx="462">
                  <c:v>869.33071395896934</c:v>
                </c:pt>
                <c:pt idx="463">
                  <c:v>871.10415706277661</c:v>
                </c:pt>
                <c:pt idx="464">
                  <c:v>872.87760016658387</c:v>
                </c:pt>
                <c:pt idx="465">
                  <c:v>874.65104327039114</c:v>
                </c:pt>
                <c:pt idx="466">
                  <c:v>876.42448637419852</c:v>
                </c:pt>
                <c:pt idx="467">
                  <c:v>878.19792947800579</c:v>
                </c:pt>
                <c:pt idx="468">
                  <c:v>879.97137258181306</c:v>
                </c:pt>
                <c:pt idx="469">
                  <c:v>881.74481568562032</c:v>
                </c:pt>
                <c:pt idx="470">
                  <c:v>883.51825878942759</c:v>
                </c:pt>
                <c:pt idx="471">
                  <c:v>885.29170189323497</c:v>
                </c:pt>
                <c:pt idx="472">
                  <c:v>887.06514499704224</c:v>
                </c:pt>
                <c:pt idx="473">
                  <c:v>888.83858810084951</c:v>
                </c:pt>
                <c:pt idx="474">
                  <c:v>890.61203120465677</c:v>
                </c:pt>
                <c:pt idx="475">
                  <c:v>892.38547430846415</c:v>
                </c:pt>
                <c:pt idx="476">
                  <c:v>894.15891741227142</c:v>
                </c:pt>
                <c:pt idx="477">
                  <c:v>895.93236051607869</c:v>
                </c:pt>
                <c:pt idx="478">
                  <c:v>897.70580361988596</c:v>
                </c:pt>
                <c:pt idx="479">
                  <c:v>899.47924672369334</c:v>
                </c:pt>
                <c:pt idx="480">
                  <c:v>901.2526898275006</c:v>
                </c:pt>
                <c:pt idx="481">
                  <c:v>903.02613293130787</c:v>
                </c:pt>
                <c:pt idx="482">
                  <c:v>904.79957603511514</c:v>
                </c:pt>
                <c:pt idx="483">
                  <c:v>906.5730191389224</c:v>
                </c:pt>
                <c:pt idx="484">
                  <c:v>908.34646224272979</c:v>
                </c:pt>
                <c:pt idx="485">
                  <c:v>910.11990534653705</c:v>
                </c:pt>
                <c:pt idx="486">
                  <c:v>911.89334845034432</c:v>
                </c:pt>
                <c:pt idx="487">
                  <c:v>913.66679155415159</c:v>
                </c:pt>
                <c:pt idx="488">
                  <c:v>915.44023465795897</c:v>
                </c:pt>
                <c:pt idx="489">
                  <c:v>917.21367776176623</c:v>
                </c:pt>
                <c:pt idx="490">
                  <c:v>918.9871208655735</c:v>
                </c:pt>
                <c:pt idx="491">
                  <c:v>920.76056396938077</c:v>
                </c:pt>
                <c:pt idx="492">
                  <c:v>922.53400707318804</c:v>
                </c:pt>
                <c:pt idx="493">
                  <c:v>924.30745017699542</c:v>
                </c:pt>
                <c:pt idx="494">
                  <c:v>926.08089328080268</c:v>
                </c:pt>
                <c:pt idx="495">
                  <c:v>927.85433638460995</c:v>
                </c:pt>
                <c:pt idx="496">
                  <c:v>929.62777948841722</c:v>
                </c:pt>
                <c:pt idx="497">
                  <c:v>931.4012225922246</c:v>
                </c:pt>
                <c:pt idx="498">
                  <c:v>933.17466569603187</c:v>
                </c:pt>
                <c:pt idx="499">
                  <c:v>934.94810879983913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11-491C-9CE7-BCD1A6474A31}"/>
            </c:ext>
          </c:extLst>
        </c:ser>
        <c:ser>
          <c:idx val="8"/>
          <c:order val="8"/>
          <c:tx>
            <c:v>Phosphorescence</c:v>
          </c:tx>
          <c:spPr>
            <a:ln w="28575">
              <a:noFill/>
            </a:ln>
          </c:spP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'LM-OSL'!$K$32:$K$1031</c:f>
              <c:numCache>
                <c:formatCode>General</c:formatCode>
                <c:ptCount val="1000"/>
                <c:pt idx="0">
                  <c:v>9083</c:v>
                </c:pt>
                <c:pt idx="1">
                  <c:v>8436.9379931350541</c:v>
                </c:pt>
                <c:pt idx="2">
                  <c:v>7836.8295386993022</c:v>
                </c:pt>
                <c:pt idx="3">
                  <c:v>7279.4060201227794</c:v>
                </c:pt>
                <c:pt idx="4">
                  <c:v>6761.6313132918549</c:v>
                </c:pt>
                <c:pt idx="5">
                  <c:v>6280.685249662416</c:v>
                </c:pt>
                <c:pt idx="6">
                  <c:v>5833.9482556203639</c:v>
                </c:pt>
                <c:pt idx="7">
                  <c:v>5418.987084424466</c:v>
                </c:pt>
                <c:pt idx="8">
                  <c:v>5033.5415630176076</c:v>
                </c:pt>
                <c:pt idx="9">
                  <c:v>4675.5122815201648</c:v>
                </c:pt>
                <c:pt idx="10">
                  <c:v>4342.9491583537429</c:v>
                </c:pt>
                <c:pt idx="11">
                  <c:v>4034.0408187128264</c:v>
                </c:pt>
                <c:pt idx="12">
                  <c:v>3747.1047285319696</c:v>
                </c:pt>
                <c:pt idx="13">
                  <c:v>3480.578030211097</c:v>
                </c:pt>
                <c:pt idx="14">
                  <c:v>3233.0090301837695</c:v>
                </c:pt>
                <c:pt idx="15">
                  <c:v>3003.0492919636854</c:v>
                </c:pt>
                <c:pt idx="16">
                  <c:v>2789.4462916025263</c:v>
                </c:pt>
                <c:pt idx="17">
                  <c:v>2591.0365955555476</c:v>
                </c:pt>
                <c:pt idx="18">
                  <c:v>2406.7395237967526</c:v>
                </c:pt>
                <c:pt idx="19">
                  <c:v>2235.5512636684566</c:v>
                </c:pt>
                <c:pt idx="20">
                  <c:v>2076.5394024050956</c:v>
                </c:pt>
                <c:pt idx="21">
                  <c:v>1928.8378485515259</c:v>
                </c:pt>
                <c:pt idx="22">
                  <c:v>1791.6421146142518</c:v>
                </c:pt>
                <c:pt idx="23">
                  <c:v>1664.2049352515482</c:v>
                </c:pt>
                <c:pt idx="24">
                  <c:v>1545.8321971360397</c:v>
                </c:pt>
                <c:pt idx="25">
                  <c:v>1435.8791583208733</c:v>
                </c:pt>
                <c:pt idx="26">
                  <c:v>1333.7469365174679</c:v>
                </c:pt>
                <c:pt idx="27">
                  <c:v>1238.8792471575155</c:v>
                </c:pt>
                <c:pt idx="28">
                  <c:v>1150.7593734723985</c:v>
                </c:pt>
                <c:pt idx="29">
                  <c:v>1068.9073520869281</c:v>
                </c:pt>
                <c:pt idx="30">
                  <c:v>992.87735879814966</c:v>
                </c:pt>
                <c:pt idx="31">
                  <c:v>922.25528030030762</c:v>
                </c:pt>
                <c:pt idx="32">
                  <c:v>856.65645862986742</c:v>
                </c:pt>
                <c:pt idx="33">
                  <c:v>795.72359604523353</c:v>
                </c:pt>
                <c:pt idx="34">
                  <c:v>739.12480892965789</c:v>
                </c:pt>
                <c:pt idx="35">
                  <c:v>686.5518201175073</c:v>
                </c:pt>
                <c:pt idx="36">
                  <c:v>637.71827979802026</c:v>
                </c:pt>
                <c:pt idx="37">
                  <c:v>592.3582058510018</c:v>
                </c:pt>
                <c:pt idx="38">
                  <c:v>550.22453511941353</c:v>
                </c:pt>
                <c:pt idx="39">
                  <c:v>511.08777772806928</c:v>
                </c:pt>
                <c:pt idx="40">
                  <c:v>474.73476711889379</c:v>
                </c:pt>
                <c:pt idx="41">
                  <c:v>440.96749899455216</c:v>
                </c:pt>
                <c:pt idx="42">
                  <c:v>409.60205284651323</c:v>
                </c:pt>
                <c:pt idx="43">
                  <c:v>380.46759019342289</c:v>
                </c:pt>
                <c:pt idx="44">
                  <c:v>353.40542407348102</c:v>
                </c:pt>
                <c:pt idx="45">
                  <c:v>328.26815472262007</c:v>
                </c:pt>
                <c:pt idx="46">
                  <c:v>304.91886673077289</c:v>
                </c:pt>
                <c:pt idx="47">
                  <c:v>283.23038330337357</c:v>
                </c:pt>
                <c:pt idx="48">
                  <c:v>263.08457356627065</c:v>
                </c:pt>
                <c:pt idx="49">
                  <c:v>244.37170914114313</c:v>
                </c:pt>
                <c:pt idx="50">
                  <c:v>226.98986648687213</c:v>
                </c:pt>
                <c:pt idx="51">
                  <c:v>210.84437175159582</c:v>
                </c:pt>
                <c:pt idx="52">
                  <c:v>195.84728511171755</c:v>
                </c:pt>
                <c:pt idx="53">
                  <c:v>181.91692178921096</c:v>
                </c:pt>
                <c:pt idx="54">
                  <c:v>168.9774071383433</c:v>
                </c:pt>
                <c:pt idx="55">
                  <c:v>156.95826337850264</c:v>
                </c:pt>
                <c:pt idx="56">
                  <c:v>145.79402572218291</c:v>
                </c:pt>
                <c:pt idx="57">
                  <c:v>135.42388580728775</c:v>
                </c:pt>
                <c:pt idx="58">
                  <c:v>125.79136049163141</c:v>
                </c:pt>
                <c:pt idx="59">
                  <c:v>116.84398420565815</c:v>
                </c:pt>
                <c:pt idx="60">
                  <c:v>108.53302318771216</c:v>
                </c:pt>
                <c:pt idx="61">
                  <c:v>100.81321004538331</c:v>
                </c:pt>
                <c:pt idx="62">
                  <c:v>93.642497197159415</c:v>
                </c:pt>
                <c:pt idx="63">
                  <c:v>86.981827851454071</c:v>
                </c:pt>
                <c:pt idx="64">
                  <c:v>80.794923275599004</c:v>
                </c:pt>
                <c:pt idx="65">
                  <c:v>75.048085196117256</c:v>
                </c:pt>
                <c:pt idx="66">
                  <c:v>69.710012254008376</c:v>
                </c:pt>
                <c:pt idx="67">
                  <c:v>64.751629515331231</c:v>
                </c:pt>
                <c:pt idx="68">
                  <c:v>60.145930108477735</c:v>
                </c:pt>
                <c:pt idx="69">
                  <c:v>55.867828125582015</c:v>
                </c:pt>
                <c:pt idx="70">
                  <c:v>51.894021986861404</c:v>
                </c:pt>
                <c:pt idx="71">
                  <c:v>48.202867523674612</c:v>
                </c:pt>
                <c:pt idx="72">
                  <c:v>44.774260089017524</c:v>
                </c:pt>
                <c:pt idx="73">
                  <c:v>41.589525053346094</c:v>
                </c:pt>
                <c:pt idx="74">
                  <c:v>38.631316089289641</c:v>
                </c:pt>
                <c:pt idx="75">
                  <c:v>35.883520691240491</c:v>
                </c:pt>
                <c:pt idx="76">
                  <c:v>33.331172415212457</c:v>
                </c:pt>
                <c:pt idx="77">
                  <c:v>30.96036936096456</c:v>
                </c:pt>
                <c:pt idx="78">
                  <c:v>28.758198452385376</c:v>
                </c:pt>
                <c:pt idx="79">
                  <c:v>26.712665103715505</c:v>
                </c:pt>
                <c:pt idx="80">
                  <c:v>24.81262788852035</c:v>
                </c:pt>
                <c:pt idx="81">
                  <c:v>23.04773785557412</c:v>
                </c:pt>
                <c:pt idx="82">
                  <c:v>21.408382161126323</c:v>
                </c:pt>
                <c:pt idx="83">
                  <c:v>19.885631710531918</c:v>
                </c:pt>
                <c:pt idx="84">
                  <c:v>18.471192524064499</c:v>
                </c:pt>
                <c:pt idx="85">
                  <c:v>17.15736056201607</c:v>
                </c:pt>
                <c:pt idx="86">
                  <c:v>15.936979763028781</c:v>
                </c:pt>
                <c:pt idx="87">
                  <c:v>14.803403067105803</c:v>
                </c:pt>
                <c:pt idx="88">
                  <c:v>13.75045621100484</c:v>
                </c:pt>
                <c:pt idx="89">
                  <c:v>12.772404098818301</c:v>
                </c:pt>
                <c:pt idx="90">
                  <c:v>11.863919564570519</c:v>
                </c:pt>
                <c:pt idx="91">
                  <c:v>11.020054356690885</c:v>
                </c:pt>
                <c:pt idx="92">
                  <c:v>10.236212186323772</c:v>
                </c:pt>
                <c:pt idx="93">
                  <c:v>9.5081236926772075</c:v>
                </c:pt>
                <c:pt idx="94">
                  <c:v>8.8318231890538286</c:v>
                </c:pt>
                <c:pt idx="95">
                  <c:v>8.2036270629064667</c:v>
                </c:pt>
                <c:pt idx="96">
                  <c:v>7.6201137122697853</c:v>
                </c:pt>
                <c:pt idx="97">
                  <c:v>7.0781049092874992</c:v>
                </c:pt>
                <c:pt idx="98">
                  <c:v>6.5746484893276946</c:v>
                </c:pt>
                <c:pt idx="99">
                  <c:v>6.1070022713989678</c:v>
                </c:pt>
                <c:pt idx="100">
                  <c:v>5.6726191222864726</c:v>
                </c:pt>
                <c:pt idx="101">
                  <c:v>5.2691330830566079</c:v>
                </c:pt>
                <c:pt idx="102">
                  <c:v>4.8943464823654237</c:v>
                </c:pt>
                <c:pt idx="103">
                  <c:v>4.5462179663806834</c:v>
                </c:pt>
                <c:pt idx="104">
                  <c:v>4.2228513801200469</c:v>
                </c:pt>
                <c:pt idx="105">
                  <c:v>3.92248543964523</c:v>
                </c:pt>
                <c:pt idx="106">
                  <c:v>3.6434841388596166</c:v>
                </c:pt>
                <c:pt idx="107">
                  <c:v>3.384327838657895</c:v>
                </c:pt>
                <c:pt idx="108">
                  <c:v>3.1436049898929252</c:v>
                </c:pt>
                <c:pt idx="109">
                  <c:v>2.920004445077236</c:v>
                </c:pt>
                <c:pt idx="110">
                  <c:v>2.7123083169432345</c:v>
                </c:pt>
                <c:pt idx="111">
                  <c:v>2.5193853449647201</c:v>
                </c:pt>
                <c:pt idx="112">
                  <c:v>2.3401847337091861</c:v>
                </c:pt>
                <c:pt idx="113">
                  <c:v>2.1737304294600523</c:v>
                </c:pt>
                <c:pt idx="114">
                  <c:v>2.0191158039354078</c:v>
                </c:pt>
                <c:pt idx="115">
                  <c:v>1.8754987161468744</c:v>
                </c:pt>
                <c:pt idx="116">
                  <c:v>1.7420969255020995</c:v>
                </c:pt>
                <c:pt idx="117">
                  <c:v>1.6181838311672845</c:v>
                </c:pt>
                <c:pt idx="118">
                  <c:v>1.5030845144833307</c:v>
                </c:pt>
                <c:pt idx="119">
                  <c:v>1.3961720628798173</c:v>
                </c:pt>
                <c:pt idx="120">
                  <c:v>1.2968641552641709</c:v>
                </c:pt>
                <c:pt idx="121">
                  <c:v>1.2046198902877125</c:v>
                </c:pt>
                <c:pt idx="122">
                  <c:v>1.1189368402129884</c:v>
                </c:pt>
                <c:pt idx="123">
                  <c:v>1.0393483143357327</c:v>
                </c:pt>
                <c:pt idx="124">
                  <c:v>0.96542081705603999</c:v>
                </c:pt>
                <c:pt idx="125">
                  <c:v>0.89675168675367145</c:v>
                </c:pt>
                <c:pt idx="126">
                  <c:v>0.83296690260706707</c:v>
                </c:pt>
                <c:pt idx="127">
                  <c:v>0.7737190474105029</c:v>
                </c:pt>
                <c:pt idx="128">
                  <c:v>0.71868541529339747</c:v>
                </c:pt>
                <c:pt idx="129">
                  <c:v>0.66756625403511005</c:v>
                </c:pt>
                <c:pt idx="130">
                  <c:v>0.62008313240159341</c:v>
                </c:pt>
                <c:pt idx="131">
                  <c:v>0.57597742361127313</c:v>
                </c:pt>
                <c:pt idx="132">
                  <c:v>0.53500889667004281</c:v>
                </c:pt>
                <c:pt idx="133">
                  <c:v>0.49695440790275758</c:v>
                </c:pt>
                <c:pt idx="134">
                  <c:v>0.46160668555441098</c:v>
                </c:pt>
                <c:pt idx="135">
                  <c:v>0.42877320084103854</c:v>
                </c:pt>
                <c:pt idx="136">
                  <c:v>0.39827511930131992</c:v>
                </c:pt>
                <c:pt idx="137">
                  <c:v>0.36994632673716832</c:v>
                </c:pt>
                <c:pt idx="138">
                  <c:v>0.34363252443791398</c:v>
                </c:pt>
                <c:pt idx="139">
                  <c:v>0.3191903887600071</c:v>
                </c:pt>
                <c:pt idx="140">
                  <c:v>0.2964867904847357</c:v>
                </c:pt>
                <c:pt idx="141">
                  <c:v>0.27539806970200786</c:v>
                </c:pt>
                <c:pt idx="142">
                  <c:v>0.25580936227071721</c:v>
                </c:pt>
                <c:pt idx="143">
                  <c:v>0.23761397418710392</c:v>
                </c:pt>
                <c:pt idx="144">
                  <c:v>0.22071280045348315</c:v>
                </c:pt>
                <c:pt idx="145">
                  <c:v>0.20501378528209072</c:v>
                </c:pt>
                <c:pt idx="146">
                  <c:v>0.19043142069392294</c:v>
                </c:pt>
                <c:pt idx="147">
                  <c:v>0.17688628078159693</c:v>
                </c:pt>
                <c:pt idx="148">
                  <c:v>0.16430458909948353</c:v>
                </c:pt>
                <c:pt idx="149">
                  <c:v>0.15261781682482414</c:v>
                </c:pt>
                <c:pt idx="150">
                  <c:v>0.14176230950112123</c:v>
                </c:pt>
                <c:pt idx="151">
                  <c:v>0.13167894033079175</c:v>
                </c:pt>
                <c:pt idx="152">
                  <c:v>0.1223127881286601</c:v>
                </c:pt>
                <c:pt idx="153">
                  <c:v>0.11361283818220541</c:v>
                </c:pt>
                <c:pt idx="154">
                  <c:v>0.10553170438922746</c:v>
                </c:pt>
                <c:pt idx="155">
                  <c:v>9.8025371159503452E-2</c:v>
                </c:pt>
                <c:pt idx="156">
                  <c:v>9.105295367464282E-2</c:v>
                </c:pt>
                <c:pt idx="157">
                  <c:v>8.4576475200347848E-2</c:v>
                </c:pt>
                <c:pt idx="158">
                  <c:v>7.8560660238165811E-2</c:v>
                </c:pt>
                <c:pt idx="159">
                  <c:v>7.2972742390086429E-2</c:v>
                </c:pt>
                <c:pt idx="160">
                  <c:v>6.7782285889483401E-2</c:v>
                </c:pt>
                <c:pt idx="161">
                  <c:v>6.2961019826326556E-2</c:v>
                </c:pt>
                <c:pt idx="162">
                  <c:v>5.8482684163741541E-2</c:v>
                </c:pt>
                <c:pt idx="163">
                  <c:v>5.432288670721E-2</c:v>
                </c:pt>
                <c:pt idx="164">
                  <c:v>5.0458970247366695E-2</c:v>
                </c:pt>
                <c:pt idx="165">
                  <c:v>4.6869889152755598E-2</c:v>
                </c:pt>
                <c:pt idx="166">
                  <c:v>4.3536094740384529E-2</c:v>
                </c:pt>
                <c:pt idx="167">
                  <c:v>4.0439428799722239E-2</c:v>
                </c:pt>
                <c:pt idx="168">
                  <c:v>3.756302469019665E-2</c:v>
                </c:pt>
                <c:pt idx="169">
                  <c:v>3.489121547349891E-2</c:v>
                </c:pt>
                <c:pt idx="170">
                  <c:v>3.2409448580317558E-2</c:v>
                </c:pt>
                <c:pt idx="171">
                  <c:v>3.010420654671787E-2</c:v>
                </c:pt>
                <c:pt idx="172">
                  <c:v>2.7962933388438714E-2</c:v>
                </c:pt>
                <c:pt idx="173">
                  <c:v>2.597396621209111E-2</c:v>
                </c:pt>
                <c:pt idx="174">
                  <c:v>2.4126471690762687E-2</c:v>
                </c:pt>
                <c:pt idx="175">
                  <c:v>2.2410387058030747E-2</c:v>
                </c:pt>
                <c:pt idx="176">
                  <c:v>2.0816365298993899E-2</c:v>
                </c:pt>
                <c:pt idx="177">
                  <c:v>1.9335724239795214E-2</c:v>
                </c:pt>
                <c:pt idx="178">
                  <c:v>1.7960399258340913E-2</c:v>
                </c:pt>
                <c:pt idx="179">
                  <c:v>1.6682899358644861E-2</c:v>
                </c:pt>
                <c:pt idx="180">
                  <c:v>1.5496266369547413E-2</c:v>
                </c:pt>
                <c:pt idx="181">
                  <c:v>1.4394037045576954E-2</c:v>
                </c:pt>
                <c:pt idx="182">
                  <c:v>1.3370207863527663E-2</c:v>
                </c:pt>
                <c:pt idx="183">
                  <c:v>1.2419202323011067E-2</c:v>
                </c:pt>
                <c:pt idx="184">
                  <c:v>1.1535840572877166E-2</c:v>
                </c:pt>
                <c:pt idx="185">
                  <c:v>1.0715311198068496E-2</c:v>
                </c:pt>
                <c:pt idx="186">
                  <c:v>9.9531450132389829E-3</c:v>
                </c:pt>
                <c:pt idx="187">
                  <c:v>9.2451907203983941E-3</c:v>
                </c:pt>
                <c:pt idx="188">
                  <c:v>8.5875922979972395E-3</c:v>
                </c:pt>
                <c:pt idx="189">
                  <c:v>7.9767679982964673E-3</c:v>
                </c:pt>
                <c:pt idx="190">
                  <c:v>7.4093908386272589E-3</c:v>
                </c:pt>
                <c:pt idx="191">
                  <c:v>6.8823704802819631E-3</c:v>
                </c:pt>
                <c:pt idx="192">
                  <c:v>6.3928363963362328E-3</c:v>
                </c:pt>
                <c:pt idx="193">
                  <c:v>5.9381222367219863E-3</c:v>
                </c:pt>
                <c:pt idx="194">
                  <c:v>5.5157513053924684E-3</c:v>
                </c:pt>
                <c:pt idx="195">
                  <c:v>5.1234230704778191E-3</c:v>
                </c:pt>
                <c:pt idx="196">
                  <c:v>4.7590006339556252E-3</c:v>
                </c:pt>
                <c:pt idx="197">
                  <c:v>4.4204990925876975E-3</c:v>
                </c:pt>
                <c:pt idx="198">
                  <c:v>4.1060747267281901E-3</c:v>
                </c:pt>
                <c:pt idx="199">
                  <c:v>3.8140149581178838E-3</c:v>
                </c:pt>
                <c:pt idx="200">
                  <c:v>3.5427290219674284E-3</c:v>
                </c:pt>
                <c:pt idx="201">
                  <c:v>3.2907393025233093E-3</c:v>
                </c:pt>
                <c:pt idx="202">
                  <c:v>3.0566732849236634E-3</c:v>
                </c:pt>
                <c:pt idx="203">
                  <c:v>2.8392560795082477E-3</c:v>
                </c:pt>
                <c:pt idx="204">
                  <c:v>2.6373034778644495E-3</c:v>
                </c:pt>
                <c:pt idx="205">
                  <c:v>2.4497155027878204E-3</c:v>
                </c:pt>
                <c:pt idx="206">
                  <c:v>2.27547041702549E-3</c:v>
                </c:pt>
                <c:pt idx="207">
                  <c:v>2.1136191581699005E-3</c:v>
                </c:pt>
                <c:pt idx="208">
                  <c:v>1.9632801693913664E-3</c:v>
                </c:pt>
                <c:pt idx="209">
                  <c:v>1.8236345978538621E-3</c:v>
                </c:pt>
                <c:pt idx="210">
                  <c:v>1.693921834661327E-3</c:v>
                </c:pt>
                <c:pt idx="211">
                  <c:v>1.5734353720417455E-3</c:v>
                </c:pt>
                <c:pt idx="212">
                  <c:v>1.4615189552044043E-3</c:v>
                </c:pt>
                <c:pt idx="213">
                  <c:v>1.3575630079105006E-3</c:v>
                </c:pt>
                <c:pt idx="214">
                  <c:v>1.2610013122883209E-3</c:v>
                </c:pt>
                <c:pt idx="215">
                  <c:v>1.1713079248088173E-3</c:v>
                </c:pt>
                <c:pt idx="216">
                  <c:v>1.0879943116238796E-3</c:v>
                </c:pt>
                <c:pt idx="217">
                  <c:v>1.0106066876642433E-3</c:v>
                </c:pt>
                <c:pt idx="218">
                  <c:v>9.3872354500394348E-4</c:v>
                </c:pt>
                <c:pt idx="219">
                  <c:v>8.7195335702897601E-4</c:v>
                </c:pt>
                <c:pt idx="220">
                  <c:v>8.0993244590547647E-4</c:v>
                </c:pt>
                <c:pt idx="221">
                  <c:v>7.5232300173210518E-4</c:v>
                </c:pt>
                <c:pt idx="222">
                  <c:v>6.9881124258758145E-4</c:v>
                </c:pt>
                <c:pt idx="223">
                  <c:v>6.4910570545162157E-4</c:v>
                </c:pt>
                <c:pt idx="224">
                  <c:v>6.0293565869046933E-4</c:v>
                </c:pt>
                <c:pt idx="225">
                  <c:v>5.600496274602583E-4</c:v>
                </c:pt>
                <c:pt idx="226">
                  <c:v>5.2021402399654105E-4</c:v>
                </c:pt>
                <c:pt idx="227">
                  <c:v>4.8321187532952603E-4</c:v>
                </c:pt>
                <c:pt idx="228">
                  <c:v>4.4884164149529109E-4</c:v>
                </c:pt>
                <c:pt idx="229">
                  <c:v>4.1691611780609071E-4</c:v>
                </c:pt>
                <c:pt idx="230">
                  <c:v>3.8726141520076772E-4</c:v>
                </c:pt>
                <c:pt idx="231">
                  <c:v>3.5971601312150214E-4</c:v>
                </c:pt>
                <c:pt idx="232">
                  <c:v>3.3412987975821502E-4</c:v>
                </c:pt>
                <c:pt idx="233">
                  <c:v>3.1036365486884722E-4</c:v>
                </c:pt>
                <c:pt idx="234">
                  <c:v>2.8828789072456575E-4</c:v>
                </c:pt>
                <c:pt idx="235">
                  <c:v>2.677823470455635E-4</c:v>
                </c:pt>
                <c:pt idx="236">
                  <c:v>2.4873533608715066E-4</c:v>
                </c:pt>
                <c:pt idx="237">
                  <c:v>2.3104311430902828E-4</c:v>
                </c:pt>
                <c:pt idx="238">
                  <c:v>2.1460931731433276E-4</c:v>
                </c:pt>
                <c:pt idx="239">
                  <c:v>1.9934443498074089E-4</c:v>
                </c:pt>
                <c:pt idx="240">
                  <c:v>1.8516532392481028E-4</c:v>
                </c:pt>
                <c:pt idx="241">
                  <c:v>1.7199475464410387E-4</c:v>
                </c:pt>
                <c:pt idx="242">
                  <c:v>1.5976099087050322E-4</c:v>
                </c:pt>
                <c:pt idx="243">
                  <c:v>1.4839739884358143E-4</c:v>
                </c:pt>
                <c:pt idx="244">
                  <c:v>1.3784208437584797E-4</c:v>
                </c:pt>
                <c:pt idx="245">
                  <c:v>1.2803755573307483E-4</c:v>
                </c:pt>
                <c:pt idx="246">
                  <c:v>1.1893041049350754E-4</c:v>
                </c:pt>
                <c:pt idx="247">
                  <c:v>1.1047104468037222E-4</c:v>
                </c:pt>
                <c:pt idx="248">
                  <c:v>1.0261338258341426E-4</c:v>
                </c:pt>
                <c:pt idx="249">
                  <c:v>9.531462579787625E-5</c:v>
                </c:pt>
                <c:pt idx="250">
                  <c:v>8.8535020114010248E-5</c:v>
                </c:pt>
                <c:pt idx="251">
                  <c:v>8.2237638987434612E-5</c:v>
                </c:pt>
                <c:pt idx="252">
                  <c:v>7.6388182410966771E-5</c:v>
                </c:pt>
                <c:pt idx="253">
                  <c:v>7.0954790092438169E-5</c:v>
                </c:pt>
                <c:pt idx="254">
                  <c:v>6.5907867920930971E-5</c:v>
                </c:pt>
                <c:pt idx="255">
                  <c:v>6.1219926776244545E-5</c:v>
                </c:pt>
                <c:pt idx="256">
                  <c:v>5.6865432803637911E-5</c:v>
                </c:pt>
                <c:pt idx="257">
                  <c:v>5.2820668338333236E-5</c:v>
                </c:pt>
                <c:pt idx="258">
                  <c:v>4.9063602722279991E-5</c:v>
                </c:pt>
                <c:pt idx="259">
                  <c:v>4.5573772309555174E-5</c:v>
                </c:pt>
                <c:pt idx="260">
                  <c:v>4.233216900682286E-5</c:v>
                </c:pt>
                <c:pt idx="261">
                  <c:v>3.9321136741767891E-5</c:v>
                </c:pt>
                <c:pt idx="262">
                  <c:v>3.6524275295593963E-5</c:v>
                </c:pt>
                <c:pt idx="263">
                  <c:v>3.392635097579232E-5</c:v>
                </c:pt>
                <c:pt idx="264">
                  <c:v>3.1513213642639713E-5</c:v>
                </c:pt>
                <c:pt idx="265">
                  <c:v>2.9271719637495178E-5</c:v>
                </c:pt>
                <c:pt idx="266">
                  <c:v>2.7189660193105842E-5</c:v>
                </c:pt>
                <c:pt idx="267">
                  <c:v>2.5255694935995496E-5</c:v>
                </c:pt>
                <c:pt idx="268">
                  <c:v>2.3459290118741476E-5</c:v>
                </c:pt>
                <c:pt idx="269">
                  <c:v>2.1790661245710398E-5</c:v>
                </c:pt>
                <c:pt idx="270">
                  <c:v>2.024071977975003E-5</c:v>
                </c:pt>
                <c:pt idx="271">
                  <c:v>1.8801023639565466E-5</c:v>
                </c:pt>
                <c:pt idx="272">
                  <c:v>1.7463731218152656E-5</c:v>
                </c:pt>
                <c:pt idx="273">
                  <c:v>1.6221558671840888E-5</c:v>
                </c:pt>
                <c:pt idx="274">
                  <c:v>1.5067740247310765E-5</c:v>
                </c:pt>
                <c:pt idx="275">
                  <c:v>1.3995991430499425E-5</c:v>
                </c:pt>
                <c:pt idx="276">
                  <c:v>1.30004747166766E-5</c:v>
                </c:pt>
                <c:pt idx="277">
                  <c:v>1.2075767815250513E-5</c:v>
                </c:pt>
                <c:pt idx="278">
                  <c:v>1.1216834116125119E-5</c:v>
                </c:pt>
                <c:pt idx="279">
                  <c:v>1.0418995256746604E-5</c:v>
                </c:pt>
                <c:pt idx="280">
                  <c:v>9.6779056404205182E-6</c:v>
                </c:pt>
                <c:pt idx="281">
                  <c:v>8.9895287671077679E-6</c:v>
                </c:pt>
                <c:pt idx="282">
                  <c:v>8.3501152477806872E-6</c:v>
                </c:pt>
                <c:pt idx="283">
                  <c:v>7.7561823825891404E-6</c:v>
                </c:pt>
                <c:pt idx="284">
                  <c:v>7.2044951916053103E-6</c:v>
                </c:pt>
                <c:pt idx="285">
                  <c:v>6.6920487948270195E-6</c:v>
                </c:pt>
                <c:pt idx="286">
                  <c:v>6.2160520454684237E-6</c:v>
                </c:pt>
                <c:pt idx="287">
                  <c:v>5.7739123273937435E-6</c:v>
                </c:pt>
                <c:pt idx="288">
                  <c:v>5.3632214338895835E-6</c:v>
                </c:pt>
                <c:pt idx="289">
                  <c:v>4.9817424508619853E-6</c:v>
                </c:pt>
                <c:pt idx="290">
                  <c:v>4.6273975730145541E-6</c:v>
                </c:pt>
                <c:pt idx="291">
                  <c:v>4.2982567866461961E-6</c:v>
                </c:pt>
                <c:pt idx="292">
                  <c:v>3.9925273574266051E-6</c:v>
                </c:pt>
                <c:pt idx="293">
                  <c:v>3.7085440658927357E-6</c:v>
                </c:pt>
                <c:pt idx="294">
                  <c:v>3.4447601374816629E-6</c:v>
                </c:pt>
                <c:pt idx="295">
                  <c:v>3.1997388176985749E-6</c:v>
                </c:pt>
                <c:pt idx="296">
                  <c:v>2.9721455465319966E-6</c:v>
                </c:pt>
                <c:pt idx="297">
                  <c:v>2.7607406894927811E-6</c:v>
                </c:pt>
                <c:pt idx="298">
                  <c:v>2.564372785684859E-6</c:v>
                </c:pt>
                <c:pt idx="299">
                  <c:v>2.381972276131911E-6</c:v>
                </c:pt>
                <c:pt idx="300">
                  <c:v>2.2125456782001195E-6</c:v>
                </c:pt>
                <c:pt idx="301">
                  <c:v>2.0551701743865836E-6</c:v>
                </c:pt>
                <c:pt idx="302">
                  <c:v>1.9089885860002433E-6</c:v>
                </c:pt>
                <c:pt idx="303">
                  <c:v>1.7732047043583186E-6</c:v>
                </c:pt>
                <c:pt idx="304">
                  <c:v>1.6470789540687545E-6</c:v>
                </c:pt>
                <c:pt idx="305">
                  <c:v>1.5299243647776959E-6</c:v>
                </c:pt>
                <c:pt idx="306">
                  <c:v>1.421102829441373E-6</c:v>
                </c:pt>
                <c:pt idx="307">
                  <c:v>1.3200216287422257E-6</c:v>
                </c:pt>
                <c:pt idx="308">
                  <c:v>1.2261302027188473E-6</c:v>
                </c:pt>
                <c:pt idx="309">
                  <c:v>1.1389171520256547E-6</c:v>
                </c:pt>
                <c:pt idx="310">
                  <c:v>1.0579074524890906E-6</c:v>
                </c:pt>
                <c:pt idx="311">
                  <c:v>9.8265986778883091E-7</c:v>
                </c:pt>
                <c:pt idx="312">
                  <c:v>9.1276454617160072E-7</c:v>
                </c:pt>
                <c:pt idx="313">
                  <c:v>8.4784078810765704E-7</c:v>
                </c:pt>
                <c:pt idx="314">
                  <c:v>7.8753497273093172E-7</c:v>
                </c:pt>
                <c:pt idx="315">
                  <c:v>7.3151863176882029E-7</c:v>
                </c:pt>
                <c:pt idx="316">
                  <c:v>6.7948666047082751E-7</c:v>
                </c:pt>
                <c:pt idx="317">
                  <c:v>6.3115565579156442E-7</c:v>
                </c:pt>
                <c:pt idx="318">
                  <c:v>5.8626237277660648E-7</c:v>
                </c:pt>
                <c:pt idx="319">
                  <c:v>5.4456229074363875E-7</c:v>
                </c:pt>
                <c:pt idx="320">
                  <c:v>5.058282814492635E-7</c:v>
                </c:pt>
                <c:pt idx="321">
                  <c:v>4.6984937198739391E-7</c:v>
                </c:pt>
                <c:pt idx="322">
                  <c:v>4.3642959568106193E-7</c:v>
                </c:pt>
                <c:pt idx="323">
                  <c:v>4.0538692470880973E-7</c:v>
                </c:pt>
                <c:pt idx="324">
                  <c:v>3.765522786519813E-7</c:v>
                </c:pt>
                <c:pt idx="325">
                  <c:v>3.4976860356275196E-7</c:v>
                </c:pt>
                <c:pt idx="326">
                  <c:v>3.2489001653686811E-7</c:v>
                </c:pt>
                <c:pt idx="327">
                  <c:v>3.0178101113180405E-7</c:v>
                </c:pt>
                <c:pt idx="328">
                  <c:v>2.8031571930250331E-7</c:v>
                </c:pt>
                <c:pt idx="329">
                  <c:v>2.6037722583466579E-7</c:v>
                </c:pt>
                <c:pt idx="330">
                  <c:v>2.4185693154151675E-7</c:v>
                </c:pt>
                <c:pt idx="331">
                  <c:v>2.2465396175555266E-7</c:v>
                </c:pt>
                <c:pt idx="332">
                  <c:v>2.0867461689350842E-7</c:v>
                </c:pt>
                <c:pt idx="333">
                  <c:v>1.9383186210192026E-7</c:v>
                </c:pt>
                <c:pt idx="334">
                  <c:v>1.8004485320354558E-7</c:v>
                </c:pt>
                <c:pt idx="335">
                  <c:v>1.6723849636259122E-7</c:v>
                </c:pt>
                <c:pt idx="336">
                  <c:v>1.553430390703868E-7</c:v>
                </c:pt>
                <c:pt idx="337">
                  <c:v>1.4429369022371606E-7</c:v>
                </c:pt>
                <c:pt idx="338">
                  <c:v>1.3403026722648129E-7</c:v>
                </c:pt>
                <c:pt idx="339">
                  <c:v>1.2449686819257329E-7</c:v>
                </c:pt>
                <c:pt idx="340">
                  <c:v>1.1564156746452138E-7</c:v>
                </c:pt>
                <c:pt idx="341">
                  <c:v>1.0741613278950938E-7</c:v>
                </c:pt>
                <c:pt idx="342">
                  <c:v>9.9775762612292327E-8</c:v>
                </c:pt>
                <c:pt idx="343">
                  <c:v>9.2678842054131071E-8</c:v>
                </c:pt>
                <c:pt idx="344">
                  <c:v>8.6086716248624959E-8</c:v>
                </c:pt>
                <c:pt idx="345">
                  <c:v>7.9963479799874801E-8</c:v>
                </c:pt>
                <c:pt idx="346">
                  <c:v>7.4275781216211667E-8</c:v>
                </c:pt>
                <c:pt idx="347">
                  <c:v>6.8992641254303956E-8</c:v>
                </c:pt>
                <c:pt idx="348">
                  <c:v>6.4085284184209343E-8</c:v>
                </c:pt>
                <c:pt idx="349">
                  <c:v>5.9526981056326372E-8</c:v>
                </c:pt>
                <c:pt idx="350">
                  <c:v>5.5292904116564121E-8</c:v>
                </c:pt>
                <c:pt idx="351">
                  <c:v>5.1359991576771235E-8</c:v>
                </c:pt>
                <c:pt idx="352">
                  <c:v>4.770682200387067E-8</c:v>
                </c:pt>
                <c:pt idx="353">
                  <c:v>4.43134976435305E-8</c:v>
                </c:pt>
                <c:pt idx="354">
                  <c:v>4.1161536042871758E-8</c:v>
                </c:pt>
                <c:pt idx="355">
                  <c:v>3.8233769381911531E-8</c:v>
                </c:pt>
                <c:pt idx="356">
                  <c:v>3.5514250965431348E-8</c:v>
                </c:pt>
                <c:pt idx="357">
                  <c:v>3.2988168365956262E-8</c:v>
                </c:pt>
                <c:pt idx="358">
                  <c:v>3.0641762744761985E-8</c:v>
                </c:pt>
                <c:pt idx="359">
                  <c:v>2.8462253911473349E-8</c:v>
                </c:pt>
                <c:pt idx="360">
                  <c:v>2.6437770714077518E-8</c:v>
                </c:pt>
                <c:pt idx="361">
                  <c:v>2.4557286380204087E-8</c:v>
                </c:pt>
                <c:pt idx="362">
                  <c:v>2.2810558457496613E-8</c:v>
                </c:pt>
                <c:pt idx="363">
                  <c:v>2.1188073025947575E-8</c:v>
                </c:pt>
                <c:pt idx="364">
                  <c:v>1.9680992878337224E-8</c:v>
                </c:pt>
                <c:pt idx="365">
                  <c:v>1.8281109386531278E-8</c:v>
                </c:pt>
                <c:pt idx="366">
                  <c:v>1.6980797791465759E-8</c:v>
                </c:pt>
                <c:pt idx="367">
                  <c:v>1.5772975673297553E-8</c:v>
                </c:pt>
                <c:pt idx="368">
                  <c:v>1.465106437551899E-8</c:v>
                </c:pt>
                <c:pt idx="369">
                  <c:v>1.3608953172925639E-8</c:v>
                </c:pt>
                <c:pt idx="370">
                  <c:v>1.2640965988269523E-8</c:v>
                </c:pt>
                <c:pt idx="371">
                  <c:v>1.1741830476313932E-8</c:v>
                </c:pt>
                <c:pt idx="372">
                  <c:v>1.0906649306899044E-8</c:v>
                </c:pt>
                <c:pt idx="373">
                  <c:v>1.013087349060625E-8</c:v>
                </c:pt>
                <c:pt idx="374">
                  <c:v>9.4102776017329686E-9</c:v>
                </c:pt>
                <c:pt idx="375">
                  <c:v>8.740936763625305E-9</c:v>
                </c:pt>
                <c:pt idx="376">
                  <c:v>8.1192052710141461E-9</c:v>
                </c:pt>
                <c:pt idx="377">
                  <c:v>7.5416967329166134E-9</c:v>
                </c:pt>
                <c:pt idx="378">
                  <c:v>7.0052656279474435E-9</c:v>
                </c:pt>
                <c:pt idx="379">
                  <c:v>6.506990171576884E-9</c:v>
                </c:pt>
                <c:pt idx="380">
                  <c:v>6.0441564020184469E-9</c:v>
                </c:pt>
                <c:pt idx="381">
                  <c:v>5.6142433980667024E-9</c:v>
                </c:pt>
                <c:pt idx="382">
                  <c:v>5.2149095483713062E-9</c:v>
                </c:pt>
                <c:pt idx="383">
                  <c:v>4.8439797973595307E-9</c:v>
                </c:pt>
                <c:pt idx="384">
                  <c:v>4.4994337983398911E-9</c:v>
                </c:pt>
                <c:pt idx="385">
                  <c:v>4.1793949092601446E-9</c:v>
                </c:pt>
                <c:pt idx="386">
                  <c:v>3.8821199711826626E-9</c:v>
                </c:pt>
                <c:pt idx="387">
                  <c:v>3.6059898138037368E-9</c:v>
                </c:pt>
                <c:pt idx="388">
                  <c:v>3.349500436302843E-9</c:v>
                </c:pt>
                <c:pt idx="389">
                  <c:v>3.1112548154867309E-9</c:v>
                </c:pt>
                <c:pt idx="390">
                  <c:v>2.889955296609531E-9</c:v>
                </c:pt>
                <c:pt idx="391">
                  <c:v>2.6843965254240687E-9</c:v>
                </c:pt>
                <c:pt idx="392">
                  <c:v>2.4934588829670854E-9</c:v>
                </c:pt>
                <c:pt idx="393">
                  <c:v>2.3161023873197355E-9</c:v>
                </c:pt>
                <c:pt idx="394">
                  <c:v>2.1513610291278941E-9</c:v>
                </c:pt>
                <c:pt idx="395">
                  <c:v>1.9983375100296427E-9</c:v>
                </c:pt>
                <c:pt idx="396">
                  <c:v>1.8561983553314964E-9</c:v>
                </c:pt>
                <c:pt idx="397">
                  <c:v>1.724169374313673E-9</c:v>
                </c:pt>
                <c:pt idx="398">
                  <c:v>1.601531443437957E-9</c:v>
                </c:pt>
                <c:pt idx="399">
                  <c:v>1.487616589490489E-9</c:v>
                </c:pt>
                <c:pt idx="400">
                  <c:v>1.3818043513255853E-9</c:v>
                </c:pt>
                <c:pt idx="401">
                  <c:v>1.2835184003939403E-9</c:v>
                </c:pt>
                <c:pt idx="402">
                  <c:v>1.1922234016483095E-9</c:v>
                </c:pt>
                <c:pt idx="403">
                  <c:v>1.1074220977288703E-9</c:v>
                </c:pt>
                <c:pt idx="404">
                  <c:v>1.0286526005467378E-9</c:v>
                </c:pt>
                <c:pt idx="405">
                  <c:v>9.5548587551359035E-10</c:v>
                </c:pt>
                <c:pt idx="406">
                  <c:v>8.8752340471480169E-10</c:v>
                </c:pt>
                <c:pt idx="407">
                  <c:v>8.2439501629801656E-10</c:v>
                </c:pt>
                <c:pt idx="408">
                  <c:v>7.6575686825453286E-10</c:v>
                </c:pt>
                <c:pt idx="409">
                  <c:v>7.112895756116677E-10</c:v>
                </c:pt>
                <c:pt idx="410">
                  <c:v>6.6069647083551507E-10</c:v>
                </c:pt>
                <c:pt idx="411">
                  <c:v>6.1370198796899918E-10</c:v>
                </c:pt>
                <c:pt idx="412">
                  <c:v>5.7005016170407985E-10</c:v>
                </c:pt>
                <c:pt idx="413">
                  <c:v>5.2950323321302747E-10</c:v>
                </c:pt>
                <c:pt idx="414">
                  <c:v>4.9184035514508847E-10</c:v>
                </c:pt>
                <c:pt idx="415">
                  <c:v>4.5685638873507071E-10</c:v>
                </c:pt>
                <c:pt idx="416">
                  <c:v>4.2436078647202384E-10</c:v>
                </c:pt>
                <c:pt idx="417">
                  <c:v>3.9417655424226434E-10</c:v>
                </c:pt>
                <c:pt idx="418">
                  <c:v>3.6613928729380359E-10</c:v>
                </c:pt>
                <c:pt idx="419">
                  <c:v>3.4009627477138511E-10</c:v>
                </c:pt>
                <c:pt idx="420">
                  <c:v>3.1590566794477551E-10</c:v>
                </c:pt>
                <c:pt idx="421">
                  <c:v>2.934357075999098E-10</c:v>
                </c:pt>
                <c:pt idx="422">
                  <c:v>2.7256400638469067E-10</c:v>
                </c:pt>
                <c:pt idx="423">
                  <c:v>2.5317688220060561E-10</c:v>
                </c:pt>
                <c:pt idx="424">
                  <c:v>2.3516873900933319E-10</c:v>
                </c:pt>
                <c:pt idx="425">
                  <c:v>2.1844149168176853E-10</c:v>
                </c:pt>
                <c:pt idx="426">
                  <c:v>2.0290403175679912E-10</c:v>
                </c:pt>
                <c:pt idx="427">
                  <c:v>1.8847173119995801E-10</c:v>
                </c:pt>
                <c:pt idx="428">
                  <c:v>1.7506598145908485E-10</c:v>
                </c:pt>
                <c:pt idx="429">
                  <c:v>1.6261376530635569E-10</c:v>
                </c:pt>
                <c:pt idx="430">
                  <c:v>1.5104725913464033E-10</c:v>
                </c:pt>
                <c:pt idx="431">
                  <c:v>1.4030346354199734E-10</c:v>
                </c:pt>
                <c:pt idx="432">
                  <c:v>1.303238601922184E-10</c:v>
                </c:pt>
                <c:pt idx="433">
                  <c:v>1.2105409308243394E-10</c:v>
                </c:pt>
                <c:pt idx="434">
                  <c:v>1.124436724817454E-10</c:v>
                </c:pt>
                <c:pt idx="435">
                  <c:v>1.0444569992831351E-10</c:v>
                </c:pt>
                <c:pt idx="436">
                  <c:v>9.7016612787049519E-11</c:v>
                </c:pt>
                <c:pt idx="437">
                  <c:v>9.0115946976585891E-11</c:v>
                </c:pt>
                <c:pt idx="438">
                  <c:v>8.3706116573169765E-11</c:v>
                </c:pt>
                <c:pt idx="439">
                  <c:v>7.7752209091046147E-11</c:v>
                </c:pt>
                <c:pt idx="440">
                  <c:v>7.2221795324279156E-11</c:v>
                </c:pt>
                <c:pt idx="441">
                  <c:v>6.7084752714283157E-11</c:v>
                </c:pt>
                <c:pt idx="442">
                  <c:v>6.2313101280987027E-11</c:v>
                </c:pt>
                <c:pt idx="443">
                  <c:v>5.7880851224004353E-11</c:v>
                </c:pt>
                <c:pt idx="444">
                  <c:v>5.3763861363734408E-11</c:v>
                </c:pt>
                <c:pt idx="445">
                  <c:v>4.9939707651363674E-11</c:v>
                </c:pt>
                <c:pt idx="446">
                  <c:v>4.6387561031580672E-11</c:v>
                </c:pt>
                <c:pt idx="447">
                  <c:v>4.3088073992757526E-11</c:v>
                </c:pt>
                <c:pt idx="448">
                  <c:v>4.0023275186668509E-11</c:v>
                </c:pt>
                <c:pt idx="449">
                  <c:v>3.7176471543774388E-11</c:v>
                </c:pt>
                <c:pt idx="450">
                  <c:v>3.4532157350916447E-11</c:v>
                </c:pt>
                <c:pt idx="451">
                  <c:v>3.2075929796197809E-11</c:v>
                </c:pt>
                <c:pt idx="452">
                  <c:v>2.9794410521047428E-11</c:v>
                </c:pt>
                <c:pt idx="453">
                  <c:v>2.7675172752184043E-11</c:v>
                </c:pt>
                <c:pt idx="454">
                  <c:v>2.5706673616588946E-11</c:v>
                </c:pt>
                <c:pt idx="455">
                  <c:v>2.3878191270826996E-11</c:v>
                </c:pt>
                <c:pt idx="456">
                  <c:v>2.2179766502277595E-11</c:v>
                </c:pt>
                <c:pt idx="457">
                  <c:v>2.0602148484193533E-11</c:v>
                </c:pt>
                <c:pt idx="458">
                  <c:v>1.9136744389133773E-11</c:v>
                </c:pt>
                <c:pt idx="459">
                  <c:v>1.7775572586325737E-11</c:v>
                </c:pt>
                <c:pt idx="460">
                  <c:v>1.6511219168039353E-11</c:v>
                </c:pt>
                <c:pt idx="461">
                  <c:v>1.5336797568183514E-11</c:v>
                </c:pt>
                <c:pt idx="462">
                  <c:v>1.4245911053179423E-11</c:v>
                </c:pt>
                <c:pt idx="463">
                  <c:v>1.3232617880809424E-11</c:v>
                </c:pt>
                <c:pt idx="464">
                  <c:v>1.2291398937271739E-11</c:v>
                </c:pt>
                <c:pt idx="465">
                  <c:v>1.1417127676169594E-11</c:v>
                </c:pt>
                <c:pt idx="466">
                  <c:v>1.0605042195700639E-11</c:v>
                </c:pt>
                <c:pt idx="467">
                  <c:v>9.8507193019604813E-12</c:v>
                </c:pt>
                <c:pt idx="468">
                  <c:v>9.1500504170889719E-12</c:v>
                </c:pt>
                <c:pt idx="469">
                  <c:v>8.49921920103921E-12</c:v>
                </c:pt>
                <c:pt idx="470">
                  <c:v>7.8946807650809878E-12</c:v>
                </c:pt>
                <c:pt idx="471">
                  <c:v>7.3331423638207923E-12</c:v>
                </c:pt>
                <c:pt idx="472">
                  <c:v>6.811545460573356E-12</c:v>
                </c:pt>
                <c:pt idx="473">
                  <c:v>6.3270490684001239E-12</c:v>
                </c:pt>
                <c:pt idx="474">
                  <c:v>5.8770142760778061E-12</c:v>
                </c:pt>
                <c:pt idx="475">
                  <c:v>5.4589898747151719E-12</c:v>
                </c:pt>
                <c:pt idx="476">
                  <c:v>5.0706990067294919E-12</c:v>
                </c:pt>
                <c:pt idx="477">
                  <c:v>4.7100267644641852E-12</c:v>
                </c:pt>
                <c:pt idx="478">
                  <c:v>4.375008670900675E-12</c:v>
                </c:pt>
                <c:pt idx="479">
                  <c:v>4.0638199797222464E-12</c:v>
                </c:pt>
                <c:pt idx="480">
                  <c:v>3.7747657364505037E-12</c:v>
                </c:pt>
                <c:pt idx="481">
                  <c:v>3.5062715465202744E-12</c:v>
                </c:pt>
                <c:pt idx="482">
                  <c:v>3.2568750000094125E-12</c:v>
                </c:pt>
                <c:pt idx="483">
                  <c:v>3.0252177063163186E-12</c:v>
                </c:pt>
                <c:pt idx="484">
                  <c:v>2.8100378954007498E-12</c:v>
                </c:pt>
                <c:pt idx="485">
                  <c:v>2.6101635452885431E-12</c:v>
                </c:pt>
                <c:pt idx="486">
                  <c:v>2.4245059984081231E-12</c:v>
                </c:pt>
                <c:pt idx="487">
                  <c:v>2.2520540319886945E-12</c:v>
                </c:pt>
                <c:pt idx="488">
                  <c:v>2.0918683502233169E-12</c:v>
                </c:pt>
                <c:pt idx="489">
                  <c:v>1.9430764681972737E-12</c:v>
                </c:pt>
                <c:pt idx="490">
                  <c:v>1.8048679597159797E-12</c:v>
                </c:pt>
                <c:pt idx="491">
                  <c:v>1.6764900431487385E-12</c:v>
                </c:pt>
                <c:pt idx="492">
                  <c:v>1.5572434812456467E-12</c:v>
                </c:pt>
                <c:pt idx="493">
                  <c:v>1.4464787725953189E-12</c:v>
                </c:pt>
                <c:pt idx="494">
                  <c:v>1.3435926139791694E-12</c:v>
                </c:pt>
                <c:pt idx="495">
                  <c:v>1.2480246143539014E-12</c:v>
                </c:pt>
                <c:pt idx="496">
                  <c:v>1.1592542425641471E-12</c:v>
                </c:pt>
                <c:pt idx="497">
                  <c:v>1.0767979921603484E-12</c:v>
                </c:pt>
                <c:pt idx="498">
                  <c:v>1.0002067478794647E-12</c:v>
                </c:pt>
                <c:pt idx="499">
                  <c:v>9.2906333944449683E-13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11-491C-9CE7-BCD1A6474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2928"/>
        <c:axId val="191213504"/>
      </c:scatterChart>
      <c:valAx>
        <c:axId val="1912129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213504"/>
        <c:crosses val="autoZero"/>
        <c:crossBetween val="midCat"/>
      </c:valAx>
      <c:valAx>
        <c:axId val="191213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LM-OSL</a:t>
                </a:r>
                <a:r>
                  <a:rPr lang="en-US" baseline="0"/>
                  <a:t> Intensity (a.u.)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212928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'LM-OSL'!$AB$31</c:f>
              <c:strCache>
                <c:ptCount val="1"/>
                <c:pt idx="0">
                  <c:v>(EXPER.-THER.)</c:v>
                </c:pt>
              </c:strCache>
            </c:strRef>
          </c:tx>
          <c:spPr>
            <a:ln w="28575">
              <a:noFill/>
            </a:ln>
          </c:spP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'LM-OSL'!$AB$32:$AB$1031</c:f>
              <c:numCache>
                <c:formatCode>General</c:formatCode>
                <c:ptCount val="1000"/>
                <c:pt idx="0">
                  <c:v>0</c:v>
                </c:pt>
                <c:pt idx="1">
                  <c:v>72.169976081517234</c:v>
                </c:pt>
                <c:pt idx="2">
                  <c:v>731.76408319667462</c:v>
                </c:pt>
                <c:pt idx="3">
                  <c:v>884.5066029112495</c:v>
                </c:pt>
                <c:pt idx="4">
                  <c:v>556.95391337377077</c:v>
                </c:pt>
                <c:pt idx="5">
                  <c:v>22.800657232422964</c:v>
                </c:pt>
                <c:pt idx="6">
                  <c:v>-298.97213579001254</c:v>
                </c:pt>
                <c:pt idx="7">
                  <c:v>-503.72276027846237</c:v>
                </c:pt>
                <c:pt idx="8">
                  <c:v>-846.68517148692627</c:v>
                </c:pt>
                <c:pt idx="9">
                  <c:v>-1253.6663280420034</c:v>
                </c:pt>
                <c:pt idx="10">
                  <c:v>-809.24662019196694</c:v>
                </c:pt>
                <c:pt idx="11">
                  <c:v>-625.22602782577451</c:v>
                </c:pt>
                <c:pt idx="12">
                  <c:v>-491.64359852298367</c:v>
                </c:pt>
                <c:pt idx="13">
                  <c:v>-78.215628962127084</c:v>
                </c:pt>
                <c:pt idx="14">
                  <c:v>21.626945903233718</c:v>
                </c:pt>
                <c:pt idx="15">
                  <c:v>-225.51993072552432</c:v>
                </c:pt>
                <c:pt idx="16">
                  <c:v>292.63639570374653</c:v>
                </c:pt>
                <c:pt idx="17">
                  <c:v>442.32943819777938</c:v>
                </c:pt>
                <c:pt idx="18">
                  <c:v>144.66181577242969</c:v>
                </c:pt>
                <c:pt idx="19">
                  <c:v>425.87256333260302</c:v>
                </c:pt>
                <c:pt idx="20">
                  <c:v>560.26335594883494</c:v>
                </c:pt>
                <c:pt idx="21">
                  <c:v>448.88369141128351</c:v>
                </c:pt>
                <c:pt idx="22">
                  <c:v>258.9472788906678</c:v>
                </c:pt>
                <c:pt idx="23">
                  <c:v>272.88885672139804</c:v>
                </c:pt>
                <c:pt idx="24">
                  <c:v>-3.0513283664986375</c:v>
                </c:pt>
                <c:pt idx="25">
                  <c:v>223.17315276931186</c:v>
                </c:pt>
                <c:pt idx="26">
                  <c:v>135.73300389058022</c:v>
                </c:pt>
                <c:pt idx="27">
                  <c:v>82.476746410311534</c:v>
                </c:pt>
                <c:pt idx="28">
                  <c:v>-183.34534165612422</c:v>
                </c:pt>
                <c:pt idx="29">
                  <c:v>-157.23686009934863</c:v>
                </c:pt>
                <c:pt idx="30">
                  <c:v>-158.52790445060782</c:v>
                </c:pt>
                <c:pt idx="31">
                  <c:v>-185.39208334833711</c:v>
                </c:pt>
                <c:pt idx="32">
                  <c:v>-210.82764914198742</c:v>
                </c:pt>
                <c:pt idx="33">
                  <c:v>-205.61666210677504</c:v>
                </c:pt>
                <c:pt idx="34">
                  <c:v>-263.27183440933914</c:v>
                </c:pt>
                <c:pt idx="35">
                  <c:v>-134.97759759904693</c:v>
                </c:pt>
                <c:pt idx="36">
                  <c:v>-399.52971830948445</c:v>
                </c:pt>
                <c:pt idx="37">
                  <c:v>-256.27622168585549</c:v>
                </c:pt>
                <c:pt idx="38">
                  <c:v>-240.06129400226564</c:v>
                </c:pt>
                <c:pt idx="39">
                  <c:v>-352.17309168252541</c:v>
                </c:pt>
                <c:pt idx="40">
                  <c:v>-353.29588464045264</c:v>
                </c:pt>
                <c:pt idx="41">
                  <c:v>-234.46663518463356</c:v>
                </c:pt>
                <c:pt idx="42">
                  <c:v>-130.03590734941918</c:v>
                </c:pt>
                <c:pt idx="43">
                  <c:v>-188.63287790169124</c:v>
                </c:pt>
                <c:pt idx="44">
                  <c:v>-232.13415277554122</c:v>
                </c:pt>
                <c:pt idx="45">
                  <c:v>-75.636062525655689</c:v>
                </c:pt>
                <c:pt idx="46">
                  <c:v>-344.43010445363052</c:v>
                </c:pt>
                <c:pt idx="47">
                  <c:v>-124.98120828526771</c:v>
                </c:pt>
                <c:pt idx="48">
                  <c:v>-165.90852046731743</c:v>
                </c:pt>
                <c:pt idx="49">
                  <c:v>-2.9684251376911561</c:v>
                </c:pt>
                <c:pt idx="50">
                  <c:v>-212.03954484657515</c:v>
                </c:pt>
                <c:pt idx="51">
                  <c:v>-4.1094893925765064</c:v>
                </c:pt>
                <c:pt idx="52">
                  <c:v>-30.263145586958672</c:v>
                </c:pt>
                <c:pt idx="53">
                  <c:v>-96.672323729741947</c:v>
                </c:pt>
                <c:pt idx="54">
                  <c:v>-34.586597739771605</c:v>
                </c:pt>
                <c:pt idx="55">
                  <c:v>-187.32519509494432</c:v>
                </c:pt>
                <c:pt idx="56">
                  <c:v>24.730189994049397</c:v>
                </c:pt>
                <c:pt idx="57">
                  <c:v>14.141771356386016</c:v>
                </c:pt>
                <c:pt idx="58">
                  <c:v>48.421331112445841</c:v>
                </c:pt>
                <c:pt idx="59">
                  <c:v>103.03525089271625</c:v>
                </c:pt>
                <c:pt idx="60">
                  <c:v>-1.5910110783497657</c:v>
                </c:pt>
                <c:pt idx="61">
                  <c:v>-24.068931427052121</c:v>
                </c:pt>
                <c:pt idx="62">
                  <c:v>18.956635867869409</c:v>
                </c:pt>
                <c:pt idx="63">
                  <c:v>111.81063627535332</c:v>
                </c:pt>
                <c:pt idx="64">
                  <c:v>109.79065495883606</c:v>
                </c:pt>
                <c:pt idx="65">
                  <c:v>58.169459189426561</c:v>
                </c:pt>
                <c:pt idx="66">
                  <c:v>100.19727690955187</c:v>
                </c:pt>
                <c:pt idx="67">
                  <c:v>74.103841297707731</c:v>
                </c:pt>
                <c:pt idx="68">
                  <c:v>254.10021992072598</c:v>
                </c:pt>
                <c:pt idx="69">
                  <c:v>58.38049821626737</c:v>
                </c:pt>
                <c:pt idx="70">
                  <c:v>164.1232191447325</c:v>
                </c:pt>
                <c:pt idx="71">
                  <c:v>138.49275754123755</c:v>
                </c:pt>
                <c:pt idx="72">
                  <c:v>-51.359477499976492</c:v>
                </c:pt>
                <c:pt idx="73">
                  <c:v>145.70605162646643</c:v>
                </c:pt>
                <c:pt idx="74">
                  <c:v>228.81800106306855</c:v>
                </c:pt>
                <c:pt idx="75">
                  <c:v>273.09504223833937</c:v>
                </c:pt>
                <c:pt idx="76">
                  <c:v>-55.353324956340657</c:v>
                </c:pt>
                <c:pt idx="77">
                  <c:v>166.57396605035319</c:v>
                </c:pt>
                <c:pt idx="78">
                  <c:v>196.97021941777803</c:v>
                </c:pt>
                <c:pt idx="79">
                  <c:v>142.92158729682615</c:v>
                </c:pt>
                <c:pt idx="80">
                  <c:v>145.50762578706326</c:v>
                </c:pt>
                <c:pt idx="81">
                  <c:v>46.801801847324896</c:v>
                </c:pt>
                <c:pt idx="82">
                  <c:v>-61.128044021910682</c:v>
                </c:pt>
                <c:pt idx="83">
                  <c:v>1.7807249795878306</c:v>
                </c:pt>
                <c:pt idx="84">
                  <c:v>0.58592863435751497</c:v>
                </c:pt>
                <c:pt idx="85">
                  <c:v>33.340923759448742</c:v>
                </c:pt>
                <c:pt idx="86">
                  <c:v>89.094928715544484</c:v>
                </c:pt>
                <c:pt idx="87">
                  <c:v>80.893321142259083</c:v>
                </c:pt>
                <c:pt idx="88">
                  <c:v>83.777911406253224</c:v>
                </c:pt>
                <c:pt idx="89">
                  <c:v>-34.212806002833531</c:v>
                </c:pt>
                <c:pt idx="90">
                  <c:v>-58.043421117860817</c:v>
                </c:pt>
                <c:pt idx="91">
                  <c:v>-1.6813953702076105</c:v>
                </c:pt>
                <c:pt idx="92">
                  <c:v>36.903134935907474</c:v>
                </c:pt>
                <c:pt idx="93">
                  <c:v>206.73754002351961</c:v>
                </c:pt>
                <c:pt idx="94">
                  <c:v>150.84686424725987</c:v>
                </c:pt>
                <c:pt idx="95">
                  <c:v>3.2539811039823689</c:v>
                </c:pt>
                <c:pt idx="96">
                  <c:v>41.979736736996529</c:v>
                </c:pt>
                <c:pt idx="97">
                  <c:v>49.043082918343316</c:v>
                </c:pt>
                <c:pt idx="98">
                  <c:v>5.4612004011632962</c:v>
                </c:pt>
                <c:pt idx="99">
                  <c:v>61.24961345106658</c:v>
                </c:pt>
                <c:pt idx="100">
                  <c:v>160.42229629069789</c:v>
                </c:pt>
                <c:pt idx="101">
                  <c:v>-141.00822787574907</c:v>
                </c:pt>
                <c:pt idx="102">
                  <c:v>68.969205348064861</c:v>
                </c:pt>
                <c:pt idx="103">
                  <c:v>141.36448749856027</c:v>
                </c:pt>
                <c:pt idx="104">
                  <c:v>-83.813682560653433</c:v>
                </c:pt>
                <c:pt idx="105">
                  <c:v>-2.5577237554180101</c:v>
                </c:pt>
                <c:pt idx="106">
                  <c:v>77.138897195234676</c:v>
                </c:pt>
                <c:pt idx="107">
                  <c:v>-7.7182687317199452</c:v>
                </c:pt>
                <c:pt idx="108">
                  <c:v>-30.124591534365209</c:v>
                </c:pt>
                <c:pt idx="109">
                  <c:v>-39.076304700339278</c:v>
                </c:pt>
                <c:pt idx="110">
                  <c:v>108.42954872464543</c:v>
                </c:pt>
                <c:pt idx="111">
                  <c:v>35.395166779027932</c:v>
                </c:pt>
                <c:pt idx="112">
                  <c:v>-50.177963819511206</c:v>
                </c:pt>
                <c:pt idx="113">
                  <c:v>23.710977095681301</c:v>
                </c:pt>
                <c:pt idx="114">
                  <c:v>-107.93781471231432</c:v>
                </c:pt>
                <c:pt idx="115">
                  <c:v>-112.12472817266553</c:v>
                </c:pt>
                <c:pt idx="116">
                  <c:v>19.149300539132128</c:v>
                </c:pt>
                <c:pt idx="117">
                  <c:v>51.882823338435628</c:v>
                </c:pt>
                <c:pt idx="118">
                  <c:v>-56.926086396290884</c:v>
                </c:pt>
                <c:pt idx="119">
                  <c:v>-64.279802284054313</c:v>
                </c:pt>
                <c:pt idx="120">
                  <c:v>-21.181115113233318</c:v>
                </c:pt>
                <c:pt idx="121">
                  <c:v>160.36679538681256</c:v>
                </c:pt>
                <c:pt idx="122">
                  <c:v>-11.639612722748097</c:v>
                </c:pt>
                <c:pt idx="123">
                  <c:v>77.795781739013364</c:v>
                </c:pt>
                <c:pt idx="124">
                  <c:v>27.668787086959128</c:v>
                </c:pt>
                <c:pt idx="125">
                  <c:v>-70.025078450672481</c:v>
                </c:pt>
                <c:pt idx="126">
                  <c:v>-103.29056511333511</c:v>
                </c:pt>
                <c:pt idx="127">
                  <c:v>78.867328918602652</c:v>
                </c:pt>
                <c:pt idx="128">
                  <c:v>-111.556622978218</c:v>
                </c:pt>
                <c:pt idx="129">
                  <c:v>-57.567857342685784</c:v>
                </c:pt>
                <c:pt idx="130">
                  <c:v>-60.172003018135911</c:v>
                </c:pt>
                <c:pt idx="131">
                  <c:v>-91.374864407610403</c:v>
                </c:pt>
                <c:pt idx="132">
                  <c:v>190.81759445091939</c:v>
                </c:pt>
                <c:pt idx="133">
                  <c:v>-112.60073496762561</c:v>
                </c:pt>
                <c:pt idx="134">
                  <c:v>-76.636091264665993</c:v>
                </c:pt>
                <c:pt idx="135">
                  <c:v>21.705170592823379</c:v>
                </c:pt>
                <c:pt idx="136">
                  <c:v>14.416592317629693</c:v>
                </c:pt>
                <c:pt idx="137">
                  <c:v>69.491624714227328</c:v>
                </c:pt>
                <c:pt idx="138">
                  <c:v>-127.07636051277768</c:v>
                </c:pt>
                <c:pt idx="139">
                  <c:v>69.705940474279487</c:v>
                </c:pt>
                <c:pt idx="140">
                  <c:v>6.83177432953471</c:v>
                </c:pt>
                <c:pt idx="141">
                  <c:v>25.29434068196224</c:v>
                </c:pt>
                <c:pt idx="142">
                  <c:v>-35.913198208513677</c:v>
                </c:pt>
                <c:pt idx="143">
                  <c:v>-115.79770827567791</c:v>
                </c:pt>
                <c:pt idx="144">
                  <c:v>-33.366074932406264</c:v>
                </c:pt>
                <c:pt idx="145">
                  <c:v>33.374805202264724</c:v>
                </c:pt>
                <c:pt idx="146">
                  <c:v>1.4180321521507722</c:v>
                </c:pt>
                <c:pt idx="147">
                  <c:v>45.756710025870234</c:v>
                </c:pt>
                <c:pt idx="148">
                  <c:v>-18.616045932351881</c:v>
                </c:pt>
                <c:pt idx="149">
                  <c:v>-31.707102667945037</c:v>
                </c:pt>
                <c:pt idx="150">
                  <c:v>-60.523303003067667</c:v>
                </c:pt>
                <c:pt idx="151">
                  <c:v>-122.07145967186443</c:v>
                </c:pt>
                <c:pt idx="152">
                  <c:v>9.6416503089521939</c:v>
                </c:pt>
                <c:pt idx="153">
                  <c:v>-14.390709053432147</c:v>
                </c:pt>
                <c:pt idx="154">
                  <c:v>-43.175227732666826</c:v>
                </c:pt>
                <c:pt idx="155">
                  <c:v>39.281455012022889</c:v>
                </c:pt>
                <c:pt idx="156">
                  <c:v>-206.02724495800612</c:v>
                </c:pt>
                <c:pt idx="157">
                  <c:v>-29.107852533542427</c:v>
                </c:pt>
                <c:pt idx="158">
                  <c:v>-98.966829499076994</c:v>
                </c:pt>
                <c:pt idx="159">
                  <c:v>51.389429066342018</c:v>
                </c:pt>
                <c:pt idx="160">
                  <c:v>-31.045401861793835</c:v>
                </c:pt>
                <c:pt idx="161">
                  <c:v>-70.277574145477047</c:v>
                </c:pt>
                <c:pt idx="162">
                  <c:v>103.68673639132339</c:v>
                </c:pt>
                <c:pt idx="163">
                  <c:v>-149.15856738597722</c:v>
                </c:pt>
                <c:pt idx="164">
                  <c:v>-30.819501487238995</c:v>
                </c:pt>
                <c:pt idx="165">
                  <c:v>-39.301998570384058</c:v>
                </c:pt>
                <c:pt idx="166">
                  <c:v>-44.611905914739509</c:v>
                </c:pt>
                <c:pt idx="167">
                  <c:v>-66.754983587401512</c:v>
                </c:pt>
                <c:pt idx="168">
                  <c:v>3.2630972045280942</c:v>
                </c:pt>
                <c:pt idx="169">
                  <c:v>-0.56324441705874051</c:v>
                </c:pt>
                <c:pt idx="170">
                  <c:v>38.760502295822334</c:v>
                </c:pt>
                <c:pt idx="171">
                  <c:v>135.22894084914424</c:v>
                </c:pt>
                <c:pt idx="172">
                  <c:v>128.83676848011692</c:v>
                </c:pt>
                <c:pt idx="173">
                  <c:v>-73.421223021809965</c:v>
                </c:pt>
                <c:pt idx="174">
                  <c:v>-37.550146639958257</c:v>
                </c:pt>
                <c:pt idx="175">
                  <c:v>56.444980404668058</c:v>
                </c:pt>
                <c:pt idx="176">
                  <c:v>-113.4407629454663</c:v>
                </c:pt>
                <c:pt idx="177">
                  <c:v>-16.212915803237593</c:v>
                </c:pt>
                <c:pt idx="178">
                  <c:v>-72.87475075920338</c:v>
                </c:pt>
                <c:pt idx="179">
                  <c:v>-56.431641295452209</c:v>
                </c:pt>
                <c:pt idx="180">
                  <c:v>58.111877771416403</c:v>
                </c:pt>
                <c:pt idx="181">
                  <c:v>162.75136798171479</c:v>
                </c:pt>
                <c:pt idx="182">
                  <c:v>78.482486948307269</c:v>
                </c:pt>
                <c:pt idx="183">
                  <c:v>-109.69901202356323</c:v>
                </c:pt>
                <c:pt idx="184">
                  <c:v>-88.797280407281505</c:v>
                </c:pt>
                <c:pt idx="185">
                  <c:v>-0.81637501186742156</c:v>
                </c:pt>
                <c:pt idx="186">
                  <c:v>65.239741379758925</c:v>
                </c:pt>
                <c:pt idx="187">
                  <c:v>91.367199295832506</c:v>
                </c:pt>
                <c:pt idx="188">
                  <c:v>-123.4377782113479</c:v>
                </c:pt>
                <c:pt idx="189">
                  <c:v>23.821123579679806</c:v>
                </c:pt>
                <c:pt idx="190">
                  <c:v>-85.85968985888303</c:v>
                </c:pt>
                <c:pt idx="191">
                  <c:v>27.516276718108202</c:v>
                </c:pt>
                <c:pt idx="192">
                  <c:v>73.94560729558907</c:v>
                </c:pt>
                <c:pt idx="193">
                  <c:v>-152.57502648629179</c:v>
                </c:pt>
                <c:pt idx="194">
                  <c:v>42.951133535644658</c:v>
                </c:pt>
                <c:pt idx="195">
                  <c:v>54.520930871473865</c:v>
                </c:pt>
                <c:pt idx="196">
                  <c:v>-25.868706838283288</c:v>
                </c:pt>
                <c:pt idx="197">
                  <c:v>129.77923092400306</c:v>
                </c:pt>
                <c:pt idx="198">
                  <c:v>-59.538163733791407</c:v>
                </c:pt>
                <c:pt idx="199">
                  <c:v>10.176281569340972</c:v>
                </c:pt>
                <c:pt idx="200">
                  <c:v>0.91981814328573819</c:v>
                </c:pt>
                <c:pt idx="201">
                  <c:v>-14.310225141548472</c:v>
                </c:pt>
                <c:pt idx="202">
                  <c:v>52.483556756214966</c:v>
                </c:pt>
                <c:pt idx="203">
                  <c:v>-47.701356358982594</c:v>
                </c:pt>
                <c:pt idx="204">
                  <c:v>92.132588656770167</c:v>
                </c:pt>
                <c:pt idx="205">
                  <c:v>26.983016850199419</c:v>
                </c:pt>
                <c:pt idx="206">
                  <c:v>85.84762372361638</c:v>
                </c:pt>
                <c:pt idx="207">
                  <c:v>68.724173779482953</c:v>
                </c:pt>
                <c:pt idx="208">
                  <c:v>52.610499059113863</c:v>
                </c:pt>
                <c:pt idx="209">
                  <c:v>-27.495502322370157</c:v>
                </c:pt>
                <c:pt idx="210">
                  <c:v>134.40413235732376</c:v>
                </c:pt>
                <c:pt idx="211">
                  <c:v>42.307428961373262</c:v>
                </c:pt>
                <c:pt idx="212">
                  <c:v>28.212475029828056</c:v>
                </c:pt>
                <c:pt idx="213">
                  <c:v>8.1174183196617378</c:v>
                </c:pt>
                <c:pt idx="214">
                  <c:v>-28.979534649407469</c:v>
                </c:pt>
                <c:pt idx="215">
                  <c:v>-40.080120041704504</c:v>
                </c:pt>
                <c:pt idx="216">
                  <c:v>32.813981856522332</c:v>
                </c:pt>
                <c:pt idx="217">
                  <c:v>-30.298854790407859</c:v>
                </c:pt>
                <c:pt idx="218">
                  <c:v>-10.420202783429886</c:v>
                </c:pt>
                <c:pt idx="219">
                  <c:v>66.448416708455625</c:v>
                </c:pt>
                <c:pt idx="220">
                  <c:v>127.30553275952389</c:v>
                </c:pt>
                <c:pt idx="221">
                  <c:v>64.149723313948925</c:v>
                </c:pt>
                <c:pt idx="222">
                  <c:v>122.97961382875837</c:v>
                </c:pt>
                <c:pt idx="223">
                  <c:v>-142.20612406593955</c:v>
                </c:pt>
                <c:pt idx="224">
                  <c:v>16.591226111433571</c:v>
                </c:pt>
                <c:pt idx="225">
                  <c:v>81.37042439128345</c:v>
                </c:pt>
                <c:pt idx="226">
                  <c:v>-63.869726930030993</c:v>
                </c:pt>
                <c:pt idx="227">
                  <c:v>135.86961544727637</c:v>
                </c:pt>
                <c:pt idx="228">
                  <c:v>-26.412665415015908</c:v>
                </c:pt>
                <c:pt idx="229">
                  <c:v>-66.717647913027577</c:v>
                </c:pt>
                <c:pt idx="230">
                  <c:v>53.953626901427015</c:v>
                </c:pt>
                <c:pt idx="231">
                  <c:v>87.600154145557099</c:v>
                </c:pt>
                <c:pt idx="232">
                  <c:v>-49.779036046767033</c:v>
                </c:pt>
                <c:pt idx="233">
                  <c:v>-139.1848796541517</c:v>
                </c:pt>
                <c:pt idx="234">
                  <c:v>79.381720126697473</c:v>
                </c:pt>
                <c:pt idx="235">
                  <c:v>37.919891799117067</c:v>
                </c:pt>
                <c:pt idx="236">
                  <c:v>74.428794508545252</c:v>
                </c:pt>
                <c:pt idx="237">
                  <c:v>54.907617008680973</c:v>
                </c:pt>
                <c:pt idx="238">
                  <c:v>12.355576651798401</c:v>
                </c:pt>
                <c:pt idx="239">
                  <c:v>-103.22808159669148</c:v>
                </c:pt>
                <c:pt idx="240">
                  <c:v>76.155913880577828</c:v>
                </c:pt>
                <c:pt idx="241">
                  <c:v>-4.493139584020355</c:v>
                </c:pt>
                <c:pt idx="242">
                  <c:v>-89.175919855851134</c:v>
                </c:pt>
                <c:pt idx="243">
                  <c:v>-86.893080886678035</c:v>
                </c:pt>
                <c:pt idx="244">
                  <c:v>-126.64525357928051</c:v>
                </c:pt>
                <c:pt idx="245">
                  <c:v>-4.4330466282881389</c:v>
                </c:pt>
                <c:pt idx="246">
                  <c:v>-103.25704733726889</c:v>
                </c:pt>
                <c:pt idx="247">
                  <c:v>-49.117822412355963</c:v>
                </c:pt>
                <c:pt idx="248">
                  <c:v>52.984081267392867</c:v>
                </c:pt>
                <c:pt idx="249">
                  <c:v>-17.951864097321049</c:v>
                </c:pt>
                <c:pt idx="250">
                  <c:v>69.073832049410157</c:v>
                </c:pt>
                <c:pt idx="251">
                  <c:v>-149.93932208336628</c:v>
                </c:pt>
                <c:pt idx="252">
                  <c:v>119.00819868666531</c:v>
                </c:pt>
                <c:pt idx="253">
                  <c:v>-76.084064142905845</c:v>
                </c:pt>
                <c:pt idx="254">
                  <c:v>65.783446604336859</c:v>
                </c:pt>
                <c:pt idx="255">
                  <c:v>-36.389696831601213</c:v>
                </c:pt>
                <c:pt idx="256">
                  <c:v>0.3960922584783475</c:v>
                </c:pt>
                <c:pt idx="257">
                  <c:v>52.140414479078572</c:v>
                </c:pt>
                <c:pt idx="258">
                  <c:v>26.842883776203962</c:v>
                </c:pt>
                <c:pt idx="259">
                  <c:v>17.503126903306111</c:v>
                </c:pt>
                <c:pt idx="260">
                  <c:v>-5.8792170934475507</c:v>
                </c:pt>
                <c:pt idx="261">
                  <c:v>-51.304497370963873</c:v>
                </c:pt>
                <c:pt idx="262">
                  <c:v>-129.77305176647678</c:v>
                </c:pt>
                <c:pt idx="263">
                  <c:v>-78.285207256682042</c:v>
                </c:pt>
                <c:pt idx="264">
                  <c:v>-109.84128039915504</c:v>
                </c:pt>
                <c:pt idx="265">
                  <c:v>15.558422243540008</c:v>
                </c:pt>
                <c:pt idx="266">
                  <c:v>18.913603696591963</c:v>
                </c:pt>
                <c:pt idx="267">
                  <c:v>25.223976182185652</c:v>
                </c:pt>
                <c:pt idx="268">
                  <c:v>60.489260744750936</c:v>
                </c:pt>
                <c:pt idx="269">
                  <c:v>-31.290813108134898</c:v>
                </c:pt>
                <c:pt idx="270">
                  <c:v>-162.1165077496571</c:v>
                </c:pt>
                <c:pt idx="271">
                  <c:v>-51.988077762877765</c:v>
                </c:pt>
                <c:pt idx="272">
                  <c:v>-123.90577025548828</c:v>
                </c:pt>
                <c:pt idx="273">
                  <c:v>-149.86982516057924</c:v>
                </c:pt>
                <c:pt idx="274">
                  <c:v>-58.880475523885252</c:v>
                </c:pt>
                <c:pt idx="275">
                  <c:v>-10.937947777872068</c:v>
                </c:pt>
                <c:pt idx="276">
                  <c:v>-57.042462003084438</c:v>
                </c:pt>
                <c:pt idx="277">
                  <c:v>-55.194232177150298</c:v>
                </c:pt>
                <c:pt idx="278">
                  <c:v>-5.3934664118478395</c:v>
                </c:pt>
                <c:pt idx="279">
                  <c:v>15.359632821403466</c:v>
                </c:pt>
                <c:pt idx="280">
                  <c:v>-59.935131522785468</c:v>
                </c:pt>
                <c:pt idx="281">
                  <c:v>-29.277951267300068</c:v>
                </c:pt>
                <c:pt idx="282">
                  <c:v>16.330986794383989</c:v>
                </c:pt>
                <c:pt idx="283">
                  <c:v>-28.108499284854133</c:v>
                </c:pt>
                <c:pt idx="284">
                  <c:v>4.4034132208803385</c:v>
                </c:pt>
                <c:pt idx="285">
                  <c:v>-12.13344845349684</c:v>
                </c:pt>
                <c:pt idx="286">
                  <c:v>-48.719252719061387</c:v>
                </c:pt>
                <c:pt idx="287">
                  <c:v>-1.3541637792236543</c:v>
                </c:pt>
                <c:pt idx="288">
                  <c:v>22.96165823225283</c:v>
                </c:pt>
                <c:pt idx="289">
                  <c:v>43.228057121219535</c:v>
                </c:pt>
                <c:pt idx="290">
                  <c:v>-1.5551194892036619</c:v>
                </c:pt>
                <c:pt idx="291">
                  <c:v>11.611979726386835</c:v>
                </c:pt>
                <c:pt idx="292">
                  <c:v>58.729209687754064</c:v>
                </c:pt>
                <c:pt idx="293">
                  <c:v>21.79642880785741</c:v>
                </c:pt>
                <c:pt idx="294">
                  <c:v>-37.186501101836711</c:v>
                </c:pt>
                <c:pt idx="295">
                  <c:v>23.780285080137219</c:v>
                </c:pt>
                <c:pt idx="296">
                  <c:v>-52.303344297350122</c:v>
                </c:pt>
                <c:pt idx="297">
                  <c:v>-108.43751773496024</c:v>
                </c:pt>
                <c:pt idx="298">
                  <c:v>-34.622360654470413</c:v>
                </c:pt>
                <c:pt idx="299">
                  <c:v>-65.857995465205022</c:v>
                </c:pt>
                <c:pt idx="300">
                  <c:v>20.855458374402133</c:v>
                </c:pt>
                <c:pt idx="301">
                  <c:v>18.517884299886191</c:v>
                </c:pt>
                <c:pt idx="302">
                  <c:v>-125.8708314117589</c:v>
                </c:pt>
                <c:pt idx="303">
                  <c:v>-47.310799690418207</c:v>
                </c:pt>
                <c:pt idx="304">
                  <c:v>23.197871282782671</c:v>
                </c:pt>
                <c:pt idx="305">
                  <c:v>-74.344923965144517</c:v>
                </c:pt>
                <c:pt idx="306">
                  <c:v>-61.939288236122593</c:v>
                </c:pt>
                <c:pt idx="307">
                  <c:v>-2.5853216947321016</c:v>
                </c:pt>
                <c:pt idx="308">
                  <c:v>25.716878101213752</c:v>
                </c:pt>
                <c:pt idx="309">
                  <c:v>52.967216173076395</c:v>
                </c:pt>
                <c:pt idx="310">
                  <c:v>-69.834399903422764</c:v>
                </c:pt>
                <c:pt idx="311">
                  <c:v>-139.68806002039355</c:v>
                </c:pt>
                <c:pt idx="312">
                  <c:v>-1.5938515575094243</c:v>
                </c:pt>
                <c:pt idx="313">
                  <c:v>56.448140600538864</c:v>
                </c:pt>
                <c:pt idx="314">
                  <c:v>10.437834048736022</c:v>
                </c:pt>
                <c:pt idx="315">
                  <c:v>-46.62485115158097</c:v>
                </c:pt>
                <c:pt idx="316">
                  <c:v>44.260007515802954</c:v>
                </c:pt>
                <c:pt idx="317">
                  <c:v>2.0923350122129705</c:v>
                </c:pt>
                <c:pt idx="318">
                  <c:v>-28.127941264106994</c:v>
                </c:pt>
                <c:pt idx="319">
                  <c:v>59.599108515263197</c:v>
                </c:pt>
                <c:pt idx="320">
                  <c:v>-9.7265833964902413</c:v>
                </c:pt>
                <c:pt idx="321">
                  <c:v>-10.105082325616877</c:v>
                </c:pt>
                <c:pt idx="322">
                  <c:v>-43.536451180892982</c:v>
                </c:pt>
                <c:pt idx="323">
                  <c:v>-11.020750455731104</c:v>
                </c:pt>
                <c:pt idx="324">
                  <c:v>-54.558038229386966</c:v>
                </c:pt>
                <c:pt idx="325">
                  <c:v>-33.148370167369194</c:v>
                </c:pt>
                <c:pt idx="326">
                  <c:v>-62.791799521147823</c:v>
                </c:pt>
                <c:pt idx="327">
                  <c:v>-43.488377127242984</c:v>
                </c:pt>
                <c:pt idx="328">
                  <c:v>-108.23815140579018</c:v>
                </c:pt>
                <c:pt idx="329">
                  <c:v>21.958831641364668</c:v>
                </c:pt>
                <c:pt idx="330">
                  <c:v>-63.897471567076536</c:v>
                </c:pt>
                <c:pt idx="331">
                  <c:v>-24.807102189279249</c:v>
                </c:pt>
                <c:pt idx="332">
                  <c:v>7.2299010425281267</c:v>
                </c:pt>
                <c:pt idx="333">
                  <c:v>-73.78649817494852</c:v>
                </c:pt>
                <c:pt idx="334">
                  <c:v>-1.8563337129930915</c:v>
                </c:pt>
                <c:pt idx="335">
                  <c:v>-3.9796370077106076</c:v>
                </c:pt>
                <c:pt idx="336">
                  <c:v>45.843562943108282</c:v>
                </c:pt>
                <c:pt idx="337">
                  <c:v>32.61323958309049</c:v>
                </c:pt>
                <c:pt idx="338">
                  <c:v>-68.670631199726358</c:v>
                </c:pt>
                <c:pt idx="339">
                  <c:v>20.991928929961887</c:v>
                </c:pt>
                <c:pt idx="340">
                  <c:v>-61.399099242613829</c:v>
                </c:pt>
                <c:pt idx="341">
                  <c:v>5.1562675201439561</c:v>
                </c:pt>
                <c:pt idx="342">
                  <c:v>-88.341985089618902</c:v>
                </c:pt>
                <c:pt idx="343">
                  <c:v>-11.893868923337322</c:v>
                </c:pt>
                <c:pt idx="344">
                  <c:v>-114.49939337447768</c:v>
                </c:pt>
                <c:pt idx="345">
                  <c:v>-85.158565377340437</c:v>
                </c:pt>
                <c:pt idx="346">
                  <c:v>24.128610593741541</c:v>
                </c:pt>
                <c:pt idx="347">
                  <c:v>-110.63786747520271</c:v>
                </c:pt>
                <c:pt idx="348">
                  <c:v>16.542000862184977</c:v>
                </c:pt>
                <c:pt idx="349">
                  <c:v>17.668218512104886</c:v>
                </c:pt>
                <c:pt idx="350">
                  <c:v>35.740790839624879</c:v>
                </c:pt>
                <c:pt idx="351">
                  <c:v>-30.240274332749323</c:v>
                </c:pt>
                <c:pt idx="352">
                  <c:v>-18.274966727050469</c:v>
                </c:pt>
                <c:pt idx="353">
                  <c:v>1.6367263876936704</c:v>
                </c:pt>
                <c:pt idx="354">
                  <c:v>64.4948201924567</c:v>
                </c:pt>
                <c:pt idx="355">
                  <c:v>-29.700667685327517</c:v>
                </c:pt>
                <c:pt idx="356">
                  <c:v>45.050282824151054</c:v>
                </c:pt>
                <c:pt idx="357">
                  <c:v>-66.252305771564806</c:v>
                </c:pt>
                <c:pt idx="358">
                  <c:v>15.391591467601302</c:v>
                </c:pt>
                <c:pt idx="359">
                  <c:v>22.982001908491384</c:v>
                </c:pt>
                <c:pt idx="360">
                  <c:v>-75.481044661626129</c:v>
                </c:pt>
                <c:pt idx="361">
                  <c:v>-79.997516041953077</c:v>
                </c:pt>
                <c:pt idx="362">
                  <c:v>-27.567377625651261</c:v>
                </c:pt>
                <c:pt idx="363">
                  <c:v>-13.190592407878739</c:v>
                </c:pt>
                <c:pt idx="364">
                  <c:v>-0.86712099442456747</c:v>
                </c:pt>
                <c:pt idx="365">
                  <c:v>-137.5969216108856</c:v>
                </c:pt>
                <c:pt idx="366">
                  <c:v>-83.379950112426286</c:v>
                </c:pt>
                <c:pt idx="367">
                  <c:v>-44.21615999409596</c:v>
                </c:pt>
                <c:pt idx="368">
                  <c:v>8.8944975982926735</c:v>
                </c:pt>
                <c:pt idx="369">
                  <c:v>-37.047926143255609</c:v>
                </c:pt>
                <c:pt idx="370">
                  <c:v>-47.043377700900692</c:v>
                </c:pt>
                <c:pt idx="371">
                  <c:v>-64.091801243480859</c:v>
                </c:pt>
                <c:pt idx="372">
                  <c:v>-46.193138639560402</c:v>
                </c:pt>
                <c:pt idx="373">
                  <c:v>17.652670528997078</c:v>
                </c:pt>
                <c:pt idx="374">
                  <c:v>-66.554311047058945</c:v>
                </c:pt>
                <c:pt idx="375">
                  <c:v>-31.814018418973774</c:v>
                </c:pt>
                <c:pt idx="376">
                  <c:v>50.87361560492127</c:v>
                </c:pt>
                <c:pt idx="377">
                  <c:v>71.508660443617828</c:v>
                </c:pt>
                <c:pt idx="378">
                  <c:v>-2.9088122726375332</c:v>
                </c:pt>
                <c:pt idx="379">
                  <c:v>-33.378728718879756</c:v>
                </c:pt>
                <c:pt idx="380">
                  <c:v>-54.901012892420567</c:v>
                </c:pt>
                <c:pt idx="381">
                  <c:v>-80.47558663029622</c:v>
                </c:pt>
                <c:pt idx="382">
                  <c:v>-46.102369627144981</c:v>
                </c:pt>
                <c:pt idx="383">
                  <c:v>-21.781279453507977</c:v>
                </c:pt>
                <c:pt idx="384">
                  <c:v>73.487768425446575</c:v>
                </c:pt>
                <c:pt idx="385">
                  <c:v>35.704860630803978</c:v>
                </c:pt>
                <c:pt idx="386">
                  <c:v>42.870085850396208</c:v>
                </c:pt>
                <c:pt idx="387">
                  <c:v>27.983534818918088</c:v>
                </c:pt>
                <c:pt idx="388">
                  <c:v>26.045300297669201</c:v>
                </c:pt>
                <c:pt idx="389">
                  <c:v>102.05547705395566</c:v>
                </c:pt>
                <c:pt idx="390">
                  <c:v>47.014161840148063</c:v>
                </c:pt>
                <c:pt idx="391">
                  <c:v>-23.078546627597007</c:v>
                </c:pt>
                <c:pt idx="392">
                  <c:v>71.77745230908431</c:v>
                </c:pt>
                <c:pt idx="393">
                  <c:v>33.582261228872085</c:v>
                </c:pt>
                <c:pt idx="394">
                  <c:v>-154.66401539141771</c:v>
                </c:pt>
                <c:pt idx="395">
                  <c:v>91.038728800716399</c:v>
                </c:pt>
                <c:pt idx="396">
                  <c:v>-6.3093979892619245</c:v>
                </c:pt>
                <c:pt idx="397">
                  <c:v>51.29171427410347</c:v>
                </c:pt>
                <c:pt idx="398">
                  <c:v>14.842177433045435</c:v>
                </c:pt>
                <c:pt idx="399">
                  <c:v>-18.657894886856866</c:v>
                </c:pt>
                <c:pt idx="400">
                  <c:v>19.791612699660163</c:v>
                </c:pt>
                <c:pt idx="401">
                  <c:v>-16.809182686304212</c:v>
                </c:pt>
                <c:pt idx="402">
                  <c:v>81.53983778813199</c:v>
                </c:pt>
                <c:pt idx="403">
                  <c:v>1.8387946434140758</c:v>
                </c:pt>
                <c:pt idx="404">
                  <c:v>31.087810063158031</c:v>
                </c:pt>
                <c:pt idx="405">
                  <c:v>10.287007869605986</c:v>
                </c:pt>
                <c:pt idx="406">
                  <c:v>22.436513498933436</c:v>
                </c:pt>
                <c:pt idx="407">
                  <c:v>36.536453976434586</c:v>
                </c:pt>
                <c:pt idx="408">
                  <c:v>-38.41304210842145</c:v>
                </c:pt>
                <c:pt idx="409">
                  <c:v>122.58815537296141</c:v>
                </c:pt>
                <c:pt idx="410">
                  <c:v>20.540178063165058</c:v>
                </c:pt>
                <c:pt idx="411">
                  <c:v>100.44315909351371</c:v>
                </c:pt>
                <c:pt idx="412">
                  <c:v>-9.7027669412254909</c:v>
                </c:pt>
                <c:pt idx="413">
                  <c:v>-1.8974640082242331</c:v>
                </c:pt>
                <c:pt idx="414">
                  <c:v>79.85920533798253</c:v>
                </c:pt>
                <c:pt idx="415">
                  <c:v>-17.432620069981567</c:v>
                </c:pt>
                <c:pt idx="416">
                  <c:v>-49.772800037841535</c:v>
                </c:pt>
                <c:pt idx="417">
                  <c:v>-21.161193035208726</c:v>
                </c:pt>
                <c:pt idx="418">
                  <c:v>41.402343778873728</c:v>
                </c:pt>
                <c:pt idx="419">
                  <c:v>11.917954530372299</c:v>
                </c:pt>
                <c:pt idx="420">
                  <c:v>82.385784604711262</c:v>
                </c:pt>
                <c:pt idx="421">
                  <c:v>-20.194019378768189</c:v>
                </c:pt>
                <c:pt idx="422">
                  <c:v>-11.821309592325179</c:v>
                </c:pt>
                <c:pt idx="423">
                  <c:v>46.504062974690896</c:v>
                </c:pt>
                <c:pt idx="424">
                  <c:v>80.782248490390884</c:v>
                </c:pt>
                <c:pt idx="425">
                  <c:v>24.013398254939602</c:v>
                </c:pt>
                <c:pt idx="426">
                  <c:v>-21.802335324790874</c:v>
                </c:pt>
                <c:pt idx="427">
                  <c:v>11.335201239490289</c:v>
                </c:pt>
                <c:pt idx="428">
                  <c:v>-2.5738375077235105</c:v>
                </c:pt>
                <c:pt idx="429">
                  <c:v>65.470704009122528</c:v>
                </c:pt>
                <c:pt idx="430">
                  <c:v>-0.53101762840560696</c:v>
                </c:pt>
                <c:pt idx="431">
                  <c:v>77.421155142302268</c:v>
                </c:pt>
                <c:pt idx="432">
                  <c:v>38.327380840040405</c:v>
                </c:pt>
                <c:pt idx="433">
                  <c:v>-40.812181084975236</c:v>
                </c:pt>
                <c:pt idx="434">
                  <c:v>41.002629724247981</c:v>
                </c:pt>
                <c:pt idx="435">
                  <c:v>40.771974506949391</c:v>
                </c:pt>
                <c:pt idx="436">
                  <c:v>-47.503984639784449</c:v>
                </c:pt>
                <c:pt idx="437">
                  <c:v>76.17491521469492</c:v>
                </c:pt>
                <c:pt idx="438">
                  <c:v>36.808837810464411</c:v>
                </c:pt>
                <c:pt idx="439">
                  <c:v>-54.602052326966714</c:v>
                </c:pt>
                <c:pt idx="440">
                  <c:v>60.942410089484383</c:v>
                </c:pt>
                <c:pt idx="441">
                  <c:v>73.442391084778137</c:v>
                </c:pt>
                <c:pt idx="442">
                  <c:v>-86.101942601795599</c:v>
                </c:pt>
                <c:pt idx="443">
                  <c:v>50.30957645999797</c:v>
                </c:pt>
                <c:pt idx="444">
                  <c:v>-65.322883631875357</c:v>
                </c:pt>
                <c:pt idx="445">
                  <c:v>28.000845865227348</c:v>
                </c:pt>
                <c:pt idx="446">
                  <c:v>-52.71906568424447</c:v>
                </c:pt>
                <c:pt idx="447">
                  <c:v>73.517551683263264</c:v>
                </c:pt>
                <c:pt idx="448">
                  <c:v>-9.2891314920984769</c:v>
                </c:pt>
                <c:pt idx="449">
                  <c:v>9.8610558840819067</c:v>
                </c:pt>
                <c:pt idx="450">
                  <c:v>-65.03171456166092</c:v>
                </c:pt>
                <c:pt idx="451">
                  <c:v>51.032729307386489</c:v>
                </c:pt>
                <c:pt idx="452">
                  <c:v>27.054560116354878</c:v>
                </c:pt>
                <c:pt idx="453">
                  <c:v>63.033950957246816</c:v>
                </c:pt>
                <c:pt idx="454">
                  <c:v>68.971075367581761</c:v>
                </c:pt>
                <c:pt idx="455">
                  <c:v>36.86610730924258</c:v>
                </c:pt>
                <c:pt idx="456">
                  <c:v>-21.280778852458297</c:v>
                </c:pt>
                <c:pt idx="457">
                  <c:v>46.530591630482832</c:v>
                </c:pt>
                <c:pt idx="458">
                  <c:v>-44.699606131759992</c:v>
                </c:pt>
                <c:pt idx="459">
                  <c:v>62.028803312850414</c:v>
                </c:pt>
                <c:pt idx="460">
                  <c:v>-81.284004261876362</c:v>
                </c:pt>
                <c:pt idx="461">
                  <c:v>-46.637852780237154</c:v>
                </c:pt>
                <c:pt idx="462">
                  <c:v>-30.032565884288942</c:v>
                </c:pt>
                <c:pt idx="463">
                  <c:v>3.5320330467143322</c:v>
                </c:pt>
                <c:pt idx="464">
                  <c:v>7.0561208771077872</c:v>
                </c:pt>
                <c:pt idx="465">
                  <c:v>7.5398746958276206</c:v>
                </c:pt>
                <c:pt idx="466">
                  <c:v>-54.016528202359041</c:v>
                </c:pt>
                <c:pt idx="467">
                  <c:v>-49.612910335388733</c:v>
                </c:pt>
                <c:pt idx="468">
                  <c:v>25.750905947780666</c:v>
                </c:pt>
                <c:pt idx="469">
                  <c:v>29.075098449086454</c:v>
                </c:pt>
                <c:pt idx="470">
                  <c:v>12.359845103503631</c:v>
                </c:pt>
                <c:pt idx="471">
                  <c:v>-81.394676038586113</c:v>
                </c:pt>
                <c:pt idx="472">
                  <c:v>24.811713171211977</c:v>
                </c:pt>
                <c:pt idx="473">
                  <c:v>-16.020809037869185</c:v>
                </c:pt>
                <c:pt idx="474">
                  <c:v>-10.892064372696041</c:v>
                </c:pt>
                <c:pt idx="475">
                  <c:v>-3.801874492938623</c:v>
                </c:pt>
                <c:pt idx="476">
                  <c:v>-4.7500610275556028</c:v>
                </c:pt>
                <c:pt idx="477">
                  <c:v>-65.736445591031497</c:v>
                </c:pt>
                <c:pt idx="478">
                  <c:v>45.239150200597578</c:v>
                </c:pt>
                <c:pt idx="479">
                  <c:v>-98.823095286038097</c:v>
                </c:pt>
                <c:pt idx="480">
                  <c:v>-10.923003717193296</c:v>
                </c:pt>
                <c:pt idx="481">
                  <c:v>17.939603192657614</c:v>
                </c:pt>
                <c:pt idx="482">
                  <c:v>28.764903665736711</c:v>
                </c:pt>
                <c:pt idx="483">
                  <c:v>-7.4469241539131872</c:v>
                </c:pt>
                <c:pt idx="484">
                  <c:v>-2.6957022150627381</c:v>
                </c:pt>
                <c:pt idx="485">
                  <c:v>-16.981252573704296</c:v>
                </c:pt>
                <c:pt idx="486">
                  <c:v>23.69660259276543</c:v>
                </c:pt>
                <c:pt idx="487">
                  <c:v>14.338040971588725</c:v>
                </c:pt>
                <c:pt idx="488">
                  <c:v>40.943240100922139</c:v>
                </c:pt>
                <c:pt idx="489">
                  <c:v>-61.487622643673603</c:v>
                </c:pt>
                <c:pt idx="490">
                  <c:v>-29.954370062506769</c:v>
                </c:pt>
                <c:pt idx="491">
                  <c:v>-70.456825144816321</c:v>
                </c:pt>
                <c:pt idx="492">
                  <c:v>8.0051889183991989</c:v>
                </c:pt>
                <c:pt idx="493">
                  <c:v>-6.5681512782371101</c:v>
                </c:pt>
                <c:pt idx="494">
                  <c:v>-52.176669366867372</c:v>
                </c:pt>
                <c:pt idx="495">
                  <c:v>26.179810781424294</c:v>
                </c:pt>
                <c:pt idx="496">
                  <c:v>-57.498534955347168</c:v>
                </c:pt>
                <c:pt idx="497">
                  <c:v>-41.211530961801145</c:v>
                </c:pt>
                <c:pt idx="498">
                  <c:v>-95.959001896722384</c:v>
                </c:pt>
                <c:pt idx="499">
                  <c:v>-45.740772704368283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5-4056-A2F3-63F442EAF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5808"/>
        <c:axId val="191216384"/>
      </c:scatterChart>
      <c:valAx>
        <c:axId val="191215808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16384"/>
        <c:crosses val="autoZero"/>
        <c:crossBetween val="midCat"/>
      </c:valAx>
      <c:valAx>
        <c:axId val="1912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21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99061</xdr:colOff>
      <xdr:row>26</xdr:row>
      <xdr:rowOff>107630</xdr:rowOff>
    </xdr:from>
    <xdr:to>
      <xdr:col>17</xdr:col>
      <xdr:colOff>95250</xdr:colOff>
      <xdr:row>58</xdr:row>
      <xdr:rowOff>81915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382904</xdr:colOff>
      <xdr:row>27</xdr:row>
      <xdr:rowOff>17145</xdr:rowOff>
    </xdr:from>
    <xdr:to>
      <xdr:col>27</xdr:col>
      <xdr:colOff>887729</xdr:colOff>
      <xdr:row>47</xdr:row>
      <xdr:rowOff>140970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</xdr:colOff>
      <xdr:row>0</xdr:row>
      <xdr:rowOff>205740</xdr:rowOff>
    </xdr:from>
    <xdr:to>
      <xdr:col>8</xdr:col>
      <xdr:colOff>350520</xdr:colOff>
      <xdr:row>14</xdr:row>
      <xdr:rowOff>53340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1 - TextBox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91540" y="205740"/>
              <a:ext cx="4168140" cy="242316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en-US" sz="1100" b="1" u="sng"/>
                <a:t>CW - OSL fitting</a:t>
              </a:r>
              <a:r>
                <a:rPr lang="en-US" sz="1100" b="1" u="sng" baseline="0"/>
                <a:t> with Lambert W0 function:</a:t>
              </a:r>
            </a:p>
            <a:p>
              <a:endParaRPr lang="en-US" sz="1100" b="1" baseline="0"/>
            </a:p>
            <a:p>
              <a:r>
                <a:rPr lang="en-US" sz="1100" b="1" baseline="0"/>
                <a:t>Ri = An/Am</a:t>
              </a:r>
            </a:p>
            <a:p>
              <a:endParaRPr lang="en-US" sz="1100" b="1"/>
            </a:p>
            <a:p>
              <a:pPr algn="l"/>
              <a:r>
                <a:rPr lang="en-US" sz="1100" b="1"/>
                <a:t>C=(n0/N)*[(1-Ri)/Ri]&gt;0,</a:t>
              </a:r>
              <a:r>
                <a:rPr lang="en-US" sz="1100" b="1" baseline="0"/>
                <a:t> </a:t>
              </a:r>
              <a:r>
                <a:rPr lang="el-GR" sz="1100" b="1" baseline="0"/>
                <a:t>όπου  </a:t>
              </a:r>
              <a:r>
                <a:rPr lang="en-US" sz="1100" b="1" baseline="0"/>
                <a:t>n0=N</a:t>
              </a:r>
              <a:r>
                <a:rPr lang="el-GR" sz="1100" b="1" baseline="0"/>
                <a:t>, άρα </a:t>
              </a:r>
              <a:r>
                <a:rPr lang="en-US" sz="1100" b="1" baseline="0"/>
                <a:t>C=(1-Ri)/Ri</a:t>
              </a:r>
            </a:p>
            <a:p>
              <a:pPr algn="l"/>
              <a:endParaRPr lang="en-US" sz="1100" b="1" baseline="0"/>
            </a:p>
            <a:p>
              <a:pPr algn="l"/>
              <a:r>
                <a:rPr lang="en-US" sz="1100" b="1" baseline="0"/>
                <a:t>zi=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𝒄</m:t>
                      </m:r>
                    </m:den>
                  </m:f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func>
                    <m:func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𝒍𝒏</m:t>
                      </m:r>
                    </m:fName>
                    <m:e>
                      <m:d>
                        <m:d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𝒄</m:t>
                          </m:r>
                        </m:e>
                      </m:d>
                    </m:e>
                  </m:func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𝟓𝟑𝟒𝟏𝟓𝟔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𝑹</m:t>
                          </m:r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</m:t>
                          </m:r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.</m:t>
                          </m:r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𝟕𝟗𝟏𝟕</m:t>
                          </m:r>
                        </m:sup>
                      </m:sSup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)(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𝑹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num>
                    <m:den>
                      <m:sSubSup>
                        <m:sSub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𝒎</m:t>
                          </m:r>
                        </m:sub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bSup>
                    </m:den>
                  </m:f>
                </m:oMath>
              </a14:m>
              <a:endParaRPr lang="en-US" sz="1100" b="1" baseline="0"/>
            </a:p>
            <a:p>
              <a:pPr algn="l"/>
              <a:endParaRPr lang="en-US" sz="1100" b="1" baseline="0"/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baseline="0"/>
                <a:t>I=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𝑰</m:t>
                      </m:r>
                    </m:e>
                    <m:sub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𝒎</m:t>
                      </m:r>
                    </m:sub>
                  </m:sSub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num>
                    <m:den>
                      <m:sSub>
                        <m:sSub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𝒎</m:t>
                          </m:r>
                        </m:sub>
                      </m:sSub>
                    </m:den>
                  </m:f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p>
                            <m:sSupPr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𝒆</m:t>
                              </m:r>
                            </m:e>
                            <m:sup>
                              <m:sSub>
                                <m:sSub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𝒛</m:t>
                                  </m:r>
                                </m:e>
                                <m:sub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𝒎</m:t>
                                  </m:r>
                                </m:sub>
                              </m:sSub>
                            </m:sup>
                          </m:sSup>
                        </m:e>
                      </m:d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𝒆</m:t>
                                  </m:r>
                                </m:e>
                                <m:sup>
                                  <m:sSub>
                                    <m:sSubPr>
                                      <m:ctrlP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𝒛</m:t>
                                      </m:r>
                                    </m:e>
                                    <m:sub>
                                      <m: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𝒎</m:t>
                                      </m:r>
                                    </m:sub>
                                  </m:sSub>
                                </m:sup>
                              </m:sSup>
                            </m:e>
                          </m:d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p>
                            <m:sSupPr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𝒆</m:t>
                              </m:r>
                            </m:e>
                            <m:sup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𝒛</m:t>
                              </m:r>
                            </m:sup>
                          </m:sSup>
                        </m:e>
                      </m:d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𝒆</m:t>
                                  </m:r>
                                </m:e>
                                <m:sup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𝒛</m:t>
                                  </m:r>
                                </m:sup>
                              </m:sSup>
                            </m:e>
                          </m:d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den>
                  </m:f>
                </m:oMath>
              </a14:m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𝒕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𝒎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p>
                    </m:sSubSup>
                    <m:r>
                      <a:rPr lang="en-US" sz="1100" b="1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𝑳𝑴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𝑶𝑺𝑳</m:t>
                        </m:r>
                      </m:sub>
                    </m:sSub>
                    <m:f>
                      <m:f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</m:t>
                        </m:r>
                      </m:num>
                      <m:den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l-GR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𝑳𝑴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𝑶𝑺𝑳</m:t>
                        </m:r>
                      </m:sub>
                    </m:sSub>
                    <m:r>
                      <a:rPr lang="en-US" sz="1100" b="1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f>
                          <m:fPr>
                            <m:ctrlP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d>
                              <m:dPr>
                                <m:ctrlP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𝑾</m:t>
                                </m:r>
                                <m:sSup>
                                  <m:sSupPr>
                                    <m:ctrlP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p>
                                          <m:sSupPr>
                                            <m:ctrlPr>
                                              <a:rPr lang="en-US" sz="1100" b="1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US" sz="1100" b="1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𝒆</m:t>
                                            </m:r>
                                          </m:e>
                                          <m:sup>
                                            <m:sSub>
                                              <m:sSubPr>
                                                <m:ctrlP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𝒛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𝒎</m:t>
                                                </m:r>
                                              </m:sub>
                                            </m:sSub>
                                          </m:sup>
                                        </m:sSup>
                                      </m:e>
                                    </m:d>
                                  </m:e>
                                  <m:sup>
                                    <m: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𝟐</m:t>
                                    </m:r>
                                  </m:sup>
                                </m:sSup>
                              </m:e>
                            </m:d>
                          </m:num>
                          <m:den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𝑾</m:t>
                            </m:r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p>
                                  <m:sSupPr>
                                    <m:ctrlP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𝒆</m:t>
                                    </m:r>
                                  </m:e>
                                  <m:sup>
                                    <m:sSub>
                                      <m:sSubPr>
                                        <m:ctrlP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𝒛</m:t>
                                        </m:r>
                                      </m:e>
                                      <m:sub>
                                        <m: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𝒎</m:t>
                                        </m:r>
                                      </m:sub>
                                    </m:sSub>
                                  </m:sup>
                                </m:sSup>
                              </m:e>
                            </m:d>
                          </m:den>
                        </m:f>
                      </m:e>
                    </m:d>
                  </m:oMath>
                </m:oMathPara>
              </a14:m>
              <a:endPara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l-GR" sz="1100" b="1"/>
            </a:p>
          </xdr:txBody>
        </xdr:sp>
      </mc:Choice>
      <mc:Fallback xmlns="">
        <xdr:sp macro="" textlink="">
          <xdr:nvSpPr>
            <xdr:cNvPr id="4" name="1 - TextBox">
              <a:extLst>
                <a:ext uri="{FF2B5EF4-FFF2-40B4-BE49-F238E27FC236}">
                  <a16:creationId xmlns:a16="http://schemas.microsoft.com/office/drawing/2014/main" id="{4D92B4B0-7B4E-4D83-91C9-954E31317F2B}"/>
                </a:ext>
              </a:extLst>
            </xdr:cNvPr>
            <xdr:cNvSpPr txBox="1"/>
          </xdr:nvSpPr>
          <xdr:spPr>
            <a:xfrm>
              <a:off x="891540" y="205740"/>
              <a:ext cx="4168140" cy="242316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en-US" sz="1100" b="1" u="sng"/>
                <a:t>CW - OSL fitting</a:t>
              </a:r>
              <a:r>
                <a:rPr lang="en-US" sz="1100" b="1" u="sng" baseline="0"/>
                <a:t> with Lambert W0 function:</a:t>
              </a:r>
            </a:p>
            <a:p>
              <a:endParaRPr lang="en-US" sz="1100" b="1" baseline="0"/>
            </a:p>
            <a:p>
              <a:r>
                <a:rPr lang="en-US" sz="1100" b="1" baseline="0"/>
                <a:t>Ri = An/Am</a:t>
              </a:r>
            </a:p>
            <a:p>
              <a:endParaRPr lang="en-US" sz="1100" b="1"/>
            </a:p>
            <a:p>
              <a:pPr algn="l"/>
              <a:r>
                <a:rPr lang="en-US" sz="1100" b="1"/>
                <a:t>C=(n0/N)*[(1-Ri)/Ri]&gt;0,</a:t>
              </a:r>
              <a:r>
                <a:rPr lang="en-US" sz="1100" b="1" baseline="0"/>
                <a:t> </a:t>
              </a:r>
              <a:r>
                <a:rPr lang="el-GR" sz="1100" b="1" baseline="0"/>
                <a:t>όπου  </a:t>
              </a:r>
              <a:r>
                <a:rPr lang="en-US" sz="1100" b="1" baseline="0"/>
                <a:t>n0=N</a:t>
              </a:r>
              <a:r>
                <a:rPr lang="el-GR" sz="1100" b="1" baseline="0"/>
                <a:t>, άρα </a:t>
              </a:r>
              <a:r>
                <a:rPr lang="en-US" sz="1100" b="1" baseline="0"/>
                <a:t>C=(1-Ri)/Ri</a:t>
              </a:r>
            </a:p>
            <a:p>
              <a:pPr algn="l"/>
              <a:endParaRPr lang="en-US" sz="1100" b="1" baseline="0"/>
            </a:p>
            <a:p>
              <a:pPr algn="l"/>
              <a:r>
                <a:rPr lang="en-US" sz="1100" b="1" baseline="0"/>
                <a:t>zi=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𝟏/𝒄−𝒍𝒏⁡(𝒄)+𝟏/((𝟏+𝟎.𝟓𝟑𝟒𝟏𝟓𝟔𝑹^(𝟎.𝟕𝟗𝟏𝟕))(𝟏−𝑹))  𝒕^𝟐/(𝒕_𝒎^𝟐 )</a:t>
              </a:r>
              <a:endParaRPr lang="en-US" sz="1100" b="1" baseline="0"/>
            </a:p>
            <a:p>
              <a:pPr algn="l"/>
              <a:endParaRPr lang="en-US" sz="1100" b="1" baseline="0"/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baseline="0"/>
                <a:t>I=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𝑰_𝒎  𝒕/𝒕_𝒎   (𝑾[𝒆^(𝒛_𝒎 ) ]+𝑾[𝒆^(𝒛_𝒎 ) ]^𝟐)/(𝑾[𝒆^𝒛 ]+〖𝑾[𝒆^𝒛 ]〗^𝟐 )</a:t>
              </a: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𝒕_𝒎^𝟐=𝑭_(𝑳𝑴−𝑶𝑺𝑳)  𝑷/( </a:t>
              </a:r>
              <a:r>
                <a:rPr lang="el-GR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𝝀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     〖 𝑭〗_(𝑳𝑴−𝑶𝑺𝑳)=[(𝟏−𝑹)((𝟏+𝑾[𝒆^(𝒛_𝒎 ) ]^𝟐 ))/(𝟏+𝟐𝑾[𝒆^(𝒛_𝒎 ) ] )]</a:t>
              </a:r>
              <a:endPara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l-GR" sz="1100" b="1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tabColor theme="9" tint="0.39997558519241921"/>
  </sheetPr>
  <dimension ref="A1:AG1506"/>
  <sheetViews>
    <sheetView tabSelected="1" topLeftCell="A13" workbookViewId="0">
      <selection activeCell="R25" sqref="R25"/>
    </sheetView>
  </sheetViews>
  <sheetFormatPr defaultColWidth="9.140625" defaultRowHeight="15" x14ac:dyDescent="0.25"/>
  <cols>
    <col min="1" max="1" width="3.7109375" style="3" customWidth="1"/>
    <col min="2" max="2" width="9.140625" style="3" customWidth="1"/>
    <col min="3" max="4" width="9.140625" style="3"/>
    <col min="5" max="5" width="5.7109375" style="3" customWidth="1"/>
    <col min="6" max="10" width="10.7109375" style="3" customWidth="1"/>
    <col min="11" max="11" width="7.5703125" style="3" customWidth="1"/>
    <col min="12" max="12" width="10.7109375" style="3" customWidth="1"/>
    <col min="13" max="13" width="10.5703125" style="3" customWidth="1"/>
    <col min="14" max="16" width="10.7109375" style="3" customWidth="1"/>
    <col min="17" max="17" width="11" style="3" bestFit="1" customWidth="1"/>
    <col min="18" max="23" width="10.7109375" style="3" customWidth="1"/>
    <col min="24" max="24" width="1.7109375" style="3" customWidth="1"/>
    <col min="25" max="25" width="9.7109375" style="3" customWidth="1"/>
    <col min="26" max="26" width="3.7109375" style="3" customWidth="1"/>
    <col min="27" max="27" width="18.7109375" style="3" bestFit="1" customWidth="1"/>
    <col min="28" max="28" width="17.85546875" style="3" bestFit="1" customWidth="1"/>
    <col min="29" max="33" width="9.140625" style="3"/>
    <col min="34" max="34" width="10" style="3" bestFit="1" customWidth="1"/>
    <col min="35" max="16384" width="9.140625" style="3"/>
  </cols>
  <sheetData>
    <row r="1" spans="1:33" ht="18.75" x14ac:dyDescent="0.3">
      <c r="A1" s="32" t="s">
        <v>35</v>
      </c>
      <c r="B1" s="32"/>
      <c r="C1" s="1" t="s">
        <v>32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2"/>
    </row>
    <row r="2" spans="1:33" ht="12" customHeight="1" x14ac:dyDescent="0.25"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3" x14ac:dyDescent="0.25">
      <c r="C3" s="5"/>
      <c r="L3" s="5"/>
    </row>
    <row r="4" spans="1:33" x14ac:dyDescent="0.25">
      <c r="C4" s="5"/>
      <c r="L4" s="5"/>
    </row>
    <row r="5" spans="1:33" x14ac:dyDescent="0.25">
      <c r="C5" s="5"/>
      <c r="L5" s="5"/>
    </row>
    <row r="6" spans="1:33" x14ac:dyDescent="0.25">
      <c r="C6" s="5"/>
      <c r="L6" s="5"/>
    </row>
    <row r="7" spans="1:33" x14ac:dyDescent="0.25">
      <c r="C7" s="5"/>
      <c r="L7" s="5"/>
    </row>
    <row r="8" spans="1:33" x14ac:dyDescent="0.25">
      <c r="C8" s="5"/>
      <c r="L8" s="5"/>
    </row>
    <row r="9" spans="1:33" x14ac:dyDescent="0.25">
      <c r="C9" s="5"/>
      <c r="L9" s="5"/>
    </row>
    <row r="10" spans="1:33" x14ac:dyDescent="0.25">
      <c r="C10" s="5"/>
      <c r="L10" s="5"/>
    </row>
    <row r="11" spans="1:33" x14ac:dyDescent="0.25">
      <c r="C11" s="5"/>
      <c r="L11" s="5"/>
    </row>
    <row r="12" spans="1:33" x14ac:dyDescent="0.25">
      <c r="C12" s="5"/>
      <c r="L12" s="5"/>
      <c r="R12" s="14"/>
      <c r="S12" s="14"/>
      <c r="T12" s="14"/>
      <c r="U12" s="14"/>
      <c r="V12" s="14"/>
      <c r="W12" s="14"/>
    </row>
    <row r="13" spans="1:33" x14ac:dyDescent="0.25">
      <c r="C13" s="5"/>
      <c r="R13" s="14"/>
      <c r="S13" s="14"/>
      <c r="T13" s="14"/>
      <c r="U13" s="14"/>
      <c r="V13" s="14"/>
      <c r="AE13" s="14"/>
      <c r="AF13" s="14"/>
      <c r="AG13" s="14"/>
    </row>
    <row r="14" spans="1:33" x14ac:dyDescent="0.25">
      <c r="C14" s="5"/>
      <c r="R14" s="14"/>
      <c r="S14" s="14"/>
      <c r="T14" s="14"/>
      <c r="U14" s="14"/>
      <c r="V14" s="14"/>
      <c r="W14" s="14"/>
      <c r="AE14" s="14"/>
      <c r="AF14" s="14"/>
      <c r="AG14" s="14"/>
    </row>
    <row r="15" spans="1:33" x14ac:dyDescent="0.25">
      <c r="C15" s="5"/>
      <c r="AE15" s="14"/>
      <c r="AF15" s="14"/>
      <c r="AG15" s="14"/>
    </row>
    <row r="16" spans="1:33" ht="15.75" x14ac:dyDescent="0.25">
      <c r="D16" s="6"/>
      <c r="E16" s="33" t="s">
        <v>18</v>
      </c>
      <c r="F16" s="33"/>
      <c r="G16" s="33"/>
      <c r="H16" s="33"/>
      <c r="I16" s="33"/>
      <c r="J16" s="33"/>
      <c r="K16" s="7"/>
      <c r="L16" s="8"/>
      <c r="M16" s="33" t="s">
        <v>18</v>
      </c>
      <c r="N16" s="33"/>
      <c r="O16" s="33"/>
      <c r="P16" s="33"/>
      <c r="Q16" s="33"/>
      <c r="R16" s="33"/>
    </row>
    <row r="17" spans="3:33" ht="12" customHeight="1" x14ac:dyDescent="0.25">
      <c r="D17" s="4"/>
      <c r="E17" s="9" t="s">
        <v>17</v>
      </c>
      <c r="F17" s="10" t="s">
        <v>12</v>
      </c>
      <c r="G17" s="10" t="s">
        <v>13</v>
      </c>
      <c r="H17" s="10" t="s">
        <v>14</v>
      </c>
      <c r="I17" s="10" t="s">
        <v>15</v>
      </c>
      <c r="J17" s="10" t="s">
        <v>16</v>
      </c>
      <c r="K17" s="11" t="s">
        <v>53</v>
      </c>
      <c r="M17" s="10"/>
      <c r="N17" s="10" t="s">
        <v>12</v>
      </c>
      <c r="O17" s="10" t="s">
        <v>13</v>
      </c>
      <c r="P17" s="10" t="s">
        <v>14</v>
      </c>
      <c r="Q17" s="10" t="s">
        <v>15</v>
      </c>
      <c r="R17" s="10" t="s">
        <v>16</v>
      </c>
      <c r="AC17" s="8"/>
      <c r="AD17" s="8"/>
      <c r="AG17" s="12"/>
    </row>
    <row r="18" spans="3:33" x14ac:dyDescent="0.25">
      <c r="E18" s="13" t="s">
        <v>40</v>
      </c>
      <c r="F18">
        <v>2382.8804075194676</v>
      </c>
      <c r="G18">
        <v>42013.968963149229</v>
      </c>
      <c r="H18">
        <v>2643.0739515868363</v>
      </c>
      <c r="I18">
        <v>2977.7308561020436</v>
      </c>
      <c r="J18">
        <v>0</v>
      </c>
      <c r="K18">
        <v>9083</v>
      </c>
      <c r="M18" s="30" t="s">
        <v>57</v>
      </c>
      <c r="N18" s="3">
        <f>(1-F20)*(1+L28^2)/(1+2*L28)</f>
        <v>0.48121708735439711</v>
      </c>
      <c r="O18" s="3">
        <f t="shared" ref="O18:R18" si="0">(1-G20)*(1+M28^2)/(1+2*M28)</f>
        <v>0.63593392605016696</v>
      </c>
      <c r="P18" s="3">
        <f t="shared" si="0"/>
        <v>0.45253747923791388</v>
      </c>
      <c r="Q18" s="3">
        <f t="shared" si="0"/>
        <v>0.45476710388468355</v>
      </c>
      <c r="R18" s="3">
        <f t="shared" si="0"/>
        <v>0.6295698197788081</v>
      </c>
      <c r="AC18" s="15"/>
      <c r="AE18" s="14"/>
      <c r="AF18" s="14"/>
      <c r="AG18" s="14"/>
    </row>
    <row r="19" spans="3:33" x14ac:dyDescent="0.25">
      <c r="E19" s="13" t="s">
        <v>41</v>
      </c>
      <c r="F19">
        <v>3.1689463928116028</v>
      </c>
      <c r="G19">
        <v>11.699893860654488</v>
      </c>
      <c r="H19">
        <v>139.15904719723011</v>
      </c>
      <c r="I19">
        <v>268.35333883020979</v>
      </c>
      <c r="J19">
        <v>1000</v>
      </c>
      <c r="K19" s="29" t="s">
        <v>54</v>
      </c>
      <c r="M19" s="31" t="s">
        <v>54</v>
      </c>
      <c r="N19" s="3">
        <f>N18*$F$21/F19^2</f>
        <v>23.959693569237796</v>
      </c>
      <c r="O19" s="3">
        <f t="shared" ref="O19:R19" si="1">O18*$F$21/G19^2</f>
        <v>2.3228338967794775</v>
      </c>
      <c r="P19" s="3">
        <f t="shared" si="1"/>
        <v>1.1684272167475035E-2</v>
      </c>
      <c r="Q19" s="3">
        <f t="shared" si="1"/>
        <v>3.1575122203551112E-3</v>
      </c>
      <c r="R19" s="3">
        <f t="shared" si="1"/>
        <v>3.1478490988940403E-4</v>
      </c>
      <c r="AC19" s="15"/>
      <c r="AE19" s="14"/>
      <c r="AF19" s="14"/>
      <c r="AG19" s="14"/>
    </row>
    <row r="20" spans="3:33" x14ac:dyDescent="0.25">
      <c r="E20" s="13" t="s">
        <v>11</v>
      </c>
      <c r="F20">
        <v>0.50701395033714258</v>
      </c>
      <c r="G20">
        <v>0.7710933820301713</v>
      </c>
      <c r="H20">
        <v>0.29156840814766494</v>
      </c>
      <c r="I20">
        <v>0.42156371186989378</v>
      </c>
      <c r="J20">
        <v>0.1</v>
      </c>
      <c r="K20">
        <v>7.3785088760884923E-2</v>
      </c>
      <c r="M20" s="31" t="s">
        <v>58</v>
      </c>
      <c r="N20" s="3">
        <f>1/N19</f>
        <v>4.1736760827522215E-2</v>
      </c>
      <c r="O20" s="3">
        <f t="shared" ref="O20:R20" si="2">1/O19</f>
        <v>0.43050861337371676</v>
      </c>
      <c r="P20" s="3">
        <f t="shared" si="2"/>
        <v>85.585134073104996</v>
      </c>
      <c r="Q20" s="3">
        <f t="shared" si="2"/>
        <v>316.70502921680998</v>
      </c>
      <c r="R20" s="3">
        <f t="shared" si="2"/>
        <v>3176.7723565635283</v>
      </c>
      <c r="AC20" s="15"/>
      <c r="AE20" s="14"/>
      <c r="AF20" s="14"/>
      <c r="AG20" s="14"/>
    </row>
    <row r="21" spans="3:33" x14ac:dyDescent="0.25">
      <c r="E21" s="13" t="s">
        <v>33</v>
      </c>
      <c r="F21" s="3">
        <v>500</v>
      </c>
      <c r="K21" s="28"/>
      <c r="M21" s="31" t="s">
        <v>59</v>
      </c>
      <c r="N21" s="3">
        <f>10^(-18)*N19/6.24146</f>
        <v>3.8387963023455724E-18</v>
      </c>
      <c r="O21" s="3">
        <f t="shared" ref="O21:R21" si="3">10^(-18)*O19/6.24146</f>
        <v>3.7216194556713937E-19</v>
      </c>
      <c r="P21" s="3">
        <f t="shared" si="3"/>
        <v>1.8720415043074912E-21</v>
      </c>
      <c r="Q21" s="3">
        <f t="shared" si="3"/>
        <v>5.0589320773586815E-22</v>
      </c>
      <c r="R21" s="3">
        <f t="shared" si="3"/>
        <v>5.043449928212374E-23</v>
      </c>
    </row>
    <row r="22" spans="3:33" x14ac:dyDescent="0.25">
      <c r="E22" s="13" t="s">
        <v>34</v>
      </c>
      <c r="F22" s="3">
        <v>50</v>
      </c>
      <c r="G22">
        <v>886.7215519036464</v>
      </c>
    </row>
    <row r="23" spans="3:33" x14ac:dyDescent="0.25">
      <c r="E23" s="13"/>
      <c r="AE23" s="14"/>
      <c r="AF23" s="14"/>
      <c r="AG23" s="14"/>
    </row>
    <row r="24" spans="3:33" x14ac:dyDescent="0.25">
      <c r="E24" s="23" t="s">
        <v>3</v>
      </c>
      <c r="F24" s="24">
        <f>SUM(R32:R1031)</f>
        <v>13368.676473187765</v>
      </c>
      <c r="G24" s="24">
        <f>SUM(S32:S1031)</f>
        <v>961828.88459709578</v>
      </c>
      <c r="H24" s="24">
        <f>SUM(T32:T1031)</f>
        <v>582934.95957248169</v>
      </c>
      <c r="I24" s="24">
        <f>SUM(U32:U1031)</f>
        <v>1120446.1312799358</v>
      </c>
      <c r="J24" s="24">
        <f>SUM(V32:V1031)</f>
        <v>0</v>
      </c>
      <c r="K24" s="24">
        <f>SUM(K32:K1031)</f>
        <v>127698.097277598</v>
      </c>
      <c r="W24" s="24">
        <f>SUM(W32:W1031)</f>
        <v>246237.02719995979</v>
      </c>
      <c r="AE24" s="14"/>
      <c r="AF24" s="14"/>
      <c r="AG24" s="14"/>
    </row>
    <row r="25" spans="3:33" x14ac:dyDescent="0.25">
      <c r="E25" s="25" t="s">
        <v>56</v>
      </c>
      <c r="F25" s="26">
        <f>100*F24/SUM(F24,G24,H24,I24,J24,K24,W24)</f>
        <v>0.43795630265600499</v>
      </c>
      <c r="G25" s="26">
        <f>100*G24/SUM(F24,G24,H24,I24,J24,K24,W24)</f>
        <v>31.509403562179916</v>
      </c>
      <c r="H25" s="26">
        <f>100*H24/SUM(F24,G24,H24,I24,J24,K24,W24)</f>
        <v>19.096882185407203</v>
      </c>
      <c r="I25" s="26">
        <f>100*I24/SUM(F24,G24,H24,I24,J24,K24,W24)</f>
        <v>36.705686308195652</v>
      </c>
      <c r="J25" s="26">
        <f>100*J24/SUM(F24,G24,H24,I24,J24,K24,W24)</f>
        <v>0</v>
      </c>
      <c r="K25" s="26">
        <f>100*K24/SUM(F24,G24,H24,I24,J24,K24,W24)</f>
        <v>4.1833749699956693</v>
      </c>
      <c r="L25" s="5" t="s">
        <v>42</v>
      </c>
      <c r="M25" s="5" t="s">
        <v>43</v>
      </c>
      <c r="N25" s="5" t="s">
        <v>44</v>
      </c>
      <c r="O25" s="5" t="s">
        <v>45</v>
      </c>
      <c r="P25" s="5" t="s">
        <v>46</v>
      </c>
      <c r="W25" s="27">
        <f>100-F25-G25-H25-I25-J25-K25</f>
        <v>8.066696671565559</v>
      </c>
      <c r="AE25" s="14"/>
      <c r="AF25" s="14"/>
      <c r="AG25" s="14"/>
    </row>
    <row r="26" spans="3:33" x14ac:dyDescent="0.25">
      <c r="E26" s="12" t="s">
        <v>38</v>
      </c>
      <c r="F26" s="3">
        <f>SUM(AA32:AA1031)</f>
        <v>10293684.132261284</v>
      </c>
      <c r="G26" s="16"/>
      <c r="L26" s="3">
        <f>F$20/(1-F$20)-LN((1-F$20)/F$20)+1/((1-F$20)*(1+0.534156*F$20^0.7917))</f>
        <v>2.6026098974989527</v>
      </c>
      <c r="M26" s="3">
        <f t="shared" ref="M26:P26" si="4">G$20/(1-G$20)-LN((1-G$20)/G$20)+1/((1-G$20)*(1+0.534156*G$20^0.7917))</f>
        <v>7.627827016977907</v>
      </c>
      <c r="N26" s="3">
        <f t="shared" si="4"/>
        <v>0.69879759398580421</v>
      </c>
      <c r="O26" s="3">
        <f t="shared" si="4"/>
        <v>1.7741608786674139</v>
      </c>
      <c r="P26" s="3">
        <f t="shared" si="4"/>
        <v>-1.0632654624652167</v>
      </c>
      <c r="AE26" s="14"/>
      <c r="AF26" s="14"/>
      <c r="AG26" s="14"/>
    </row>
    <row r="27" spans="3:33" x14ac:dyDescent="0.25">
      <c r="E27" s="12" t="s">
        <v>7</v>
      </c>
      <c r="F27" s="3">
        <f>SUM(AD32:AD1031)*100</f>
        <v>1.3194615985606015</v>
      </c>
      <c r="L27" s="5" t="s">
        <v>47</v>
      </c>
      <c r="M27" s="5" t="s">
        <v>48</v>
      </c>
      <c r="N27" s="5" t="s">
        <v>49</v>
      </c>
      <c r="O27" s="5" t="s">
        <v>50</v>
      </c>
      <c r="P27" s="5" t="s">
        <v>51</v>
      </c>
    </row>
    <row r="28" spans="3:33" x14ac:dyDescent="0.25">
      <c r="L28" s="3" cm="1">
        <f t="array" ref="L28">lmb_2(L26)</f>
        <v>1.9399484809748624</v>
      </c>
      <c r="M28" s="3" cm="1">
        <f t="array" ref="M28">lmb_2(M26)</f>
        <v>5.8597244386207983</v>
      </c>
      <c r="N28" s="3" cm="1">
        <f t="array" ref="N28">lmb_2(N26)</f>
        <v>0.85520807318649339</v>
      </c>
      <c r="O28" s="3" cm="1">
        <f t="array" ref="O28">lmb_2(O26)</f>
        <v>1.4220566851242771</v>
      </c>
      <c r="P28" s="3" cm="1">
        <f t="array" ref="P28">lmb_2(P26)</f>
        <v>0.26494972510690007</v>
      </c>
    </row>
    <row r="29" spans="3:33" x14ac:dyDescent="0.25">
      <c r="C29" s="17" t="s">
        <v>31</v>
      </c>
      <c r="D29" s="18"/>
    </row>
    <row r="30" spans="3:33" x14ac:dyDescent="0.25">
      <c r="C30" s="34" t="s">
        <v>0</v>
      </c>
      <c r="D30" s="34"/>
      <c r="F30" s="19"/>
      <c r="G30" s="19"/>
      <c r="H30" s="19"/>
      <c r="I30" s="19"/>
      <c r="J30" s="19"/>
      <c r="L30" s="19"/>
      <c r="M30" s="19"/>
      <c r="N30" s="19"/>
      <c r="O30" s="19"/>
      <c r="P30" s="19"/>
      <c r="R30" s="19"/>
      <c r="S30" s="19"/>
      <c r="T30" s="19"/>
      <c r="U30" s="19"/>
      <c r="V30" s="19"/>
      <c r="W30" s="19"/>
      <c r="X30" s="34" t="s">
        <v>4</v>
      </c>
      <c r="Y30" s="34"/>
      <c r="Z30" s="34"/>
    </row>
    <row r="31" spans="3:33" x14ac:dyDescent="0.25">
      <c r="C31" s="20" t="s">
        <v>1</v>
      </c>
      <c r="D31" s="20" t="s">
        <v>2</v>
      </c>
      <c r="F31" s="20" t="s">
        <v>8</v>
      </c>
      <c r="G31" s="20" t="s">
        <v>9</v>
      </c>
      <c r="H31" s="20" t="s">
        <v>10</v>
      </c>
      <c r="I31" s="20" t="s">
        <v>19</v>
      </c>
      <c r="J31" s="20" t="s">
        <v>20</v>
      </c>
      <c r="K31" s="20" t="s">
        <v>55</v>
      </c>
      <c r="L31" s="20" t="s">
        <v>21</v>
      </c>
      <c r="M31" s="20" t="s">
        <v>22</v>
      </c>
      <c r="N31" s="20" t="s">
        <v>23</v>
      </c>
      <c r="O31" s="20" t="s">
        <v>24</v>
      </c>
      <c r="P31" s="20" t="s">
        <v>25</v>
      </c>
      <c r="Q31" s="20"/>
      <c r="R31" s="20" t="s">
        <v>26</v>
      </c>
      <c r="S31" s="20" t="s">
        <v>27</v>
      </c>
      <c r="T31" s="20" t="s">
        <v>28</v>
      </c>
      <c r="U31" s="20" t="s">
        <v>29</v>
      </c>
      <c r="V31" s="20" t="s">
        <v>30</v>
      </c>
      <c r="W31" s="20" t="s">
        <v>39</v>
      </c>
      <c r="X31" s="20"/>
      <c r="Y31" s="20" t="s">
        <v>5</v>
      </c>
      <c r="AA31" s="5" t="s">
        <v>6</v>
      </c>
      <c r="AB31" s="20" t="s">
        <v>52</v>
      </c>
      <c r="AC31" s="20" t="s">
        <v>36</v>
      </c>
      <c r="AD31" s="20" t="s">
        <v>37</v>
      </c>
    </row>
    <row r="32" spans="3:33" x14ac:dyDescent="0.25">
      <c r="C32" s="22">
        <v>0</v>
      </c>
      <c r="D32" s="22">
        <v>9133</v>
      </c>
      <c r="F32" s="3">
        <f>$F$20/(1-$F$20)-LN((1-$F$20)/$F$20)+(C32/$F$19)^2/((1-$F$20)*(1+0.534156*$F$20^0.7917))</f>
        <v>1.0565126066261179</v>
      </c>
      <c r="G32" s="3">
        <f>$G$20/(1-$G$20)-LN((1-$G$20)/$G$20)+(C32/$G$19)^2/((1-$G$20)*(1+0.534156*$G$20^0.7917))</f>
        <v>4.5830890057209883</v>
      </c>
      <c r="H32" s="3">
        <f>$H$20/(1-$H$20)-LN((1-$H$20)/$H$20)+(C32/$H$19)^2/((1-$H$20)*(1+0.534156*$H$20^0.7917))</f>
        <v>-0.4762099504030215</v>
      </c>
      <c r="I32" s="3">
        <f>$I$20/(1-$I$20)-LN((1-$I$20)/$I$20)+(C32/$I$19)^2/((1-$I$20)*(1+0.534156*$I$20^0.7917))</f>
        <v>0.41244138119334367</v>
      </c>
      <c r="J32" s="3">
        <f>$J$20/(1-$J$20)-LN((1-$J$20)/$J$20)+(C32/$J$19)^2/((1-$J$20)*(1+0.534156*$J$20^0.7917))</f>
        <v>-2.0861134662251084</v>
      </c>
      <c r="K32" s="3">
        <f>$K$18*EXP(-$K$20*C32)</f>
        <v>9083</v>
      </c>
      <c r="L32" s="3" cm="1">
        <f t="array" ref="L32">lmb_2(F32)</f>
        <v>1.0284549647680266</v>
      </c>
      <c r="M32" s="3" cm="1">
        <f t="array" ref="M32">lmb_2(G32)</f>
        <v>3.3685936600216873</v>
      </c>
      <c r="N32" s="3" cm="1">
        <f t="array" ref="N32">lmb_2(H32)</f>
        <v>0.41156889599643831</v>
      </c>
      <c r="O32" s="3" cm="1">
        <f t="array" ref="O32">lmb_2(I32)</f>
        <v>0.72879886777620795</v>
      </c>
      <c r="P32" s="3" cm="1">
        <f t="array" ref="P32">lmb_2(J32)</f>
        <v>0.11111111111111109</v>
      </c>
      <c r="R32" s="3">
        <f>$F$18*(C32/$F$19)*($L$28+$L$28^2)/(L32+L32^2)</f>
        <v>0</v>
      </c>
      <c r="S32" s="3">
        <f>$G$18*(C32/$G$19)*($M$28+$M$28^2)/(M32+M32^2)</f>
        <v>0</v>
      </c>
      <c r="T32" s="3">
        <f>$H$18*(C32/$H$19)*($N$28+$N$28^2)/(N32+N32^2)</f>
        <v>0</v>
      </c>
      <c r="U32" s="3">
        <f t="shared" ref="U32:U95" si="5">$I$18*(C32/$I$19)*($O$28+$O$28^2)/(O32+O32^2)</f>
        <v>0</v>
      </c>
      <c r="V32" s="3">
        <f t="shared" ref="V32:V95" si="6">$J$18*(C32/$J$19)*($P$28+$P$28^2)/(P32+P32^2)</f>
        <v>0</v>
      </c>
      <c r="W32" s="3">
        <f>$F$22+$G$22/$F$21*C32</f>
        <v>50</v>
      </c>
      <c r="Y32" s="3">
        <f>SUM(R32:W32)+K32</f>
        <v>9133</v>
      </c>
      <c r="AA32" s="3">
        <f>(D32-Y32)^2</f>
        <v>0</v>
      </c>
      <c r="AB32" s="3">
        <f>D32-Y32</f>
        <v>0</v>
      </c>
      <c r="AC32" s="3">
        <f>SUM(Y32:Y1031)</f>
        <v>3052513.7764002564</v>
      </c>
      <c r="AD32" s="3">
        <f>ABS(AB32/$AC$32)</f>
        <v>0</v>
      </c>
    </row>
    <row r="33" spans="3:30" x14ac:dyDescent="0.25">
      <c r="C33" s="22">
        <v>1</v>
      </c>
      <c r="D33" s="22">
        <v>20200</v>
      </c>
      <c r="F33" s="3">
        <f t="shared" ref="F33:F96" si="7">$F$20/(1-$F$20)-LN((1-$F$20)/$F$20)+(C33/$F$19)^2/((1-$F$20)*(1+0.534156*$F$20^0.7917))</f>
        <v>1.2104722987941576</v>
      </c>
      <c r="G33" s="3">
        <f t="shared" ref="G33:G96" si="8">$G$20/(1-$G$20)-LN((1-$G$20)/$G$20)+(C33/$G$19)^2/((1-$G$20)*(1+0.534156*$G$20^0.7917))</f>
        <v>4.6053316330432565</v>
      </c>
      <c r="H33" s="3">
        <f t="shared" ref="H33:H96" si="9">$H$20/(1-$H$20)-LN((1-$H$20)/$H$20)+(C33/$H$19)^2/((1-$H$20)*(1+0.534156*$H$20^0.7917))</f>
        <v>-0.47614927428854542</v>
      </c>
      <c r="I33" s="3">
        <f t="shared" ref="I33:I96" si="10">$I$20/(1-$I$20)-LN((1-$I$20)/$I$20)+(C33/$I$19)^2/((1-$I$20)*(1+0.534156*$I$20^0.7917))</f>
        <v>0.41246029041486493</v>
      </c>
      <c r="J33" s="3">
        <f t="shared" ref="J33:J96" si="11">$J$20/(1-$J$20)-LN((1-$J$20)/$J$20)+(C33/$J$19)^2/((1-$J$20)*(1+0.534156*$J$20^0.7917))</f>
        <v>-2.0861124433771048</v>
      </c>
      <c r="K33" s="3">
        <f t="shared" ref="K33:K96" si="12">$K$18*EXP(-$K$20*C33)</f>
        <v>8436.9379931350541</v>
      </c>
      <c r="L33" s="3" cm="1">
        <f t="array" ref="L33">lmb_2(F33)</f>
        <v>1.1079556964352424</v>
      </c>
      <c r="M33" s="3" cm="1">
        <f t="array" ref="M33">lmb_2(G33)</f>
        <v>3.3857547751298727</v>
      </c>
      <c r="N33" s="3" cm="1">
        <f t="array" ref="N33">lmb_2(H33)</f>
        <v>0.41158658750391464</v>
      </c>
      <c r="O33" s="3" cm="1">
        <f t="array" ref="O33">lmb_2(I33)</f>
        <v>0.7288068392430378</v>
      </c>
      <c r="P33" s="3" cm="1">
        <f t="array" ref="P33">lmb_2(J33)</f>
        <v>0.11111121339595384</v>
      </c>
      <c r="R33" s="3">
        <f t="shared" ref="R33:R96" si="13">$F$18*(C33/$F$19)*($L$28+$L$28^2)/(L33+L33^2)</f>
        <v>1836.2567143010317</v>
      </c>
      <c r="S33" s="3">
        <f t="shared" ref="S33:S96" si="14">$G$18*(C33/$G$19)*($M$28+$M$28^2)/(M33+M33^2)</f>
        <v>9720.6612091470033</v>
      </c>
      <c r="T33" s="3">
        <f t="shared" ref="T33:T96" si="15">$H$18*(C33/$H$19)*($N$28+$N$28^2)/(N33+N33^2)</f>
        <v>51.867288961871076</v>
      </c>
      <c r="U33" s="3">
        <f t="shared" si="5"/>
        <v>30.333375269714374</v>
      </c>
      <c r="V33" s="3">
        <f t="shared" si="6"/>
        <v>0</v>
      </c>
      <c r="W33" s="3">
        <f t="shared" ref="W33:W96" si="16">$F$22+$G$22/$F$21*C33</f>
        <v>51.773443103807296</v>
      </c>
      <c r="Y33" s="3">
        <f t="shared" ref="Y33:Y96" si="17">SUM(R33:W33)+K33</f>
        <v>20127.830023918483</v>
      </c>
      <c r="AA33" s="3">
        <f t="shared" ref="AA33:AA96" si="18">(D33-Y33)^2</f>
        <v>5208.5054476067698</v>
      </c>
      <c r="AB33" s="3">
        <f t="shared" ref="AB33:AB96" si="19">D33-Y33</f>
        <v>72.169976081517234</v>
      </c>
      <c r="AD33" s="3">
        <f t="shared" ref="AD33:AD96" si="20">ABS(AB33/$AC$32)</f>
        <v>2.3642801103628517E-5</v>
      </c>
    </row>
    <row r="34" spans="3:30" x14ac:dyDescent="0.25">
      <c r="C34" s="22">
        <v>2</v>
      </c>
      <c r="D34" s="22">
        <v>30377</v>
      </c>
      <c r="F34" s="3">
        <f t="shared" si="7"/>
        <v>1.6723513752982768</v>
      </c>
      <c r="G34" s="3">
        <f t="shared" si="8"/>
        <v>4.672059515010063</v>
      </c>
      <c r="H34" s="3">
        <f t="shared" si="9"/>
        <v>-0.47596724594511725</v>
      </c>
      <c r="I34" s="3">
        <f t="shared" si="10"/>
        <v>0.41251701807942875</v>
      </c>
      <c r="J34" s="3">
        <f t="shared" si="11"/>
        <v>-2.0861093748330934</v>
      </c>
      <c r="K34" s="3">
        <f t="shared" si="12"/>
        <v>7836.8295386993022</v>
      </c>
      <c r="L34" s="3" cm="1">
        <f t="array" ref="L34">lmb_2(F34)</f>
        <v>1.3628057495662815</v>
      </c>
      <c r="M34" s="3" cm="1">
        <f t="array" ref="M34">lmb_2(G34)</f>
        <v>3.4373567311088227</v>
      </c>
      <c r="N34" s="3" cm="1">
        <f t="array" ref="N34">lmb_2(H34)</f>
        <v>0.41163966525875745</v>
      </c>
      <c r="O34" s="3" cm="1">
        <f t="array" ref="O34">lmb_2(I34)</f>
        <v>0.72883075394612906</v>
      </c>
      <c r="P34" s="3" cm="1">
        <f t="array" ref="P34">lmb_2(J34)</f>
        <v>0.11111152025099054</v>
      </c>
      <c r="R34" s="3">
        <f t="shared" si="13"/>
        <v>2663.6998728343988</v>
      </c>
      <c r="S34" s="3">
        <f t="shared" si="14"/>
        <v>18926.778396087338</v>
      </c>
      <c r="T34" s="3">
        <f t="shared" si="15"/>
        <v>103.71730222648722</v>
      </c>
      <c r="U34" s="3">
        <f t="shared" si="5"/>
        <v>60.663920748180637</v>
      </c>
      <c r="V34" s="3">
        <f t="shared" si="6"/>
        <v>0</v>
      </c>
      <c r="W34" s="3">
        <f t="shared" si="16"/>
        <v>53.546886207614584</v>
      </c>
      <c r="Y34" s="3">
        <f t="shared" si="17"/>
        <v>29645.235916803325</v>
      </c>
      <c r="AA34" s="3">
        <f t="shared" si="18"/>
        <v>535478.67345666979</v>
      </c>
      <c r="AB34" s="3">
        <f t="shared" si="19"/>
        <v>731.76408319667462</v>
      </c>
      <c r="AD34" s="3">
        <f t="shared" si="20"/>
        <v>2.3972507146540167E-4</v>
      </c>
    </row>
    <row r="35" spans="3:30" x14ac:dyDescent="0.25">
      <c r="C35" s="22">
        <v>3</v>
      </c>
      <c r="D35" s="22">
        <v>38104</v>
      </c>
      <c r="F35" s="3">
        <f t="shared" si="7"/>
        <v>2.4421498361384755</v>
      </c>
      <c r="G35" s="3">
        <f t="shared" si="8"/>
        <v>4.7832726516214059</v>
      </c>
      <c r="H35" s="3">
        <f t="shared" si="9"/>
        <v>-0.47566386537273686</v>
      </c>
      <c r="I35" s="3">
        <f t="shared" si="10"/>
        <v>0.4126115641870351</v>
      </c>
      <c r="J35" s="3">
        <f t="shared" si="11"/>
        <v>-2.0861042605930744</v>
      </c>
      <c r="K35" s="3">
        <f t="shared" si="12"/>
        <v>7279.4060201227794</v>
      </c>
      <c r="L35" s="3" cm="1">
        <f t="array" ref="L35">lmb_2(F35)</f>
        <v>1.8350681929512127</v>
      </c>
      <c r="M35" s="3" cm="1">
        <f t="array" ref="M35">lmb_2(G35)</f>
        <v>3.5237475760615125</v>
      </c>
      <c r="N35" s="3" cm="1">
        <f t="array" ref="N35">lmb_2(H35)</f>
        <v>0.41172813895838273</v>
      </c>
      <c r="O35" s="3" cm="1">
        <f t="array" ref="O35">lmb_2(I35)</f>
        <v>0.72887061279327625</v>
      </c>
      <c r="P35" s="3" cm="1">
        <f t="array" ref="P35">lmb_2(J35)</f>
        <v>0.11111203167774662</v>
      </c>
      <c r="R35" s="3">
        <f t="shared" si="13"/>
        <v>2472.992549045282</v>
      </c>
      <c r="S35" s="3">
        <f t="shared" si="14"/>
        <v>27165.25291678396</v>
      </c>
      <c r="T35" s="3">
        <f t="shared" si="15"/>
        <v>155.5327746637976</v>
      </c>
      <c r="U35" s="3">
        <f t="shared" si="5"/>
        <v>90.988807161512014</v>
      </c>
      <c r="V35" s="3">
        <f t="shared" si="6"/>
        <v>0</v>
      </c>
      <c r="W35" s="3">
        <f t="shared" si="16"/>
        <v>55.320329311421879</v>
      </c>
      <c r="Y35" s="3">
        <f t="shared" si="17"/>
        <v>37219.49339708875</v>
      </c>
      <c r="AA35" s="3">
        <f t="shared" si="18"/>
        <v>782351.93059359875</v>
      </c>
      <c r="AB35" s="3">
        <f t="shared" si="19"/>
        <v>884.5066029112495</v>
      </c>
      <c r="AD35" s="3">
        <f t="shared" si="20"/>
        <v>2.8976334513199911E-4</v>
      </c>
    </row>
    <row r="36" spans="3:30" x14ac:dyDescent="0.25">
      <c r="C36" s="22">
        <v>4</v>
      </c>
      <c r="D36" s="22">
        <v>43662</v>
      </c>
      <c r="F36" s="3">
        <f t="shared" si="7"/>
        <v>3.5198676813147536</v>
      </c>
      <c r="G36" s="3">
        <f t="shared" si="8"/>
        <v>4.9389710428772862</v>
      </c>
      <c r="H36" s="3">
        <f t="shared" si="9"/>
        <v>-0.47523913257140438</v>
      </c>
      <c r="I36" s="3">
        <f t="shared" si="10"/>
        <v>0.41274392873768395</v>
      </c>
      <c r="J36" s="3">
        <f t="shared" si="11"/>
        <v>-2.0860971006570481</v>
      </c>
      <c r="K36" s="3">
        <f t="shared" si="12"/>
        <v>6761.6313132918549</v>
      </c>
      <c r="L36" s="3" cm="1">
        <f t="array" ref="L36">lmb_2(F36)</f>
        <v>2.5742928185072009</v>
      </c>
      <c r="M36" s="3" cm="1">
        <f t="array" ref="M36">lmb_2(G36)</f>
        <v>3.6454823533038807</v>
      </c>
      <c r="N36" s="3" cm="1">
        <f t="array" ref="N36">lmb_2(H36)</f>
        <v>0.41185202476572957</v>
      </c>
      <c r="O36" s="3" cm="1">
        <f t="array" ref="O36">lmb_2(I36)</f>
        <v>0.72892641729744212</v>
      </c>
      <c r="P36" s="3" cm="1">
        <f t="array" ref="P36">lmb_2(J36)</f>
        <v>0.11111274767876436</v>
      </c>
      <c r="R36" s="3">
        <f t="shared" si="13"/>
        <v>1864.3574738871644</v>
      </c>
      <c r="S36" s="3">
        <f t="shared" si="14"/>
        <v>34093.361858492666</v>
      </c>
      <c r="T36" s="3">
        <f t="shared" si="15"/>
        <v>207.29646226891876</v>
      </c>
      <c r="U36" s="3">
        <f t="shared" si="5"/>
        <v>121.30520627040181</v>
      </c>
      <c r="V36" s="3">
        <f t="shared" si="6"/>
        <v>0</v>
      </c>
      <c r="W36" s="3">
        <f t="shared" si="16"/>
        <v>57.093772415229168</v>
      </c>
      <c r="Y36" s="3">
        <f t="shared" si="17"/>
        <v>43105.046086626229</v>
      </c>
      <c r="AA36" s="3">
        <f t="shared" si="18"/>
        <v>310197.66162235779</v>
      </c>
      <c r="AB36" s="3">
        <f t="shared" si="19"/>
        <v>556.95391337377077</v>
      </c>
      <c r="AD36" s="3">
        <f t="shared" si="20"/>
        <v>1.8245746102105094E-4</v>
      </c>
    </row>
    <row r="37" spans="3:30" x14ac:dyDescent="0.25">
      <c r="C37" s="22">
        <v>5</v>
      </c>
      <c r="D37" s="22">
        <v>47562</v>
      </c>
      <c r="F37" s="3">
        <f t="shared" si="7"/>
        <v>4.9055049108271112</v>
      </c>
      <c r="G37" s="3">
        <f t="shared" si="8"/>
        <v>5.1391546887777046</v>
      </c>
      <c r="H37" s="3">
        <f t="shared" si="9"/>
        <v>-0.47469304754111979</v>
      </c>
      <c r="I37" s="3">
        <f t="shared" si="10"/>
        <v>0.41291411173137532</v>
      </c>
      <c r="J37" s="3">
        <f t="shared" si="11"/>
        <v>-2.0860878950250146</v>
      </c>
      <c r="K37" s="3">
        <f t="shared" si="12"/>
        <v>6280.685249662416</v>
      </c>
      <c r="L37" s="3" cm="1">
        <f t="array" ref="L37">lmb_2(F37)</f>
        <v>3.6192406673835138</v>
      </c>
      <c r="M37" s="3" cm="1">
        <f t="array" ref="M37">lmb_2(G37)</f>
        <v>3.8032885804055852</v>
      </c>
      <c r="N37" s="3" cm="1">
        <f t="array" ref="N37">lmb_2(H37)</f>
        <v>0.41201134531012767</v>
      </c>
      <c r="O37" s="3" cm="1">
        <f t="array" ref="O37">lmb_2(I37)</f>
        <v>0.72899816957671304</v>
      </c>
      <c r="P37" s="3" cm="1">
        <f t="array" ref="P37">lmb_2(J37)</f>
        <v>0.11111366825760302</v>
      </c>
      <c r="R37" s="3">
        <f t="shared" si="13"/>
        <v>1282.6235851216843</v>
      </c>
      <c r="S37" s="3">
        <f t="shared" si="14"/>
        <v>39506.421848375758</v>
      </c>
      <c r="T37" s="3">
        <f t="shared" si="15"/>
        <v>258.99115270162622</v>
      </c>
      <c r="U37" s="3">
        <f t="shared" si="5"/>
        <v>151.61029138705695</v>
      </c>
      <c r="V37" s="3">
        <f t="shared" si="6"/>
        <v>0</v>
      </c>
      <c r="W37" s="3">
        <f t="shared" si="16"/>
        <v>58.867215519036463</v>
      </c>
      <c r="Y37" s="3">
        <f t="shared" si="17"/>
        <v>47539.199342767577</v>
      </c>
      <c r="AA37" s="3">
        <f t="shared" si="18"/>
        <v>519.8699702304416</v>
      </c>
      <c r="AB37" s="3">
        <f t="shared" si="19"/>
        <v>22.800657232422964</v>
      </c>
      <c r="AD37" s="3">
        <f t="shared" si="20"/>
        <v>7.4694690679860378E-6</v>
      </c>
    </row>
    <row r="38" spans="3:30" x14ac:dyDescent="0.25">
      <c r="C38" s="22">
        <v>6</v>
      </c>
      <c r="D38" s="22">
        <v>50290</v>
      </c>
      <c r="F38" s="3">
        <f t="shared" si="7"/>
        <v>6.5990615246755482</v>
      </c>
      <c r="G38" s="3">
        <f t="shared" si="8"/>
        <v>5.3838235893226596</v>
      </c>
      <c r="H38" s="3">
        <f t="shared" si="9"/>
        <v>-0.47402561028188306</v>
      </c>
      <c r="I38" s="3">
        <f t="shared" si="10"/>
        <v>0.41312211316810926</v>
      </c>
      <c r="J38" s="3">
        <f t="shared" si="11"/>
        <v>-2.0860766436969729</v>
      </c>
      <c r="K38" s="3">
        <f t="shared" si="12"/>
        <v>5833.9482556203639</v>
      </c>
      <c r="L38" s="3" cm="1">
        <f t="array" ref="L38">lmb_2(F38)</f>
        <v>4.9913542574536063</v>
      </c>
      <c r="M38" s="3" cm="1">
        <f t="array" ref="M38">lmb_2(G38)</f>
        <v>3.9980234802601573</v>
      </c>
      <c r="N38" s="3" cm="1">
        <f t="array" ref="N38">lmb_2(H38)</f>
        <v>0.41220612968850689</v>
      </c>
      <c r="O38" s="3" cm="1">
        <f t="array" ref="O38">lmb_2(I38)</f>
        <v>0.72908587235423705</v>
      </c>
      <c r="P38" s="3" cm="1">
        <f t="array" ref="P38">lmb_2(J38)</f>
        <v>0.11111479341883898</v>
      </c>
      <c r="R38" s="3">
        <f t="shared" si="13"/>
        <v>860.44898535049549</v>
      </c>
      <c r="S38" s="3">
        <f t="shared" si="14"/>
        <v>43341.433322506447</v>
      </c>
      <c r="T38" s="3">
        <f t="shared" si="15"/>
        <v>310.59967579816418</v>
      </c>
      <c r="U38" s="3">
        <f t="shared" si="5"/>
        <v>181.90123789170411</v>
      </c>
      <c r="V38" s="3">
        <f t="shared" si="6"/>
        <v>0</v>
      </c>
      <c r="W38" s="3">
        <f t="shared" si="16"/>
        <v>60.640658622843759</v>
      </c>
      <c r="Y38" s="3">
        <f t="shared" si="17"/>
        <v>50588.972135790013</v>
      </c>
      <c r="AA38" s="3">
        <f t="shared" si="18"/>
        <v>89384.337978841693</v>
      </c>
      <c r="AB38" s="3">
        <f t="shared" si="19"/>
        <v>-298.97213579001254</v>
      </c>
      <c r="AD38" s="3">
        <f t="shared" si="20"/>
        <v>9.7942927596737003E-5</v>
      </c>
    </row>
    <row r="39" spans="3:30" x14ac:dyDescent="0.25">
      <c r="C39" s="22">
        <v>7</v>
      </c>
      <c r="D39" s="22">
        <v>51794</v>
      </c>
      <c r="F39" s="3">
        <f t="shared" si="7"/>
        <v>8.6005375228600656</v>
      </c>
      <c r="G39" s="3">
        <f t="shared" si="8"/>
        <v>5.6729777445121519</v>
      </c>
      <c r="H39" s="3">
        <f t="shared" si="9"/>
        <v>-0.47323682079369417</v>
      </c>
      <c r="I39" s="3">
        <f t="shared" si="10"/>
        <v>0.41336793304788572</v>
      </c>
      <c r="J39" s="3">
        <f t="shared" si="11"/>
        <v>-2.0860633466729244</v>
      </c>
      <c r="K39" s="3">
        <f t="shared" si="12"/>
        <v>5418.987084424466</v>
      </c>
      <c r="L39" s="3" cm="1">
        <f t="array" ref="L39">lmb_2(F39)</f>
        <v>6.6986339111156594</v>
      </c>
      <c r="M39" s="3" cm="1">
        <f t="array" ref="M39">lmb_2(G39)</f>
        <v>4.2306274331126277</v>
      </c>
      <c r="N39" s="3" cm="1">
        <f t="array" ref="N39">lmb_2(H39)</f>
        <v>0.41243641346694765</v>
      </c>
      <c r="O39" s="3" cm="1">
        <f t="array" ref="O39">lmb_2(I39)</f>
        <v>0.72918952895814615</v>
      </c>
      <c r="P39" s="3" cm="1">
        <f t="array" ref="P39">lmb_2(J39)</f>
        <v>0.11111612316806535</v>
      </c>
      <c r="R39" s="3">
        <f t="shared" si="13"/>
        <v>582.12385728122558</v>
      </c>
      <c r="S39" s="3">
        <f t="shared" si="14"/>
        <v>45659.917579051398</v>
      </c>
      <c r="T39" s="3">
        <f t="shared" si="15"/>
        <v>362.10491404619171</v>
      </c>
      <c r="U39" s="3">
        <f t="shared" si="5"/>
        <v>212.17522374852609</v>
      </c>
      <c r="V39" s="3">
        <f t="shared" si="6"/>
        <v>0</v>
      </c>
      <c r="W39" s="3">
        <f t="shared" si="16"/>
        <v>62.414101726651054</v>
      </c>
      <c r="Y39" s="3">
        <f t="shared" si="17"/>
        <v>52297.722760278462</v>
      </c>
      <c r="AA39" s="3">
        <f t="shared" si="18"/>
        <v>253736.61922255327</v>
      </c>
      <c r="AB39" s="3">
        <f t="shared" si="19"/>
        <v>-503.72276027846237</v>
      </c>
      <c r="AD39" s="3">
        <f t="shared" si="20"/>
        <v>1.6501899653094718E-4</v>
      </c>
    </row>
    <row r="40" spans="3:30" x14ac:dyDescent="0.25">
      <c r="C40" s="22">
        <v>8</v>
      </c>
      <c r="D40" s="22">
        <v>51927</v>
      </c>
      <c r="F40" s="3">
        <f t="shared" si="7"/>
        <v>10.909932905380661</v>
      </c>
      <c r="G40" s="3">
        <f t="shared" si="8"/>
        <v>6.0066171543461815</v>
      </c>
      <c r="H40" s="3">
        <f t="shared" si="9"/>
        <v>-0.47232667907655312</v>
      </c>
      <c r="I40" s="3">
        <f t="shared" si="10"/>
        <v>0.41365157137070474</v>
      </c>
      <c r="J40" s="3">
        <f t="shared" si="11"/>
        <v>-2.0860480039528677</v>
      </c>
      <c r="K40" s="3">
        <f t="shared" si="12"/>
        <v>5033.5415630176076</v>
      </c>
      <c r="L40" s="3" cm="1">
        <f t="array" ref="L40">lmb_2(F40)</f>
        <v>8.7418150640428678</v>
      </c>
      <c r="M40" s="3" cm="1">
        <f t="array" ref="M40">lmb_2(G40)</f>
        <v>4.5020780706793939</v>
      </c>
      <c r="N40" s="3" cm="1">
        <f t="array" ref="N40">lmb_2(H40)</f>
        <v>0.41270223868256417</v>
      </c>
      <c r="O40" s="3" cm="1">
        <f t="array" ref="O40">lmb_2(I40)</f>
        <v>0.7293091433214588</v>
      </c>
      <c r="P40" s="3" cm="1">
        <f t="array" ref="P40">lmb_2(J40)</f>
        <v>0.11111765751189258</v>
      </c>
      <c r="R40" s="3">
        <f t="shared" si="13"/>
        <v>402.87077318857058</v>
      </c>
      <c r="S40" s="3">
        <f t="shared" si="14"/>
        <v>46617.166047415674</v>
      </c>
      <c r="T40" s="3">
        <f t="shared" si="15"/>
        <v>413.48981301372794</v>
      </c>
      <c r="U40" s="3">
        <f t="shared" si="5"/>
        <v>242.4294300208858</v>
      </c>
      <c r="V40" s="3">
        <f t="shared" si="6"/>
        <v>0</v>
      </c>
      <c r="W40" s="3">
        <f t="shared" si="16"/>
        <v>64.187544830458336</v>
      </c>
      <c r="Y40" s="3">
        <f t="shared" si="17"/>
        <v>52773.685171486926</v>
      </c>
      <c r="AA40" s="3">
        <f t="shared" si="18"/>
        <v>716875.77961584576</v>
      </c>
      <c r="AB40" s="3">
        <f t="shared" si="19"/>
        <v>-846.68517148692627</v>
      </c>
      <c r="AD40" s="3">
        <f t="shared" si="20"/>
        <v>2.7737308772620784E-4</v>
      </c>
    </row>
    <row r="41" spans="3:30" x14ac:dyDescent="0.25">
      <c r="C41" s="22">
        <v>9</v>
      </c>
      <c r="D41" s="22">
        <v>50938</v>
      </c>
      <c r="F41" s="3">
        <f t="shared" si="7"/>
        <v>13.527247672237339</v>
      </c>
      <c r="G41" s="3">
        <f t="shared" si="8"/>
        <v>6.3847418188247484</v>
      </c>
      <c r="H41" s="3">
        <f t="shared" si="9"/>
        <v>-0.47129518513045998</v>
      </c>
      <c r="I41" s="3">
        <f t="shared" si="10"/>
        <v>0.41397302813656628</v>
      </c>
      <c r="J41" s="3">
        <f t="shared" si="11"/>
        <v>-2.0860306155368038</v>
      </c>
      <c r="K41" s="3">
        <f t="shared" si="12"/>
        <v>4675.5122815201648</v>
      </c>
      <c r="L41" s="3" cm="1">
        <f t="array" ref="L41">lmb_2(F41)</f>
        <v>11.118625956144607</v>
      </c>
      <c r="M41" s="3" cm="1">
        <f t="array" ref="M41">lmb_2(G41)</f>
        <v>4.8133487674908899</v>
      </c>
      <c r="N41" s="3" cm="1">
        <f t="array" ref="N41">lmb_2(H41)</f>
        <v>0.41300365384571763</v>
      </c>
      <c r="O41" s="3" cm="1">
        <f t="array" ref="O41">lmb_2(I41)</f>
        <v>0.72944471998196658</v>
      </c>
      <c r="P41" s="3" cm="1">
        <f t="array" ref="P41">lmb_2(J41)</f>
        <v>0.11111939645794798</v>
      </c>
      <c r="R41" s="3">
        <f t="shared" si="13"/>
        <v>286.45425555736426</v>
      </c>
      <c r="S41" s="3">
        <f t="shared" si="14"/>
        <v>46426.340369921498</v>
      </c>
      <c r="T41" s="3">
        <f t="shared" si="15"/>
        <v>464.73739172300378</v>
      </c>
      <c r="U41" s="3">
        <f t="shared" si="5"/>
        <v>272.66104138569716</v>
      </c>
      <c r="V41" s="3">
        <f t="shared" si="6"/>
        <v>0</v>
      </c>
      <c r="W41" s="3">
        <f t="shared" si="16"/>
        <v>65.960987934265631</v>
      </c>
      <c r="Y41" s="3">
        <f t="shared" si="17"/>
        <v>52191.666328042003</v>
      </c>
      <c r="AA41" s="3">
        <f t="shared" si="18"/>
        <v>1571679.2620663203</v>
      </c>
      <c r="AB41" s="3">
        <f t="shared" si="19"/>
        <v>-1253.6663280420034</v>
      </c>
      <c r="AD41" s="3">
        <f t="shared" si="20"/>
        <v>4.1069964621762227E-4</v>
      </c>
    </row>
    <row r="42" spans="3:30" x14ac:dyDescent="0.25">
      <c r="C42" s="22">
        <v>10</v>
      </c>
      <c r="D42" s="22">
        <v>49954</v>
      </c>
      <c r="F42" s="3">
        <f t="shared" si="7"/>
        <v>16.452481823430091</v>
      </c>
      <c r="G42" s="3">
        <f t="shared" si="8"/>
        <v>6.8073517379478528</v>
      </c>
      <c r="H42" s="3">
        <f t="shared" si="9"/>
        <v>-0.47014233895541468</v>
      </c>
      <c r="I42" s="3">
        <f t="shared" si="10"/>
        <v>0.41433230334547033</v>
      </c>
      <c r="J42" s="3">
        <f t="shared" si="11"/>
        <v>-2.0860111814247326</v>
      </c>
      <c r="K42" s="3">
        <f t="shared" si="12"/>
        <v>4342.9491583537429</v>
      </c>
      <c r="L42" s="3" cm="1">
        <f t="array" ref="L42">lmb_2(F42)</f>
        <v>13.825935603551894</v>
      </c>
      <c r="M42" s="3" cm="1">
        <f t="array" ref="M42">lmb_2(G42)</f>
        <v>5.1653741906362116</v>
      </c>
      <c r="N42" s="3" cm="1">
        <f t="array" ref="N42">lmb_2(H42)</f>
        <v>0.41334071394255018</v>
      </c>
      <c r="O42" s="3" cm="1">
        <f t="array" ref="O42">lmb_2(I42)</f>
        <v>0.72959626408210143</v>
      </c>
      <c r="P42" s="3" cm="1">
        <f t="array" ref="P42">lmb_2(J42)</f>
        <v>0.11112134001487609</v>
      </c>
      <c r="R42" s="3">
        <f t="shared" si="13"/>
        <v>209.21876359967703</v>
      </c>
      <c r="S42" s="3">
        <f t="shared" si="14"/>
        <v>45324.646267593482</v>
      </c>
      <c r="T42" s="3">
        <f t="shared" si="15"/>
        <v>515.83075296019229</v>
      </c>
      <c r="U42" s="3">
        <f t="shared" si="5"/>
        <v>302.8672466468006</v>
      </c>
      <c r="V42" s="3">
        <f t="shared" si="6"/>
        <v>0</v>
      </c>
      <c r="W42" s="3">
        <f t="shared" si="16"/>
        <v>67.734431038072927</v>
      </c>
      <c r="Y42" s="3">
        <f t="shared" si="17"/>
        <v>50763.246620191967</v>
      </c>
      <c r="AA42" s="3">
        <f t="shared" si="18"/>
        <v>654880.09229212161</v>
      </c>
      <c r="AB42" s="3">
        <f t="shared" si="19"/>
        <v>-809.24662019196694</v>
      </c>
      <c r="AD42" s="3">
        <f t="shared" si="20"/>
        <v>2.6510826141013807E-4</v>
      </c>
    </row>
    <row r="43" spans="3:30" x14ac:dyDescent="0.25">
      <c r="C43" s="22">
        <v>11</v>
      </c>
      <c r="D43" s="22">
        <v>48081</v>
      </c>
      <c r="F43" s="3">
        <f t="shared" si="7"/>
        <v>19.685635358958926</v>
      </c>
      <c r="G43" s="3">
        <f t="shared" si="8"/>
        <v>7.2744469117154935</v>
      </c>
      <c r="H43" s="3">
        <f t="shared" si="9"/>
        <v>-0.46886814055141723</v>
      </c>
      <c r="I43" s="3">
        <f t="shared" si="10"/>
        <v>0.41472939699741695</v>
      </c>
      <c r="J43" s="3">
        <f t="shared" si="11"/>
        <v>-2.0859897016166533</v>
      </c>
      <c r="K43" s="3">
        <f t="shared" si="12"/>
        <v>4034.0408187128264</v>
      </c>
      <c r="L43" s="3" cm="1">
        <f t="array" ref="L43">lmb_2(F43)</f>
        <v>16.860652694529012</v>
      </c>
      <c r="M43" s="3" cm="1">
        <f t="array" ref="M43">lmb_2(G43)</f>
        <v>5.5590243037833389</v>
      </c>
      <c r="N43" s="3" cm="1">
        <f t="array" ref="N43">lmb_2(H43)</f>
        <v>0.41371348043783346</v>
      </c>
      <c r="O43" s="3" cm="1">
        <f t="array" ref="O43">lmb_2(I43)</f>
        <v>0.72976378136878661</v>
      </c>
      <c r="P43" s="3" cm="1">
        <f t="array" ref="P43">lmb_2(J43)</f>
        <v>0.11112348819233871</v>
      </c>
      <c r="R43" s="3">
        <f t="shared" si="13"/>
        <v>156.65283086328395</v>
      </c>
      <c r="S43" s="3">
        <f t="shared" si="14"/>
        <v>43546.22617134852</v>
      </c>
      <c r="T43" s="3">
        <f t="shared" si="15"/>
        <v>566.75309351205647</v>
      </c>
      <c r="U43" s="3">
        <f t="shared" si="5"/>
        <v>333.04523924720155</v>
      </c>
      <c r="V43" s="3">
        <f t="shared" si="6"/>
        <v>0</v>
      </c>
      <c r="W43" s="3">
        <f t="shared" si="16"/>
        <v>69.507874141880222</v>
      </c>
      <c r="Y43" s="3">
        <f t="shared" si="17"/>
        <v>48706.226027825775</v>
      </c>
      <c r="AA43" s="3">
        <f t="shared" si="18"/>
        <v>390907.58587079617</v>
      </c>
      <c r="AB43" s="3">
        <f t="shared" si="19"/>
        <v>-625.22602782577451</v>
      </c>
      <c r="AD43" s="3">
        <f t="shared" si="20"/>
        <v>2.0482332714091334E-4</v>
      </c>
    </row>
    <row r="44" spans="3:30" x14ac:dyDescent="0.25">
      <c r="C44" s="22">
        <v>12</v>
      </c>
      <c r="D44" s="22">
        <v>45731</v>
      </c>
      <c r="F44" s="3">
        <f t="shared" si="7"/>
        <v>23.226708278823839</v>
      </c>
      <c r="G44" s="3">
        <f t="shared" si="8"/>
        <v>7.7860273401276734</v>
      </c>
      <c r="H44" s="3">
        <f t="shared" si="9"/>
        <v>-0.46747258991846763</v>
      </c>
      <c r="I44" s="3">
        <f t="shared" si="10"/>
        <v>0.41516430909240609</v>
      </c>
      <c r="J44" s="3">
        <f t="shared" si="11"/>
        <v>-2.0859661761125672</v>
      </c>
      <c r="K44" s="3">
        <f t="shared" si="12"/>
        <v>3747.1047285319696</v>
      </c>
      <c r="L44" s="3" cm="1">
        <f t="array" ref="L44">lmb_2(F44)</f>
        <v>20.220034365646107</v>
      </c>
      <c r="M44" s="3" cm="1">
        <f t="array" ref="M44">lmb_2(G44)</f>
        <v>5.9950870339903783</v>
      </c>
      <c r="N44" s="3" cm="1">
        <f t="array" ref="N44">lmb_2(H44)</f>
        <v>0.41412202127812081</v>
      </c>
      <c r="O44" s="3" cm="1">
        <f t="array" ref="O44">lmb_2(I44)</f>
        <v>0.72994727819327021</v>
      </c>
      <c r="P44" s="3" cm="1">
        <f t="array" ref="P44">lmb_2(J44)</f>
        <v>0.11112584100101468</v>
      </c>
      <c r="R44" s="3">
        <f t="shared" si="13"/>
        <v>119.94179505325017</v>
      </c>
      <c r="S44" s="3">
        <f t="shared" si="14"/>
        <v>41303.635825591402</v>
      </c>
      <c r="T44" s="3">
        <f t="shared" si="15"/>
        <v>617.487714320637</v>
      </c>
      <c r="U44" s="3">
        <f t="shared" si="5"/>
        <v>363.19221778003237</v>
      </c>
      <c r="V44" s="3">
        <f t="shared" si="6"/>
        <v>0</v>
      </c>
      <c r="W44" s="3">
        <f t="shared" si="16"/>
        <v>71.281317245687518</v>
      </c>
      <c r="Y44" s="3">
        <f t="shared" si="17"/>
        <v>46222.643598522984</v>
      </c>
      <c r="AA44" s="3">
        <f t="shared" si="18"/>
        <v>241713.42796862873</v>
      </c>
      <c r="AB44" s="3">
        <f t="shared" si="19"/>
        <v>-491.64359852298367</v>
      </c>
      <c r="AD44" s="3">
        <f t="shared" si="20"/>
        <v>1.6106187704180165E-4</v>
      </c>
    </row>
    <row r="45" spans="3:30" x14ac:dyDescent="0.25">
      <c r="C45" s="22">
        <v>13</v>
      </c>
      <c r="D45" s="22">
        <v>43408</v>
      </c>
      <c r="F45" s="3">
        <f t="shared" si="7"/>
        <v>27.075700583024837</v>
      </c>
      <c r="G45" s="3">
        <f t="shared" si="8"/>
        <v>8.3420930231843879</v>
      </c>
      <c r="H45" s="3">
        <f t="shared" si="9"/>
        <v>-0.46595568705656593</v>
      </c>
      <c r="I45" s="3">
        <f t="shared" si="10"/>
        <v>0.41563703963043774</v>
      </c>
      <c r="J45" s="3">
        <f t="shared" si="11"/>
        <v>-2.0859406049124729</v>
      </c>
      <c r="K45" s="3">
        <f t="shared" si="12"/>
        <v>3480.578030211097</v>
      </c>
      <c r="L45" s="3" cm="1">
        <f t="array" ref="L45">lmb_2(F45)</f>
        <v>23.90174894898302</v>
      </c>
      <c r="M45" s="3" cm="1">
        <f t="array" ref="M45">lmb_2(G45)</f>
        <v>6.4742588807249639</v>
      </c>
      <c r="N45" s="3" cm="1">
        <f t="array" ref="N45">lmb_2(H45)</f>
        <v>0.41456641089519397</v>
      </c>
      <c r="O45" s="3" cm="1">
        <f t="array" ref="O45">lmb_2(I45)</f>
        <v>0.73014676151093827</v>
      </c>
      <c r="P45" s="3" cm="1">
        <f t="array" ref="P45">lmb_2(J45)</f>
        <v>0.11112839845260043</v>
      </c>
      <c r="R45" s="3">
        <f t="shared" si="13"/>
        <v>93.670123291882419</v>
      </c>
      <c r="S45" s="3">
        <f t="shared" si="14"/>
        <v>38777.589298064369</v>
      </c>
      <c r="T45" s="3">
        <f t="shared" si="15"/>
        <v>668.01803054718698</v>
      </c>
      <c r="U45" s="3">
        <f t="shared" si="5"/>
        <v>393.30538649809768</v>
      </c>
      <c r="V45" s="3">
        <f t="shared" si="6"/>
        <v>0</v>
      </c>
      <c r="W45" s="3">
        <f t="shared" si="16"/>
        <v>73.054760349494813</v>
      </c>
      <c r="Y45" s="3">
        <f t="shared" si="17"/>
        <v>43486.215628962127</v>
      </c>
      <c r="AA45" s="3">
        <f t="shared" si="18"/>
        <v>6117.6846139411327</v>
      </c>
      <c r="AB45" s="3">
        <f t="shared" si="19"/>
        <v>-78.215628962127084</v>
      </c>
      <c r="AD45" s="3">
        <f t="shared" si="20"/>
        <v>2.5623350029353374E-5</v>
      </c>
    </row>
    <row r="46" spans="3:30" x14ac:dyDescent="0.25">
      <c r="C46" s="22">
        <v>14</v>
      </c>
      <c r="D46" s="22">
        <v>40659</v>
      </c>
      <c r="F46" s="3">
        <f t="shared" si="7"/>
        <v>31.232612271561912</v>
      </c>
      <c r="G46" s="3">
        <f t="shared" si="8"/>
        <v>8.9426439608856434</v>
      </c>
      <c r="H46" s="3">
        <f t="shared" si="9"/>
        <v>-0.46431743196571207</v>
      </c>
      <c r="I46" s="3">
        <f t="shared" si="10"/>
        <v>0.41614758861151196</v>
      </c>
      <c r="J46" s="3">
        <f t="shared" si="11"/>
        <v>-2.0859129880163714</v>
      </c>
      <c r="K46" s="3">
        <f t="shared" si="12"/>
        <v>3233.0090301837695</v>
      </c>
      <c r="L46" s="3" cm="1">
        <f t="array" ref="L46">lmb_2(F46)</f>
        <v>27.903847682477068</v>
      </c>
      <c r="M46" s="3" cm="1">
        <f t="array" ref="M46">lmb_2(G46)</f>
        <v>6.9971421582933502</v>
      </c>
      <c r="N46" s="3" cm="1">
        <f t="array" ref="N46">lmb_2(H46)</f>
        <v>0.41504673020979366</v>
      </c>
      <c r="O46" s="3" cm="1">
        <f t="array" ref="O46">lmb_2(I46)</f>
        <v>0.73036223888111373</v>
      </c>
      <c r="P46" s="3" cm="1">
        <f t="array" ref="P46">lmb_2(J46)</f>
        <v>0.11113116055980957</v>
      </c>
      <c r="R46" s="3">
        <f t="shared" si="13"/>
        <v>74.443289178317272</v>
      </c>
      <c r="S46" s="3">
        <f t="shared" si="14"/>
        <v>36113.382993922853</v>
      </c>
      <c r="T46" s="3">
        <f t="shared" si="15"/>
        <v>718.32758153666396</v>
      </c>
      <c r="U46" s="3">
        <f t="shared" si="5"/>
        <v>423.38195582185989</v>
      </c>
      <c r="V46" s="3">
        <f t="shared" si="6"/>
        <v>0</v>
      </c>
      <c r="W46" s="3">
        <f t="shared" si="16"/>
        <v>74.828203453302109</v>
      </c>
      <c r="Y46" s="3">
        <f t="shared" si="17"/>
        <v>40637.373054096766</v>
      </c>
      <c r="AA46" s="3">
        <f t="shared" si="18"/>
        <v>467.72478910139773</v>
      </c>
      <c r="AB46" s="3">
        <f t="shared" si="19"/>
        <v>21.626945903233718</v>
      </c>
      <c r="AD46" s="3">
        <f t="shared" si="20"/>
        <v>7.0849625873720929E-6</v>
      </c>
    </row>
    <row r="47" spans="3:30" x14ac:dyDescent="0.25">
      <c r="C47" s="22">
        <v>15</v>
      </c>
      <c r="D47" s="22">
        <v>37558</v>
      </c>
      <c r="F47" s="3">
        <f t="shared" si="7"/>
        <v>35.697443344435058</v>
      </c>
      <c r="G47" s="3">
        <f t="shared" si="8"/>
        <v>9.5876801532314317</v>
      </c>
      <c r="H47" s="3">
        <f t="shared" si="9"/>
        <v>-0.46255782464590611</v>
      </c>
      <c r="I47" s="3">
        <f t="shared" si="10"/>
        <v>0.4166959560356287</v>
      </c>
      <c r="J47" s="3">
        <f t="shared" si="11"/>
        <v>-2.0858833254242626</v>
      </c>
      <c r="K47" s="3">
        <f t="shared" si="12"/>
        <v>3003.0492919636854</v>
      </c>
      <c r="L47" s="3" cm="1">
        <f t="array" ref="L47">lmb_2(F47)</f>
        <v>32.224709801048391</v>
      </c>
      <c r="M47" s="3" cm="1">
        <f t="array" ref="M47">lmb_2(G47)</f>
        <v>7.5642473076206009</v>
      </c>
      <c r="N47" s="3" cm="1">
        <f t="array" ref="N47">lmb_2(H47)</f>
        <v>0.41556306663562026</v>
      </c>
      <c r="O47" s="3" cm="1">
        <f t="array" ref="O47">lmb_2(I47)</f>
        <v>0.73059371846683452</v>
      </c>
      <c r="P47" s="3" cm="1">
        <f t="array" ref="P47">lmb_2(J47)</f>
        <v>0.11113412733637328</v>
      </c>
      <c r="R47" s="3">
        <f t="shared" si="13"/>
        <v>60.083928159396564</v>
      </c>
      <c r="S47" s="3">
        <f t="shared" si="14"/>
        <v>33421.965880525415</v>
      </c>
      <c r="T47" s="3">
        <f t="shared" si="15"/>
        <v>768.4000406741925</v>
      </c>
      <c r="U47" s="3">
        <f t="shared" si="5"/>
        <v>453.41914284573119</v>
      </c>
      <c r="V47" s="3">
        <f t="shared" si="6"/>
        <v>0</v>
      </c>
      <c r="W47" s="3">
        <f t="shared" si="16"/>
        <v>76.60164655710939</v>
      </c>
      <c r="Y47" s="3">
        <f t="shared" si="17"/>
        <v>37783.519930725524</v>
      </c>
      <c r="AA47" s="3">
        <f t="shared" si="18"/>
        <v>50859.239154445284</v>
      </c>
      <c r="AB47" s="3">
        <f t="shared" si="19"/>
        <v>-225.51993072552432</v>
      </c>
      <c r="AD47" s="3">
        <f t="shared" si="20"/>
        <v>7.3880069754008983E-5</v>
      </c>
    </row>
    <row r="48" spans="3:30" x14ac:dyDescent="0.25">
      <c r="C48" s="22">
        <v>16</v>
      </c>
      <c r="D48" s="22">
        <v>35295</v>
      </c>
      <c r="F48" s="3">
        <f t="shared" si="7"/>
        <v>40.470193801644285</v>
      </c>
      <c r="G48" s="3">
        <f t="shared" si="8"/>
        <v>10.277201600221762</v>
      </c>
      <c r="H48" s="3">
        <f t="shared" si="9"/>
        <v>-0.460676865097148</v>
      </c>
      <c r="I48" s="3">
        <f t="shared" si="10"/>
        <v>0.41728214190278795</v>
      </c>
      <c r="J48" s="3">
        <f t="shared" si="11"/>
        <v>-2.0858516171361461</v>
      </c>
      <c r="K48" s="3">
        <f t="shared" si="12"/>
        <v>2789.4462916025263</v>
      </c>
      <c r="L48" s="3" cm="1">
        <f t="array" ref="L48">lmb_2(F48)</f>
        <v>36.862985847593976</v>
      </c>
      <c r="M48" s="3" cm="1">
        <f t="array" ref="M48">lmb_2(G48)</f>
        <v>8.1759987229547999</v>
      </c>
      <c r="N48" s="3" cm="1">
        <f t="array" ref="N48">lmb_2(H48)</f>
        <v>0.4161155140835921</v>
      </c>
      <c r="O48" s="3" cm="1">
        <f t="array" ref="O48">lmb_2(I48)</f>
        <v>0.73084120903461502</v>
      </c>
      <c r="P48" s="3" cm="1">
        <f t="array" ref="P48">lmb_2(J48)</f>
        <v>0.11113729879704032</v>
      </c>
      <c r="R48" s="3">
        <f t="shared" si="13"/>
        <v>49.162265113069097</v>
      </c>
      <c r="S48" s="3">
        <f t="shared" si="14"/>
        <v>30783.746560952175</v>
      </c>
      <c r="T48" s="3">
        <f t="shared" si="15"/>
        <v>818.21922512503841</v>
      </c>
      <c r="U48" s="3">
        <f t="shared" si="5"/>
        <v>483.41417184252862</v>
      </c>
      <c r="V48" s="3">
        <f t="shared" si="6"/>
        <v>0</v>
      </c>
      <c r="W48" s="3">
        <f t="shared" si="16"/>
        <v>78.375089660916686</v>
      </c>
      <c r="Y48" s="3">
        <f t="shared" si="17"/>
        <v>35002.363604296253</v>
      </c>
      <c r="AA48" s="3">
        <f t="shared" si="18"/>
        <v>85636.060090479717</v>
      </c>
      <c r="AB48" s="3">
        <f t="shared" si="19"/>
        <v>292.63639570374653</v>
      </c>
      <c r="AD48" s="3">
        <f t="shared" si="20"/>
        <v>9.5867346436301557E-5</v>
      </c>
    </row>
    <row r="49" spans="3:30" x14ac:dyDescent="0.25">
      <c r="C49" s="22">
        <v>17</v>
      </c>
      <c r="D49" s="22">
        <v>32789</v>
      </c>
      <c r="F49" s="3">
        <f t="shared" si="7"/>
        <v>45.550863643189601</v>
      </c>
      <c r="G49" s="3">
        <f t="shared" si="8"/>
        <v>11.011208301856627</v>
      </c>
      <c r="H49" s="3">
        <f t="shared" si="9"/>
        <v>-0.45867455331943774</v>
      </c>
      <c r="I49" s="3">
        <f t="shared" si="10"/>
        <v>0.41790614621298977</v>
      </c>
      <c r="J49" s="3">
        <f t="shared" si="11"/>
        <v>-2.0858178631520219</v>
      </c>
      <c r="K49" s="3">
        <f t="shared" si="12"/>
        <v>2591.0365955555476</v>
      </c>
      <c r="L49" s="3" cm="1">
        <f t="array" ref="L49">lmb_2(F49)</f>
        <v>41.817547592877126</v>
      </c>
      <c r="M49" s="3" cm="1">
        <f t="array" ref="M49">lmb_2(G49)</f>
        <v>8.8327427214864223</v>
      </c>
      <c r="N49" s="3" cm="1">
        <f t="array" ref="N49">lmb_2(H49)</f>
        <v>0.41670417296634704</v>
      </c>
      <c r="O49" s="3" cm="1">
        <f t="array" ref="O49">lmb_2(I49)</f>
        <v>0.73110471995418902</v>
      </c>
      <c r="P49" s="3" cm="1">
        <f t="array" ref="P49">lmb_2(J49)</f>
        <v>0.11114067495757711</v>
      </c>
      <c r="R49" s="3">
        <f t="shared" si="13"/>
        <v>40.717944197033802</v>
      </c>
      <c r="S49" s="3">
        <f t="shared" si="14"/>
        <v>28253.634109069211</v>
      </c>
      <c r="T49" s="3">
        <f t="shared" si="15"/>
        <v>867.76910544974737</v>
      </c>
      <c r="U49" s="3">
        <f t="shared" si="5"/>
        <v>513.36427476595702</v>
      </c>
      <c r="V49" s="3">
        <f t="shared" si="6"/>
        <v>0</v>
      </c>
      <c r="W49" s="3">
        <f t="shared" si="16"/>
        <v>80.148532764723981</v>
      </c>
      <c r="Y49" s="3">
        <f t="shared" si="17"/>
        <v>32346.670561802221</v>
      </c>
      <c r="AA49" s="3">
        <f t="shared" si="18"/>
        <v>195655.33189636312</v>
      </c>
      <c r="AB49" s="3">
        <f t="shared" si="19"/>
        <v>442.32943819777938</v>
      </c>
      <c r="AD49" s="3">
        <f t="shared" si="20"/>
        <v>1.4490661487510337E-4</v>
      </c>
    </row>
    <row r="50" spans="3:30" x14ac:dyDescent="0.25">
      <c r="C50" s="22">
        <v>18</v>
      </c>
      <c r="D50" s="22">
        <v>29994</v>
      </c>
      <c r="F50" s="3">
        <f t="shared" si="7"/>
        <v>50.939452869071005</v>
      </c>
      <c r="G50" s="3">
        <f t="shared" si="8"/>
        <v>11.78970025813603</v>
      </c>
      <c r="H50" s="3">
        <f t="shared" si="9"/>
        <v>-0.45655088931277532</v>
      </c>
      <c r="I50" s="3">
        <f t="shared" si="10"/>
        <v>0.41856796896623411</v>
      </c>
      <c r="J50" s="3">
        <f t="shared" si="11"/>
        <v>-2.08578206347189</v>
      </c>
      <c r="K50" s="3">
        <f t="shared" si="12"/>
        <v>2406.7395237967526</v>
      </c>
      <c r="L50" s="3" cm="1">
        <f t="array" ref="L50">lmb_2(F50)</f>
        <v>47.087446433645312</v>
      </c>
      <c r="M50" s="3" cm="1">
        <f t="array" ref="M50">lmb_2(G50)</f>
        <v>9.5347565515017099</v>
      </c>
      <c r="N50" s="3" cm="1">
        <f t="array" ref="N50">lmb_2(H50)</f>
        <v>0.41732915020297123</v>
      </c>
      <c r="O50" s="3" cm="1">
        <f t="array" ref="O50">lmb_2(I50)</f>
        <v>0.73138426119823519</v>
      </c>
      <c r="P50" s="3" cm="1">
        <f t="array" ref="P50">lmb_2(J50)</f>
        <v>0.11114425583476778</v>
      </c>
      <c r="R50" s="3">
        <f t="shared" si="13"/>
        <v>34.092034624664095</v>
      </c>
      <c r="S50" s="3">
        <f t="shared" si="14"/>
        <v>25866.284143100387</v>
      </c>
      <c r="T50" s="3">
        <f t="shared" si="15"/>
        <v>917.03381508625159</v>
      </c>
      <c r="U50" s="3">
        <f t="shared" si="5"/>
        <v>543.26669175098027</v>
      </c>
      <c r="V50" s="3">
        <f t="shared" si="6"/>
        <v>0</v>
      </c>
      <c r="W50" s="3">
        <f t="shared" si="16"/>
        <v>81.921975868531263</v>
      </c>
      <c r="Y50" s="3">
        <f t="shared" si="17"/>
        <v>29849.33818422757</v>
      </c>
      <c r="AA50" s="3">
        <f t="shared" si="18"/>
        <v>20927.040942576386</v>
      </c>
      <c r="AB50" s="3">
        <f t="shared" si="19"/>
        <v>144.66181577242969</v>
      </c>
      <c r="AD50" s="3">
        <f t="shared" si="20"/>
        <v>4.7391044355260961E-5</v>
      </c>
    </row>
    <row r="51" spans="3:30" x14ac:dyDescent="0.25">
      <c r="C51" s="22">
        <v>19</v>
      </c>
      <c r="D51" s="22">
        <v>27954</v>
      </c>
      <c r="F51" s="3">
        <f t="shared" si="7"/>
        <v>56.635961479288468</v>
      </c>
      <c r="G51" s="3">
        <f t="shared" si="8"/>
        <v>12.612677469059967</v>
      </c>
      <c r="H51" s="3">
        <f t="shared" si="9"/>
        <v>-0.4543058730771608</v>
      </c>
      <c r="I51" s="3">
        <f t="shared" si="10"/>
        <v>0.41926761016252095</v>
      </c>
      <c r="J51" s="3">
        <f t="shared" si="11"/>
        <v>-2.0857442180957513</v>
      </c>
      <c r="K51" s="3">
        <f t="shared" si="12"/>
        <v>2235.5512636684566</v>
      </c>
      <c r="L51" s="3" cm="1">
        <f t="array" ref="L51">lmb_2(F51)</f>
        <v>52.67187975709836</v>
      </c>
      <c r="M51" s="3" cm="1">
        <f t="array" ref="M51">lmb_2(G51)</f>
        <v>10.282257620276919</v>
      </c>
      <c r="N51" s="3" cm="1">
        <f t="array" ref="N51">lmb_2(H51)</f>
        <v>0.41799055922393952</v>
      </c>
      <c r="O51" s="3" cm="1">
        <f t="array" ref="O51">lmb_2(I51)</f>
        <v>0.73167984334208269</v>
      </c>
      <c r="P51" s="3" cm="1">
        <f t="array" ref="P51">lmb_2(J51)</f>
        <v>0.11114804144641434</v>
      </c>
      <c r="R51" s="3">
        <f t="shared" si="13"/>
        <v>28.823402587193701</v>
      </c>
      <c r="S51" s="3">
        <f t="shared" si="14"/>
        <v>23640.941020136579</v>
      </c>
      <c r="T51" s="3">
        <f t="shared" si="15"/>
        <v>965.99765969087696</v>
      </c>
      <c r="U51" s="3">
        <f t="shared" si="5"/>
        <v>573.11867161194857</v>
      </c>
      <c r="V51" s="3">
        <f t="shared" si="6"/>
        <v>0</v>
      </c>
      <c r="W51" s="3">
        <f t="shared" si="16"/>
        <v>83.695418972338558</v>
      </c>
      <c r="Y51" s="3">
        <f t="shared" si="17"/>
        <v>27528.127436667397</v>
      </c>
      <c r="AA51" s="3">
        <f t="shared" si="18"/>
        <v>181367.44019948196</v>
      </c>
      <c r="AB51" s="3">
        <f t="shared" si="19"/>
        <v>425.87256333260302</v>
      </c>
      <c r="AD51" s="3">
        <f t="shared" si="20"/>
        <v>1.3951536160954612E-4</v>
      </c>
    </row>
    <row r="52" spans="3:30" x14ac:dyDescent="0.25">
      <c r="C52" s="22">
        <v>20</v>
      </c>
      <c r="D52" s="22">
        <v>25950</v>
      </c>
      <c r="F52" s="3">
        <f t="shared" si="7"/>
        <v>62.640389473842006</v>
      </c>
      <c r="G52" s="3">
        <f t="shared" si="8"/>
        <v>13.480139934628443</v>
      </c>
      <c r="H52" s="3">
        <f t="shared" si="9"/>
        <v>-0.45193950461259413</v>
      </c>
      <c r="I52" s="3">
        <f t="shared" si="10"/>
        <v>0.42000506980185037</v>
      </c>
      <c r="J52" s="3">
        <f t="shared" si="11"/>
        <v>-2.0857043270236044</v>
      </c>
      <c r="K52" s="3">
        <f t="shared" si="12"/>
        <v>2076.5394024050956</v>
      </c>
      <c r="L52" s="3" cm="1">
        <f t="array" ref="L52">lmb_2(F52)</f>
        <v>58.570164052774885</v>
      </c>
      <c r="M52" s="3" cm="1">
        <f t="array" ref="M52">lmb_2(G52)</f>
        <v>11.075412383830184</v>
      </c>
      <c r="N52" s="3" cm="1">
        <f t="array" ref="N52">lmb_2(H52)</f>
        <v>0.41868851997624812</v>
      </c>
      <c r="O52" s="3" cm="1">
        <f t="array" ref="O52">lmb_2(I52)</f>
        <v>0.73199147756340144</v>
      </c>
      <c r="P52" s="3" cm="1">
        <f t="array" ref="P52">lmb_2(J52)</f>
        <v>0.11115203181133688</v>
      </c>
      <c r="R52" s="3">
        <f t="shared" si="13"/>
        <v>24.583404632595315</v>
      </c>
      <c r="S52" s="3">
        <f t="shared" si="14"/>
        <v>21585.582376268634</v>
      </c>
      <c r="T52" s="3">
        <f t="shared" si="15"/>
        <v>1014.6451263303597</v>
      </c>
      <c r="U52" s="3">
        <f t="shared" si="5"/>
        <v>602.91747233833848</v>
      </c>
      <c r="V52" s="3">
        <f t="shared" si="6"/>
        <v>0</v>
      </c>
      <c r="W52" s="3">
        <f t="shared" si="16"/>
        <v>85.468862076145854</v>
      </c>
      <c r="Y52" s="3">
        <f t="shared" si="17"/>
        <v>25389.736644051165</v>
      </c>
      <c r="AA52" s="3">
        <f t="shared" si="18"/>
        <v>313895.02801905089</v>
      </c>
      <c r="AB52" s="3">
        <f t="shared" si="19"/>
        <v>560.26335594883494</v>
      </c>
      <c r="AD52" s="3">
        <f t="shared" si="20"/>
        <v>1.8354163059979299E-4</v>
      </c>
    </row>
    <row r="53" spans="3:30" x14ac:dyDescent="0.25">
      <c r="C53" s="22">
        <v>21</v>
      </c>
      <c r="D53" s="22">
        <v>23882</v>
      </c>
      <c r="F53" s="3">
        <f t="shared" si="7"/>
        <v>68.952736852731647</v>
      </c>
      <c r="G53" s="3">
        <f t="shared" si="8"/>
        <v>14.392087654841458</v>
      </c>
      <c r="H53" s="3">
        <f t="shared" si="9"/>
        <v>-0.44945178391907536</v>
      </c>
      <c r="I53" s="3">
        <f t="shared" si="10"/>
        <v>0.42078034788422231</v>
      </c>
      <c r="J53" s="3">
        <f t="shared" si="11"/>
        <v>-2.0856623902554503</v>
      </c>
      <c r="K53" s="3">
        <f t="shared" si="12"/>
        <v>1928.8378485515259</v>
      </c>
      <c r="L53" s="3" cm="1">
        <f t="array" ref="L53">lmb_2(F53)</f>
        <v>64.781713488451416</v>
      </c>
      <c r="M53" s="3" cm="1">
        <f t="array" ref="M53">lmb_2(G53)</f>
        <v>11.91434455580743</v>
      </c>
      <c r="N53" s="3" cm="1">
        <f t="array" ref="N53">lmb_2(H53)</f>
        <v>0.41942315892872317</v>
      </c>
      <c r="O53" s="3" cm="1">
        <f t="array" ref="O53">lmb_2(I53)</f>
        <v>0.73231917564186955</v>
      </c>
      <c r="P53" s="3" cm="1">
        <f t="array" ref="P53">lmb_2(J53)</f>
        <v>0.11115622694937351</v>
      </c>
      <c r="R53" s="3">
        <f t="shared" si="13"/>
        <v>21.133866141541311</v>
      </c>
      <c r="S53" s="3">
        <f t="shared" si="14"/>
        <v>19700.281034610605</v>
      </c>
      <c r="T53" s="3">
        <f t="shared" si="15"/>
        <v>1062.9608925171076</v>
      </c>
      <c r="U53" s="3">
        <f t="shared" si="5"/>
        <v>632.66036158798249</v>
      </c>
      <c r="V53" s="3">
        <f t="shared" si="6"/>
        <v>0</v>
      </c>
      <c r="W53" s="3">
        <f t="shared" si="16"/>
        <v>87.242305179953149</v>
      </c>
      <c r="Y53" s="3">
        <f t="shared" si="17"/>
        <v>23433.116308588716</v>
      </c>
      <c r="AA53" s="3">
        <f t="shared" si="18"/>
        <v>201496.56841502039</v>
      </c>
      <c r="AB53" s="3">
        <f t="shared" si="19"/>
        <v>448.88369141128351</v>
      </c>
      <c r="AD53" s="3">
        <f t="shared" si="20"/>
        <v>1.470537806845345E-4</v>
      </c>
    </row>
    <row r="54" spans="3:30" x14ac:dyDescent="0.25">
      <c r="C54" s="22">
        <v>22</v>
      </c>
      <c r="D54" s="22">
        <v>21911</v>
      </c>
      <c r="F54" s="3">
        <f t="shared" si="7"/>
        <v>75.573003615957347</v>
      </c>
      <c r="G54" s="3">
        <f t="shared" si="8"/>
        <v>15.34852062969901</v>
      </c>
      <c r="H54" s="3">
        <f t="shared" si="9"/>
        <v>-0.44684271099660439</v>
      </c>
      <c r="I54" s="3">
        <f t="shared" si="10"/>
        <v>0.42159344440963675</v>
      </c>
      <c r="J54" s="3">
        <f t="shared" si="11"/>
        <v>-2.0856184077912885</v>
      </c>
      <c r="K54" s="3">
        <f t="shared" si="12"/>
        <v>1791.6421146142518</v>
      </c>
      <c r="L54" s="3" cm="1">
        <f t="array" ref="L54">lmb_2(F54)</f>
        <v>71.306022820567904</v>
      </c>
      <c r="M54" s="3" cm="1">
        <f t="array" ref="M54">lmb_2(G54)</f>
        <v>12.799142456596167</v>
      </c>
      <c r="N54" s="3" cm="1">
        <f t="array" ref="N54">lmb_2(H54)</f>
        <v>0.42019460907748357</v>
      </c>
      <c r="O54" s="3" cm="1">
        <f t="array" ref="O54">lmb_2(I54)</f>
        <v>0.73266294995882764</v>
      </c>
      <c r="P54" s="3" cm="1">
        <f t="array" ref="P54">lmb_2(J54)</f>
        <v>0.11116062688138058</v>
      </c>
      <c r="R54" s="3">
        <f t="shared" si="13"/>
        <v>18.29950168302236</v>
      </c>
      <c r="S54" s="3">
        <f t="shared" si="14"/>
        <v>17979.820904270509</v>
      </c>
      <c r="T54" s="3">
        <f t="shared" si="15"/>
        <v>1110.9298350801505</v>
      </c>
      <c r="U54" s="3">
        <f t="shared" si="5"/>
        <v>662.34461717763838</v>
      </c>
      <c r="V54" s="3">
        <f t="shared" si="6"/>
        <v>0</v>
      </c>
      <c r="W54" s="3">
        <f t="shared" si="16"/>
        <v>89.015748283760445</v>
      </c>
      <c r="Y54" s="3">
        <f t="shared" si="17"/>
        <v>21652.052721109332</v>
      </c>
      <c r="AA54" s="3">
        <f t="shared" si="18"/>
        <v>67053.693244881288</v>
      </c>
      <c r="AB54" s="3">
        <f t="shared" si="19"/>
        <v>258.9472788906678</v>
      </c>
      <c r="AD54" s="3">
        <f t="shared" si="20"/>
        <v>8.4830830541258705E-5</v>
      </c>
    </row>
    <row r="55" spans="3:30" x14ac:dyDescent="0.25">
      <c r="C55" s="22">
        <v>23</v>
      </c>
      <c r="D55" s="22">
        <v>20310</v>
      </c>
      <c r="F55" s="3">
        <f t="shared" si="7"/>
        <v>82.501189763519136</v>
      </c>
      <c r="G55" s="3">
        <f t="shared" si="8"/>
        <v>16.349438859201101</v>
      </c>
      <c r="H55" s="3">
        <f t="shared" si="9"/>
        <v>-0.44411228584518131</v>
      </c>
      <c r="I55" s="3">
        <f t="shared" si="10"/>
        <v>0.42244435937809377</v>
      </c>
      <c r="J55" s="3">
        <f t="shared" si="11"/>
        <v>-2.0855723796311194</v>
      </c>
      <c r="K55" s="3">
        <f t="shared" si="12"/>
        <v>1664.2049352515482</v>
      </c>
      <c r="L55" s="3" cm="1">
        <f t="array" ref="L55">lmb_2(F55)</f>
        <v>78.142653713457136</v>
      </c>
      <c r="M55" s="3" cm="1">
        <f t="array" ref="M55">lmb_2(G55)</f>
        <v>13.72986543991261</v>
      </c>
      <c r="N55" s="3" cm="1">
        <f t="array" ref="N55">lmb_2(H55)</f>
        <v>0.42100300995153811</v>
      </c>
      <c r="O55" s="3" cm="1">
        <f t="array" ref="O55">lmb_2(I55)</f>
        <v>0.73302281349690923</v>
      </c>
      <c r="P55" s="3" cm="1">
        <f t="array" ref="P55">lmb_2(J55)</f>
        <v>0.11116523162923279</v>
      </c>
      <c r="R55" s="3">
        <f t="shared" si="13"/>
        <v>15.949473169215624</v>
      </c>
      <c r="S55" s="3">
        <f t="shared" si="14"/>
        <v>16415.662977035117</v>
      </c>
      <c r="T55" s="3">
        <f t="shared" si="15"/>
        <v>1158.537038864368</v>
      </c>
      <c r="U55" s="3">
        <f t="shared" si="5"/>
        <v>691.96752757078332</v>
      </c>
      <c r="V55" s="3">
        <f t="shared" si="6"/>
        <v>0</v>
      </c>
      <c r="W55" s="3">
        <f t="shared" si="16"/>
        <v>90.78919138756774</v>
      </c>
      <c r="Y55" s="3">
        <f t="shared" si="17"/>
        <v>20037.111143278602</v>
      </c>
      <c r="AA55" s="3">
        <f t="shared" si="18"/>
        <v>74468.328122711711</v>
      </c>
      <c r="AB55" s="3">
        <f t="shared" si="19"/>
        <v>272.88885672139804</v>
      </c>
      <c r="AD55" s="3">
        <f t="shared" si="20"/>
        <v>8.9398075393195498E-5</v>
      </c>
    </row>
    <row r="56" spans="3:30" x14ac:dyDescent="0.25">
      <c r="C56" s="22">
        <v>24</v>
      </c>
      <c r="D56" s="22">
        <v>18574</v>
      </c>
      <c r="F56" s="3">
        <f t="shared" si="7"/>
        <v>89.737295295416999</v>
      </c>
      <c r="G56" s="3">
        <f t="shared" si="8"/>
        <v>17.394842343347729</v>
      </c>
      <c r="H56" s="3">
        <f t="shared" si="9"/>
        <v>-0.44126050846480613</v>
      </c>
      <c r="I56" s="3">
        <f t="shared" si="10"/>
        <v>0.4233330927895933</v>
      </c>
      <c r="J56" s="3">
        <f t="shared" si="11"/>
        <v>-2.0855243057749426</v>
      </c>
      <c r="K56" s="3">
        <f t="shared" si="12"/>
        <v>1545.8321971360397</v>
      </c>
      <c r="L56" s="3" cm="1">
        <f t="array" ref="L56">lmb_2(F56)</f>
        <v>85.2912237332785</v>
      </c>
      <c r="M56" s="3" cm="1">
        <f t="array" ref="M56">lmb_2(G56)</f>
        <v>14.706549410646469</v>
      </c>
      <c r="N56" s="3" cm="1">
        <f t="array" ref="N56">lmb_2(H56)</f>
        <v>0.42184850761849507</v>
      </c>
      <c r="O56" s="3" cm="1">
        <f t="array" ref="O56">lmb_2(I56)</f>
        <v>0.73339877983965662</v>
      </c>
      <c r="P56" s="3" cm="1">
        <f t="array" ref="P56">lmb_2(J56)</f>
        <v>0.11117004121582348</v>
      </c>
      <c r="R56" s="3">
        <f t="shared" si="13"/>
        <v>13.984841179647937</v>
      </c>
      <c r="S56" s="3">
        <f t="shared" si="14"/>
        <v>14997.377457946155</v>
      </c>
      <c r="T56" s="3">
        <f t="shared" si="15"/>
        <v>1205.7678052507949</v>
      </c>
      <c r="U56" s="3">
        <f t="shared" si="5"/>
        <v>721.52639236248467</v>
      </c>
      <c r="V56" s="3">
        <f t="shared" si="6"/>
        <v>0</v>
      </c>
      <c r="W56" s="3">
        <f t="shared" si="16"/>
        <v>92.562634491375036</v>
      </c>
      <c r="Y56" s="3">
        <f t="shared" si="17"/>
        <v>18577.051328366499</v>
      </c>
      <c r="AA56" s="3">
        <f t="shared" si="18"/>
        <v>9.3106048001992434</v>
      </c>
      <c r="AB56" s="3">
        <f t="shared" si="19"/>
        <v>-3.0513283664986375</v>
      </c>
      <c r="AD56" s="3">
        <f t="shared" si="20"/>
        <v>9.9961166108052211E-7</v>
      </c>
    </row>
    <row r="57" spans="3:30" x14ac:dyDescent="0.25">
      <c r="C57" s="22">
        <v>25</v>
      </c>
      <c r="D57" s="22">
        <v>17483</v>
      </c>
      <c r="F57" s="3">
        <f t="shared" si="7"/>
        <v>97.28132021165095</v>
      </c>
      <c r="G57" s="3">
        <f t="shared" si="8"/>
        <v>18.484731082138886</v>
      </c>
      <c r="H57" s="3">
        <f t="shared" si="9"/>
        <v>-0.43828737885547875</v>
      </c>
      <c r="I57" s="3">
        <f t="shared" si="10"/>
        <v>0.42425964464413535</v>
      </c>
      <c r="J57" s="3">
        <f t="shared" si="11"/>
        <v>-2.0854741862227586</v>
      </c>
      <c r="K57" s="3">
        <f t="shared" si="12"/>
        <v>1435.8791583208733</v>
      </c>
      <c r="L57" s="3" cm="1">
        <f t="array" ref="L57">lmb_2(F57)</f>
        <v>92.751397443500622</v>
      </c>
      <c r="M57" s="3" cm="1">
        <f t="array" ref="M57">lmb_2(G57)</f>
        <v>15.729211493860982</v>
      </c>
      <c r="N57" s="3" cm="1">
        <f t="array" ref="N57">lmb_2(H57)</f>
        <v>0.42273125469036182</v>
      </c>
      <c r="O57" s="3" cm="1">
        <f t="array" ref="O57">lmb_2(I57)</f>
        <v>0.73379086317111486</v>
      </c>
      <c r="P57" s="3" cm="1">
        <f t="array" ref="P57">lmb_2(J57)</f>
        <v>0.11117505566506448</v>
      </c>
      <c r="R57" s="3">
        <f t="shared" si="13"/>
        <v>12.329886178525429</v>
      </c>
      <c r="S57" s="3">
        <f t="shared" si="14"/>
        <v>13713.655541883909</v>
      </c>
      <c r="T57" s="3">
        <f t="shared" si="15"/>
        <v>1252.6076604909692</v>
      </c>
      <c r="U57" s="3">
        <f t="shared" si="5"/>
        <v>751.01852276122781</v>
      </c>
      <c r="V57" s="3">
        <f t="shared" si="6"/>
        <v>0</v>
      </c>
      <c r="W57" s="3">
        <f t="shared" si="16"/>
        <v>94.336077595182331</v>
      </c>
      <c r="Y57" s="3">
        <f t="shared" si="17"/>
        <v>17259.826847230688</v>
      </c>
      <c r="AA57" s="3">
        <f t="shared" si="18"/>
        <v>49806.256116994606</v>
      </c>
      <c r="AB57" s="3">
        <f t="shared" si="19"/>
        <v>223.17315276931186</v>
      </c>
      <c r="AD57" s="3">
        <f t="shared" si="20"/>
        <v>7.3111267996468698E-5</v>
      </c>
    </row>
    <row r="58" spans="3:30" x14ac:dyDescent="0.25">
      <c r="C58" s="22">
        <v>26</v>
      </c>
      <c r="D58" s="22">
        <v>16209</v>
      </c>
      <c r="F58" s="3">
        <f t="shared" si="7"/>
        <v>105.13326451222099</v>
      </c>
      <c r="G58" s="3">
        <f t="shared" si="8"/>
        <v>19.619105075574588</v>
      </c>
      <c r="H58" s="3">
        <f t="shared" si="9"/>
        <v>-0.43519289701719926</v>
      </c>
      <c r="I58" s="3">
        <f t="shared" si="10"/>
        <v>0.42522401494171996</v>
      </c>
      <c r="J58" s="3">
        <f t="shared" si="11"/>
        <v>-2.0854220209745669</v>
      </c>
      <c r="K58" s="3">
        <f t="shared" si="12"/>
        <v>1333.7469365174679</v>
      </c>
      <c r="L58" s="3" cm="1">
        <f t="array" ref="L58">lmb_2(F58)</f>
        <v>100.52287915732423</v>
      </c>
      <c r="M58" s="3" cm="1">
        <f t="array" ref="M58">lmb_2(G58)</f>
        <v>16.797853939048355</v>
      </c>
      <c r="N58" s="3" cm="1">
        <f t="array" ref="N58">lmb_2(H58)</f>
        <v>0.42365141032940851</v>
      </c>
      <c r="O58" s="3" cm="1">
        <f t="array" ref="O58">lmb_2(I58)</f>
        <v>0.73419907827540953</v>
      </c>
      <c r="P58" s="3" cm="1">
        <f t="array" ref="P58">lmb_2(J58)</f>
        <v>0.11118027500188657</v>
      </c>
      <c r="R58" s="3">
        <f t="shared" si="13"/>
        <v>10.926014527323508</v>
      </c>
      <c r="S58" s="3">
        <f t="shared" si="14"/>
        <v>12553.000918449547</v>
      </c>
      <c r="T58" s="3">
        <f t="shared" si="15"/>
        <v>1299.0423638485297</v>
      </c>
      <c r="U58" s="3">
        <f t="shared" si="5"/>
        <v>780.44124206756237</v>
      </c>
      <c r="V58" s="3">
        <f t="shared" si="6"/>
        <v>0</v>
      </c>
      <c r="W58" s="3">
        <f t="shared" si="16"/>
        <v>96.109520698989613</v>
      </c>
      <c r="Y58" s="3">
        <f t="shared" si="17"/>
        <v>16073.26699610942</v>
      </c>
      <c r="AA58" s="3">
        <f t="shared" si="18"/>
        <v>18423.448345160265</v>
      </c>
      <c r="AB58" s="3">
        <f t="shared" si="19"/>
        <v>135.73300389058022</v>
      </c>
      <c r="AD58" s="3">
        <f t="shared" si="20"/>
        <v>4.4465975858967732E-5</v>
      </c>
    </row>
    <row r="59" spans="3:30" x14ac:dyDescent="0.25">
      <c r="C59" s="22">
        <v>27</v>
      </c>
      <c r="D59" s="22">
        <v>15088</v>
      </c>
      <c r="F59" s="3">
        <f t="shared" si="7"/>
        <v>113.29312819712709</v>
      </c>
      <c r="G59" s="3">
        <f t="shared" si="8"/>
        <v>20.797964323654828</v>
      </c>
      <c r="H59" s="3">
        <f t="shared" si="9"/>
        <v>-0.43197706294996763</v>
      </c>
      <c r="I59" s="3">
        <f t="shared" si="10"/>
        <v>0.42622620368234709</v>
      </c>
      <c r="J59" s="3">
        <f t="shared" si="11"/>
        <v>-2.0853678100303674</v>
      </c>
      <c r="K59" s="3">
        <f t="shared" si="12"/>
        <v>1238.8792471575155</v>
      </c>
      <c r="L59" s="3" cm="1">
        <f t="array" ref="L59">lmb_2(F59)</f>
        <v>108.60540700262881</v>
      </c>
      <c r="M59" s="3" cm="1">
        <f t="array" ref="M59">lmb_2(G59)</f>
        <v>17.912467353079741</v>
      </c>
      <c r="N59" s="3" cm="1">
        <f t="array" ref="N59">lmb_2(H59)</f>
        <v>0.42460914025407426</v>
      </c>
      <c r="O59" s="3" cm="1">
        <f t="array" ref="O59">lmb_2(I59)</f>
        <v>0.73462344053630202</v>
      </c>
      <c r="P59" s="3" cm="1">
        <f t="array" ref="P59">lmb_2(J59)</f>
        <v>0.11118569925223939</v>
      </c>
      <c r="R59" s="3">
        <f t="shared" si="13"/>
        <v>9.7274186621262224</v>
      </c>
      <c r="S59" s="3">
        <f t="shared" si="14"/>
        <v>11504.183822276382</v>
      </c>
      <c r="T59" s="3">
        <f t="shared" si="15"/>
        <v>1345.0579155414182</v>
      </c>
      <c r="U59" s="3">
        <f t="shared" si="5"/>
        <v>809.79188614944906</v>
      </c>
      <c r="V59" s="3">
        <f t="shared" si="6"/>
        <v>0</v>
      </c>
      <c r="W59" s="3">
        <f t="shared" si="16"/>
        <v>97.882963802796908</v>
      </c>
      <c r="Y59" s="3">
        <f t="shared" si="17"/>
        <v>15005.523253589688</v>
      </c>
      <c r="AA59" s="3">
        <f t="shared" si="18"/>
        <v>6802.413698430837</v>
      </c>
      <c r="AB59" s="3">
        <f t="shared" si="19"/>
        <v>82.476746410311534</v>
      </c>
      <c r="AD59" s="3">
        <f t="shared" si="20"/>
        <v>2.7019287201243704E-5</v>
      </c>
    </row>
    <row r="60" spans="3:30" x14ac:dyDescent="0.25">
      <c r="C60" s="22">
        <v>28</v>
      </c>
      <c r="D60" s="22">
        <v>13862</v>
      </c>
      <c r="F60" s="3">
        <f t="shared" si="7"/>
        <v>121.76091126636929</v>
      </c>
      <c r="G60" s="3">
        <f t="shared" si="8"/>
        <v>22.021308826379606</v>
      </c>
      <c r="H60" s="3">
        <f t="shared" si="9"/>
        <v>-0.42863987665378389</v>
      </c>
      <c r="I60" s="3">
        <f t="shared" si="10"/>
        <v>0.42726621086601679</v>
      </c>
      <c r="J60" s="3">
        <f t="shared" si="11"/>
        <v>-2.0853115533901607</v>
      </c>
      <c r="K60" s="3">
        <f t="shared" si="12"/>
        <v>1150.7593734723985</v>
      </c>
      <c r="L60" s="3" cm="1">
        <f t="array" ref="L60">lmb_2(F60)</f>
        <v>116.9987480322082</v>
      </c>
      <c r="M60" s="3" cm="1">
        <f t="array" ref="M60">lmb_2(G60)</f>
        <v>19.073033355170683</v>
      </c>
      <c r="N60" s="3" cm="1">
        <f t="array" ref="N60">lmb_2(H60)</f>
        <v>0.42560461674488714</v>
      </c>
      <c r="O60" s="3" cm="1">
        <f t="array" ref="O60">lmb_2(I60)</f>
        <v>0.73506396593672962</v>
      </c>
      <c r="P60" s="3" cm="1">
        <f t="array" ref="P60">lmb_2(J60)</f>
        <v>0.11119132844309179</v>
      </c>
      <c r="R60" s="3">
        <f t="shared" si="13"/>
        <v>8.6979456140279261</v>
      </c>
      <c r="S60" s="3">
        <f t="shared" si="14"/>
        <v>10556.52324727061</v>
      </c>
      <c r="T60" s="3">
        <f t="shared" si="15"/>
        <v>1390.6405644783197</v>
      </c>
      <c r="U60" s="3">
        <f t="shared" si="5"/>
        <v>839.06780391416498</v>
      </c>
      <c r="V60" s="3">
        <f t="shared" si="6"/>
        <v>0</v>
      </c>
      <c r="W60" s="3">
        <f t="shared" si="16"/>
        <v>99.656406906604204</v>
      </c>
      <c r="Y60" s="3">
        <f t="shared" si="17"/>
        <v>14045.345341656124</v>
      </c>
      <c r="AA60" s="3">
        <f t="shared" si="18"/>
        <v>33615.514307000922</v>
      </c>
      <c r="AB60" s="3">
        <f t="shared" si="19"/>
        <v>-183.34534165612422</v>
      </c>
      <c r="AD60" s="3">
        <f t="shared" si="20"/>
        <v>6.0063722913754782E-5</v>
      </c>
    </row>
    <row r="61" spans="3:30" x14ac:dyDescent="0.25">
      <c r="C61" s="22">
        <v>29</v>
      </c>
      <c r="D61" s="22">
        <v>13025</v>
      </c>
      <c r="F61" s="3">
        <f t="shared" si="7"/>
        <v>130.53661371994755</v>
      </c>
      <c r="G61" s="3">
        <f t="shared" si="8"/>
        <v>23.289138583748915</v>
      </c>
      <c r="H61" s="3">
        <f t="shared" si="9"/>
        <v>-0.425181338128648</v>
      </c>
      <c r="I61" s="3">
        <f t="shared" si="10"/>
        <v>0.42834403649272901</v>
      </c>
      <c r="J61" s="3">
        <f t="shared" si="11"/>
        <v>-2.0852532510539463</v>
      </c>
      <c r="K61" s="3">
        <f t="shared" si="12"/>
        <v>1068.9073520869281</v>
      </c>
      <c r="L61" s="3" cm="1">
        <f t="array" ref="L61">lmb_2(F61)</f>
        <v>125.70269417123787</v>
      </c>
      <c r="M61" s="3" cm="1">
        <f t="array" ref="M61">lmb_2(G61)</f>
        <v>20.279526741515415</v>
      </c>
      <c r="N61" s="3" cm="1">
        <f t="array" ref="N61">lmb_2(H61)</f>
        <v>0.42663801865037182</v>
      </c>
      <c r="O61" s="3" cm="1">
        <f t="array" ref="O61">lmb_2(I61)</f>
        <v>0.73552067105832253</v>
      </c>
      <c r="P61" s="3" cm="1">
        <f t="array" ref="P61">lmb_2(J61)</f>
        <v>0.11119716260243194</v>
      </c>
      <c r="R61" s="3">
        <f t="shared" si="13"/>
        <v>7.8088095819978554</v>
      </c>
      <c r="S61" s="3">
        <f t="shared" si="14"/>
        <v>9700.0476748602086</v>
      </c>
      <c r="T61" s="3">
        <f t="shared" si="15"/>
        <v>1435.7768157831454</v>
      </c>
      <c r="U61" s="3">
        <f t="shared" si="5"/>
        <v>868.26635777665581</v>
      </c>
      <c r="V61" s="3">
        <f t="shared" si="6"/>
        <v>0</v>
      </c>
      <c r="W61" s="3">
        <f t="shared" si="16"/>
        <v>101.42985001041149</v>
      </c>
      <c r="Y61" s="3">
        <f t="shared" si="17"/>
        <v>13182.236860099349</v>
      </c>
      <c r="AA61" s="3">
        <f t="shared" si="18"/>
        <v>24723.430173902136</v>
      </c>
      <c r="AB61" s="3">
        <f t="shared" si="19"/>
        <v>-157.23686009934863</v>
      </c>
      <c r="AD61" s="3">
        <f t="shared" si="20"/>
        <v>5.1510614404097348E-5</v>
      </c>
    </row>
    <row r="62" spans="3:30" x14ac:dyDescent="0.25">
      <c r="C62" s="22">
        <v>30</v>
      </c>
      <c r="D62" s="22">
        <v>12248</v>
      </c>
      <c r="F62" s="3">
        <f t="shared" si="7"/>
        <v>139.62023555786189</v>
      </c>
      <c r="G62" s="3">
        <f t="shared" si="8"/>
        <v>24.601453595762766</v>
      </c>
      <c r="H62" s="3">
        <f t="shared" si="9"/>
        <v>-0.42160144737455996</v>
      </c>
      <c r="I62" s="3">
        <f t="shared" si="10"/>
        <v>0.42945968056248374</v>
      </c>
      <c r="J62" s="3">
        <f t="shared" si="11"/>
        <v>-2.0851929030217247</v>
      </c>
      <c r="K62" s="3">
        <f t="shared" si="12"/>
        <v>992.87735879814966</v>
      </c>
      <c r="L62" s="3" cm="1">
        <f t="array" ref="L62">lmb_2(F62)</f>
        <v>134.71705883926251</v>
      </c>
      <c r="M62" s="3" cm="1">
        <f t="array" ref="M62">lmb_2(G62)</f>
        <v>21.531917238712865</v>
      </c>
      <c r="N62" s="3" cm="1">
        <f t="array" ref="N62">lmb_2(H62)</f>
        <v>0.42770953139291751</v>
      </c>
      <c r="O62" s="3" cm="1">
        <f t="array" ref="O62">lmb_2(I62)</f>
        <v>0.73599357308090374</v>
      </c>
      <c r="P62" s="3" cm="1">
        <f t="array" ref="P62">lmb_2(J62)</f>
        <v>0.11120320175926746</v>
      </c>
      <c r="R62" s="3">
        <f t="shared" si="13"/>
        <v>7.0369018426372474</v>
      </c>
      <c r="S62" s="3">
        <f t="shared" si="14"/>
        <v>8925.5719884697883</v>
      </c>
      <c r="T62" s="3">
        <f t="shared" si="15"/>
        <v>1480.4534381016153</v>
      </c>
      <c r="U62" s="3">
        <f t="shared" si="5"/>
        <v>897.38492412419896</v>
      </c>
      <c r="V62" s="3">
        <f t="shared" si="6"/>
        <v>0</v>
      </c>
      <c r="W62" s="3">
        <f t="shared" si="16"/>
        <v>103.20329311421878</v>
      </c>
      <c r="Y62" s="3">
        <f t="shared" si="17"/>
        <v>12406.527904450608</v>
      </c>
      <c r="AA62" s="3">
        <f t="shared" si="18"/>
        <v>25131.096489501044</v>
      </c>
      <c r="AB62" s="3">
        <f t="shared" si="19"/>
        <v>-158.52790445060782</v>
      </c>
      <c r="AD62" s="3">
        <f t="shared" si="20"/>
        <v>5.1933559047702424E-5</v>
      </c>
    </row>
    <row r="63" spans="3:30" x14ac:dyDescent="0.25">
      <c r="C63" s="22">
        <v>31</v>
      </c>
      <c r="D63" s="22">
        <v>11524</v>
      </c>
      <c r="F63" s="3">
        <f t="shared" si="7"/>
        <v>149.01177678011231</v>
      </c>
      <c r="G63" s="3">
        <f t="shared" si="8"/>
        <v>25.958253862421156</v>
      </c>
      <c r="H63" s="3">
        <f t="shared" si="9"/>
        <v>-0.41790020439151976</v>
      </c>
      <c r="I63" s="3">
        <f t="shared" si="10"/>
        <v>0.43061314307528098</v>
      </c>
      <c r="J63" s="3">
        <f t="shared" si="11"/>
        <v>-2.0851305092934953</v>
      </c>
      <c r="K63" s="3">
        <f t="shared" si="12"/>
        <v>922.25528030030762</v>
      </c>
      <c r="L63" s="3" cm="1">
        <f t="array" ref="L63">lmb_2(F63)</f>
        <v>144.04167411880266</v>
      </c>
      <c r="M63" s="3" cm="1">
        <f t="array" ref="M63">lmb_2(G63)</f>
        <v>22.8301709154657</v>
      </c>
      <c r="N63" s="3" cm="1">
        <f t="array" ref="N63">lmb_2(H63)</f>
        <v>0.42881934697457569</v>
      </c>
      <c r="O63" s="3" cm="1">
        <f t="array" ref="O63">lmb_2(I63)</f>
        <v>0.7364826897819684</v>
      </c>
      <c r="P63" s="3" cm="1">
        <f t="array" ref="P63">lmb_2(J63)</f>
        <v>0.11120944594362565</v>
      </c>
      <c r="R63" s="3">
        <f t="shared" si="13"/>
        <v>6.3635285966075932</v>
      </c>
      <c r="S63" s="3">
        <f t="shared" si="14"/>
        <v>8224.7181737719166</v>
      </c>
      <c r="T63" s="3">
        <f t="shared" si="15"/>
        <v>1524.6574706842212</v>
      </c>
      <c r="U63" s="3">
        <f t="shared" si="5"/>
        <v>926.4208937772587</v>
      </c>
      <c r="V63" s="3">
        <f t="shared" si="6"/>
        <v>0</v>
      </c>
      <c r="W63" s="3">
        <f t="shared" si="16"/>
        <v>104.97673621802608</v>
      </c>
      <c r="Y63" s="3">
        <f t="shared" si="17"/>
        <v>11709.392083348337</v>
      </c>
      <c r="AA63" s="3">
        <f t="shared" si="18"/>
        <v>34370.224568236772</v>
      </c>
      <c r="AB63" s="3">
        <f t="shared" si="19"/>
        <v>-185.39208334833711</v>
      </c>
      <c r="AD63" s="3">
        <f t="shared" si="20"/>
        <v>6.0734233136521588E-5</v>
      </c>
    </row>
    <row r="64" spans="3:30" x14ac:dyDescent="0.25">
      <c r="C64" s="22">
        <v>32</v>
      </c>
      <c r="D64" s="22">
        <v>10872</v>
      </c>
      <c r="F64" s="3">
        <f t="shared" si="7"/>
        <v>158.7112373866988</v>
      </c>
      <c r="G64" s="3">
        <f t="shared" si="8"/>
        <v>27.35953938372408</v>
      </c>
      <c r="H64" s="3">
        <f t="shared" si="9"/>
        <v>-0.41407760917952746</v>
      </c>
      <c r="I64" s="3">
        <f t="shared" si="10"/>
        <v>0.43180442403112079</v>
      </c>
      <c r="J64" s="3">
        <f t="shared" si="11"/>
        <v>-2.0850660698692582</v>
      </c>
      <c r="K64" s="3">
        <f t="shared" si="12"/>
        <v>856.65645862986742</v>
      </c>
      <c r="L64" s="3" cm="1">
        <f t="array" ref="L64">lmb_2(F64)</f>
        <v>153.67638836949399</v>
      </c>
      <c r="M64" s="3" cm="1">
        <f t="array" ref="M64">lmb_2(G64)</f>
        <v>24.174251312363221</v>
      </c>
      <c r="N64" s="3" cm="1">
        <f t="array" ref="N64">lmb_2(H64)</f>
        <v>0.42996766398275976</v>
      </c>
      <c r="O64" s="3" cm="1">
        <f t="array" ref="O64">lmb_2(I64)</f>
        <v>0.73698803953614378</v>
      </c>
      <c r="P64" s="3" cm="1">
        <f t="array" ref="P64">lmb_2(J64)</f>
        <v>0.11121589518655377</v>
      </c>
      <c r="R64" s="3">
        <f t="shared" si="13"/>
        <v>5.7734589258572582</v>
      </c>
      <c r="S64" s="3">
        <f t="shared" si="14"/>
        <v>7589.8996495779274</v>
      </c>
      <c r="T64" s="3">
        <f t="shared" si="15"/>
        <v>1568.3762302400919</v>
      </c>
      <c r="U64" s="3">
        <f t="shared" si="5"/>
        <v>955.3716724464108</v>
      </c>
      <c r="V64" s="3">
        <f t="shared" si="6"/>
        <v>0</v>
      </c>
      <c r="W64" s="3">
        <f t="shared" si="16"/>
        <v>106.75017932183337</v>
      </c>
      <c r="Y64" s="3">
        <f t="shared" si="17"/>
        <v>11082.827649141987</v>
      </c>
      <c r="AA64" s="3">
        <f t="shared" si="18"/>
        <v>44448.29764273695</v>
      </c>
      <c r="AB64" s="3">
        <f t="shared" si="19"/>
        <v>-210.82764914198742</v>
      </c>
      <c r="AD64" s="3">
        <f t="shared" si="20"/>
        <v>6.9066895216640271E-5</v>
      </c>
    </row>
    <row r="65" spans="3:30" x14ac:dyDescent="0.25">
      <c r="C65" s="22">
        <v>33</v>
      </c>
      <c r="D65" s="22">
        <v>10314</v>
      </c>
      <c r="F65" s="3">
        <f t="shared" si="7"/>
        <v>168.7186173776214</v>
      </c>
      <c r="G65" s="3">
        <f t="shared" si="8"/>
        <v>28.805310159671535</v>
      </c>
      <c r="H65" s="3">
        <f t="shared" si="9"/>
        <v>-0.41013366173858301</v>
      </c>
      <c r="I65" s="3">
        <f t="shared" si="10"/>
        <v>0.43303352343000312</v>
      </c>
      <c r="J65" s="3">
        <f t="shared" si="11"/>
        <v>-2.0849995847490139</v>
      </c>
      <c r="K65" s="3">
        <f t="shared" si="12"/>
        <v>795.72359604523353</v>
      </c>
      <c r="L65" s="3" cm="1">
        <f t="array" ref="L65">lmb_2(F65)</f>
        <v>163.62106420741682</v>
      </c>
      <c r="M65" s="3" cm="1">
        <f t="array" ref="M65">lmb_2(G65)</f>
        <v>25.564120340474968</v>
      </c>
      <c r="N65" s="3" cm="1">
        <f t="array" ref="N65">lmb_2(H65)</f>
        <v>0.43115468759581399</v>
      </c>
      <c r="O65" s="3" cm="1">
        <f t="array" ref="O65">lmb_2(I65)</f>
        <v>0.73750964131462837</v>
      </c>
      <c r="P65" s="3" cm="1">
        <f t="array" ref="P65">lmb_2(J65)</f>
        <v>0.11122254952011901</v>
      </c>
      <c r="R65" s="3">
        <f t="shared" si="13"/>
        <v>5.2541999069486387</v>
      </c>
      <c r="S65" s="3">
        <f t="shared" si="14"/>
        <v>7014.2832449872121</v>
      </c>
      <c r="T65" s="3">
        <f t="shared" si="15"/>
        <v>1611.5973175565255</v>
      </c>
      <c r="U65" s="3">
        <f t="shared" si="5"/>
        <v>984.23468118521566</v>
      </c>
      <c r="V65" s="3">
        <f t="shared" si="6"/>
        <v>0</v>
      </c>
      <c r="W65" s="3">
        <f t="shared" si="16"/>
        <v>108.52362242564067</v>
      </c>
      <c r="Y65" s="3">
        <f t="shared" si="17"/>
        <v>10519.616662106775</v>
      </c>
      <c r="AA65" s="3">
        <f t="shared" si="18"/>
        <v>42278.211735931698</v>
      </c>
      <c r="AB65" s="3">
        <f t="shared" si="19"/>
        <v>-205.61666210677504</v>
      </c>
      <c r="AD65" s="3">
        <f t="shared" si="20"/>
        <v>6.7359781861247813E-5</v>
      </c>
    </row>
    <row r="66" spans="3:30" x14ac:dyDescent="0.25">
      <c r="C66" s="22">
        <v>34</v>
      </c>
      <c r="D66" s="22">
        <v>9750</v>
      </c>
      <c r="F66" s="3">
        <f t="shared" si="7"/>
        <v>179.03391675288006</v>
      </c>
      <c r="G66" s="3">
        <f t="shared" si="8"/>
        <v>30.295566190263539</v>
      </c>
      <c r="H66" s="3">
        <f t="shared" si="9"/>
        <v>-0.40606836206868646</v>
      </c>
      <c r="I66" s="3">
        <f t="shared" si="10"/>
        <v>0.43430044127192802</v>
      </c>
      <c r="J66" s="3">
        <f t="shared" si="11"/>
        <v>-2.0849310539327619</v>
      </c>
      <c r="K66" s="3">
        <f t="shared" si="12"/>
        <v>739.12480892965789</v>
      </c>
      <c r="L66" s="3" cm="1">
        <f t="array" ref="L66">lmb_2(F66)</f>
        <v>173.87557678540026</v>
      </c>
      <c r="M66" s="3" cm="1">
        <f t="array" ref="M66">lmb_2(G66)</f>
        <v>26.999738991295011</v>
      </c>
      <c r="N66" s="3" cm="1">
        <f t="array" ref="N66">lmb_2(H66)</f>
        <v>0.43238062958841966</v>
      </c>
      <c r="O66" s="3" cm="1">
        <f t="array" ref="O66">lmb_2(I66)</f>
        <v>0.73804751468461205</v>
      </c>
      <c r="P66" s="3" cm="1">
        <f t="array" ref="P66">lmb_2(J66)</f>
        <v>0.11122940897740899</v>
      </c>
      <c r="R66" s="3">
        <f t="shared" si="13"/>
        <v>4.7954398056018892</v>
      </c>
      <c r="S66" s="3">
        <f t="shared" si="14"/>
        <v>6491.7385394265084</v>
      </c>
      <c r="T66" s="3">
        <f t="shared" si="15"/>
        <v>1654.3086238792055</v>
      </c>
      <c r="U66" s="3">
        <f t="shared" si="5"/>
        <v>1013.0073568389162</v>
      </c>
      <c r="V66" s="3">
        <f t="shared" si="6"/>
        <v>0</v>
      </c>
      <c r="W66" s="3">
        <f t="shared" si="16"/>
        <v>110.29706552944796</v>
      </c>
      <c r="Y66" s="3">
        <f t="shared" si="17"/>
        <v>10013.271834409339</v>
      </c>
      <c r="AA66" s="3">
        <f t="shared" si="18"/>
        <v>69312.058793258489</v>
      </c>
      <c r="AB66" s="3">
        <f t="shared" si="19"/>
        <v>-263.27183440933914</v>
      </c>
      <c r="AD66" s="3">
        <f t="shared" si="20"/>
        <v>8.6247549952029435E-5</v>
      </c>
    </row>
    <row r="67" spans="3:30" x14ac:dyDescent="0.25">
      <c r="C67" s="22">
        <v>35</v>
      </c>
      <c r="D67" s="22">
        <v>9423</v>
      </c>
      <c r="F67" s="3">
        <f t="shared" si="7"/>
        <v>189.65713551247481</v>
      </c>
      <c r="G67" s="3">
        <f t="shared" si="8"/>
        <v>31.830307475500074</v>
      </c>
      <c r="H67" s="3">
        <f t="shared" si="9"/>
        <v>-0.4018817101698377</v>
      </c>
      <c r="I67" s="3">
        <f t="shared" si="10"/>
        <v>0.43560517755689543</v>
      </c>
      <c r="J67" s="3">
        <f t="shared" si="11"/>
        <v>-2.0848604774205026</v>
      </c>
      <c r="K67" s="3">
        <f t="shared" si="12"/>
        <v>686.5518201175073</v>
      </c>
      <c r="L67" s="3" cm="1">
        <f t="array" ref="L67">lmb_2(F67)</f>
        <v>184.43981232268894</v>
      </c>
      <c r="M67" s="3" cm="1">
        <f t="array" ref="M67">lmb_2(G67)</f>
        <v>28.481067893402169</v>
      </c>
      <c r="N67" s="3" cm="1">
        <f t="array" ref="N67">lmb_2(H67)</f>
        <v>0.43364570833680754</v>
      </c>
      <c r="O67" s="3" cm="1">
        <f t="array" ref="O67">lmb_2(I67)</f>
        <v>0.7386016798086753</v>
      </c>
      <c r="P67" s="3" cm="1">
        <f t="array" ref="P67">lmb_2(J67)</f>
        <v>0.11123647359253171</v>
      </c>
      <c r="R67" s="3">
        <f t="shared" si="13"/>
        <v>4.3886168281800266</v>
      </c>
      <c r="S67" s="3">
        <f t="shared" si="14"/>
        <v>6016.7811624828964</v>
      </c>
      <c r="T67" s="3">
        <f t="shared" si="15"/>
        <v>1696.4983370483592</v>
      </c>
      <c r="U67" s="3">
        <f t="shared" si="5"/>
        <v>1041.6871524888493</v>
      </c>
      <c r="V67" s="3">
        <f t="shared" si="6"/>
        <v>0</v>
      </c>
      <c r="W67" s="3">
        <f t="shared" si="16"/>
        <v>112.07050863325526</v>
      </c>
      <c r="Y67" s="3">
        <f t="shared" si="17"/>
        <v>9557.9775975990469</v>
      </c>
      <c r="AA67" s="3">
        <f t="shared" si="18"/>
        <v>18218.951853610241</v>
      </c>
      <c r="AB67" s="3">
        <f t="shared" si="19"/>
        <v>-134.97759759904693</v>
      </c>
      <c r="AD67" s="3">
        <f t="shared" si="20"/>
        <v>4.4218505627261153E-5</v>
      </c>
    </row>
    <row r="68" spans="3:30" x14ac:dyDescent="0.25">
      <c r="C68" s="22">
        <v>36</v>
      </c>
      <c r="D68" s="22">
        <v>8749</v>
      </c>
      <c r="F68" s="3">
        <f t="shared" si="7"/>
        <v>200.58827365640565</v>
      </c>
      <c r="G68" s="3">
        <f t="shared" si="8"/>
        <v>33.409534015381148</v>
      </c>
      <c r="H68" s="3">
        <f t="shared" si="9"/>
        <v>-0.39757370604203685</v>
      </c>
      <c r="I68" s="3">
        <f t="shared" si="10"/>
        <v>0.43694773228490535</v>
      </c>
      <c r="J68" s="3">
        <f t="shared" si="11"/>
        <v>-2.0847878552122356</v>
      </c>
      <c r="K68" s="3">
        <f t="shared" si="12"/>
        <v>637.71827979802026</v>
      </c>
      <c r="L68" s="3" cm="1">
        <f t="array" ref="L68">lmb_2(F68)</f>
        <v>195.3136668422604</v>
      </c>
      <c r="M68" s="3" cm="1">
        <f t="array" ref="M68">lmb_2(G68)</f>
        <v>30.008067745038186</v>
      </c>
      <c r="N68" s="3" cm="1">
        <f t="array" ref="N68">lmb_2(H68)</f>
        <v>0.43495014882373995</v>
      </c>
      <c r="O68" s="3" cm="1">
        <f t="array" ref="O68">lmb_2(I68)</f>
        <v>0.73917215744416853</v>
      </c>
      <c r="P68" s="3" cm="1">
        <f t="array" ref="P68">lmb_2(J68)</f>
        <v>0.11124374340061595</v>
      </c>
      <c r="R68" s="3">
        <f t="shared" si="13"/>
        <v>4.0265825075835968</v>
      </c>
      <c r="S68" s="3">
        <f t="shared" si="14"/>
        <v>5584.5144189879711</v>
      </c>
      <c r="T68" s="3">
        <f t="shared" si="15"/>
        <v>1738.1549473863984</v>
      </c>
      <c r="U68" s="3">
        <f t="shared" si="5"/>
        <v>1070.2715378924481</v>
      </c>
      <c r="V68" s="3">
        <f t="shared" si="6"/>
        <v>0</v>
      </c>
      <c r="W68" s="3">
        <f t="shared" si="16"/>
        <v>113.84395173706254</v>
      </c>
      <c r="Y68" s="3">
        <f t="shared" si="17"/>
        <v>9148.5297183094845</v>
      </c>
      <c r="AA68" s="3">
        <f t="shared" si="18"/>
        <v>159623.99581245601</v>
      </c>
      <c r="AB68" s="3">
        <f t="shared" si="19"/>
        <v>-399.52971830948445</v>
      </c>
      <c r="AD68" s="3">
        <f t="shared" si="20"/>
        <v>1.3088547589804446E-4</v>
      </c>
    </row>
    <row r="69" spans="3:30" x14ac:dyDescent="0.25">
      <c r="C69" s="22">
        <v>37</v>
      </c>
      <c r="D69" s="22">
        <v>8524</v>
      </c>
      <c r="F69" s="3">
        <f t="shared" si="7"/>
        <v>211.82733118467252</v>
      </c>
      <c r="G69" s="3">
        <f t="shared" si="8"/>
        <v>35.033245809906759</v>
      </c>
      <c r="H69" s="3">
        <f t="shared" si="9"/>
        <v>-0.39314434968528389</v>
      </c>
      <c r="I69" s="3">
        <f t="shared" si="10"/>
        <v>0.43832810545595779</v>
      </c>
      <c r="J69" s="3">
        <f t="shared" si="11"/>
        <v>-2.084713187307961</v>
      </c>
      <c r="K69" s="3">
        <f t="shared" si="12"/>
        <v>592.3582058510018</v>
      </c>
      <c r="L69" s="3" cm="1">
        <f t="array" ref="L69">lmb_2(F69)</f>
        <v>206.49704508190453</v>
      </c>
      <c r="M69" s="3" cm="1">
        <f t="array" ref="M69">lmb_2(G69)</f>
        <v>31.580699646587885</v>
      </c>
      <c r="N69" s="3" cm="1">
        <f t="array" ref="N69">lmb_2(H69)</f>
        <v>0.43629418264322994</v>
      </c>
      <c r="O69" s="3" cm="1">
        <f t="array" ref="O69">lmb_2(I69)</f>
        <v>0.73975896894256943</v>
      </c>
      <c r="P69" s="3" cm="1">
        <f t="array" ref="P69">lmb_2(J69)</f>
        <v>0.11125121843781145</v>
      </c>
      <c r="R69" s="3">
        <f t="shared" si="13"/>
        <v>3.7033370212947054</v>
      </c>
      <c r="S69" s="3">
        <f t="shared" si="14"/>
        <v>5190.5720307211468</v>
      </c>
      <c r="T69" s="3">
        <f t="shared" si="15"/>
        <v>1779.2672533328159</v>
      </c>
      <c r="U69" s="3">
        <f t="shared" si="5"/>
        <v>1098.7579999187271</v>
      </c>
      <c r="V69" s="3">
        <f t="shared" si="6"/>
        <v>0</v>
      </c>
      <c r="W69" s="3">
        <f t="shared" si="16"/>
        <v>115.61739484086984</v>
      </c>
      <c r="Y69" s="3">
        <f t="shared" si="17"/>
        <v>8780.2762216858555</v>
      </c>
      <c r="AA69" s="3">
        <f t="shared" si="18"/>
        <v>65677.501801577746</v>
      </c>
      <c r="AB69" s="3">
        <f t="shared" si="19"/>
        <v>-256.27622168585549</v>
      </c>
      <c r="AD69" s="3">
        <f t="shared" si="20"/>
        <v>8.3955795275091215E-5</v>
      </c>
    </row>
    <row r="70" spans="3:30" x14ac:dyDescent="0.25">
      <c r="C70" s="22">
        <v>38</v>
      </c>
      <c r="D70" s="22">
        <v>8209</v>
      </c>
      <c r="F70" s="3">
        <f t="shared" si="7"/>
        <v>223.3743080972755</v>
      </c>
      <c r="G70" s="3">
        <f t="shared" si="8"/>
        <v>36.701442859076899</v>
      </c>
      <c r="H70" s="3">
        <f t="shared" si="9"/>
        <v>-0.38859364109957872</v>
      </c>
      <c r="I70" s="3">
        <f t="shared" si="10"/>
        <v>0.43974629707005281</v>
      </c>
      <c r="J70" s="3">
        <f t="shared" si="11"/>
        <v>-2.084636473707679</v>
      </c>
      <c r="K70" s="3">
        <f t="shared" si="12"/>
        <v>550.22453511941353</v>
      </c>
      <c r="L70" s="3" cm="1">
        <f t="array" ref="L70">lmb_2(F70)</f>
        <v>217.98985955138764</v>
      </c>
      <c r="M70" s="3" cm="1">
        <f t="array" ref="M70">lmb_2(G70)</f>
        <v>33.198925352576637</v>
      </c>
      <c r="N70" s="3" cm="1">
        <f t="array" ref="N70">lmb_2(H70)</f>
        <v>0.43767804800496141</v>
      </c>
      <c r="O70" s="3" cm="1">
        <f t="array" ref="O70">lmb_2(I70)</f>
        <v>0.74036213624882186</v>
      </c>
      <c r="P70" s="3" cm="1">
        <f t="array" ref="P70">lmb_2(J70)</f>
        <v>0.111258898741289</v>
      </c>
      <c r="R70" s="3">
        <f t="shared" si="13"/>
        <v>3.4138196229896005</v>
      </c>
      <c r="S70" s="3">
        <f t="shared" si="14"/>
        <v>4831.0636915136556</v>
      </c>
      <c r="T70" s="3">
        <f t="shared" si="15"/>
        <v>1819.824366822405</v>
      </c>
      <c r="U70" s="3">
        <f t="shared" si="5"/>
        <v>1127.1440429791235</v>
      </c>
      <c r="V70" s="3">
        <f t="shared" si="6"/>
        <v>0</v>
      </c>
      <c r="W70" s="3">
        <f t="shared" si="16"/>
        <v>117.39083794467713</v>
      </c>
      <c r="Y70" s="3">
        <f t="shared" si="17"/>
        <v>8449.0612940022656</v>
      </c>
      <c r="AA70" s="3">
        <f t="shared" si="18"/>
        <v>57629.42487804222</v>
      </c>
      <c r="AB70" s="3">
        <f t="shared" si="19"/>
        <v>-240.06129400226564</v>
      </c>
      <c r="AD70" s="3">
        <f t="shared" si="20"/>
        <v>7.8643803627763862E-5</v>
      </c>
    </row>
    <row r="71" spans="3:30" x14ac:dyDescent="0.25">
      <c r="C71" s="22">
        <v>39</v>
      </c>
      <c r="D71" s="22">
        <v>7799</v>
      </c>
      <c r="F71" s="3">
        <f t="shared" si="7"/>
        <v>235.22920439421455</v>
      </c>
      <c r="G71" s="3">
        <f t="shared" si="8"/>
        <v>38.414125162891587</v>
      </c>
      <c r="H71" s="3">
        <f t="shared" si="9"/>
        <v>-0.38392158028492146</v>
      </c>
      <c r="I71" s="3">
        <f t="shared" si="10"/>
        <v>0.44120230712719033</v>
      </c>
      <c r="J71" s="3">
        <f t="shared" si="11"/>
        <v>-2.0845577144113898</v>
      </c>
      <c r="K71" s="3">
        <f t="shared" si="12"/>
        <v>511.08777772806928</v>
      </c>
      <c r="L71" s="3" cm="1">
        <f t="array" ref="L71">lmb_2(F71)</f>
        <v>229.79202971298284</v>
      </c>
      <c r="M71" s="3" cm="1">
        <f t="array" ref="M71">lmb_2(G71)</f>
        <v>34.862707459172675</v>
      </c>
      <c r="N71" s="3" cm="1">
        <f t="array" ref="N71">lmb_2(H71)</f>
        <v>0.43910198973837178</v>
      </c>
      <c r="O71" s="3" cm="1">
        <f t="array" ref="O71">lmb_2(I71)</f>
        <v>0.74098168190065117</v>
      </c>
      <c r="P71" s="3" cm="1">
        <f t="array" ref="P71">lmb_2(J71)</f>
        <v>0.11126678434924091</v>
      </c>
      <c r="R71" s="3">
        <f t="shared" si="13"/>
        <v>3.1537416209678302</v>
      </c>
      <c r="S71" s="3">
        <f t="shared" si="14"/>
        <v>4502.5243834282901</v>
      </c>
      <c r="T71" s="3">
        <f t="shared" si="15"/>
        <v>1859.815718403112</v>
      </c>
      <c r="U71" s="3">
        <f t="shared" si="5"/>
        <v>1155.4271894536016</v>
      </c>
      <c r="V71" s="3">
        <f t="shared" si="6"/>
        <v>0</v>
      </c>
      <c r="W71" s="3">
        <f t="shared" si="16"/>
        <v>119.16428104848443</v>
      </c>
      <c r="Y71" s="3">
        <f t="shared" si="17"/>
        <v>8151.1730916825254</v>
      </c>
      <c r="AA71" s="3">
        <f t="shared" si="18"/>
        <v>124025.88650522845</v>
      </c>
      <c r="AB71" s="3">
        <f t="shared" si="19"/>
        <v>-352.17309168252541</v>
      </c>
      <c r="AD71" s="3">
        <f t="shared" si="20"/>
        <v>1.1537149951795901E-4</v>
      </c>
    </row>
    <row r="72" spans="3:30" x14ac:dyDescent="0.25">
      <c r="C72" s="22">
        <v>40</v>
      </c>
      <c r="D72" s="22">
        <v>7530</v>
      </c>
      <c r="F72" s="3">
        <f t="shared" si="7"/>
        <v>247.39202007548968</v>
      </c>
      <c r="G72" s="3">
        <f t="shared" si="8"/>
        <v>40.17129272135081</v>
      </c>
      <c r="H72" s="3">
        <f t="shared" si="9"/>
        <v>-0.37912816724131204</v>
      </c>
      <c r="I72" s="3">
        <f t="shared" si="10"/>
        <v>0.44269613562737042</v>
      </c>
      <c r="J72" s="3">
        <f t="shared" si="11"/>
        <v>-2.0844769094190925</v>
      </c>
      <c r="K72" s="3">
        <f t="shared" si="12"/>
        <v>474.73476711889379</v>
      </c>
      <c r="L72" s="3" cm="1">
        <f t="array" ref="L72">lmb_2(F72)</f>
        <v>241.9034812666311</v>
      </c>
      <c r="M72" s="3" cm="1">
        <f t="array" ref="M72">lmb_2(G72)</f>
        <v>36.572009540188219</v>
      </c>
      <c r="N72" s="3" cm="1">
        <f t="array" ref="N72">lmb_2(H72)</f>
        <v>0.44056625929636278</v>
      </c>
      <c r="O72" s="3" cm="1">
        <f t="array" ref="O72">lmb_2(I72)</f>
        <v>0.74161762902786088</v>
      </c>
      <c r="P72" s="3" cm="1">
        <f t="array" ref="P72">lmb_2(J72)</f>
        <v>0.11127487530088118</v>
      </c>
      <c r="R72" s="3">
        <f t="shared" si="13"/>
        <v>2.9194524372552122</v>
      </c>
      <c r="S72" s="3">
        <f t="shared" si="14"/>
        <v>4201.8678987299872</v>
      </c>
      <c r="T72" s="3">
        <f t="shared" si="15"/>
        <v>1899.2310620901308</v>
      </c>
      <c r="U72" s="3">
        <f t="shared" si="5"/>
        <v>1183.6049801118945</v>
      </c>
      <c r="V72" s="3">
        <f t="shared" si="6"/>
        <v>0</v>
      </c>
      <c r="W72" s="3">
        <f t="shared" si="16"/>
        <v>120.93772415229171</v>
      </c>
      <c r="Y72" s="3">
        <f t="shared" si="17"/>
        <v>7883.2958846404526</v>
      </c>
      <c r="AA72" s="3">
        <f t="shared" si="18"/>
        <v>124817.98210388001</v>
      </c>
      <c r="AB72" s="3">
        <f t="shared" si="19"/>
        <v>-353.29588464045264</v>
      </c>
      <c r="AD72" s="3">
        <f t="shared" si="20"/>
        <v>1.1573932519874964E-4</v>
      </c>
    </row>
    <row r="73" spans="3:30" x14ac:dyDescent="0.25">
      <c r="C73" s="22">
        <v>41</v>
      </c>
      <c r="D73" s="22">
        <v>7408</v>
      </c>
      <c r="F73" s="3">
        <f t="shared" si="7"/>
        <v>259.86275514110093</v>
      </c>
      <c r="G73" s="3">
        <f t="shared" si="8"/>
        <v>41.972945534454574</v>
      </c>
      <c r="H73" s="3">
        <f t="shared" si="9"/>
        <v>-0.37421340196875058</v>
      </c>
      <c r="I73" s="3">
        <f t="shared" si="10"/>
        <v>0.44422778257059303</v>
      </c>
      <c r="J73" s="3">
        <f t="shared" si="11"/>
        <v>-2.0843940587307879</v>
      </c>
      <c r="K73" s="3">
        <f t="shared" si="12"/>
        <v>440.96749899455216</v>
      </c>
      <c r="L73" s="3" cm="1">
        <f t="array" ref="L73">lmb_2(F73)</f>
        <v>254.32414552420576</v>
      </c>
      <c r="M73" s="3" cm="1">
        <f t="array" ref="M73">lmb_2(G73)</f>
        <v>38.326796242116167</v>
      </c>
      <c r="N73" s="3" cm="1">
        <f t="array" ref="N73">lmb_2(H73)</f>
        <v>0.44207111475859806</v>
      </c>
      <c r="O73" s="3" cm="1">
        <f t="array" ref="O73">lmb_2(I73)</f>
        <v>0.74227000135160537</v>
      </c>
      <c r="P73" s="3" cm="1">
        <f t="array" ref="P73">lmb_2(J73)</f>
        <v>0.11128317163644562</v>
      </c>
      <c r="R73" s="3">
        <f t="shared" si="13"/>
        <v>2.707831561888971</v>
      </c>
      <c r="S73" s="3">
        <f t="shared" si="14"/>
        <v>3926.3446828892079</v>
      </c>
      <c r="T73" s="3">
        <f t="shared" si="15"/>
        <v>1938.0604799531059</v>
      </c>
      <c r="U73" s="3">
        <f t="shared" si="5"/>
        <v>1211.6749745297798</v>
      </c>
      <c r="V73" s="3">
        <f t="shared" si="6"/>
        <v>0</v>
      </c>
      <c r="W73" s="3">
        <f t="shared" si="16"/>
        <v>122.711167256099</v>
      </c>
      <c r="Y73" s="3">
        <f t="shared" si="17"/>
        <v>7642.4666351846336</v>
      </c>
      <c r="AA73" s="3">
        <f t="shared" si="18"/>
        <v>54974.603014804045</v>
      </c>
      <c r="AB73" s="3">
        <f t="shared" si="19"/>
        <v>-234.46663518463356</v>
      </c>
      <c r="AD73" s="3">
        <f t="shared" si="20"/>
        <v>7.6810999838019877E-5</v>
      </c>
    </row>
    <row r="74" spans="3:30" x14ac:dyDescent="0.25">
      <c r="C74" s="22">
        <v>42</v>
      </c>
      <c r="D74" s="22">
        <v>7296</v>
      </c>
      <c r="F74" s="3">
        <f t="shared" si="7"/>
        <v>272.64140959104827</v>
      </c>
      <c r="G74" s="3">
        <f t="shared" si="8"/>
        <v>43.819083602202866</v>
      </c>
      <c r="H74" s="3">
        <f t="shared" si="9"/>
        <v>-0.36917728446723685</v>
      </c>
      <c r="I74" s="3">
        <f t="shared" si="10"/>
        <v>0.44579724795685816</v>
      </c>
      <c r="J74" s="3">
        <f t="shared" si="11"/>
        <v>-2.084309162346476</v>
      </c>
      <c r="K74" s="3">
        <f t="shared" si="12"/>
        <v>409.60205284651323</v>
      </c>
      <c r="L74" s="3" cm="1">
        <f t="array" ref="L74">lmb_2(F74)</f>
        <v>267.05395885995762</v>
      </c>
      <c r="M74" s="3" cm="1">
        <f t="array" ref="M74">lmb_2(G74)</f>
        <v>40.127033346728751</v>
      </c>
      <c r="N74" s="3" cm="1">
        <f t="array" ref="N74">lmb_2(H74)</f>
        <v>0.44361682083435017</v>
      </c>
      <c r="O74" s="3" cm="1">
        <f t="array" ref="O74">lmb_2(I74)</f>
        <v>0.74293882318364424</v>
      </c>
      <c r="P74" s="3" cm="1">
        <f t="array" ref="P74">lmb_2(J74)</f>
        <v>0.11129167339719219</v>
      </c>
      <c r="R74" s="3">
        <f t="shared" si="13"/>
        <v>2.5162009081956933</v>
      </c>
      <c r="S74" s="3">
        <f t="shared" si="14"/>
        <v>3673.5039053009209</v>
      </c>
      <c r="T74" s="3">
        <f t="shared" si="15"/>
        <v>1976.2943864335957</v>
      </c>
      <c r="U74" s="3">
        <f t="shared" si="5"/>
        <v>1239.6347515002872</v>
      </c>
      <c r="V74" s="3">
        <f t="shared" si="6"/>
        <v>0</v>
      </c>
      <c r="W74" s="3">
        <f t="shared" si="16"/>
        <v>124.4846103599063</v>
      </c>
      <c r="Y74" s="3">
        <f t="shared" si="17"/>
        <v>7426.0359073494192</v>
      </c>
      <c r="AA74" s="3">
        <f t="shared" si="18"/>
        <v>16909.337200186728</v>
      </c>
      <c r="AB74" s="3">
        <f t="shared" si="19"/>
        <v>-130.03590734941918</v>
      </c>
      <c r="AD74" s="3">
        <f t="shared" si="20"/>
        <v>4.25996135888916E-5</v>
      </c>
    </row>
    <row r="75" spans="3:30" x14ac:dyDescent="0.25">
      <c r="C75" s="22">
        <v>43</v>
      </c>
      <c r="D75" s="22">
        <v>7043</v>
      </c>
      <c r="F75" s="3">
        <f t="shared" si="7"/>
        <v>285.72798342533162</v>
      </c>
      <c r="G75" s="3">
        <f t="shared" si="8"/>
        <v>45.7097069245957</v>
      </c>
      <c r="H75" s="3">
        <f t="shared" si="9"/>
        <v>-0.36401981473677103</v>
      </c>
      <c r="I75" s="3">
        <f t="shared" si="10"/>
        <v>0.44740453178616585</v>
      </c>
      <c r="J75" s="3">
        <f t="shared" si="11"/>
        <v>-2.0842222202661564</v>
      </c>
      <c r="K75" s="3">
        <f t="shared" si="12"/>
        <v>380.46759019342289</v>
      </c>
      <c r="L75" s="3" cm="1">
        <f t="array" ref="L75">lmb_2(F75)</f>
        <v>280.09286222633801</v>
      </c>
      <c r="M75" s="3" cm="1">
        <f t="array" ref="M75">lmb_2(G75)</f>
        <v>41.972687808125492</v>
      </c>
      <c r="N75" s="3" cm="1">
        <f t="array" ref="N75">lmb_2(H75)</f>
        <v>0.44520364886485692</v>
      </c>
      <c r="O75" s="3" cm="1">
        <f t="array" ref="O75">lmb_2(I75)</f>
        <v>0.74362411942557161</v>
      </c>
      <c r="P75" s="3" cm="1">
        <f t="array" ref="P75">lmb_2(J75)</f>
        <v>0.11130038062540144</v>
      </c>
      <c r="R75" s="3">
        <f t="shared" si="13"/>
        <v>2.3422533389033973</v>
      </c>
      <c r="S75" s="3">
        <f t="shared" si="14"/>
        <v>3441.1595390757061</v>
      </c>
      <c r="T75" s="3">
        <f t="shared" si="15"/>
        <v>2013.9235323902183</v>
      </c>
      <c r="U75" s="3">
        <f t="shared" si="5"/>
        <v>1267.4819094397258</v>
      </c>
      <c r="V75" s="3">
        <f t="shared" si="6"/>
        <v>0</v>
      </c>
      <c r="W75" s="3">
        <f t="shared" si="16"/>
        <v>126.25805346371359</v>
      </c>
      <c r="Y75" s="3">
        <f t="shared" si="17"/>
        <v>7231.6328779016912</v>
      </c>
      <c r="AA75" s="3">
        <f t="shared" si="18"/>
        <v>35582.362625474358</v>
      </c>
      <c r="AB75" s="3">
        <f t="shared" si="19"/>
        <v>-188.63287790169124</v>
      </c>
      <c r="AD75" s="3">
        <f t="shared" si="20"/>
        <v>6.1795913702358674E-5</v>
      </c>
    </row>
    <row r="76" spans="3:30" x14ac:dyDescent="0.25">
      <c r="C76" s="22">
        <v>44</v>
      </c>
      <c r="D76" s="22">
        <v>6825</v>
      </c>
      <c r="F76" s="3">
        <f t="shared" si="7"/>
        <v>299.12247664395107</v>
      </c>
      <c r="G76" s="3">
        <f t="shared" si="8"/>
        <v>47.644815501633076</v>
      </c>
      <c r="H76" s="3">
        <f t="shared" si="9"/>
        <v>-0.35874099277735305</v>
      </c>
      <c r="I76" s="3">
        <f t="shared" si="10"/>
        <v>0.44904963405851606</v>
      </c>
      <c r="J76" s="3">
        <f t="shared" si="11"/>
        <v>-2.0841332324898292</v>
      </c>
      <c r="K76" s="3">
        <f t="shared" si="12"/>
        <v>353.40542407348102</v>
      </c>
      <c r="L76" s="3" cm="1">
        <f t="array" ref="L76">lmb_2(F76)</f>
        <v>293.44080072613082</v>
      </c>
      <c r="M76" s="3" cm="1">
        <f t="array" ref="M76">lmb_2(G76)</f>
        <v>43.863727769783857</v>
      </c>
      <c r="N76" s="3" cm="1">
        <f t="array" ref="N76">lmb_2(H76)</f>
        <v>0.44683187682514425</v>
      </c>
      <c r="O76" s="3" cm="1">
        <f t="array" ref="O76">lmb_2(I76)</f>
        <v>0.74432591556802596</v>
      </c>
      <c r="P76" s="3" cm="1">
        <f t="array" ref="P76">lmb_2(J76)</f>
        <v>0.11130929336437652</v>
      </c>
      <c r="R76" s="3">
        <f t="shared" si="13"/>
        <v>2.1839940846359189</v>
      </c>
      <c r="S76" s="3">
        <f t="shared" si="14"/>
        <v>3227.3601623922568</v>
      </c>
      <c r="T76" s="3">
        <f t="shared" si="15"/>
        <v>2050.939008869213</v>
      </c>
      <c r="U76" s="3">
        <f t="shared" si="5"/>
        <v>1295.2140667884335</v>
      </c>
      <c r="V76" s="3">
        <f t="shared" si="6"/>
        <v>0</v>
      </c>
      <c r="W76" s="3">
        <f t="shared" si="16"/>
        <v>128.03149656752089</v>
      </c>
      <c r="Y76" s="3">
        <f t="shared" si="17"/>
        <v>7057.1341527755412</v>
      </c>
      <c r="AA76" s="3">
        <f t="shared" si="18"/>
        <v>53886.264884818316</v>
      </c>
      <c r="AB76" s="3">
        <f t="shared" si="19"/>
        <v>-232.13415277554122</v>
      </c>
      <c r="AD76" s="3">
        <f t="shared" si="20"/>
        <v>7.6046881285263349E-5</v>
      </c>
    </row>
    <row r="77" spans="3:30" x14ac:dyDescent="0.25">
      <c r="C77" s="22">
        <v>45</v>
      </c>
      <c r="D77" s="22">
        <v>6825</v>
      </c>
      <c r="F77" s="3">
        <f t="shared" si="7"/>
        <v>312.82488924690659</v>
      </c>
      <c r="G77" s="3">
        <f t="shared" si="8"/>
        <v>49.624409333314986</v>
      </c>
      <c r="H77" s="3">
        <f t="shared" si="9"/>
        <v>-0.35334081858898303</v>
      </c>
      <c r="I77" s="3">
        <f t="shared" si="10"/>
        <v>0.45073255477390878</v>
      </c>
      <c r="J77" s="3">
        <f t="shared" si="11"/>
        <v>-2.0840421990174947</v>
      </c>
      <c r="K77" s="3">
        <f t="shared" si="12"/>
        <v>328.26815472262007</v>
      </c>
      <c r="L77" s="3" cm="1">
        <f t="array" ref="L77">lmb_2(F77)</f>
        <v>307.09772323325075</v>
      </c>
      <c r="M77" s="3" cm="1">
        <f t="array" ref="M77">lmb_2(G77)</f>
        <v>45.800122566083076</v>
      </c>
      <c r="N77" s="3" cm="1">
        <f t="array" ref="N77">lmb_2(H77)</f>
        <v>0.44850178932527746</v>
      </c>
      <c r="O77" s="3" cm="1">
        <f t="array" ref="O77">lmb_2(I77)</f>
        <v>0.74504423768987693</v>
      </c>
      <c r="P77" s="3" cm="1">
        <f t="array" ref="P77">lmb_2(J77)</f>
        <v>0.11131841165844353</v>
      </c>
      <c r="R77" s="3">
        <f t="shared" si="13"/>
        <v>2.039692497951084</v>
      </c>
      <c r="S77" s="3">
        <f t="shared" si="14"/>
        <v>3030.3621626292238</v>
      </c>
      <c r="T77" s="3">
        <f t="shared" si="15"/>
        <v>2087.3322505983892</v>
      </c>
      <c r="U77" s="3">
        <f t="shared" si="5"/>
        <v>1322.8288624061431</v>
      </c>
      <c r="V77" s="3">
        <f t="shared" si="6"/>
        <v>0</v>
      </c>
      <c r="W77" s="3">
        <f t="shared" si="16"/>
        <v>129.80493967132819</v>
      </c>
      <c r="Y77" s="3">
        <f t="shared" si="17"/>
        <v>6900.6360625256557</v>
      </c>
      <c r="AA77" s="3">
        <f t="shared" si="18"/>
        <v>5720.8139543848965</v>
      </c>
      <c r="AB77" s="3">
        <f t="shared" si="19"/>
        <v>-75.636062525655689</v>
      </c>
      <c r="AD77" s="3">
        <f t="shared" si="20"/>
        <v>2.4778287033597329E-5</v>
      </c>
    </row>
    <row r="78" spans="3:30" x14ac:dyDescent="0.25">
      <c r="C78" s="22">
        <v>46</v>
      </c>
      <c r="D78" s="22">
        <v>6416</v>
      </c>
      <c r="F78" s="3">
        <f t="shared" si="7"/>
        <v>326.83522123419823</v>
      </c>
      <c r="G78" s="3">
        <f t="shared" si="8"/>
        <v>51.648488419641431</v>
      </c>
      <c r="H78" s="3">
        <f t="shared" si="9"/>
        <v>-0.3478192921716608</v>
      </c>
      <c r="I78" s="3">
        <f t="shared" si="10"/>
        <v>0.45245329393234401</v>
      </c>
      <c r="J78" s="3">
        <f t="shared" si="11"/>
        <v>-2.0839491198491524</v>
      </c>
      <c r="K78" s="3">
        <f t="shared" si="12"/>
        <v>304.91886673077289</v>
      </c>
      <c r="L78" s="3" cm="1">
        <f t="array" ref="L78">lmb_2(F78)</f>
        <v>321.06358205574247</v>
      </c>
      <c r="M78" s="3" cm="1">
        <f t="array" ref="M78">lmb_2(G78)</f>
        <v>47.781842711892779</v>
      </c>
      <c r="N78" s="3" cm="1">
        <f t="array" ref="N78">lmb_2(H78)</f>
        <v>0.45021367761099462</v>
      </c>
      <c r="O78" s="3" cm="1">
        <f t="array" ref="O78">lmb_2(I78)</f>
        <v>0.74577911245738948</v>
      </c>
      <c r="P78" s="3" cm="1">
        <f t="array" ref="P78">lmb_2(J78)</f>
        <v>0.11132773555295196</v>
      </c>
      <c r="R78" s="3">
        <f t="shared" si="13"/>
        <v>1.907842136914855</v>
      </c>
      <c r="S78" s="3">
        <f t="shared" si="14"/>
        <v>2848.6060176461701</v>
      </c>
      <c r="T78" s="3">
        <f t="shared" si="15"/>
        <v>2123.0950392027662</v>
      </c>
      <c r="U78" s="3">
        <f t="shared" si="5"/>
        <v>1350.3239559618714</v>
      </c>
      <c r="V78" s="3">
        <f t="shared" si="6"/>
        <v>0</v>
      </c>
      <c r="W78" s="3">
        <f t="shared" si="16"/>
        <v>131.57838277513548</v>
      </c>
      <c r="Y78" s="3">
        <f t="shared" si="17"/>
        <v>6760.4301044536305</v>
      </c>
      <c r="AA78" s="3">
        <f t="shared" si="18"/>
        <v>118632.09685393883</v>
      </c>
      <c r="AB78" s="3">
        <f t="shared" si="19"/>
        <v>-344.43010445363052</v>
      </c>
      <c r="AD78" s="3">
        <f t="shared" si="20"/>
        <v>1.1283490581320398E-4</v>
      </c>
    </row>
    <row r="79" spans="3:30" x14ac:dyDescent="0.25">
      <c r="C79" s="22">
        <v>47</v>
      </c>
      <c r="D79" s="22">
        <v>6510</v>
      </c>
      <c r="F79" s="3">
        <f t="shared" si="7"/>
        <v>341.15347260582593</v>
      </c>
      <c r="G79" s="3">
        <f t="shared" si="8"/>
        <v>53.717052760612411</v>
      </c>
      <c r="H79" s="3">
        <f t="shared" si="9"/>
        <v>-0.34217641352538641</v>
      </c>
      <c r="I79" s="3">
        <f t="shared" si="10"/>
        <v>0.45421185153382182</v>
      </c>
      <c r="J79" s="3">
        <f t="shared" si="11"/>
        <v>-2.0838539949848029</v>
      </c>
      <c r="K79" s="3">
        <f t="shared" si="12"/>
        <v>283.23038330337357</v>
      </c>
      <c r="L79" s="3" cm="1">
        <f t="array" ref="L79">lmb_2(F79)</f>
        <v>335.33833263548973</v>
      </c>
      <c r="M79" s="3" cm="1">
        <f t="array" ref="M79">lmb_2(G79)</f>
        <v>49.808859883106457</v>
      </c>
      <c r="N79" s="3" cm="1">
        <f t="array" ref="N79">lmb_2(H79)</f>
        <v>0.45196783956368264</v>
      </c>
      <c r="O79" s="3" cm="1">
        <f t="array" ref="O79">lmb_2(I79)</f>
        <v>0.74653056712336652</v>
      </c>
      <c r="P79" s="3" cm="1">
        <f t="array" ref="P79">lmb_2(J79)</f>
        <v>0.1113372650942747</v>
      </c>
      <c r="R79" s="3">
        <f t="shared" si="13"/>
        <v>1.7871275953692023</v>
      </c>
      <c r="S79" s="3">
        <f t="shared" si="14"/>
        <v>2680.6953370489064</v>
      </c>
      <c r="T79" s="3">
        <f t="shared" si="15"/>
        <v>2158.21950614045</v>
      </c>
      <c r="U79" s="3">
        <f t="shared" si="5"/>
        <v>1377.6970283182252</v>
      </c>
      <c r="V79" s="3">
        <f t="shared" si="6"/>
        <v>0</v>
      </c>
      <c r="W79" s="3">
        <f t="shared" si="16"/>
        <v>133.35182587894275</v>
      </c>
      <c r="Y79" s="3">
        <f t="shared" si="17"/>
        <v>6634.9812082852677</v>
      </c>
      <c r="AA79" s="3">
        <f t="shared" si="18"/>
        <v>15620.30242444547</v>
      </c>
      <c r="AB79" s="3">
        <f t="shared" si="19"/>
        <v>-124.98120828526771</v>
      </c>
      <c r="AD79" s="3">
        <f t="shared" si="20"/>
        <v>4.0943699992946315E-5</v>
      </c>
    </row>
    <row r="80" spans="3:30" x14ac:dyDescent="0.25">
      <c r="C80" s="22">
        <v>48</v>
      </c>
      <c r="D80" s="22">
        <v>6357</v>
      </c>
      <c r="F80" s="3">
        <f t="shared" si="7"/>
        <v>355.77964336178968</v>
      </c>
      <c r="G80" s="3">
        <f t="shared" si="8"/>
        <v>55.830102356227947</v>
      </c>
      <c r="H80" s="3">
        <f t="shared" si="9"/>
        <v>-0.33641218265015993</v>
      </c>
      <c r="I80" s="3">
        <f t="shared" si="10"/>
        <v>0.4560082275783422</v>
      </c>
      <c r="J80" s="3">
        <f t="shared" si="11"/>
        <v>-2.0837568244244458</v>
      </c>
      <c r="K80" s="3">
        <f t="shared" si="12"/>
        <v>263.08457356627065</v>
      </c>
      <c r="L80" s="3" cm="1">
        <f t="array" ref="L80">lmb_2(F80)</f>
        <v>349.92193327995665</v>
      </c>
      <c r="M80" s="3" cm="1">
        <f t="array" ref="M80">lmb_2(G80)</f>
        <v>51.88114689042375</v>
      </c>
      <c r="N80" s="3" cm="1">
        <f t="array" ref="N80">lmb_2(H80)</f>
        <v>0.45376457969964928</v>
      </c>
      <c r="O80" s="3" cm="1">
        <f t="array" ref="O80">lmb_2(I80)</f>
        <v>0.74729862952626769</v>
      </c>
      <c r="P80" s="3" cm="1">
        <f t="array" ref="P80">lmb_2(J80)</f>
        <v>0.11134700032980868</v>
      </c>
      <c r="R80" s="3">
        <f t="shared" si="13"/>
        <v>1.6763968241325347</v>
      </c>
      <c r="S80" s="3">
        <f t="shared" si="14"/>
        <v>2525.3783638265054</v>
      </c>
      <c r="T80" s="3">
        <f t="shared" si="15"/>
        <v>2192.6981353576207</v>
      </c>
      <c r="U80" s="3">
        <f t="shared" si="5"/>
        <v>1404.9457819100392</v>
      </c>
      <c r="V80" s="3">
        <f t="shared" si="6"/>
        <v>0</v>
      </c>
      <c r="W80" s="3">
        <f t="shared" si="16"/>
        <v>135.12526898275007</v>
      </c>
      <c r="Y80" s="3">
        <f t="shared" si="17"/>
        <v>6522.9085204673174</v>
      </c>
      <c r="AA80" s="3">
        <f t="shared" si="18"/>
        <v>27525.637163654286</v>
      </c>
      <c r="AB80" s="3">
        <f t="shared" si="19"/>
        <v>-165.90852046731743</v>
      </c>
      <c r="AD80" s="3">
        <f t="shared" si="20"/>
        <v>5.4351440360399839E-5</v>
      </c>
    </row>
    <row r="81" spans="3:30" x14ac:dyDescent="0.25">
      <c r="C81" s="22">
        <v>49</v>
      </c>
      <c r="D81" s="22">
        <v>6420</v>
      </c>
      <c r="F81" s="3">
        <f t="shared" si="7"/>
        <v>370.7137335020895</v>
      </c>
      <c r="G81" s="3">
        <f t="shared" si="8"/>
        <v>57.987637206487996</v>
      </c>
      <c r="H81" s="3">
        <f t="shared" si="9"/>
        <v>-0.33052659954598129</v>
      </c>
      <c r="I81" s="3">
        <f t="shared" si="10"/>
        <v>0.45784242206590509</v>
      </c>
      <c r="J81" s="3">
        <f t="shared" si="11"/>
        <v>-2.0836576081680809</v>
      </c>
      <c r="K81" s="3">
        <f t="shared" si="12"/>
        <v>244.37170914114313</v>
      </c>
      <c r="L81" s="3" cm="1">
        <f t="array" ref="L81">lmb_2(F81)</f>
        <v>364.81434492195967</v>
      </c>
      <c r="M81" s="3" cm="1">
        <f t="array" ref="M81">lmb_2(G81)</f>
        <v>53.998677648219491</v>
      </c>
      <c r="N81" s="3" cm="1">
        <f t="array" ref="N81">lmb_2(H81)</f>
        <v>0.45560420916864863</v>
      </c>
      <c r="O81" s="3" cm="1">
        <f t="array" ref="O81">lmb_2(I81)</f>
        <v>0.74808332808930544</v>
      </c>
      <c r="P81" s="3" cm="1">
        <f t="array" ref="P81">lmb_2(J81)</f>
        <v>0.11135694130797491</v>
      </c>
      <c r="R81" s="3">
        <f t="shared" si="13"/>
        <v>1.5746379416657985</v>
      </c>
      <c r="S81" s="3">
        <f t="shared" si="14"/>
        <v>2381.5316591893197</v>
      </c>
      <c r="T81" s="3">
        <f t="shared" si="15"/>
        <v>2226.5237656617583</v>
      </c>
      <c r="U81" s="3">
        <f t="shared" si="5"/>
        <v>1432.0679411172473</v>
      </c>
      <c r="V81" s="3">
        <f t="shared" si="6"/>
        <v>0</v>
      </c>
      <c r="W81" s="3">
        <f t="shared" si="16"/>
        <v>136.89871208655734</v>
      </c>
      <c r="Y81" s="3">
        <f t="shared" si="17"/>
        <v>6422.9684251376912</v>
      </c>
      <c r="AA81" s="3">
        <f t="shared" si="18"/>
        <v>8.8115477980767594</v>
      </c>
      <c r="AB81" s="3">
        <f t="shared" si="19"/>
        <v>-2.9684251376911561</v>
      </c>
      <c r="AD81" s="3">
        <f t="shared" si="20"/>
        <v>9.7245265873680559E-7</v>
      </c>
    </row>
    <row r="82" spans="3:30" x14ac:dyDescent="0.25">
      <c r="C82" s="22">
        <v>50</v>
      </c>
      <c r="D82" s="22">
        <v>6122</v>
      </c>
      <c r="F82" s="3">
        <f t="shared" si="7"/>
        <v>385.95574302672549</v>
      </c>
      <c r="G82" s="3">
        <f t="shared" si="8"/>
        <v>60.18965731139258</v>
      </c>
      <c r="H82" s="3">
        <f t="shared" si="9"/>
        <v>-0.3245196642128505</v>
      </c>
      <c r="I82" s="3">
        <f t="shared" si="10"/>
        <v>0.45971443499651043</v>
      </c>
      <c r="J82" s="3">
        <f t="shared" si="11"/>
        <v>-2.0835563462157087</v>
      </c>
      <c r="K82" s="3">
        <f t="shared" si="12"/>
        <v>226.98986648687213</v>
      </c>
      <c r="L82" s="3" cm="1">
        <f t="array" ref="L82">lmb_2(F82)</f>
        <v>380.01553090404013</v>
      </c>
      <c r="M82" s="3" cm="1">
        <f t="array" ref="M82">lmb_2(G82)</f>
        <v>56.161427139961553</v>
      </c>
      <c r="N82" s="3" cm="1">
        <f t="array" ref="N82">lmb_2(H82)</f>
        <v>0.45748704575161425</v>
      </c>
      <c r="O82" s="3" cm="1">
        <f t="array" ref="O82">lmb_2(I82)</f>
        <v>0.74888469181951944</v>
      </c>
      <c r="P82" s="3" cm="1">
        <f t="array" ref="P82">lmb_2(J82)</f>
        <v>0.11136708807821882</v>
      </c>
      <c r="R82" s="3">
        <f t="shared" si="13"/>
        <v>1.4809597315497189</v>
      </c>
      <c r="S82" s="3">
        <f t="shared" si="14"/>
        <v>2248.1457179933677</v>
      </c>
      <c r="T82" s="3">
        <f t="shared" si="15"/>
        <v>2259.6895928125323</v>
      </c>
      <c r="U82" s="3">
        <f t="shared" si="5"/>
        <v>1459.061252631888</v>
      </c>
      <c r="V82" s="3">
        <f t="shared" si="6"/>
        <v>0</v>
      </c>
      <c r="W82" s="3">
        <f t="shared" si="16"/>
        <v>138.67215519036466</v>
      </c>
      <c r="Y82" s="3">
        <f t="shared" si="17"/>
        <v>6334.0395448465752</v>
      </c>
      <c r="AA82" s="3">
        <f t="shared" si="18"/>
        <v>44960.768578742754</v>
      </c>
      <c r="AB82" s="3">
        <f t="shared" si="19"/>
        <v>-212.03954484657515</v>
      </c>
      <c r="AD82" s="3">
        <f t="shared" si="20"/>
        <v>6.9463910854688233E-5</v>
      </c>
    </row>
    <row r="83" spans="3:30" x14ac:dyDescent="0.25">
      <c r="C83" s="22">
        <v>51</v>
      </c>
      <c r="D83" s="22">
        <v>6251</v>
      </c>
      <c r="F83" s="3">
        <f t="shared" si="7"/>
        <v>401.50567193569748</v>
      </c>
      <c r="G83" s="3">
        <f t="shared" si="8"/>
        <v>62.436162670941734</v>
      </c>
      <c r="H83" s="3">
        <f t="shared" si="9"/>
        <v>-0.31839137665076761</v>
      </c>
      <c r="I83" s="3">
        <f t="shared" si="10"/>
        <v>0.46162426637015841</v>
      </c>
      <c r="J83" s="3">
        <f t="shared" si="11"/>
        <v>-2.0834530385673289</v>
      </c>
      <c r="K83" s="3">
        <f t="shared" si="12"/>
        <v>210.84437175159582</v>
      </c>
      <c r="L83" s="3" cm="1">
        <f t="array" ref="L83">lmb_2(F83)</f>
        <v>395.52545678448161</v>
      </c>
      <c r="M83" s="3" cm="1">
        <f t="array" ref="M83">lmb_2(G83)</f>
        <v>58.369371381334574</v>
      </c>
      <c r="N83" s="3" cm="1">
        <f t="array" ref="N83">lmb_2(H83)</f>
        <v>0.45941341385755413</v>
      </c>
      <c r="O83" s="3" cm="1">
        <f t="array" ref="O83">lmb_2(I83)</f>
        <v>0.74970275030682465</v>
      </c>
      <c r="P83" s="3" cm="1">
        <f t="array" ref="P83">lmb_2(J83)</f>
        <v>0.11137744069101074</v>
      </c>
      <c r="R83" s="3">
        <f t="shared" si="13"/>
        <v>1.3945751803877351</v>
      </c>
      <c r="S83" s="3">
        <f t="shared" si="14"/>
        <v>2124.3122870171728</v>
      </c>
      <c r="T83" s="3">
        <f t="shared" si="15"/>
        <v>2292.1891713300738</v>
      </c>
      <c r="U83" s="3">
        <f t="shared" si="5"/>
        <v>1485.9234858191746</v>
      </c>
      <c r="V83" s="3">
        <f t="shared" si="6"/>
        <v>0</v>
      </c>
      <c r="W83" s="3">
        <f t="shared" si="16"/>
        <v>140.44559829417193</v>
      </c>
      <c r="Y83" s="3">
        <f t="shared" si="17"/>
        <v>6255.1094893925765</v>
      </c>
      <c r="AA83" s="3">
        <f t="shared" si="18"/>
        <v>16.887903067698822</v>
      </c>
      <c r="AB83" s="3">
        <f t="shared" si="19"/>
        <v>-4.1094893925765064</v>
      </c>
      <c r="AD83" s="3">
        <f t="shared" si="20"/>
        <v>1.3462639953824259E-6</v>
      </c>
    </row>
    <row r="84" spans="3:30" x14ac:dyDescent="0.25">
      <c r="C84" s="22">
        <v>52</v>
      </c>
      <c r="D84" s="22">
        <v>6155</v>
      </c>
      <c r="F84" s="3">
        <f t="shared" si="7"/>
        <v>417.36352022900564</v>
      </c>
      <c r="G84" s="3">
        <f t="shared" si="8"/>
        <v>64.727153285135387</v>
      </c>
      <c r="H84" s="3">
        <f t="shared" si="9"/>
        <v>-0.31214173685973257</v>
      </c>
      <c r="I84" s="3">
        <f t="shared" si="10"/>
        <v>0.4635719161868489</v>
      </c>
      <c r="J84" s="3">
        <f t="shared" si="11"/>
        <v>-2.0833476852229418</v>
      </c>
      <c r="K84" s="3">
        <f t="shared" si="12"/>
        <v>195.84728511171755</v>
      </c>
      <c r="L84" s="3" cm="1">
        <f t="array" ref="L84">lmb_2(F84)</f>
        <v>411.34409016242614</v>
      </c>
      <c r="M84" s="3" cm="1">
        <f t="array" ref="M84">lmb_2(G84)</f>
        <v>60.622487381982268</v>
      </c>
      <c r="N84" s="3" cm="1">
        <f t="array" ref="N84">lmb_2(H84)</f>
        <v>0.4613836445195626</v>
      </c>
      <c r="O84" s="3" cm="1">
        <f t="array" ref="O84">lmb_2(I84)</f>
        <v>0.75053753372303889</v>
      </c>
      <c r="P84" s="3" cm="1">
        <f t="array" ref="P84">lmb_2(J84)</f>
        <v>0.11138799919784606</v>
      </c>
      <c r="R84" s="3">
        <f t="shared" si="13"/>
        <v>1.3147875332097003</v>
      </c>
      <c r="S84" s="3">
        <f t="shared" si="14"/>
        <v>2009.2131824509183</v>
      </c>
      <c r="T84" s="3">
        <f t="shared" si="15"/>
        <v>2324.0164160206136</v>
      </c>
      <c r="U84" s="3">
        <f t="shared" si="5"/>
        <v>1512.6524330725206</v>
      </c>
      <c r="V84" s="3">
        <f t="shared" si="6"/>
        <v>0</v>
      </c>
      <c r="W84" s="3">
        <f t="shared" si="16"/>
        <v>142.21904139797923</v>
      </c>
      <c r="Y84" s="3">
        <f t="shared" si="17"/>
        <v>6185.2631455869587</v>
      </c>
      <c r="AA84" s="3">
        <f t="shared" si="18"/>
        <v>915.85798081745611</v>
      </c>
      <c r="AB84" s="3">
        <f t="shared" si="19"/>
        <v>-30.263145586958672</v>
      </c>
      <c r="AD84" s="3">
        <f t="shared" si="20"/>
        <v>9.9141716643281283E-6</v>
      </c>
    </row>
    <row r="85" spans="3:30" x14ac:dyDescent="0.25">
      <c r="C85" s="22">
        <v>53</v>
      </c>
      <c r="D85" s="22">
        <v>6027</v>
      </c>
      <c r="F85" s="3">
        <f t="shared" si="7"/>
        <v>433.52928790664976</v>
      </c>
      <c r="G85" s="3">
        <f t="shared" si="8"/>
        <v>67.062629153973589</v>
      </c>
      <c r="H85" s="3">
        <f t="shared" si="9"/>
        <v>-0.30577074483974542</v>
      </c>
      <c r="I85" s="3">
        <f t="shared" si="10"/>
        <v>0.4655573844465819</v>
      </c>
      <c r="J85" s="3">
        <f t="shared" si="11"/>
        <v>-2.083240286182547</v>
      </c>
      <c r="K85" s="3">
        <f t="shared" si="12"/>
        <v>181.91692178921096</v>
      </c>
      <c r="L85" s="3" cm="1">
        <f t="array" ref="L85">lmb_2(F85)</f>
        <v>427.47140051987952</v>
      </c>
      <c r="M85" s="3" cm="1">
        <f t="array" ref="M85">lmb_2(G85)</f>
        <v>62.920753106583319</v>
      </c>
      <c r="N85" s="3" cm="1">
        <f t="array" ref="N85">lmb_2(H85)</f>
        <v>0.46339807538990019</v>
      </c>
      <c r="O85" s="3" cm="1">
        <f t="array" ref="O85">lmb_2(I85)</f>
        <v>0.7513890728208843</v>
      </c>
      <c r="P85" s="3" cm="1">
        <f t="array" ref="P85">lmb_2(J85)</f>
        <v>0.11139876365124562</v>
      </c>
      <c r="R85" s="3">
        <f t="shared" si="13"/>
        <v>1.2409784414722316</v>
      </c>
      <c r="S85" s="3">
        <f t="shared" si="14"/>
        <v>1902.1104256150327</v>
      </c>
      <c r="T85" s="3">
        <f t="shared" si="15"/>
        <v>2355.1656032197889</v>
      </c>
      <c r="U85" s="3">
        <f t="shared" si="5"/>
        <v>1539.2459101624499</v>
      </c>
      <c r="V85" s="3">
        <f t="shared" si="6"/>
        <v>0</v>
      </c>
      <c r="W85" s="3">
        <f t="shared" si="16"/>
        <v>143.99248450178652</v>
      </c>
      <c r="Y85" s="3">
        <f t="shared" si="17"/>
        <v>6123.6723237297419</v>
      </c>
      <c r="AA85" s="3">
        <f t="shared" si="18"/>
        <v>9345.5381753080273</v>
      </c>
      <c r="AB85" s="3">
        <f t="shared" si="19"/>
        <v>-96.672323729741947</v>
      </c>
      <c r="AD85" s="3">
        <f t="shared" si="20"/>
        <v>3.1669741993349789E-5</v>
      </c>
    </row>
    <row r="86" spans="3:30" x14ac:dyDescent="0.25">
      <c r="C86" s="22">
        <v>54</v>
      </c>
      <c r="D86" s="22">
        <v>6035</v>
      </c>
      <c r="F86" s="3">
        <f t="shared" si="7"/>
        <v>450.00297496863004</v>
      </c>
      <c r="G86" s="3">
        <f t="shared" si="8"/>
        <v>69.442590277456347</v>
      </c>
      <c r="H86" s="3">
        <f t="shared" si="9"/>
        <v>-0.29927840059080613</v>
      </c>
      <c r="I86" s="3">
        <f t="shared" si="10"/>
        <v>0.46758067114935742</v>
      </c>
      <c r="J86" s="3">
        <f t="shared" si="11"/>
        <v>-2.0831308414461445</v>
      </c>
      <c r="K86" s="3">
        <f t="shared" si="12"/>
        <v>168.9774071383433</v>
      </c>
      <c r="L86" s="3" cm="1">
        <f t="array" ref="L86">lmb_2(F86)</f>
        <v>443.90735907869208</v>
      </c>
      <c r="M86" s="3" cm="1">
        <f t="array" ref="M86">lmb_2(G86)</f>
        <v>65.264147435815673</v>
      </c>
      <c r="N86" s="3" cm="1">
        <f t="array" ref="N86">lmb_2(H86)</f>
        <v>0.46545705073409693</v>
      </c>
      <c r="O86" s="3" cm="1">
        <f t="array" ref="O86">lmb_2(I86)</f>
        <v>0.75225739893296606</v>
      </c>
      <c r="P86" s="3" cm="1">
        <f t="array" ref="P86">lmb_2(J86)</f>
        <v>0.11140973410475616</v>
      </c>
      <c r="R86" s="3">
        <f t="shared" si="13"/>
        <v>1.1725978569425251</v>
      </c>
      <c r="S86" s="3">
        <f t="shared" si="14"/>
        <v>1802.337536805436</v>
      </c>
      <c r="T86" s="3">
        <f t="shared" si="15"/>
        <v>2385.631371754153</v>
      </c>
      <c r="U86" s="3">
        <f t="shared" si="5"/>
        <v>1565.7017565793033</v>
      </c>
      <c r="V86" s="3">
        <f t="shared" si="6"/>
        <v>0</v>
      </c>
      <c r="W86" s="3">
        <f t="shared" si="16"/>
        <v>145.76592760559382</v>
      </c>
      <c r="Y86" s="3">
        <f t="shared" si="17"/>
        <v>6069.5865977397716</v>
      </c>
      <c r="AA86" s="3">
        <f t="shared" si="18"/>
        <v>1196.2327432127743</v>
      </c>
      <c r="AB86" s="3">
        <f t="shared" si="19"/>
        <v>-34.586597739771605</v>
      </c>
      <c r="AD86" s="3">
        <f t="shared" si="20"/>
        <v>1.1330529613713523E-5</v>
      </c>
    </row>
    <row r="87" spans="3:30" x14ac:dyDescent="0.25">
      <c r="C87" s="22">
        <v>55</v>
      </c>
      <c r="D87" s="22">
        <v>5835</v>
      </c>
      <c r="F87" s="3">
        <f t="shared" si="7"/>
        <v>466.78458141494627</v>
      </c>
      <c r="G87" s="3">
        <f t="shared" si="8"/>
        <v>71.867036655583632</v>
      </c>
      <c r="H87" s="3">
        <f t="shared" si="9"/>
        <v>-0.29266470411291462</v>
      </c>
      <c r="I87" s="3">
        <f t="shared" si="10"/>
        <v>0.46964177629517545</v>
      </c>
      <c r="J87" s="3">
        <f t="shared" si="11"/>
        <v>-2.0830193510137347</v>
      </c>
      <c r="K87" s="3">
        <f t="shared" si="12"/>
        <v>156.95826337850264</v>
      </c>
      <c r="L87" s="3" cm="1">
        <f t="array" ref="L87">lmb_2(F87)</f>
        <v>460.6519386708452</v>
      </c>
      <c r="M87" s="3" cm="1">
        <f t="array" ref="M87">lmb_2(G87)</f>
        <v>67.652650127637486</v>
      </c>
      <c r="N87" s="3" cm="1">
        <f t="array" ref="N87">lmb_2(H87)</f>
        <v>0.46756092142402927</v>
      </c>
      <c r="O87" s="3" cm="1">
        <f t="array" ref="O87">lmb_2(I87)</f>
        <v>0.75314254397072578</v>
      </c>
      <c r="P87" s="3" cm="1">
        <f t="array" ref="P87">lmb_2(J87)</f>
        <v>0.11142091061295034</v>
      </c>
      <c r="R87" s="3">
        <f t="shared" si="13"/>
        <v>1.1091553874085422</v>
      </c>
      <c r="S87" s="3">
        <f t="shared" si="14"/>
        <v>1709.2918461282184</v>
      </c>
      <c r="T87" s="3">
        <f t="shared" si="15"/>
        <v>2415.4087236217515</v>
      </c>
      <c r="U87" s="3">
        <f t="shared" si="5"/>
        <v>1592.0178358696623</v>
      </c>
      <c r="V87" s="3">
        <f t="shared" si="6"/>
        <v>0</v>
      </c>
      <c r="W87" s="3">
        <f t="shared" si="16"/>
        <v>147.53937070940111</v>
      </c>
      <c r="Y87" s="3">
        <f t="shared" si="17"/>
        <v>6022.3251950949443</v>
      </c>
      <c r="AA87" s="3">
        <f t="shared" si="18"/>
        <v>35090.72871735895</v>
      </c>
      <c r="AB87" s="3">
        <f t="shared" si="19"/>
        <v>-187.32519509494432</v>
      </c>
      <c r="AD87" s="3">
        <f t="shared" si="20"/>
        <v>6.1367518319885083E-5</v>
      </c>
    </row>
    <row r="88" spans="3:30" x14ac:dyDescent="0.25">
      <c r="C88" s="22">
        <v>56</v>
      </c>
      <c r="D88" s="22">
        <v>6006</v>
      </c>
      <c r="F88" s="3">
        <f t="shared" si="7"/>
        <v>483.87410724559885</v>
      </c>
      <c r="G88" s="3">
        <f t="shared" si="8"/>
        <v>74.33596828835546</v>
      </c>
      <c r="H88" s="3">
        <f t="shared" si="9"/>
        <v>-0.28592965540607101</v>
      </c>
      <c r="I88" s="3">
        <f t="shared" si="10"/>
        <v>0.47174069988403611</v>
      </c>
      <c r="J88" s="3">
        <f t="shared" si="11"/>
        <v>-2.0829058148853172</v>
      </c>
      <c r="K88" s="3">
        <f t="shared" si="12"/>
        <v>145.79402572218291</v>
      </c>
      <c r="L88" s="3" cm="1">
        <f t="array" ref="L88">lmb_2(F88)</f>
        <v>477.70511362059079</v>
      </c>
      <c r="M88" s="3" cm="1">
        <f t="array" ref="M88">lmb_2(G88)</f>
        <v>70.086241779209359</v>
      </c>
      <c r="N88" s="3" cm="1">
        <f t="array" ref="N88">lmb_2(H88)</f>
        <v>0.46971004492992446</v>
      </c>
      <c r="O88" s="3" cm="1">
        <f t="array" ref="O88">lmb_2(I88)</f>
        <v>0.75404454042337155</v>
      </c>
      <c r="P88" s="3" cm="1">
        <f t="array" ref="P88">lmb_2(J88)</f>
        <v>0.1114322932314275</v>
      </c>
      <c r="R88" s="3">
        <f t="shared" si="13"/>
        <v>1.0502128805852233</v>
      </c>
      <c r="S88" s="3">
        <f t="shared" si="14"/>
        <v>1622.4276972306895</v>
      </c>
      <c r="T88" s="3">
        <f t="shared" si="15"/>
        <v>2444.4930243928761</v>
      </c>
      <c r="U88" s="3">
        <f t="shared" si="5"/>
        <v>1618.1920359664082</v>
      </c>
      <c r="V88" s="3">
        <f t="shared" si="6"/>
        <v>0</v>
      </c>
      <c r="W88" s="3">
        <f t="shared" si="16"/>
        <v>149.31281381320841</v>
      </c>
      <c r="Y88" s="3">
        <f t="shared" si="17"/>
        <v>5981.2698100059506</v>
      </c>
      <c r="AA88" s="3">
        <f t="shared" si="18"/>
        <v>611.58229714178094</v>
      </c>
      <c r="AB88" s="3">
        <f t="shared" si="19"/>
        <v>24.730189994049397</v>
      </c>
      <c r="AD88" s="3">
        <f t="shared" si="20"/>
        <v>8.1015817799888904E-6</v>
      </c>
    </row>
    <row r="89" spans="3:30" x14ac:dyDescent="0.25">
      <c r="C89" s="22">
        <v>57</v>
      </c>
      <c r="D89" s="22">
        <v>5960</v>
      </c>
      <c r="F89" s="3">
        <f t="shared" si="7"/>
        <v>501.2715524605872</v>
      </c>
      <c r="G89" s="3">
        <f t="shared" si="8"/>
        <v>76.849385175771801</v>
      </c>
      <c r="H89" s="3">
        <f t="shared" si="9"/>
        <v>-0.27907325447027531</v>
      </c>
      <c r="I89" s="3">
        <f t="shared" si="10"/>
        <v>0.47387744191593922</v>
      </c>
      <c r="J89" s="3">
        <f t="shared" si="11"/>
        <v>-2.0827902330608925</v>
      </c>
      <c r="K89" s="3">
        <f t="shared" si="12"/>
        <v>135.42388580728775</v>
      </c>
      <c r="L89" s="3" cm="1">
        <f t="array" ref="L89">lmb_2(F89)</f>
        <v>495.06685963716558</v>
      </c>
      <c r="M89" s="3" cm="1">
        <f t="array" ref="M89">lmb_2(G89)</f>
        <v>72.564903789700281</v>
      </c>
      <c r="N89" s="3" cm="1">
        <f t="array" ref="N89">lmb_2(H89)</f>
        <v>0.47190478531124264</v>
      </c>
      <c r="O89" s="3" cm="1">
        <f t="array" ref="O89">lmb_2(I89)</f>
        <v>0.75496342135678252</v>
      </c>
      <c r="P89" s="3" cm="1">
        <f t="array" ref="P89">lmb_2(J89)</f>
        <v>0.11144388201681375</v>
      </c>
      <c r="R89" s="3">
        <f t="shared" si="13"/>
        <v>0.9953780433412085</v>
      </c>
      <c r="S89" s="3">
        <f t="shared" si="14"/>
        <v>1541.2504350312349</v>
      </c>
      <c r="T89" s="3">
        <f t="shared" si="15"/>
        <v>2472.8800033323923</v>
      </c>
      <c r="U89" s="3">
        <f t="shared" si="5"/>
        <v>1644.2222695123421</v>
      </c>
      <c r="V89" s="3">
        <f t="shared" si="6"/>
        <v>0</v>
      </c>
      <c r="W89" s="3">
        <f t="shared" si="16"/>
        <v>151.0862569170157</v>
      </c>
      <c r="Y89" s="3">
        <f t="shared" si="17"/>
        <v>5945.858228643614</v>
      </c>
      <c r="AA89" s="3">
        <f t="shared" si="18"/>
        <v>199.98969709629998</v>
      </c>
      <c r="AB89" s="3">
        <f t="shared" si="19"/>
        <v>14.141771356386016</v>
      </c>
      <c r="AD89" s="3">
        <f t="shared" si="20"/>
        <v>4.6328280205382102E-6</v>
      </c>
    </row>
    <row r="90" spans="3:30" x14ac:dyDescent="0.25">
      <c r="C90" s="22">
        <v>58</v>
      </c>
      <c r="D90" s="22">
        <v>5964</v>
      </c>
      <c r="F90" s="3">
        <f t="shared" si="7"/>
        <v>518.9769170599119</v>
      </c>
      <c r="G90" s="3">
        <f t="shared" si="8"/>
        <v>79.407287317832697</v>
      </c>
      <c r="H90" s="3">
        <f t="shared" si="9"/>
        <v>-0.2720955013055274</v>
      </c>
      <c r="I90" s="3">
        <f t="shared" si="10"/>
        <v>0.47605200239088491</v>
      </c>
      <c r="J90" s="3">
        <f t="shared" si="11"/>
        <v>-2.0826726055404601</v>
      </c>
      <c r="K90" s="3">
        <f t="shared" si="12"/>
        <v>125.79136049163141</v>
      </c>
      <c r="L90" s="3" cm="1">
        <f t="array" ref="L90">lmb_2(F90)</f>
        <v>512.73715371697006</v>
      </c>
      <c r="M90" s="3" cm="1">
        <f t="array" ref="M90">lmb_2(G90)</f>
        <v>75.088618324154481</v>
      </c>
      <c r="N90" s="3" cm="1">
        <f t="array" ref="N90">lmb_2(H90)</f>
        <v>0.47414551320638937</v>
      </c>
      <c r="O90" s="3" cm="1">
        <f t="array" ref="O90">lmb_2(I90)</f>
        <v>0.755899220412388</v>
      </c>
      <c r="P90" s="3" cm="1">
        <f t="array" ref="P90">lmb_2(J90)</f>
        <v>0.11145567702676239</v>
      </c>
      <c r="R90" s="3">
        <f t="shared" si="13"/>
        <v>0.94429893644155316</v>
      </c>
      <c r="S90" s="3">
        <f t="shared" si="14"/>
        <v>1465.3110820160425</v>
      </c>
      <c r="T90" s="3">
        <f t="shared" si="15"/>
        <v>2500.5657532453197</v>
      </c>
      <c r="U90" s="3">
        <f t="shared" si="5"/>
        <v>1670.1064741772964</v>
      </c>
      <c r="V90" s="3">
        <f t="shared" si="6"/>
        <v>0</v>
      </c>
      <c r="W90" s="3">
        <f t="shared" si="16"/>
        <v>152.85970002082297</v>
      </c>
      <c r="Y90" s="3">
        <f t="shared" si="17"/>
        <v>5915.5786688875542</v>
      </c>
      <c r="AA90" s="3">
        <f t="shared" si="18"/>
        <v>2344.6253067011157</v>
      </c>
      <c r="AB90" s="3">
        <f t="shared" si="19"/>
        <v>48.421331112445841</v>
      </c>
      <c r="AD90" s="3">
        <f t="shared" si="20"/>
        <v>1.5862772344158838E-5</v>
      </c>
    </row>
    <row r="91" spans="3:30" x14ac:dyDescent="0.25">
      <c r="C91" s="22">
        <v>59</v>
      </c>
      <c r="D91" s="22">
        <v>5993</v>
      </c>
      <c r="F91" s="3">
        <f t="shared" si="7"/>
        <v>536.99020104357237</v>
      </c>
      <c r="G91" s="3">
        <f t="shared" si="8"/>
        <v>82.009674714538136</v>
      </c>
      <c r="H91" s="3">
        <f t="shared" si="9"/>
        <v>-0.26499639591182744</v>
      </c>
      <c r="I91" s="3">
        <f t="shared" si="10"/>
        <v>0.47826438130887311</v>
      </c>
      <c r="J91" s="3">
        <f t="shared" si="11"/>
        <v>-2.0825529323240204</v>
      </c>
      <c r="K91" s="3">
        <f t="shared" si="12"/>
        <v>116.84398420565815</v>
      </c>
      <c r="L91" s="3" cm="1">
        <f t="array" ref="L91">lmb_2(F91)</f>
        <v>530.71597405422119</v>
      </c>
      <c r="M91" s="3" cm="1">
        <f t="array" ref="M91">lmb_2(G91)</f>
        <v>77.65736827854326</v>
      </c>
      <c r="N91" s="3" cm="1">
        <f t="array" ref="N91">lmb_2(H91)</f>
        <v>0.47643260582120878</v>
      </c>
      <c r="O91" s="3" cm="1">
        <f t="array" ref="O91">lmb_2(I91)</f>
        <v>0.75685197180602226</v>
      </c>
      <c r="P91" s="3" cm="1">
        <f t="array" ref="P91">lmb_2(J91)</f>
        <v>0.11146767831995431</v>
      </c>
      <c r="R91" s="3">
        <f t="shared" si="13"/>
        <v>0.89665921194241027</v>
      </c>
      <c r="S91" s="3">
        <f t="shared" si="14"/>
        <v>1394.2016195488129</v>
      </c>
      <c r="T91" s="3">
        <f t="shared" si="15"/>
        <v>2527.5467300475848</v>
      </c>
      <c r="U91" s="3">
        <f t="shared" si="5"/>
        <v>1695.8426129686563</v>
      </c>
      <c r="V91" s="3">
        <f t="shared" si="6"/>
        <v>0</v>
      </c>
      <c r="W91" s="3">
        <f t="shared" si="16"/>
        <v>154.63314312463029</v>
      </c>
      <c r="Y91" s="3">
        <f t="shared" si="17"/>
        <v>5889.9647491072838</v>
      </c>
      <c r="AA91" s="3">
        <f t="shared" si="18"/>
        <v>10616.262926524985</v>
      </c>
      <c r="AB91" s="3">
        <f t="shared" si="19"/>
        <v>103.03525089271625</v>
      </c>
      <c r="AD91" s="3">
        <f t="shared" si="20"/>
        <v>3.375422960882516E-5</v>
      </c>
    </row>
    <row r="92" spans="3:30" x14ac:dyDescent="0.25">
      <c r="C92" s="22">
        <v>60</v>
      </c>
      <c r="D92" s="22">
        <v>5867</v>
      </c>
      <c r="F92" s="3">
        <f t="shared" si="7"/>
        <v>555.31140441156924</v>
      </c>
      <c r="G92" s="3">
        <f t="shared" si="8"/>
        <v>84.656547365888102</v>
      </c>
      <c r="H92" s="3">
        <f t="shared" si="9"/>
        <v>-0.25777593828917528</v>
      </c>
      <c r="I92" s="3">
        <f t="shared" si="10"/>
        <v>0.48051457866990388</v>
      </c>
      <c r="J92" s="3">
        <f t="shared" si="11"/>
        <v>-2.082431213411573</v>
      </c>
      <c r="K92" s="3">
        <f t="shared" si="12"/>
        <v>108.53302318771216</v>
      </c>
      <c r="L92" s="3" cm="1">
        <f t="array" ref="L92">lmb_2(F92)</f>
        <v>549.00329995922311</v>
      </c>
      <c r="M92" s="3" cm="1">
        <f t="array" ref="M92">lmb_2(G92)</f>
        <v>80.271137246085104</v>
      </c>
      <c r="N92" s="3" cm="1">
        <f t="array" ref="N92">lmb_2(H92)</f>
        <v>0.47876644691620923</v>
      </c>
      <c r="O92" s="3" cm="1">
        <f t="array" ref="O92">lmb_2(I92)</f>
        <v>0.75782171032675361</v>
      </c>
      <c r="P92" s="3" cm="1">
        <f t="array" ref="P92">lmb_2(J92)</f>
        <v>0.11147988595609841</v>
      </c>
      <c r="R92" s="3">
        <f t="shared" si="13"/>
        <v>0.8521739824021799</v>
      </c>
      <c r="S92" s="3">
        <f t="shared" si="14"/>
        <v>1327.5508010803949</v>
      </c>
      <c r="T92" s="3">
        <f t="shared" si="15"/>
        <v>2553.8197520641752</v>
      </c>
      <c r="U92" s="3">
        <f t="shared" si="5"/>
        <v>1721.4286745352276</v>
      </c>
      <c r="V92" s="3">
        <f t="shared" si="6"/>
        <v>0</v>
      </c>
      <c r="W92" s="3">
        <f t="shared" si="16"/>
        <v>156.40658622843756</v>
      </c>
      <c r="Y92" s="3">
        <f t="shared" si="17"/>
        <v>5868.5910110783498</v>
      </c>
      <c r="AA92" s="3">
        <f t="shared" si="18"/>
        <v>2.5313162514316843</v>
      </c>
      <c r="AB92" s="3">
        <f t="shared" si="19"/>
        <v>-1.5910110783497657</v>
      </c>
      <c r="AD92" s="3">
        <f t="shared" si="20"/>
        <v>5.2121339816719857E-7</v>
      </c>
    </row>
    <row r="93" spans="3:30" x14ac:dyDescent="0.25">
      <c r="C93" s="22">
        <v>61</v>
      </c>
      <c r="D93" s="22">
        <v>5827</v>
      </c>
      <c r="F93" s="3">
        <f t="shared" si="7"/>
        <v>573.94052716390195</v>
      </c>
      <c r="G93" s="3">
        <f t="shared" si="8"/>
        <v>87.347905271882624</v>
      </c>
      <c r="H93" s="3">
        <f t="shared" si="9"/>
        <v>-0.25043412843757107</v>
      </c>
      <c r="I93" s="3">
        <f t="shared" si="10"/>
        <v>0.48280259447397711</v>
      </c>
      <c r="J93" s="3">
        <f t="shared" si="11"/>
        <v>-2.0823074488031179</v>
      </c>
      <c r="K93" s="3">
        <f t="shared" si="12"/>
        <v>100.81321004538331</v>
      </c>
      <c r="L93" s="3" cm="1">
        <f t="array" ref="L93">lmb_2(F93)</f>
        <v>567.59911178348079</v>
      </c>
      <c r="M93" s="3" cm="1">
        <f t="array" ref="M93">lmb_2(G93)</f>
        <v>82.929909484884178</v>
      </c>
      <c r="N93" s="3" cm="1">
        <f t="array" ref="N93">lmb_2(H93)</f>
        <v>0.48114742679247158</v>
      </c>
      <c r="O93" s="3" cm="1">
        <f t="array" ref="O93">lmb_2(I93)</f>
        <v>0.7588084713356873</v>
      </c>
      <c r="P93" s="3" cm="1">
        <f t="array" ref="P93">lmb_2(J93)</f>
        <v>0.11149229999593187</v>
      </c>
      <c r="R93" s="3">
        <f t="shared" si="13"/>
        <v>0.81058622915117717</v>
      </c>
      <c r="S93" s="3">
        <f t="shared" si="14"/>
        <v>1265.0204332987462</v>
      </c>
      <c r="T93" s="3">
        <f t="shared" si="15"/>
        <v>2579.3819990571446</v>
      </c>
      <c r="U93" s="3">
        <f t="shared" si="5"/>
        <v>1746.8626734643822</v>
      </c>
      <c r="V93" s="3">
        <f t="shared" si="6"/>
        <v>0</v>
      </c>
      <c r="W93" s="3">
        <f t="shared" si="16"/>
        <v>158.18002933224489</v>
      </c>
      <c r="Y93" s="3">
        <f t="shared" si="17"/>
        <v>5851.0689314270521</v>
      </c>
      <c r="AA93" s="3">
        <f t="shared" si="18"/>
        <v>579.31346004013722</v>
      </c>
      <c r="AB93" s="3">
        <f t="shared" si="19"/>
        <v>-24.068931427052121</v>
      </c>
      <c r="AD93" s="3">
        <f t="shared" si="20"/>
        <v>7.8849542344853665E-6</v>
      </c>
    </row>
    <row r="94" spans="3:30" x14ac:dyDescent="0.25">
      <c r="C94" s="22">
        <v>62</v>
      </c>
      <c r="D94" s="22">
        <v>5856</v>
      </c>
      <c r="F94" s="3">
        <f t="shared" si="7"/>
        <v>592.87756930057094</v>
      </c>
      <c r="G94" s="3">
        <f t="shared" si="8"/>
        <v>90.083748432521659</v>
      </c>
      <c r="H94" s="3">
        <f t="shared" si="9"/>
        <v>-0.24297096635701462</v>
      </c>
      <c r="I94" s="3">
        <f t="shared" si="10"/>
        <v>0.48512842872109296</v>
      </c>
      <c r="J94" s="3">
        <f t="shared" si="11"/>
        <v>-2.0821816384986556</v>
      </c>
      <c r="K94" s="3">
        <f t="shared" si="12"/>
        <v>93.642497197159415</v>
      </c>
      <c r="L94" s="3" cm="1">
        <f t="array" ref="L94">lmb_2(F94)</f>
        <v>586.50339085099199</v>
      </c>
      <c r="M94" s="3" cm="1">
        <f t="array" ref="M94">lmb_2(G94)</f>
        <v>85.63366988691142</v>
      </c>
      <c r="N94" s="3" cm="1">
        <f t="array" ref="N94">lmb_2(H94)</f>
        <v>0.48357594227619194</v>
      </c>
      <c r="O94" s="3" cm="1">
        <f t="array" ref="O94">lmb_2(I94)</f>
        <v>0.75981229076474266</v>
      </c>
      <c r="P94" s="3" cm="1">
        <f t="array" ref="P94">lmb_2(J94)</f>
        <v>0.11150492050122056</v>
      </c>
      <c r="R94" s="3">
        <f t="shared" si="13"/>
        <v>0.77166367174865147</v>
      </c>
      <c r="S94" s="3">
        <f t="shared" si="14"/>
        <v>1206.3020692685438</v>
      </c>
      <c r="T94" s="3">
        <f t="shared" si="15"/>
        <v>2604.2310109862078</v>
      </c>
      <c r="U94" s="3">
        <f t="shared" si="5"/>
        <v>1772.1426505724194</v>
      </c>
      <c r="V94" s="3">
        <f t="shared" si="6"/>
        <v>0</v>
      </c>
      <c r="W94" s="3">
        <f t="shared" si="16"/>
        <v>159.95347243605215</v>
      </c>
      <c r="Y94" s="3">
        <f t="shared" si="17"/>
        <v>5837.0433641321306</v>
      </c>
      <c r="AA94" s="3">
        <f t="shared" si="18"/>
        <v>359.35404342699297</v>
      </c>
      <c r="AB94" s="3">
        <f t="shared" si="19"/>
        <v>18.956635867869409</v>
      </c>
      <c r="AD94" s="3">
        <f t="shared" si="20"/>
        <v>6.2101720930558539E-6</v>
      </c>
    </row>
    <row r="95" spans="3:30" x14ac:dyDescent="0.25">
      <c r="C95" s="22">
        <v>63</v>
      </c>
      <c r="D95" s="22">
        <v>5938</v>
      </c>
      <c r="F95" s="3">
        <f t="shared" si="7"/>
        <v>612.12253082157577</v>
      </c>
      <c r="G95" s="3">
        <f t="shared" si="8"/>
        <v>92.864076847805222</v>
      </c>
      <c r="H95" s="3">
        <f t="shared" si="9"/>
        <v>-0.23538645204750605</v>
      </c>
      <c r="I95" s="3">
        <f t="shared" si="10"/>
        <v>0.48749208141125128</v>
      </c>
      <c r="J95" s="3">
        <f t="shared" si="11"/>
        <v>-2.0820537824981855</v>
      </c>
      <c r="K95" s="3">
        <f t="shared" si="12"/>
        <v>86.981827851454071</v>
      </c>
      <c r="L95" s="3" cm="1">
        <f t="array" ref="L95">lmb_2(F95)</f>
        <v>605.71611939510638</v>
      </c>
      <c r="M95" s="3" cm="1">
        <f t="array" ref="M95">lmb_2(G95)</f>
        <v>88.382403948333007</v>
      </c>
      <c r="N95" s="3" cm="1">
        <f t="array" ref="N95">lmb_2(H95)</f>
        <v>0.48605239670180894</v>
      </c>
      <c r="O95" s="3" cm="1">
        <f t="array" ref="O95">lmb_2(I95)</f>
        <v>0.76083320511540498</v>
      </c>
      <c r="P95" s="3" cm="1">
        <f t="array" ref="P95">lmb_2(J95)</f>
        <v>0.11151774753475961</v>
      </c>
      <c r="R95" s="3">
        <f t="shared" si="13"/>
        <v>0.73519603305672854</v>
      </c>
      <c r="S95" s="3">
        <f t="shared" si="14"/>
        <v>1151.1140646073054</v>
      </c>
      <c r="T95" s="3">
        <f t="shared" si="15"/>
        <v>2628.3646865049009</v>
      </c>
      <c r="U95" s="3">
        <f t="shared" si="5"/>
        <v>1797.2666731880702</v>
      </c>
      <c r="V95" s="3">
        <f t="shared" si="6"/>
        <v>0</v>
      </c>
      <c r="W95" s="3">
        <f t="shared" si="16"/>
        <v>161.72691553985945</v>
      </c>
      <c r="Y95" s="3">
        <f t="shared" si="17"/>
        <v>5826.1893637246467</v>
      </c>
      <c r="AA95" s="3">
        <f t="shared" si="18"/>
        <v>12501.618384299356</v>
      </c>
      <c r="AB95" s="3">
        <f t="shared" si="19"/>
        <v>111.81063627535332</v>
      </c>
      <c r="AD95" s="3">
        <f t="shared" si="20"/>
        <v>3.6629035760555505E-5</v>
      </c>
    </row>
    <row r="96" spans="3:30" x14ac:dyDescent="0.25">
      <c r="C96" s="22">
        <v>64</v>
      </c>
      <c r="D96" s="22">
        <v>5928</v>
      </c>
      <c r="F96" s="3">
        <f t="shared" si="7"/>
        <v>631.67541172691688</v>
      </c>
      <c r="G96" s="3">
        <f t="shared" si="8"/>
        <v>95.688890517733356</v>
      </c>
      <c r="H96" s="3">
        <f t="shared" si="9"/>
        <v>-0.22768058550904535</v>
      </c>
      <c r="I96" s="3">
        <f t="shared" si="10"/>
        <v>0.48989355254445216</v>
      </c>
      <c r="J96" s="3">
        <f t="shared" si="11"/>
        <v>-2.0819238808017078</v>
      </c>
      <c r="K96" s="3">
        <f t="shared" si="12"/>
        <v>80.794923275599004</v>
      </c>
      <c r="L96" s="3" cm="1">
        <f t="array" ref="L96">lmb_2(F96)</f>
        <v>625.23728050042814</v>
      </c>
      <c r="M96" s="3" cm="1">
        <f t="array" ref="M96">lmb_2(G96)</f>
        <v>91.176097741174985</v>
      </c>
      <c r="N96" s="3" cm="1">
        <f t="array" ref="N96">lmb_2(H96)</f>
        <v>0.48857719989366688</v>
      </c>
      <c r="O96" s="3" cm="1">
        <f t="array" ref="O96">lmb_2(I96)</f>
        <v>0.76187125145744905</v>
      </c>
      <c r="P96" s="3" cm="1">
        <f t="array" ref="P96">lmb_2(J96)</f>
        <v>0.11153078116037357</v>
      </c>
      <c r="R96" s="3">
        <f t="shared" si="13"/>
        <v>0.70099264455768751</v>
      </c>
      <c r="S96" s="3">
        <f t="shared" si="14"/>
        <v>1099.1989538527018</v>
      </c>
      <c r="T96" s="3">
        <f t="shared" si="15"/>
        <v>2651.7812811955396</v>
      </c>
      <c r="U96" s="3">
        <f t="shared" ref="U96:U159" si="21">$I$18*(C96/$I$19)*($O$28+$O$28^2)/(O96+O96^2)</f>
        <v>1822.2328354290987</v>
      </c>
      <c r="V96" s="3">
        <f t="shared" ref="V96:V159" si="22">$J$18*(C96/$J$19)*($P$28+$P$28^2)/(P96+P96^2)</f>
        <v>0</v>
      </c>
      <c r="W96" s="3">
        <f t="shared" si="16"/>
        <v>163.50035864366674</v>
      </c>
      <c r="Y96" s="3">
        <f t="shared" si="17"/>
        <v>5818.2093450411639</v>
      </c>
      <c r="AA96" s="3">
        <f t="shared" si="18"/>
        <v>12053.987916290193</v>
      </c>
      <c r="AB96" s="3">
        <f t="shared" si="19"/>
        <v>109.79065495883606</v>
      </c>
      <c r="AD96" s="3">
        <f t="shared" si="20"/>
        <v>3.5967292206067973E-5</v>
      </c>
    </row>
    <row r="97" spans="3:30" x14ac:dyDescent="0.25">
      <c r="C97" s="22">
        <v>65</v>
      </c>
      <c r="D97" s="22">
        <v>5871</v>
      </c>
      <c r="F97" s="3">
        <f t="shared" ref="F97:F160" si="23">$F$20/(1-$F$20)-LN((1-$F$20)/$F$20)+(C97/$F$19)^2/((1-$F$20)*(1+0.534156*$F$20^0.7917))</f>
        <v>651.53621201659394</v>
      </c>
      <c r="G97" s="3">
        <f t="shared" ref="G97:G160" si="24">$G$20/(1-$G$20)-LN((1-$G$20)/$G$20)+(C97/$G$19)^2/((1-$G$20)*(1+0.534156*$G$20^0.7917))</f>
        <v>98.558189442306002</v>
      </c>
      <c r="H97" s="3">
        <f t="shared" ref="H97:H160" si="25">$H$20/(1-$H$20)-LN((1-$H$20)/$H$20)+(C97/$H$19)^2/((1-$H$20)*(1+0.534156*$H$20^0.7917))</f>
        <v>-0.21985336674163258</v>
      </c>
      <c r="I97" s="3">
        <f t="shared" ref="I97:I160" si="26">$I$20/(1-$I$20)-LN((1-$I$20)/$I$20)+(C97/$I$19)^2/((1-$I$20)*(1+0.534156*$I$20^0.7917))</f>
        <v>0.49233284212069556</v>
      </c>
      <c r="J97" s="3">
        <f t="shared" ref="J97:J160" si="27">$J$20/(1-$J$20)-LN((1-$J$20)/$J$20)+(C97/$J$19)^2/((1-$J$20)*(1+0.534156*$J$20^0.7917))</f>
        <v>-2.0817919334092228</v>
      </c>
      <c r="K97" s="3">
        <f t="shared" ref="K97:K160" si="28">$K$18*EXP(-$K$20*C97)</f>
        <v>75.048085196117256</v>
      </c>
      <c r="L97" s="3" cm="1">
        <f t="array" ref="L97">lmb_2(F97)</f>
        <v>645.06685804927974</v>
      </c>
      <c r="M97" s="3" cm="1">
        <f t="array" ref="M97">lmb_2(G97)</f>
        <v>94.014737886301162</v>
      </c>
      <c r="N97" s="3" cm="1">
        <f t="array" ref="N97">lmb_2(H97)</f>
        <v>0.49115076814616565</v>
      </c>
      <c r="O97" s="3" cm="1">
        <f t="array" ref="O97">lmb_2(I97)</f>
        <v>0.76292646742763714</v>
      </c>
      <c r="P97" s="3" cm="1">
        <f t="array" ref="P97">lmb_2(J97)</f>
        <v>0.11154402144291693</v>
      </c>
      <c r="R97" s="3">
        <f t="shared" ref="R97:R160" si="29">$F$18*(C97/$F$19)*($L$28+$L$28^2)/(L97+L97^2)</f>
        <v>0.66888034502054228</v>
      </c>
      <c r="S97" s="3">
        <f t="shared" ref="S97:S160" si="30">$G$18*(C97/$G$19)*($M$28+$M$28^2)/(M97+M97^2)</f>
        <v>1050.3211095035754</v>
      </c>
      <c r="T97" s="3">
        <f t="shared" ref="T97:T160" si="31">$H$18*(C97/$H$19)*($N$28+$N$28^2)/(N97+N97^2)</f>
        <v>2674.479405546454</v>
      </c>
      <c r="U97" s="3">
        <f t="shared" si="21"/>
        <v>1847.0392584719323</v>
      </c>
      <c r="V97" s="3">
        <f t="shared" si="22"/>
        <v>0</v>
      </c>
      <c r="W97" s="3">
        <f t="shared" ref="W97:W160" si="32">$F$22+$G$22/$F$21*C97</f>
        <v>165.27380174747404</v>
      </c>
      <c r="Y97" s="3">
        <f t="shared" ref="Y97:Y160" si="33">SUM(R97:W97)+K97</f>
        <v>5812.8305408105734</v>
      </c>
      <c r="AA97" s="3">
        <f t="shared" ref="AA97:AA160" si="34">(D97-Y97)^2</f>
        <v>3383.6859823903624</v>
      </c>
      <c r="AB97" s="3">
        <f t="shared" ref="AB97:AB160" si="35">D97-Y97</f>
        <v>58.169459189426561</v>
      </c>
      <c r="AD97" s="3">
        <f t="shared" ref="AD97:AD160" si="36">ABS(AB97/$AC$32)</f>
        <v>1.9056247883023205E-5</v>
      </c>
    </row>
    <row r="98" spans="3:30" x14ac:dyDescent="0.25">
      <c r="C98" s="22">
        <v>66</v>
      </c>
      <c r="D98" s="22">
        <v>5910</v>
      </c>
      <c r="F98" s="3">
        <f t="shared" si="23"/>
        <v>671.70493169060728</v>
      </c>
      <c r="G98" s="3">
        <f t="shared" si="24"/>
        <v>101.47197362152318</v>
      </c>
      <c r="H98" s="3">
        <f t="shared" si="25"/>
        <v>-0.2119047957452676</v>
      </c>
      <c r="I98" s="3">
        <f t="shared" si="26"/>
        <v>0.49480995013998147</v>
      </c>
      <c r="J98" s="3">
        <f t="shared" si="27"/>
        <v>-2.0816579403207305</v>
      </c>
      <c r="K98" s="3">
        <f t="shared" si="28"/>
        <v>69.710012254008376</v>
      </c>
      <c r="L98" s="3" cm="1">
        <f t="array" ref="L98">lmb_2(F98)</f>
        <v>665.20483667231031</v>
      </c>
      <c r="M98" s="3" cm="1">
        <f t="array" ref="M98">lmb_2(G98)</f>
        <v>96.898311527673286</v>
      </c>
      <c r="N98" s="3" cm="1">
        <f t="array" ref="N98">lmb_2(H98)</f>
        <v>0.49377352420234949</v>
      </c>
      <c r="O98" s="3" cm="1">
        <f t="array" ref="O98">lmb_2(I98)</f>
        <v>0.76399889122839082</v>
      </c>
      <c r="P98" s="3" cm="1">
        <f t="array" ref="P98">lmb_2(J98)</f>
        <v>0.1115574684482746</v>
      </c>
      <c r="R98" s="3">
        <f t="shared" si="29"/>
        <v>0.63870163269576707</v>
      </c>
      <c r="S98" s="3">
        <f t="shared" si="30"/>
        <v>1004.2646508629846</v>
      </c>
      <c r="T98" s="3">
        <f t="shared" si="31"/>
        <v>2696.4580226752155</v>
      </c>
      <c r="U98" s="3">
        <f t="shared" si="21"/>
        <v>1871.6840908142622</v>
      </c>
      <c r="V98" s="3">
        <f t="shared" si="22"/>
        <v>0</v>
      </c>
      <c r="W98" s="3">
        <f t="shared" si="32"/>
        <v>167.04724485128133</v>
      </c>
      <c r="Y98" s="3">
        <f t="shared" si="33"/>
        <v>5809.8027230904481</v>
      </c>
      <c r="AA98" s="3">
        <f t="shared" si="34"/>
        <v>10039.494300089416</v>
      </c>
      <c r="AB98" s="3">
        <f t="shared" si="35"/>
        <v>100.19727690955187</v>
      </c>
      <c r="AD98" s="3">
        <f t="shared" si="36"/>
        <v>3.2824512598174644E-5</v>
      </c>
    </row>
    <row r="99" spans="3:30" x14ac:dyDescent="0.25">
      <c r="C99" s="22">
        <v>67</v>
      </c>
      <c r="D99" s="22">
        <v>5883</v>
      </c>
      <c r="F99" s="3">
        <f t="shared" si="23"/>
        <v>692.18157074895646</v>
      </c>
      <c r="G99" s="3">
        <f t="shared" si="24"/>
        <v>104.43024305538492</v>
      </c>
      <c r="H99" s="3">
        <f t="shared" si="25"/>
        <v>-0.20383487251995047</v>
      </c>
      <c r="I99" s="3">
        <f t="shared" si="26"/>
        <v>0.49732487660230995</v>
      </c>
      <c r="J99" s="3">
        <f t="shared" si="27"/>
        <v>-2.0815219015362301</v>
      </c>
      <c r="K99" s="3">
        <f t="shared" si="28"/>
        <v>64.751629515331231</v>
      </c>
      <c r="L99" s="3" cm="1">
        <f t="array" ref="L99">lmb_2(F99)</f>
        <v>685.65120170286446</v>
      </c>
      <c r="M99" s="3" cm="1">
        <f t="array" ref="M99">lmb_2(G99)</f>
        <v>99.826806307854994</v>
      </c>
      <c r="N99" s="3" cm="1">
        <f t="array" ref="N99">lmb_2(H99)</f>
        <v>0.49644589723088428</v>
      </c>
      <c r="O99" s="3" cm="1">
        <f t="array" ref="O99">lmb_2(I99)</f>
        <v>0.76508856162643402</v>
      </c>
      <c r="P99" s="3" cm="1">
        <f t="array" ref="P99">lmb_2(J99)</f>
        <v>0.11157112224336228</v>
      </c>
      <c r="R99" s="3">
        <f t="shared" si="29"/>
        <v>0.61031303713396745</v>
      </c>
      <c r="S99" s="3">
        <f t="shared" si="30"/>
        <v>960.83157386235359</v>
      </c>
      <c r="T99" s="3">
        <f t="shared" si="31"/>
        <v>2717.7164458018106</v>
      </c>
      <c r="U99" s="3">
        <f t="shared" si="21"/>
        <v>1896.1655085305745</v>
      </c>
      <c r="V99" s="3">
        <f t="shared" si="22"/>
        <v>0</v>
      </c>
      <c r="W99" s="3">
        <f t="shared" si="32"/>
        <v>168.8206879550886</v>
      </c>
      <c r="Y99" s="3">
        <f t="shared" si="33"/>
        <v>5808.8961587022923</v>
      </c>
      <c r="AA99" s="3">
        <f t="shared" si="34"/>
        <v>5491.3792950758543</v>
      </c>
      <c r="AB99" s="3">
        <f t="shared" si="35"/>
        <v>74.103841297707731</v>
      </c>
      <c r="AD99" s="3">
        <f t="shared" si="36"/>
        <v>2.4276333122760319E-5</v>
      </c>
    </row>
    <row r="100" spans="3:30" x14ac:dyDescent="0.25">
      <c r="C100" s="22">
        <v>68</v>
      </c>
      <c r="D100" s="22">
        <v>6064</v>
      </c>
      <c r="F100" s="3">
        <f t="shared" si="23"/>
        <v>712.96612919164193</v>
      </c>
      <c r="G100" s="3">
        <f t="shared" si="24"/>
        <v>107.43299774389119</v>
      </c>
      <c r="H100" s="3">
        <f t="shared" si="25"/>
        <v>-0.1956435970656813</v>
      </c>
      <c r="I100" s="3">
        <f t="shared" si="26"/>
        <v>0.49987762150768095</v>
      </c>
      <c r="J100" s="3">
        <f t="shared" si="27"/>
        <v>-2.0813838170557228</v>
      </c>
      <c r="K100" s="3">
        <f t="shared" si="28"/>
        <v>60.145930108477735</v>
      </c>
      <c r="L100" s="3" cm="1">
        <f t="array" ref="L100">lmb_2(F100)</f>
        <v>706.40130239200869</v>
      </c>
      <c r="M100" s="3" cm="1">
        <f t="array" ref="M100">lmb_2(G100)</f>
        <v>102.80021034471739</v>
      </c>
      <c r="N100" s="3" cm="1">
        <f t="array" ref="N100">lmb_2(H100)</f>
        <v>0.49916832280137768</v>
      </c>
      <c r="O100" s="3" cm="1">
        <f t="array" ref="O100">lmb_2(I100)</f>
        <v>0.76619551795140894</v>
      </c>
      <c r="P100" s="3" cm="1">
        <f t="array" ref="P100">lmb_2(J100)</f>
        <v>0.11158498289612677</v>
      </c>
      <c r="R100" s="3">
        <f t="shared" si="29"/>
        <v>0.58359133746051783</v>
      </c>
      <c r="S100" s="3">
        <f t="shared" si="30"/>
        <v>919.84007657795303</v>
      </c>
      <c r="T100" s="3">
        <f t="shared" si="31"/>
        <v>2738.2543354759341</v>
      </c>
      <c r="U100" s="3">
        <f t="shared" si="21"/>
        <v>1920.4817155205524</v>
      </c>
      <c r="V100" s="3">
        <f t="shared" si="22"/>
        <v>0</v>
      </c>
      <c r="W100" s="3">
        <f t="shared" si="32"/>
        <v>170.59413105889593</v>
      </c>
      <c r="Y100" s="3">
        <f t="shared" si="33"/>
        <v>5809.899780079274</v>
      </c>
      <c r="AA100" s="3">
        <f t="shared" si="34"/>
        <v>64566.921763761304</v>
      </c>
      <c r="AB100" s="3">
        <f t="shared" si="35"/>
        <v>254.10021992072598</v>
      </c>
      <c r="AD100" s="3">
        <f t="shared" si="36"/>
        <v>8.3242939601202792E-5</v>
      </c>
    </row>
    <row r="101" spans="3:30" x14ac:dyDescent="0.25">
      <c r="C101" s="22">
        <v>69</v>
      </c>
      <c r="D101" s="22">
        <v>5871</v>
      </c>
      <c r="F101" s="3">
        <f t="shared" si="23"/>
        <v>734.05860701866322</v>
      </c>
      <c r="G101" s="3">
        <f t="shared" si="24"/>
        <v>110.48023768704201</v>
      </c>
      <c r="H101" s="3">
        <f t="shared" si="25"/>
        <v>-0.18733096938245991</v>
      </c>
      <c r="I101" s="3">
        <f t="shared" si="26"/>
        <v>0.50246818485609457</v>
      </c>
      <c r="J101" s="3">
        <f t="shared" si="27"/>
        <v>-2.0812436868792075</v>
      </c>
      <c r="K101" s="3">
        <f t="shared" si="28"/>
        <v>55.867828125582015</v>
      </c>
      <c r="L101" s="3" cm="1">
        <f t="array" ref="L101">lmb_2(F101)</f>
        <v>727.46451273983348</v>
      </c>
      <c r="M101" s="3" cm="1">
        <f t="array" ref="M101">lmb_2(G101)</f>
        <v>105.81851220930102</v>
      </c>
      <c r="N101" s="3" cm="1">
        <f t="array" ref="N101">lmb_2(H101)</f>
        <v>0.50194124285799291</v>
      </c>
      <c r="O101" s="3" cm="1">
        <f t="array" ref="O101">lmb_2(I101)</f>
        <v>0.76731980009446554</v>
      </c>
      <c r="P101" s="3" cm="1">
        <f t="array" ref="P101">lmb_2(J101)</f>
        <v>0.11159905047554668</v>
      </c>
      <c r="R101" s="3">
        <f t="shared" si="29"/>
        <v>0.55840095056604311</v>
      </c>
      <c r="S101" s="3">
        <f t="shared" si="30"/>
        <v>881.12305823177712</v>
      </c>
      <c r="T101" s="3">
        <f t="shared" si="31"/>
        <v>2758.0716965628108</v>
      </c>
      <c r="U101" s="3">
        <f t="shared" si="21"/>
        <v>1944.6309437502939</v>
      </c>
      <c r="V101" s="3">
        <f t="shared" si="22"/>
        <v>0</v>
      </c>
      <c r="W101" s="3">
        <f t="shared" si="32"/>
        <v>172.36757416270319</v>
      </c>
      <c r="Y101" s="3">
        <f t="shared" si="33"/>
        <v>5812.6195017837326</v>
      </c>
      <c r="AA101" s="3">
        <f t="shared" si="34"/>
        <v>3408.2825719795974</v>
      </c>
      <c r="AB101" s="3">
        <f t="shared" si="35"/>
        <v>58.38049821626737</v>
      </c>
      <c r="AD101" s="3">
        <f t="shared" si="36"/>
        <v>1.9125384025330704E-5</v>
      </c>
    </row>
    <row r="102" spans="3:30" x14ac:dyDescent="0.25">
      <c r="C102" s="22">
        <v>70</v>
      </c>
      <c r="D102" s="22">
        <v>5981</v>
      </c>
      <c r="F102" s="3">
        <f t="shared" si="23"/>
        <v>755.45900423002092</v>
      </c>
      <c r="G102" s="3">
        <f t="shared" si="24"/>
        <v>113.57196288483733</v>
      </c>
      <c r="H102" s="3">
        <f t="shared" si="25"/>
        <v>-0.17889698947028637</v>
      </c>
      <c r="I102" s="3">
        <f t="shared" si="26"/>
        <v>0.50509656664755065</v>
      </c>
      <c r="J102" s="3">
        <f t="shared" si="27"/>
        <v>-2.0811015110066848</v>
      </c>
      <c r="K102" s="3">
        <f t="shared" si="28"/>
        <v>51.894021986861404</v>
      </c>
      <c r="L102" s="3" cm="1">
        <f t="array" ref="L102">lmb_2(F102)</f>
        <v>748.83606500351686</v>
      </c>
      <c r="M102" s="3" cm="1">
        <f t="array" ref="M102">lmb_2(G102)</f>
        <v>108.88170090478673</v>
      </c>
      <c r="N102" s="3" cm="1">
        <f t="array" ref="N102">lmb_2(H102)</f>
        <v>0.50476510569130872</v>
      </c>
      <c r="O102" s="3" cm="1">
        <f t="array" ref="O102">lmb_2(I102)</f>
        <v>0.76846144850682185</v>
      </c>
      <c r="P102" s="3" cm="1">
        <f t="array" ref="P102">lmb_2(J102)</f>
        <v>0.11161332505163254</v>
      </c>
      <c r="R102" s="3">
        <f t="shared" si="29"/>
        <v>0.53464096631183411</v>
      </c>
      <c r="S102" s="3">
        <f t="shared" si="30"/>
        <v>844.5267721570948</v>
      </c>
      <c r="T102" s="3">
        <f t="shared" si="31"/>
        <v>2777.1688749921723</v>
      </c>
      <c r="U102" s="3">
        <f t="shared" si="21"/>
        <v>1968.6114534863154</v>
      </c>
      <c r="V102" s="3">
        <f t="shared" si="22"/>
        <v>0</v>
      </c>
      <c r="W102" s="3">
        <f t="shared" si="32"/>
        <v>174.14101726651052</v>
      </c>
      <c r="Y102" s="3">
        <f t="shared" si="33"/>
        <v>5816.8767808552675</v>
      </c>
      <c r="AA102" s="3">
        <f t="shared" si="34"/>
        <v>26936.431062429889</v>
      </c>
      <c r="AB102" s="3">
        <f t="shared" si="35"/>
        <v>164.1232191447325</v>
      </c>
      <c r="AD102" s="3">
        <f t="shared" si="36"/>
        <v>5.3766577701830519E-5</v>
      </c>
    </row>
    <row r="103" spans="3:30" x14ac:dyDescent="0.25">
      <c r="C103" s="22">
        <v>71</v>
      </c>
      <c r="D103" s="22">
        <v>5961</v>
      </c>
      <c r="F103" s="3">
        <f t="shared" si="23"/>
        <v>777.16732082571434</v>
      </c>
      <c r="G103" s="3">
        <f t="shared" si="24"/>
        <v>116.70817333727719</v>
      </c>
      <c r="H103" s="3">
        <f t="shared" si="25"/>
        <v>-0.17034165732916079</v>
      </c>
      <c r="I103" s="3">
        <f t="shared" si="26"/>
        <v>0.50776276688204924</v>
      </c>
      <c r="J103" s="3">
        <f t="shared" si="27"/>
        <v>-2.0809572894381549</v>
      </c>
      <c r="K103" s="3">
        <f t="shared" si="28"/>
        <v>48.202867523674612</v>
      </c>
      <c r="L103" s="3" cm="1">
        <f t="array" ref="L103">lmb_2(F103)</f>
        <v>770.51594715302338</v>
      </c>
      <c r="M103" s="3" cm="1">
        <f t="array" ref="M103">lmb_2(G103)</f>
        <v>111.98976584652746</v>
      </c>
      <c r="N103" s="3" cm="1">
        <f t="array" ref="N103">lmb_2(H103)</f>
        <v>0.50764036590838024</v>
      </c>
      <c r="O103" s="3" cm="1">
        <f t="array" ref="O103">lmb_2(I103)</f>
        <v>0.76962050419829575</v>
      </c>
      <c r="P103" s="3" cm="1">
        <f t="array" ref="P103">lmb_2(J103)</f>
        <v>0.11162780669542753</v>
      </c>
      <c r="R103" s="3">
        <f t="shared" si="29"/>
        <v>0.51221121146792192</v>
      </c>
      <c r="S103" s="3">
        <f t="shared" si="30"/>
        <v>809.90961555580486</v>
      </c>
      <c r="T103" s="3">
        <f t="shared" si="31"/>
        <v>2795.546554275209</v>
      </c>
      <c r="U103" s="3">
        <f t="shared" si="21"/>
        <v>1992.421533522288</v>
      </c>
      <c r="V103" s="3">
        <f t="shared" si="22"/>
        <v>0</v>
      </c>
      <c r="W103" s="3">
        <f t="shared" si="32"/>
        <v>175.91446037031778</v>
      </c>
      <c r="Y103" s="3">
        <f t="shared" si="33"/>
        <v>5822.5072424587624</v>
      </c>
      <c r="AA103" s="3">
        <f t="shared" si="34"/>
        <v>19180.243891376012</v>
      </c>
      <c r="AB103" s="3">
        <f t="shared" si="35"/>
        <v>138.49275754123755</v>
      </c>
      <c r="AD103" s="3">
        <f t="shared" si="36"/>
        <v>4.5370067978712992E-5</v>
      </c>
    </row>
    <row r="104" spans="3:30" x14ac:dyDescent="0.25">
      <c r="C104" s="22">
        <v>72</v>
      </c>
      <c r="D104" s="22">
        <v>5778</v>
      </c>
      <c r="F104" s="3">
        <f t="shared" si="23"/>
        <v>799.18355680574427</v>
      </c>
      <c r="G104" s="3">
        <f t="shared" si="24"/>
        <v>119.88886904436164</v>
      </c>
      <c r="H104" s="3">
        <f t="shared" si="25"/>
        <v>-0.16166497295908294</v>
      </c>
      <c r="I104" s="3">
        <f t="shared" si="26"/>
        <v>0.51046678555959035</v>
      </c>
      <c r="J104" s="3">
        <f t="shared" si="27"/>
        <v>-2.0808110221736169</v>
      </c>
      <c r="K104" s="3">
        <f t="shared" si="28"/>
        <v>44.774260089017524</v>
      </c>
      <c r="L104" s="3" cm="1">
        <f t="array" ref="L104">lmb_2(F104)</f>
        <v>792.50414766480515</v>
      </c>
      <c r="M104" s="3" cm="1">
        <f t="array" ref="M104">lmb_2(G104)</f>
        <v>115.14269684309286</v>
      </c>
      <c r="N104" s="3" cm="1">
        <f t="array" ref="N104">lmb_2(H104)</f>
        <v>0.5105674844009539</v>
      </c>
      <c r="O104" s="3" cm="1">
        <f t="array" ref="O104">lmb_2(I104)</f>
        <v>0.77079700873581014</v>
      </c>
      <c r="P104" s="3" cm="1">
        <f t="array" ref="P104">lmb_2(J104)</f>
        <v>0.11164249547900788</v>
      </c>
      <c r="R104" s="3">
        <f t="shared" si="29"/>
        <v>0.49101981901201158</v>
      </c>
      <c r="S104" s="3">
        <f t="shared" si="30"/>
        <v>777.14104092482023</v>
      </c>
      <c r="T104" s="3">
        <f t="shared" si="31"/>
        <v>2813.2057517945427</v>
      </c>
      <c r="U104" s="3">
        <f t="shared" si="21"/>
        <v>2016.0595013984585</v>
      </c>
      <c r="V104" s="3">
        <f t="shared" si="22"/>
        <v>0</v>
      </c>
      <c r="W104" s="3">
        <f t="shared" si="32"/>
        <v>177.68790347412508</v>
      </c>
      <c r="Y104" s="3">
        <f t="shared" si="33"/>
        <v>5829.3594774999765</v>
      </c>
      <c r="AA104" s="3">
        <f t="shared" si="34"/>
        <v>2637.7959290705917</v>
      </c>
      <c r="AB104" s="3">
        <f t="shared" si="35"/>
        <v>-51.359477499976492</v>
      </c>
      <c r="AD104" s="3">
        <f t="shared" si="36"/>
        <v>1.6825305719190979E-5</v>
      </c>
    </row>
    <row r="105" spans="3:30" x14ac:dyDescent="0.25">
      <c r="C105" s="22">
        <v>73</v>
      </c>
      <c r="D105" s="22">
        <v>5983</v>
      </c>
      <c r="F105" s="3">
        <f t="shared" si="23"/>
        <v>821.50771217010981</v>
      </c>
      <c r="G105" s="3">
        <f t="shared" si="24"/>
        <v>123.11405000609057</v>
      </c>
      <c r="H105" s="3">
        <f t="shared" si="25"/>
        <v>-0.15286693636005305</v>
      </c>
      <c r="I105" s="3">
        <f t="shared" si="26"/>
        <v>0.51320862268017398</v>
      </c>
      <c r="J105" s="3">
        <f t="shared" si="27"/>
        <v>-2.0806627092130721</v>
      </c>
      <c r="K105" s="3">
        <f t="shared" si="28"/>
        <v>41.589525053346094</v>
      </c>
      <c r="L105" s="3" cm="1">
        <f t="array" ref="L105">lmb_2(F105)</f>
        <v>814.80065549377343</v>
      </c>
      <c r="M105" s="3" cm="1">
        <f t="array" ref="M105">lmb_2(G105)</f>
        <v>118.34048407827848</v>
      </c>
      <c r="N105" s="3" cm="1">
        <f t="array" ref="N105">lmb_2(H105)</f>
        <v>0.51354692831179072</v>
      </c>
      <c r="O105" s="3" cm="1">
        <f t="array" ref="O105">lmb_2(I105)</f>
        <v>0.7719910042418674</v>
      </c>
      <c r="P105" s="3" cm="1">
        <f t="array" ref="P105">lmb_2(J105)</f>
        <v>0.11165739147548306</v>
      </c>
      <c r="R105" s="3">
        <f t="shared" si="29"/>
        <v>0.47098243525496802</v>
      </c>
      <c r="S105" s="3">
        <f t="shared" si="30"/>
        <v>746.10057582081731</v>
      </c>
      <c r="T105" s="3">
        <f t="shared" si="31"/>
        <v>2830.1478148724423</v>
      </c>
      <c r="U105" s="3">
        <f t="shared" si="21"/>
        <v>2039.5237036137412</v>
      </c>
      <c r="V105" s="3">
        <f t="shared" si="22"/>
        <v>0</v>
      </c>
      <c r="W105" s="3">
        <f t="shared" si="32"/>
        <v>179.46134657793237</v>
      </c>
      <c r="Y105" s="3">
        <f t="shared" si="33"/>
        <v>5837.2939483735336</v>
      </c>
      <c r="AA105" s="3">
        <f t="shared" si="34"/>
        <v>21230.253480574502</v>
      </c>
      <c r="AB105" s="3">
        <f t="shared" si="35"/>
        <v>145.70605162646643</v>
      </c>
      <c r="AD105" s="3">
        <f t="shared" si="36"/>
        <v>4.7733134819228723E-5</v>
      </c>
    </row>
    <row r="106" spans="3:30" x14ac:dyDescent="0.25">
      <c r="C106" s="22">
        <v>74</v>
      </c>
      <c r="D106" s="22">
        <v>6075</v>
      </c>
      <c r="F106" s="3">
        <f t="shared" si="23"/>
        <v>844.13978691881175</v>
      </c>
      <c r="G106" s="3">
        <f t="shared" si="24"/>
        <v>126.38371622246409</v>
      </c>
      <c r="H106" s="3">
        <f t="shared" si="25"/>
        <v>-0.14394754753207106</v>
      </c>
      <c r="I106" s="3">
        <f t="shared" si="26"/>
        <v>0.51598827824380022</v>
      </c>
      <c r="J106" s="3">
        <f t="shared" si="27"/>
        <v>-2.0805123505565191</v>
      </c>
      <c r="K106" s="3">
        <f t="shared" si="28"/>
        <v>38.631316089289641</v>
      </c>
      <c r="L106" s="3" cm="1">
        <f t="array" ref="L106">lmb_2(F106)</f>
        <v>837.40546004718533</v>
      </c>
      <c r="M106" s="3" cm="1">
        <f t="array" ref="M106">lmb_2(G106)</f>
        <v>121.58311809403354</v>
      </c>
      <c r="N106" s="3" cm="1">
        <f t="array" ref="N106">lmb_2(H106)</f>
        <v>0.51657917099905504</v>
      </c>
      <c r="O106" s="3" cm="1">
        <f t="array" ref="O106">lmb_2(I106)</f>
        <v>0.77320253339299583</v>
      </c>
      <c r="P106" s="3" cm="1">
        <f t="array" ref="P106">lmb_2(J106)</f>
        <v>0.11167249475899677</v>
      </c>
      <c r="R106" s="3">
        <f t="shared" si="29"/>
        <v>0.45202151232283805</v>
      </c>
      <c r="S106" s="3">
        <f t="shared" si="30"/>
        <v>716.67693920044633</v>
      </c>
      <c r="T106" s="3">
        <f t="shared" si="31"/>
        <v>2846.3744166227225</v>
      </c>
      <c r="U106" s="3">
        <f t="shared" si="21"/>
        <v>2062.8125158304097</v>
      </c>
      <c r="V106" s="3">
        <f t="shared" si="22"/>
        <v>0</v>
      </c>
      <c r="W106" s="3">
        <f t="shared" si="32"/>
        <v>181.23478968173967</v>
      </c>
      <c r="Y106" s="3">
        <f t="shared" si="33"/>
        <v>5846.1819989369314</v>
      </c>
      <c r="AA106" s="3">
        <f t="shared" si="34"/>
        <v>52357.677610498438</v>
      </c>
      <c r="AB106" s="3">
        <f t="shared" si="35"/>
        <v>228.81800106306855</v>
      </c>
      <c r="AD106" s="3">
        <f t="shared" si="36"/>
        <v>7.4960513800827853E-5</v>
      </c>
    </row>
    <row r="107" spans="3:30" x14ac:dyDescent="0.25">
      <c r="C107" s="22">
        <v>75</v>
      </c>
      <c r="D107" s="22">
        <v>6129</v>
      </c>
      <c r="F107" s="3">
        <f t="shared" si="23"/>
        <v>867.07978105184952</v>
      </c>
      <c r="G107" s="3">
        <f t="shared" si="24"/>
        <v>129.6978676934821</v>
      </c>
      <c r="H107" s="3">
        <f t="shared" si="25"/>
        <v>-0.13490680647513681</v>
      </c>
      <c r="I107" s="3">
        <f t="shared" si="26"/>
        <v>0.51880575225046899</v>
      </c>
      <c r="J107" s="3">
        <f t="shared" si="27"/>
        <v>-2.0803599462039588</v>
      </c>
      <c r="K107" s="3">
        <f t="shared" si="28"/>
        <v>35.883520691240491</v>
      </c>
      <c r="L107" s="3" cm="1">
        <f t="array" ref="L107">lmb_2(F107)</f>
        <v>860.31855116028328</v>
      </c>
      <c r="M107" s="3" cm="1">
        <f t="array" ref="M107">lmb_2(G107)</f>
        <v>124.87058977426008</v>
      </c>
      <c r="N107" s="3" cm="1">
        <f t="array" ref="N107">lmb_2(H107)</f>
        <v>0.51966469199872301</v>
      </c>
      <c r="O107" s="3" cm="1">
        <f t="array" ref="O107">lmb_2(I107)</f>
        <v>0.77443163941816739</v>
      </c>
      <c r="P107" s="3" cm="1">
        <f t="array" ref="P107">lmb_2(J107)</f>
        <v>0.11168780540472688</v>
      </c>
      <c r="R107" s="3">
        <f t="shared" si="29"/>
        <v>0.43406567579305155</v>
      </c>
      <c r="S107" s="3">
        <f t="shared" si="30"/>
        <v>688.76724394577354</v>
      </c>
      <c r="T107" s="3">
        <f t="shared" si="31"/>
        <v>2861.8875515919203</v>
      </c>
      <c r="U107" s="3">
        <f t="shared" si="21"/>
        <v>2085.9243430713864</v>
      </c>
      <c r="V107" s="3">
        <f t="shared" si="22"/>
        <v>0</v>
      </c>
      <c r="W107" s="3">
        <f t="shared" si="32"/>
        <v>183.00823278554697</v>
      </c>
      <c r="Y107" s="3">
        <f t="shared" si="33"/>
        <v>5855.9049577616606</v>
      </c>
      <c r="AA107" s="3">
        <f t="shared" si="34"/>
        <v>74580.90209516036</v>
      </c>
      <c r="AB107" s="3">
        <f t="shared" si="35"/>
        <v>273.09504223833937</v>
      </c>
      <c r="AD107" s="3">
        <f t="shared" si="36"/>
        <v>8.9465621531245848E-5</v>
      </c>
    </row>
    <row r="108" spans="3:30" x14ac:dyDescent="0.25">
      <c r="C108" s="22">
        <v>76</v>
      </c>
      <c r="D108" s="22">
        <v>5811</v>
      </c>
      <c r="F108" s="3">
        <f t="shared" si="23"/>
        <v>890.32769456922369</v>
      </c>
      <c r="G108" s="3">
        <f t="shared" si="24"/>
        <v>133.05650441914463</v>
      </c>
      <c r="H108" s="3">
        <f t="shared" si="25"/>
        <v>-0.12574471318925051</v>
      </c>
      <c r="I108" s="3">
        <f t="shared" si="26"/>
        <v>0.52166104470018027</v>
      </c>
      <c r="J108" s="3">
        <f t="shared" si="27"/>
        <v>-2.0802054961553913</v>
      </c>
      <c r="K108" s="3">
        <f t="shared" si="28"/>
        <v>33.331172415212457</v>
      </c>
      <c r="L108" s="3" cm="1">
        <f t="array" ref="L108">lmb_2(F108)</f>
        <v>883.53991907355498</v>
      </c>
      <c r="M108" s="3" cm="1">
        <f t="array" ref="M108">lmb_2(G108)</f>
        <v>128.20289032944075</v>
      </c>
      <c r="N108" s="3" cm="1">
        <f t="array" ref="N108">lmb_2(H108)</f>
        <v>0.52280397698497028</v>
      </c>
      <c r="O108" s="3" cm="1">
        <f t="array" ref="O108">lmb_2(I108)</f>
        <v>0.77567836609718466</v>
      </c>
      <c r="P108" s="3" cm="1">
        <f t="array" ref="P108">lmb_2(J108)</f>
        <v>0.11170332348888616</v>
      </c>
      <c r="R108" s="3">
        <f t="shared" si="29"/>
        <v>0.41704915861977976</v>
      </c>
      <c r="S108" s="3">
        <f t="shared" si="30"/>
        <v>662.2762763875437</v>
      </c>
      <c r="T108" s="3">
        <f t="shared" si="31"/>
        <v>2876.6895311955282</v>
      </c>
      <c r="U108" s="3">
        <f t="shared" si="21"/>
        <v>2108.8576199100817</v>
      </c>
      <c r="V108" s="3">
        <f t="shared" si="22"/>
        <v>0</v>
      </c>
      <c r="W108" s="3">
        <f t="shared" si="32"/>
        <v>184.78167588935426</v>
      </c>
      <c r="Y108" s="3">
        <f t="shared" si="33"/>
        <v>5866.3533249563407</v>
      </c>
      <c r="AA108" s="3">
        <f t="shared" si="34"/>
        <v>3063.9905837222454</v>
      </c>
      <c r="AB108" s="3">
        <f t="shared" si="35"/>
        <v>-55.353324956340657</v>
      </c>
      <c r="AD108" s="3">
        <f t="shared" si="36"/>
        <v>1.8133685549362952E-5</v>
      </c>
    </row>
    <row r="109" spans="3:30" x14ac:dyDescent="0.25">
      <c r="C109" s="22">
        <v>77</v>
      </c>
      <c r="D109" s="22">
        <v>6044</v>
      </c>
      <c r="F109" s="3">
        <f t="shared" si="23"/>
        <v>913.88352747093381</v>
      </c>
      <c r="G109" s="3">
        <f t="shared" si="24"/>
        <v>136.45962639945176</v>
      </c>
      <c r="H109" s="3">
        <f t="shared" si="25"/>
        <v>-0.11646126767441195</v>
      </c>
      <c r="I109" s="3">
        <f t="shared" si="26"/>
        <v>0.52455415559293406</v>
      </c>
      <c r="J109" s="3">
        <f t="shared" si="27"/>
        <v>-2.0800490004108161</v>
      </c>
      <c r="K109" s="3">
        <f t="shared" si="28"/>
        <v>30.96036936096456</v>
      </c>
      <c r="L109" s="3" cm="1">
        <f t="array" ref="L109">lmb_2(F109)</f>
        <v>907.0695544114792</v>
      </c>
      <c r="M109" s="3" cm="1">
        <f t="array" ref="M109">lmb_2(G109)</f>
        <v>131.580011282051</v>
      </c>
      <c r="N109" s="3" cm="1">
        <f t="array" ref="N109">lmb_2(H109)</f>
        <v>0.52599751772849612</v>
      </c>
      <c r="O109" s="3" cm="1">
        <f t="array" ref="O109">lmb_2(I109)</f>
        <v>0.77694275775903987</v>
      </c>
      <c r="P109" s="3" cm="1">
        <f t="array" ref="P109">lmb_2(J109)</f>
        <v>0.11171904908872297</v>
      </c>
      <c r="R109" s="3">
        <f t="shared" si="29"/>
        <v>0.40091129363044953</v>
      </c>
      <c r="S109" s="3">
        <f t="shared" si="30"/>
        <v>637.11584469387742</v>
      </c>
      <c r="T109" s="3">
        <f t="shared" si="31"/>
        <v>2890.7829789552598</v>
      </c>
      <c r="U109" s="3">
        <f t="shared" si="21"/>
        <v>2131.6108106527536</v>
      </c>
      <c r="V109" s="3">
        <f t="shared" si="22"/>
        <v>0</v>
      </c>
      <c r="W109" s="3">
        <f t="shared" si="32"/>
        <v>186.55511899316156</v>
      </c>
      <c r="Y109" s="3">
        <f t="shared" si="33"/>
        <v>5877.4260339496468</v>
      </c>
      <c r="AA109" s="3">
        <f t="shared" si="34"/>
        <v>27746.886165744218</v>
      </c>
      <c r="AB109" s="3">
        <f t="shared" si="35"/>
        <v>166.57396605035319</v>
      </c>
      <c r="AD109" s="3">
        <f t="shared" si="36"/>
        <v>5.4569439567538719E-5</v>
      </c>
    </row>
    <row r="110" spans="3:30" x14ac:dyDescent="0.25">
      <c r="C110" s="22">
        <v>78</v>
      </c>
      <c r="D110" s="22">
        <v>6086</v>
      </c>
      <c r="F110" s="3">
        <f t="shared" si="23"/>
        <v>937.74727975697988</v>
      </c>
      <c r="G110" s="3">
        <f t="shared" si="24"/>
        <v>139.90723363440338</v>
      </c>
      <c r="H110" s="3">
        <f t="shared" si="25"/>
        <v>-0.1070564699306214</v>
      </c>
      <c r="I110" s="3">
        <f t="shared" si="26"/>
        <v>0.52748508492873036</v>
      </c>
      <c r="J110" s="3">
        <f t="shared" si="27"/>
        <v>-2.0798904589702332</v>
      </c>
      <c r="K110" s="3">
        <f t="shared" si="28"/>
        <v>28.758198452385376</v>
      </c>
      <c r="L110" s="3" cm="1">
        <f t="array" ref="L110">lmb_2(F110)</f>
        <v>930.90744816265067</v>
      </c>
      <c r="M110" s="3" cm="1">
        <f t="array" ref="M110">lmb_2(G110)</f>
        <v>135.00194445271524</v>
      </c>
      <c r="N110" s="3" cm="1">
        <f t="array" ref="N110">lmb_2(H110)</f>
        <v>0.52924581205274424</v>
      </c>
      <c r="O110" s="3" cm="1">
        <f t="array" ref="O110">lmb_2(I110)</f>
        <v>0.77822485928024165</v>
      </c>
      <c r="P110" s="3" cm="1">
        <f t="array" ref="P110">lmb_2(J110)</f>
        <v>0.11173498228252135</v>
      </c>
      <c r="R110" s="3">
        <f t="shared" si="29"/>
        <v>0.3855960578612242</v>
      </c>
      <c r="S110" s="3">
        <f t="shared" si="30"/>
        <v>613.20418891820782</v>
      </c>
      <c r="T110" s="3">
        <f t="shared" si="31"/>
        <v>2904.1708255434196</v>
      </c>
      <c r="U110" s="3">
        <f t="shared" si="21"/>
        <v>2154.1824095133798</v>
      </c>
      <c r="V110" s="3">
        <f t="shared" si="22"/>
        <v>0</v>
      </c>
      <c r="W110" s="3">
        <f t="shared" si="32"/>
        <v>188.32856209696885</v>
      </c>
      <c r="Y110" s="3">
        <f t="shared" si="33"/>
        <v>5889.029780582222</v>
      </c>
      <c r="AA110" s="3">
        <f t="shared" si="34"/>
        <v>38797.267337487618</v>
      </c>
      <c r="AB110" s="3">
        <f t="shared" si="35"/>
        <v>196.97021941777803</v>
      </c>
      <c r="AD110" s="3">
        <f t="shared" si="36"/>
        <v>6.4527217187553357E-5</v>
      </c>
    </row>
    <row r="111" spans="3:30" x14ac:dyDescent="0.25">
      <c r="C111" s="22">
        <v>79</v>
      </c>
      <c r="D111" s="22">
        <v>6044</v>
      </c>
      <c r="F111" s="3">
        <f t="shared" si="23"/>
        <v>961.91895142736223</v>
      </c>
      <c r="G111" s="3">
        <f t="shared" si="24"/>
        <v>143.39932612399957</v>
      </c>
      <c r="H111" s="3">
        <f t="shared" si="25"/>
        <v>-9.7530319957878753E-2</v>
      </c>
      <c r="I111" s="3">
        <f t="shared" si="26"/>
        <v>0.53045383270756929</v>
      </c>
      <c r="J111" s="3">
        <f t="shared" si="27"/>
        <v>-2.079729871833643</v>
      </c>
      <c r="K111" s="3">
        <f t="shared" si="28"/>
        <v>26.712665103715505</v>
      </c>
      <c r="L111" s="3" cm="1">
        <f t="array" ref="L111">lmb_2(F111)</f>
        <v>955.05359166117034</v>
      </c>
      <c r="M111" s="3" cm="1">
        <f t="array" ref="M111">lmb_2(G111)</f>
        <v>138.46868194706772</v>
      </c>
      <c r="N111" s="3" cm="1">
        <f t="array" ref="N111">lmb_2(H111)</f>
        <v>0.53254936378798001</v>
      </c>
      <c r="O111" s="3" cm="1">
        <f t="array" ref="O111">lmb_2(I111)</f>
        <v>0.77952471608311458</v>
      </c>
      <c r="P111" s="3" cm="1">
        <f t="array" ref="P111">lmb_2(J111)</f>
        <v>0.11175112314960178</v>
      </c>
      <c r="R111" s="3">
        <f t="shared" si="29"/>
        <v>0.37105166284833524</v>
      </c>
      <c r="S111" s="3">
        <f t="shared" si="30"/>
        <v>590.46544631415088</v>
      </c>
      <c r="T111" s="3">
        <f t="shared" si="31"/>
        <v>2916.8563036406954</v>
      </c>
      <c r="U111" s="3">
        <f t="shared" si="21"/>
        <v>2176.5709407809882</v>
      </c>
      <c r="V111" s="3">
        <f t="shared" si="22"/>
        <v>0</v>
      </c>
      <c r="W111" s="3">
        <f t="shared" si="32"/>
        <v>190.10200520077615</v>
      </c>
      <c r="Y111" s="3">
        <f t="shared" si="33"/>
        <v>5901.0784127031739</v>
      </c>
      <c r="AA111" s="3">
        <f t="shared" si="34"/>
        <v>20426.580115444296</v>
      </c>
      <c r="AB111" s="3">
        <f t="shared" si="35"/>
        <v>142.92158729682615</v>
      </c>
      <c r="AD111" s="3">
        <f t="shared" si="36"/>
        <v>4.6820947509488244E-5</v>
      </c>
    </row>
    <row r="112" spans="3:30" x14ac:dyDescent="0.25">
      <c r="C112" s="22">
        <v>80</v>
      </c>
      <c r="D112" s="22">
        <v>6059</v>
      </c>
      <c r="F112" s="3">
        <f t="shared" si="23"/>
        <v>986.39854248208042</v>
      </c>
      <c r="G112" s="3">
        <f t="shared" si="24"/>
        <v>146.93590386824027</v>
      </c>
      <c r="H112" s="3">
        <f t="shared" si="25"/>
        <v>-8.7882817756183729E-2</v>
      </c>
      <c r="I112" s="3">
        <f t="shared" si="26"/>
        <v>0.53346039892945063</v>
      </c>
      <c r="J112" s="3">
        <f t="shared" si="27"/>
        <v>-2.0795672390010451</v>
      </c>
      <c r="K112" s="3">
        <f t="shared" si="28"/>
        <v>24.81262788852035</v>
      </c>
      <c r="L112" s="3" cm="1">
        <f t="array" ref="L112">lmb_2(F112)</f>
        <v>979.50797656920986</v>
      </c>
      <c r="M112" s="3" cm="1">
        <f t="array" ref="M112">lmb_2(G112)</f>
        <v>141.98021614327999</v>
      </c>
      <c r="N112" s="3" cm="1">
        <f t="array" ref="N112">lmb_2(H112)</f>
        <v>0.53590868272318881</v>
      </c>
      <c r="O112" s="3" cm="1">
        <f t="array" ref="O112">lmb_2(I112)</f>
        <v>0.78084237413406554</v>
      </c>
      <c r="P112" s="3" cm="1">
        <f t="array" ref="P112">lmb_2(J112)</f>
        <v>0.11176747177032159</v>
      </c>
      <c r="R112" s="3">
        <f t="shared" si="29"/>
        <v>0.35723018572485449</v>
      </c>
      <c r="S112" s="3">
        <f t="shared" si="30"/>
        <v>568.82916624093571</v>
      </c>
      <c r="T112" s="3">
        <f t="shared" si="31"/>
        <v>2928.8429426137191</v>
      </c>
      <c r="U112" s="3">
        <f t="shared" si="21"/>
        <v>2198.7749589794535</v>
      </c>
      <c r="V112" s="3">
        <f t="shared" si="22"/>
        <v>0</v>
      </c>
      <c r="W112" s="3">
        <f t="shared" si="32"/>
        <v>191.87544830458341</v>
      </c>
      <c r="Y112" s="3">
        <f t="shared" si="33"/>
        <v>5913.4923742129367</v>
      </c>
      <c r="AA112" s="3">
        <f t="shared" si="34"/>
        <v>21172.469162188037</v>
      </c>
      <c r="AB112" s="3">
        <f t="shared" si="35"/>
        <v>145.50762578706326</v>
      </c>
      <c r="AD112" s="3">
        <f t="shared" si="36"/>
        <v>4.7668130742609229E-5</v>
      </c>
    </row>
    <row r="113" spans="3:30" x14ac:dyDescent="0.25">
      <c r="C113" s="22">
        <v>81</v>
      </c>
      <c r="D113" s="22">
        <v>5973</v>
      </c>
      <c r="F113" s="3">
        <f t="shared" si="23"/>
        <v>1011.186052921135</v>
      </c>
      <c r="G113" s="3">
        <f t="shared" si="24"/>
        <v>150.51696686712552</v>
      </c>
      <c r="H113" s="3">
        <f t="shared" si="25"/>
        <v>-7.8113963325536828E-2</v>
      </c>
      <c r="I113" s="3">
        <f t="shared" si="26"/>
        <v>0.53650478359437459</v>
      </c>
      <c r="J113" s="3">
        <f t="shared" si="27"/>
        <v>-2.0794025604724395</v>
      </c>
      <c r="K113" s="3">
        <f t="shared" si="28"/>
        <v>23.04773785557412</v>
      </c>
      <c r="L113" s="3" cm="1">
        <f t="array" ref="L113">lmb_2(F113)</f>
        <v>1004.2705948606634</v>
      </c>
      <c r="M113" s="3" cm="1">
        <f t="array" ref="M113">lmb_2(G113)</f>
        <v>145.53653968021948</v>
      </c>
      <c r="N113" s="3" cm="1">
        <f t="array" ref="N113">lmb_2(H113)</f>
        <v>0.53932428455575554</v>
      </c>
      <c r="O113" s="3" cm="1">
        <f t="array" ref="O113">lmb_2(I113)</f>
        <v>0.78217787994182086</v>
      </c>
      <c r="P113" s="3" cm="1">
        <f t="array" ref="P113">lmb_2(J113)</f>
        <v>0.11178402822607561</v>
      </c>
      <c r="R113" s="3">
        <f t="shared" si="29"/>
        <v>0.34408723660606594</v>
      </c>
      <c r="S113" s="3">
        <f t="shared" si="30"/>
        <v>548.22986961336937</v>
      </c>
      <c r="T113" s="3">
        <f t="shared" si="31"/>
        <v>2940.1345630190067</v>
      </c>
      <c r="U113" s="3">
        <f t="shared" si="21"/>
        <v>2220.7930490197277</v>
      </c>
      <c r="V113" s="3">
        <f t="shared" si="22"/>
        <v>0</v>
      </c>
      <c r="W113" s="3">
        <f t="shared" si="32"/>
        <v>193.64889140839071</v>
      </c>
      <c r="Y113" s="3">
        <f t="shared" si="33"/>
        <v>5926.1981981526751</v>
      </c>
      <c r="AA113" s="3">
        <f t="shared" si="34"/>
        <v>2190.408656156264</v>
      </c>
      <c r="AB113" s="3">
        <f t="shared" si="35"/>
        <v>46.801801847324896</v>
      </c>
      <c r="AD113" s="3">
        <f t="shared" si="36"/>
        <v>1.5332216420827082E-5</v>
      </c>
    </row>
    <row r="114" spans="3:30" x14ac:dyDescent="0.25">
      <c r="C114" s="22">
        <v>82</v>
      </c>
      <c r="D114" s="22">
        <v>5878</v>
      </c>
      <c r="F114" s="3">
        <f t="shared" si="23"/>
        <v>1036.2814827445252</v>
      </c>
      <c r="G114" s="3">
        <f t="shared" si="24"/>
        <v>154.14251512065533</v>
      </c>
      <c r="H114" s="3">
        <f t="shared" si="25"/>
        <v>-6.8223756665937774E-2</v>
      </c>
      <c r="I114" s="3">
        <f t="shared" si="26"/>
        <v>0.53958698670234106</v>
      </c>
      <c r="J114" s="3">
        <f t="shared" si="27"/>
        <v>-2.0792358362478267</v>
      </c>
      <c r="K114" s="3">
        <f t="shared" si="28"/>
        <v>21.408382161126323</v>
      </c>
      <c r="L114" s="3" cm="1">
        <f t="array" ref="L114">lmb_2(F114)</f>
        <v>1029.3414388058011</v>
      </c>
      <c r="M114" s="3" cm="1">
        <f t="array" ref="M114">lmb_2(G114)</f>
        <v>149.13764544620483</v>
      </c>
      <c r="N114" s="3" cm="1">
        <f t="array" ref="N114">lmb_2(H114)</f>
        <v>0.54279669083889326</v>
      </c>
      <c r="O114" s="3" cm="1">
        <f t="array" ref="O114">lmb_2(I114)</f>
        <v>0.78353128055563293</v>
      </c>
      <c r="P114" s="3" cm="1">
        <f t="array" ref="P114">lmb_2(J114)</f>
        <v>0.11180079259929641</v>
      </c>
      <c r="R114" s="3">
        <f t="shared" si="29"/>
        <v>0.33158165829546848</v>
      </c>
      <c r="S114" s="3">
        <f t="shared" si="30"/>
        <v>528.60664840589652</v>
      </c>
      <c r="T114" s="3">
        <f t="shared" si="31"/>
        <v>2950.7352709399051</v>
      </c>
      <c r="U114" s="3">
        <f t="shared" si="21"/>
        <v>2242.6238263444884</v>
      </c>
      <c r="V114" s="3">
        <f t="shared" si="22"/>
        <v>0</v>
      </c>
      <c r="W114" s="3">
        <f t="shared" si="32"/>
        <v>195.42233451219801</v>
      </c>
      <c r="Y114" s="3">
        <f t="shared" si="33"/>
        <v>5939.1280440219107</v>
      </c>
      <c r="AA114" s="3">
        <f t="shared" si="34"/>
        <v>3736.6377659446503</v>
      </c>
      <c r="AB114" s="3">
        <f t="shared" si="35"/>
        <v>-61.128044021910682</v>
      </c>
      <c r="AD114" s="3">
        <f t="shared" si="36"/>
        <v>2.002547686909943E-5</v>
      </c>
    </row>
    <row r="115" spans="3:30" x14ac:dyDescent="0.25">
      <c r="C115" s="22">
        <v>83</v>
      </c>
      <c r="D115" s="22">
        <v>5954</v>
      </c>
      <c r="F115" s="3">
        <f t="shared" si="23"/>
        <v>1061.6848319522519</v>
      </c>
      <c r="G115" s="3">
        <f t="shared" si="24"/>
        <v>157.81254862882966</v>
      </c>
      <c r="H115" s="3">
        <f t="shared" si="25"/>
        <v>-5.8212197777386343E-2</v>
      </c>
      <c r="I115" s="3">
        <f t="shared" si="26"/>
        <v>0.54270700825335005</v>
      </c>
      <c r="J115" s="3">
        <f t="shared" si="27"/>
        <v>-2.0790670663272066</v>
      </c>
      <c r="K115" s="3">
        <f t="shared" si="28"/>
        <v>19.885631710531918</v>
      </c>
      <c r="L115" s="3" cm="1">
        <f t="array" ref="L115">lmb_2(F115)</f>
        <v>1054.7205009568606</v>
      </c>
      <c r="M115" s="3" cm="1">
        <f t="array" ref="M115">lmb_2(G115)</f>
        <v>152.78352656832593</v>
      </c>
      <c r="N115" s="3" cm="1">
        <f t="array" ref="N115">lmb_2(H115)</f>
        <v>0.54632642892678729</v>
      </c>
      <c r="O115" s="3" cm="1">
        <f t="array" ref="O115">lmb_2(I115)</f>
        <v>0.78490262356345386</v>
      </c>
      <c r="P115" s="3" cm="1">
        <f t="array" ref="P115">lmb_2(J115)</f>
        <v>0.11181776497345521</v>
      </c>
      <c r="R115" s="3">
        <f t="shared" si="29"/>
        <v>0.31967525481980374</v>
      </c>
      <c r="S115" s="3">
        <f t="shared" si="30"/>
        <v>509.90280121049932</v>
      </c>
      <c r="T115" s="3">
        <f t="shared" si="31"/>
        <v>2960.6494521633599</v>
      </c>
      <c r="U115" s="3">
        <f t="shared" si="21"/>
        <v>2264.2659370651959</v>
      </c>
      <c r="V115" s="3">
        <f t="shared" si="22"/>
        <v>0</v>
      </c>
      <c r="W115" s="3">
        <f t="shared" si="32"/>
        <v>197.1957776160053</v>
      </c>
      <c r="Y115" s="3">
        <f t="shared" si="33"/>
        <v>5952.2192750204122</v>
      </c>
      <c r="AA115" s="3">
        <f t="shared" si="34"/>
        <v>3.1709814529280798</v>
      </c>
      <c r="AB115" s="3">
        <f t="shared" si="35"/>
        <v>1.7807249795878306</v>
      </c>
      <c r="AD115" s="3">
        <f t="shared" si="36"/>
        <v>5.8336345387039971E-7</v>
      </c>
    </row>
    <row r="116" spans="3:30" x14ac:dyDescent="0.25">
      <c r="C116" s="22">
        <v>84</v>
      </c>
      <c r="D116" s="22">
        <v>5966</v>
      </c>
      <c r="F116" s="3">
        <f t="shared" si="23"/>
        <v>1087.3961005443145</v>
      </c>
      <c r="G116" s="3">
        <f t="shared" si="24"/>
        <v>161.5270673916485</v>
      </c>
      <c r="H116" s="3">
        <f t="shared" si="25"/>
        <v>-4.807928665988298E-2</v>
      </c>
      <c r="I116" s="3">
        <f t="shared" si="26"/>
        <v>0.54586484824740167</v>
      </c>
      <c r="J116" s="3">
        <f t="shared" si="27"/>
        <v>-2.0788962507105788</v>
      </c>
      <c r="K116" s="3">
        <f t="shared" si="28"/>
        <v>18.471192524064499</v>
      </c>
      <c r="L116" s="3" cm="1">
        <f t="array" ref="L116">lmb_2(F116)</f>
        <v>1080.407774134497</v>
      </c>
      <c r="M116" s="3" cm="1">
        <f t="array" ref="M116">lmb_2(G116)</f>
        <v>156.47417640229753</v>
      </c>
      <c r="N116" s="3" cm="1">
        <f t="array" ref="N116">lmb_2(H116)</f>
        <v>0.54991403191742094</v>
      </c>
      <c r="O116" s="3" cm="1">
        <f t="array" ref="O116">lmb_2(I116)</f>
        <v>0.78629195709008026</v>
      </c>
      <c r="P116" s="3" cm="1">
        <f t="array" ref="P116">lmb_2(J116)</f>
        <v>0.11183494543306213</v>
      </c>
      <c r="R116" s="3">
        <f t="shared" si="29"/>
        <v>0.30833254571572427</v>
      </c>
      <c r="S116" s="3">
        <f t="shared" si="30"/>
        <v>492.06550128110206</v>
      </c>
      <c r="T116" s="3">
        <f t="shared" si="31"/>
        <v>2969.8817662034062</v>
      </c>
      <c r="U116" s="3">
        <f t="shared" si="21"/>
        <v>2285.7180580915415</v>
      </c>
      <c r="V116" s="3">
        <f t="shared" si="22"/>
        <v>0</v>
      </c>
      <c r="W116" s="3">
        <f t="shared" si="32"/>
        <v>198.9692207198126</v>
      </c>
      <c r="Y116" s="3">
        <f t="shared" si="33"/>
        <v>5965.4140713656425</v>
      </c>
      <c r="AA116" s="3">
        <f t="shared" si="34"/>
        <v>0.34331236456006248</v>
      </c>
      <c r="AB116" s="3">
        <f t="shared" si="35"/>
        <v>0.58592863435751497</v>
      </c>
      <c r="AD116" s="3">
        <f t="shared" si="36"/>
        <v>1.9194954626821835E-7</v>
      </c>
    </row>
    <row r="117" spans="3:30" x14ac:dyDescent="0.25">
      <c r="C117" s="22">
        <v>85</v>
      </c>
      <c r="D117" s="22">
        <v>6012</v>
      </c>
      <c r="F117" s="3">
        <f t="shared" si="23"/>
        <v>1113.4152885207134</v>
      </c>
      <c r="G117" s="3">
        <f t="shared" si="24"/>
        <v>165.28607140911191</v>
      </c>
      <c r="H117" s="3">
        <f t="shared" si="25"/>
        <v>-3.7825023313427353E-2</v>
      </c>
      <c r="I117" s="3">
        <f t="shared" si="26"/>
        <v>0.54906050668449569</v>
      </c>
      <c r="J117" s="3">
        <f t="shared" si="27"/>
        <v>-2.0787233893979433</v>
      </c>
      <c r="K117" s="3">
        <f t="shared" si="28"/>
        <v>17.15736056201607</v>
      </c>
      <c r="L117" s="3" cm="1">
        <f t="array" ref="L117">lmb_2(F117)</f>
        <v>1106.4032514150415</v>
      </c>
      <c r="M117" s="3" cm="1">
        <f t="array" ref="M117">lmb_2(G117)</f>
        <v>160.209588522818</v>
      </c>
      <c r="N117" s="3" cm="1">
        <f t="array" ref="N117">lmb_2(H117)</f>
        <v>0.55356003859305569</v>
      </c>
      <c r="O117" s="3" cm="1">
        <f t="array" ref="O117">lmb_2(I117)</f>
        <v>0.78769932979526369</v>
      </c>
      <c r="P117" s="3" cm="1">
        <f t="array" ref="P117">lmb_2(J117)</f>
        <v>0.11185233406366688</v>
      </c>
      <c r="R117" s="3">
        <f t="shared" si="29"/>
        <v>0.29752054335148365</v>
      </c>
      <c r="S117" s="3">
        <f t="shared" si="30"/>
        <v>475.04549387987026</v>
      </c>
      <c r="T117" s="3">
        <f t="shared" si="31"/>
        <v>2978.4371401784033</v>
      </c>
      <c r="U117" s="3">
        <f t="shared" si="21"/>
        <v>2306.9788972532901</v>
      </c>
      <c r="V117" s="3">
        <f t="shared" si="22"/>
        <v>0</v>
      </c>
      <c r="W117" s="3">
        <f t="shared" si="32"/>
        <v>200.74266382361989</v>
      </c>
      <c r="Y117" s="3">
        <f t="shared" si="33"/>
        <v>5978.6590762405513</v>
      </c>
      <c r="AA117" s="3">
        <f t="shared" si="34"/>
        <v>1111.6171971333736</v>
      </c>
      <c r="AB117" s="3">
        <f t="shared" si="35"/>
        <v>33.340923759448742</v>
      </c>
      <c r="AD117" s="3">
        <f t="shared" si="36"/>
        <v>1.092244825141027E-5</v>
      </c>
    </row>
    <row r="118" spans="3:30" x14ac:dyDescent="0.25">
      <c r="C118" s="22">
        <v>86</v>
      </c>
      <c r="D118" s="22">
        <v>6081</v>
      </c>
      <c r="F118" s="3">
        <f t="shared" si="23"/>
        <v>1139.7423958814479</v>
      </c>
      <c r="G118" s="3">
        <f t="shared" si="24"/>
        <v>169.08956068121984</v>
      </c>
      <c r="H118" s="3">
        <f t="shared" si="25"/>
        <v>-2.7449407738019682E-2</v>
      </c>
      <c r="I118" s="3">
        <f t="shared" si="26"/>
        <v>0.55229398356463233</v>
      </c>
      <c r="J118" s="3">
        <f t="shared" si="27"/>
        <v>-2.0785484823893001</v>
      </c>
      <c r="K118" s="3">
        <f t="shared" si="28"/>
        <v>15.936979763028781</v>
      </c>
      <c r="L118" s="3" cm="1">
        <f t="array" ref="L118">lmb_2(F118)</f>
        <v>1132.7069261185047</v>
      </c>
      <c r="M118" s="3" cm="1">
        <f t="array" ref="M118">lmb_2(G118)</f>
        <v>163.98975671440479</v>
      </c>
      <c r="N118" s="3" cm="1">
        <f t="array" ref="N118">lmb_2(H118)</f>
        <v>0.55726499335833679</v>
      </c>
      <c r="O118" s="3" cm="1">
        <f t="array" ref="O118">lmb_2(I118)</f>
        <v>0.7891247908717921</v>
      </c>
      <c r="P118" s="3" cm="1">
        <f t="array" ref="P118">lmb_2(J118)</f>
        <v>0.11186993095185917</v>
      </c>
      <c r="R118" s="3">
        <f t="shared" si="29"/>
        <v>0.28720855088182928</v>
      </c>
      <c r="S118" s="3">
        <f t="shared" si="30"/>
        <v>458.79682007953676</v>
      </c>
      <c r="T118" s="3">
        <f t="shared" si="31"/>
        <v>2986.3207625490836</v>
      </c>
      <c r="U118" s="3">
        <f t="shared" si="21"/>
        <v>2328.0471934144971</v>
      </c>
      <c r="V118" s="3">
        <f t="shared" si="22"/>
        <v>0</v>
      </c>
      <c r="W118" s="3">
        <f t="shared" si="32"/>
        <v>202.51610692742719</v>
      </c>
      <c r="Y118" s="3">
        <f t="shared" si="33"/>
        <v>5991.9050712844555</v>
      </c>
      <c r="AA118" s="3">
        <f t="shared" si="34"/>
        <v>7937.9063228279529</v>
      </c>
      <c r="AB118" s="3">
        <f t="shared" si="35"/>
        <v>89.094928715544484</v>
      </c>
      <c r="AD118" s="3">
        <f t="shared" si="36"/>
        <v>2.918739610754898E-5</v>
      </c>
    </row>
    <row r="119" spans="3:30" x14ac:dyDescent="0.25">
      <c r="C119" s="22">
        <v>87</v>
      </c>
      <c r="D119" s="22">
        <v>6086</v>
      </c>
      <c r="F119" s="3">
        <f t="shared" si="23"/>
        <v>1166.3774226265189</v>
      </c>
      <c r="G119" s="3">
        <f t="shared" si="24"/>
        <v>172.93753520797233</v>
      </c>
      <c r="H119" s="3">
        <f t="shared" si="25"/>
        <v>-1.6952439933659913E-2</v>
      </c>
      <c r="I119" s="3">
        <f t="shared" si="26"/>
        <v>0.55556527888781149</v>
      </c>
      <c r="J119" s="3">
        <f t="shared" si="27"/>
        <v>-2.0783715296846497</v>
      </c>
      <c r="K119" s="3">
        <f t="shared" si="28"/>
        <v>14.803403067105803</v>
      </c>
      <c r="L119" s="3" cm="1">
        <f t="array" ref="L119">lmb_2(F119)</f>
        <v>1159.3187917972775</v>
      </c>
      <c r="M119" s="3" cm="1">
        <f t="array" ref="M119">lmb_2(G119)</f>
        <v>167.81467496268166</v>
      </c>
      <c r="N119" s="3" cm="1">
        <f t="array" ref="N119">lmb_2(H119)</f>
        <v>0.56102944617599748</v>
      </c>
      <c r="O119" s="3" cm="1">
        <f t="array" ref="O119">lmb_2(I119)</f>
        <v>0.79056839004353674</v>
      </c>
      <c r="P119" s="3" cm="1">
        <f t="array" ref="P119">lmb_2(J119)</f>
        <v>0.11188773618526932</v>
      </c>
      <c r="R119" s="3">
        <f t="shared" si="29"/>
        <v>0.27736797870939606</v>
      </c>
      <c r="S119" s="3">
        <f t="shared" si="30"/>
        <v>443.27656447593995</v>
      </c>
      <c r="T119" s="3">
        <f t="shared" si="31"/>
        <v>2993.5380767246461</v>
      </c>
      <c r="U119" s="3">
        <f t="shared" si="21"/>
        <v>2348.9217165801051</v>
      </c>
      <c r="V119" s="3">
        <f t="shared" si="22"/>
        <v>0</v>
      </c>
      <c r="W119" s="3">
        <f t="shared" si="32"/>
        <v>204.28955003123448</v>
      </c>
      <c r="Y119" s="3">
        <f t="shared" si="33"/>
        <v>6005.1066788577409</v>
      </c>
      <c r="AA119" s="3">
        <f t="shared" si="34"/>
        <v>6543.7294054246604</v>
      </c>
      <c r="AB119" s="3">
        <f t="shared" si="35"/>
        <v>80.893321142259083</v>
      </c>
      <c r="AD119" s="3">
        <f t="shared" si="36"/>
        <v>2.6500558905799372E-5</v>
      </c>
    </row>
    <row r="120" spans="3:30" x14ac:dyDescent="0.25">
      <c r="C120" s="22">
        <v>88</v>
      </c>
      <c r="D120" s="22">
        <v>6102</v>
      </c>
      <c r="F120" s="3">
        <f t="shared" si="23"/>
        <v>1193.3203687559258</v>
      </c>
      <c r="G120" s="3">
        <f t="shared" si="24"/>
        <v>176.82999498936934</v>
      </c>
      <c r="H120" s="3">
        <f t="shared" si="25"/>
        <v>-6.3341199003478232E-3</v>
      </c>
      <c r="I120" s="3">
        <f t="shared" si="26"/>
        <v>0.55887439265403316</v>
      </c>
      <c r="J120" s="3">
        <f t="shared" si="27"/>
        <v>-2.078192531283992</v>
      </c>
      <c r="K120" s="3">
        <f t="shared" si="28"/>
        <v>13.75045621100484</v>
      </c>
      <c r="L120" s="3" cm="1">
        <f t="array" ref="L120">lmb_2(F120)</f>
        <v>1186.2388422254744</v>
      </c>
      <c r="M120" s="3" cm="1">
        <f t="array" ref="M120">lmb_2(G120)</f>
        <v>171.68433744609214</v>
      </c>
      <c r="N120" s="3" cm="1">
        <f t="array" ref="N120">lmb_2(H120)</f>
        <v>0.56485395250013948</v>
      </c>
      <c r="O120" s="3" cm="1">
        <f t="array" ref="O120">lmb_2(I120)</f>
        <v>0.79203017756346794</v>
      </c>
      <c r="P120" s="3" cm="1">
        <f t="array" ref="P120">lmb_2(J120)</f>
        <v>0.11190574985256894</v>
      </c>
      <c r="R120" s="3">
        <f t="shared" si="29"/>
        <v>0.26797217756674313</v>
      </c>
      <c r="S120" s="3">
        <f t="shared" si="30"/>
        <v>428.44462453108855</v>
      </c>
      <c r="T120" s="3">
        <f t="shared" si="31"/>
        <v>3000.0947745441235</v>
      </c>
      <c r="U120" s="3">
        <f t="shared" si="21"/>
        <v>2369.6012679949208</v>
      </c>
      <c r="V120" s="3">
        <f t="shared" si="22"/>
        <v>0</v>
      </c>
      <c r="W120" s="3">
        <f t="shared" si="32"/>
        <v>206.06299313504178</v>
      </c>
      <c r="Y120" s="3">
        <f t="shared" si="33"/>
        <v>6018.2220885937468</v>
      </c>
      <c r="AA120" s="3">
        <f t="shared" si="34"/>
        <v>7018.7384395940144</v>
      </c>
      <c r="AB120" s="3">
        <f t="shared" si="35"/>
        <v>83.777911406253224</v>
      </c>
      <c r="AD120" s="3">
        <f t="shared" si="36"/>
        <v>2.7445547356398883E-5</v>
      </c>
    </row>
    <row r="121" spans="3:30" x14ac:dyDescent="0.25">
      <c r="C121" s="22">
        <v>89</v>
      </c>
      <c r="D121" s="22">
        <v>5997</v>
      </c>
      <c r="F121" s="3">
        <f t="shared" si="23"/>
        <v>1220.571234269669</v>
      </c>
      <c r="G121" s="3">
        <f t="shared" si="24"/>
        <v>180.76694002541086</v>
      </c>
      <c r="H121" s="3">
        <f t="shared" si="25"/>
        <v>4.405552361916143E-3</v>
      </c>
      <c r="I121" s="3">
        <f t="shared" si="26"/>
        <v>0.56222132486329734</v>
      </c>
      <c r="J121" s="3">
        <f t="shared" si="27"/>
        <v>-2.0780114871873261</v>
      </c>
      <c r="K121" s="3">
        <f t="shared" si="28"/>
        <v>12.772404098818301</v>
      </c>
      <c r="L121" s="3" cm="1">
        <f t="array" ref="L121">lmb_2(F121)</f>
        <v>1213.4670713888866</v>
      </c>
      <c r="M121" s="3" cm="1">
        <f t="array" ref="M121">lmb_2(G121)</f>
        <v>175.59873852801687</v>
      </c>
      <c r="N121" s="3" cm="1">
        <f t="array" ref="N121">lmb_2(H121)</f>
        <v>0.56873907320706563</v>
      </c>
      <c r="O121" s="3" cm="1">
        <f t="array" ref="O121">lmb_2(I121)</f>
        <v>0.79351020421163887</v>
      </c>
      <c r="P121" s="3" cm="1">
        <f t="array" ref="P121">lmb_2(J121)</f>
        <v>0.1119239720434715</v>
      </c>
      <c r="R121" s="3">
        <f t="shared" si="29"/>
        <v>0.25899628654434492</v>
      </c>
      <c r="S121" s="3">
        <f t="shared" si="30"/>
        <v>414.26349950328716</v>
      </c>
      <c r="T121" s="3">
        <f t="shared" si="31"/>
        <v>3005.9967896403746</v>
      </c>
      <c r="U121" s="3">
        <f t="shared" si="21"/>
        <v>2390.0846802349597</v>
      </c>
      <c r="V121" s="3">
        <f t="shared" si="22"/>
        <v>0</v>
      </c>
      <c r="W121" s="3">
        <f t="shared" si="32"/>
        <v>207.83643623884907</v>
      </c>
      <c r="Y121" s="3">
        <f t="shared" si="33"/>
        <v>6031.2128060028335</v>
      </c>
      <c r="AA121" s="3">
        <f t="shared" si="34"/>
        <v>1170.516094587522</v>
      </c>
      <c r="AB121" s="3">
        <f t="shared" si="35"/>
        <v>-34.212806002833531</v>
      </c>
      <c r="AD121" s="3">
        <f t="shared" si="36"/>
        <v>1.120807587089082E-5</v>
      </c>
    </row>
    <row r="122" spans="3:30" x14ac:dyDescent="0.25">
      <c r="C122" s="22">
        <v>90</v>
      </c>
      <c r="D122" s="22">
        <v>5986</v>
      </c>
      <c r="F122" s="3">
        <f t="shared" si="23"/>
        <v>1248.1300191677478</v>
      </c>
      <c r="G122" s="3">
        <f t="shared" si="24"/>
        <v>184.74837031609698</v>
      </c>
      <c r="H122" s="3">
        <f t="shared" si="25"/>
        <v>1.5266576853132374E-2</v>
      </c>
      <c r="I122" s="3">
        <f t="shared" si="26"/>
        <v>0.56560607551560405</v>
      </c>
      <c r="J122" s="3">
        <f t="shared" si="27"/>
        <v>-2.0778283973946534</v>
      </c>
      <c r="K122" s="3">
        <f t="shared" si="28"/>
        <v>11.863919564570519</v>
      </c>
      <c r="L122" s="3" cm="1">
        <f t="array" ref="L122">lmb_2(F122)</f>
        <v>1241.0034734754918</v>
      </c>
      <c r="M122" s="3" cm="1">
        <f t="array" ref="M122">lmb_2(G122)</f>
        <v>179.55787274927241</v>
      </c>
      <c r="N122" s="3" cm="1">
        <f t="array" ref="N122">lmb_2(H122)</f>
        <v>0.57268537452364776</v>
      </c>
      <c r="O122" s="3" cm="1">
        <f t="array" ref="O122">lmb_2(I122)</f>
        <v>0.79500852129313548</v>
      </c>
      <c r="P122" s="3" cm="1">
        <f t="array" ref="P122">lmb_2(J122)</f>
        <v>0.11194240284873251</v>
      </c>
      <c r="R122" s="3">
        <f t="shared" si="29"/>
        <v>0.25041709457530176</v>
      </c>
      <c r="S122" s="3">
        <f t="shared" si="30"/>
        <v>400.69809713078928</v>
      </c>
      <c r="T122" s="3">
        <f t="shared" si="31"/>
        <v>3011.250290694084</v>
      </c>
      <c r="U122" s="3">
        <f t="shared" si="21"/>
        <v>2410.3708172911852</v>
      </c>
      <c r="V122" s="3">
        <f t="shared" si="22"/>
        <v>0</v>
      </c>
      <c r="W122" s="3">
        <f t="shared" si="32"/>
        <v>209.60987934265637</v>
      </c>
      <c r="Y122" s="3">
        <f t="shared" si="33"/>
        <v>6044.0434211178608</v>
      </c>
      <c r="AA122" s="3">
        <f t="shared" si="34"/>
        <v>3369.0387350653309</v>
      </c>
      <c r="AB122" s="3">
        <f t="shared" si="35"/>
        <v>-58.043421117860817</v>
      </c>
      <c r="AD122" s="3">
        <f t="shared" si="36"/>
        <v>1.9014957955835924E-5</v>
      </c>
    </row>
    <row r="123" spans="3:30" x14ac:dyDescent="0.25">
      <c r="C123" s="22">
        <v>91</v>
      </c>
      <c r="D123" s="22">
        <v>6055</v>
      </c>
      <c r="F123" s="3">
        <f t="shared" si="23"/>
        <v>1275.9967234501632</v>
      </c>
      <c r="G123" s="3">
        <f t="shared" si="24"/>
        <v>188.77428586142759</v>
      </c>
      <c r="H123" s="3">
        <f t="shared" si="25"/>
        <v>2.6248953573300926E-2</v>
      </c>
      <c r="I123" s="3">
        <f t="shared" si="26"/>
        <v>0.56902864461095337</v>
      </c>
      <c r="J123" s="3">
        <f t="shared" si="27"/>
        <v>-2.0776432619059726</v>
      </c>
      <c r="K123" s="3">
        <f t="shared" si="28"/>
        <v>11.020054356690885</v>
      </c>
      <c r="L123" s="3" cm="1">
        <f t="array" ref="L123">lmb_2(F123)</f>
        <v>1268.8480428664968</v>
      </c>
      <c r="M123" s="3" cm="1">
        <f t="array" ref="M123">lmb_2(G123)</f>
        <v>183.56173482097063</v>
      </c>
      <c r="N123" s="3" cm="1">
        <f t="array" ref="N123">lmb_2(H123)</f>
        <v>0.5766934279532101</v>
      </c>
      <c r="O123" s="3" cm="1">
        <f t="array" ref="O123">lmb_2(I123)</f>
        <v>0.79652518063599353</v>
      </c>
      <c r="P123" s="3" cm="1">
        <f t="array" ref="P123">lmb_2(J123)</f>
        <v>0.11196104236015068</v>
      </c>
      <c r="R123" s="3">
        <f t="shared" si="29"/>
        <v>0.24221291405062875</v>
      </c>
      <c r="S123" s="3">
        <f t="shared" si="30"/>
        <v>387.71555642216623</v>
      </c>
      <c r="T123" s="3">
        <f t="shared" si="31"/>
        <v>3015.8616745852073</v>
      </c>
      <c r="U123" s="3">
        <f t="shared" si="21"/>
        <v>2430.4585746456296</v>
      </c>
      <c r="V123" s="3">
        <f t="shared" si="22"/>
        <v>0</v>
      </c>
      <c r="W123" s="3">
        <f t="shared" si="32"/>
        <v>211.38332244646364</v>
      </c>
      <c r="Y123" s="3">
        <f t="shared" si="33"/>
        <v>6056.6813953702076</v>
      </c>
      <c r="AA123" s="3">
        <f t="shared" si="34"/>
        <v>2.8270903909555876</v>
      </c>
      <c r="AB123" s="3">
        <f t="shared" si="35"/>
        <v>-1.6813953702076105</v>
      </c>
      <c r="AD123" s="3">
        <f t="shared" si="36"/>
        <v>5.5082318815623261E-7</v>
      </c>
    </row>
    <row r="124" spans="3:30" x14ac:dyDescent="0.25">
      <c r="C124" s="22">
        <v>92</v>
      </c>
      <c r="D124" s="22">
        <v>6106</v>
      </c>
      <c r="F124" s="3">
        <f t="shared" si="23"/>
        <v>1304.1713471169144</v>
      </c>
      <c r="G124" s="3">
        <f t="shared" si="24"/>
        <v>192.84468666140276</v>
      </c>
      <c r="H124" s="3">
        <f t="shared" si="25"/>
        <v>3.7352682522421299E-2</v>
      </c>
      <c r="I124" s="3">
        <f t="shared" si="26"/>
        <v>0.57248903214934521</v>
      </c>
      <c r="J124" s="3">
        <f t="shared" si="27"/>
        <v>-2.0774560807212845</v>
      </c>
      <c r="K124" s="3">
        <f t="shared" si="28"/>
        <v>10.236212186323772</v>
      </c>
      <c r="L124" s="3" cm="1">
        <f t="array" ref="L124">lmb_2(F124)</f>
        <v>1297.0007741278616</v>
      </c>
      <c r="M124" s="3" cm="1">
        <f t="array" ref="M124">lmb_2(G124)</f>
        <v>187.61031961772031</v>
      </c>
      <c r="N124" s="3" cm="1">
        <f t="array" ref="N124">lmb_2(H124)</f>
        <v>0.58076381019891443</v>
      </c>
      <c r="O124" s="3" cm="1">
        <f t="array" ref="O124">lmb_2(I124)</f>
        <v>0.79806023458908382</v>
      </c>
      <c r="P124" s="3" cm="1">
        <f t="array" ref="P124">lmb_2(J124)</f>
        <v>0.11197989067056814</v>
      </c>
      <c r="R124" s="3">
        <f t="shared" si="29"/>
        <v>0.23436346538265382</v>
      </c>
      <c r="S124" s="3">
        <f t="shared" si="30"/>
        <v>375.28508507285028</v>
      </c>
      <c r="T124" s="3">
        <f t="shared" si="31"/>
        <v>3019.8375594493536</v>
      </c>
      <c r="U124" s="3">
        <f t="shared" si="21"/>
        <v>2450.3468793399115</v>
      </c>
      <c r="V124" s="3">
        <f t="shared" si="22"/>
        <v>0</v>
      </c>
      <c r="W124" s="3">
        <f t="shared" si="32"/>
        <v>213.15676555027093</v>
      </c>
      <c r="Y124" s="3">
        <f t="shared" si="33"/>
        <v>6069.0968650640925</v>
      </c>
      <c r="AA124" s="3">
        <f t="shared" si="34"/>
        <v>1361.8413680977947</v>
      </c>
      <c r="AB124" s="3">
        <f t="shared" si="35"/>
        <v>36.903134935907474</v>
      </c>
      <c r="AD124" s="3">
        <f t="shared" si="36"/>
        <v>1.2089424533056916E-5</v>
      </c>
    </row>
    <row r="125" spans="3:30" x14ac:dyDescent="0.25">
      <c r="C125" s="22">
        <v>93</v>
      </c>
      <c r="D125" s="22">
        <v>6288</v>
      </c>
      <c r="F125" s="3">
        <f t="shared" si="23"/>
        <v>1332.6538901680019</v>
      </c>
      <c r="G125" s="3">
        <f t="shared" si="24"/>
        <v>196.95957271602245</v>
      </c>
      <c r="H125" s="3">
        <f t="shared" si="25"/>
        <v>4.8577763700494048E-2</v>
      </c>
      <c r="I125" s="3">
        <f t="shared" si="26"/>
        <v>0.57598723813077957</v>
      </c>
      <c r="J125" s="3">
        <f t="shared" si="27"/>
        <v>-2.0772668538405892</v>
      </c>
      <c r="K125" s="3">
        <f t="shared" si="28"/>
        <v>9.5081236926772075</v>
      </c>
      <c r="L125" s="3" cm="1">
        <f t="array" ref="L125">lmb_2(F125)</f>
        <v>1325.4616620022921</v>
      </c>
      <c r="M125" s="3" cm="1">
        <f t="array" ref="M125">lmb_2(G125)</f>
        <v>191.70362217115118</v>
      </c>
      <c r="N125" s="3" cm="1">
        <f t="array" ref="N125">lmb_2(H125)</f>
        <v>0.58489710308463405</v>
      </c>
      <c r="O125" s="3" cm="1">
        <f t="array" ref="O125">lmb_2(I125)</f>
        <v>0.79961373601996233</v>
      </c>
      <c r="P125" s="3" cm="1">
        <f t="array" ref="P125">lmb_2(J125)</f>
        <v>0.11199894787387105</v>
      </c>
      <c r="R125" s="3">
        <f t="shared" si="29"/>
        <v>0.22684977146076965</v>
      </c>
      <c r="S125" s="3">
        <f t="shared" si="30"/>
        <v>363.37781017550867</v>
      </c>
      <c r="T125" s="3">
        <f t="shared" si="31"/>
        <v>3023.1847776465929</v>
      </c>
      <c r="U125" s="3">
        <f t="shared" si="21"/>
        <v>2470.0346900361624</v>
      </c>
      <c r="V125" s="3">
        <f t="shared" si="22"/>
        <v>0</v>
      </c>
      <c r="W125" s="3">
        <f t="shared" si="32"/>
        <v>214.93020865407823</v>
      </c>
      <c r="Y125" s="3">
        <f t="shared" si="33"/>
        <v>6081.2624599764804</v>
      </c>
      <c r="AA125" s="3">
        <f t="shared" si="34"/>
        <v>42740.410454976372</v>
      </c>
      <c r="AB125" s="3">
        <f t="shared" si="35"/>
        <v>206.73754002351961</v>
      </c>
      <c r="AD125" s="3">
        <f t="shared" si="36"/>
        <v>6.7726980176751038E-5</v>
      </c>
    </row>
    <row r="126" spans="3:30" x14ac:dyDescent="0.25">
      <c r="C126" s="22">
        <v>94</v>
      </c>
      <c r="D126" s="22">
        <v>6244</v>
      </c>
      <c r="F126" s="3">
        <f t="shared" si="23"/>
        <v>1361.4443526034252</v>
      </c>
      <c r="G126" s="3">
        <f t="shared" si="24"/>
        <v>201.11894402528668</v>
      </c>
      <c r="H126" s="3">
        <f t="shared" si="25"/>
        <v>5.9924197107518729E-2</v>
      </c>
      <c r="I126" s="3">
        <f t="shared" si="26"/>
        <v>0.57952326255525644</v>
      </c>
      <c r="J126" s="3">
        <f t="shared" si="27"/>
        <v>-2.0770755812638861</v>
      </c>
      <c r="K126" s="3">
        <f t="shared" si="28"/>
        <v>8.8318231890538286</v>
      </c>
      <c r="L126" s="3" cm="1">
        <f t="array" ref="L126">lmb_2(F126)</f>
        <v>1354.2307014016544</v>
      </c>
      <c r="M126" s="3" cm="1">
        <f t="array" ref="M126">lmb_2(G126)</f>
        <v>195.84163766374408</v>
      </c>
      <c r="N126" s="3" cm="1">
        <f t="array" ref="N126">lmb_2(H126)</f>
        <v>0.58909389347330721</v>
      </c>
      <c r="O126" s="3" cm="1">
        <f t="array" ref="O126">lmb_2(I126)</f>
        <v>0.80118573831268736</v>
      </c>
      <c r="P126" s="3" cm="1">
        <f t="array" ref="P126">lmb_2(J126)</f>
        <v>0.11201821406499048</v>
      </c>
      <c r="R126" s="3">
        <f t="shared" si="29"/>
        <v>0.21965406105573754</v>
      </c>
      <c r="S126" s="3">
        <f t="shared" si="30"/>
        <v>351.96664102411609</v>
      </c>
      <c r="T126" s="3">
        <f t="shared" si="31"/>
        <v>3025.9103686502485</v>
      </c>
      <c r="U126" s="3">
        <f t="shared" si="21"/>
        <v>2489.5209970703813</v>
      </c>
      <c r="V126" s="3">
        <f t="shared" si="22"/>
        <v>0</v>
      </c>
      <c r="W126" s="3">
        <f t="shared" si="32"/>
        <v>216.70365175788552</v>
      </c>
      <c r="Y126" s="3">
        <f t="shared" si="33"/>
        <v>6093.1531357527401</v>
      </c>
      <c r="AA126" s="3">
        <f t="shared" si="34"/>
        <v>22754.77645323125</v>
      </c>
      <c r="AB126" s="3">
        <f t="shared" si="35"/>
        <v>150.84686424725987</v>
      </c>
      <c r="AD126" s="3">
        <f t="shared" si="36"/>
        <v>4.941725911722152E-5</v>
      </c>
    </row>
    <row r="127" spans="3:30" x14ac:dyDescent="0.25">
      <c r="C127" s="22">
        <v>95</v>
      </c>
      <c r="D127" s="22">
        <v>6108</v>
      </c>
      <c r="F127" s="3">
        <f t="shared" si="23"/>
        <v>1390.5427344231848</v>
      </c>
      <c r="G127" s="3">
        <f t="shared" si="24"/>
        <v>205.32280058919548</v>
      </c>
      <c r="H127" s="3">
        <f t="shared" si="25"/>
        <v>7.1391982743495674E-2</v>
      </c>
      <c r="I127" s="3">
        <f t="shared" si="26"/>
        <v>0.58309710542277582</v>
      </c>
      <c r="J127" s="3">
        <f t="shared" si="27"/>
        <v>-2.0768822629911754</v>
      </c>
      <c r="K127" s="3">
        <f t="shared" si="28"/>
        <v>8.2036270629064667</v>
      </c>
      <c r="L127" s="3" cm="1">
        <f t="array" ref="L127">lmb_2(F127)</f>
        <v>1383.3078873997986</v>
      </c>
      <c r="M127" s="3" cm="1">
        <f t="array" ref="M127">lmb_2(G127)</f>
        <v>200.02436142295056</v>
      </c>
      <c r="N127" s="3" cm="1">
        <f t="array" ref="N127">lmb_2(H127)</f>
        <v>0.59335477318276164</v>
      </c>
      <c r="O127" s="3" cm="1">
        <f t="array" ref="O127">lmb_2(I127)</f>
        <v>0.80277629536560402</v>
      </c>
      <c r="P127" s="3" cm="1">
        <f t="array" ref="P127">lmb_2(J127)</f>
        <v>0.11203768933990263</v>
      </c>
      <c r="R127" s="3">
        <f t="shared" si="29"/>
        <v>0.21275968032775092</v>
      </c>
      <c r="S127" s="3">
        <f t="shared" si="30"/>
        <v>341.02614292967189</v>
      </c>
      <c r="T127" s="3">
        <f t="shared" si="31"/>
        <v>3028.0215718632007</v>
      </c>
      <c r="U127" s="3">
        <f t="shared" si="21"/>
        <v>2508.8048224982181</v>
      </c>
      <c r="V127" s="3">
        <f t="shared" si="22"/>
        <v>0</v>
      </c>
      <c r="W127" s="3">
        <f t="shared" si="32"/>
        <v>218.47709486169282</v>
      </c>
      <c r="Y127" s="3">
        <f t="shared" si="33"/>
        <v>6104.7460188960176</v>
      </c>
      <c r="AA127" s="3">
        <f t="shared" si="34"/>
        <v>10.588393025074316</v>
      </c>
      <c r="AB127" s="3">
        <f t="shared" si="35"/>
        <v>3.2539811039823689</v>
      </c>
      <c r="AD127" s="3">
        <f t="shared" si="36"/>
        <v>1.066000464646452E-6</v>
      </c>
    </row>
    <row r="128" spans="3:30" x14ac:dyDescent="0.25">
      <c r="C128" s="22">
        <v>96</v>
      </c>
      <c r="D128" s="22">
        <v>6158</v>
      </c>
      <c r="F128" s="3">
        <f t="shared" si="23"/>
        <v>1419.9490356272802</v>
      </c>
      <c r="G128" s="3">
        <f t="shared" si="24"/>
        <v>209.57114240774882</v>
      </c>
      <c r="H128" s="3">
        <f t="shared" si="25"/>
        <v>8.2981120608424774E-2</v>
      </c>
      <c r="I128" s="3">
        <f t="shared" si="26"/>
        <v>0.58670876673333772</v>
      </c>
      <c r="J128" s="3">
        <f t="shared" si="27"/>
        <v>-2.0766868990224574</v>
      </c>
      <c r="K128" s="3">
        <f t="shared" si="28"/>
        <v>7.6201137122697853</v>
      </c>
      <c r="L128" s="3" cm="1">
        <f t="array" ref="L128">lmb_2(F128)</f>
        <v>1412.6932152257516</v>
      </c>
      <c r="M128" s="3" cm="1">
        <f t="array" ref="M128">lmb_2(G128)</f>
        <v>204.25178891558642</v>
      </c>
      <c r="N128" s="3" cm="1">
        <f t="array" ref="N128">lmb_2(H128)</f>
        <v>0.59768033889900618</v>
      </c>
      <c r="O128" s="3" cm="1">
        <f t="array" ref="O128">lmb_2(I128)</f>
        <v>0.80438546158909296</v>
      </c>
      <c r="P128" s="3" cm="1">
        <f t="array" ref="P128">lmb_2(J128)</f>
        <v>0.11205737379562963</v>
      </c>
      <c r="R128" s="3">
        <f t="shared" si="29"/>
        <v>0.20615101168118616</v>
      </c>
      <c r="S128" s="3">
        <f t="shared" si="30"/>
        <v>330.53242107106502</v>
      </c>
      <c r="T128" s="3">
        <f t="shared" si="31"/>
        <v>3029.525819369268</v>
      </c>
      <c r="U128" s="3">
        <f t="shared" si="21"/>
        <v>2527.8852201332193</v>
      </c>
      <c r="V128" s="3">
        <f t="shared" si="22"/>
        <v>0</v>
      </c>
      <c r="W128" s="3">
        <f t="shared" si="32"/>
        <v>220.25053796550011</v>
      </c>
      <c r="Y128" s="3">
        <f t="shared" si="33"/>
        <v>6116.0202632630035</v>
      </c>
      <c r="AA128" s="3">
        <f t="shared" si="34"/>
        <v>1762.298296507536</v>
      </c>
      <c r="AB128" s="3">
        <f t="shared" si="35"/>
        <v>41.979736736996529</v>
      </c>
      <c r="AD128" s="3">
        <f t="shared" si="36"/>
        <v>1.3752513440415018E-5</v>
      </c>
    </row>
    <row r="129" spans="3:30" x14ac:dyDescent="0.25">
      <c r="C129" s="22">
        <v>97</v>
      </c>
      <c r="D129" s="22">
        <v>6176</v>
      </c>
      <c r="F129" s="3">
        <f t="shared" si="23"/>
        <v>1449.6632562157122</v>
      </c>
      <c r="G129" s="3">
        <f t="shared" si="24"/>
        <v>213.86396948094659</v>
      </c>
      <c r="H129" s="3">
        <f t="shared" si="25"/>
        <v>9.4691610702305917E-2</v>
      </c>
      <c r="I129" s="3">
        <f t="shared" si="26"/>
        <v>0.59035824648694224</v>
      </c>
      <c r="J129" s="3">
        <f t="shared" si="27"/>
        <v>-2.0764894893577317</v>
      </c>
      <c r="K129" s="3">
        <f t="shared" si="28"/>
        <v>7.0781049092874992</v>
      </c>
      <c r="L129" s="3" cm="1">
        <f t="array" ref="L129">lmb_2(F129)</f>
        <v>1442.3866802572711</v>
      </c>
      <c r="M129" s="3" cm="1">
        <f t="array" ref="M129">lmb_2(G129)</f>
        <v>208.52391574248483</v>
      </c>
      <c r="N129" s="3" cm="1">
        <f t="array" ref="N129">lmb_2(H129)</f>
        <v>0.60207119208698812</v>
      </c>
      <c r="O129" s="3" cm="1">
        <f t="array" ref="O129">lmb_2(I129)</f>
        <v>0.80601329190328574</v>
      </c>
      <c r="P129" s="3" cm="1">
        <f t="array" ref="P129">lmb_2(J129)</f>
        <v>0.1120772675302404</v>
      </c>
      <c r="R129" s="3">
        <f t="shared" si="29"/>
        <v>0.19981339928675443</v>
      </c>
      <c r="S129" s="3">
        <f t="shared" si="30"/>
        <v>320.46301349902814</v>
      </c>
      <c r="T129" s="3">
        <f t="shared" si="31"/>
        <v>3030.4307286271874</v>
      </c>
      <c r="U129" s="3">
        <f t="shared" si="21"/>
        <v>2546.7612755775594</v>
      </c>
      <c r="V129" s="3">
        <f t="shared" si="22"/>
        <v>0</v>
      </c>
      <c r="W129" s="3">
        <f t="shared" si="32"/>
        <v>222.02398106930741</v>
      </c>
      <c r="Y129" s="3">
        <f t="shared" si="33"/>
        <v>6126.9569170816567</v>
      </c>
      <c r="AA129" s="3">
        <f t="shared" si="34"/>
        <v>2405.2239821354979</v>
      </c>
      <c r="AB129" s="3">
        <f t="shared" si="35"/>
        <v>49.043082918343316</v>
      </c>
      <c r="AD129" s="3">
        <f t="shared" si="36"/>
        <v>1.6066457520194532E-5</v>
      </c>
    </row>
    <row r="130" spans="3:30" x14ac:dyDescent="0.25">
      <c r="C130" s="22">
        <v>98</v>
      </c>
      <c r="D130" s="22">
        <v>6143</v>
      </c>
      <c r="F130" s="3">
        <f t="shared" si="23"/>
        <v>1479.6853961884794</v>
      </c>
      <c r="G130" s="3">
        <f t="shared" si="24"/>
        <v>218.20128180878902</v>
      </c>
      <c r="H130" s="3">
        <f t="shared" si="25"/>
        <v>0.10652345302513921</v>
      </c>
      <c r="I130" s="3">
        <f t="shared" si="26"/>
        <v>0.59404554468358928</v>
      </c>
      <c r="J130" s="3">
        <f t="shared" si="27"/>
        <v>-2.0762900339969983</v>
      </c>
      <c r="K130" s="3">
        <f t="shared" si="28"/>
        <v>6.5746484893276946</v>
      </c>
      <c r="L130" s="3" cm="1">
        <f t="array" ref="L130">lmb_2(F130)</f>
        <v>1472.3882780147233</v>
      </c>
      <c r="M130" s="3" cm="1">
        <f t="array" ref="M130">lmb_2(G130)</f>
        <v>212.84073763339595</v>
      </c>
      <c r="N130" s="3" cm="1">
        <f t="array" ref="N130">lmb_2(H130)</f>
        <v>0.60652793889881573</v>
      </c>
      <c r="O130" s="3" cm="1">
        <f t="array" ref="O130">lmb_2(I130)</f>
        <v>0.80765984173574612</v>
      </c>
      <c r="P130" s="3" cm="1">
        <f t="array" ref="P130">lmb_2(J130)</f>
        <v>0.11209737064285075</v>
      </c>
      <c r="R130" s="3">
        <f t="shared" si="29"/>
        <v>0.19373308066086398</v>
      </c>
      <c r="S130" s="3">
        <f t="shared" si="30"/>
        <v>310.79679249571569</v>
      </c>
      <c r="T130" s="3">
        <f t="shared" si="31"/>
        <v>3030.7440951147628</v>
      </c>
      <c r="U130" s="3">
        <f t="shared" si="21"/>
        <v>2565.432106245255</v>
      </c>
      <c r="V130" s="3">
        <f t="shared" si="22"/>
        <v>0</v>
      </c>
      <c r="W130" s="3">
        <f t="shared" si="32"/>
        <v>223.79742417311471</v>
      </c>
      <c r="Y130" s="3">
        <f t="shared" si="33"/>
        <v>6137.5387995988367</v>
      </c>
      <c r="AA130" s="3">
        <f t="shared" si="34"/>
        <v>29.824709821666147</v>
      </c>
      <c r="AB130" s="3">
        <f t="shared" si="35"/>
        <v>5.4612004011632962</v>
      </c>
      <c r="AD130" s="3">
        <f t="shared" si="36"/>
        <v>1.7890829661065563E-6</v>
      </c>
    </row>
    <row r="131" spans="3:30" x14ac:dyDescent="0.25">
      <c r="C131" s="22">
        <v>99</v>
      </c>
      <c r="D131" s="22">
        <v>6209</v>
      </c>
      <c r="F131" s="3">
        <f t="shared" si="23"/>
        <v>1510.0154555455836</v>
      </c>
      <c r="G131" s="3">
        <f t="shared" si="24"/>
        <v>222.58307939127599</v>
      </c>
      <c r="H131" s="3">
        <f t="shared" si="25"/>
        <v>0.11847664757692489</v>
      </c>
      <c r="I131" s="3">
        <f t="shared" si="26"/>
        <v>0.59777066132327872</v>
      </c>
      <c r="J131" s="3">
        <f t="shared" si="27"/>
        <v>-2.0760885329402576</v>
      </c>
      <c r="K131" s="3">
        <f t="shared" si="28"/>
        <v>6.1070022713989678</v>
      </c>
      <c r="L131" s="3" cm="1">
        <f t="array" ref="L131">lmb_2(F131)</f>
        <v>1502.6980041552815</v>
      </c>
      <c r="M131" s="3" cm="1">
        <f t="array" ref="M131">lmb_2(G131)</f>
        <v>217.20225044211833</v>
      </c>
      <c r="N131" s="3" cm="1">
        <f t="array" ref="N131">lmb_2(H131)</f>
        <v>0.61105119007945108</v>
      </c>
      <c r="O131" s="3" cm="1">
        <f t="array" ref="O131">lmb_2(I131)</f>
        <v>0.80932516701911639</v>
      </c>
      <c r="P131" s="3" cm="1">
        <f t="array" ref="P131">lmb_2(J131)</f>
        <v>0.11211768323362446</v>
      </c>
      <c r="R131" s="3">
        <f t="shared" si="29"/>
        <v>0.18789712375343237</v>
      </c>
      <c r="S131" s="3">
        <f t="shared" si="30"/>
        <v>301.5138735682761</v>
      </c>
      <c r="T131" s="3">
        <f t="shared" si="31"/>
        <v>3030.4738849306564</v>
      </c>
      <c r="U131" s="3">
        <f t="shared" si="21"/>
        <v>2583.8968613779257</v>
      </c>
      <c r="V131" s="3">
        <f t="shared" si="22"/>
        <v>0</v>
      </c>
      <c r="W131" s="3">
        <f t="shared" si="32"/>
        <v>225.570867276922</v>
      </c>
      <c r="Y131" s="3">
        <f t="shared" si="33"/>
        <v>6147.7503865489334</v>
      </c>
      <c r="AA131" s="3">
        <f t="shared" si="34"/>
        <v>3751.515147905076</v>
      </c>
      <c r="AB131" s="3">
        <f t="shared" si="35"/>
        <v>61.24961345106658</v>
      </c>
      <c r="AD131" s="3">
        <f t="shared" si="36"/>
        <v>2.0065302874176221E-5</v>
      </c>
    </row>
    <row r="132" spans="3:30" x14ac:dyDescent="0.25">
      <c r="C132" s="22">
        <v>100</v>
      </c>
      <c r="D132" s="22">
        <v>6318</v>
      </c>
      <c r="F132" s="3">
        <f t="shared" si="23"/>
        <v>1540.6534342870234</v>
      </c>
      <c r="G132" s="3">
        <f t="shared" si="24"/>
        <v>227.00936222840735</v>
      </c>
      <c r="H132" s="3">
        <f t="shared" si="25"/>
        <v>0.13055119435766238</v>
      </c>
      <c r="I132" s="3">
        <f t="shared" si="26"/>
        <v>0.6015335964060109</v>
      </c>
      <c r="J132" s="3">
        <f t="shared" si="27"/>
        <v>-2.0758849861875093</v>
      </c>
      <c r="K132" s="3">
        <f t="shared" si="28"/>
        <v>5.6726191222864726</v>
      </c>
      <c r="L132" s="3" cm="1">
        <f t="array" ref="L132">lmb_2(F132)</f>
        <v>1533.3158544674063</v>
      </c>
      <c r="M132" s="3" cm="1">
        <f t="array" ref="M132">lmb_2(G132)</f>
        <v>221.60845014185216</v>
      </c>
      <c r="N132" s="3" cm="1">
        <f t="array" ref="N132">lmb_2(H132)</f>
        <v>0.61564156086987998</v>
      </c>
      <c r="O132" s="3" cm="1">
        <f t="array" ref="O132">lmb_2(I132)</f>
        <v>0.81100932418872917</v>
      </c>
      <c r="P132" s="3" cm="1">
        <f t="array" ref="P132">lmb_2(J132)</f>
        <v>0.1121382054037738</v>
      </c>
      <c r="R132" s="3">
        <f t="shared" si="29"/>
        <v>0.18229336905009574</v>
      </c>
      <c r="S132" s="3">
        <f t="shared" si="30"/>
        <v>292.59553142282573</v>
      </c>
      <c r="T132" s="3">
        <f t="shared" si="31"/>
        <v>3029.6282273613128</v>
      </c>
      <c r="U132" s="3">
        <f t="shared" si="21"/>
        <v>2602.1547220530979</v>
      </c>
      <c r="V132" s="3">
        <f t="shared" si="22"/>
        <v>0</v>
      </c>
      <c r="W132" s="3">
        <f t="shared" si="32"/>
        <v>227.3443103807293</v>
      </c>
      <c r="Y132" s="3">
        <f t="shared" si="33"/>
        <v>6157.5777037093021</v>
      </c>
      <c r="AA132" s="3">
        <f t="shared" si="34"/>
        <v>25735.313147180459</v>
      </c>
      <c r="AB132" s="3">
        <f t="shared" si="35"/>
        <v>160.42229629069789</v>
      </c>
      <c r="AD132" s="3">
        <f t="shared" si="36"/>
        <v>5.2554159634253765E-5</v>
      </c>
    </row>
    <row r="133" spans="3:30" x14ac:dyDescent="0.25">
      <c r="C133" s="22">
        <v>101</v>
      </c>
      <c r="D133" s="22">
        <v>6026</v>
      </c>
      <c r="F133" s="3">
        <f t="shared" si="23"/>
        <v>1571.5993324127994</v>
      </c>
      <c r="G133" s="3">
        <f t="shared" si="24"/>
        <v>231.48013032018338</v>
      </c>
      <c r="H133" s="3">
        <f t="shared" si="25"/>
        <v>0.14274709336735203</v>
      </c>
      <c r="I133" s="3">
        <f t="shared" si="26"/>
        <v>0.60533434993178548</v>
      </c>
      <c r="J133" s="3">
        <f t="shared" si="27"/>
        <v>-2.0756793937387537</v>
      </c>
      <c r="K133" s="3">
        <f t="shared" si="28"/>
        <v>5.2691330830566079</v>
      </c>
      <c r="L133" s="3" cm="1">
        <f t="array" ref="L133">lmb_2(F133)</f>
        <v>1564.2418248656102</v>
      </c>
      <c r="M133" s="3" cm="1">
        <f t="array" ref="M133">lmb_2(G133)</f>
        <v>226.05933282076214</v>
      </c>
      <c r="N133" s="3" cm="1">
        <f t="array" ref="N133">lmb_2(H133)</f>
        <v>0.6202996709077685</v>
      </c>
      <c r="O133" s="3" cm="1">
        <f t="array" ref="O133">lmb_2(I133)</f>
        <v>0.81271237018018372</v>
      </c>
      <c r="P133" s="3" cm="1">
        <f t="array" ref="P133">lmb_2(J133)</f>
        <v>0.11215893725556002</v>
      </c>
      <c r="R133" s="3">
        <f t="shared" si="29"/>
        <v>0.17691037624350969</v>
      </c>
      <c r="S133" s="3">
        <f t="shared" si="30"/>
        <v>284.0241223263497</v>
      </c>
      <c r="T133" s="3">
        <f t="shared" si="31"/>
        <v>3028.2154074204614</v>
      </c>
      <c r="U133" s="3">
        <f t="shared" si="21"/>
        <v>2620.2049011851013</v>
      </c>
      <c r="V133" s="3">
        <f t="shared" si="22"/>
        <v>0</v>
      </c>
      <c r="W133" s="3">
        <f t="shared" si="32"/>
        <v>229.11775348453659</v>
      </c>
      <c r="Y133" s="3">
        <f t="shared" si="33"/>
        <v>6167.0082278757491</v>
      </c>
      <c r="AA133" s="3">
        <f t="shared" si="34"/>
        <v>19883.320328659178</v>
      </c>
      <c r="AB133" s="3">
        <f t="shared" si="35"/>
        <v>-141.00822787574907</v>
      </c>
      <c r="AD133" s="3">
        <f t="shared" si="36"/>
        <v>4.6194133165235409E-5</v>
      </c>
    </row>
    <row r="134" spans="3:30" x14ac:dyDescent="0.25">
      <c r="C134" s="22">
        <v>102</v>
      </c>
      <c r="D134" s="22">
        <v>6245</v>
      </c>
      <c r="F134" s="3">
        <f t="shared" si="23"/>
        <v>1602.8531499229114</v>
      </c>
      <c r="G134" s="3">
        <f t="shared" si="24"/>
        <v>235.99538366660397</v>
      </c>
      <c r="H134" s="3">
        <f t="shared" si="25"/>
        <v>0.15506434460599405</v>
      </c>
      <c r="I134" s="3">
        <f t="shared" si="26"/>
        <v>0.60917292190060257</v>
      </c>
      <c r="J134" s="3">
        <f t="shared" si="27"/>
        <v>-2.0754717555939903</v>
      </c>
      <c r="K134" s="3">
        <f t="shared" si="28"/>
        <v>4.8943464823654237</v>
      </c>
      <c r="L134" s="3" cm="1">
        <f t="array" ref="L134">lmb_2(F134)</f>
        <v>1595.475911385475</v>
      </c>
      <c r="M134" s="3" cm="1">
        <f t="array" ref="M134">lmb_2(G134)</f>
        <v>230.55489467773751</v>
      </c>
      <c r="N134" s="3" cm="1">
        <f t="array" ref="N134">lmb_2(H134)</f>
        <v>0.62502614412561719</v>
      </c>
      <c r="O134" s="3" cm="1">
        <f t="array" ref="O134">lmb_2(I134)</f>
        <v>0.81443436242688849</v>
      </c>
      <c r="P134" s="3" cm="1">
        <f t="array" ref="P134">lmb_2(J134)</f>
        <v>0.11217987889229428</v>
      </c>
      <c r="R134" s="3">
        <f t="shared" si="29"/>
        <v>0.17173737507196679</v>
      </c>
      <c r="S134" s="3">
        <f t="shared" si="30"/>
        <v>275.78301231899803</v>
      </c>
      <c r="T134" s="3">
        <f t="shared" si="31"/>
        <v>3026.2438583685798</v>
      </c>
      <c r="U134" s="3">
        <f t="shared" si="21"/>
        <v>2638.0466435185767</v>
      </c>
      <c r="V134" s="3">
        <f t="shared" si="22"/>
        <v>0</v>
      </c>
      <c r="W134" s="3">
        <f t="shared" si="32"/>
        <v>230.89119658834386</v>
      </c>
      <c r="Y134" s="3">
        <f t="shared" si="33"/>
        <v>6176.0307946519351</v>
      </c>
      <c r="AA134" s="3">
        <f t="shared" si="34"/>
        <v>4756.7512863435386</v>
      </c>
      <c r="AB134" s="3">
        <f t="shared" si="35"/>
        <v>68.969205348064861</v>
      </c>
      <c r="AD134" s="3">
        <f t="shared" si="36"/>
        <v>2.2594232295127691E-5</v>
      </c>
    </row>
    <row r="135" spans="3:30" x14ac:dyDescent="0.25">
      <c r="C135" s="22">
        <v>103</v>
      </c>
      <c r="D135" s="22">
        <v>6326</v>
      </c>
      <c r="F135" s="3">
        <f t="shared" si="23"/>
        <v>1634.4148868173595</v>
      </c>
      <c r="G135" s="3">
        <f t="shared" si="24"/>
        <v>240.55512226766893</v>
      </c>
      <c r="H135" s="3">
        <f t="shared" si="25"/>
        <v>0.16750294807358801</v>
      </c>
      <c r="I135" s="3">
        <f t="shared" si="26"/>
        <v>0.61304931231246229</v>
      </c>
      <c r="J135" s="3">
        <f t="shared" si="27"/>
        <v>-2.0752620717532198</v>
      </c>
      <c r="K135" s="3">
        <f t="shared" si="28"/>
        <v>4.5462179663806834</v>
      </c>
      <c r="L135" s="3" cm="1">
        <f t="array" ref="L135">lmb_2(F135)</f>
        <v>1627.018110178916</v>
      </c>
      <c r="M135" s="3" cm="1">
        <f t="array" ref="M135">lmb_2(G135)</f>
        <v>235.09513201834179</v>
      </c>
      <c r="N135" s="3" cm="1">
        <f t="array" ref="N135">lmb_2(H135)</f>
        <v>0.62982160864643399</v>
      </c>
      <c r="O135" s="3" cm="1">
        <f t="array" ref="O135">lmb_2(I135)</f>
        <v>0.81617535885756676</v>
      </c>
      <c r="P135" s="3" cm="1">
        <f t="array" ref="P135">lmb_2(J135)</f>
        <v>0.11220103041833805</v>
      </c>
      <c r="R135" s="3">
        <f t="shared" si="29"/>
        <v>0.1667642199624283</v>
      </c>
      <c r="S135" s="3">
        <f t="shared" si="30"/>
        <v>267.85651078866505</v>
      </c>
      <c r="T135" s="3">
        <f t="shared" si="31"/>
        <v>3023.7221542196339</v>
      </c>
      <c r="U135" s="3">
        <f t="shared" si="21"/>
        <v>2655.6792256146455</v>
      </c>
      <c r="V135" s="3">
        <f t="shared" si="22"/>
        <v>0</v>
      </c>
      <c r="W135" s="3">
        <f t="shared" si="32"/>
        <v>232.66463969215116</v>
      </c>
      <c r="Y135" s="3">
        <f t="shared" si="33"/>
        <v>6184.6355125014397</v>
      </c>
      <c r="AA135" s="3">
        <f t="shared" si="34"/>
        <v>19983.918325730603</v>
      </c>
      <c r="AB135" s="3">
        <f t="shared" si="35"/>
        <v>141.36448749856027</v>
      </c>
      <c r="AD135" s="3">
        <f t="shared" si="36"/>
        <v>4.6310843407647916E-5</v>
      </c>
    </row>
    <row r="136" spans="3:30" x14ac:dyDescent="0.25">
      <c r="C136" s="22">
        <v>104</v>
      </c>
      <c r="D136" s="22">
        <v>6109</v>
      </c>
      <c r="F136" s="3">
        <f t="shared" si="23"/>
        <v>1666.284543096144</v>
      </c>
      <c r="G136" s="3">
        <f t="shared" si="24"/>
        <v>245.15934612337858</v>
      </c>
      <c r="H136" s="3">
        <f t="shared" si="25"/>
        <v>0.18006290377013434</v>
      </c>
      <c r="I136" s="3">
        <f t="shared" si="26"/>
        <v>0.61696352116736453</v>
      </c>
      <c r="J136" s="3">
        <f t="shared" si="27"/>
        <v>-2.0750503422164415</v>
      </c>
      <c r="K136" s="3">
        <f t="shared" si="28"/>
        <v>4.2228513801200469</v>
      </c>
      <c r="L136" s="3" cm="1">
        <f t="array" ref="L136">lmb_2(F136)</f>
        <v>1658.8684175096741</v>
      </c>
      <c r="M136" s="3" cm="1">
        <f t="array" ref="M136">lmb_2(G136)</f>
        <v>239.68004125094134</v>
      </c>
      <c r="N136" s="3" cm="1">
        <f t="array" ref="N136">lmb_2(H136)</f>
        <v>0.63468669667693867</v>
      </c>
      <c r="O136" s="3" cm="1">
        <f t="array" ref="O136">lmb_2(I136)</f>
        <v>0.81793541789372814</v>
      </c>
      <c r="P136" s="3" cm="1">
        <f t="array" ref="P136">lmb_2(J136)</f>
        <v>0.11222239193910401</v>
      </c>
      <c r="R136" s="3">
        <f t="shared" si="29"/>
        <v>0.16198134814985923</v>
      </c>
      <c r="S136" s="3">
        <f t="shared" si="30"/>
        <v>260.22980896426446</v>
      </c>
      <c r="T136" s="3">
        <f t="shared" si="31"/>
        <v>3020.6590022423961</v>
      </c>
      <c r="U136" s="3">
        <f t="shared" si="21"/>
        <v>2673.1019558297644</v>
      </c>
      <c r="V136" s="3">
        <f t="shared" si="22"/>
        <v>0</v>
      </c>
      <c r="W136" s="3">
        <f t="shared" si="32"/>
        <v>234.43808279595845</v>
      </c>
      <c r="Y136" s="3">
        <f t="shared" si="33"/>
        <v>6192.8136825606534</v>
      </c>
      <c r="AA136" s="3">
        <f t="shared" si="34"/>
        <v>7024.7333843779816</v>
      </c>
      <c r="AB136" s="3">
        <f t="shared" si="35"/>
        <v>-83.813682560653433</v>
      </c>
      <c r="AD136" s="3">
        <f t="shared" si="36"/>
        <v>2.7457265945411243E-5</v>
      </c>
    </row>
    <row r="137" spans="3:30" x14ac:dyDescent="0.25">
      <c r="C137" s="22">
        <v>105</v>
      </c>
      <c r="D137" s="22">
        <v>6198</v>
      </c>
      <c r="F137" s="3">
        <f t="shared" si="23"/>
        <v>1698.4621187592641</v>
      </c>
      <c r="G137" s="3">
        <f t="shared" si="24"/>
        <v>249.80805523373277</v>
      </c>
      <c r="H137" s="3">
        <f t="shared" si="25"/>
        <v>0.19274421169563238</v>
      </c>
      <c r="I137" s="3">
        <f t="shared" si="26"/>
        <v>0.62091554846530927</v>
      </c>
      <c r="J137" s="3">
        <f t="shared" si="27"/>
        <v>-2.0748365669836555</v>
      </c>
      <c r="K137" s="3">
        <f t="shared" si="28"/>
        <v>3.92248543964523</v>
      </c>
      <c r="L137" s="3" cm="1">
        <f t="array" ref="L137">lmb_2(F137)</f>
        <v>1691.0268297490231</v>
      </c>
      <c r="M137" s="3" cm="1">
        <f t="array" ref="M137">lmb_2(G137)</f>
        <v>244.30961888300226</v>
      </c>
      <c r="N137" s="3" cm="1">
        <f t="array" ref="N137">lmb_2(H137)</f>
        <v>0.63962204439832593</v>
      </c>
      <c r="O137" s="3" cm="1">
        <f t="array" ref="O137">lmb_2(I137)</f>
        <v>0.81971459844710437</v>
      </c>
      <c r="P137" s="3" cm="1">
        <f t="array" ref="P137">lmb_2(J137)</f>
        <v>0.11224396356105644</v>
      </c>
      <c r="R137" s="3">
        <f t="shared" si="29"/>
        <v>0.15737974097590013</v>
      </c>
      <c r="S137" s="3">
        <f t="shared" si="30"/>
        <v>252.88892292423756</v>
      </c>
      <c r="T137" s="3">
        <f t="shared" si="31"/>
        <v>3017.0632354634845</v>
      </c>
      <c r="U137" s="3">
        <f t="shared" si="21"/>
        <v>2690.3141742873095</v>
      </c>
      <c r="V137" s="3">
        <f t="shared" si="22"/>
        <v>0</v>
      </c>
      <c r="W137" s="3">
        <f t="shared" si="32"/>
        <v>236.21152589976575</v>
      </c>
      <c r="Y137" s="3">
        <f t="shared" si="33"/>
        <v>6200.557723755418</v>
      </c>
      <c r="AA137" s="3">
        <f t="shared" si="34"/>
        <v>6.5419508090296086</v>
      </c>
      <c r="AB137" s="3">
        <f t="shared" si="35"/>
        <v>-2.5577237554180101</v>
      </c>
      <c r="AD137" s="3">
        <f t="shared" si="36"/>
        <v>8.3790735858177247E-7</v>
      </c>
    </row>
    <row r="138" spans="3:30" x14ac:dyDescent="0.25">
      <c r="C138" s="22">
        <v>106</v>
      </c>
      <c r="D138" s="22">
        <v>6285</v>
      </c>
      <c r="F138" s="3">
        <f t="shared" si="23"/>
        <v>1730.9476138067205</v>
      </c>
      <c r="G138" s="3">
        <f t="shared" si="24"/>
        <v>254.50124959873139</v>
      </c>
      <c r="H138" s="3">
        <f t="shared" si="25"/>
        <v>0.2055468718500828</v>
      </c>
      <c r="I138" s="3">
        <f t="shared" si="26"/>
        <v>0.62490539420629654</v>
      </c>
      <c r="J138" s="3">
        <f t="shared" si="27"/>
        <v>-2.0746207460548622</v>
      </c>
      <c r="K138" s="3">
        <f t="shared" si="28"/>
        <v>3.6434841388596166</v>
      </c>
      <c r="L138" s="3" cm="1">
        <f t="array" ref="L138">lmb_2(F138)</f>
        <v>1723.4933433716851</v>
      </c>
      <c r="M138" s="3" cm="1">
        <f t="array" ref="M138">lmb_2(G138)</f>
        <v>248.98386151754968</v>
      </c>
      <c r="N138" s="3" cm="1">
        <f t="array" ref="N138">lmb_2(H138)</f>
        <v>0.64462829185461101</v>
      </c>
      <c r="O138" s="3" cm="1">
        <f t="array" ref="O138">lmb_2(I138)</f>
        <v>0.82151295991704842</v>
      </c>
      <c r="P138" s="3" cm="1">
        <f t="array" ref="P138">lmb_2(J138)</f>
        <v>0.11226574539171227</v>
      </c>
      <c r="R138" s="3">
        <f t="shared" si="29"/>
        <v>0.15295088809784013</v>
      </c>
      <c r="S138" s="3">
        <f t="shared" si="30"/>
        <v>245.82064075301852</v>
      </c>
      <c r="T138" s="3">
        <f t="shared" si="31"/>
        <v>3012.9438051792768</v>
      </c>
      <c r="U138" s="3">
        <f t="shared" si="21"/>
        <v>2707.3152528419396</v>
      </c>
      <c r="V138" s="3">
        <f t="shared" si="22"/>
        <v>0</v>
      </c>
      <c r="W138" s="3">
        <f t="shared" si="32"/>
        <v>237.98496900357304</v>
      </c>
      <c r="Y138" s="3">
        <f t="shared" si="33"/>
        <v>6207.8611028047653</v>
      </c>
      <c r="AA138" s="3">
        <f t="shared" si="34"/>
        <v>5950.4094604969841</v>
      </c>
      <c r="AB138" s="3">
        <f t="shared" si="35"/>
        <v>77.138897195234676</v>
      </c>
      <c r="AD138" s="3">
        <f t="shared" si="36"/>
        <v>2.5270613941733755E-5</v>
      </c>
    </row>
    <row r="139" spans="3:30" x14ac:dyDescent="0.25">
      <c r="C139" s="22">
        <v>107</v>
      </c>
      <c r="D139" s="22">
        <v>6207</v>
      </c>
      <c r="F139" s="3">
        <f t="shared" si="23"/>
        <v>1763.7410282385126</v>
      </c>
      <c r="G139" s="3">
        <f t="shared" si="24"/>
        <v>259.23892921837466</v>
      </c>
      <c r="H139" s="3">
        <f t="shared" si="25"/>
        <v>0.21847088423348549</v>
      </c>
      <c r="I139" s="3">
        <f t="shared" si="26"/>
        <v>0.62893305839032632</v>
      </c>
      <c r="J139" s="3">
        <f t="shared" si="27"/>
        <v>-2.0744028794300613</v>
      </c>
      <c r="K139" s="3">
        <f t="shared" si="28"/>
        <v>3.384327838657895</v>
      </c>
      <c r="L139" s="3" cm="1">
        <f t="array" ref="L139">lmb_2(F139)</f>
        <v>1756.2679549519323</v>
      </c>
      <c r="M139" s="3" cm="1">
        <f t="array" ref="M139">lmb_2(G139)</f>
        <v>253.70276584978006</v>
      </c>
      <c r="N139" s="3" cm="1">
        <f t="array" ref="N139">lmb_2(H139)</f>
        <v>0.64970608283858622</v>
      </c>
      <c r="O139" s="3" cm="1">
        <f t="array" ref="O139">lmb_2(I139)</f>
        <v>0.82333056218789935</v>
      </c>
      <c r="P139" s="3" cm="1">
        <f t="array" ref="P139">lmb_2(J139)</f>
        <v>0.11228773753964143</v>
      </c>
      <c r="R139" s="3">
        <f t="shared" si="29"/>
        <v>0.14868675436391957</v>
      </c>
      <c r="S139" s="3">
        <f t="shared" si="30"/>
        <v>239.01247351087369</v>
      </c>
      <c r="T139" s="3">
        <f t="shared" si="31"/>
        <v>3008.3097734836815</v>
      </c>
      <c r="U139" s="3">
        <f t="shared" si="21"/>
        <v>2724.1045950367629</v>
      </c>
      <c r="V139" s="3">
        <f t="shared" si="22"/>
        <v>0</v>
      </c>
      <c r="W139" s="3">
        <f t="shared" si="32"/>
        <v>239.75841210738034</v>
      </c>
      <c r="Y139" s="3">
        <f t="shared" si="33"/>
        <v>6214.7182687317199</v>
      </c>
      <c r="AA139" s="3">
        <f t="shared" si="34"/>
        <v>59.571672215045808</v>
      </c>
      <c r="AB139" s="3">
        <f t="shared" si="35"/>
        <v>-7.7182687317199452</v>
      </c>
      <c r="AD139" s="3">
        <f t="shared" si="36"/>
        <v>2.5284959535291212E-6</v>
      </c>
    </row>
    <row r="140" spans="3:30" x14ac:dyDescent="0.25">
      <c r="C140" s="22">
        <v>108</v>
      </c>
      <c r="D140" s="22">
        <v>6191</v>
      </c>
      <c r="F140" s="3">
        <f t="shared" si="23"/>
        <v>1796.8423620546416</v>
      </c>
      <c r="G140" s="3">
        <f t="shared" si="24"/>
        <v>264.02109409266239</v>
      </c>
      <c r="H140" s="3">
        <f t="shared" si="25"/>
        <v>0.2315162488458401</v>
      </c>
      <c r="I140" s="3">
        <f t="shared" si="26"/>
        <v>0.63299854101739861</v>
      </c>
      <c r="J140" s="3">
        <f t="shared" si="27"/>
        <v>-2.0741829671092531</v>
      </c>
      <c r="K140" s="3">
        <f t="shared" si="28"/>
        <v>3.1436049898929252</v>
      </c>
      <c r="L140" s="3" cm="1">
        <f t="array" ref="L140">lmb_2(F140)</f>
        <v>1789.3506611598764</v>
      </c>
      <c r="M140" s="3" cm="1">
        <f t="array" ref="M140">lmb_2(G140)</f>
        <v>258.46632866381771</v>
      </c>
      <c r="N140" s="3" cm="1">
        <f t="array" ref="N140">lmb_2(H140)</f>
        <v>0.65485606477542135</v>
      </c>
      <c r="O140" s="3" cm="1">
        <f t="array" ref="O140">lmb_2(I140)</f>
        <v>0.8251674656263096</v>
      </c>
      <c r="P140" s="3" cm="1">
        <f t="array" ref="P140">lmb_2(J140)</f>
        <v>0.11230994011446767</v>
      </c>
      <c r="R140" s="3">
        <f t="shared" si="29"/>
        <v>0.1445797491335081</v>
      </c>
      <c r="S140" s="3">
        <f t="shared" si="30"/>
        <v>232.45260971206108</v>
      </c>
      <c r="T140" s="3">
        <f t="shared" si="31"/>
        <v>3003.1703058187104</v>
      </c>
      <c r="U140" s="3">
        <f t="shared" si="21"/>
        <v>2740.6816360533799</v>
      </c>
      <c r="V140" s="3">
        <f t="shared" si="22"/>
        <v>0</v>
      </c>
      <c r="W140" s="3">
        <f t="shared" si="32"/>
        <v>241.53185521118763</v>
      </c>
      <c r="Y140" s="3">
        <f t="shared" si="33"/>
        <v>6221.1245915343652</v>
      </c>
      <c r="AA140" s="3">
        <f t="shared" si="34"/>
        <v>907.49101511234801</v>
      </c>
      <c r="AB140" s="3">
        <f t="shared" si="35"/>
        <v>-30.124591534365209</v>
      </c>
      <c r="AD140" s="3">
        <f t="shared" si="36"/>
        <v>9.8687815161608521E-6</v>
      </c>
    </row>
    <row r="141" spans="3:30" x14ac:dyDescent="0.25">
      <c r="C141" s="22">
        <v>109</v>
      </c>
      <c r="D141" s="22">
        <v>6188</v>
      </c>
      <c r="F141" s="3">
        <f t="shared" si="23"/>
        <v>1830.2516152551063</v>
      </c>
      <c r="G141" s="3">
        <f t="shared" si="24"/>
        <v>268.84774422159472</v>
      </c>
      <c r="H141" s="3">
        <f t="shared" si="25"/>
        <v>0.24468296568714698</v>
      </c>
      <c r="I141" s="3">
        <f t="shared" si="26"/>
        <v>0.63710184208751353</v>
      </c>
      <c r="J141" s="3">
        <f t="shared" si="27"/>
        <v>-2.0739610090924372</v>
      </c>
      <c r="K141" s="3">
        <f t="shared" si="28"/>
        <v>2.920004445077236</v>
      </c>
      <c r="L141" s="3" cm="1">
        <f t="array" ref="L141">lmb_2(F141)</f>
        <v>1822.7414587579231</v>
      </c>
      <c r="M141" s="3" cm="1">
        <f t="array" ref="M141">lmb_2(G141)</f>
        <v>263.27454682961104</v>
      </c>
      <c r="N141" s="3" cm="1">
        <f t="array" ref="N141">lmb_2(H141)</f>
        <v>0.6600788886039437</v>
      </c>
      <c r="O141" s="3" cm="1">
        <f t="array" ref="O141">lmb_2(I141)</f>
        <v>0.82702373107853744</v>
      </c>
      <c r="P141" s="3" cm="1">
        <f t="array" ref="P141">lmb_2(J141)</f>
        <v>0.11233235322686939</v>
      </c>
      <c r="R141" s="3">
        <f t="shared" si="29"/>
        <v>0.1406226978409611</v>
      </c>
      <c r="S141" s="3">
        <f t="shared" si="30"/>
        <v>226.12987303296191</v>
      </c>
      <c r="T141" s="3">
        <f t="shared" si="31"/>
        <v>2997.5346635546407</v>
      </c>
      <c r="U141" s="3">
        <f t="shared" si="21"/>
        <v>2757.0458426548244</v>
      </c>
      <c r="V141" s="3">
        <f t="shared" si="22"/>
        <v>0</v>
      </c>
      <c r="W141" s="3">
        <f t="shared" si="32"/>
        <v>243.30529831499493</v>
      </c>
      <c r="Y141" s="3">
        <f t="shared" si="33"/>
        <v>6227.0763047003393</v>
      </c>
      <c r="AA141" s="3">
        <f t="shared" si="34"/>
        <v>1526.9575890337576</v>
      </c>
      <c r="AB141" s="3">
        <f t="shared" si="35"/>
        <v>-39.076304700339278</v>
      </c>
      <c r="AD141" s="3">
        <f t="shared" si="36"/>
        <v>1.2801352446776133E-5</v>
      </c>
    </row>
    <row r="142" spans="3:30" x14ac:dyDescent="0.25">
      <c r="C142" s="22">
        <v>110</v>
      </c>
      <c r="D142" s="22">
        <v>6341</v>
      </c>
      <c r="F142" s="3">
        <f t="shared" si="23"/>
        <v>1863.9687878399066</v>
      </c>
      <c r="G142" s="3">
        <f t="shared" si="24"/>
        <v>273.71887960517154</v>
      </c>
      <c r="H142" s="3">
        <f t="shared" si="25"/>
        <v>0.25797103475740601</v>
      </c>
      <c r="I142" s="3">
        <f t="shared" si="26"/>
        <v>0.64124296160067096</v>
      </c>
      <c r="J142" s="3">
        <f t="shared" si="27"/>
        <v>-2.0737370053796136</v>
      </c>
      <c r="K142" s="3">
        <f t="shared" si="28"/>
        <v>2.7123083169432345</v>
      </c>
      <c r="L142" s="3" cm="1">
        <f t="array" ref="L142">lmb_2(F142)</f>
        <v>1856.4403445973946</v>
      </c>
      <c r="M142" s="3" cm="1">
        <f t="array" ref="M142">lmb_2(G142)</f>
        <v>268.12741729995895</v>
      </c>
      <c r="N142" s="3" cm="1">
        <f t="array" ref="N142">lmb_2(H142)</f>
        <v>0.66537520865563526</v>
      </c>
      <c r="O142" s="3" cm="1">
        <f t="array" ref="O142">lmb_2(I142)</f>
        <v>0.82889941986770244</v>
      </c>
      <c r="P142" s="3" cm="1">
        <f t="array" ref="P142">lmb_2(J142)</f>
        <v>0.11235497698858013</v>
      </c>
      <c r="R142" s="3">
        <f t="shared" si="29"/>
        <v>0.13680881562018751</v>
      </c>
      <c r="S142" s="3">
        <f t="shared" si="30"/>
        <v>220.03368299602189</v>
      </c>
      <c r="T142" s="3">
        <f t="shared" si="31"/>
        <v>2991.4121966064922</v>
      </c>
      <c r="U142" s="3">
        <f t="shared" si="21"/>
        <v>2773.1967131214737</v>
      </c>
      <c r="V142" s="3">
        <f t="shared" si="22"/>
        <v>0</v>
      </c>
      <c r="W142" s="3">
        <f t="shared" si="32"/>
        <v>245.07874141880222</v>
      </c>
      <c r="Y142" s="3">
        <f t="shared" si="33"/>
        <v>6232.5704512753546</v>
      </c>
      <c r="AA142" s="3">
        <f t="shared" si="34"/>
        <v>11756.967036630256</v>
      </c>
      <c r="AB142" s="3">
        <f t="shared" si="35"/>
        <v>108.42954872464543</v>
      </c>
      <c r="AD142" s="3">
        <f t="shared" si="36"/>
        <v>3.5521395370249019E-5</v>
      </c>
    </row>
    <row r="143" spans="3:30" x14ac:dyDescent="0.25">
      <c r="C143" s="22">
        <v>111</v>
      </c>
      <c r="D143" s="22">
        <v>6273</v>
      </c>
      <c r="F143" s="3">
        <f t="shared" si="23"/>
        <v>1897.9938798090432</v>
      </c>
      <c r="G143" s="3">
        <f t="shared" si="24"/>
        <v>278.63450024339289</v>
      </c>
      <c r="H143" s="3">
        <f t="shared" si="25"/>
        <v>0.27138045605661698</v>
      </c>
      <c r="I143" s="3">
        <f t="shared" si="26"/>
        <v>0.6454218995568709</v>
      </c>
      <c r="J143" s="3">
        <f t="shared" si="27"/>
        <v>-2.0735109559707827</v>
      </c>
      <c r="K143" s="3">
        <f t="shared" si="28"/>
        <v>2.5193853449647201</v>
      </c>
      <c r="L143" s="3" cm="1">
        <f t="array" ref="L143">lmb_2(F143)</f>
        <v>1890.4473156153044</v>
      </c>
      <c r="M143" s="3" cm="1">
        <f t="array" ref="M143">lmb_2(G143)</f>
        <v>273.02493710766288</v>
      </c>
      <c r="N143" s="3" cm="1">
        <f t="array" ref="N143">lmb_2(H143)</f>
        <v>0.67074568253138944</v>
      </c>
      <c r="O143" s="3" cm="1">
        <f t="array" ref="O143">lmb_2(I143)</f>
        <v>0.83079459379100473</v>
      </c>
      <c r="P143" s="3" cm="1">
        <f t="array" ref="P143">lmb_2(J143)</f>
        <v>0.11237781151238947</v>
      </c>
      <c r="R143" s="3">
        <f t="shared" si="29"/>
        <v>0.13313168282339768</v>
      </c>
      <c r="S143" s="3">
        <f t="shared" si="30"/>
        <v>214.15401839723293</v>
      </c>
      <c r="T143" s="3">
        <f t="shared" si="31"/>
        <v>2984.8123360933741</v>
      </c>
      <c r="U143" s="3">
        <f t="shared" si="21"/>
        <v>2789.1337771799672</v>
      </c>
      <c r="V143" s="3">
        <f t="shared" si="22"/>
        <v>0</v>
      </c>
      <c r="W143" s="3">
        <f t="shared" si="32"/>
        <v>246.85218452260952</v>
      </c>
      <c r="Y143" s="3">
        <f t="shared" si="33"/>
        <v>6237.6048332209721</v>
      </c>
      <c r="AA143" s="3">
        <f t="shared" si="34"/>
        <v>1252.8178313152025</v>
      </c>
      <c r="AB143" s="3">
        <f t="shared" si="35"/>
        <v>35.395166779027932</v>
      </c>
      <c r="AD143" s="3">
        <f t="shared" si="36"/>
        <v>1.1595415900388976E-5</v>
      </c>
    </row>
    <row r="144" spans="3:30" x14ac:dyDescent="0.25">
      <c r="C144" s="22">
        <v>112</v>
      </c>
      <c r="D144" s="22">
        <v>6192</v>
      </c>
      <c r="F144" s="3">
        <f t="shared" si="23"/>
        <v>1932.3268911625169</v>
      </c>
      <c r="G144" s="3">
        <f t="shared" si="24"/>
        <v>283.59460613625885</v>
      </c>
      <c r="H144" s="3">
        <f t="shared" si="25"/>
        <v>0.28491122958478043</v>
      </c>
      <c r="I144" s="3">
        <f t="shared" si="26"/>
        <v>0.64963865595611336</v>
      </c>
      <c r="J144" s="3">
        <f t="shared" si="27"/>
        <v>-2.0732828608659442</v>
      </c>
      <c r="K144" s="3">
        <f t="shared" si="28"/>
        <v>2.3401847337091861</v>
      </c>
      <c r="L144" s="3" cm="1">
        <f t="array" ref="L144">lmb_2(F144)</f>
        <v>1924.7623688312738</v>
      </c>
      <c r="M144" s="3" cm="1">
        <f t="array" ref="M144">lmb_2(G144)</f>
        <v>277.9671033627975</v>
      </c>
      <c r="N144" s="3" cm="1">
        <f t="array" ref="N144">lmb_2(H144)</f>
        <v>0.67619097097607495</v>
      </c>
      <c r="O144" s="3" cm="1">
        <f t="array" ref="O144">lmb_2(I144)</f>
        <v>0.8327093151169086</v>
      </c>
      <c r="P144" s="3" cm="1">
        <f t="array" ref="P144">lmb_2(J144)</f>
        <v>0.11240085691214356</v>
      </c>
      <c r="R144" s="3">
        <f t="shared" si="29"/>
        <v>0.12958522228232081</v>
      </c>
      <c r="S144" s="3">
        <f t="shared" si="30"/>
        <v>208.48138326474731</v>
      </c>
      <c r="T144" s="3">
        <f t="shared" si="31"/>
        <v>2977.7445870471679</v>
      </c>
      <c r="U144" s="3">
        <f t="shared" si="21"/>
        <v>2804.8565959251882</v>
      </c>
      <c r="V144" s="3">
        <f t="shared" si="22"/>
        <v>0</v>
      </c>
      <c r="W144" s="3">
        <f t="shared" si="32"/>
        <v>248.62562762641682</v>
      </c>
      <c r="Y144" s="3">
        <f t="shared" si="33"/>
        <v>6242.1779638195112</v>
      </c>
      <c r="AA144" s="3">
        <f t="shared" si="34"/>
        <v>2517.8280530721754</v>
      </c>
      <c r="AB144" s="3">
        <f t="shared" si="35"/>
        <v>-50.177963819511206</v>
      </c>
      <c r="AD144" s="3">
        <f t="shared" si="36"/>
        <v>1.6438243197278756E-5</v>
      </c>
    </row>
    <row r="145" spans="3:30" x14ac:dyDescent="0.25">
      <c r="C145" s="22">
        <v>113</v>
      </c>
      <c r="D145" s="22">
        <v>6270</v>
      </c>
      <c r="F145" s="3">
        <f t="shared" si="23"/>
        <v>1966.9678219003254</v>
      </c>
      <c r="G145" s="3">
        <f t="shared" si="24"/>
        <v>288.59919728376923</v>
      </c>
      <c r="H145" s="3">
        <f t="shared" si="25"/>
        <v>0.29856335534189582</v>
      </c>
      <c r="I145" s="3">
        <f t="shared" si="26"/>
        <v>0.65389323079839834</v>
      </c>
      <c r="J145" s="3">
        <f t="shared" si="27"/>
        <v>-2.0730527200650983</v>
      </c>
      <c r="K145" s="3">
        <f t="shared" si="28"/>
        <v>2.1737304294600523</v>
      </c>
      <c r="L145" s="3" cm="1">
        <f t="array" ref="L145">lmb_2(F145)</f>
        <v>1959.3855013445843</v>
      </c>
      <c r="M145" s="3" cm="1">
        <f t="array" ref="M145">lmb_2(G145)</f>
        <v>282.95391325009399</v>
      </c>
      <c r="N145" s="3" cm="1">
        <f t="array" ref="N145">lmb_2(H145)</f>
        <v>0.68171173775095117</v>
      </c>
      <c r="O145" s="3" cm="1">
        <f t="array" ref="O145">lmb_2(I145)</f>
        <v>0.83464364658228773</v>
      </c>
      <c r="P145" s="3" cm="1">
        <f t="array" ref="P145">lmb_2(J145)</f>
        <v>0.11242411330274608</v>
      </c>
      <c r="R145" s="3">
        <f t="shared" si="29"/>
        <v>0.12616367817356833</v>
      </c>
      <c r="S145" s="3">
        <f t="shared" si="30"/>
        <v>203.00677515423072</v>
      </c>
      <c r="T145" s="3">
        <f t="shared" si="31"/>
        <v>2970.2185211768456</v>
      </c>
      <c r="U145" s="3">
        <f t="shared" si="21"/>
        <v>2820.3647617353854</v>
      </c>
      <c r="V145" s="3">
        <f t="shared" si="22"/>
        <v>0</v>
      </c>
      <c r="W145" s="3">
        <f t="shared" si="32"/>
        <v>250.39907073022408</v>
      </c>
      <c r="Y145" s="3">
        <f t="shared" si="33"/>
        <v>6246.2890229043187</v>
      </c>
      <c r="AA145" s="3">
        <f t="shared" si="34"/>
        <v>562.21043483192329</v>
      </c>
      <c r="AB145" s="3">
        <f t="shared" si="35"/>
        <v>23.710977095681301</v>
      </c>
      <c r="AD145" s="3">
        <f t="shared" si="36"/>
        <v>7.7676888074991708E-6</v>
      </c>
    </row>
    <row r="146" spans="3:30" x14ac:dyDescent="0.25">
      <c r="C146" s="22">
        <v>114</v>
      </c>
      <c r="D146" s="22">
        <v>6142</v>
      </c>
      <c r="F146" s="3">
        <f t="shared" si="23"/>
        <v>2001.9166720224703</v>
      </c>
      <c r="G146" s="3">
        <f t="shared" si="24"/>
        <v>293.64827368592421</v>
      </c>
      <c r="H146" s="3">
        <f t="shared" si="25"/>
        <v>0.31233683332796314</v>
      </c>
      <c r="I146" s="3">
        <f t="shared" si="26"/>
        <v>0.65818562408372594</v>
      </c>
      <c r="J146" s="3">
        <f t="shared" si="27"/>
        <v>-2.0728205335682448</v>
      </c>
      <c r="K146" s="3">
        <f t="shared" si="28"/>
        <v>2.0191158039354078</v>
      </c>
      <c r="L146" s="3" cm="1">
        <f t="array" ref="L146">lmb_2(F146)</f>
        <v>1994.3167103313715</v>
      </c>
      <c r="M146" s="3" cm="1">
        <f t="array" ref="M146">lmb_2(G146)</f>
        <v>287.98536402643225</v>
      </c>
      <c r="N146" s="3" cm="1">
        <f t="array" ref="N146">lmb_2(H146)</f>
        <v>0.68730864950399206</v>
      </c>
      <c r="O146" s="3" cm="1">
        <f t="array" ref="O146">lmb_2(I146)</f>
        <v>0.83659765138953657</v>
      </c>
      <c r="P146" s="3" cm="1">
        <f t="array" ref="P146">lmb_2(J146)</f>
        <v>0.11244758080015874</v>
      </c>
      <c r="R146" s="3">
        <f t="shared" si="29"/>
        <v>0.12286159636191143</v>
      </c>
      <c r="S146" s="3">
        <f t="shared" si="30"/>
        <v>197.72165560291805</v>
      </c>
      <c r="T146" s="3">
        <f t="shared" si="31"/>
        <v>2962.2437696946122</v>
      </c>
      <c r="U146" s="3">
        <f t="shared" si="21"/>
        <v>2835.657898180455</v>
      </c>
      <c r="V146" s="3">
        <f t="shared" si="22"/>
        <v>0</v>
      </c>
      <c r="W146" s="3">
        <f t="shared" si="32"/>
        <v>252.17251383403138</v>
      </c>
      <c r="Y146" s="3">
        <f t="shared" si="33"/>
        <v>6249.9378147123143</v>
      </c>
      <c r="AA146" s="3">
        <f t="shared" si="34"/>
        <v>11650.571844869897</v>
      </c>
      <c r="AB146" s="3">
        <f t="shared" si="35"/>
        <v>-107.93781471231432</v>
      </c>
      <c r="AD146" s="3">
        <f t="shared" si="36"/>
        <v>3.5360303873747739E-5</v>
      </c>
    </row>
    <row r="147" spans="3:30" x14ac:dyDescent="0.25">
      <c r="C147" s="22">
        <v>115</v>
      </c>
      <c r="D147" s="22">
        <v>6141</v>
      </c>
      <c r="F147" s="3">
        <f t="shared" si="23"/>
        <v>2037.173441528952</v>
      </c>
      <c r="G147" s="3">
        <f t="shared" si="24"/>
        <v>298.74183534272379</v>
      </c>
      <c r="H147" s="3">
        <f t="shared" si="25"/>
        <v>0.32623166354298305</v>
      </c>
      <c r="I147" s="3">
        <f t="shared" si="26"/>
        <v>0.66251583581209605</v>
      </c>
      <c r="J147" s="3">
        <f t="shared" si="27"/>
        <v>-2.072586301375384</v>
      </c>
      <c r="K147" s="3">
        <f t="shared" si="28"/>
        <v>1.8754987161468744</v>
      </c>
      <c r="L147" s="3" cm="1">
        <f t="array" ref="L147">lmb_2(F147)</f>
        <v>2029.5559930419279</v>
      </c>
      <c r="M147" s="3" cm="1">
        <f t="array" ref="M147">lmb_2(G147)</f>
        <v>293.06145301843424</v>
      </c>
      <c r="N147" s="3" cm="1">
        <f t="array" ref="N147">lmb_2(H147)</f>
        <v>0.692982375638169</v>
      </c>
      <c r="O147" s="3" cm="1">
        <f t="array" ref="O147">lmb_2(I147)</f>
        <v>0.83857139320364171</v>
      </c>
      <c r="P147" s="3" cm="1">
        <f t="array" ref="P147">lmb_2(J147)</f>
        <v>0.11247125952140219</v>
      </c>
      <c r="R147" s="3">
        <f t="shared" si="29"/>
        <v>0.11967380610619131</v>
      </c>
      <c r="S147" s="3">
        <f t="shared" si="30"/>
        <v>192.61792257920612</v>
      </c>
      <c r="T147" s="3">
        <f t="shared" si="31"/>
        <v>2953.8300162098817</v>
      </c>
      <c r="U147" s="3">
        <f t="shared" si="21"/>
        <v>2850.7356599234859</v>
      </c>
      <c r="V147" s="3">
        <f t="shared" si="22"/>
        <v>0</v>
      </c>
      <c r="W147" s="3">
        <f t="shared" si="32"/>
        <v>253.94595693783867</v>
      </c>
      <c r="Y147" s="3">
        <f t="shared" si="33"/>
        <v>6253.1247281726655</v>
      </c>
      <c r="AA147" s="3">
        <f t="shared" si="34"/>
        <v>12571.954667794134</v>
      </c>
      <c r="AB147" s="3">
        <f t="shared" si="35"/>
        <v>-112.12472817266553</v>
      </c>
      <c r="AD147" s="3">
        <f t="shared" si="36"/>
        <v>3.6731931904625527E-5</v>
      </c>
    </row>
    <row r="148" spans="3:30" x14ac:dyDescent="0.25">
      <c r="C148" s="22">
        <v>116</v>
      </c>
      <c r="D148" s="22">
        <v>6275</v>
      </c>
      <c r="F148" s="3">
        <f t="shared" si="23"/>
        <v>2072.7381304197693</v>
      </c>
      <c r="G148" s="3">
        <f t="shared" si="24"/>
        <v>303.8798822541678</v>
      </c>
      <c r="H148" s="3">
        <f t="shared" si="25"/>
        <v>0.34024784598695479</v>
      </c>
      <c r="I148" s="3">
        <f t="shared" si="26"/>
        <v>0.66688386598350857</v>
      </c>
      <c r="J148" s="3">
        <f t="shared" si="27"/>
        <v>-2.0723500234865151</v>
      </c>
      <c r="K148" s="3">
        <f t="shared" si="28"/>
        <v>1.7420969255020995</v>
      </c>
      <c r="L148" s="3" cm="1">
        <f t="array" ref="L148">lmb_2(F148)</f>
        <v>2065.1033467981283</v>
      </c>
      <c r="M148" s="3" cm="1">
        <f t="array" ref="M148">lmb_2(G148)</f>
        <v>298.18217762015524</v>
      </c>
      <c r="N148" s="3" cm="1">
        <f t="array" ref="N148">lmb_2(H148)</f>
        <v>0.69873358817775533</v>
      </c>
      <c r="O148" s="3" cm="1">
        <f t="array" ref="O148">lmb_2(I148)</f>
        <v>0.84056493614921923</v>
      </c>
      <c r="P148" s="3" cm="1">
        <f t="array" ref="P148">lmb_2(J148)</f>
        <v>0.11249514958455678</v>
      </c>
      <c r="R148" s="3">
        <f t="shared" si="29"/>
        <v>0.11659540302248121</v>
      </c>
      <c r="S148" s="3">
        <f t="shared" si="30"/>
        <v>187.68788477813351</v>
      </c>
      <c r="T148" s="3">
        <f t="shared" si="31"/>
        <v>2944.9869896969644</v>
      </c>
      <c r="U148" s="3">
        <f t="shared" si="21"/>
        <v>2865.5977326155999</v>
      </c>
      <c r="V148" s="3">
        <f t="shared" si="22"/>
        <v>0</v>
      </c>
      <c r="W148" s="3">
        <f t="shared" si="32"/>
        <v>255.71940004164597</v>
      </c>
      <c r="Y148" s="3">
        <f t="shared" si="33"/>
        <v>6255.8506994608679</v>
      </c>
      <c r="AA148" s="3">
        <f t="shared" si="34"/>
        <v>366.695711138006</v>
      </c>
      <c r="AB148" s="3">
        <f t="shared" si="35"/>
        <v>19.149300539132128</v>
      </c>
      <c r="AD148" s="3">
        <f t="shared" si="36"/>
        <v>6.2732888176230801E-6</v>
      </c>
    </row>
    <row r="149" spans="3:30" x14ac:dyDescent="0.25">
      <c r="C149" s="22">
        <v>117</v>
      </c>
      <c r="D149" s="22">
        <v>6310</v>
      </c>
      <c r="F149" s="3">
        <f t="shared" si="23"/>
        <v>2108.6107386949225</v>
      </c>
      <c r="G149" s="3">
        <f t="shared" si="24"/>
        <v>309.0624144202564</v>
      </c>
      <c r="H149" s="3">
        <f t="shared" si="25"/>
        <v>0.35438538065987857</v>
      </c>
      <c r="I149" s="3">
        <f t="shared" si="26"/>
        <v>0.67128971459796372</v>
      </c>
      <c r="J149" s="3">
        <f t="shared" si="27"/>
        <v>-2.0721116999016393</v>
      </c>
      <c r="K149" s="3">
        <f t="shared" si="28"/>
        <v>1.6181838311672845</v>
      </c>
      <c r="L149" s="3" cm="1">
        <f t="array" ref="L149">lmb_2(F149)</f>
        <v>2100.9587689909704</v>
      </c>
      <c r="M149" s="3" cm="1">
        <f t="array" ref="M149">lmb_2(G149)</f>
        <v>303.34753529086942</v>
      </c>
      <c r="N149" s="3" cm="1">
        <f t="array" ref="N149">lmb_2(H149)</f>
        <v>0.70456296163271048</v>
      </c>
      <c r="O149" s="3" cm="1">
        <f t="array" ref="O149">lmb_2(I149)</f>
        <v>0.84257834480751392</v>
      </c>
      <c r="P149" s="3" cm="1">
        <f t="array" ref="P149">lmb_2(J149)</f>
        <v>0.11251925110876303</v>
      </c>
      <c r="R149" s="3">
        <f t="shared" si="29"/>
        <v>0.11362173320810355</v>
      </c>
      <c r="S149" s="3">
        <f t="shared" si="30"/>
        <v>182.92423762540085</v>
      </c>
      <c r="T149" s="3">
        <f t="shared" si="31"/>
        <v>2935.7244575421732</v>
      </c>
      <c r="U149" s="3">
        <f t="shared" si="21"/>
        <v>2880.2438327841614</v>
      </c>
      <c r="V149" s="3">
        <f t="shared" si="22"/>
        <v>0</v>
      </c>
      <c r="W149" s="3">
        <f t="shared" si="32"/>
        <v>257.49284314545326</v>
      </c>
      <c r="Y149" s="3">
        <f t="shared" si="33"/>
        <v>6258.1171766615644</v>
      </c>
      <c r="AA149" s="3">
        <f t="shared" si="34"/>
        <v>2691.8273575673206</v>
      </c>
      <c r="AB149" s="3">
        <f t="shared" si="35"/>
        <v>51.882823338435628</v>
      </c>
      <c r="AD149" s="3">
        <f t="shared" si="36"/>
        <v>1.6996753213549648E-5</v>
      </c>
    </row>
    <row r="150" spans="3:30" x14ac:dyDescent="0.25">
      <c r="C150" s="22">
        <v>118</v>
      </c>
      <c r="D150" s="22">
        <v>6203</v>
      </c>
      <c r="F150" s="3">
        <f t="shared" si="23"/>
        <v>2144.7912663544112</v>
      </c>
      <c r="G150" s="3">
        <f t="shared" si="24"/>
        <v>314.28943184098955</v>
      </c>
      <c r="H150" s="3">
        <f t="shared" si="25"/>
        <v>0.36864426756175472</v>
      </c>
      <c r="I150" s="3">
        <f t="shared" si="26"/>
        <v>0.67573338165546137</v>
      </c>
      <c r="J150" s="3">
        <f t="shared" si="27"/>
        <v>-2.0718713306207555</v>
      </c>
      <c r="K150" s="3">
        <f t="shared" si="28"/>
        <v>1.5030845144833307</v>
      </c>
      <c r="L150" s="3" cm="1">
        <f t="array" ref="L150">lmb_2(F150)</f>
        <v>2137.1222570782124</v>
      </c>
      <c r="M150" s="3" cm="1">
        <f t="array" ref="M150">lmb_2(G150)</f>
        <v>308.55752355294192</v>
      </c>
      <c r="N150" s="3" cm="1">
        <f t="array" ref="N150">lmb_2(H150)</f>
        <v>0.71047117286121264</v>
      </c>
      <c r="O150" s="3" cm="1">
        <f t="array" ref="O150">lmb_2(I150)</f>
        <v>0.84461168421336175</v>
      </c>
      <c r="P150" s="3" cm="1">
        <f t="array" ref="P150">lmb_2(J150)</f>
        <v>0.11254356421422286</v>
      </c>
      <c r="R150" s="3">
        <f t="shared" si="29"/>
        <v>0.11074837843824827</v>
      </c>
      <c r="S150" s="3">
        <f t="shared" si="30"/>
        <v>178.32004086379825</v>
      </c>
      <c r="T150" s="3">
        <f t="shared" si="31"/>
        <v>2926.0522186758831</v>
      </c>
      <c r="U150" s="3">
        <f t="shared" si="21"/>
        <v>2894.6737077144271</v>
      </c>
      <c r="V150" s="3">
        <f t="shared" si="22"/>
        <v>0</v>
      </c>
      <c r="W150" s="3">
        <f t="shared" si="32"/>
        <v>259.26628624926059</v>
      </c>
      <c r="Y150" s="3">
        <f t="shared" si="33"/>
        <v>6259.9260863962909</v>
      </c>
      <c r="AA150" s="3">
        <f t="shared" si="34"/>
        <v>3240.5793123979743</v>
      </c>
      <c r="AB150" s="3">
        <f t="shared" si="35"/>
        <v>-56.926086396290884</v>
      </c>
      <c r="AD150" s="3">
        <f t="shared" si="36"/>
        <v>1.8648920386994031E-5</v>
      </c>
    </row>
    <row r="151" spans="3:30" x14ac:dyDescent="0.25">
      <c r="C151" s="22">
        <v>119</v>
      </c>
      <c r="D151" s="22">
        <v>6197</v>
      </c>
      <c r="F151" s="3">
        <f t="shared" si="23"/>
        <v>2181.2797133982376</v>
      </c>
      <c r="G151" s="3">
        <f t="shared" si="24"/>
        <v>319.56093451636713</v>
      </c>
      <c r="H151" s="3">
        <f t="shared" si="25"/>
        <v>0.38302450669258292</v>
      </c>
      <c r="I151" s="3">
        <f t="shared" si="26"/>
        <v>0.68021486715600155</v>
      </c>
      <c r="J151" s="3">
        <f t="shared" si="27"/>
        <v>-2.0716289156438648</v>
      </c>
      <c r="K151" s="3">
        <f t="shared" si="28"/>
        <v>1.3961720628798173</v>
      </c>
      <c r="L151" s="3" cm="1">
        <f t="array" ref="L151">lmb_2(F151)</f>
        <v>2173.5938085821194</v>
      </c>
      <c r="M151" s="3" cm="1">
        <f t="array" ref="M151">lmb_2(G151)</f>
        <v>313.81213998978723</v>
      </c>
      <c r="N151" s="3" cm="1">
        <f t="array" ref="N151">lmb_2(H151)</f>
        <v>0.7164589009304031</v>
      </c>
      <c r="O151" s="3" cm="1">
        <f t="array" ref="O151">lmb_2(I151)</f>
        <v>0.84666501985211484</v>
      </c>
      <c r="P151" s="3" cm="1">
        <f t="array" ref="P151">lmb_2(J151)</f>
        <v>0.11256808902219992</v>
      </c>
      <c r="R151" s="3">
        <f t="shared" si="29"/>
        <v>0.10797114235433244</v>
      </c>
      <c r="S151" s="3">
        <f t="shared" si="30"/>
        <v>173.8686976061108</v>
      </c>
      <c r="T151" s="3">
        <f t="shared" si="31"/>
        <v>2915.9800967949373</v>
      </c>
      <c r="U151" s="3">
        <f t="shared" si="21"/>
        <v>2908.887135324705</v>
      </c>
      <c r="V151" s="3">
        <f t="shared" si="22"/>
        <v>0</v>
      </c>
      <c r="W151" s="3">
        <f t="shared" si="32"/>
        <v>261.03972935306786</v>
      </c>
      <c r="Y151" s="3">
        <f t="shared" si="33"/>
        <v>6261.2798022840543</v>
      </c>
      <c r="AA151" s="3">
        <f t="shared" si="34"/>
        <v>4131.8929816771142</v>
      </c>
      <c r="AB151" s="3">
        <f t="shared" si="35"/>
        <v>-64.279802284054313</v>
      </c>
      <c r="AD151" s="3">
        <f t="shared" si="36"/>
        <v>2.1057989248408133E-5</v>
      </c>
    </row>
    <row r="152" spans="3:30" x14ac:dyDescent="0.25">
      <c r="C152" s="22">
        <v>120</v>
      </c>
      <c r="D152" s="22">
        <v>6241</v>
      </c>
      <c r="F152" s="3">
        <f t="shared" si="23"/>
        <v>2218.0760798263987</v>
      </c>
      <c r="G152" s="3">
        <f t="shared" si="24"/>
        <v>324.87692244638941</v>
      </c>
      <c r="H152" s="3">
        <f t="shared" si="25"/>
        <v>0.39752609805236339</v>
      </c>
      <c r="I152" s="3">
        <f t="shared" si="26"/>
        <v>0.68473417109958445</v>
      </c>
      <c r="J152" s="3">
        <f t="shared" si="27"/>
        <v>-2.0713844549709659</v>
      </c>
      <c r="K152" s="3">
        <f t="shared" si="28"/>
        <v>1.2968641552641709</v>
      </c>
      <c r="L152" s="3" cm="1">
        <f t="array" ref="L152">lmb_2(F152)</f>
        <v>2210.3734210872904</v>
      </c>
      <c r="M152" s="3" cm="1">
        <f t="array" ref="M152">lmb_2(G152)</f>
        <v>319.11138224390777</v>
      </c>
      <c r="N152" s="3" cm="1">
        <f t="array" ref="N152">lmb_2(H152)</f>
        <v>0.72252682697541826</v>
      </c>
      <c r="O152" s="3" cm="1">
        <f t="array" ref="O152">lmb_2(I152)</f>
        <v>0.8487384176565308</v>
      </c>
      <c r="P152" s="3" cm="1">
        <f t="array" ref="P152">lmb_2(J152)</f>
        <v>0.11259282565502067</v>
      </c>
      <c r="R152" s="3">
        <f t="shared" si="29"/>
        <v>0.10528603756996091</v>
      </c>
      <c r="S152" s="3">
        <f t="shared" si="30"/>
        <v>169.56393474789655</v>
      </c>
      <c r="T152" s="3">
        <f t="shared" si="31"/>
        <v>2905.5179336805563</v>
      </c>
      <c r="U152" s="3">
        <f t="shared" si="21"/>
        <v>2922.8839240350712</v>
      </c>
      <c r="V152" s="3">
        <f t="shared" si="22"/>
        <v>0</v>
      </c>
      <c r="W152" s="3">
        <f t="shared" si="32"/>
        <v>262.81317245687512</v>
      </c>
      <c r="Y152" s="3">
        <f t="shared" si="33"/>
        <v>6262.1811151132333</v>
      </c>
      <c r="AA152" s="3">
        <f t="shared" si="34"/>
        <v>448.63963744004087</v>
      </c>
      <c r="AB152" s="3">
        <f t="shared" si="35"/>
        <v>-21.181115113233318</v>
      </c>
      <c r="AD152" s="3">
        <f t="shared" si="36"/>
        <v>6.9389089336761685E-6</v>
      </c>
    </row>
    <row r="153" spans="3:30" x14ac:dyDescent="0.25">
      <c r="C153" s="22">
        <v>121</v>
      </c>
      <c r="D153" s="22">
        <v>6423</v>
      </c>
      <c r="F153" s="3">
        <f t="shared" si="23"/>
        <v>2255.1803656388961</v>
      </c>
      <c r="G153" s="3">
        <f t="shared" si="24"/>
        <v>330.23739563105613</v>
      </c>
      <c r="H153" s="3">
        <f t="shared" si="25"/>
        <v>0.41214904164109578</v>
      </c>
      <c r="I153" s="3">
        <f t="shared" si="26"/>
        <v>0.68929129348620966</v>
      </c>
      <c r="J153" s="3">
        <f t="shared" si="27"/>
        <v>-2.0711379486020598</v>
      </c>
      <c r="K153" s="3">
        <f t="shared" si="28"/>
        <v>1.2046198902877125</v>
      </c>
      <c r="L153" s="3" cm="1">
        <f t="array" ref="L153">lmb_2(F153)</f>
        <v>2247.4610922385932</v>
      </c>
      <c r="M153" s="3" cm="1">
        <f t="array" ref="M153">lmb_2(G153)</f>
        <v>324.45524801500801</v>
      </c>
      <c r="N153" s="3" cm="1">
        <f t="array" ref="N153">lmb_2(H153)</f>
        <v>0.72867563405677915</v>
      </c>
      <c r="O153" s="3" cm="1">
        <f t="array" ref="O153">lmb_2(I153)</f>
        <v>0.85083194400362328</v>
      </c>
      <c r="P153" s="3" cm="1">
        <f t="array" ref="P153">lmb_2(J153)</f>
        <v>0.11261777423607494</v>
      </c>
      <c r="R153" s="3">
        <f t="shared" si="29"/>
        <v>0.10268927362645211</v>
      </c>
      <c r="S153" s="3">
        <f t="shared" si="30"/>
        <v>165.39978464203321</v>
      </c>
      <c r="T153" s="3">
        <f t="shared" si="31"/>
        <v>2894.6755826168014</v>
      </c>
      <c r="U153" s="3">
        <f t="shared" si="21"/>
        <v>2936.663912629755</v>
      </c>
      <c r="V153" s="3">
        <f t="shared" si="22"/>
        <v>0</v>
      </c>
      <c r="W153" s="3">
        <f t="shared" si="32"/>
        <v>264.58661556068245</v>
      </c>
      <c r="Y153" s="3">
        <f t="shared" si="33"/>
        <v>6262.6332046131874</v>
      </c>
      <c r="AA153" s="3">
        <f t="shared" si="34"/>
        <v>25717.509062635803</v>
      </c>
      <c r="AB153" s="3">
        <f t="shared" si="35"/>
        <v>160.36679538681256</v>
      </c>
      <c r="AD153" s="3">
        <f t="shared" si="36"/>
        <v>5.2535977602017117E-5</v>
      </c>
    </row>
    <row r="154" spans="3:30" x14ac:dyDescent="0.25">
      <c r="C154" s="22">
        <v>122</v>
      </c>
      <c r="D154" s="22">
        <v>6251</v>
      </c>
      <c r="F154" s="3">
        <f t="shared" si="23"/>
        <v>2292.5925708357295</v>
      </c>
      <c r="G154" s="3">
        <f t="shared" si="24"/>
        <v>335.6423540703675</v>
      </c>
      <c r="H154" s="3">
        <f t="shared" si="25"/>
        <v>0.42689333745878022</v>
      </c>
      <c r="I154" s="3">
        <f t="shared" si="26"/>
        <v>0.69388623431587759</v>
      </c>
      <c r="J154" s="3">
        <f t="shared" si="27"/>
        <v>-2.070889396537146</v>
      </c>
      <c r="K154" s="3">
        <f t="shared" si="28"/>
        <v>1.1189368402129884</v>
      </c>
      <c r="L154" s="3" cm="1">
        <f t="array" ref="L154">lmb_2(F154)</f>
        <v>2284.8568197391724</v>
      </c>
      <c r="M154" s="3" cm="1">
        <f t="array" ref="M154">lmb_2(G154)</f>
        <v>329.84373505818451</v>
      </c>
      <c r="N154" s="3" cm="1">
        <f t="array" ref="N154">lmb_2(H154)</f>
        <v>0.73490600701621822</v>
      </c>
      <c r="O154" s="3" cm="1">
        <f t="array" ref="O154">lmb_2(I154)</f>
        <v>0.85294566571147712</v>
      </c>
      <c r="P154" s="3" cm="1">
        <f t="array" ref="P154">lmb_2(J154)</f>
        <v>0.1126429348898169</v>
      </c>
      <c r="R154" s="3">
        <f t="shared" si="29"/>
        <v>0.10017724573546012</v>
      </c>
      <c r="S154" s="3">
        <f t="shared" si="30"/>
        <v>161.37056794469072</v>
      </c>
      <c r="T154" s="3">
        <f t="shared" si="31"/>
        <v>2883.4629019143945</v>
      </c>
      <c r="U154" s="3">
        <f t="shared" si="21"/>
        <v>2950.2269701132245</v>
      </c>
      <c r="V154" s="3">
        <f t="shared" si="22"/>
        <v>0</v>
      </c>
      <c r="W154" s="3">
        <f t="shared" si="32"/>
        <v>266.36005866448977</v>
      </c>
      <c r="Y154" s="3">
        <f t="shared" si="33"/>
        <v>6262.6396127227481</v>
      </c>
      <c r="AA154" s="3">
        <f t="shared" si="34"/>
        <v>135.48058433555937</v>
      </c>
      <c r="AB154" s="3">
        <f t="shared" si="35"/>
        <v>-11.639612722748097</v>
      </c>
      <c r="AD154" s="3">
        <f t="shared" si="36"/>
        <v>3.8131237319015037E-6</v>
      </c>
    </row>
    <row r="155" spans="3:30" x14ac:dyDescent="0.25">
      <c r="C155" s="22">
        <v>123</v>
      </c>
      <c r="D155" s="22">
        <v>6340</v>
      </c>
      <c r="F155" s="3">
        <f t="shared" si="23"/>
        <v>2330.3126954168997</v>
      </c>
      <c r="G155" s="3">
        <f t="shared" si="24"/>
        <v>341.09179776432325</v>
      </c>
      <c r="H155" s="3">
        <f t="shared" si="25"/>
        <v>0.44175898550541715</v>
      </c>
      <c r="I155" s="3">
        <f t="shared" si="26"/>
        <v>0.69851899358858782</v>
      </c>
      <c r="J155" s="3">
        <f t="shared" si="27"/>
        <v>-2.0706387987762249</v>
      </c>
      <c r="K155" s="3">
        <f t="shared" si="28"/>
        <v>1.0393483143357327</v>
      </c>
      <c r="L155" s="3" cm="1">
        <f t="array" ref="L155">lmb_2(F155)</f>
        <v>2322.5606013485421</v>
      </c>
      <c r="M155" s="3" cm="1">
        <f t="array" ref="M155">lmb_2(G155)</f>
        <v>335.27684118218309</v>
      </c>
      <c r="N155" s="3" cm="1">
        <f t="array" ref="N155">lmb_2(H155)</f>
        <v>0.7412186323310227</v>
      </c>
      <c r="O155" s="3" cm="1">
        <f t="array" ref="O155">lmb_2(I155)</f>
        <v>0.85507965003602471</v>
      </c>
      <c r="P155" s="3" cm="1">
        <f t="array" ref="P155">lmb_2(J155)</f>
        <v>0.11266830774176571</v>
      </c>
      <c r="R155" s="3">
        <f t="shared" si="29"/>
        <v>9.7746524251281192E-2</v>
      </c>
      <c r="S155" s="3">
        <f t="shared" si="30"/>
        <v>157.47087754949649</v>
      </c>
      <c r="T155" s="3">
        <f t="shared" si="31"/>
        <v>2871.8897485445236</v>
      </c>
      <c r="U155" s="3">
        <f t="shared" si="21"/>
        <v>2963.5729955600818</v>
      </c>
      <c r="V155" s="3">
        <f t="shared" si="22"/>
        <v>0</v>
      </c>
      <c r="W155" s="3">
        <f t="shared" si="32"/>
        <v>268.13350176829704</v>
      </c>
      <c r="Y155" s="3">
        <f t="shared" si="33"/>
        <v>6262.2042182609866</v>
      </c>
      <c r="AA155" s="3">
        <f t="shared" si="34"/>
        <v>6052.1836563842053</v>
      </c>
      <c r="AB155" s="3">
        <f t="shared" si="35"/>
        <v>77.795781739013364</v>
      </c>
      <c r="AD155" s="3">
        <f t="shared" si="36"/>
        <v>2.5485808562264947E-5</v>
      </c>
    </row>
    <row r="156" spans="3:30" x14ac:dyDescent="0.25">
      <c r="C156" s="22">
        <v>124</v>
      </c>
      <c r="D156" s="22">
        <v>6289</v>
      </c>
      <c r="F156" s="3">
        <f t="shared" si="23"/>
        <v>2368.3407393824054</v>
      </c>
      <c r="G156" s="3">
        <f t="shared" si="24"/>
        <v>346.58572671292364</v>
      </c>
      <c r="H156" s="3">
        <f t="shared" si="25"/>
        <v>0.456745985781006</v>
      </c>
      <c r="I156" s="3">
        <f t="shared" si="26"/>
        <v>0.70318957130434079</v>
      </c>
      <c r="J156" s="3">
        <f t="shared" si="27"/>
        <v>-2.0703861553192962</v>
      </c>
      <c r="K156" s="3">
        <f t="shared" si="28"/>
        <v>0.96542081705603999</v>
      </c>
      <c r="L156" s="3" cm="1">
        <f t="array" ref="L156">lmb_2(F156)</f>
        <v>2360.5724348807548</v>
      </c>
      <c r="M156" s="3" cm="1">
        <f t="array" ref="M156">lmb_2(G156)</f>
        <v>340.75456424772585</v>
      </c>
      <c r="N156" s="3" cm="1">
        <f t="array" ref="N156">lmb_2(H156)</f>
        <v>0.7476141979669737</v>
      </c>
      <c r="O156" s="3" cm="1">
        <f t="array" ref="O156">lmb_2(I156)</f>
        <v>0.85723396466778712</v>
      </c>
      <c r="P156" s="3" cm="1">
        <f t="array" ref="P156">lmb_2(J156)</f>
        <v>0.11269389291850644</v>
      </c>
      <c r="R156" s="3">
        <f t="shared" si="29"/>
        <v>9.539384482005353E-2</v>
      </c>
      <c r="S156" s="3">
        <f t="shared" si="30"/>
        <v>153.69556353314024</v>
      </c>
      <c r="T156" s="3">
        <f t="shared" si="31"/>
        <v>2859.965971887108</v>
      </c>
      <c r="U156" s="3">
        <f t="shared" si="21"/>
        <v>2976.7019179588128</v>
      </c>
      <c r="V156" s="3">
        <f t="shared" si="22"/>
        <v>0</v>
      </c>
      <c r="W156" s="3">
        <f t="shared" si="32"/>
        <v>269.9069448721043</v>
      </c>
      <c r="Y156" s="3">
        <f t="shared" si="33"/>
        <v>6261.3312129130409</v>
      </c>
      <c r="AA156" s="3">
        <f t="shared" si="34"/>
        <v>765.56177886347621</v>
      </c>
      <c r="AB156" s="3">
        <f t="shared" si="35"/>
        <v>27.668787086959128</v>
      </c>
      <c r="AD156" s="3">
        <f t="shared" si="36"/>
        <v>9.0642628055845013E-6</v>
      </c>
    </row>
    <row r="157" spans="3:30" x14ac:dyDescent="0.25">
      <c r="C157" s="22">
        <v>125</v>
      </c>
      <c r="D157" s="22">
        <v>6190</v>
      </c>
      <c r="F157" s="3">
        <f t="shared" si="23"/>
        <v>2406.6767027322471</v>
      </c>
      <c r="G157" s="3">
        <f t="shared" si="24"/>
        <v>352.12414091616853</v>
      </c>
      <c r="H157" s="3">
        <f t="shared" si="25"/>
        <v>0.4718543382855469</v>
      </c>
      <c r="I157" s="3">
        <f t="shared" si="26"/>
        <v>0.70789796746313616</v>
      </c>
      <c r="J157" s="3">
        <f t="shared" si="27"/>
        <v>-2.0701314661663601</v>
      </c>
      <c r="K157" s="3">
        <f t="shared" si="28"/>
        <v>0.89675168675367145</v>
      </c>
      <c r="L157" s="3" cm="1">
        <f t="array" ref="L157">lmb_2(F157)</f>
        <v>2398.8923182026479</v>
      </c>
      <c r="M157" s="3" cm="1">
        <f t="array" ref="M157">lmb_2(G157)</f>
        <v>346.27690216589917</v>
      </c>
      <c r="N157" s="3" cm="1">
        <f t="array" ref="N157">lmb_2(H157)</f>
        <v>0.75409339322997304</v>
      </c>
      <c r="O157" s="3" cm="1">
        <f t="array" ref="O157">lmb_2(I157)</f>
        <v>0.85940867772857588</v>
      </c>
      <c r="P157" s="3" cm="1">
        <f t="array" ref="P157">lmb_2(J157)</f>
        <v>0.11271969054769077</v>
      </c>
      <c r="R157" s="3">
        <f t="shared" si="29"/>
        <v>9.3116099157266832E-2</v>
      </c>
      <c r="S157" s="3">
        <f t="shared" si="30"/>
        <v>150.03971904161941</v>
      </c>
      <c r="T157" s="3">
        <f t="shared" si="31"/>
        <v>2847.7014075977208</v>
      </c>
      <c r="U157" s="3">
        <f t="shared" si="21"/>
        <v>2989.6136960495096</v>
      </c>
      <c r="V157" s="3">
        <f t="shared" si="22"/>
        <v>0</v>
      </c>
      <c r="W157" s="3">
        <f t="shared" si="32"/>
        <v>271.68038797591157</v>
      </c>
      <c r="Y157" s="3">
        <f t="shared" si="33"/>
        <v>6260.0250784506725</v>
      </c>
      <c r="AA157" s="3">
        <f t="shared" si="34"/>
        <v>4903.5116120228358</v>
      </c>
      <c r="AB157" s="3">
        <f t="shared" si="35"/>
        <v>-70.025078450672481</v>
      </c>
      <c r="AD157" s="3">
        <f t="shared" si="36"/>
        <v>2.2940135108333921E-5</v>
      </c>
    </row>
    <row r="158" spans="3:30" x14ac:dyDescent="0.25">
      <c r="C158" s="22">
        <v>126</v>
      </c>
      <c r="D158" s="22">
        <v>6155</v>
      </c>
      <c r="F158" s="3">
        <f t="shared" si="23"/>
        <v>2445.3205854664247</v>
      </c>
      <c r="G158" s="3">
        <f t="shared" si="24"/>
        <v>357.7070403740579</v>
      </c>
      <c r="H158" s="3">
        <f t="shared" si="25"/>
        <v>0.48708404301904029</v>
      </c>
      <c r="I158" s="3">
        <f t="shared" si="26"/>
        <v>0.71264418206497404</v>
      </c>
      <c r="J158" s="3">
        <f t="shared" si="27"/>
        <v>-2.0698747313174164</v>
      </c>
      <c r="K158" s="3">
        <f t="shared" si="28"/>
        <v>0.83296690260706707</v>
      </c>
      <c r="L158" s="3" cm="1">
        <f t="array" ref="L158">lmb_2(F158)</f>
        <v>2437.5202492321569</v>
      </c>
      <c r="M158" s="3" cm="1">
        <f t="array" ref="M158">lmb_2(G158)</f>
        <v>351.8438528966048</v>
      </c>
      <c r="N158" s="3" cm="1">
        <f t="array" ref="N158">lmb_2(H158)</f>
        <v>0.76065690861643909</v>
      </c>
      <c r="O158" s="3" cm="1">
        <f t="array" ref="O158">lmb_2(I158)</f>
        <v>0.86160385776815973</v>
      </c>
      <c r="P158" s="3" cm="1">
        <f t="array" ref="P158">lmb_2(J158)</f>
        <v>0.1127457007580379</v>
      </c>
      <c r="R158" s="3">
        <f t="shared" si="29"/>
        <v>9.0910326408845485E-2</v>
      </c>
      <c r="S158" s="3">
        <f t="shared" si="30"/>
        <v>146.49866705176007</v>
      </c>
      <c r="T158" s="3">
        <f t="shared" si="31"/>
        <v>2835.1058715972367</v>
      </c>
      <c r="U158" s="3">
        <f t="shared" si="21"/>
        <v>3002.3083181556035</v>
      </c>
      <c r="V158" s="3">
        <f t="shared" si="22"/>
        <v>0</v>
      </c>
      <c r="W158" s="3">
        <f t="shared" si="32"/>
        <v>273.4538310797189</v>
      </c>
      <c r="Y158" s="3">
        <f t="shared" si="33"/>
        <v>6258.2905651133351</v>
      </c>
      <c r="AA158" s="3">
        <f t="shared" si="34"/>
        <v>10668.940841432119</v>
      </c>
      <c r="AB158" s="3">
        <f t="shared" si="35"/>
        <v>-103.29056511333511</v>
      </c>
      <c r="AD158" s="3">
        <f t="shared" si="36"/>
        <v>3.3837870253657875E-5</v>
      </c>
    </row>
    <row r="159" spans="3:30" x14ac:dyDescent="0.25">
      <c r="C159" s="22">
        <v>127</v>
      </c>
      <c r="D159" s="22">
        <v>6335</v>
      </c>
      <c r="F159" s="3">
        <f t="shared" si="23"/>
        <v>2484.2723875849397</v>
      </c>
      <c r="G159" s="3">
        <f t="shared" si="24"/>
        <v>363.33442508659186</v>
      </c>
      <c r="H159" s="3">
        <f t="shared" si="25"/>
        <v>0.50243509998148539</v>
      </c>
      <c r="I159" s="3">
        <f t="shared" si="26"/>
        <v>0.71742821510985455</v>
      </c>
      <c r="J159" s="3">
        <f t="shared" si="27"/>
        <v>-2.069615950772465</v>
      </c>
      <c r="K159" s="3">
        <f t="shared" si="28"/>
        <v>0.7737190474105029</v>
      </c>
      <c r="L159" s="3" cm="1">
        <f t="array" ref="L159">lmb_2(F159)</f>
        <v>2476.4562259366967</v>
      </c>
      <c r="M159" s="3" cm="1">
        <f t="array" ref="M159">lmb_2(G159)</f>
        <v>357.45541444706873</v>
      </c>
      <c r="N159" s="3" cm="1">
        <f t="array" ref="N159">lmb_2(H159)</f>
        <v>0.76730543566256426</v>
      </c>
      <c r="O159" s="3" cm="1">
        <f t="array" ref="O159">lmb_2(I159)</f>
        <v>0.86381957376089313</v>
      </c>
      <c r="P159" s="3" cm="1">
        <f t="array" ref="P159">lmb_2(J159)</f>
        <v>0.11277192367933535</v>
      </c>
      <c r="R159" s="3">
        <f t="shared" si="29"/>
        <v>8.8773705054578864E-2</v>
      </c>
      <c r="S159" s="3">
        <f t="shared" si="30"/>
        <v>143.06794794764039</v>
      </c>
      <c r="T159" s="3">
        <f t="shared" si="31"/>
        <v>2822.1891541880432</v>
      </c>
      <c r="U159" s="3">
        <f t="shared" si="21"/>
        <v>3014.7858020097228</v>
      </c>
      <c r="V159" s="3">
        <f t="shared" si="22"/>
        <v>0</v>
      </c>
      <c r="W159" s="3">
        <f t="shared" si="32"/>
        <v>275.22727418352622</v>
      </c>
      <c r="Y159" s="3">
        <f t="shared" si="33"/>
        <v>6256.1326710813973</v>
      </c>
      <c r="AA159" s="3">
        <f t="shared" si="34"/>
        <v>6220.0555707550584</v>
      </c>
      <c r="AB159" s="3">
        <f t="shared" si="35"/>
        <v>78.867328918602652</v>
      </c>
      <c r="AD159" s="3">
        <f t="shared" si="36"/>
        <v>2.5836846185051023E-5</v>
      </c>
    </row>
    <row r="160" spans="3:30" x14ac:dyDescent="0.25">
      <c r="C160" s="22">
        <v>128</v>
      </c>
      <c r="D160" s="22">
        <v>6142</v>
      </c>
      <c r="F160" s="3">
        <f t="shared" si="23"/>
        <v>2523.5321090877892</v>
      </c>
      <c r="G160" s="3">
        <f t="shared" si="24"/>
        <v>369.00629505377043</v>
      </c>
      <c r="H160" s="3">
        <f t="shared" si="25"/>
        <v>0.51790750917288308</v>
      </c>
      <c r="I160" s="3">
        <f t="shared" si="26"/>
        <v>0.72225006659777757</v>
      </c>
      <c r="J160" s="3">
        <f t="shared" si="27"/>
        <v>-2.0693551245315063</v>
      </c>
      <c r="K160" s="3">
        <f t="shared" si="28"/>
        <v>0.71868541529339747</v>
      </c>
      <c r="L160" s="3" cm="1">
        <f t="array" ref="L160">lmb_2(F160)</f>
        <v>2515.7002463316012</v>
      </c>
      <c r="M160" s="3" cm="1">
        <f t="array" ref="M160">lmb_2(G160)</f>
        <v>363.11158487040495</v>
      </c>
      <c r="N160" s="3" cm="1">
        <f t="array" ref="N160">lmb_2(H160)</f>
        <v>0.77403966679252856</v>
      </c>
      <c r="O160" s="3" cm="1">
        <f t="array" ref="O160">lmb_2(I160)</f>
        <v>0.86605589510230774</v>
      </c>
      <c r="P160" s="3" cm="1">
        <f t="array" ref="P160">lmb_2(J160)</f>
        <v>0.11279835944243963</v>
      </c>
      <c r="R160" s="3">
        <f t="shared" si="29"/>
        <v>8.6703545315885228E-2</v>
      </c>
      <c r="S160" s="3">
        <f t="shared" si="30"/>
        <v>139.74330785611767</v>
      </c>
      <c r="T160" s="3">
        <f t="shared" si="31"/>
        <v>2808.961014300422</v>
      </c>
      <c r="U160" s="3">
        <f t="shared" ref="U160:U223" si="37">$I$18*(C160/$I$19)*($O$28+$O$28^2)/(O160+O160^2)</f>
        <v>3027.0461945737352</v>
      </c>
      <c r="V160" s="3">
        <f t="shared" ref="V160:V223" si="38">$J$18*(C160/$J$19)*($P$28+$P$28^2)/(P160+P160^2)</f>
        <v>0</v>
      </c>
      <c r="W160" s="3">
        <f t="shared" si="32"/>
        <v>277.00071728733349</v>
      </c>
      <c r="Y160" s="3">
        <f t="shared" si="33"/>
        <v>6253.556622978218</v>
      </c>
      <c r="AA160" s="3">
        <f t="shared" si="34"/>
        <v>12444.880130304276</v>
      </c>
      <c r="AB160" s="3">
        <f t="shared" si="35"/>
        <v>-111.556622978218</v>
      </c>
      <c r="AD160" s="3">
        <f t="shared" si="36"/>
        <v>3.6545821296758761E-5</v>
      </c>
    </row>
    <row r="161" spans="3:30" x14ac:dyDescent="0.25">
      <c r="C161" s="22">
        <v>129</v>
      </c>
      <c r="D161" s="22">
        <v>6193</v>
      </c>
      <c r="F161" s="3">
        <f t="shared" ref="F161:F224" si="39">$F$20/(1-$F$20)-LN((1-$F$20)/$F$20)+(C161/$F$19)^2/((1-$F$20)*(1+0.534156*$F$20^0.7917))</f>
        <v>2563.0997499749756</v>
      </c>
      <c r="G161" s="3">
        <f t="shared" ref="G161:G224" si="40">$G$20/(1-$G$20)-LN((1-$G$20)/$G$20)+(C161/$G$19)^2/((1-$G$20)*(1+0.534156*$G$20^0.7917))</f>
        <v>374.72265027559337</v>
      </c>
      <c r="H161" s="3">
        <f t="shared" ref="H161:H224" si="41">$H$20/(1-$H$20)-LN((1-$H$20)/$H$20)+(C161/$H$19)^2/((1-$H$20)*(1+0.534156*$H$20^0.7917))</f>
        <v>0.53350127059323249</v>
      </c>
      <c r="I161" s="3">
        <f t="shared" ref="I161:I224" si="42">$I$20/(1-$I$20)-LN((1-$I$20)/$I$20)+(C161/$I$19)^2/((1-$I$20)*(1+0.534156*$I$20^0.7917))</f>
        <v>0.72710973652874311</v>
      </c>
      <c r="J161" s="3">
        <f t="shared" ref="J161:J224" si="43">$J$20/(1-$J$20)-LN((1-$J$20)/$J$20)+(C161/$J$19)^2/((1-$J$20)*(1+0.534156*$J$20^0.7917))</f>
        <v>-2.0690922525945399</v>
      </c>
      <c r="K161" s="3">
        <f t="shared" ref="K161:K224" si="44">$K$18*EXP(-$K$20*C161)</f>
        <v>0.66756625403511005</v>
      </c>
      <c r="L161" s="3" cm="1">
        <f t="array" ref="L161">lmb_2(F161)</f>
        <v>2555.2523084786376</v>
      </c>
      <c r="M161" s="3" cm="1">
        <f t="array" ref="M161">lmb_2(G161)</f>
        <v>368.81236226423346</v>
      </c>
      <c r="N161" s="3" cm="1">
        <f t="array" ref="N161">lmb_2(H161)</f>
        <v>0.78086029516576061</v>
      </c>
      <c r="O161" s="3" cm="1">
        <f t="array" ref="O161">lmb_2(I161)</f>
        <v>0.86831289160566738</v>
      </c>
      <c r="P161" s="3" cm="1">
        <f t="array" ref="P161">lmb_2(J161)</f>
        <v>0.11282500817927742</v>
      </c>
      <c r="R161" s="3">
        <f t="shared" ref="R161:R224" si="45">$F$18*(C161/$F$19)*($L$28+$L$28^2)/(L161+L161^2)</f>
        <v>8.4697282032832527E-2</v>
      </c>
      <c r="S161" s="3">
        <f t="shared" ref="S161:S224" si="46">$G$18*(C161/$G$19)*($M$28+$M$28^2)/(M161+M161^2)</f>
        <v>136.5206876898545</v>
      </c>
      <c r="T161" s="3">
        <f t="shared" ref="T161:T224" si="47">$H$18*(C161/$H$19)*($N$28+$N$28^2)/(N161+N161^2)</f>
        <v>2795.4311738725382</v>
      </c>
      <c r="U161" s="3">
        <f t="shared" si="37"/>
        <v>3039.0895718530846</v>
      </c>
      <c r="V161" s="3">
        <f t="shared" si="38"/>
        <v>0</v>
      </c>
      <c r="W161" s="3">
        <f t="shared" ref="W161:W224" si="48">$F$22+$G$22/$F$21*C161</f>
        <v>278.77416039114075</v>
      </c>
      <c r="Y161" s="3">
        <f t="shared" ref="Y161:Y224" si="49">SUM(R161:W161)+K161</f>
        <v>6250.5678573426858</v>
      </c>
      <c r="AA161" s="3">
        <f t="shared" ref="AA161:AA224" si="50">(D161-Y161)^2</f>
        <v>3314.0581990278215</v>
      </c>
      <c r="AB161" s="3">
        <f t="shared" ref="AB161:AB224" si="51">D161-Y161</f>
        <v>-57.567857342685784</v>
      </c>
      <c r="AD161" s="3">
        <f t="shared" ref="AD161:AD224" si="52">ABS(AB161/$AC$32)</f>
        <v>1.8859163810416586E-5</v>
      </c>
    </row>
    <row r="162" spans="3:30" x14ac:dyDescent="0.25">
      <c r="C162" s="22">
        <v>130</v>
      </c>
      <c r="D162" s="22">
        <v>6187</v>
      </c>
      <c r="F162" s="3">
        <f t="shared" si="39"/>
        <v>2602.9753102464974</v>
      </c>
      <c r="G162" s="3">
        <f t="shared" si="40"/>
        <v>380.48349075206102</v>
      </c>
      <c r="H162" s="3">
        <f t="shared" si="41"/>
        <v>0.54921638424253416</v>
      </c>
      <c r="I162" s="3">
        <f t="shared" si="42"/>
        <v>0.73200722490275116</v>
      </c>
      <c r="J162" s="3">
        <f t="shared" si="43"/>
        <v>-2.0688273349615662</v>
      </c>
      <c r="K162" s="3">
        <f t="shared" si="44"/>
        <v>0.62008313240159341</v>
      </c>
      <c r="L162" s="3" cm="1">
        <f t="array" ref="L162">lmb_2(F162)</f>
        <v>2595.1124104845603</v>
      </c>
      <c r="M162" s="3" cm="1">
        <f t="array" ref="M162">lmb_2(G162)</f>
        <v>374.5577447693496</v>
      </c>
      <c r="N162" s="3" cm="1">
        <f t="array" ref="N162">lmb_2(H162)</f>
        <v>0.78776801452334688</v>
      </c>
      <c r="O162" s="3" cm="1">
        <f t="array" ref="O162">lmb_2(I162)</f>
        <v>0.87059063349848564</v>
      </c>
      <c r="P162" s="3" cm="1">
        <f t="array" ref="P162">lmb_2(J162)</f>
        <v>0.11285187002284601</v>
      </c>
      <c r="R162" s="3">
        <f t="shared" si="45"/>
        <v>8.275246797803168E-2</v>
      </c>
      <c r="S162" s="3">
        <f t="shared" si="46"/>
        <v>133.39621285009648</v>
      </c>
      <c r="T162" s="3">
        <f t="shared" si="47"/>
        <v>2781.6093123672367</v>
      </c>
      <c r="U162" s="3">
        <f t="shared" si="37"/>
        <v>3050.9160387054753</v>
      </c>
      <c r="V162" s="3">
        <f t="shared" si="38"/>
        <v>0</v>
      </c>
      <c r="W162" s="3">
        <f t="shared" si="48"/>
        <v>280.54760349494808</v>
      </c>
      <c r="Y162" s="3">
        <f t="shared" si="49"/>
        <v>6247.1720030181359</v>
      </c>
      <c r="AA162" s="3">
        <f t="shared" si="50"/>
        <v>3620.6699472145569</v>
      </c>
      <c r="AB162" s="3">
        <f t="shared" si="51"/>
        <v>-60.172003018135911</v>
      </c>
      <c r="AD162" s="3">
        <f t="shared" si="52"/>
        <v>1.9712278936573733E-5</v>
      </c>
    </row>
    <row r="163" spans="3:30" x14ac:dyDescent="0.25">
      <c r="C163" s="22">
        <v>131</v>
      </c>
      <c r="D163" s="22">
        <v>6152</v>
      </c>
      <c r="F163" s="3">
        <f t="shared" si="39"/>
        <v>2643.1587899023566</v>
      </c>
      <c r="G163" s="3">
        <f t="shared" si="40"/>
        <v>386.28881648317315</v>
      </c>
      <c r="H163" s="3">
        <f t="shared" si="41"/>
        <v>0.5650528501207881</v>
      </c>
      <c r="I163" s="3">
        <f t="shared" si="42"/>
        <v>0.73694253171980173</v>
      </c>
      <c r="J163" s="3">
        <f t="shared" si="43"/>
        <v>-2.0685603716325849</v>
      </c>
      <c r="K163" s="3">
        <f t="shared" si="44"/>
        <v>0.57597742361127313</v>
      </c>
      <c r="L163" s="3" cm="1">
        <f t="array" ref="L163">lmb_2(F163)</f>
        <v>2635.2805504997359</v>
      </c>
      <c r="M163" s="3" cm="1">
        <f t="array" ref="M163">lmb_2(G163)</f>
        <v>380.34773056844034</v>
      </c>
      <c r="N163" s="3" cm="1">
        <f t="array" ref="N163">lmb_2(H163)</f>
        <v>0.79476351903368347</v>
      </c>
      <c r="O163" s="3" cm="1">
        <f t="array" ref="O163">lmb_2(I163)</f>
        <v>0.87288919141900612</v>
      </c>
      <c r="P163" s="3" cm="1">
        <f t="array" ref="P163">lmb_2(J163)</f>
        <v>0.11287894510721447</v>
      </c>
      <c r="R163" s="3">
        <f t="shared" si="45"/>
        <v>8.0866767577480042E-2</v>
      </c>
      <c r="S163" s="3">
        <f t="shared" si="46"/>
        <v>130.36618354499404</v>
      </c>
      <c r="T163" s="3">
        <f t="shared" si="47"/>
        <v>2767.5050614286424</v>
      </c>
      <c r="U163" s="3">
        <f t="shared" si="37"/>
        <v>3062.5257286440296</v>
      </c>
      <c r="V163" s="3">
        <f t="shared" si="38"/>
        <v>0</v>
      </c>
      <c r="W163" s="3">
        <f t="shared" si="48"/>
        <v>282.3210465987554</v>
      </c>
      <c r="Y163" s="3">
        <f t="shared" si="49"/>
        <v>6243.3748644076104</v>
      </c>
      <c r="AA163" s="3">
        <f t="shared" si="50"/>
        <v>8349.3658455091863</v>
      </c>
      <c r="AB163" s="3">
        <f t="shared" si="51"/>
        <v>-91.374864407610403</v>
      </c>
      <c r="AD163" s="3">
        <f t="shared" si="52"/>
        <v>2.9934300416283855E-5</v>
      </c>
    </row>
    <row r="164" spans="3:30" x14ac:dyDescent="0.25">
      <c r="C164" s="22">
        <v>132</v>
      </c>
      <c r="D164" s="22">
        <v>6430</v>
      </c>
      <c r="F164" s="3">
        <f t="shared" si="39"/>
        <v>2683.6501889425508</v>
      </c>
      <c r="G164" s="3">
        <f t="shared" si="40"/>
        <v>392.13862746892971</v>
      </c>
      <c r="H164" s="3">
        <f t="shared" si="41"/>
        <v>0.58101066822799408</v>
      </c>
      <c r="I164" s="3">
        <f t="shared" si="42"/>
        <v>0.74191565697989492</v>
      </c>
      <c r="J164" s="3">
        <f t="shared" si="43"/>
        <v>-2.0682913626075958</v>
      </c>
      <c r="K164" s="3">
        <f t="shared" si="44"/>
        <v>0.53500889667004281</v>
      </c>
      <c r="L164" s="3" cm="1">
        <f t="array" ref="L164">lmb_2(F164)</f>
        <v>2675.7567267168074</v>
      </c>
      <c r="M164" s="3" cm="1">
        <f t="array" ref="M164">lmb_2(G164)</f>
        <v>386.18231788484923</v>
      </c>
      <c r="N164" s="3" cm="1">
        <f t="array" ref="N164">lmb_2(H164)</f>
        <v>0.80184750313747566</v>
      </c>
      <c r="O164" s="3" cm="1">
        <f t="array" ref="O164">lmb_2(I164)</f>
        <v>0.87520863641264723</v>
      </c>
      <c r="P164" s="3" cm="1">
        <f t="array" ref="P164">lmb_2(J164)</f>
        <v>0.1129062335675243</v>
      </c>
      <c r="R164" s="3">
        <f t="shared" si="45"/>
        <v>7.9037951010695953E-2</v>
      </c>
      <c r="S164" s="3">
        <f t="shared" si="46"/>
        <v>127.42706568251491</v>
      </c>
      <c r="T164" s="3">
        <f t="shared" si="47"/>
        <v>2753.1279996813469</v>
      </c>
      <c r="U164" s="3">
        <f t="shared" si="37"/>
        <v>3073.918803634976</v>
      </c>
      <c r="V164" s="3">
        <f t="shared" si="38"/>
        <v>0</v>
      </c>
      <c r="W164" s="3">
        <f t="shared" si="48"/>
        <v>284.09448970256267</v>
      </c>
      <c r="Y164" s="3">
        <f t="shared" si="49"/>
        <v>6239.1824055490806</v>
      </c>
      <c r="AA164" s="3">
        <f t="shared" si="50"/>
        <v>36411.354352035538</v>
      </c>
      <c r="AB164" s="3">
        <f t="shared" si="51"/>
        <v>190.81759445091939</v>
      </c>
      <c r="AD164" s="3">
        <f t="shared" si="52"/>
        <v>6.2511624329487941E-5</v>
      </c>
    </row>
    <row r="165" spans="3:30" x14ac:dyDescent="0.25">
      <c r="C165" s="22">
        <v>133</v>
      </c>
      <c r="D165" s="22">
        <v>6122</v>
      </c>
      <c r="F165" s="3">
        <f t="shared" si="39"/>
        <v>2724.449507367081</v>
      </c>
      <c r="G165" s="3">
        <f t="shared" si="40"/>
        <v>398.03292370933093</v>
      </c>
      <c r="H165" s="3">
        <f t="shared" si="41"/>
        <v>0.5970898385641521</v>
      </c>
      <c r="I165" s="3">
        <f t="shared" si="42"/>
        <v>0.74692660068303063</v>
      </c>
      <c r="J165" s="3">
        <f t="shared" si="43"/>
        <v>-2.0680203078865995</v>
      </c>
      <c r="K165" s="3">
        <f t="shared" si="44"/>
        <v>0.49695440790275758</v>
      </c>
      <c r="L165" s="3" cm="1">
        <f t="array" ref="L165">lmb_2(F165)</f>
        <v>2716.5409373694206</v>
      </c>
      <c r="M165" s="3" cm="1">
        <f t="array" ref="M165">lmb_2(G165)</f>
        <v>392.06150498138533</v>
      </c>
      <c r="N165" s="3" cm="1">
        <f t="array" ref="N165">lmb_2(H165)</f>
        <v>0.80902066139218554</v>
      </c>
      <c r="O165" s="3" cm="1">
        <f t="array" ref="O165">lmb_2(I165)</f>
        <v>0.87754903992840849</v>
      </c>
      <c r="P165" s="3" cm="1">
        <f t="array" ref="P165">lmb_2(J165)</f>
        <v>0.11293373553999043</v>
      </c>
      <c r="R165" s="3">
        <f t="shared" si="45"/>
        <v>7.726388866455644E-2</v>
      </c>
      <c r="S165" s="3">
        <f t="shared" si="46"/>
        <v>124.57548229998967</v>
      </c>
      <c r="T165" s="3">
        <f t="shared" si="47"/>
        <v>2738.4876476747299</v>
      </c>
      <c r="U165" s="3">
        <f t="shared" si="37"/>
        <v>3085.0954538899682</v>
      </c>
      <c r="V165" s="3">
        <f t="shared" si="38"/>
        <v>0</v>
      </c>
      <c r="W165" s="3">
        <f t="shared" si="48"/>
        <v>285.86793280636994</v>
      </c>
      <c r="Y165" s="3">
        <f t="shared" si="49"/>
        <v>6234.6007349676256</v>
      </c>
      <c r="AA165" s="3">
        <f t="shared" si="50"/>
        <v>12678.925515249466</v>
      </c>
      <c r="AB165" s="3">
        <f t="shared" si="51"/>
        <v>-112.60073496762561</v>
      </c>
      <c r="AD165" s="3">
        <f t="shared" si="52"/>
        <v>3.6887871182816575E-5</v>
      </c>
    </row>
    <row r="166" spans="3:30" x14ac:dyDescent="0.25">
      <c r="C166" s="22">
        <v>134</v>
      </c>
      <c r="D166" s="22">
        <v>6153</v>
      </c>
      <c r="F166" s="3">
        <f t="shared" si="39"/>
        <v>2765.5567451759475</v>
      </c>
      <c r="G166" s="3">
        <f t="shared" si="40"/>
        <v>403.97170520437669</v>
      </c>
      <c r="H166" s="3">
        <f t="shared" si="41"/>
        <v>0.61329036112926261</v>
      </c>
      <c r="I166" s="3">
        <f t="shared" si="42"/>
        <v>0.75197536282920885</v>
      </c>
      <c r="J166" s="3">
        <f t="shared" si="43"/>
        <v>-2.0677472074695959</v>
      </c>
      <c r="K166" s="3">
        <f t="shared" si="44"/>
        <v>0.46160668555441098</v>
      </c>
      <c r="L166" s="3" cm="1">
        <f t="array" ref="L166">lmb_2(F166)</f>
        <v>2757.6331807309916</v>
      </c>
      <c r="M166" s="3" cm="1">
        <f t="array" ref="M166">lmb_2(G166)</f>
        <v>397.98529015917433</v>
      </c>
      <c r="N166" s="3" cm="1">
        <f t="array" ref="N166">lmb_2(H166)</f>
        <v>0.81628368831603204</v>
      </c>
      <c r="O166" s="3" cm="1">
        <f t="array" ref="O166">lmb_2(I166)</f>
        <v>0.87991047381524112</v>
      </c>
      <c r="P166" s="3" cm="1">
        <f t="array" ref="P166">lmb_2(J166)</f>
        <v>0.11296145116190191</v>
      </c>
      <c r="R166" s="3">
        <f t="shared" si="45"/>
        <v>7.5542545917155701E-2</v>
      </c>
      <c r="S166" s="3">
        <f t="shared" si="46"/>
        <v>121.80820549508982</v>
      </c>
      <c r="T166" s="3">
        <f t="shared" si="47"/>
        <v>2723.5934629747853</v>
      </c>
      <c r="U166" s="3">
        <f t="shared" si="37"/>
        <v>3096.055897653142</v>
      </c>
      <c r="V166" s="3">
        <f t="shared" si="38"/>
        <v>0</v>
      </c>
      <c r="W166" s="3">
        <f t="shared" si="48"/>
        <v>287.6413759101772</v>
      </c>
      <c r="Y166" s="3">
        <f t="shared" si="49"/>
        <v>6229.636091264666</v>
      </c>
      <c r="AA166" s="3">
        <f t="shared" si="50"/>
        <v>5873.0904843262151</v>
      </c>
      <c r="AB166" s="3">
        <f t="shared" si="51"/>
        <v>-76.636091264665993</v>
      </c>
      <c r="AD166" s="3">
        <f t="shared" si="52"/>
        <v>2.5105895297560549E-5</v>
      </c>
    </row>
    <row r="167" spans="3:30" x14ac:dyDescent="0.25">
      <c r="C167" s="22">
        <v>135</v>
      </c>
      <c r="D167" s="22">
        <v>6246</v>
      </c>
      <c r="F167" s="3">
        <f t="shared" si="39"/>
        <v>2806.9719023691509</v>
      </c>
      <c r="G167" s="3">
        <f t="shared" si="40"/>
        <v>409.95497195406699</v>
      </c>
      <c r="H167" s="3">
        <f t="shared" si="41"/>
        <v>0.62961223592332471</v>
      </c>
      <c r="I167" s="3">
        <f t="shared" si="42"/>
        <v>0.75706194341842958</v>
      </c>
      <c r="J167" s="3">
        <f t="shared" si="43"/>
        <v>-2.0674720613565842</v>
      </c>
      <c r="K167" s="3">
        <f t="shared" si="44"/>
        <v>0.42877320084103854</v>
      </c>
      <c r="L167" s="3" cm="1">
        <f t="array" ref="L167">lmb_2(F167)</f>
        <v>2799.0334551135206</v>
      </c>
      <c r="M167" s="3" cm="1">
        <f t="array" ref="M167">lmb_2(G167)</f>
        <v>403.95367175655133</v>
      </c>
      <c r="N167" s="3" cm="1">
        <f t="array" ref="N167">lmb_2(H167)</f>
        <v>0.82363727823164801</v>
      </c>
      <c r="O167" s="3" cm="1">
        <f t="array" ref="O167">lmb_2(I167)</f>
        <v>0.88229301031838181</v>
      </c>
      <c r="P167" s="3" cm="1">
        <f t="array" ref="P167">lmb_2(J167)</f>
        <v>0.11298938057162311</v>
      </c>
      <c r="R167" s="3">
        <f t="shared" si="45"/>
        <v>7.3871978229750473E-2</v>
      </c>
      <c r="S167" s="3">
        <f t="shared" si="46"/>
        <v>119.12214882557421</v>
      </c>
      <c r="T167" s="3">
        <f t="shared" si="47"/>
        <v>2708.4548354055714</v>
      </c>
      <c r="U167" s="3">
        <f t="shared" si="37"/>
        <v>3106.8003809829756</v>
      </c>
      <c r="V167" s="3">
        <f t="shared" si="38"/>
        <v>0</v>
      </c>
      <c r="W167" s="3">
        <f t="shared" si="48"/>
        <v>289.41481901398453</v>
      </c>
      <c r="Y167" s="3">
        <f t="shared" si="49"/>
        <v>6224.2948294071766</v>
      </c>
      <c r="AA167" s="3">
        <f t="shared" si="50"/>
        <v>471.11443046356476</v>
      </c>
      <c r="AB167" s="3">
        <f t="shared" si="51"/>
        <v>21.705170592823379</v>
      </c>
      <c r="AD167" s="3">
        <f t="shared" si="52"/>
        <v>7.1105889056525983E-6</v>
      </c>
    </row>
    <row r="168" spans="3:30" x14ac:dyDescent="0.25">
      <c r="C168" s="22">
        <v>136</v>
      </c>
      <c r="D168" s="22">
        <v>6233</v>
      </c>
      <c r="F168" s="3">
        <f t="shared" si="39"/>
        <v>2848.6949789466894</v>
      </c>
      <c r="G168" s="3">
        <f t="shared" si="40"/>
        <v>415.98272395840178</v>
      </c>
      <c r="H168" s="3">
        <f t="shared" si="41"/>
        <v>0.64605546294633931</v>
      </c>
      <c r="I168" s="3">
        <f t="shared" si="42"/>
        <v>0.76218634245069283</v>
      </c>
      <c r="J168" s="3">
        <f t="shared" si="43"/>
        <v>-2.0671948695475653</v>
      </c>
      <c r="K168" s="3">
        <f t="shared" si="44"/>
        <v>0.39827511930131992</v>
      </c>
      <c r="L168" s="3" cm="1">
        <f t="array" ref="L168">lmb_2(F168)</f>
        <v>2840.7417588664498</v>
      </c>
      <c r="M168" s="3" cm="1">
        <f t="array" ref="M168">lmb_2(G168)</f>
        <v>409.96664814799271</v>
      </c>
      <c r="N168" s="3" cm="1">
        <f t="array" ref="N168">lmb_2(H168)</f>
        <v>0.83108212510950397</v>
      </c>
      <c r="O168" s="3" cm="1">
        <f t="array" ref="O168">lmb_2(I168)</f>
        <v>0.8846967220756502</v>
      </c>
      <c r="P168" s="3" cm="1">
        <f t="array" ref="P168">lmb_2(J168)</f>
        <v>0.11301752390859422</v>
      </c>
      <c r="R168" s="3">
        <f t="shared" si="45"/>
        <v>7.2250326526466999E-2</v>
      </c>
      <c r="S168" s="3">
        <f t="shared" si="46"/>
        <v>116.51436014748057</v>
      </c>
      <c r="T168" s="3">
        <f t="shared" si="47"/>
        <v>2693.0810824422001</v>
      </c>
      <c r="U168" s="3">
        <f t="shared" si="37"/>
        <v>3117.32917752907</v>
      </c>
      <c r="V168" s="3">
        <f t="shared" si="38"/>
        <v>0</v>
      </c>
      <c r="W168" s="3">
        <f t="shared" si="48"/>
        <v>291.18826211779185</v>
      </c>
      <c r="Y168" s="3">
        <f t="shared" si="49"/>
        <v>6218.5834076823703</v>
      </c>
      <c r="AA168" s="3">
        <f t="shared" si="50"/>
        <v>207.83813405273949</v>
      </c>
      <c r="AB168" s="3">
        <f t="shared" si="51"/>
        <v>14.416592317629693</v>
      </c>
      <c r="AD168" s="3">
        <f t="shared" si="52"/>
        <v>4.7228590511492378E-6</v>
      </c>
    </row>
    <row r="169" spans="3:30" x14ac:dyDescent="0.25">
      <c r="C169" s="22">
        <v>137</v>
      </c>
      <c r="D169" s="22">
        <v>6282</v>
      </c>
      <c r="F169" s="3">
        <f t="shared" si="39"/>
        <v>2890.7259749085642</v>
      </c>
      <c r="G169" s="3">
        <f t="shared" si="40"/>
        <v>422.05496121738105</v>
      </c>
      <c r="H169" s="3">
        <f t="shared" si="41"/>
        <v>0.66262004219830617</v>
      </c>
      <c r="I169" s="3">
        <f t="shared" si="42"/>
        <v>0.76734855992599882</v>
      </c>
      <c r="J169" s="3">
        <f t="shared" si="43"/>
        <v>-2.066915632042539</v>
      </c>
      <c r="K169" s="3">
        <f t="shared" si="44"/>
        <v>0.36994632673716832</v>
      </c>
      <c r="L169" s="3" cm="1">
        <f t="array" ref="L169">lmb_2(F169)</f>
        <v>2882.7580903755679</v>
      </c>
      <c r="M169" s="3" cm="1">
        <f t="array" ref="M169">lmb_2(G169)</f>
        <v>416.02421774308567</v>
      </c>
      <c r="N169" s="3" cm="1">
        <f t="array" ref="N169">lmb_2(H169)</f>
        <v>0.83861892241120251</v>
      </c>
      <c r="O169" s="3" cm="1">
        <f t="array" ref="O169">lmb_2(I169)</f>
        <v>0.88712168211370934</v>
      </c>
      <c r="P169" s="3" cm="1">
        <f t="array" ref="P169">lmb_2(J169)</f>
        <v>0.11304588131333222</v>
      </c>
      <c r="R169" s="3">
        <f t="shared" si="45"/>
        <v>7.0675812842922681E-2</v>
      </c>
      <c r="S169" s="3">
        <f t="shared" si="46"/>
        <v>113.98201486359572</v>
      </c>
      <c r="T169" s="3">
        <f t="shared" si="47"/>
        <v>2677.4814447570707</v>
      </c>
      <c r="U169" s="3">
        <f t="shared" si="37"/>
        <v>3127.6425883039269</v>
      </c>
      <c r="V169" s="3">
        <f t="shared" si="38"/>
        <v>0</v>
      </c>
      <c r="W169" s="3">
        <f t="shared" si="48"/>
        <v>292.96170522159912</v>
      </c>
      <c r="Y169" s="3">
        <f t="shared" si="49"/>
        <v>6212.5083752857727</v>
      </c>
      <c r="AA169" s="3">
        <f t="shared" si="50"/>
        <v>4829.0859054230104</v>
      </c>
      <c r="AB169" s="3">
        <f t="shared" si="51"/>
        <v>69.491624714227328</v>
      </c>
      <c r="AD169" s="3">
        <f t="shared" si="52"/>
        <v>2.2765376278228248E-5</v>
      </c>
    </row>
    <row r="170" spans="3:30" x14ac:dyDescent="0.25">
      <c r="C170" s="22">
        <v>138</v>
      </c>
      <c r="D170" s="22">
        <v>6079</v>
      </c>
      <c r="F170" s="3">
        <f t="shared" si="39"/>
        <v>2933.0648902547746</v>
      </c>
      <c r="G170" s="3">
        <f t="shared" si="40"/>
        <v>428.17168373100503</v>
      </c>
      <c r="H170" s="3">
        <f t="shared" si="41"/>
        <v>0.67930597367922485</v>
      </c>
      <c r="I170" s="3">
        <f t="shared" si="42"/>
        <v>0.77254859584434699</v>
      </c>
      <c r="J170" s="3">
        <f t="shared" si="43"/>
        <v>-2.0666343488415051</v>
      </c>
      <c r="K170" s="3">
        <f t="shared" si="44"/>
        <v>0.34363252443791398</v>
      </c>
      <c r="L170" s="3" cm="1">
        <f t="array" ref="L170">lmb_2(F170)</f>
        <v>2925.0824480619458</v>
      </c>
      <c r="M170" s="3" cm="1">
        <f t="array" ref="M170">lmb_2(G170)</f>
        <v>422.12637898553407</v>
      </c>
      <c r="N170" s="3" cm="1">
        <f t="array" ref="N170">lmb_2(H170)</f>
        <v>0.84624836293275463</v>
      </c>
      <c r="O170" s="3" cm="1">
        <f t="array" ref="O170">lmb_2(I170)</f>
        <v>0.88956796384429004</v>
      </c>
      <c r="P170" s="3" cm="1">
        <f t="array" ref="P170">lmb_2(J170)</f>
        <v>0.11307445292743219</v>
      </c>
      <c r="R170" s="3">
        <f t="shared" si="45"/>
        <v>6.9146736226279176E-2</v>
      </c>
      <c r="S170" s="3">
        <f t="shared" si="46"/>
        <v>111.5224095560272</v>
      </c>
      <c r="T170" s="3">
        <f t="shared" si="47"/>
        <v>2661.6650819208317</v>
      </c>
      <c r="U170" s="3">
        <f t="shared" si="37"/>
        <v>3137.7409414498475</v>
      </c>
      <c r="V170" s="3">
        <f t="shared" si="38"/>
        <v>0</v>
      </c>
      <c r="W170" s="3">
        <f t="shared" si="48"/>
        <v>294.73514832540639</v>
      </c>
      <c r="Y170" s="3">
        <f t="shared" si="49"/>
        <v>6206.0763605127777</v>
      </c>
      <c r="AA170" s="3">
        <f t="shared" si="50"/>
        <v>16148.401401173443</v>
      </c>
      <c r="AB170" s="3">
        <f t="shared" si="51"/>
        <v>-127.07636051277768</v>
      </c>
      <c r="AD170" s="3">
        <f t="shared" si="52"/>
        <v>4.1630069451360596E-5</v>
      </c>
    </row>
    <row r="171" spans="3:30" x14ac:dyDescent="0.25">
      <c r="C171" s="22">
        <v>139</v>
      </c>
      <c r="D171" s="22">
        <v>6269</v>
      </c>
      <c r="F171" s="3">
        <f t="shared" si="39"/>
        <v>2975.7117249853222</v>
      </c>
      <c r="G171" s="3">
        <f t="shared" si="40"/>
        <v>434.33289149927333</v>
      </c>
      <c r="H171" s="3">
        <f t="shared" si="41"/>
        <v>0.6961132573890958</v>
      </c>
      <c r="I171" s="3">
        <f t="shared" si="42"/>
        <v>0.77778645020573789</v>
      </c>
      <c r="J171" s="3">
        <f t="shared" si="43"/>
        <v>-2.0663510199444635</v>
      </c>
      <c r="K171" s="3">
        <f t="shared" si="44"/>
        <v>0.3191903887600071</v>
      </c>
      <c r="L171" s="3" cm="1">
        <f t="array" ref="L171">lmb_2(F171)</f>
        <v>2967.7148303809213</v>
      </c>
      <c r="M171" s="3" cm="1">
        <f t="array" ref="M171">lmb_2(G171)</f>
        <v>428.27313035219737</v>
      </c>
      <c r="N171" s="3" cm="1">
        <f t="array" ref="N171">lmb_2(H171)</f>
        <v>0.85397113864794882</v>
      </c>
      <c r="O171" s="3" cm="1">
        <f t="array" ref="O171">lmb_2(I171)</f>
        <v>0.8920356410603808</v>
      </c>
      <c r="P171" s="3" cm="1">
        <f t="array" ref="P171">lmb_2(J171)</f>
        <v>0.11310323889356763</v>
      </c>
      <c r="R171" s="3">
        <f t="shared" si="45"/>
        <v>6.7661468870495206E-2</v>
      </c>
      <c r="S171" s="3">
        <f t="shared" si="46"/>
        <v>109.13295597853795</v>
      </c>
      <c r="T171" s="3">
        <f t="shared" si="47"/>
        <v>2645.6410682593346</v>
      </c>
      <c r="U171" s="3">
        <f t="shared" si="37"/>
        <v>3147.6245920010028</v>
      </c>
      <c r="V171" s="3">
        <f t="shared" si="38"/>
        <v>0</v>
      </c>
      <c r="W171" s="3">
        <f t="shared" si="48"/>
        <v>296.50859142921371</v>
      </c>
      <c r="Y171" s="3">
        <f t="shared" si="49"/>
        <v>6199.2940595257205</v>
      </c>
      <c r="AA171" s="3">
        <f t="shared" si="50"/>
        <v>4858.9181374037953</v>
      </c>
      <c r="AB171" s="3">
        <f t="shared" si="51"/>
        <v>69.705940474279487</v>
      </c>
      <c r="AD171" s="3">
        <f t="shared" si="52"/>
        <v>2.2835585874564582E-5</v>
      </c>
    </row>
    <row r="172" spans="3:30" x14ac:dyDescent="0.25">
      <c r="C172" s="22">
        <v>140</v>
      </c>
      <c r="D172" s="22">
        <v>6199</v>
      </c>
      <c r="F172" s="3">
        <f t="shared" si="39"/>
        <v>3018.6664791002054</v>
      </c>
      <c r="G172" s="3">
        <f t="shared" si="40"/>
        <v>440.53858452218634</v>
      </c>
      <c r="H172" s="3">
        <f t="shared" si="41"/>
        <v>0.71304189332791901</v>
      </c>
      <c r="I172" s="3">
        <f t="shared" si="42"/>
        <v>0.78306212301017142</v>
      </c>
      <c r="J172" s="3">
        <f t="shared" si="43"/>
        <v>-2.0660656453514146</v>
      </c>
      <c r="K172" s="3">
        <f t="shared" si="44"/>
        <v>0.2964867904847357</v>
      </c>
      <c r="L172" s="3" cm="1">
        <f t="array" ref="L172">lmb_2(F172)</f>
        <v>3010.6552358211075</v>
      </c>
      <c r="M172" s="3" cm="1">
        <f t="array" ref="M172">lmb_2(G172)</f>
        <v>434.46447035216573</v>
      </c>
      <c r="N172" s="3" cm="1">
        <f t="array" ref="N172">lmb_2(H172)</f>
        <v>0.86178794055191843</v>
      </c>
      <c r="O172" s="3" cm="1">
        <f t="array" ref="O172">lmb_2(I172)</f>
        <v>0.89452478793237822</v>
      </c>
      <c r="P172" s="3" cm="1">
        <f t="array" ref="P172">lmb_2(J172)</f>
        <v>0.11313223935549166</v>
      </c>
      <c r="R172" s="3">
        <f t="shared" si="45"/>
        <v>6.6218452471706768E-2</v>
      </c>
      <c r="S172" s="3">
        <f t="shared" si="46"/>
        <v>106.81117538599821</v>
      </c>
      <c r="T172" s="3">
        <f t="shared" si="47"/>
        <v>2629.418388867653</v>
      </c>
      <c r="U172" s="3">
        <f t="shared" si="37"/>
        <v>3157.2939216408363</v>
      </c>
      <c r="V172" s="3">
        <f t="shared" si="38"/>
        <v>0</v>
      </c>
      <c r="W172" s="3">
        <f t="shared" si="48"/>
        <v>298.28203453302103</v>
      </c>
      <c r="Y172" s="3">
        <f t="shared" si="49"/>
        <v>6192.1682256704653</v>
      </c>
      <c r="AA172" s="3">
        <f t="shared" si="50"/>
        <v>46.673140489689438</v>
      </c>
      <c r="AB172" s="3">
        <f t="shared" si="51"/>
        <v>6.83177432953471</v>
      </c>
      <c r="AD172" s="3">
        <f t="shared" si="52"/>
        <v>2.2380814076427297E-6</v>
      </c>
    </row>
    <row r="173" spans="3:30" x14ac:dyDescent="0.25">
      <c r="C173" s="22">
        <v>141</v>
      </c>
      <c r="D173" s="22">
        <v>6210</v>
      </c>
      <c r="F173" s="3">
        <f t="shared" si="39"/>
        <v>3061.9291525994245</v>
      </c>
      <c r="G173" s="3">
        <f t="shared" si="40"/>
        <v>446.78876279974384</v>
      </c>
      <c r="H173" s="3">
        <f t="shared" si="41"/>
        <v>0.73009188149569426</v>
      </c>
      <c r="I173" s="3">
        <f t="shared" si="42"/>
        <v>0.78837561425764724</v>
      </c>
      <c r="J173" s="3">
        <f t="shared" si="43"/>
        <v>-2.065778225062358</v>
      </c>
      <c r="K173" s="3">
        <f t="shared" si="44"/>
        <v>0.27539806970200786</v>
      </c>
      <c r="L173" s="3" cm="1">
        <f t="array" ref="L173">lmb_2(F173)</f>
        <v>3053.903662903449</v>
      </c>
      <c r="M173" s="3" cm="1">
        <f t="array" ref="M173">lmb_2(G173)</f>
        <v>440.70039752586348</v>
      </c>
      <c r="N173" s="3" cm="1">
        <f t="array" ref="N173">lmb_2(H173)</f>
        <v>0.86969945850502284</v>
      </c>
      <c r="O173" s="3" cm="1">
        <f t="array" ref="O173">lmb_2(I173)</f>
        <v>0.89703547900420544</v>
      </c>
      <c r="P173" s="3" cm="1">
        <f t="array" ref="P173">lmb_2(J173)</f>
        <v>0.11316145445803798</v>
      </c>
      <c r="R173" s="3">
        <f t="shared" si="45"/>
        <v>6.4816194789724751E-2</v>
      </c>
      <c r="S173" s="3">
        <f t="shared" si="46"/>
        <v>104.55469317988231</v>
      </c>
      <c r="T173" s="3">
        <f t="shared" si="47"/>
        <v>2613.0059357820028</v>
      </c>
      <c r="U173" s="3">
        <f t="shared" si="37"/>
        <v>3166.7493384548334</v>
      </c>
      <c r="V173" s="3">
        <f t="shared" si="38"/>
        <v>0</v>
      </c>
      <c r="W173" s="3">
        <f t="shared" si="48"/>
        <v>300.0554776368283</v>
      </c>
      <c r="Y173" s="3">
        <f t="shared" si="49"/>
        <v>6184.7056593180378</v>
      </c>
      <c r="AA173" s="3">
        <f t="shared" si="50"/>
        <v>639.80367053517</v>
      </c>
      <c r="AB173" s="3">
        <f t="shared" si="51"/>
        <v>25.29434068196224</v>
      </c>
      <c r="AD173" s="3">
        <f t="shared" si="52"/>
        <v>8.2863968960661479E-6</v>
      </c>
    </row>
    <row r="174" spans="3:30" x14ac:dyDescent="0.25">
      <c r="C174" s="22">
        <v>142</v>
      </c>
      <c r="D174" s="22">
        <v>6141</v>
      </c>
      <c r="F174" s="3">
        <f t="shared" si="39"/>
        <v>3105.4997454829791</v>
      </c>
      <c r="G174" s="3">
        <f t="shared" si="40"/>
        <v>453.08342633194576</v>
      </c>
      <c r="H174" s="3">
        <f t="shared" si="41"/>
        <v>0.74726322189242134</v>
      </c>
      <c r="I174" s="3">
        <f t="shared" si="42"/>
        <v>0.7937269239481658</v>
      </c>
      <c r="J174" s="3">
        <f t="shared" si="43"/>
        <v>-2.0654887590772941</v>
      </c>
      <c r="K174" s="3">
        <f t="shared" si="44"/>
        <v>0.25580936227071721</v>
      </c>
      <c r="L174" s="3" cm="1">
        <f t="array" ref="L174">lmb_2(F174)</f>
        <v>3097.4601101803055</v>
      </c>
      <c r="M174" s="3" cm="1">
        <f t="array" ref="M174">lmb_2(G174)</f>
        <v>446.98091044418555</v>
      </c>
      <c r="N174" s="3" cm="1">
        <f t="array" ref="N174">lmb_2(H174)</f>
        <v>0.87770638107715193</v>
      </c>
      <c r="O174" s="3" cm="1">
        <f t="array" ref="O174">lmb_2(I174)</f>
        <v>0.89956778918939195</v>
      </c>
      <c r="P174" s="3" cm="1">
        <f t="array" ref="P174">lmb_2(J174)</f>
        <v>0.11319088434712156</v>
      </c>
      <c r="R174" s="3">
        <f t="shared" si="45"/>
        <v>6.345326640262694E-2</v>
      </c>
      <c r="S174" s="3">
        <f t="shared" si="46"/>
        <v>102.36123385018229</v>
      </c>
      <c r="T174" s="3">
        <f t="shared" si="47"/>
        <v>2596.4125043102067</v>
      </c>
      <c r="U174" s="3">
        <f t="shared" si="37"/>
        <v>3175.9912766788148</v>
      </c>
      <c r="V174" s="3">
        <f t="shared" si="38"/>
        <v>0</v>
      </c>
      <c r="W174" s="3">
        <f t="shared" si="48"/>
        <v>301.82892074063557</v>
      </c>
      <c r="Y174" s="3">
        <f t="shared" si="49"/>
        <v>6176.9131982085137</v>
      </c>
      <c r="AA174" s="3">
        <f t="shared" si="50"/>
        <v>1289.7578055639899</v>
      </c>
      <c r="AB174" s="3">
        <f t="shared" si="51"/>
        <v>-35.913198208513677</v>
      </c>
      <c r="AD174" s="3">
        <f t="shared" si="52"/>
        <v>1.1765122400484332E-5</v>
      </c>
    </row>
    <row r="175" spans="3:30" x14ac:dyDescent="0.25">
      <c r="C175" s="22">
        <v>143</v>
      </c>
      <c r="D175" s="22">
        <v>6053</v>
      </c>
      <c r="F175" s="3">
        <f t="shared" si="39"/>
        <v>3149.3782577508714</v>
      </c>
      <c r="G175" s="3">
        <f t="shared" si="40"/>
        <v>459.42257511879245</v>
      </c>
      <c r="H175" s="3">
        <f t="shared" si="41"/>
        <v>0.7645559145181009</v>
      </c>
      <c r="I175" s="3">
        <f t="shared" si="42"/>
        <v>0.79911605208172676</v>
      </c>
      <c r="J175" s="3">
        <f t="shared" si="43"/>
        <v>-2.0651972473962226</v>
      </c>
      <c r="K175" s="3">
        <f t="shared" si="44"/>
        <v>0.23761397418710392</v>
      </c>
      <c r="L175" s="3" cm="1">
        <f t="array" ref="L175">lmb_2(F175)</f>
        <v>3141.3245762345687</v>
      </c>
      <c r="M175" s="3" cm="1">
        <f t="array" ref="M175">lmb_2(G175)</f>
        <v>453.30600770766267</v>
      </c>
      <c r="N175" s="3" cm="1">
        <f t="array" ref="N175">lmb_2(H175)</f>
        <v>0.88580939539256265</v>
      </c>
      <c r="O175" s="3" cm="1">
        <f t="array" ref="O175">lmb_2(I175)</f>
        <v>0.90212179376712009</v>
      </c>
      <c r="P175" s="3" cm="1">
        <f t="array" ref="P175">lmb_2(J175)</f>
        <v>0.11322052916973996</v>
      </c>
      <c r="R175" s="3">
        <f t="shared" si="45"/>
        <v>6.2128297642327551E-2</v>
      </c>
      <c r="S175" s="3">
        <f t="shared" si="46"/>
        <v>100.22861619545438</v>
      </c>
      <c r="T175" s="3">
        <f t="shared" si="47"/>
        <v>2579.6467895211458</v>
      </c>
      <c r="U175" s="3">
        <f t="shared" si="37"/>
        <v>3185.0201964428052</v>
      </c>
      <c r="V175" s="3">
        <f t="shared" si="38"/>
        <v>0</v>
      </c>
      <c r="W175" s="3">
        <f t="shared" si="48"/>
        <v>303.60236384444289</v>
      </c>
      <c r="Y175" s="3">
        <f t="shared" si="49"/>
        <v>6168.7977082756779</v>
      </c>
      <c r="AA175" s="3">
        <f t="shared" si="50"/>
        <v>13409.109241899003</v>
      </c>
      <c r="AB175" s="3">
        <f t="shared" si="51"/>
        <v>-115.79770827567791</v>
      </c>
      <c r="AD175" s="3">
        <f t="shared" si="52"/>
        <v>3.7935195959126803E-5</v>
      </c>
    </row>
    <row r="176" spans="3:30" x14ac:dyDescent="0.25">
      <c r="C176" s="22">
        <v>144</v>
      </c>
      <c r="D176" s="22">
        <v>6127</v>
      </c>
      <c r="F176" s="3">
        <f t="shared" si="39"/>
        <v>3193.5646894030988</v>
      </c>
      <c r="G176" s="3">
        <f t="shared" si="40"/>
        <v>465.80620916028357</v>
      </c>
      <c r="H176" s="3">
        <f t="shared" si="41"/>
        <v>0.78196995937273273</v>
      </c>
      <c r="I176" s="3">
        <f t="shared" si="42"/>
        <v>0.80454299865833034</v>
      </c>
      <c r="J176" s="3">
        <f t="shared" si="43"/>
        <v>-2.0649036900191433</v>
      </c>
      <c r="K176" s="3">
        <f t="shared" si="44"/>
        <v>0.22071280045348315</v>
      </c>
      <c r="L176" s="3" cm="1">
        <f t="array" ref="L176">lmb_2(F176)</f>
        <v>3185.4970596788035</v>
      </c>
      <c r="M176" s="3" cm="1">
        <f t="array" ref="M176">lmb_2(G176)</f>
        <v>459.67568794565341</v>
      </c>
      <c r="N176" s="3" cm="1">
        <f t="array" ref="N176">lmb_2(H176)</f>
        <v>0.89400918697536191</v>
      </c>
      <c r="O176" s="3" cm="1">
        <f t="array" ref="O176">lmb_2(I176)</f>
        <v>0.90469756837823467</v>
      </c>
      <c r="P176" s="3" cm="1">
        <f t="array" ref="P176">lmb_2(J176)</f>
        <v>0.11325038907397383</v>
      </c>
      <c r="R176" s="3">
        <f t="shared" si="45"/>
        <v>6.0839975699847504E-2</v>
      </c>
      <c r="S176" s="3">
        <f t="shared" si="46"/>
        <v>98.154748803955314</v>
      </c>
      <c r="T176" s="3">
        <f t="shared" si="47"/>
        <v>2562.7173828934165</v>
      </c>
      <c r="U176" s="3">
        <f t="shared" si="37"/>
        <v>3193.836583510631</v>
      </c>
      <c r="V176" s="3">
        <f t="shared" si="38"/>
        <v>0</v>
      </c>
      <c r="W176" s="3">
        <f t="shared" si="48"/>
        <v>305.37580694825016</v>
      </c>
      <c r="Y176" s="3">
        <f t="shared" si="49"/>
        <v>6160.3660749324063</v>
      </c>
      <c r="AA176" s="3">
        <f t="shared" si="50"/>
        <v>1113.2949563949496</v>
      </c>
      <c r="AB176" s="3">
        <f t="shared" si="51"/>
        <v>-33.366074932406264</v>
      </c>
      <c r="AD176" s="3">
        <f t="shared" si="52"/>
        <v>1.0930687746724581E-5</v>
      </c>
    </row>
    <row r="177" spans="3:30" x14ac:dyDescent="0.25">
      <c r="C177" s="22">
        <v>145</v>
      </c>
      <c r="D177" s="22">
        <v>6185</v>
      </c>
      <c r="F177" s="3">
        <f t="shared" si="39"/>
        <v>3238.0590404396612</v>
      </c>
      <c r="G177" s="3">
        <f t="shared" si="40"/>
        <v>472.23432845641906</v>
      </c>
      <c r="H177" s="3">
        <f t="shared" si="41"/>
        <v>0.79950535645631615</v>
      </c>
      <c r="I177" s="3">
        <f t="shared" si="42"/>
        <v>0.81000776367797656</v>
      </c>
      <c r="J177" s="3">
        <f t="shared" si="43"/>
        <v>-2.0646080869460568</v>
      </c>
      <c r="K177" s="3">
        <f t="shared" si="44"/>
        <v>0.20501378528209072</v>
      </c>
      <c r="L177" s="3" cm="1">
        <f t="array" ref="L177">lmb_2(F177)</f>
        <v>3229.9775591544339</v>
      </c>
      <c r="M177" s="3" cm="1">
        <f t="array" ref="M177">lmb_2(G177)</f>
        <v>466.08994981556515</v>
      </c>
      <c r="N177" s="3" cm="1">
        <f t="array" ref="N177">lmb_2(H177)</f>
        <v>0.90230643959574464</v>
      </c>
      <c r="O177" s="3" cm="1">
        <f t="array" ref="O177">lmb_2(I177)</f>
        <v>0.90729518902121831</v>
      </c>
      <c r="P177" s="3" cm="1">
        <f t="array" ref="P177">lmb_2(J177)</f>
        <v>0.1132804642089881</v>
      </c>
      <c r="R177" s="3">
        <f t="shared" si="45"/>
        <v>5.9587041889783171E-2</v>
      </c>
      <c r="S177" s="3">
        <f t="shared" si="46"/>
        <v>96.137625779972879</v>
      </c>
      <c r="T177" s="3">
        <f t="shared" si="47"/>
        <v>2545.6327691232332</v>
      </c>
      <c r="U177" s="3">
        <f t="shared" si="37"/>
        <v>3202.4409490153007</v>
      </c>
      <c r="V177" s="3">
        <f t="shared" si="38"/>
        <v>0</v>
      </c>
      <c r="W177" s="3">
        <f t="shared" si="48"/>
        <v>307.14925005205748</v>
      </c>
      <c r="Y177" s="3">
        <f t="shared" si="49"/>
        <v>6151.6251947977353</v>
      </c>
      <c r="AA177" s="3">
        <f t="shared" si="50"/>
        <v>1113.8776222891165</v>
      </c>
      <c r="AB177" s="3">
        <f t="shared" si="51"/>
        <v>33.374805202264724</v>
      </c>
      <c r="AD177" s="3">
        <f t="shared" si="52"/>
        <v>1.0933547773082515E-5</v>
      </c>
    </row>
    <row r="178" spans="3:30" x14ac:dyDescent="0.25">
      <c r="C178" s="22">
        <v>146</v>
      </c>
      <c r="D178" s="22">
        <v>6144</v>
      </c>
      <c r="F178" s="3">
        <f t="shared" si="39"/>
        <v>3282.8613108605609</v>
      </c>
      <c r="G178" s="3">
        <f t="shared" si="40"/>
        <v>478.70693300719927</v>
      </c>
      <c r="H178" s="3">
        <f t="shared" si="41"/>
        <v>0.81716210576885229</v>
      </c>
      <c r="I178" s="3">
        <f t="shared" si="42"/>
        <v>0.81551034714066506</v>
      </c>
      <c r="J178" s="3">
        <f t="shared" si="43"/>
        <v>-2.0643104381769626</v>
      </c>
      <c r="K178" s="3">
        <f t="shared" si="44"/>
        <v>0.19043142069392294</v>
      </c>
      <c r="L178" s="3" cm="1">
        <f t="array" ref="L178">lmb_2(F178)</f>
        <v>3274.7660733309449</v>
      </c>
      <c r="M178" s="3" cm="1">
        <f t="array" ref="M178">lmb_2(G178)</f>
        <v>472.54879200210024</v>
      </c>
      <c r="N178" s="3" cm="1">
        <f t="array" ref="N178">lmb_2(H178)</f>
        <v>0.91070183511709846</v>
      </c>
      <c r="O178" s="3" cm="1">
        <f t="array" ref="O178">lmb_2(I178)</f>
        <v>0.90991473204813222</v>
      </c>
      <c r="P178" s="3" cm="1">
        <f t="array" ref="P178">lmb_2(J178)</f>
        <v>0.11331075472503296</v>
      </c>
      <c r="R178" s="3">
        <f t="shared" si="45"/>
        <v>5.8368289064190046E-2</v>
      </c>
      <c r="S178" s="3">
        <f t="shared" si="46"/>
        <v>94.175322700522656</v>
      </c>
      <c r="T178" s="3">
        <f t="shared" si="47"/>
        <v>2528.4013230914061</v>
      </c>
      <c r="U178" s="3">
        <f t="shared" si="37"/>
        <v>3210.8338291902974</v>
      </c>
      <c r="V178" s="3">
        <f t="shared" si="38"/>
        <v>0</v>
      </c>
      <c r="W178" s="3">
        <f t="shared" si="48"/>
        <v>308.92269315586475</v>
      </c>
      <c r="Y178" s="3">
        <f t="shared" si="49"/>
        <v>6142.5819678478492</v>
      </c>
      <c r="AA178" s="3">
        <f t="shared" si="50"/>
        <v>2.0108151845333508</v>
      </c>
      <c r="AB178" s="3">
        <f t="shared" si="51"/>
        <v>1.4180321521507722</v>
      </c>
      <c r="AD178" s="3">
        <f t="shared" si="52"/>
        <v>4.6454570102645616E-7</v>
      </c>
    </row>
    <row r="179" spans="3:30" x14ac:dyDescent="0.25">
      <c r="C179" s="22">
        <v>147</v>
      </c>
      <c r="D179" s="22">
        <v>6179</v>
      </c>
      <c r="F179" s="3">
        <f t="shared" si="39"/>
        <v>3327.9715006657975</v>
      </c>
      <c r="G179" s="3">
        <f t="shared" si="40"/>
        <v>485.22402281262407</v>
      </c>
      <c r="H179" s="3">
        <f t="shared" si="41"/>
        <v>0.83494020731034047</v>
      </c>
      <c r="I179" s="3">
        <f t="shared" si="42"/>
        <v>0.82105074904639619</v>
      </c>
      <c r="J179" s="3">
        <f t="shared" si="43"/>
        <v>-2.0640107437118611</v>
      </c>
      <c r="K179" s="3">
        <f t="shared" si="44"/>
        <v>0.17688628078159693</v>
      </c>
      <c r="L179" s="3" cm="1">
        <f t="array" ref="L179">lmb_2(F179)</f>
        <v>3319.8626009051127</v>
      </c>
      <c r="M179" s="3" cm="1">
        <f t="array" ref="M179">lmb_2(G179)</f>
        <v>479.0522132165263</v>
      </c>
      <c r="N179" s="3" cm="1">
        <f t="array" ref="N179">lmb_2(H179)</f>
        <v>0.91919605334408261</v>
      </c>
      <c r="O179" s="3" cm="1">
        <f t="array" ref="O179">lmb_2(I179)</f>
        <v>0.91255627416052165</v>
      </c>
      <c r="P179" s="3" cm="1">
        <f t="array" ref="P179">lmb_2(J179)</f>
        <v>0.11334126077344456</v>
      </c>
      <c r="R179" s="3">
        <f t="shared" si="45"/>
        <v>5.7182559166760349E-2</v>
      </c>
      <c r="S179" s="3">
        <f t="shared" si="46"/>
        <v>92.265992788568994</v>
      </c>
      <c r="T179" s="3">
        <f t="shared" si="47"/>
        <v>2511.0313069890449</v>
      </c>
      <c r="U179" s="3">
        <f t="shared" si="37"/>
        <v>3219.0157850968958</v>
      </c>
      <c r="V179" s="3">
        <f t="shared" si="38"/>
        <v>0</v>
      </c>
      <c r="W179" s="3">
        <f t="shared" si="48"/>
        <v>310.69613625967207</v>
      </c>
      <c r="Y179" s="3">
        <f t="shared" si="49"/>
        <v>6133.2432899741298</v>
      </c>
      <c r="AA179" s="3">
        <f t="shared" si="50"/>
        <v>2093.6765123915734</v>
      </c>
      <c r="AB179" s="3">
        <f t="shared" si="51"/>
        <v>45.756710025870234</v>
      </c>
      <c r="AD179" s="3">
        <f t="shared" si="52"/>
        <v>1.4989845542918346E-5</v>
      </c>
    </row>
    <row r="180" spans="3:30" x14ac:dyDescent="0.25">
      <c r="C180" s="22">
        <v>148</v>
      </c>
      <c r="D180" s="22">
        <v>6105</v>
      </c>
      <c r="F180" s="3">
        <f t="shared" si="39"/>
        <v>3373.3896098553687</v>
      </c>
      <c r="G180" s="3">
        <f t="shared" si="40"/>
        <v>491.78559787269336</v>
      </c>
      <c r="H180" s="3">
        <f t="shared" si="41"/>
        <v>0.85283966108078024</v>
      </c>
      <c r="I180" s="3">
        <f t="shared" si="42"/>
        <v>0.82662896939516983</v>
      </c>
      <c r="J180" s="3">
        <f t="shared" si="43"/>
        <v>-2.0637090035507519</v>
      </c>
      <c r="K180" s="3">
        <f t="shared" si="44"/>
        <v>0.16430458909948353</v>
      </c>
      <c r="L180" s="3" cm="1">
        <f t="array" ref="L180">lmb_2(F180)</f>
        <v>3365.2671406002628</v>
      </c>
      <c r="M180" s="3" cm="1">
        <f t="array" ref="M180">lmb_2(G180)</f>
        <v>485.60021219597127</v>
      </c>
      <c r="N180" s="3" cm="1">
        <f t="array" ref="N180">lmb_2(H180)</f>
        <v>0.92778977187179346</v>
      </c>
      <c r="O180" s="3" cm="1">
        <f t="array" ref="O180">lmb_2(I180)</f>
        <v>0.91521989240528745</v>
      </c>
      <c r="P180" s="3" cm="1">
        <f t="array" ref="P180">lmb_2(J180)</f>
        <v>0.11337198250664629</v>
      </c>
      <c r="R180" s="3">
        <f t="shared" si="45"/>
        <v>5.6028740918788539E-2</v>
      </c>
      <c r="S180" s="3">
        <f t="shared" si="46"/>
        <v>90.407863289842922</v>
      </c>
      <c r="T180" s="3">
        <f t="shared" si="47"/>
        <v>2493.5308676014265</v>
      </c>
      <c r="U180" s="3">
        <f t="shared" si="37"/>
        <v>3226.9874023475845</v>
      </c>
      <c r="V180" s="3">
        <f t="shared" si="38"/>
        <v>0</v>
      </c>
      <c r="W180" s="3">
        <f t="shared" si="48"/>
        <v>312.46957936347934</v>
      </c>
      <c r="Y180" s="3">
        <f t="shared" si="49"/>
        <v>6123.6160459323519</v>
      </c>
      <c r="AA180" s="3">
        <f t="shared" si="50"/>
        <v>346.55716615543503</v>
      </c>
      <c r="AB180" s="3">
        <f t="shared" si="51"/>
        <v>-18.616045932351881</v>
      </c>
      <c r="AD180" s="3">
        <f t="shared" si="52"/>
        <v>6.0985952221664532E-6</v>
      </c>
    </row>
    <row r="181" spans="3:30" x14ac:dyDescent="0.25">
      <c r="C181" s="22">
        <v>149</v>
      </c>
      <c r="D181" s="22">
        <v>6082</v>
      </c>
      <c r="F181" s="3">
        <f t="shared" si="39"/>
        <v>3419.1156384292763</v>
      </c>
      <c r="G181" s="3">
        <f t="shared" si="40"/>
        <v>498.39165818740702</v>
      </c>
      <c r="H181" s="3">
        <f t="shared" si="41"/>
        <v>0.87086046708017273</v>
      </c>
      <c r="I181" s="3">
        <f t="shared" si="42"/>
        <v>0.8322450081869861</v>
      </c>
      <c r="J181" s="3">
        <f t="shared" si="43"/>
        <v>-2.0634052176936351</v>
      </c>
      <c r="K181" s="3">
        <f t="shared" si="44"/>
        <v>0.15261781682482414</v>
      </c>
      <c r="L181" s="3" cm="1">
        <f t="array" ref="L181">lmb_2(F181)</f>
        <v>3410.9796911655594</v>
      </c>
      <c r="M181" s="3" cm="1">
        <f t="array" ref="M181">lmb_2(G181)</f>
        <v>492.19278770274161</v>
      </c>
      <c r="N181" s="3" cm="1">
        <f t="array" ref="N181">lmb_2(H181)</f>
        <v>0.93648366593612231</v>
      </c>
      <c r="O181" s="3" cm="1">
        <f t="array" ref="O181">lmb_2(I181)</f>
        <v>0.91790566417052255</v>
      </c>
      <c r="P181" s="3" cm="1">
        <f t="array" ref="P181">lmb_2(J181)</f>
        <v>0.11340292007814957</v>
      </c>
      <c r="R181" s="3">
        <f t="shared" si="45"/>
        <v>5.4905767628987627E-2</v>
      </c>
      <c r="S181" s="3">
        <f t="shared" si="46"/>
        <v>88.599232041181097</v>
      </c>
      <c r="T181" s="3">
        <f t="shared" si="47"/>
        <v>2475.9080337493028</v>
      </c>
      <c r="U181" s="3">
        <f t="shared" si="37"/>
        <v>3234.7492908257213</v>
      </c>
      <c r="V181" s="3">
        <f t="shared" si="38"/>
        <v>0</v>
      </c>
      <c r="W181" s="3">
        <f t="shared" si="48"/>
        <v>314.24302246728666</v>
      </c>
      <c r="Y181" s="3">
        <f t="shared" si="49"/>
        <v>6113.707102667945</v>
      </c>
      <c r="AA181" s="3">
        <f t="shared" si="50"/>
        <v>1005.3403595956073</v>
      </c>
      <c r="AB181" s="3">
        <f t="shared" si="51"/>
        <v>-31.707102667945037</v>
      </c>
      <c r="AD181" s="3">
        <f t="shared" si="52"/>
        <v>1.0387210342204035E-5</v>
      </c>
    </row>
    <row r="182" spans="3:30" x14ac:dyDescent="0.25">
      <c r="C182" s="22">
        <v>150</v>
      </c>
      <c r="D182" s="22">
        <v>6043</v>
      </c>
      <c r="F182" s="3">
        <f t="shared" si="39"/>
        <v>3465.1495863875198</v>
      </c>
      <c r="G182" s="3">
        <f t="shared" si="40"/>
        <v>505.04220375676545</v>
      </c>
      <c r="H182" s="3">
        <f t="shared" si="41"/>
        <v>0.88900262530851726</v>
      </c>
      <c r="I182" s="3">
        <f t="shared" si="42"/>
        <v>0.83789886542184489</v>
      </c>
      <c r="J182" s="3">
        <f t="shared" si="43"/>
        <v>-2.0630993861405109</v>
      </c>
      <c r="K182" s="3">
        <f t="shared" si="44"/>
        <v>0.14176230950112123</v>
      </c>
      <c r="L182" s="3" cm="1">
        <f t="array" ref="L182">lmb_2(F182)</f>
        <v>3457.0002513753066</v>
      </c>
      <c r="M182" s="3" cm="1">
        <f t="array" ref="M182">lmb_2(G182)</f>
        <v>498.8299385236628</v>
      </c>
      <c r="N182" s="3" cm="1">
        <f t="array" ref="N182">lmb_2(H182)</f>
        <v>0.94527840826541143</v>
      </c>
      <c r="O182" s="3" cm="1">
        <f t="array" ref="O182">lmb_2(I182)</f>
        <v>0.92061366718131643</v>
      </c>
      <c r="P182" s="3" cm="1">
        <f t="array" ref="P182">lmb_2(J182)</f>
        <v>0.11343407364255483</v>
      </c>
      <c r="R182" s="3">
        <f t="shared" si="45"/>
        <v>5.3812615119748025E-2</v>
      </c>
      <c r="S182" s="3">
        <f t="shared" si="46"/>
        <v>86.838464219097105</v>
      </c>
      <c r="T182" s="3">
        <f t="shared" si="47"/>
        <v>2458.1707138867482</v>
      </c>
      <c r="U182" s="3">
        <f t="shared" si="37"/>
        <v>3242.3020844015068</v>
      </c>
      <c r="V182" s="3">
        <f t="shared" si="38"/>
        <v>0</v>
      </c>
      <c r="W182" s="3">
        <f t="shared" si="48"/>
        <v>316.01646557109393</v>
      </c>
      <c r="Y182" s="3">
        <f t="shared" si="49"/>
        <v>6103.5233030030677</v>
      </c>
      <c r="AA182" s="3">
        <f t="shared" si="50"/>
        <v>3663.0702064011398</v>
      </c>
      <c r="AB182" s="3">
        <f t="shared" si="51"/>
        <v>-60.523303003067667</v>
      </c>
      <c r="AD182" s="3">
        <f t="shared" si="52"/>
        <v>1.9827364407324999E-5</v>
      </c>
    </row>
    <row r="183" spans="3:30" x14ac:dyDescent="0.25">
      <c r="C183" s="22">
        <v>151</v>
      </c>
      <c r="D183" s="22">
        <v>5971</v>
      </c>
      <c r="F183" s="3">
        <f t="shared" si="39"/>
        <v>3511.4914537301011</v>
      </c>
      <c r="G183" s="3">
        <f t="shared" si="40"/>
        <v>511.7372345807683</v>
      </c>
      <c r="H183" s="3">
        <f t="shared" si="41"/>
        <v>0.90726613576581405</v>
      </c>
      <c r="I183" s="3">
        <f t="shared" si="42"/>
        <v>0.84359054109974607</v>
      </c>
      <c r="J183" s="3">
        <f t="shared" si="43"/>
        <v>-2.0627915088913791</v>
      </c>
      <c r="K183" s="3">
        <f t="shared" si="44"/>
        <v>0.13167894033079175</v>
      </c>
      <c r="L183" s="3" cm="1">
        <f t="array" ref="L183">lmb_2(F183)</f>
        <v>3503.3288200282841</v>
      </c>
      <c r="M183" s="3" cm="1">
        <f t="array" ref="M183">lmb_2(G183)</f>
        <v>505.51166346943955</v>
      </c>
      <c r="N183" s="3" cm="1">
        <f t="array" ref="N183">lmb_2(H183)</f>
        <v>0.95417466893351799</v>
      </c>
      <c r="O183" s="3" cm="1">
        <f t="array" ref="O183">lmb_2(I183)</f>
        <v>0.92334397949552371</v>
      </c>
      <c r="P183" s="3" cm="1">
        <f t="array" ref="P183">lmb_2(J183)</f>
        <v>0.11346544335555254</v>
      </c>
      <c r="R183" s="3">
        <f t="shared" si="45"/>
        <v>5.2748299762918102E-2</v>
      </c>
      <c r="S183" s="3">
        <f t="shared" si="46"/>
        <v>85.123989258030676</v>
      </c>
      <c r="T183" s="3">
        <f t="shared" si="47"/>
        <v>2440.3266938544284</v>
      </c>
      <c r="U183" s="3">
        <f t="shared" si="37"/>
        <v>3249.6464406444106</v>
      </c>
      <c r="V183" s="3">
        <f t="shared" si="38"/>
        <v>0</v>
      </c>
      <c r="W183" s="3">
        <f t="shared" si="48"/>
        <v>317.7899086749012</v>
      </c>
      <c r="Y183" s="3">
        <f t="shared" si="49"/>
        <v>6093.0714596718644</v>
      </c>
      <c r="AA183" s="3">
        <f t="shared" si="50"/>
        <v>14901.441266419624</v>
      </c>
      <c r="AB183" s="3">
        <f t="shared" si="51"/>
        <v>-122.07145967186443</v>
      </c>
      <c r="AD183" s="3">
        <f t="shared" si="52"/>
        <v>3.9990469696035201E-5</v>
      </c>
    </row>
    <row r="184" spans="3:30" x14ac:dyDescent="0.25">
      <c r="C184" s="22">
        <v>152</v>
      </c>
      <c r="D184" s="22">
        <v>6092</v>
      </c>
      <c r="F184" s="3">
        <f t="shared" si="39"/>
        <v>3558.1412404570165</v>
      </c>
      <c r="G184" s="3">
        <f t="shared" si="40"/>
        <v>518.47675065941564</v>
      </c>
      <c r="H184" s="3">
        <f t="shared" si="41"/>
        <v>0.92565099845206245</v>
      </c>
      <c r="I184" s="3">
        <f t="shared" si="42"/>
        <v>0.84932003522069</v>
      </c>
      <c r="J184" s="3">
        <f t="shared" si="43"/>
        <v>-2.06248158594624</v>
      </c>
      <c r="K184" s="3">
        <f t="shared" si="44"/>
        <v>0.1223127881286601</v>
      </c>
      <c r="L184" s="3" cm="1">
        <f t="array" ref="L184">lmb_2(F184)</f>
        <v>3549.965395947092</v>
      </c>
      <c r="M184" s="3" cm="1">
        <f t="array" ref="M184">lmb_2(G184)</f>
        <v>512.23796137403883</v>
      </c>
      <c r="N184" s="3" cm="1">
        <f t="array" ref="N184">lmb_2(H184)</f>
        <v>0.96317311521438587</v>
      </c>
      <c r="O184" s="3" cm="1">
        <f t="array" ref="O184">lmb_2(I184)</f>
        <v>0.92609667949950192</v>
      </c>
      <c r="P184" s="3" cm="1">
        <f t="array" ref="P184">lmb_2(J184)</f>
        <v>0.11349702937392417</v>
      </c>
      <c r="R184" s="3">
        <f t="shared" si="45"/>
        <v>5.1711876618641524E-2</v>
      </c>
      <c r="S184" s="3">
        <f t="shared" si="46"/>
        <v>83.454297928398631</v>
      </c>
      <c r="T184" s="3">
        <f t="shared" si="47"/>
        <v>2422.3836347870674</v>
      </c>
      <c r="U184" s="3">
        <f t="shared" si="37"/>
        <v>3256.783040532127</v>
      </c>
      <c r="V184" s="3">
        <f t="shared" si="38"/>
        <v>0</v>
      </c>
      <c r="W184" s="3">
        <f t="shared" si="48"/>
        <v>319.56335177870852</v>
      </c>
      <c r="Y184" s="3">
        <f t="shared" si="49"/>
        <v>6082.3583496910478</v>
      </c>
      <c r="AA184" s="3">
        <f t="shared" si="50"/>
        <v>92.961420680117939</v>
      </c>
      <c r="AB184" s="3">
        <f t="shared" si="51"/>
        <v>9.6416503089521939</v>
      </c>
      <c r="AD184" s="3">
        <f t="shared" si="52"/>
        <v>3.1585935446038578E-6</v>
      </c>
    </row>
    <row r="185" spans="3:30" x14ac:dyDescent="0.25">
      <c r="C185" s="22">
        <v>153</v>
      </c>
      <c r="D185" s="22">
        <v>6057</v>
      </c>
      <c r="F185" s="3">
        <f t="shared" si="39"/>
        <v>3605.0989465682687</v>
      </c>
      <c r="G185" s="3">
        <f t="shared" si="40"/>
        <v>525.26075199270758</v>
      </c>
      <c r="H185" s="3">
        <f t="shared" si="41"/>
        <v>0.94415721336726333</v>
      </c>
      <c r="I185" s="3">
        <f t="shared" si="42"/>
        <v>0.8550873477846761</v>
      </c>
      <c r="J185" s="3">
        <f t="shared" si="43"/>
        <v>-2.0621696173050932</v>
      </c>
      <c r="K185" s="3">
        <f t="shared" si="44"/>
        <v>0.11361283818220541</v>
      </c>
      <c r="L185" s="3" cm="1">
        <f t="array" ref="L185">lmb_2(F185)</f>
        <v>3596.9099779775356</v>
      </c>
      <c r="M185" s="3" cm="1">
        <f t="array" ref="M185">lmb_2(G185)</f>
        <v>519.00883109409085</v>
      </c>
      <c r="N185" s="3" cm="1">
        <f t="array" ref="N185">lmb_2(H185)</f>
        <v>0.97227441143823112</v>
      </c>
      <c r="O185" s="3" cm="1">
        <f t="array" ref="O185">lmb_2(I185)</f>
        <v>0.92887184590381278</v>
      </c>
      <c r="P185" s="3" cm="1">
        <f t="array" ref="P185">lmb_2(J185)</f>
        <v>0.11352883185554322</v>
      </c>
      <c r="R185" s="3">
        <f t="shared" si="45"/>
        <v>5.0702437671206087E-2</v>
      </c>
      <c r="S185" s="3">
        <f t="shared" si="46"/>
        <v>81.82793956520743</v>
      </c>
      <c r="T185" s="3">
        <f t="shared" si="47"/>
        <v>2404.3490711736608</v>
      </c>
      <c r="U185" s="3">
        <f t="shared" si="37"/>
        <v>3263.7125881561942</v>
      </c>
      <c r="V185" s="3">
        <f t="shared" si="38"/>
        <v>0</v>
      </c>
      <c r="W185" s="3">
        <f t="shared" si="48"/>
        <v>321.33679488251579</v>
      </c>
      <c r="Y185" s="3">
        <f t="shared" si="49"/>
        <v>6071.3907090534321</v>
      </c>
      <c r="AA185" s="3">
        <f t="shared" si="50"/>
        <v>207.09250706053396</v>
      </c>
      <c r="AB185" s="3">
        <f t="shared" si="51"/>
        <v>-14.390709053432147</v>
      </c>
      <c r="AD185" s="3">
        <f t="shared" si="52"/>
        <v>4.714379723587261E-6</v>
      </c>
    </row>
    <row r="186" spans="3:30" x14ac:dyDescent="0.25">
      <c r="C186" s="22">
        <v>154</v>
      </c>
      <c r="D186" s="22">
        <v>6017</v>
      </c>
      <c r="F186" s="3">
        <f t="shared" si="39"/>
        <v>3652.3645720638569</v>
      </c>
      <c r="G186" s="3">
        <f t="shared" si="40"/>
        <v>532.08923858064418</v>
      </c>
      <c r="H186" s="3">
        <f t="shared" si="41"/>
        <v>0.96278478051141669</v>
      </c>
      <c r="I186" s="3">
        <f t="shared" si="42"/>
        <v>0.86089247879170516</v>
      </c>
      <c r="J186" s="3">
        <f t="shared" si="43"/>
        <v>-2.0618556029679387</v>
      </c>
      <c r="K186" s="3">
        <f t="shared" si="44"/>
        <v>0.10553170438922746</v>
      </c>
      <c r="L186" s="3" cm="1">
        <f t="array" ref="L186">lmb_2(F186)</f>
        <v>3644.1625649880111</v>
      </c>
      <c r="M186" s="3" cm="1">
        <f t="array" ref="M186">lmb_2(G186)</f>
        <v>525.82427150831006</v>
      </c>
      <c r="N186" s="3" cm="1">
        <f t="array" ref="N186">lmb_2(H186)</f>
        <v>0.98147921884943934</v>
      </c>
      <c r="O186" s="3" cm="1">
        <f t="array" ref="O186">lmb_2(I186)</f>
        <v>0.93166955773889559</v>
      </c>
      <c r="P186" s="3" cm="1">
        <f t="array" ref="P186">lmb_2(J186)</f>
        <v>0.11356085095937617</v>
      </c>
      <c r="R186" s="3">
        <f t="shared" si="45"/>
        <v>4.9719110156252029E-2</v>
      </c>
      <c r="S186" s="3">
        <f t="shared" si="46"/>
        <v>80.243519438573088</v>
      </c>
      <c r="T186" s="3">
        <f t="shared" si="47"/>
        <v>2386.2304090688635</v>
      </c>
      <c r="U186" s="3">
        <f t="shared" si="37"/>
        <v>3270.435810424362</v>
      </c>
      <c r="V186" s="3">
        <f t="shared" si="38"/>
        <v>0</v>
      </c>
      <c r="W186" s="3">
        <f t="shared" si="48"/>
        <v>323.11023798632311</v>
      </c>
      <c r="Y186" s="3">
        <f t="shared" si="49"/>
        <v>6060.1752277326668</v>
      </c>
      <c r="AA186" s="3">
        <f t="shared" si="50"/>
        <v>1864.1002897676426</v>
      </c>
      <c r="AB186" s="3">
        <f t="shared" si="51"/>
        <v>-43.175227732666826</v>
      </c>
      <c r="AD186" s="3">
        <f t="shared" si="52"/>
        <v>1.4144154914701862E-5</v>
      </c>
    </row>
    <row r="187" spans="3:30" x14ac:dyDescent="0.25">
      <c r="C187" s="22">
        <v>155</v>
      </c>
      <c r="D187" s="22">
        <v>6088</v>
      </c>
      <c r="F187" s="3">
        <f t="shared" si="39"/>
        <v>3699.9381169437816</v>
      </c>
      <c r="G187" s="3">
        <f t="shared" si="40"/>
        <v>538.96221042322509</v>
      </c>
      <c r="H187" s="3">
        <f t="shared" si="41"/>
        <v>0.98153369988452122</v>
      </c>
      <c r="I187" s="3">
        <f t="shared" si="42"/>
        <v>0.86673542824177652</v>
      </c>
      <c r="J187" s="3">
        <f t="shared" si="43"/>
        <v>-2.0615395429347769</v>
      </c>
      <c r="K187" s="3">
        <f t="shared" si="44"/>
        <v>9.8025371159503452E-2</v>
      </c>
      <c r="L187" s="3" cm="1">
        <f t="array" ref="L187">lmb_2(F187)</f>
        <v>3691.7231558689246</v>
      </c>
      <c r="M187" s="3" cm="1">
        <f t="array" ref="M187">lmb_2(G187)</f>
        <v>532.68428151693297</v>
      </c>
      <c r="N187" s="3" cm="1">
        <f t="array" ref="N187">lmb_2(H187)</f>
        <v>0.99078819546627561</v>
      </c>
      <c r="O187" s="3" cm="1">
        <f t="array" ref="O187">lmb_2(I187)</f>
        <v>0.93448989435070262</v>
      </c>
      <c r="P187" s="3" cm="1">
        <f t="array" ref="P187">lmb_2(J187)</f>
        <v>0.11359308684548354</v>
      </c>
      <c r="R187" s="3">
        <f t="shared" si="45"/>
        <v>4.87610549740497E-2</v>
      </c>
      <c r="S187" s="3">
        <f t="shared" si="46"/>
        <v>78.699696258044071</v>
      </c>
      <c r="T187" s="3">
        <f t="shared" si="47"/>
        <v>2368.0349244538224</v>
      </c>
      <c r="U187" s="3">
        <f t="shared" si="37"/>
        <v>3276.9534567598462</v>
      </c>
      <c r="V187" s="3">
        <f t="shared" si="38"/>
        <v>0</v>
      </c>
      <c r="W187" s="3">
        <f t="shared" si="48"/>
        <v>324.88368109013038</v>
      </c>
      <c r="Y187" s="3">
        <f t="shared" si="49"/>
        <v>6048.7185449879771</v>
      </c>
      <c r="AA187" s="3">
        <f t="shared" si="50"/>
        <v>1543.032707861578</v>
      </c>
      <c r="AB187" s="3">
        <f t="shared" si="51"/>
        <v>39.281455012022889</v>
      </c>
      <c r="AD187" s="3">
        <f t="shared" si="52"/>
        <v>1.2868559452775477E-5</v>
      </c>
    </row>
    <row r="188" spans="3:30" x14ac:dyDescent="0.25">
      <c r="C188" s="22">
        <v>156</v>
      </c>
      <c r="D188" s="22">
        <v>5831</v>
      </c>
      <c r="F188" s="3">
        <f t="shared" si="39"/>
        <v>3747.8195812080412</v>
      </c>
      <c r="G188" s="3">
        <f t="shared" si="40"/>
        <v>545.87966752045065</v>
      </c>
      <c r="H188" s="3">
        <f t="shared" si="41"/>
        <v>1.0004039714865789</v>
      </c>
      <c r="I188" s="3">
        <f t="shared" si="42"/>
        <v>0.87261619613489039</v>
      </c>
      <c r="J188" s="3">
        <f t="shared" si="43"/>
        <v>-2.0612214372056075</v>
      </c>
      <c r="K188" s="3">
        <f t="shared" si="44"/>
        <v>9.105295367464282E-2</v>
      </c>
      <c r="L188" s="3" cm="1">
        <f t="array" ref="L188">lmb_2(F188)</f>
        <v>3739.5917495321205</v>
      </c>
      <c r="M188" s="3" cm="1">
        <f t="array" ref="M188">lmb_2(G188)</f>
        <v>539.58886004117596</v>
      </c>
      <c r="N188" s="3" cm="1">
        <f t="array" ref="N188">lmb_2(H188)</f>
        <v>1.0002019959425061</v>
      </c>
      <c r="O188" s="3" cm="1">
        <f t="array" ref="O188">lmb_2(I188)</f>
        <v>0.93733293539630702</v>
      </c>
      <c r="P188" s="3" cm="1">
        <f t="array" ref="P188">lmb_2(J188)</f>
        <v>0.11362553967502084</v>
      </c>
      <c r="R188" s="3">
        <f t="shared" si="45"/>
        <v>4.7827465183896245E-2</v>
      </c>
      <c r="S188" s="3">
        <f t="shared" si="46"/>
        <v>77.1951798031306</v>
      </c>
      <c r="T188" s="3">
        <f t="shared" si="47"/>
        <v>2349.7697617445378</v>
      </c>
      <c r="U188" s="3">
        <f t="shared" si="37"/>
        <v>3283.2662987975414</v>
      </c>
      <c r="V188" s="3">
        <f t="shared" si="38"/>
        <v>0</v>
      </c>
      <c r="W188" s="3">
        <f t="shared" si="48"/>
        <v>326.6571241939377</v>
      </c>
      <c r="Y188" s="3">
        <f t="shared" si="49"/>
        <v>6037.0272449580061</v>
      </c>
      <c r="AA188" s="3">
        <f t="shared" si="50"/>
        <v>42447.225664986261</v>
      </c>
      <c r="AB188" s="3">
        <f t="shared" si="51"/>
        <v>-206.02724495800612</v>
      </c>
      <c r="AD188" s="3">
        <f t="shared" si="52"/>
        <v>6.7494288330769878E-5</v>
      </c>
    </row>
    <row r="189" spans="3:30" x14ac:dyDescent="0.25">
      <c r="C189" s="22">
        <v>157</v>
      </c>
      <c r="D189" s="22">
        <v>5996</v>
      </c>
      <c r="F189" s="3">
        <f t="shared" si="39"/>
        <v>3796.0089648566372</v>
      </c>
      <c r="G189" s="3">
        <f t="shared" si="40"/>
        <v>552.84160987232076</v>
      </c>
      <c r="H189" s="3">
        <f t="shared" si="41"/>
        <v>1.0193955953175884</v>
      </c>
      <c r="I189" s="3">
        <f t="shared" si="42"/>
        <v>0.87853478247104699</v>
      </c>
      <c r="J189" s="3">
        <f t="shared" si="43"/>
        <v>-2.0609012857804307</v>
      </c>
      <c r="K189" s="3">
        <f t="shared" si="44"/>
        <v>8.4576475200347848E-2</v>
      </c>
      <c r="L189" s="3" cm="1">
        <f t="array" ref="L189">lmb_2(F189)</f>
        <v>3787.7683449103379</v>
      </c>
      <c r="M189" s="3" cm="1">
        <f t="array" ref="M189">lmb_2(G189)</f>
        <v>546.53800602270746</v>
      </c>
      <c r="N189" s="3" cm="1">
        <f t="array" ref="N189">lmb_2(H189)</f>
        <v>1.0097212714310186</v>
      </c>
      <c r="O189" s="3" cm="1">
        <f t="array" ref="O189">lmb_2(I189)</f>
        <v>0.94019876083947729</v>
      </c>
      <c r="P189" s="3" cm="1">
        <f t="array" ref="P189">lmb_2(J189)</f>
        <v>0.11365820961023974</v>
      </c>
      <c r="R189" s="3">
        <f t="shared" si="45"/>
        <v>4.6917564574993742E-2</v>
      </c>
      <c r="S189" s="3">
        <f t="shared" si="46"/>
        <v>75.728728672921946</v>
      </c>
      <c r="T189" s="3">
        <f t="shared" si="47"/>
        <v>2331.4419324457663</v>
      </c>
      <c r="U189" s="3">
        <f t="shared" si="37"/>
        <v>3289.3751300773338</v>
      </c>
      <c r="V189" s="3">
        <f t="shared" si="38"/>
        <v>0</v>
      </c>
      <c r="W189" s="3">
        <f t="shared" si="48"/>
        <v>328.43056729774497</v>
      </c>
      <c r="Y189" s="3">
        <f t="shared" si="49"/>
        <v>6025.1078525335424</v>
      </c>
      <c r="AA189" s="3">
        <f t="shared" si="50"/>
        <v>847.26707911445226</v>
      </c>
      <c r="AB189" s="3">
        <f t="shared" si="51"/>
        <v>-29.107852533542427</v>
      </c>
      <c r="AD189" s="3">
        <f t="shared" si="52"/>
        <v>9.5356989896597604E-6</v>
      </c>
    </row>
    <row r="190" spans="3:30" x14ac:dyDescent="0.25">
      <c r="C190" s="22">
        <v>158</v>
      </c>
      <c r="D190" s="22">
        <v>5914</v>
      </c>
      <c r="F190" s="3">
        <f t="shared" si="39"/>
        <v>3844.5062678895706</v>
      </c>
      <c r="G190" s="3">
        <f t="shared" si="40"/>
        <v>559.84803747883541</v>
      </c>
      <c r="H190" s="3">
        <f t="shared" si="41"/>
        <v>1.0385085713775495</v>
      </c>
      <c r="I190" s="3">
        <f t="shared" si="42"/>
        <v>0.88449118725024611</v>
      </c>
      <c r="J190" s="3">
        <f t="shared" si="43"/>
        <v>-2.0605790886592463</v>
      </c>
      <c r="K190" s="3">
        <f t="shared" si="44"/>
        <v>7.8560660238165811E-2</v>
      </c>
      <c r="L190" s="3" cm="1">
        <f t="array" ref="L190">lmb_2(F190)</f>
        <v>3836.2529409566769</v>
      </c>
      <c r="M190" s="3" cm="1">
        <f t="array" ref="M190">lmb_2(G190)</f>
        <v>553.5317184231377</v>
      </c>
      <c r="N190" s="3" cm="1">
        <f t="array" ref="N190">lmb_2(H190)</f>
        <v>1.019346669449543</v>
      </c>
      <c r="O190" s="3" cm="1">
        <f t="array" ref="O190">lmb_2(I190)</f>
        <v>0.94308745094621893</v>
      </c>
      <c r="P190" s="3" cm="1">
        <f t="array" ref="P190">lmb_2(J190)</f>
        <v>0.11369109681448886</v>
      </c>
      <c r="R190" s="3">
        <f t="shared" si="45"/>
        <v>4.6030606309465857E-2</v>
      </c>
      <c r="S190" s="3">
        <f t="shared" si="46"/>
        <v>74.299148148112195</v>
      </c>
      <c r="T190" s="3">
        <f t="shared" si="47"/>
        <v>2313.0583139482546</v>
      </c>
      <c r="U190" s="3">
        <f t="shared" si="37"/>
        <v>3295.2807657346093</v>
      </c>
      <c r="V190" s="3">
        <f t="shared" si="38"/>
        <v>0</v>
      </c>
      <c r="W190" s="3">
        <f t="shared" si="48"/>
        <v>330.2040104015523</v>
      </c>
      <c r="Y190" s="3">
        <f t="shared" si="49"/>
        <v>6012.966829499077</v>
      </c>
      <c r="AA190" s="3">
        <f t="shared" si="50"/>
        <v>9794.4333410993768</v>
      </c>
      <c r="AB190" s="3">
        <f t="shared" si="51"/>
        <v>-98.966829499076994</v>
      </c>
      <c r="AD190" s="3">
        <f t="shared" si="52"/>
        <v>3.2421419442629277E-5</v>
      </c>
    </row>
    <row r="191" spans="3:30" x14ac:dyDescent="0.25">
      <c r="C191" s="22">
        <v>159</v>
      </c>
      <c r="D191" s="22">
        <v>6052</v>
      </c>
      <c r="F191" s="3">
        <f t="shared" si="39"/>
        <v>3893.3114903068395</v>
      </c>
      <c r="G191" s="3">
        <f t="shared" si="40"/>
        <v>566.89895033999449</v>
      </c>
      <c r="H191" s="3">
        <f t="shared" si="41"/>
        <v>1.0577428996664633</v>
      </c>
      <c r="I191" s="3">
        <f t="shared" si="42"/>
        <v>0.89048541047248753</v>
      </c>
      <c r="J191" s="3">
        <f t="shared" si="43"/>
        <v>-2.0602548458420546</v>
      </c>
      <c r="K191" s="3">
        <f t="shared" si="44"/>
        <v>7.2972742390086429E-2</v>
      </c>
      <c r="L191" s="3" cm="1">
        <f t="array" ref="L191">lmb_2(F191)</f>
        <v>3885.0455366440801</v>
      </c>
      <c r="M191" s="3" cm="1">
        <f t="array" ref="M191">lmb_2(G191)</f>
        <v>560.56999622352464</v>
      </c>
      <c r="N191" s="3" cm="1">
        <f t="array" ref="N191">lmb_2(H191)</f>
        <v>1.0290788337485579</v>
      </c>
      <c r="O191" s="3" cm="1">
        <f t="array" ref="O191">lmb_2(I191)</f>
        <v>0.94599908628028728</v>
      </c>
      <c r="P191" s="3" cm="1">
        <f t="array" ref="P191">lmb_2(J191)</f>
        <v>0.11372420145221503</v>
      </c>
      <c r="R191" s="3">
        <f t="shared" si="45"/>
        <v>4.5165871633440664E-2</v>
      </c>
      <c r="S191" s="3">
        <f t="shared" si="46"/>
        <v>72.905288159170325</v>
      </c>
      <c r="T191" s="3">
        <f t="shared" si="47"/>
        <v>2294.6256484670398</v>
      </c>
      <c r="U191" s="3">
        <f t="shared" si="37"/>
        <v>3300.9840421880644</v>
      </c>
      <c r="V191" s="3">
        <f t="shared" si="38"/>
        <v>0</v>
      </c>
      <c r="W191" s="3">
        <f t="shared" si="48"/>
        <v>331.97745350535956</v>
      </c>
      <c r="Y191" s="3">
        <f t="shared" si="49"/>
        <v>6000.610570933658</v>
      </c>
      <c r="AA191" s="3">
        <f t="shared" si="50"/>
        <v>2640.8734197645977</v>
      </c>
      <c r="AB191" s="3">
        <f t="shared" si="51"/>
        <v>51.389429066342018</v>
      </c>
      <c r="AD191" s="3">
        <f t="shared" si="52"/>
        <v>1.6835117817860964E-5</v>
      </c>
    </row>
    <row r="192" spans="3:30" x14ac:dyDescent="0.25">
      <c r="C192" s="22">
        <v>160</v>
      </c>
      <c r="D192" s="22">
        <v>5957</v>
      </c>
      <c r="F192" s="3">
        <f t="shared" si="39"/>
        <v>3942.4246321084433</v>
      </c>
      <c r="G192" s="3">
        <f t="shared" si="40"/>
        <v>573.99434845579822</v>
      </c>
      <c r="H192" s="3">
        <f t="shared" si="41"/>
        <v>1.0770985801843296</v>
      </c>
      <c r="I192" s="3">
        <f t="shared" si="42"/>
        <v>0.89651745213777168</v>
      </c>
      <c r="J192" s="3">
        <f t="shared" si="43"/>
        <v>-2.0599285573288553</v>
      </c>
      <c r="K192" s="3">
        <f t="shared" si="44"/>
        <v>6.7782285889483401E-2</v>
      </c>
      <c r="L192" s="3" cm="1">
        <f t="array" ref="L192">lmb_2(F192)</f>
        <v>3934.1461309648384</v>
      </c>
      <c r="M192" s="3" cm="1">
        <f t="array" ref="M192">lmb_2(G192)</f>
        <v>567.65283842389385</v>
      </c>
      <c r="N192" s="3" cm="1">
        <f t="array" ref="N192">lmb_2(H192)</f>
        <v>1.0389184041814676</v>
      </c>
      <c r="O192" s="3" cm="1">
        <f t="array" ref="O192">lmb_2(I192)</f>
        <v>0.94893374769866967</v>
      </c>
      <c r="P192" s="3" cm="1">
        <f t="array" ref="P192">lmb_2(J192)</f>
        <v>0.11375752368896425</v>
      </c>
      <c r="R192" s="3">
        <f t="shared" si="45"/>
        <v>4.4322668652382338E-2</v>
      </c>
      <c r="S192" s="3">
        <f t="shared" si="46"/>
        <v>71.546041354774232</v>
      </c>
      <c r="T192" s="3">
        <f t="shared" si="47"/>
        <v>2276.1505421183783</v>
      </c>
      <c r="U192" s="3">
        <f t="shared" si="37"/>
        <v>3306.485816824932</v>
      </c>
      <c r="V192" s="3">
        <f t="shared" si="38"/>
        <v>0</v>
      </c>
      <c r="W192" s="3">
        <f t="shared" si="48"/>
        <v>333.75089660916683</v>
      </c>
      <c r="Y192" s="3">
        <f t="shared" si="49"/>
        <v>5988.0454018617938</v>
      </c>
      <c r="AA192" s="3">
        <f t="shared" si="50"/>
        <v>963.81697676027204</v>
      </c>
      <c r="AB192" s="3">
        <f t="shared" si="51"/>
        <v>-31.045401861793835</v>
      </c>
      <c r="AD192" s="3">
        <f t="shared" si="52"/>
        <v>1.0170437919662659E-5</v>
      </c>
    </row>
    <row r="193" spans="3:30" x14ac:dyDescent="0.25">
      <c r="C193" s="22">
        <v>161</v>
      </c>
      <c r="D193" s="22">
        <v>5905</v>
      </c>
      <c r="F193" s="3">
        <f t="shared" si="39"/>
        <v>3991.8456932943841</v>
      </c>
      <c r="G193" s="3">
        <f t="shared" si="40"/>
        <v>581.13423182624661</v>
      </c>
      <c r="H193" s="3">
        <f t="shared" si="41"/>
        <v>1.0965756129311468</v>
      </c>
      <c r="I193" s="3">
        <f t="shared" si="42"/>
        <v>0.90258731224609812</v>
      </c>
      <c r="J193" s="3">
        <f t="shared" si="43"/>
        <v>-2.0596002231196482</v>
      </c>
      <c r="K193" s="3">
        <f t="shared" si="44"/>
        <v>6.2961019826326556E-2</v>
      </c>
      <c r="L193" s="3" cm="1">
        <f t="array" ref="L193">lmb_2(F193)</f>
        <v>3983.5547229301105</v>
      </c>
      <c r="M193" s="3" cm="1">
        <f t="array" ref="M193">lmb_2(G193)</f>
        <v>574.78024404277369</v>
      </c>
      <c r="N193" s="3" cm="1">
        <f t="array" ref="N193">lmb_2(H193)</f>
        <v>1.0488660165771388</v>
      </c>
      <c r="O193" s="3" cm="1">
        <f t="array" ref="O193">lmb_2(I193)</f>
        <v>0.95189151634703439</v>
      </c>
      <c r="P193" s="3" cm="1">
        <f t="array" ref="P193">lmb_2(J193)</f>
        <v>0.11379106369138267</v>
      </c>
      <c r="R193" s="3">
        <f t="shared" si="45"/>
        <v>4.3500331167090157E-2</v>
      </c>
      <c r="S193" s="3">
        <f t="shared" si="46"/>
        <v>70.220341264986985</v>
      </c>
      <c r="T193" s="3">
        <f t="shared" si="47"/>
        <v>2257.6394641327765</v>
      </c>
      <c r="U193" s="3">
        <f t="shared" si="37"/>
        <v>3311.7869676837458</v>
      </c>
      <c r="V193" s="3">
        <f t="shared" si="38"/>
        <v>0</v>
      </c>
      <c r="W193" s="3">
        <f t="shared" si="48"/>
        <v>335.52433971297415</v>
      </c>
      <c r="Y193" s="3">
        <f t="shared" si="49"/>
        <v>5975.277574145477</v>
      </c>
      <c r="AA193" s="3">
        <f t="shared" si="50"/>
        <v>4938.937427773024</v>
      </c>
      <c r="AB193" s="3">
        <f t="shared" si="51"/>
        <v>-70.277574145477047</v>
      </c>
      <c r="AD193" s="3">
        <f t="shared" si="52"/>
        <v>2.3022852407353721E-5</v>
      </c>
    </row>
    <row r="194" spans="3:30" x14ac:dyDescent="0.25">
      <c r="C194" s="22">
        <v>162</v>
      </c>
      <c r="D194" s="22">
        <v>6066</v>
      </c>
      <c r="F194" s="3">
        <f t="shared" si="39"/>
        <v>4041.5746738646617</v>
      </c>
      <c r="G194" s="3">
        <f t="shared" si="40"/>
        <v>588.31860045133919</v>
      </c>
      <c r="H194" s="3">
        <f t="shared" si="41"/>
        <v>1.1161739979069172</v>
      </c>
      <c r="I194" s="3">
        <f t="shared" si="42"/>
        <v>0.90869499079746741</v>
      </c>
      <c r="J194" s="3">
        <f t="shared" si="43"/>
        <v>-2.0592698432144338</v>
      </c>
      <c r="K194" s="3">
        <f t="shared" si="44"/>
        <v>5.8482684163741541E-2</v>
      </c>
      <c r="L194" s="3" cm="1">
        <f t="array" ref="L194">lmb_2(F194)</f>
        <v>4033.2713115694482</v>
      </c>
      <c r="M194" s="3" cm="1">
        <f t="array" ref="M194">lmb_2(G194)</f>
        <v>581.95221211674402</v>
      </c>
      <c r="N194" s="3" cm="1">
        <f t="array" ref="N194">lmb_2(H194)</f>
        <v>1.058922302614878</v>
      </c>
      <c r="O194" s="3" cm="1">
        <f t="array" ref="O194">lmb_2(I194)</f>
        <v>0.95487247365515404</v>
      </c>
      <c r="P194" s="3" cm="1">
        <f t="array" ref="P194">lmb_2(J194)</f>
        <v>0.11382482162721776</v>
      </c>
      <c r="R194" s="3">
        <f t="shared" si="45"/>
        <v>4.2698217567004614E-2</v>
      </c>
      <c r="S194" s="3">
        <f t="shared" si="46"/>
        <v>68.927160553989438</v>
      </c>
      <c r="T194" s="3">
        <f t="shared" si="47"/>
        <v>2239.0987462014523</v>
      </c>
      <c r="U194" s="3">
        <f t="shared" si="37"/>
        <v>3316.8883931347218</v>
      </c>
      <c r="V194" s="3">
        <f t="shared" si="38"/>
        <v>0</v>
      </c>
      <c r="W194" s="3">
        <f t="shared" si="48"/>
        <v>337.29778281678142</v>
      </c>
      <c r="Y194" s="3">
        <f t="shared" si="49"/>
        <v>5962.3132636086766</v>
      </c>
      <c r="AA194" s="3">
        <f t="shared" si="50"/>
        <v>10750.939303483787</v>
      </c>
      <c r="AB194" s="3">
        <f t="shared" si="51"/>
        <v>103.68673639132339</v>
      </c>
      <c r="AD194" s="3">
        <f t="shared" si="52"/>
        <v>3.3967655508371936E-5</v>
      </c>
    </row>
    <row r="195" spans="3:30" x14ac:dyDescent="0.25">
      <c r="C195" s="22">
        <v>163</v>
      </c>
      <c r="D195" s="22">
        <v>5800</v>
      </c>
      <c r="F195" s="3">
        <f t="shared" si="39"/>
        <v>4091.6115738192748</v>
      </c>
      <c r="G195" s="3">
        <f t="shared" si="40"/>
        <v>595.54745433107655</v>
      </c>
      <c r="H195" s="3">
        <f t="shared" si="41"/>
        <v>1.1358937351116396</v>
      </c>
      <c r="I195" s="3">
        <f t="shared" si="42"/>
        <v>0.91484048779187921</v>
      </c>
      <c r="J195" s="3">
        <f t="shared" si="43"/>
        <v>-2.0589374176132118</v>
      </c>
      <c r="K195" s="3">
        <f t="shared" si="44"/>
        <v>5.432288670721E-2</v>
      </c>
      <c r="L195" s="3" cm="1">
        <f t="array" ref="L195">lmb_2(F195)</f>
        <v>4083.2958959303455</v>
      </c>
      <c r="M195" s="3" cm="1">
        <f t="array" ref="M195">lmb_2(G195)</f>
        <v>589.16874169999994</v>
      </c>
      <c r="N195" s="3" cm="1">
        <f t="array" ref="N195">lmb_2(H195)</f>
        <v>1.0690878897019229</v>
      </c>
      <c r="O195" s="3" cm="1">
        <f t="array" ref="O195">lmb_2(I195)</f>
        <v>0.95787670133229585</v>
      </c>
      <c r="P195" s="3" cm="1">
        <f t="array" ref="P195">lmb_2(J195)</f>
        <v>0.11385879766531934</v>
      </c>
      <c r="R195" s="3">
        <f t="shared" si="45"/>
        <v>4.1915709777664768E-2</v>
      </c>
      <c r="S195" s="3">
        <f t="shared" si="46"/>
        <v>67.66550935749548</v>
      </c>
      <c r="T195" s="3">
        <f t="shared" si="47"/>
        <v>2220.5345819535055</v>
      </c>
      <c r="U195" s="3">
        <f t="shared" si="37"/>
        <v>3321.7910115579029</v>
      </c>
      <c r="V195" s="3">
        <f t="shared" si="38"/>
        <v>0</v>
      </c>
      <c r="W195" s="3">
        <f t="shared" si="48"/>
        <v>339.07122592058874</v>
      </c>
      <c r="Y195" s="3">
        <f t="shared" si="49"/>
        <v>5949.1585673859772</v>
      </c>
      <c r="AA195" s="3">
        <f t="shared" si="50"/>
        <v>22248.278224637106</v>
      </c>
      <c r="AB195" s="3">
        <f t="shared" si="51"/>
        <v>-149.15856738597722</v>
      </c>
      <c r="AD195" s="3">
        <f t="shared" si="52"/>
        <v>4.8864175008532058E-5</v>
      </c>
    </row>
    <row r="196" spans="3:30" x14ac:dyDescent="0.25">
      <c r="C196" s="22">
        <v>164</v>
      </c>
      <c r="D196" s="22">
        <v>5905</v>
      </c>
      <c r="F196" s="3">
        <f t="shared" si="39"/>
        <v>4141.9563931582225</v>
      </c>
      <c r="G196" s="3">
        <f t="shared" si="40"/>
        <v>602.82079346545845</v>
      </c>
      <c r="H196" s="3">
        <f t="shared" si="41"/>
        <v>1.1557348245453134</v>
      </c>
      <c r="I196" s="3">
        <f t="shared" si="42"/>
        <v>0.92102380322933319</v>
      </c>
      <c r="J196" s="3">
        <f t="shared" si="43"/>
        <v>-2.0586029463159825</v>
      </c>
      <c r="K196" s="3">
        <f t="shared" si="44"/>
        <v>5.0458970247366695E-2</v>
      </c>
      <c r="L196" s="3" cm="1">
        <f t="array" ref="L196">lmb_2(F196)</f>
        <v>4133.6284750778004</v>
      </c>
      <c r="M196" s="3" cm="1">
        <f t="array" ref="M196">lmb_2(G196)</f>
        <v>596.42983186392621</v>
      </c>
      <c r="N196" s="3" cm="1">
        <f t="array" ref="N196">lmb_2(H196)</f>
        <v>1.0793634008535307</v>
      </c>
      <c r="O196" s="3" cm="1">
        <f t="array" ref="O196">lmb_2(I196)</f>
        <v>0.96090428136258432</v>
      </c>
      <c r="P196" s="3" cm="1">
        <f t="array" ref="P196">lmb_2(J196)</f>
        <v>0.11389299197564057</v>
      </c>
      <c r="R196" s="3">
        <f t="shared" si="45"/>
        <v>4.1152212259353997E-2</v>
      </c>
      <c r="S196" s="3">
        <f t="shared" si="46"/>
        <v>66.434433700269395</v>
      </c>
      <c r="T196" s="3">
        <f t="shared" si="47"/>
        <v>2201.9530265609151</v>
      </c>
      <c r="U196" s="3">
        <f t="shared" si="37"/>
        <v>3326.4957610191514</v>
      </c>
      <c r="V196" s="3">
        <f t="shared" si="38"/>
        <v>0</v>
      </c>
      <c r="W196" s="3">
        <f t="shared" si="48"/>
        <v>340.84466902439601</v>
      </c>
      <c r="Y196" s="3">
        <f t="shared" si="49"/>
        <v>5935.819501487239</v>
      </c>
      <c r="AA196" s="3">
        <f t="shared" si="50"/>
        <v>949.8416719219266</v>
      </c>
      <c r="AB196" s="3">
        <f t="shared" si="51"/>
        <v>-30.819501487238995</v>
      </c>
      <c r="AD196" s="3">
        <f t="shared" si="52"/>
        <v>1.0096433216948022E-5</v>
      </c>
    </row>
    <row r="197" spans="3:30" x14ac:dyDescent="0.25">
      <c r="C197" s="22">
        <v>165</v>
      </c>
      <c r="D197" s="22">
        <v>5883</v>
      </c>
      <c r="F197" s="3">
        <f t="shared" si="39"/>
        <v>4192.6091318815079</v>
      </c>
      <c r="G197" s="3">
        <f t="shared" si="40"/>
        <v>610.13861785448478</v>
      </c>
      <c r="H197" s="3">
        <f t="shared" si="41"/>
        <v>1.1756972662079404</v>
      </c>
      <c r="I197" s="3">
        <f t="shared" si="42"/>
        <v>0.92724493710983014</v>
      </c>
      <c r="J197" s="3">
        <f t="shared" si="43"/>
        <v>-2.0582664293227455</v>
      </c>
      <c r="K197" s="3">
        <f t="shared" si="44"/>
        <v>4.6869889152755598E-2</v>
      </c>
      <c r="L197" s="3" cm="1">
        <f t="array" ref="L197">lmb_2(F197)</f>
        <v>4184.2690480938909</v>
      </c>
      <c r="M197" s="3" cm="1">
        <f t="array" ref="M197">lmb_2(G197)</f>
        <v>603.73548169668629</v>
      </c>
      <c r="N197" s="3" cm="1">
        <f t="array" ref="N197">lmb_2(H197)</f>
        <v>1.089749454575732</v>
      </c>
      <c r="O197" s="3" cm="1">
        <f t="array" ref="O197">lmb_2(I197)</f>
        <v>0.96395529600033691</v>
      </c>
      <c r="P197" s="3" cm="1">
        <f t="array" ref="P197">lmb_2(J197)</f>
        <v>0.11392740472923914</v>
      </c>
      <c r="R197" s="3">
        <f t="shared" si="45"/>
        <v>4.0407151054149791E-2</v>
      </c>
      <c r="S197" s="3">
        <f t="shared" si="46"/>
        <v>65.233013989436856</v>
      </c>
      <c r="T197" s="3">
        <f t="shared" si="47"/>
        <v>2183.3599964684317</v>
      </c>
      <c r="U197" s="3">
        <f t="shared" si="37"/>
        <v>3331.0035989441058</v>
      </c>
      <c r="V197" s="3">
        <f t="shared" si="38"/>
        <v>0</v>
      </c>
      <c r="W197" s="3">
        <f t="shared" si="48"/>
        <v>342.61811212820334</v>
      </c>
      <c r="Y197" s="3">
        <f t="shared" si="49"/>
        <v>5922.3019985703841</v>
      </c>
      <c r="AA197" s="3">
        <f t="shared" si="50"/>
        <v>1544.6470916264705</v>
      </c>
      <c r="AB197" s="3">
        <f t="shared" si="51"/>
        <v>-39.301998570384058</v>
      </c>
      <c r="AD197" s="3">
        <f t="shared" si="52"/>
        <v>1.2875289498850944E-5</v>
      </c>
    </row>
    <row r="198" spans="3:30" x14ac:dyDescent="0.25">
      <c r="C198" s="22">
        <v>166</v>
      </c>
      <c r="D198" s="22">
        <v>5864</v>
      </c>
      <c r="F198" s="3">
        <f t="shared" si="39"/>
        <v>4243.5697899891293</v>
      </c>
      <c r="G198" s="3">
        <f t="shared" si="40"/>
        <v>617.50092749815576</v>
      </c>
      <c r="H198" s="3">
        <f t="shared" si="41"/>
        <v>1.1957810600995191</v>
      </c>
      <c r="I198" s="3">
        <f t="shared" si="42"/>
        <v>0.93350388943336915</v>
      </c>
      <c r="J198" s="3">
        <f t="shared" si="43"/>
        <v>-2.0579278666335008</v>
      </c>
      <c r="K198" s="3">
        <f t="shared" si="44"/>
        <v>4.3536094740384529E-2</v>
      </c>
      <c r="L198" s="3" cm="1">
        <f t="array" ref="L198">lmb_2(F198)</f>
        <v>4235.2176140773545</v>
      </c>
      <c r="M198" s="3" cm="1">
        <f t="array" ref="M198">lmb_2(G198)</f>
        <v>611.08569030282297</v>
      </c>
      <c r="N198" s="3" cm="1">
        <f t="array" ref="N198">lmb_2(H198)</f>
        <v>1.1002466647508171</v>
      </c>
      <c r="O198" s="3" cm="1">
        <f t="array" ref="O198">lmb_2(I198)</f>
        <v>0.9670298277653675</v>
      </c>
      <c r="P198" s="3" cm="1">
        <f t="array" ref="P198">lmb_2(J198)</f>
        <v>0.11396203609827836</v>
      </c>
      <c r="R198" s="3">
        <f t="shared" si="45"/>
        <v>3.9679972878761127E-2</v>
      </c>
      <c r="S198" s="3">
        <f t="shared" si="46"/>
        <v>64.060363579537736</v>
      </c>
      <c r="T198" s="3">
        <f t="shared" si="47"/>
        <v>2164.761269245349</v>
      </c>
      <c r="U198" s="3">
        <f t="shared" si="37"/>
        <v>3335.3155017902232</v>
      </c>
      <c r="V198" s="3">
        <f t="shared" si="38"/>
        <v>0</v>
      </c>
      <c r="W198" s="3">
        <f t="shared" si="48"/>
        <v>344.3915552320106</v>
      </c>
      <c r="Y198" s="3">
        <f t="shared" si="49"/>
        <v>5908.6119059147395</v>
      </c>
      <c r="AA198" s="3">
        <f t="shared" si="50"/>
        <v>1990.22214934557</v>
      </c>
      <c r="AB198" s="3">
        <f t="shared" si="51"/>
        <v>-44.611905914739509</v>
      </c>
      <c r="AD198" s="3">
        <f t="shared" si="52"/>
        <v>1.4614809033670955E-5</v>
      </c>
    </row>
    <row r="199" spans="3:30" x14ac:dyDescent="0.25">
      <c r="C199" s="22">
        <v>167</v>
      </c>
      <c r="D199" s="22">
        <v>5828</v>
      </c>
      <c r="F199" s="3">
        <f t="shared" si="39"/>
        <v>4294.8383674810866</v>
      </c>
      <c r="G199" s="3">
        <f t="shared" si="40"/>
        <v>624.90772239647117</v>
      </c>
      <c r="H199" s="3">
        <f t="shared" si="41"/>
        <v>1.2159862062200495</v>
      </c>
      <c r="I199" s="3">
        <f t="shared" si="42"/>
        <v>0.93980066019995112</v>
      </c>
      <c r="J199" s="3">
        <f t="shared" si="43"/>
        <v>-2.0575872582482488</v>
      </c>
      <c r="K199" s="3">
        <f t="shared" si="44"/>
        <v>4.0439428799722239E-2</v>
      </c>
      <c r="L199" s="3" cm="1">
        <f t="array" ref="L199">lmb_2(F199)</f>
        <v>4286.4741721431919</v>
      </c>
      <c r="M199" s="3" cm="1">
        <f t="array" ref="M199">lmb_2(G199)</f>
        <v>618.48045680286964</v>
      </c>
      <c r="N199" s="3" cm="1">
        <f t="array" ref="N199">lmb_2(H199)</f>
        <v>1.110855640525626</v>
      </c>
      <c r="O199" s="3" cm="1">
        <f t="array" ref="O199">lmb_2(I199)</f>
        <v>0.97012795943826746</v>
      </c>
      <c r="P199" s="3" cm="1">
        <f t="array" ref="P199">lmb_2(J199)</f>
        <v>0.11399688625602807</v>
      </c>
      <c r="R199" s="3">
        <f t="shared" si="45"/>
        <v>3.8970144260691959E-2</v>
      </c>
      <c r="S199" s="3">
        <f t="shared" si="46"/>
        <v>62.915627405506704</v>
      </c>
      <c r="T199" s="3">
        <f t="shared" si="47"/>
        <v>2146.1624835560215</v>
      </c>
      <c r="U199" s="3">
        <f t="shared" si="37"/>
        <v>3339.4324647169942</v>
      </c>
      <c r="V199" s="3">
        <f t="shared" si="38"/>
        <v>0</v>
      </c>
      <c r="W199" s="3">
        <f t="shared" si="48"/>
        <v>346.16499833581793</v>
      </c>
      <c r="Y199" s="3">
        <f t="shared" si="49"/>
        <v>5894.7549835874015</v>
      </c>
      <c r="AA199" s="3">
        <f t="shared" si="50"/>
        <v>4456.2278337542448</v>
      </c>
      <c r="AB199" s="3">
        <f t="shared" si="51"/>
        <v>-66.754983587401512</v>
      </c>
      <c r="AD199" s="3">
        <f t="shared" si="52"/>
        <v>2.1868855794689906E-5</v>
      </c>
    </row>
    <row r="200" spans="3:30" x14ac:dyDescent="0.25">
      <c r="C200" s="22">
        <v>168</v>
      </c>
      <c r="D200" s="22">
        <v>5884</v>
      </c>
      <c r="F200" s="3">
        <f t="shared" si="39"/>
        <v>4346.4148643573799</v>
      </c>
      <c r="G200" s="3">
        <f t="shared" si="40"/>
        <v>632.35900254943112</v>
      </c>
      <c r="H200" s="3">
        <f t="shared" si="41"/>
        <v>1.2363127045695326</v>
      </c>
      <c r="I200" s="3">
        <f t="shared" si="42"/>
        <v>0.94613524940957561</v>
      </c>
      <c r="J200" s="3">
        <f t="shared" si="43"/>
        <v>-2.0572446041669892</v>
      </c>
      <c r="K200" s="3">
        <f t="shared" si="44"/>
        <v>3.756302469019665E-2</v>
      </c>
      <c r="L200" s="3" cm="1">
        <f t="array" ref="L200">lmb_2(F200)</f>
        <v>4338.0387214222774</v>
      </c>
      <c r="M200" s="3" cm="1">
        <f t="array" ref="M200">lmb_2(G200)</f>
        <v>625.91978033297539</v>
      </c>
      <c r="N200" s="3" cm="1">
        <f t="array" ref="N200">lmb_2(H200)</f>
        <v>1.1215769862027005</v>
      </c>
      <c r="O200" s="3" cm="1">
        <f t="array" ref="O200">lmb_2(I200)</f>
        <v>0.97324977405565338</v>
      </c>
      <c r="P200" s="3" cm="1">
        <f t="array" ref="P200">lmb_2(J200)</f>
        <v>0.1140319553768659</v>
      </c>
      <c r="R200" s="3">
        <f t="shared" si="45"/>
        <v>3.827715071541718E-2</v>
      </c>
      <c r="S200" s="3">
        <f t="shared" si="46"/>
        <v>61.797980679991475</v>
      </c>
      <c r="T200" s="3">
        <f t="shared" si="47"/>
        <v>2127.5691392459808</v>
      </c>
      <c r="U200" s="3">
        <f t="shared" si="37"/>
        <v>3343.3555012544689</v>
      </c>
      <c r="V200" s="3">
        <f t="shared" si="38"/>
        <v>0</v>
      </c>
      <c r="W200" s="3">
        <f t="shared" si="48"/>
        <v>347.93844143962519</v>
      </c>
      <c r="Y200" s="3">
        <f t="shared" si="49"/>
        <v>5880.7369027954719</v>
      </c>
      <c r="AA200" s="3">
        <f t="shared" si="50"/>
        <v>10.647803366199062</v>
      </c>
      <c r="AB200" s="3">
        <f t="shared" si="51"/>
        <v>3.2630972045280942</v>
      </c>
      <c r="AD200" s="3">
        <f t="shared" si="52"/>
        <v>1.0689868886934796E-6</v>
      </c>
    </row>
    <row r="201" spans="3:30" x14ac:dyDescent="0.25">
      <c r="C201" s="22">
        <v>169</v>
      </c>
      <c r="D201" s="22">
        <v>5866</v>
      </c>
      <c r="F201" s="3">
        <f t="shared" si="39"/>
        <v>4398.2992806180082</v>
      </c>
      <c r="G201" s="3">
        <f t="shared" si="40"/>
        <v>639.85476795703562</v>
      </c>
      <c r="H201" s="3">
        <f t="shared" si="41"/>
        <v>1.2567605551479677</v>
      </c>
      <c r="I201" s="3">
        <f t="shared" si="42"/>
        <v>0.95250765706224239</v>
      </c>
      <c r="J201" s="3">
        <f t="shared" si="43"/>
        <v>-2.0568999043897223</v>
      </c>
      <c r="K201" s="3">
        <f t="shared" si="44"/>
        <v>3.489121547349891E-2</v>
      </c>
      <c r="L201" s="3" cm="1">
        <f t="array" ref="L201">lmb_2(F201)</f>
        <v>4389.9112610609818</v>
      </c>
      <c r="M201" s="3" cm="1">
        <f t="array" ref="M201">lmb_2(G201)</f>
        <v>633.40366004453836</v>
      </c>
      <c r="N201" s="3" cm="1">
        <f t="array" ref="N201">lmb_2(H201)</f>
        <v>1.1324113011343555</v>
      </c>
      <c r="O201" s="3" cm="1">
        <f t="array" ref="O201">lmb_2(I201)</f>
        <v>0.97639535490539375</v>
      </c>
      <c r="P201" s="3" cm="1">
        <f t="array" ref="P201">lmb_2(J201)</f>
        <v>0.11406724363627842</v>
      </c>
      <c r="R201" s="3">
        <f t="shared" si="45"/>
        <v>3.7600495962392635E-2</v>
      </c>
      <c r="S201" s="3">
        <f t="shared" si="46"/>
        <v>60.706627651628324</v>
      </c>
      <c r="T201" s="3">
        <f t="shared" si="47"/>
        <v>2108.9865975403945</v>
      </c>
      <c r="U201" s="3">
        <f t="shared" si="37"/>
        <v>3347.0856429701676</v>
      </c>
      <c r="V201" s="3">
        <f t="shared" si="38"/>
        <v>0</v>
      </c>
      <c r="W201" s="3">
        <f t="shared" si="48"/>
        <v>349.71188454343252</v>
      </c>
      <c r="Y201" s="3">
        <f t="shared" si="49"/>
        <v>5866.5632444170587</v>
      </c>
      <c r="AA201" s="3">
        <f t="shared" si="50"/>
        <v>0.31724427334784044</v>
      </c>
      <c r="AB201" s="3">
        <f t="shared" si="51"/>
        <v>-0.56324441705874051</v>
      </c>
      <c r="AD201" s="3">
        <f t="shared" si="52"/>
        <v>1.8451822278848444E-7</v>
      </c>
    </row>
    <row r="202" spans="3:30" x14ac:dyDescent="0.25">
      <c r="C202" s="22">
        <v>170</v>
      </c>
      <c r="D202" s="22">
        <v>5891</v>
      </c>
      <c r="F202" s="3">
        <f t="shared" si="39"/>
        <v>4450.4916162629752</v>
      </c>
      <c r="G202" s="3">
        <f t="shared" si="40"/>
        <v>647.39501861928477</v>
      </c>
      <c r="H202" s="3">
        <f t="shared" si="41"/>
        <v>1.2773297579553551</v>
      </c>
      <c r="I202" s="3">
        <f t="shared" si="42"/>
        <v>0.9589178831579519</v>
      </c>
      <c r="J202" s="3">
        <f t="shared" si="43"/>
        <v>-2.0565531589164476</v>
      </c>
      <c r="K202" s="3">
        <f t="shared" si="44"/>
        <v>3.2409448580317558E-2</v>
      </c>
      <c r="L202" s="3" cm="1">
        <f t="array" ref="L202">lmb_2(F202)</f>
        <v>4442.0917902208093</v>
      </c>
      <c r="M202" s="3" cm="1">
        <f t="array" ref="M202">lmb_2(G202)</f>
        <v>640.93209510385111</v>
      </c>
      <c r="N202" s="3" cm="1">
        <f t="array" ref="N202">lmb_2(H202)</f>
        <v>1.1433591796197318</v>
      </c>
      <c r="O202" s="3" cm="1">
        <f t="array" ref="O202">lmb_2(I202)</f>
        <v>0.97956478552180581</v>
      </c>
      <c r="P202" s="3" cm="1">
        <f t="array" ref="P202">lmb_2(J202)</f>
        <v>0.11410275121086202</v>
      </c>
      <c r="R202" s="3">
        <f t="shared" si="45"/>
        <v>3.6939701177848908E-2</v>
      </c>
      <c r="S202" s="3">
        <f t="shared" si="46"/>
        <v>59.640800421089487</v>
      </c>
      <c r="T202" s="3">
        <f t="shared" si="47"/>
        <v>2090.4200813515677</v>
      </c>
      <c r="U202" s="3">
        <f t="shared" si="37"/>
        <v>3350.6239391345225</v>
      </c>
      <c r="V202" s="3">
        <f t="shared" si="38"/>
        <v>0</v>
      </c>
      <c r="W202" s="3">
        <f t="shared" si="48"/>
        <v>351.48532764723979</v>
      </c>
      <c r="Y202" s="3">
        <f t="shared" si="49"/>
        <v>5852.2394977041777</v>
      </c>
      <c r="AA202" s="3">
        <f t="shared" si="50"/>
        <v>1502.3765382244485</v>
      </c>
      <c r="AB202" s="3">
        <f t="shared" si="51"/>
        <v>38.760502295822334</v>
      </c>
      <c r="AD202" s="3">
        <f t="shared" si="52"/>
        <v>1.2697895942514469E-5</v>
      </c>
    </row>
    <row r="203" spans="3:30" x14ac:dyDescent="0.25">
      <c r="C203" s="22">
        <v>171</v>
      </c>
      <c r="D203" s="22">
        <v>5973</v>
      </c>
      <c r="F203" s="3">
        <f t="shared" si="39"/>
        <v>4502.9918712922763</v>
      </c>
      <c r="G203" s="3">
        <f t="shared" si="40"/>
        <v>654.97975453617846</v>
      </c>
      <c r="H203" s="3">
        <f t="shared" si="41"/>
        <v>1.2980203129916941</v>
      </c>
      <c r="I203" s="3">
        <f t="shared" si="42"/>
        <v>0.96536592769670371</v>
      </c>
      <c r="J203" s="3">
        <f t="shared" si="43"/>
        <v>-2.0562043677471653</v>
      </c>
      <c r="K203" s="3">
        <f t="shared" si="44"/>
        <v>3.010420654671787E-2</v>
      </c>
      <c r="L203" s="3" cm="1">
        <f t="array" ref="L203">lmb_2(F203)</f>
        <v>4494.5803080780297</v>
      </c>
      <c r="M203" s="3" cm="1">
        <f t="array" ref="M203">lmb_2(G203)</f>
        <v>648.50508469175611</v>
      </c>
      <c r="N203" s="3" cm="1">
        <f t="array" ref="N203">lmb_2(H203)</f>
        <v>1.1544212108048728</v>
      </c>
      <c r="O203" s="3" cm="1">
        <f t="array" ref="O203">lmb_2(I203)</f>
        <v>0.98275814968082786</v>
      </c>
      <c r="P203" s="3" cm="1">
        <f t="array" ref="P203">lmb_2(J203)</f>
        <v>0.11413847827832439</v>
      </c>
      <c r="R203" s="3">
        <f t="shared" si="45"/>
        <v>3.6294304282438974E-2</v>
      </c>
      <c r="S203" s="3">
        <f t="shared" si="46"/>
        <v>58.599757811901085</v>
      </c>
      <c r="T203" s="3">
        <f t="shared" si="47"/>
        <v>2071.8746756921496</v>
      </c>
      <c r="U203" s="3">
        <f t="shared" si="37"/>
        <v>3353.9714563849284</v>
      </c>
      <c r="V203" s="3">
        <f t="shared" si="38"/>
        <v>0</v>
      </c>
      <c r="W203" s="3">
        <f t="shared" si="48"/>
        <v>353.25877075104705</v>
      </c>
      <c r="Y203" s="3">
        <f t="shared" si="49"/>
        <v>5837.7710591508558</v>
      </c>
      <c r="AA203" s="3">
        <f t="shared" si="50"/>
        <v>18286.866443181352</v>
      </c>
      <c r="AB203" s="3">
        <f t="shared" si="51"/>
        <v>135.22894084914424</v>
      </c>
      <c r="AD203" s="3">
        <f t="shared" si="52"/>
        <v>4.4300845386721211E-5</v>
      </c>
    </row>
    <row r="204" spans="3:30" x14ac:dyDescent="0.25">
      <c r="C204" s="22">
        <v>172</v>
      </c>
      <c r="D204" s="22">
        <v>5952</v>
      </c>
      <c r="F204" s="3">
        <f t="shared" si="39"/>
        <v>4555.8000457059134</v>
      </c>
      <c r="G204" s="3">
        <f t="shared" si="40"/>
        <v>662.60897570771647</v>
      </c>
      <c r="H204" s="3">
        <f t="shared" si="41"/>
        <v>1.3188322202569858</v>
      </c>
      <c r="I204" s="3">
        <f t="shared" si="42"/>
        <v>0.97185179067849825</v>
      </c>
      <c r="J204" s="3">
        <f t="shared" si="43"/>
        <v>-2.0558535308818757</v>
      </c>
      <c r="K204" s="3">
        <f t="shared" si="44"/>
        <v>2.7962933388438714E-2</v>
      </c>
      <c r="L204" s="3" cm="1">
        <f t="array" ref="L204">lmb_2(F204)</f>
        <v>4547.3768138233499</v>
      </c>
      <c r="M204" s="3" cm="1">
        <f t="array" ref="M204">lmb_2(G204)</f>
        <v>656.1226280033103</v>
      </c>
      <c r="N204" s="3" cm="1">
        <f t="array" ref="N204">lmb_2(H204)</f>
        <v>1.1655979785858821</v>
      </c>
      <c r="O204" s="3" cm="1">
        <f t="array" ref="O204">lmb_2(I204)</f>
        <v>0.98597553139516603</v>
      </c>
      <c r="P204" s="3" cm="1">
        <f t="array" ref="P204">lmb_2(J204)</f>
        <v>0.11417442501748519</v>
      </c>
      <c r="R204" s="3">
        <f t="shared" si="45"/>
        <v>3.5663859261920013E-2</v>
      </c>
      <c r="S204" s="3">
        <f t="shared" si="46"/>
        <v>57.58278429320211</v>
      </c>
      <c r="T204" s="3">
        <f t="shared" si="47"/>
        <v>2053.3553281906425</v>
      </c>
      <c r="U204" s="3">
        <f t="shared" si="37"/>
        <v>3357.1292783885342</v>
      </c>
      <c r="V204" s="3">
        <f t="shared" si="38"/>
        <v>0</v>
      </c>
      <c r="W204" s="3">
        <f t="shared" si="48"/>
        <v>355.03221385485438</v>
      </c>
      <c r="Y204" s="3">
        <f t="shared" si="49"/>
        <v>5823.1632315198831</v>
      </c>
      <c r="AA204" s="3">
        <f t="shared" si="50"/>
        <v>16598.912912399246</v>
      </c>
      <c r="AB204" s="3">
        <f t="shared" si="51"/>
        <v>128.83676848011692</v>
      </c>
      <c r="AD204" s="3">
        <f t="shared" si="52"/>
        <v>4.2206777075401275E-5</v>
      </c>
    </row>
    <row r="205" spans="3:30" x14ac:dyDescent="0.25">
      <c r="C205" s="22">
        <v>173</v>
      </c>
      <c r="D205" s="22">
        <v>5735</v>
      </c>
      <c r="F205" s="3">
        <f t="shared" si="39"/>
        <v>4608.9161395038864</v>
      </c>
      <c r="G205" s="3">
        <f t="shared" si="40"/>
        <v>670.28268213389924</v>
      </c>
      <c r="H205" s="3">
        <f t="shared" si="41"/>
        <v>1.3397654797512295</v>
      </c>
      <c r="I205" s="3">
        <f t="shared" si="42"/>
        <v>0.97837547210333531</v>
      </c>
      <c r="J205" s="3">
        <f t="shared" si="43"/>
        <v>-2.0555006483205784</v>
      </c>
      <c r="K205" s="3">
        <f t="shared" si="44"/>
        <v>2.597396621209111E-2</v>
      </c>
      <c r="L205" s="3" cm="1">
        <f t="array" ref="L205">lmb_2(F205)</f>
        <v>4600.4813066615679</v>
      </c>
      <c r="M205" s="3" cm="1">
        <f t="array" ref="M205">lmb_2(G205)</f>
        <v>663.7847242474611</v>
      </c>
      <c r="N205" s="3" cm="1">
        <f t="array" ref="N205">lmb_2(H205)</f>
        <v>1.1768900615151978</v>
      </c>
      <c r="O205" s="3" cm="1">
        <f t="array" ref="O205">lmb_2(I205)</f>
        <v>0.98921701490941627</v>
      </c>
      <c r="P205" s="3" cm="1">
        <f t="array" ref="P205">lmb_2(J205)</f>
        <v>0.11421059160827758</v>
      </c>
      <c r="R205" s="3">
        <f t="shared" si="45"/>
        <v>3.5047935519156574E-2</v>
      </c>
      <c r="S205" s="3">
        <f t="shared" si="46"/>
        <v>56.589188951776137</v>
      </c>
      <c r="T205" s="3">
        <f t="shared" si="47"/>
        <v>2034.8668497057824</v>
      </c>
      <c r="U205" s="3">
        <f t="shared" si="37"/>
        <v>3360.0985055038586</v>
      </c>
      <c r="V205" s="3">
        <f t="shared" si="38"/>
        <v>0</v>
      </c>
      <c r="W205" s="3">
        <f t="shared" si="48"/>
        <v>356.80565695866164</v>
      </c>
      <c r="Y205" s="3">
        <f t="shared" si="49"/>
        <v>5808.42122302181</v>
      </c>
      <c r="AA205" s="3">
        <f t="shared" si="50"/>
        <v>5390.6759900183579</v>
      </c>
      <c r="AB205" s="3">
        <f t="shared" si="51"/>
        <v>-73.421223021809965</v>
      </c>
      <c r="AD205" s="3">
        <f t="shared" si="52"/>
        <v>2.4052708161203959E-5</v>
      </c>
    </row>
    <row r="206" spans="3:30" x14ac:dyDescent="0.25">
      <c r="C206" s="22">
        <v>174</v>
      </c>
      <c r="D206" s="22">
        <v>5756</v>
      </c>
      <c r="F206" s="3">
        <f t="shared" si="39"/>
        <v>4662.3401526861971</v>
      </c>
      <c r="G206" s="3">
        <f t="shared" si="40"/>
        <v>678.00087381472645</v>
      </c>
      <c r="H206" s="3">
        <f t="shared" si="41"/>
        <v>1.3608200914744248</v>
      </c>
      <c r="I206" s="3">
        <f t="shared" si="42"/>
        <v>0.98493697197121488</v>
      </c>
      <c r="J206" s="3">
        <f t="shared" si="43"/>
        <v>-2.0551457200632739</v>
      </c>
      <c r="K206" s="3">
        <f t="shared" si="44"/>
        <v>2.4126471690762687E-2</v>
      </c>
      <c r="L206" s="3" cm="1">
        <f t="array" ref="L206">lmb_2(F206)</f>
        <v>4653.8937858112531</v>
      </c>
      <c r="M206" s="3" cm="1">
        <f t="array" ref="M206">lmb_2(G206)</f>
        <v>671.49137264672845</v>
      </c>
      <c r="N206" s="3" cm="1">
        <f t="array" ref="N206">lmb_2(H206)</f>
        <v>1.18829803271103</v>
      </c>
      <c r="O206" s="3" cm="1">
        <f t="array" ref="O206">lmb_2(I206)</f>
        <v>0.99248268469516232</v>
      </c>
      <c r="P206" s="3" cm="1">
        <f t="array" ref="P206">lmb_2(J206)</f>
        <v>0.11424697823174909</v>
      </c>
      <c r="R206" s="3">
        <f t="shared" si="45"/>
        <v>3.4446117255829065E-2</v>
      </c>
      <c r="S206" s="3">
        <f t="shared" si="46"/>
        <v>55.61830451083901</v>
      </c>
      <c r="T206" s="3">
        <f t="shared" si="47"/>
        <v>2016.4139150363378</v>
      </c>
      <c r="U206" s="3">
        <f t="shared" si="37"/>
        <v>3362.8802544413666</v>
      </c>
      <c r="V206" s="3">
        <f t="shared" si="38"/>
        <v>0</v>
      </c>
      <c r="W206" s="3">
        <f t="shared" si="48"/>
        <v>358.57910006246897</v>
      </c>
      <c r="Y206" s="3">
        <f t="shared" si="49"/>
        <v>5793.5501466399583</v>
      </c>
      <c r="AA206" s="3">
        <f t="shared" si="50"/>
        <v>1410.0135126823684</v>
      </c>
      <c r="AB206" s="3">
        <f t="shared" si="51"/>
        <v>-37.550146639958257</v>
      </c>
      <c r="AD206" s="3">
        <f t="shared" si="52"/>
        <v>1.2301384822655932E-5</v>
      </c>
    </row>
    <row r="207" spans="3:30" x14ac:dyDescent="0.25">
      <c r="C207" s="22">
        <v>175</v>
      </c>
      <c r="D207" s="22">
        <v>5835</v>
      </c>
      <c r="F207" s="3">
        <f t="shared" si="39"/>
        <v>4716.072085252843</v>
      </c>
      <c r="G207" s="3">
        <f t="shared" si="40"/>
        <v>685.76355075019819</v>
      </c>
      <c r="H207" s="3">
        <f t="shared" si="41"/>
        <v>1.3819960554265729</v>
      </c>
      <c r="I207" s="3">
        <f t="shared" si="42"/>
        <v>0.99153629028213697</v>
      </c>
      <c r="J207" s="3">
        <f t="shared" si="43"/>
        <v>-2.0547887461099617</v>
      </c>
      <c r="K207" s="3">
        <f t="shared" si="44"/>
        <v>2.2410387058030747E-2</v>
      </c>
      <c r="L207" s="3" cm="1">
        <f t="array" ref="L207">lmb_2(F207)</f>
        <v>4707.6142505044227</v>
      </c>
      <c r="M207" s="3" cm="1">
        <f t="array" ref="M207">lmb_2(G207)</f>
        <v>679.24257243689908</v>
      </c>
      <c r="N207" s="3" cm="1">
        <f t="array" ref="N207">lmb_2(H207)</f>
        <v>1.1998224597699969</v>
      </c>
      <c r="O207" s="3" cm="1">
        <f t="array" ref="O207">lmb_2(I207)</f>
        <v>0.99577262544604972</v>
      </c>
      <c r="P207" s="3" cm="1">
        <f t="array" ref="P207">lmb_2(J207)</f>
        <v>0.11428358507006295</v>
      </c>
      <c r="R207" s="3">
        <f t="shared" si="45"/>
        <v>3.3858002882324052E-2</v>
      </c>
      <c r="S207" s="3">
        <f t="shared" si="46"/>
        <v>54.669486393206533</v>
      </c>
      <c r="T207" s="3">
        <f t="shared" si="47"/>
        <v>1998.0010637228236</v>
      </c>
      <c r="U207" s="3">
        <f t="shared" si="37"/>
        <v>3365.4756579230857</v>
      </c>
      <c r="V207" s="3">
        <f t="shared" si="38"/>
        <v>0</v>
      </c>
      <c r="W207" s="3">
        <f t="shared" si="48"/>
        <v>360.35254316627623</v>
      </c>
      <c r="Y207" s="3">
        <f t="shared" si="49"/>
        <v>5778.5550195953319</v>
      </c>
      <c r="AA207" s="3">
        <f t="shared" si="50"/>
        <v>3186.0358128833609</v>
      </c>
      <c r="AB207" s="3">
        <f t="shared" si="51"/>
        <v>56.444980404668058</v>
      </c>
      <c r="AD207" s="3">
        <f t="shared" si="52"/>
        <v>1.8491310617844952E-5</v>
      </c>
    </row>
    <row r="208" spans="3:30" x14ac:dyDescent="0.25">
      <c r="C208" s="22">
        <v>176</v>
      </c>
      <c r="D208" s="22">
        <v>5650</v>
      </c>
      <c r="F208" s="3">
        <f t="shared" si="39"/>
        <v>4770.1119372038247</v>
      </c>
      <c r="G208" s="3">
        <f t="shared" si="40"/>
        <v>693.57071294031448</v>
      </c>
      <c r="H208" s="3">
        <f t="shared" si="41"/>
        <v>1.4032933716076732</v>
      </c>
      <c r="I208" s="3">
        <f t="shared" si="42"/>
        <v>0.99817342703610157</v>
      </c>
      <c r="J208" s="3">
        <f t="shared" si="43"/>
        <v>-2.0544297264606421</v>
      </c>
      <c r="K208" s="3">
        <f t="shared" si="44"/>
        <v>2.0816365298993899E-2</v>
      </c>
      <c r="L208" s="3" cm="1">
        <f t="array" ref="L208">lmb_2(F208)</f>
        <v>4761.6426999862424</v>
      </c>
      <c r="M208" s="3" cm="1">
        <f t="array" ref="M208">lmb_2(G208)</f>
        <v>687.03832286672696</v>
      </c>
      <c r="N208" s="3" cm="1">
        <f t="array" ref="N208">lmb_2(H208)</f>
        <v>1.2114639046829885</v>
      </c>
      <c r="O208" s="3" cm="1">
        <f t="array" ref="O208">lmb_2(I208)</f>
        <v>0.99908692207283689</v>
      </c>
      <c r="P208" s="3" cm="1">
        <f t="array" ref="P208">lmb_2(J208)</f>
        <v>0.11432041230649916</v>
      </c>
      <c r="R208" s="3">
        <f t="shared" si="45"/>
        <v>3.3283204454369365E-2</v>
      </c>
      <c r="S208" s="3">
        <f t="shared" si="46"/>
        <v>53.742111826600826</v>
      </c>
      <c r="T208" s="3">
        <f t="shared" si="47"/>
        <v>1979.632700937645</v>
      </c>
      <c r="U208" s="3">
        <f t="shared" si="37"/>
        <v>3367.8858643413832</v>
      </c>
      <c r="V208" s="3">
        <f t="shared" si="38"/>
        <v>0</v>
      </c>
      <c r="W208" s="3">
        <f t="shared" si="48"/>
        <v>362.12598627008356</v>
      </c>
      <c r="Y208" s="3">
        <f t="shared" si="49"/>
        <v>5763.4407629454663</v>
      </c>
      <c r="AA208" s="3">
        <f t="shared" si="50"/>
        <v>12868.806697649481</v>
      </c>
      <c r="AB208" s="3">
        <f t="shared" si="51"/>
        <v>-113.4407629454663</v>
      </c>
      <c r="AD208" s="3">
        <f t="shared" si="52"/>
        <v>3.7163063381566065E-5</v>
      </c>
    </row>
    <row r="209" spans="3:30" x14ac:dyDescent="0.25">
      <c r="C209" s="22">
        <v>177</v>
      </c>
      <c r="D209" s="22">
        <v>5732</v>
      </c>
      <c r="F209" s="3">
        <f t="shared" si="39"/>
        <v>4824.4597085391424</v>
      </c>
      <c r="G209" s="3">
        <f t="shared" si="40"/>
        <v>701.42236038507531</v>
      </c>
      <c r="H209" s="3">
        <f t="shared" si="41"/>
        <v>1.4247120400177247</v>
      </c>
      <c r="I209" s="3">
        <f t="shared" si="42"/>
        <v>1.0048483822331087</v>
      </c>
      <c r="J209" s="3">
        <f t="shared" si="43"/>
        <v>-2.0540686611153149</v>
      </c>
      <c r="K209" s="3">
        <f t="shared" si="44"/>
        <v>1.9335724239795214E-2</v>
      </c>
      <c r="L209" s="3" cm="1">
        <f t="array" ref="L209">lmb_2(F209)</f>
        <v>4815.9791335147265</v>
      </c>
      <c r="M209" s="3" cm="1">
        <f t="array" ref="M209">lmb_2(G209)</f>
        <v>694.87392146942182</v>
      </c>
      <c r="N209" s="3" cm="1">
        <f t="array" ref="N209">lmb_2(H209)</f>
        <v>1.2232229237542935</v>
      </c>
      <c r="O209" s="3" cm="1">
        <f t="array" ref="O209">lmb_2(I209)</f>
        <v>1.0024256596984236</v>
      </c>
      <c r="P209" s="3" cm="1">
        <f t="array" ref="P209">lmb_2(J209)</f>
        <v>0.1143574601254556</v>
      </c>
      <c r="R209" s="3">
        <f t="shared" si="45"/>
        <v>3.2721347135057852E-2</v>
      </c>
      <c r="S209" s="3">
        <f t="shared" si="46"/>
        <v>52.83629348083128</v>
      </c>
      <c r="T209" s="3">
        <f t="shared" si="47"/>
        <v>1961.3130984601275</v>
      </c>
      <c r="U209" s="3">
        <f t="shared" si="37"/>
        <v>3370.1120374170132</v>
      </c>
      <c r="V209" s="3">
        <f t="shared" si="38"/>
        <v>0</v>
      </c>
      <c r="W209" s="3">
        <f t="shared" si="48"/>
        <v>363.89942937389083</v>
      </c>
      <c r="Y209" s="3">
        <f t="shared" si="49"/>
        <v>5748.2129158032376</v>
      </c>
      <c r="AA209" s="3">
        <f t="shared" si="50"/>
        <v>262.8586388428713</v>
      </c>
      <c r="AB209" s="3">
        <f t="shared" si="51"/>
        <v>-16.212915803237593</v>
      </c>
      <c r="AD209" s="3">
        <f t="shared" si="52"/>
        <v>5.3113325576394376E-6</v>
      </c>
    </row>
    <row r="210" spans="3:30" x14ac:dyDescent="0.25">
      <c r="C210" s="22">
        <v>178</v>
      </c>
      <c r="D210" s="22">
        <v>5660</v>
      </c>
      <c r="F210" s="3">
        <f t="shared" si="39"/>
        <v>4879.1153992587979</v>
      </c>
      <c r="G210" s="3">
        <f t="shared" si="40"/>
        <v>709.31849308448056</v>
      </c>
      <c r="H210" s="3">
        <f t="shared" si="41"/>
        <v>1.4462520606567291</v>
      </c>
      <c r="I210" s="3">
        <f t="shared" si="42"/>
        <v>1.0115611558731585</v>
      </c>
      <c r="J210" s="3">
        <f t="shared" si="43"/>
        <v>-2.05370555007398</v>
      </c>
      <c r="K210" s="3">
        <f t="shared" si="44"/>
        <v>1.7960399258340913E-2</v>
      </c>
      <c r="L210" s="3" cm="1">
        <f t="array" ref="L210">lmb_2(F210)</f>
        <v>4870.6235503604448</v>
      </c>
      <c r="M210" s="3" cm="1">
        <f t="array" ref="M210">lmb_2(G210)</f>
        <v>702.75881563555299</v>
      </c>
      <c r="N210" s="3" cm="1">
        <f t="array" ref="N210">lmb_2(H210)</f>
        <v>1.235100067524012</v>
      </c>
      <c r="O210" s="3" cm="1">
        <f t="array" ref="O210">lmb_2(I210)</f>
        <v>1.0057889236528577</v>
      </c>
      <c r="P210" s="3" cm="1">
        <f t="array" ref="P210">lmb_2(J210)</f>
        <v>0.11439472871244927</v>
      </c>
      <c r="R210" s="3">
        <f t="shared" si="45"/>
        <v>3.2172068680979521E-2</v>
      </c>
      <c r="S210" s="3">
        <f t="shared" si="46"/>
        <v>51.949994224118953</v>
      </c>
      <c r="T210" s="3">
        <f t="shared" si="47"/>
        <v>1943.0463957329212</v>
      </c>
      <c r="U210" s="3">
        <f t="shared" si="37"/>
        <v>3372.1553558565251</v>
      </c>
      <c r="V210" s="3">
        <f t="shared" si="38"/>
        <v>0</v>
      </c>
      <c r="W210" s="3">
        <f t="shared" si="48"/>
        <v>365.67287247769815</v>
      </c>
      <c r="Y210" s="3">
        <f t="shared" si="49"/>
        <v>5732.8747507592034</v>
      </c>
      <c r="AA210" s="3">
        <f t="shared" si="50"/>
        <v>5310.7292982160134</v>
      </c>
      <c r="AB210" s="3">
        <f t="shared" si="51"/>
        <v>-72.87475075920338</v>
      </c>
      <c r="AD210" s="3">
        <f t="shared" si="52"/>
        <v>2.387368447691087E-5</v>
      </c>
    </row>
    <row r="211" spans="3:30" x14ac:dyDescent="0.25">
      <c r="C211" s="22">
        <v>179</v>
      </c>
      <c r="D211" s="22">
        <v>5661</v>
      </c>
      <c r="F211" s="3">
        <f t="shared" si="39"/>
        <v>4934.0790093627875</v>
      </c>
      <c r="G211" s="3">
        <f t="shared" si="40"/>
        <v>717.25911103853059</v>
      </c>
      <c r="H211" s="3">
        <f t="shared" si="41"/>
        <v>1.4679134335246857</v>
      </c>
      <c r="I211" s="3">
        <f t="shared" si="42"/>
        <v>1.0183117479562505</v>
      </c>
      <c r="J211" s="3">
        <f t="shared" si="43"/>
        <v>-2.0533403933366379</v>
      </c>
      <c r="K211" s="3">
        <f t="shared" si="44"/>
        <v>1.6682899358644861E-2</v>
      </c>
      <c r="L211" s="3" cm="1">
        <f t="array" ref="L211">lmb_2(F211)</f>
        <v>4925.5759498062407</v>
      </c>
      <c r="M211" s="3" cm="1">
        <f t="array" ref="M211">lmb_2(G211)</f>
        <v>710.68825760609593</v>
      </c>
      <c r="N211" s="3" cm="1">
        <f t="array" ref="N211">lmb_2(H211)</f>
        <v>1.2470958806937709</v>
      </c>
      <c r="O211" s="3" cm="1">
        <f t="array" ref="O211">lmb_2(I211)</f>
        <v>1.0091767994683185</v>
      </c>
      <c r="P211" s="3" cm="1">
        <f t="array" ref="P211">lmb_2(J211)</f>
        <v>0.11443221825411744</v>
      </c>
      <c r="R211" s="3">
        <f t="shared" si="45"/>
        <v>3.1635018951253251E-2</v>
      </c>
      <c r="S211" s="3">
        <f t="shared" si="46"/>
        <v>51.083393790225678</v>
      </c>
      <c r="T211" s="3">
        <f t="shared" si="47"/>
        <v>1924.836600996256</v>
      </c>
      <c r="U211" s="3">
        <f t="shared" si="37"/>
        <v>3374.0170130091551</v>
      </c>
      <c r="V211" s="3">
        <f t="shared" si="38"/>
        <v>0</v>
      </c>
      <c r="W211" s="3">
        <f t="shared" si="48"/>
        <v>367.44631558150542</v>
      </c>
      <c r="Y211" s="3">
        <f t="shared" si="49"/>
        <v>5717.4316412954522</v>
      </c>
      <c r="AA211" s="3">
        <f t="shared" si="50"/>
        <v>3184.5301392985871</v>
      </c>
      <c r="AB211" s="3">
        <f t="shared" si="51"/>
        <v>-56.431641295452209</v>
      </c>
      <c r="AD211" s="3">
        <f t="shared" si="52"/>
        <v>1.848694074101787E-5</v>
      </c>
    </row>
    <row r="212" spans="3:30" x14ac:dyDescent="0.25">
      <c r="C212" s="22">
        <v>180</v>
      </c>
      <c r="D212" s="22">
        <v>5760</v>
      </c>
      <c r="F212" s="3">
        <f t="shared" si="39"/>
        <v>4989.350538851113</v>
      </c>
      <c r="G212" s="3">
        <f t="shared" si="40"/>
        <v>725.24421424722505</v>
      </c>
      <c r="H212" s="3">
        <f t="shared" si="41"/>
        <v>1.489696158621594</v>
      </c>
      <c r="I212" s="3">
        <f t="shared" si="42"/>
        <v>1.0251001584823853</v>
      </c>
      <c r="J212" s="3">
        <f t="shared" si="43"/>
        <v>-2.052973190903288</v>
      </c>
      <c r="K212" s="3">
        <f t="shared" si="44"/>
        <v>1.5496266369547413E-2</v>
      </c>
      <c r="L212" s="3" cm="1">
        <f t="array" ref="L212">lmb_2(F212)</f>
        <v>4980.8363311469629</v>
      </c>
      <c r="M212" s="3" cm="1">
        <f t="array" ref="M212">lmb_2(G212)</f>
        <v>718.66224669188432</v>
      </c>
      <c r="N212" s="3" cm="1">
        <f t="array" ref="N212">lmb_2(H212)</f>
        <v>1.2592109020557667</v>
      </c>
      <c r="O212" s="3" cm="1">
        <f t="array" ref="O212">lmb_2(I212)</f>
        <v>1.0125893728740838</v>
      </c>
      <c r="P212" s="3" cm="1">
        <f t="array" ref="P212">lmb_2(J212)</f>
        <v>0.11446992893821881</v>
      </c>
      <c r="R212" s="3">
        <f t="shared" si="45"/>
        <v>3.1109859438316279E-2</v>
      </c>
      <c r="S212" s="3">
        <f t="shared" si="46"/>
        <v>50.235948397669453</v>
      </c>
      <c r="T212" s="3">
        <f t="shared" si="47"/>
        <v>1906.6875924965145</v>
      </c>
      <c r="U212" s="3">
        <f t="shared" si="37"/>
        <v>3375.6982165232798</v>
      </c>
      <c r="V212" s="3">
        <f t="shared" si="38"/>
        <v>0</v>
      </c>
      <c r="W212" s="3">
        <f t="shared" si="48"/>
        <v>369.21975868531274</v>
      </c>
      <c r="Y212" s="3">
        <f t="shared" si="49"/>
        <v>5701.8881222285836</v>
      </c>
      <c r="AA212" s="3">
        <f t="shared" si="50"/>
        <v>3376.9903381200397</v>
      </c>
      <c r="AB212" s="3">
        <f t="shared" si="51"/>
        <v>58.111877771416403</v>
      </c>
      <c r="AD212" s="3">
        <f t="shared" si="52"/>
        <v>1.9037384276753732E-5</v>
      </c>
    </row>
    <row r="213" spans="3:30" x14ac:dyDescent="0.25">
      <c r="C213" s="22">
        <v>181</v>
      </c>
      <c r="D213" s="22">
        <v>5849</v>
      </c>
      <c r="F213" s="3">
        <f t="shared" si="39"/>
        <v>5044.9299877237754</v>
      </c>
      <c r="G213" s="3">
        <f t="shared" si="40"/>
        <v>733.27380271056393</v>
      </c>
      <c r="H213" s="3">
        <f t="shared" si="41"/>
        <v>1.511600235947455</v>
      </c>
      <c r="I213" s="3">
        <f t="shared" si="42"/>
        <v>1.0319263874515627</v>
      </c>
      <c r="J213" s="3">
        <f t="shared" si="43"/>
        <v>-2.0526039427739304</v>
      </c>
      <c r="K213" s="3">
        <f t="shared" si="44"/>
        <v>1.4394037045576954E-2</v>
      </c>
      <c r="L213" s="3" cm="1">
        <f t="array" ref="L213">lmb_2(F213)</f>
        <v>5036.4046936891946</v>
      </c>
      <c r="M213" s="3" cm="1">
        <f t="array" ref="M213">lmb_2(G213)</f>
        <v>726.68078221502105</v>
      </c>
      <c r="N213" s="3" cm="1">
        <f t="array" ref="N213">lmb_2(H213)</f>
        <v>1.2714456644251497</v>
      </c>
      <c r="O213" s="3" cm="1">
        <f t="array" ref="O213">lmb_2(I213)</f>
        <v>1.0160267297914711</v>
      </c>
      <c r="P213" s="3" cm="1">
        <f t="array" ref="P213">lmb_2(J213)</f>
        <v>0.11450786095363481</v>
      </c>
      <c r="R213" s="3">
        <f t="shared" si="45"/>
        <v>3.0596262819392518E-2</v>
      </c>
      <c r="S213" s="3">
        <f t="shared" si="46"/>
        <v>49.407132161119179</v>
      </c>
      <c r="T213" s="3">
        <f t="shared" si="47"/>
        <v>1888.6031197656073</v>
      </c>
      <c r="U213" s="3">
        <f t="shared" si="37"/>
        <v>3377.2001880025746</v>
      </c>
      <c r="V213" s="3">
        <f t="shared" si="38"/>
        <v>0</v>
      </c>
      <c r="W213" s="3">
        <f t="shared" si="48"/>
        <v>370.99320178912001</v>
      </c>
      <c r="Y213" s="3">
        <f t="shared" si="49"/>
        <v>5686.2486320182852</v>
      </c>
      <c r="AA213" s="3">
        <f t="shared" si="50"/>
        <v>26488.007779919539</v>
      </c>
      <c r="AB213" s="3">
        <f t="shared" si="51"/>
        <v>162.75136798171479</v>
      </c>
      <c r="AD213" s="3">
        <f t="shared" si="52"/>
        <v>5.3317160839694195E-5</v>
      </c>
    </row>
    <row r="214" spans="3:30" x14ac:dyDescent="0.25">
      <c r="C214" s="22">
        <v>182</v>
      </c>
      <c r="D214" s="22">
        <v>5749</v>
      </c>
      <c r="F214" s="3">
        <f t="shared" si="39"/>
        <v>5100.8173559807747</v>
      </c>
      <c r="G214" s="3">
        <f t="shared" si="40"/>
        <v>741.34787642854747</v>
      </c>
      <c r="H214" s="3">
        <f t="shared" si="41"/>
        <v>1.5336256655022682</v>
      </c>
      <c r="I214" s="3">
        <f t="shared" si="42"/>
        <v>1.0387904348637824</v>
      </c>
      <c r="J214" s="3">
        <f t="shared" si="43"/>
        <v>-2.0522326489485656</v>
      </c>
      <c r="K214" s="3">
        <f t="shared" si="44"/>
        <v>1.3370207863527663E-2</v>
      </c>
      <c r="L214" s="3" cm="1">
        <f t="array" ref="L214">lmb_2(F214)</f>
        <v>5092.2810367509928</v>
      </c>
      <c r="M214" s="3" cm="1">
        <f t="array" ref="M214">lmb_2(G214)</f>
        <v>734.7438635086346</v>
      </c>
      <c r="N214" s="3" cm="1">
        <f t="array" ref="N214">lmb_2(H214)</f>
        <v>1.283800694575753</v>
      </c>
      <c r="O214" s="3" cm="1">
        <f t="array" ref="O214">lmb_2(I214)</f>
        <v>1.0194889563287632</v>
      </c>
      <c r="P214" s="3" cm="1">
        <f t="array" ref="P214">lmb_2(J214)</f>
        <v>0.11454601449037045</v>
      </c>
      <c r="R214" s="3">
        <f t="shared" si="45"/>
        <v>3.0093912527619799E-2</v>
      </c>
      <c r="S214" s="3">
        <f t="shared" si="46"/>
        <v>48.596436408777791</v>
      </c>
      <c r="T214" s="3">
        <f t="shared" si="47"/>
        <v>1870.5868049676662</v>
      </c>
      <c r="U214" s="3">
        <f t="shared" si="37"/>
        <v>3378.5241626619299</v>
      </c>
      <c r="V214" s="3">
        <f t="shared" si="38"/>
        <v>0</v>
      </c>
      <c r="W214" s="3">
        <f t="shared" si="48"/>
        <v>372.76664489292727</v>
      </c>
      <c r="Y214" s="3">
        <f t="shared" si="49"/>
        <v>5670.5175130516927</v>
      </c>
      <c r="AA214" s="3">
        <f t="shared" si="50"/>
        <v>6159.5007575912205</v>
      </c>
      <c r="AB214" s="3">
        <f t="shared" si="51"/>
        <v>78.482486948307269</v>
      </c>
      <c r="AD214" s="3">
        <f t="shared" si="52"/>
        <v>2.5710772398498215E-5</v>
      </c>
    </row>
    <row r="215" spans="3:30" x14ac:dyDescent="0.25">
      <c r="C215" s="22">
        <v>183</v>
      </c>
      <c r="D215" s="22">
        <v>5545</v>
      </c>
      <c r="F215" s="3">
        <f t="shared" si="39"/>
        <v>5157.012643622109</v>
      </c>
      <c r="G215" s="3">
        <f t="shared" si="40"/>
        <v>749.46643540117554</v>
      </c>
      <c r="H215" s="3">
        <f t="shared" si="41"/>
        <v>1.5557724472860324</v>
      </c>
      <c r="I215" s="3">
        <f t="shared" si="42"/>
        <v>1.0456923007190448</v>
      </c>
      <c r="J215" s="3">
        <f t="shared" si="43"/>
        <v>-2.0518593094271935</v>
      </c>
      <c r="K215" s="3">
        <f t="shared" si="44"/>
        <v>1.2419202323011067E-2</v>
      </c>
      <c r="L215" s="3" cm="1">
        <f t="array" ref="L215">lmb_2(F215)</f>
        <v>5148.4653596616408</v>
      </c>
      <c r="M215" s="3" cm="1">
        <f t="array" ref="M215">lmb_2(G215)</f>
        <v>742.85148991664198</v>
      </c>
      <c r="N215" s="3" cm="1">
        <f t="array" ref="N215">lmb_2(H215)</f>
        <v>1.2962765131791785</v>
      </c>
      <c r="O215" s="3" cm="1">
        <f t="array" ref="O215">lmb_2(I215)</f>
        <v>1.0229761387761138</v>
      </c>
      <c r="P215" s="3" cm="1">
        <f t="array" ref="P215">lmb_2(J215)</f>
        <v>0.11458438973955599</v>
      </c>
      <c r="R215" s="3">
        <f t="shared" si="45"/>
        <v>2.9602502341871929E-2</v>
      </c>
      <c r="S215" s="3">
        <f t="shared" si="46"/>
        <v>47.803369029324884</v>
      </c>
      <c r="T215" s="3">
        <f t="shared" si="47"/>
        <v>1852.6421443095717</v>
      </c>
      <c r="U215" s="3">
        <f t="shared" si="37"/>
        <v>3379.6713889832668</v>
      </c>
      <c r="V215" s="3">
        <f t="shared" si="38"/>
        <v>0</v>
      </c>
      <c r="W215" s="3">
        <f t="shared" si="48"/>
        <v>374.5400879967346</v>
      </c>
      <c r="Y215" s="3">
        <f t="shared" si="49"/>
        <v>5654.6990120235632</v>
      </c>
      <c r="AA215" s="3">
        <f t="shared" si="50"/>
        <v>12033.873238945869</v>
      </c>
      <c r="AB215" s="3">
        <f t="shared" si="51"/>
        <v>-109.69901202356323</v>
      </c>
      <c r="AD215" s="3">
        <f t="shared" si="52"/>
        <v>3.5937270085944764E-5</v>
      </c>
    </row>
    <row r="216" spans="3:30" x14ac:dyDescent="0.25">
      <c r="C216" s="22">
        <v>184</v>
      </c>
      <c r="D216" s="22">
        <v>5550</v>
      </c>
      <c r="F216" s="3">
        <f t="shared" si="39"/>
        <v>5213.5158506477792</v>
      </c>
      <c r="G216" s="3">
        <f t="shared" si="40"/>
        <v>757.62947962844817</v>
      </c>
      <c r="H216" s="3">
        <f t="shared" si="41"/>
        <v>1.5780405812987497</v>
      </c>
      <c r="I216" s="3">
        <f t="shared" si="42"/>
        <v>1.0526319850173496</v>
      </c>
      <c r="J216" s="3">
        <f t="shared" si="43"/>
        <v>-2.0514839242098137</v>
      </c>
      <c r="K216" s="3">
        <f t="shared" si="44"/>
        <v>1.1535840572877166E-2</v>
      </c>
      <c r="L216" s="3" cm="1">
        <f t="array" ref="L216">lmb_2(F216)</f>
        <v>5204.9576617614011</v>
      </c>
      <c r="M216" s="3" cm="1">
        <f t="array" ref="M216">lmb_2(G216)</f>
        <v>751.0036607935192</v>
      </c>
      <c r="N216" s="3" cm="1">
        <f t="array" ref="N216">lmb_2(H216)</f>
        <v>1.3088736347472474</v>
      </c>
      <c r="O216" s="3" cm="1">
        <f t="array" ref="O216">lmb_2(I216)</f>
        <v>1.0264883636004329</v>
      </c>
      <c r="P216" s="3" cm="1">
        <f t="array" ref="P216">lmb_2(J216)</f>
        <v>0.11462298689344787</v>
      </c>
      <c r="R216" s="3">
        <f t="shared" si="45"/>
        <v>2.9121735994363664E-2</v>
      </c>
      <c r="S216" s="3">
        <f t="shared" si="46"/>
        <v>47.027453846987868</v>
      </c>
      <c r="T216" s="3">
        <f t="shared" si="47"/>
        <v>1834.7725095118446</v>
      </c>
      <c r="U216" s="3">
        <f t="shared" si="37"/>
        <v>3380.64312837134</v>
      </c>
      <c r="V216" s="3">
        <f t="shared" si="38"/>
        <v>0</v>
      </c>
      <c r="W216" s="3">
        <f t="shared" si="48"/>
        <v>376.31353110054187</v>
      </c>
      <c r="Y216" s="3">
        <f t="shared" si="49"/>
        <v>5638.7972804072815</v>
      </c>
      <c r="AA216" s="3">
        <f t="shared" si="50"/>
        <v>7884.9570077293802</v>
      </c>
      <c r="AB216" s="3">
        <f t="shared" si="51"/>
        <v>-88.797280407281505</v>
      </c>
      <c r="AD216" s="3">
        <f t="shared" si="52"/>
        <v>2.9089886864326503E-5</v>
      </c>
    </row>
    <row r="217" spans="3:30" x14ac:dyDescent="0.25">
      <c r="C217" s="22">
        <v>185</v>
      </c>
      <c r="D217" s="22">
        <v>5622</v>
      </c>
      <c r="F217" s="3">
        <f t="shared" si="39"/>
        <v>5270.3269770577854</v>
      </c>
      <c r="G217" s="3">
        <f t="shared" si="40"/>
        <v>765.83700911036522</v>
      </c>
      <c r="H217" s="3">
        <f t="shared" si="41"/>
        <v>1.6004300675404193</v>
      </c>
      <c r="I217" s="3">
        <f t="shared" si="42"/>
        <v>1.059609487758697</v>
      </c>
      <c r="J217" s="3">
        <f t="shared" si="43"/>
        <v>-2.0511064932964262</v>
      </c>
      <c r="K217" s="3">
        <f t="shared" si="44"/>
        <v>1.0715311198068496E-2</v>
      </c>
      <c r="L217" s="3" cm="1">
        <f t="array" ref="L217">lmb_2(F217)</f>
        <v>5261.7579424012756</v>
      </c>
      <c r="M217" s="3" cm="1">
        <f t="array" ref="M217">lmb_2(G217)</f>
        <v>759.20037550407721</v>
      </c>
      <c r="N217" s="3" cm="1">
        <f t="array" ref="N217">lmb_2(H217)</f>
        <v>1.3215925675778002</v>
      </c>
      <c r="O217" s="3" cm="1">
        <f t="array" ref="O217">lmb_2(I217)</f>
        <v>1.0300257174402578</v>
      </c>
      <c r="P217" s="3" cm="1">
        <f t="array" ref="P217">lmb_2(J217)</f>
        <v>0.11466180614542988</v>
      </c>
      <c r="R217" s="3">
        <f t="shared" si="45"/>
        <v>2.8651326795175618E-2</v>
      </c>
      <c r="S217" s="3">
        <f t="shared" si="46"/>
        <v>46.268230023388348</v>
      </c>
      <c r="T217" s="3">
        <f t="shared" si="47"/>
        <v>1816.9811493365191</v>
      </c>
      <c r="U217" s="3">
        <f t="shared" si="37"/>
        <v>3381.4406548096172</v>
      </c>
      <c r="V217" s="3">
        <f t="shared" si="38"/>
        <v>0</v>
      </c>
      <c r="W217" s="3">
        <f t="shared" si="48"/>
        <v>378.08697420434919</v>
      </c>
      <c r="Y217" s="3">
        <f t="shared" si="49"/>
        <v>5622.8163750118674</v>
      </c>
      <c r="AA217" s="3">
        <f t="shared" si="50"/>
        <v>0.66646816000153275</v>
      </c>
      <c r="AB217" s="3">
        <f t="shared" si="51"/>
        <v>-0.81637501186742156</v>
      </c>
      <c r="AD217" s="3">
        <f t="shared" si="52"/>
        <v>2.6744351431892623E-7</v>
      </c>
    </row>
    <row r="218" spans="3:30" x14ac:dyDescent="0.25">
      <c r="C218" s="22">
        <v>186</v>
      </c>
      <c r="D218" s="22">
        <v>5672</v>
      </c>
      <c r="F218" s="3">
        <f t="shared" si="39"/>
        <v>5327.4460228521293</v>
      </c>
      <c r="G218" s="3">
        <f t="shared" si="40"/>
        <v>774.08902384692692</v>
      </c>
      <c r="H218" s="3">
        <f t="shared" si="41"/>
        <v>1.6229409060110407</v>
      </c>
      <c r="I218" s="3">
        <f t="shared" si="42"/>
        <v>1.0666248089430872</v>
      </c>
      <c r="J218" s="3">
        <f t="shared" si="43"/>
        <v>-2.0507270166870311</v>
      </c>
      <c r="K218" s="3">
        <f t="shared" si="44"/>
        <v>9.9531450132389829E-3</v>
      </c>
      <c r="L218" s="3" cm="1">
        <f t="array" ref="L218">lmb_2(F218)</f>
        <v>5318.8662009427799</v>
      </c>
      <c r="M218" s="3" cm="1">
        <f t="array" ref="M218">lmb_2(G218)</f>
        <v>767.44163342324327</v>
      </c>
      <c r="N218" s="3" cm="1">
        <f t="array" ref="N218">lmb_2(H218)</f>
        <v>1.3344338137038587</v>
      </c>
      <c r="O218" s="3" cm="1">
        <f t="array" ref="O218">lmb_2(I218)</f>
        <v>1.0335882871006044</v>
      </c>
      <c r="P218" s="3" cm="1">
        <f t="array" ref="P218">lmb_2(J218)</f>
        <v>0.11470084769001462</v>
      </c>
      <c r="R218" s="3">
        <f t="shared" si="45"/>
        <v>2.8190997272882767E-2</v>
      </c>
      <c r="S218" s="3">
        <f t="shared" si="46"/>
        <v>45.525251484881402</v>
      </c>
      <c r="T218" s="3">
        <f t="shared" si="47"/>
        <v>1799.2711911685687</v>
      </c>
      <c r="U218" s="3">
        <f t="shared" si="37"/>
        <v>3382.065254516348</v>
      </c>
      <c r="V218" s="3">
        <f t="shared" si="38"/>
        <v>0</v>
      </c>
      <c r="W218" s="3">
        <f t="shared" si="48"/>
        <v>379.86041730815646</v>
      </c>
      <c r="Y218" s="3">
        <f t="shared" si="49"/>
        <v>5606.7602586202411</v>
      </c>
      <c r="AA218" s="3">
        <f t="shared" si="50"/>
        <v>4256.2238552978288</v>
      </c>
      <c r="AB218" s="3">
        <f t="shared" si="51"/>
        <v>65.239741379758925</v>
      </c>
      <c r="AD218" s="3">
        <f t="shared" si="52"/>
        <v>2.137246419136372E-5</v>
      </c>
    </row>
    <row r="219" spans="3:30" x14ac:dyDescent="0.25">
      <c r="C219" s="22">
        <v>187</v>
      </c>
      <c r="D219" s="22">
        <v>5682</v>
      </c>
      <c r="F219" s="3">
        <f t="shared" si="39"/>
        <v>5384.8729880308074</v>
      </c>
      <c r="G219" s="3">
        <f t="shared" si="40"/>
        <v>782.38552383813317</v>
      </c>
      <c r="H219" s="3">
        <f t="shared" si="41"/>
        <v>1.6455730967106139</v>
      </c>
      <c r="I219" s="3">
        <f t="shared" si="42"/>
        <v>1.0736779485705195</v>
      </c>
      <c r="J219" s="3">
        <f t="shared" si="43"/>
        <v>-2.0503454943816286</v>
      </c>
      <c r="K219" s="3">
        <f t="shared" si="44"/>
        <v>9.2451907203983941E-3</v>
      </c>
      <c r="L219" s="3" cm="1">
        <f t="array" ref="L219">lmb_2(F219)</f>
        <v>5376.282436757705</v>
      </c>
      <c r="M219" s="3" cm="1">
        <f t="array" ref="M219">lmb_2(G219)</f>
        <v>775.72743393584824</v>
      </c>
      <c r="N219" s="3" cm="1">
        <f t="array" ref="N219">lmb_2(H219)</f>
        <v>1.3473978688461328</v>
      </c>
      <c r="O219" s="3" cm="1">
        <f t="array" ref="O219">lmb_2(I219)</f>
        <v>1.0371761595478017</v>
      </c>
      <c r="P219" s="3" cm="1">
        <f t="array" ref="P219">lmb_2(J219)</f>
        <v>0.11474011172284437</v>
      </c>
      <c r="R219" s="3">
        <f t="shared" si="45"/>
        <v>2.7740478830513653E-2</v>
      </c>
      <c r="S219" s="3">
        <f t="shared" si="46"/>
        <v>44.79808637417338</v>
      </c>
      <c r="T219" s="3">
        <f t="shared" si="47"/>
        <v>1781.6456426475588</v>
      </c>
      <c r="U219" s="3">
        <f t="shared" si="37"/>
        <v>3382.5182256009207</v>
      </c>
      <c r="V219" s="3">
        <f t="shared" si="38"/>
        <v>0</v>
      </c>
      <c r="W219" s="3">
        <f t="shared" si="48"/>
        <v>381.63386041196378</v>
      </c>
      <c r="Y219" s="3">
        <f t="shared" si="49"/>
        <v>5590.6328007041675</v>
      </c>
      <c r="AA219" s="3">
        <f t="shared" si="50"/>
        <v>8347.9651071643766</v>
      </c>
      <c r="AB219" s="3">
        <f t="shared" si="51"/>
        <v>91.367199295832506</v>
      </c>
      <c r="AD219" s="3">
        <f t="shared" si="52"/>
        <v>2.9931789334487223E-5</v>
      </c>
    </row>
    <row r="220" spans="3:30" x14ac:dyDescent="0.25">
      <c r="C220" s="22">
        <v>188</v>
      </c>
      <c r="D220" s="22">
        <v>5451</v>
      </c>
      <c r="F220" s="3">
        <f t="shared" si="39"/>
        <v>5442.6078725938223</v>
      </c>
      <c r="G220" s="3">
        <f t="shared" si="40"/>
        <v>790.72650908398384</v>
      </c>
      <c r="H220" s="3">
        <f t="shared" si="41"/>
        <v>1.6683266396391394</v>
      </c>
      <c r="I220" s="3">
        <f t="shared" si="42"/>
        <v>1.0807689066409945</v>
      </c>
      <c r="J220" s="3">
        <f t="shared" si="43"/>
        <v>-2.0499619263802189</v>
      </c>
      <c r="K220" s="3">
        <f t="shared" si="44"/>
        <v>8.5875922979972395E-3</v>
      </c>
      <c r="L220" s="3" cm="1">
        <f t="array" ref="L220">lmb_2(F220)</f>
        <v>5434.0066492279138</v>
      </c>
      <c r="M220" s="3" cm="1">
        <f t="array" ref="M220">lmb_2(G220)</f>
        <v>784.05777643642011</v>
      </c>
      <c r="N220" s="3" cm="1">
        <f t="array" ref="N220">lmb_2(H220)</f>
        <v>1.3604852223688637</v>
      </c>
      <c r="O220" s="3" cm="1">
        <f t="array" ref="O220">lmb_2(I220)</f>
        <v>1.0407894219043143</v>
      </c>
      <c r="P220" s="3" cm="1">
        <f t="array" ref="P220">lmb_2(J220)</f>
        <v>0.11477959844069265</v>
      </c>
      <c r="R220" s="3">
        <f t="shared" si="45"/>
        <v>2.7299511416107973E-2</v>
      </c>
      <c r="S220" s="3">
        <f t="shared" si="46"/>
        <v>44.086316525067808</v>
      </c>
      <c r="T220" s="3">
        <f t="shared" si="47"/>
        <v>1764.1073933462112</v>
      </c>
      <c r="U220" s="3">
        <f t="shared" si="37"/>
        <v>3382.8008777205846</v>
      </c>
      <c r="V220" s="3">
        <f t="shared" si="38"/>
        <v>0</v>
      </c>
      <c r="W220" s="3">
        <f t="shared" si="48"/>
        <v>383.40730351577105</v>
      </c>
      <c r="Y220" s="3">
        <f t="shared" si="49"/>
        <v>5574.4377782113479</v>
      </c>
      <c r="AA220" s="3">
        <f t="shared" si="50"/>
        <v>15236.885089753916</v>
      </c>
      <c r="AB220" s="3">
        <f t="shared" si="51"/>
        <v>-123.4377782113479</v>
      </c>
      <c r="AD220" s="3">
        <f t="shared" si="52"/>
        <v>4.0438074077069228E-5</v>
      </c>
    </row>
    <row r="221" spans="3:30" x14ac:dyDescent="0.25">
      <c r="C221" s="22">
        <v>189</v>
      </c>
      <c r="D221" s="22">
        <v>5582</v>
      </c>
      <c r="F221" s="3">
        <f t="shared" si="39"/>
        <v>5500.6506765411723</v>
      </c>
      <c r="G221" s="3">
        <f t="shared" si="40"/>
        <v>799.11197958447917</v>
      </c>
      <c r="H221" s="3">
        <f t="shared" si="41"/>
        <v>1.6912015347966176</v>
      </c>
      <c r="I221" s="3">
        <f t="shared" si="42"/>
        <v>1.087897683154512</v>
      </c>
      <c r="J221" s="3">
        <f t="shared" si="43"/>
        <v>-2.0495763126828015</v>
      </c>
      <c r="K221" s="3">
        <f t="shared" si="44"/>
        <v>7.9767679982964673E-3</v>
      </c>
      <c r="L221" s="3" cm="1">
        <f t="array" ref="L221">lmb_2(F221)</f>
        <v>5492.0388377451118</v>
      </c>
      <c r="M221" s="3" cm="1">
        <f t="array" ref="M221">lmb_2(G221)</f>
        <v>792.43266032898191</v>
      </c>
      <c r="N221" s="3" cm="1">
        <f t="array" ref="N221">lmb_2(H221)</f>
        <v>1.3736963572389904</v>
      </c>
      <c r="O221" s="3" cm="1">
        <f t="array" ref="O221">lmb_2(I221)</f>
        <v>1.0444281614435447</v>
      </c>
      <c r="P221" s="3" cm="1">
        <f t="array" ref="P221">lmb_2(J221)</f>
        <v>0.11481930804146538</v>
      </c>
      <c r="R221" s="3">
        <f t="shared" si="45"/>
        <v>2.686784320717981E-2</v>
      </c>
      <c r="S221" s="3">
        <f t="shared" si="46"/>
        <v>43.389536959249313</v>
      </c>
      <c r="T221" s="3">
        <f t="shared" si="47"/>
        <v>1746.659216492623</v>
      </c>
      <c r="U221" s="3">
        <f t="shared" si="37"/>
        <v>3382.9145317376638</v>
      </c>
      <c r="V221" s="3">
        <f t="shared" si="38"/>
        <v>0</v>
      </c>
      <c r="W221" s="3">
        <f t="shared" si="48"/>
        <v>385.18074661957837</v>
      </c>
      <c r="Y221" s="3">
        <f t="shared" si="49"/>
        <v>5558.1788764203202</v>
      </c>
      <c r="AA221" s="3">
        <f t="shared" si="50"/>
        <v>567.44592859837724</v>
      </c>
      <c r="AB221" s="3">
        <f t="shared" si="51"/>
        <v>23.821123579679806</v>
      </c>
      <c r="AD221" s="3">
        <f t="shared" si="52"/>
        <v>7.8037726688891111E-6</v>
      </c>
    </row>
    <row r="222" spans="3:30" x14ac:dyDescent="0.25">
      <c r="C222" s="22">
        <v>190</v>
      </c>
      <c r="D222" s="22">
        <v>5456</v>
      </c>
      <c r="F222" s="3">
        <f t="shared" si="39"/>
        <v>5559.0013998728609</v>
      </c>
      <c r="G222" s="3">
        <f t="shared" si="40"/>
        <v>807.54193533961904</v>
      </c>
      <c r="H222" s="3">
        <f t="shared" si="41"/>
        <v>1.7141977821830472</v>
      </c>
      <c r="I222" s="3">
        <f t="shared" si="42"/>
        <v>1.0950642781110722</v>
      </c>
      <c r="J222" s="3">
        <f t="shared" si="43"/>
        <v>-2.0491886532893764</v>
      </c>
      <c r="K222" s="3">
        <f t="shared" si="44"/>
        <v>7.4093908386272589E-3</v>
      </c>
      <c r="L222" s="3" cm="1">
        <f t="array" ref="L222">lmb_2(F222)</f>
        <v>5550.3790017106548</v>
      </c>
      <c r="M222" s="3" cm="1">
        <f t="array" ref="M222">lmb_2(G222)</f>
        <v>800.85208502685532</v>
      </c>
      <c r="N222" s="3" cm="1">
        <f t="array" ref="N222">lmb_2(H222)</f>
        <v>1.3870317499886176</v>
      </c>
      <c r="O222" s="3" cm="1">
        <f t="array" ref="O222">lmb_2(I222)</f>
        <v>1.0480924655846249</v>
      </c>
      <c r="P222" s="3" cm="1">
        <f t="array" ref="P222">lmb_2(J222)</f>
        <v>0.11485924072420202</v>
      </c>
      <c r="R222" s="3">
        <f t="shared" si="45"/>
        <v>2.6445230308428914E-2</v>
      </c>
      <c r="S222" s="3">
        <f t="shared" si="46"/>
        <v>42.707355404071699</v>
      </c>
      <c r="T222" s="3">
        <f t="shared" si="47"/>
        <v>1729.3037707329402</v>
      </c>
      <c r="U222" s="3">
        <f t="shared" si="37"/>
        <v>3382.8605193773387</v>
      </c>
      <c r="V222" s="3">
        <f t="shared" si="38"/>
        <v>0</v>
      </c>
      <c r="W222" s="3">
        <f t="shared" si="48"/>
        <v>386.95418972338564</v>
      </c>
      <c r="Y222" s="3">
        <f t="shared" si="49"/>
        <v>5541.859689858883</v>
      </c>
      <c r="AA222" s="3">
        <f t="shared" si="50"/>
        <v>7371.8863426635817</v>
      </c>
      <c r="AB222" s="3">
        <f t="shared" si="51"/>
        <v>-85.85968985888303</v>
      </c>
      <c r="AD222" s="3">
        <f t="shared" si="52"/>
        <v>2.8127535581554343E-5</v>
      </c>
    </row>
    <row r="223" spans="3:30" x14ac:dyDescent="0.25">
      <c r="C223" s="22">
        <v>191</v>
      </c>
      <c r="D223" s="22">
        <v>5553</v>
      </c>
      <c r="F223" s="3">
        <f t="shared" si="39"/>
        <v>5617.6600425888837</v>
      </c>
      <c r="G223" s="3">
        <f t="shared" si="40"/>
        <v>816.01637634940346</v>
      </c>
      <c r="H223" s="3">
        <f t="shared" si="41"/>
        <v>1.7373153817984295</v>
      </c>
      <c r="I223" s="3">
        <f t="shared" si="42"/>
        <v>1.1022686915106747</v>
      </c>
      <c r="J223" s="3">
        <f t="shared" si="43"/>
        <v>-2.048798948199944</v>
      </c>
      <c r="K223" s="3">
        <f t="shared" si="44"/>
        <v>6.8823704802819631E-3</v>
      </c>
      <c r="L223" s="3" cm="1">
        <f t="array" ref="L223">lmb_2(F223)</f>
        <v>5609.0271405353278</v>
      </c>
      <c r="M223" s="3" cm="1">
        <f t="array" ref="M223">lmb_2(G223)</f>
        <v>809.31604995246914</v>
      </c>
      <c r="N223" s="3" cm="1">
        <f t="array" ref="N223">lmb_2(H223)</f>
        <v>1.4004918706807743</v>
      </c>
      <c r="O223" s="3" cm="1">
        <f t="array" ref="O223">lmb_2(I223)</f>
        <v>1.0517824218871927</v>
      </c>
      <c r="P223" s="3" cm="1">
        <f t="array" ref="P223">lmb_2(J223)</f>
        <v>0.11489939668907681</v>
      </c>
      <c r="R223" s="3">
        <f t="shared" si="45"/>
        <v>2.6031436462078131E-2</v>
      </c>
      <c r="S223" s="3">
        <f t="shared" si="46"/>
        <v>42.039391830370469</v>
      </c>
      <c r="T223" s="3">
        <f t="shared" si="47"/>
        <v>1712.0436019313051</v>
      </c>
      <c r="U223" s="3">
        <f t="shared" si="37"/>
        <v>3382.6401828860803</v>
      </c>
      <c r="V223" s="3">
        <f t="shared" si="38"/>
        <v>0</v>
      </c>
      <c r="W223" s="3">
        <f t="shared" si="48"/>
        <v>388.72763282719296</v>
      </c>
      <c r="Y223" s="3">
        <f t="shared" si="49"/>
        <v>5525.4837232818918</v>
      </c>
      <c r="AA223" s="3">
        <f t="shared" si="50"/>
        <v>757.14548442750345</v>
      </c>
      <c r="AB223" s="3">
        <f t="shared" si="51"/>
        <v>27.516276718108202</v>
      </c>
      <c r="AD223" s="3">
        <f t="shared" si="52"/>
        <v>9.0143005842736516E-6</v>
      </c>
    </row>
    <row r="224" spans="3:30" x14ac:dyDescent="0.25">
      <c r="C224" s="22">
        <v>192</v>
      </c>
      <c r="D224" s="22">
        <v>5583</v>
      </c>
      <c r="F224" s="3">
        <f t="shared" si="39"/>
        <v>5676.6266046892424</v>
      </c>
      <c r="G224" s="3">
        <f t="shared" si="40"/>
        <v>824.53530261383241</v>
      </c>
      <c r="H224" s="3">
        <f t="shared" si="41"/>
        <v>1.7605543336427636</v>
      </c>
      <c r="I224" s="3">
        <f t="shared" si="42"/>
        <v>1.1095109233533198</v>
      </c>
      <c r="J224" s="3">
        <f t="shared" si="43"/>
        <v>-2.0484071974145039</v>
      </c>
      <c r="K224" s="3">
        <f t="shared" si="44"/>
        <v>6.3928363963362328E-3</v>
      </c>
      <c r="L224" s="3" cm="1">
        <f t="array" ref="L224">lmb_2(F224)</f>
        <v>5667.9832536391632</v>
      </c>
      <c r="M224" s="3" cm="1">
        <f t="array" ref="M224">lmb_2(G224)</f>
        <v>817.82455453717284</v>
      </c>
      <c r="N224" s="3" cm="1">
        <f t="array" ref="N224">lmb_2(H224)</f>
        <v>1.4140771828784264</v>
      </c>
      <c r="O224" s="3" cm="1">
        <f t="array" ref="O224">lmb_2(I224)</f>
        <v>1.0554981180461553</v>
      </c>
      <c r="P224" s="3" cm="1">
        <f t="array" ref="P224">lmb_2(J224)</f>
        <v>0.11493977613740027</v>
      </c>
      <c r="R224" s="3">
        <f t="shared" si="45"/>
        <v>2.5626232770246067E-2</v>
      </c>
      <c r="S224" s="3">
        <f t="shared" si="46"/>
        <v>41.385278009369969</v>
      </c>
      <c r="T224" s="3">
        <f t="shared" si="47"/>
        <v>1694.8811450040105</v>
      </c>
      <c r="U224" s="3">
        <f t="shared" ref="U224:U287" si="53">$I$18*(C224/$I$19)*($O$28+$O$28^2)/(O224+O224^2)</f>
        <v>3382.2548746908642</v>
      </c>
      <c r="V224" s="3">
        <f t="shared" ref="V224:V287" si="54">$J$18*(C224/$J$19)*($P$28+$P$28^2)/(P224+P224^2)</f>
        <v>0</v>
      </c>
      <c r="W224" s="3">
        <f t="shared" si="48"/>
        <v>390.50107593100023</v>
      </c>
      <c r="Y224" s="3">
        <f t="shared" si="49"/>
        <v>5509.0543927044109</v>
      </c>
      <c r="AA224" s="3">
        <f t="shared" si="50"/>
        <v>5467.9528383134757</v>
      </c>
      <c r="AB224" s="3">
        <f t="shared" si="51"/>
        <v>73.94560729558907</v>
      </c>
      <c r="AD224" s="3">
        <f t="shared" si="52"/>
        <v>2.422449584577831E-5</v>
      </c>
    </row>
    <row r="225" spans="3:30" x14ac:dyDescent="0.25">
      <c r="C225" s="22">
        <v>193</v>
      </c>
      <c r="D225" s="22">
        <v>5340</v>
      </c>
      <c r="F225" s="3">
        <f t="shared" ref="F225:F288" si="55">$F$20/(1-$F$20)-LN((1-$F$20)/$F$20)+(C225/$F$19)^2/((1-$F$20)*(1+0.534156*$F$20^0.7917))</f>
        <v>5735.9010861739389</v>
      </c>
      <c r="G225" s="3">
        <f t="shared" ref="G225:G288" si="56">$G$20/(1-$G$20)-LN((1-$G$20)/$G$20)+(C225/$G$19)^2/((1-$G$20)*(1+0.534156*$G$20^0.7917))</f>
        <v>833.09871413290546</v>
      </c>
      <c r="H225" s="3">
        <f t="shared" ref="H225:H288" si="57">$H$20/(1-$H$20)-LN((1-$H$20)/$H$20)+(C225/$H$19)^2/((1-$H$20)*(1+0.534156*$H$20^0.7917))</f>
        <v>1.7839146377160495</v>
      </c>
      <c r="I225" s="3">
        <f t="shared" ref="I225:I288" si="58">$I$20/(1-$I$20)-LN((1-$I$20)/$I$20)+(C225/$I$19)^2/((1-$I$20)*(1+0.534156*$I$20^0.7917))</f>
        <v>1.1167909736390076</v>
      </c>
      <c r="J225" s="3">
        <f t="shared" ref="J225:J288" si="59">$J$20/(1-$J$20)-LN((1-$J$20)/$J$20)+(C225/$J$19)^2/((1-$J$20)*(1+0.534156*$J$20^0.7917))</f>
        <v>-2.0480134009330562</v>
      </c>
      <c r="K225" s="3">
        <f t="shared" ref="K225:K288" si="60">$K$18*EXP(-$K$20*C225)</f>
        <v>5.9381222367219863E-3</v>
      </c>
      <c r="L225" s="3" cm="1">
        <f t="array" ref="L225">lmb_2(F225)</f>
        <v>5727.247340451243</v>
      </c>
      <c r="M225" s="3" cm="1">
        <f t="array" ref="M225">lmb_2(G225)</f>
        <v>826.37759822105397</v>
      </c>
      <c r="N225" s="3" cm="1">
        <f t="array" ref="N225">lmb_2(H225)</f>
        <v>1.4277881436167288</v>
      </c>
      <c r="O225" s="3" cm="1">
        <f t="array" ref="O225">lmb_2(I225)</f>
        <v>1.0592396418864409</v>
      </c>
      <c r="P225" s="3" cm="1">
        <f t="array" ref="P225">lmb_2(J225)</f>
        <v>0.11498037927162021</v>
      </c>
      <c r="R225" s="3">
        <f t="shared" ref="R225:R288" si="61">$F$18*(C225/$F$19)*($L$28+$L$28^2)/(L225+L225^2)</f>
        <v>2.5229397428795632E-2</v>
      </c>
      <c r="S225" s="3">
        <f t="shared" ref="S225:S288" si="62">$G$18*(C225/$G$19)*($M$28+$M$28^2)/(M225+M225^2)</f>
        <v>40.744657087803475</v>
      </c>
      <c r="T225" s="3">
        <f t="shared" ref="T225:T288" si="63">$H$18*(C225/$H$19)*($N$28+$N$28^2)/(N225+N225^2)</f>
        <v>1677.8187257847976</v>
      </c>
      <c r="U225" s="3">
        <f t="shared" si="53"/>
        <v>3381.7059570592178</v>
      </c>
      <c r="V225" s="3">
        <f t="shared" si="54"/>
        <v>0</v>
      </c>
      <c r="W225" s="3">
        <f t="shared" ref="W225:W288" si="64">$F$22+$G$22/$F$21*C225</f>
        <v>392.2745190348075</v>
      </c>
      <c r="Y225" s="3">
        <f t="shared" ref="Y225:Y288" si="65">SUM(R225:W225)+K225</f>
        <v>5492.5750264862918</v>
      </c>
      <c r="AA225" s="3">
        <f t="shared" ref="AA225:AA288" si="66">(D225-Y225)^2</f>
        <v>23279.138707292641</v>
      </c>
      <c r="AB225" s="3">
        <f t="shared" ref="AB225:AB288" si="67">D225-Y225</f>
        <v>-152.57502648629179</v>
      </c>
      <c r="AD225" s="3">
        <f t="shared" ref="AD225:AD288" si="68">ABS(AB225/$AC$32)</f>
        <v>4.9983403077780448E-5</v>
      </c>
    </row>
    <row r="226" spans="3:30" x14ac:dyDescent="0.25">
      <c r="C226" s="22">
        <v>194</v>
      </c>
      <c r="D226" s="22">
        <v>5519</v>
      </c>
      <c r="F226" s="3">
        <f t="shared" si="55"/>
        <v>5795.4834870429704</v>
      </c>
      <c r="G226" s="3">
        <f t="shared" si="56"/>
        <v>841.7066109066235</v>
      </c>
      <c r="H226" s="3">
        <f t="shared" si="57"/>
        <v>1.8073962940182882</v>
      </c>
      <c r="I226" s="3">
        <f t="shared" si="58"/>
        <v>1.1241088423677381</v>
      </c>
      <c r="J226" s="3">
        <f t="shared" si="59"/>
        <v>-2.0476175587556011</v>
      </c>
      <c r="K226" s="3">
        <f t="shared" si="60"/>
        <v>5.5157513053924684E-3</v>
      </c>
      <c r="L226" s="3" cm="1">
        <f t="array" ref="L226">lmb_2(F226)</f>
        <v>5786.8194004095067</v>
      </c>
      <c r="M226" s="3" cm="1">
        <f t="array" ref="M226">lmb_2(G226)</f>
        <v>834.97518045276297</v>
      </c>
      <c r="N226" s="3" cm="1">
        <f t="array" ref="N226">lmb_2(H226)</f>
        <v>1.4416252033784782</v>
      </c>
      <c r="O226" s="3" cm="1">
        <f t="array" ref="O226">lmb_2(I226)</f>
        <v>1.0630070813577379</v>
      </c>
      <c r="P226" s="3" cm="1">
        <f t="array" ref="P226">lmb_2(J226)</f>
        <v>0.11502120629532306</v>
      </c>
      <c r="R226" s="3">
        <f t="shared" si="61"/>
        <v>2.4840715472127413E-2</v>
      </c>
      <c r="S226" s="3">
        <f t="shared" si="62"/>
        <v>40.117183180408979</v>
      </c>
      <c r="T226" s="3">
        <f t="shared" si="63"/>
        <v>1660.8585629183408</v>
      </c>
      <c r="U226" s="3">
        <f t="shared" si="53"/>
        <v>3380.9948017602137</v>
      </c>
      <c r="V226" s="3">
        <f t="shared" si="54"/>
        <v>0</v>
      </c>
      <c r="W226" s="3">
        <f t="shared" si="64"/>
        <v>394.04796213861482</v>
      </c>
      <c r="Y226" s="3">
        <f t="shared" si="65"/>
        <v>5476.0488664643553</v>
      </c>
      <c r="AA226" s="3">
        <f t="shared" si="66"/>
        <v>1844.7998719967791</v>
      </c>
      <c r="AB226" s="3">
        <f t="shared" si="67"/>
        <v>42.951133535644658</v>
      </c>
      <c r="AD226" s="3">
        <f t="shared" si="68"/>
        <v>1.407074191366819E-5</v>
      </c>
    </row>
    <row r="227" spans="3:30" x14ac:dyDescent="0.25">
      <c r="C227" s="22">
        <v>195</v>
      </c>
      <c r="D227" s="22">
        <v>5514</v>
      </c>
      <c r="F227" s="3">
        <f t="shared" si="55"/>
        <v>5855.373807296337</v>
      </c>
      <c r="G227" s="3">
        <f t="shared" si="56"/>
        <v>850.35899293498608</v>
      </c>
      <c r="H227" s="3">
        <f t="shared" si="57"/>
        <v>1.8309993025494791</v>
      </c>
      <c r="I227" s="3">
        <f t="shared" si="58"/>
        <v>1.1314645295395105</v>
      </c>
      <c r="J227" s="3">
        <f t="shared" si="59"/>
        <v>-2.0472196708821384</v>
      </c>
      <c r="K227" s="3">
        <f t="shared" si="60"/>
        <v>5.1234230704778191E-3</v>
      </c>
      <c r="L227" s="3" cm="1">
        <f t="array" ref="L227">lmb_2(F227)</f>
        <v>5846.6994329605759</v>
      </c>
      <c r="M227" s="3" cm="1">
        <f t="array" ref="M227">lmb_2(G227)</f>
        <v>843.61730068933764</v>
      </c>
      <c r="N227" s="3" cm="1">
        <f t="array" ref="N227">lmb_2(H227)</f>
        <v>1.4555888060727411</v>
      </c>
      <c r="O227" s="3" cm="1">
        <f t="array" ref="O227">lmb_2(I227)</f>
        <v>1.0668005245292231</v>
      </c>
      <c r="P227" s="3" cm="1">
        <f t="array" ref="P227">lmb_2(J227)</f>
        <v>0.11506225741323524</v>
      </c>
      <c r="R227" s="3">
        <f t="shared" si="61"/>
        <v>2.4459978528413914E-2</v>
      </c>
      <c r="S227" s="3">
        <f t="shared" si="62"/>
        <v>39.502520979006711</v>
      </c>
      <c r="T227" s="3">
        <f t="shared" si="63"/>
        <v>1644.0027697789965</v>
      </c>
      <c r="U227" s="3">
        <f t="shared" si="53"/>
        <v>3380.1227897265021</v>
      </c>
      <c r="V227" s="3">
        <f t="shared" si="54"/>
        <v>0</v>
      </c>
      <c r="W227" s="3">
        <f t="shared" si="64"/>
        <v>395.82140524242209</v>
      </c>
      <c r="Y227" s="3">
        <f t="shared" si="65"/>
        <v>5459.4790691285261</v>
      </c>
      <c r="AA227" s="3">
        <f t="shared" si="66"/>
        <v>2972.5319030920318</v>
      </c>
      <c r="AB227" s="3">
        <f t="shared" si="67"/>
        <v>54.520930871473865</v>
      </c>
      <c r="AD227" s="3">
        <f t="shared" si="68"/>
        <v>1.7860994205165838E-5</v>
      </c>
    </row>
    <row r="228" spans="3:30" x14ac:dyDescent="0.25">
      <c r="C228" s="22">
        <v>196</v>
      </c>
      <c r="D228" s="22">
        <v>5417</v>
      </c>
      <c r="F228" s="3">
        <f t="shared" si="55"/>
        <v>5915.5720469340395</v>
      </c>
      <c r="G228" s="3">
        <f t="shared" si="56"/>
        <v>859.0558602179932</v>
      </c>
      <c r="H228" s="3">
        <f t="shared" si="57"/>
        <v>1.8547236633096214</v>
      </c>
      <c r="I228" s="3">
        <f t="shared" si="58"/>
        <v>1.1388580351543258</v>
      </c>
      <c r="J228" s="3">
        <f t="shared" si="59"/>
        <v>-2.0468197373126684</v>
      </c>
      <c r="K228" s="3">
        <f t="shared" si="60"/>
        <v>4.7590006339556252E-3</v>
      </c>
      <c r="L228" s="3" cm="1">
        <f t="array" ref="L228">lmb_2(F228)</f>
        <v>5906.8874375595751</v>
      </c>
      <c r="M228" s="3" cm="1">
        <f t="array" ref="M228">lmb_2(G228)</f>
        <v>852.30395839603614</v>
      </c>
      <c r="N228" s="3" cm="1">
        <f t="array" ref="N228">lmb_2(H228)</f>
        <v>1.4696793890166162</v>
      </c>
      <c r="O228" s="3" cm="1">
        <f t="array" ref="O228">lmb_2(I228)</f>
        <v>1.0706200595842821</v>
      </c>
      <c r="P228" s="3" cm="1">
        <f t="array" ref="P228">lmb_2(J228)</f>
        <v>0.11510353283122439</v>
      </c>
      <c r="R228" s="3">
        <f t="shared" si="61"/>
        <v>2.4086984584796606E-2</v>
      </c>
      <c r="S228" s="3">
        <f t="shared" si="62"/>
        <v>38.900345377403433</v>
      </c>
      <c r="T228" s="3">
        <f t="shared" si="63"/>
        <v>1627.2533564119844</v>
      </c>
      <c r="U228" s="3">
        <f t="shared" si="53"/>
        <v>3379.091310717447</v>
      </c>
      <c r="V228" s="3">
        <f t="shared" si="54"/>
        <v>0</v>
      </c>
      <c r="W228" s="3">
        <f t="shared" si="64"/>
        <v>397.59484834622941</v>
      </c>
      <c r="Y228" s="3">
        <f t="shared" si="65"/>
        <v>5442.8687068382833</v>
      </c>
      <c r="AA228" s="3">
        <f t="shared" si="66"/>
        <v>669.18999348504451</v>
      </c>
      <c r="AB228" s="3">
        <f t="shared" si="67"/>
        <v>-25.868706838283288</v>
      </c>
      <c r="AD228" s="3">
        <f t="shared" si="68"/>
        <v>8.4745585878369151E-6</v>
      </c>
    </row>
    <row r="229" spans="3:30" x14ac:dyDescent="0.25">
      <c r="C229" s="22">
        <v>197</v>
      </c>
      <c r="D229" s="22">
        <v>5556</v>
      </c>
      <c r="F229" s="3">
        <f t="shared" si="55"/>
        <v>5976.0782059560806</v>
      </c>
      <c r="G229" s="3">
        <f t="shared" si="56"/>
        <v>867.79721275564475</v>
      </c>
      <c r="H229" s="3">
        <f t="shared" si="57"/>
        <v>1.8785693762987163</v>
      </c>
      <c r="I229" s="3">
        <f t="shared" si="58"/>
        <v>1.1462893592121837</v>
      </c>
      <c r="J229" s="3">
        <f t="shared" si="59"/>
        <v>-2.0464177580471907</v>
      </c>
      <c r="K229" s="3">
        <f t="shared" si="60"/>
        <v>4.4204990925876975E-3</v>
      </c>
      <c r="L229" s="3" cm="1">
        <f t="array" ref="L229">lmb_2(F229)</f>
        <v>5967.3834136699579</v>
      </c>
      <c r="M229" s="3" cm="1">
        <f t="array" ref="M229">lmb_2(G229)</f>
        <v>861.03515304617224</v>
      </c>
      <c r="N229" s="3" cm="1">
        <f t="array" ref="N229">lmb_2(H229)</f>
        <v>1.4838973829201014</v>
      </c>
      <c r="O229" s="3" cm="1">
        <f t="array" ref="O229">lmb_2(I229)</f>
        <v>1.0744657748152164</v>
      </c>
      <c r="P229" s="3" cm="1">
        <f t="array" ref="P229">lmb_2(J229)</f>
        <v>0.11514503275630068</v>
      </c>
      <c r="R229" s="3">
        <f t="shared" si="61"/>
        <v>2.3721537762091884E-2</v>
      </c>
      <c r="S229" s="3">
        <f t="shared" si="62"/>
        <v>38.310341111407482</v>
      </c>
      <c r="T229" s="3">
        <f t="shared" si="63"/>
        <v>1610.6122314942172</v>
      </c>
      <c r="U229" s="3">
        <f t="shared" si="53"/>
        <v>3377.9017629834807</v>
      </c>
      <c r="V229" s="3">
        <f t="shared" si="54"/>
        <v>0</v>
      </c>
      <c r="W229" s="3">
        <f t="shared" si="64"/>
        <v>399.36829145003668</v>
      </c>
      <c r="Y229" s="3">
        <f t="shared" si="65"/>
        <v>5426.2207690759969</v>
      </c>
      <c r="AA229" s="3">
        <f t="shared" si="66"/>
        <v>16842.64877922571</v>
      </c>
      <c r="AB229" s="3">
        <f t="shared" si="67"/>
        <v>129.77923092400306</v>
      </c>
      <c r="AD229" s="3">
        <f t="shared" si="68"/>
        <v>4.2515526687335071E-5</v>
      </c>
    </row>
    <row r="230" spans="3:30" x14ac:dyDescent="0.25">
      <c r="C230" s="22">
        <v>198</v>
      </c>
      <c r="D230" s="22">
        <v>5350</v>
      </c>
      <c r="F230" s="3">
        <f t="shared" si="55"/>
        <v>6036.8922843624559</v>
      </c>
      <c r="G230" s="3">
        <f t="shared" si="56"/>
        <v>876.58305054794107</v>
      </c>
      <c r="H230" s="3">
        <f t="shared" si="57"/>
        <v>1.902536441516764</v>
      </c>
      <c r="I230" s="3">
        <f t="shared" si="58"/>
        <v>1.153758501713084</v>
      </c>
      <c r="J230" s="3">
        <f t="shared" si="59"/>
        <v>-2.0460137330857058</v>
      </c>
      <c r="K230" s="3">
        <f t="shared" si="60"/>
        <v>4.1060747267281901E-3</v>
      </c>
      <c r="L230" s="3" cm="1">
        <f t="array" ref="L230">lmb_2(F230)</f>
        <v>6028.1873607633324</v>
      </c>
      <c r="M230" s="3" cm="1">
        <f t="array" ref="M230">lmb_2(G230)</f>
        <v>869.81088412095585</v>
      </c>
      <c r="N230" s="3" cm="1">
        <f t="array" ref="N230">lmb_2(H230)</f>
        <v>1.4982432118740143</v>
      </c>
      <c r="O230" s="3" cm="1">
        <f t="array" ref="O230">lmb_2(I230)</f>
        <v>1.0783377586179452</v>
      </c>
      <c r="P230" s="3" cm="1">
        <f t="array" ref="P230">lmb_2(J230)</f>
        <v>0.11518675739661803</v>
      </c>
      <c r="R230" s="3">
        <f t="shared" si="61"/>
        <v>2.336344809857473E-2</v>
      </c>
      <c r="S230" s="3">
        <f t="shared" si="62"/>
        <v>37.73220241327359</v>
      </c>
      <c r="T230" s="3">
        <f t="shared" si="63"/>
        <v>1594.0812043120968</v>
      </c>
      <c r="U230" s="3">
        <f t="shared" si="53"/>
        <v>3376.5555529317517</v>
      </c>
      <c r="V230" s="3">
        <f t="shared" si="54"/>
        <v>0</v>
      </c>
      <c r="W230" s="3">
        <f t="shared" si="64"/>
        <v>401.141734553844</v>
      </c>
      <c r="Y230" s="3">
        <f t="shared" si="65"/>
        <v>5409.5381637337914</v>
      </c>
      <c r="AA230" s="3">
        <f t="shared" si="66"/>
        <v>3544.7929407917545</v>
      </c>
      <c r="AB230" s="3">
        <f t="shared" si="67"/>
        <v>-59.538163733791407</v>
      </c>
      <c r="AD230" s="3">
        <f t="shared" si="68"/>
        <v>1.950463391651031E-5</v>
      </c>
    </row>
    <row r="231" spans="3:30" x14ac:dyDescent="0.25">
      <c r="C231" s="22">
        <v>199</v>
      </c>
      <c r="D231" s="22">
        <v>5403</v>
      </c>
      <c r="F231" s="3">
        <f t="shared" si="55"/>
        <v>6098.0142821531672</v>
      </c>
      <c r="G231" s="3">
        <f t="shared" si="56"/>
        <v>885.41337359488136</v>
      </c>
      <c r="H231" s="3">
        <f t="shared" si="57"/>
        <v>1.9266248589637627</v>
      </c>
      <c r="I231" s="3">
        <f t="shared" si="58"/>
        <v>1.1612654626570269</v>
      </c>
      <c r="J231" s="3">
        <f t="shared" si="59"/>
        <v>-2.0456076624282131</v>
      </c>
      <c r="K231" s="3">
        <f t="shared" si="60"/>
        <v>3.8140149581178838E-3</v>
      </c>
      <c r="L231" s="3" cm="1">
        <f t="array" ref="L231">lmb_2(F231)</f>
        <v>6089.299278319304</v>
      </c>
      <c r="M231" s="3" cm="1">
        <f t="array" ref="M231">lmb_2(G231)</f>
        <v>878.63115110933484</v>
      </c>
      <c r="N231" s="3" cm="1">
        <f t="array" ref="N231">lmb_2(H231)</f>
        <v>1.5127172933409343</v>
      </c>
      <c r="O231" s="3" cm="1">
        <f t="array" ref="O231">lmb_2(I231)</f>
        <v>1.0822360994866966</v>
      </c>
      <c r="P231" s="3" cm="1">
        <f t="array" ref="P231">lmb_2(J231)</f>
        <v>0.11522870696147558</v>
      </c>
      <c r="R231" s="3">
        <f t="shared" si="61"/>
        <v>2.3012531342430538E-2</v>
      </c>
      <c r="S231" s="3">
        <f t="shared" si="62"/>
        <v>37.165632679931122</v>
      </c>
      <c r="T231" s="3">
        <f t="shared" si="63"/>
        <v>1577.6619867536358</v>
      </c>
      <c r="U231" s="3">
        <f t="shared" si="53"/>
        <v>3375.0540947931404</v>
      </c>
      <c r="V231" s="3">
        <f t="shared" si="54"/>
        <v>0</v>
      </c>
      <c r="W231" s="3">
        <f t="shared" si="64"/>
        <v>402.91517765765127</v>
      </c>
      <c r="Y231" s="3">
        <f t="shared" si="65"/>
        <v>5392.823718430659</v>
      </c>
      <c r="AA231" s="3">
        <f t="shared" si="66"/>
        <v>103.55670657850875</v>
      </c>
      <c r="AB231" s="3">
        <f t="shared" si="67"/>
        <v>10.176281569340972</v>
      </c>
      <c r="AD231" s="3">
        <f t="shared" si="68"/>
        <v>3.3337381301982442E-6</v>
      </c>
    </row>
    <row r="232" spans="3:30" x14ac:dyDescent="0.25">
      <c r="C232" s="22">
        <v>200</v>
      </c>
      <c r="D232" s="22">
        <v>5377</v>
      </c>
      <c r="F232" s="3">
        <f t="shared" si="55"/>
        <v>6159.4441993282153</v>
      </c>
      <c r="G232" s="3">
        <f t="shared" si="56"/>
        <v>894.28818189646654</v>
      </c>
      <c r="H232" s="3">
        <f t="shared" si="57"/>
        <v>1.950834628639714</v>
      </c>
      <c r="I232" s="3">
        <f t="shared" si="58"/>
        <v>1.1688102420440123</v>
      </c>
      <c r="J232" s="3">
        <f t="shared" si="59"/>
        <v>-2.0451995460747128</v>
      </c>
      <c r="K232" s="3">
        <f t="shared" si="60"/>
        <v>3.5427290219674284E-3</v>
      </c>
      <c r="L232" s="3" cm="1">
        <f t="array" ref="L232">lmb_2(F232)</f>
        <v>6150.719165825315</v>
      </c>
      <c r="M232" s="3" cm="1">
        <f t="array" ref="M232">lmb_2(G232)</f>
        <v>887.49595350784557</v>
      </c>
      <c r="N232" s="3" cm="1">
        <f t="array" ref="N232">lmb_2(H232)</f>
        <v>1.5273200381491181</v>
      </c>
      <c r="O232" s="3" cm="1">
        <f t="array" ref="O232">lmb_2(I232)</f>
        <v>1.086160886008694</v>
      </c>
      <c r="P232" s="3" cm="1">
        <f t="array" ref="P232">lmb_2(J232)</f>
        <v>0.11527088166131889</v>
      </c>
      <c r="R232" s="3">
        <f t="shared" si="61"/>
        <v>2.2668608752486236E-2</v>
      </c>
      <c r="S232" s="3">
        <f t="shared" si="62"/>
        <v>36.610344154380286</v>
      </c>
      <c r="T232" s="3">
        <f t="shared" si="63"/>
        <v>1561.3561953123572</v>
      </c>
      <c r="U232" s="3">
        <f t="shared" si="53"/>
        <v>3373.3988102907429</v>
      </c>
      <c r="V232" s="3">
        <f t="shared" si="54"/>
        <v>0</v>
      </c>
      <c r="W232" s="3">
        <f t="shared" si="64"/>
        <v>404.68862076145859</v>
      </c>
      <c r="Y232" s="3">
        <f t="shared" si="65"/>
        <v>5376.0801818567143</v>
      </c>
      <c r="AA232" s="3">
        <f t="shared" si="66"/>
        <v>0.84606541671762281</v>
      </c>
      <c r="AB232" s="3">
        <f t="shared" si="67"/>
        <v>0.91981814328573819</v>
      </c>
      <c r="AD232" s="3">
        <f t="shared" si="68"/>
        <v>3.0133136511850694E-7</v>
      </c>
    </row>
    <row r="233" spans="3:30" x14ac:dyDescent="0.25">
      <c r="C233" s="22">
        <v>201</v>
      </c>
      <c r="D233" s="22">
        <v>5345</v>
      </c>
      <c r="F233" s="3">
        <f t="shared" si="55"/>
        <v>6221.1820358876003</v>
      </c>
      <c r="G233" s="3">
        <f t="shared" si="56"/>
        <v>903.20747545269637</v>
      </c>
      <c r="H233" s="3">
        <f t="shared" si="57"/>
        <v>1.9751657505446176</v>
      </c>
      <c r="I233" s="3">
        <f t="shared" si="58"/>
        <v>1.1763928398740404</v>
      </c>
      <c r="J233" s="3">
        <f t="shared" si="59"/>
        <v>-2.0447893840252052</v>
      </c>
      <c r="K233" s="3">
        <f t="shared" si="60"/>
        <v>3.2907393025233093E-3</v>
      </c>
      <c r="L233" s="3" cm="1">
        <f t="array" ref="L233">lmb_2(F233)</f>
        <v>6212.4470227764841</v>
      </c>
      <c r="M233" s="3" cm="1">
        <f t="array" ref="M233">lmb_2(G233)</f>
        <v>896.405290820461</v>
      </c>
      <c r="N233" s="3" cm="1">
        <f t="array" ref="N233">lmb_2(H233)</f>
        <v>1.5420518504893372</v>
      </c>
      <c r="O233" s="3" cm="1">
        <f t="array" ref="O233">lmb_2(I233)</f>
        <v>1.0901122068588345</v>
      </c>
      <c r="P233" s="3" cm="1">
        <f t="array" ref="P233">lmb_2(J233)</f>
        <v>0.1153132817077412</v>
      </c>
      <c r="R233" s="3">
        <f t="shared" si="61"/>
        <v>2.2331506906850838E-2</v>
      </c>
      <c r="S233" s="3">
        <f t="shared" si="62"/>
        <v>36.066057619672669</v>
      </c>
      <c r="T233" s="3">
        <f t="shared" si="63"/>
        <v>1545.1653531005059</v>
      </c>
      <c r="U233" s="3">
        <f t="shared" si="53"/>
        <v>3371.5911283098944</v>
      </c>
      <c r="V233" s="3">
        <f t="shared" si="54"/>
        <v>0</v>
      </c>
      <c r="W233" s="3">
        <f t="shared" si="64"/>
        <v>406.46206386526586</v>
      </c>
      <c r="Y233" s="3">
        <f t="shared" si="65"/>
        <v>5359.3102251415485</v>
      </c>
      <c r="AA233" s="3">
        <f t="shared" si="66"/>
        <v>204.78254360180597</v>
      </c>
      <c r="AB233" s="3">
        <f t="shared" si="67"/>
        <v>-14.310225141548472</v>
      </c>
      <c r="AD233" s="3">
        <f t="shared" si="68"/>
        <v>4.6880132866833828E-6</v>
      </c>
    </row>
    <row r="234" spans="3:30" x14ac:dyDescent="0.25">
      <c r="C234" s="22">
        <v>202</v>
      </c>
      <c r="D234" s="22">
        <v>5395</v>
      </c>
      <c r="F234" s="3">
        <f t="shared" si="55"/>
        <v>6283.2277918313193</v>
      </c>
      <c r="G234" s="3">
        <f t="shared" si="56"/>
        <v>912.17125426357063</v>
      </c>
      <c r="H234" s="3">
        <f t="shared" si="57"/>
        <v>1.9996182246784726</v>
      </c>
      <c r="I234" s="3">
        <f t="shared" si="58"/>
        <v>1.1840132561471108</v>
      </c>
      <c r="J234" s="3">
        <f t="shared" si="59"/>
        <v>-2.0443771762796898</v>
      </c>
      <c r="K234" s="3">
        <f t="shared" si="60"/>
        <v>3.0566732849236634E-3</v>
      </c>
      <c r="L234" s="3" cm="1">
        <f t="array" ref="L234">lmb_2(F234)</f>
        <v>6274.4828486754495</v>
      </c>
      <c r="M234" s="3" cm="1">
        <f t="array" ref="M234">lmb_2(G234)</f>
        <v>905.35916255844711</v>
      </c>
      <c r="N234" s="3" cm="1">
        <f t="array" ref="N234">lmb_2(H234)</f>
        <v>1.5569131279145942</v>
      </c>
      <c r="O234" s="3" cm="1">
        <f t="array" ref="O234">lmb_2(I234)</f>
        <v>1.0940901507943612</v>
      </c>
      <c r="P234" s="3" cm="1">
        <f t="array" ref="P234">lmb_2(J234)</f>
        <v>0.11535590731348493</v>
      </c>
      <c r="R234" s="3">
        <f t="shared" si="61"/>
        <v>2.2001057519113947E-2</v>
      </c>
      <c r="S234" s="3">
        <f t="shared" si="62"/>
        <v>35.532502104919473</v>
      </c>
      <c r="T234" s="3">
        <f t="shared" si="63"/>
        <v>1529.0908918691675</v>
      </c>
      <c r="U234" s="3">
        <f t="shared" si="53"/>
        <v>3369.6324845698209</v>
      </c>
      <c r="V234" s="3">
        <f t="shared" si="54"/>
        <v>0</v>
      </c>
      <c r="W234" s="3">
        <f t="shared" si="64"/>
        <v>408.23550696907319</v>
      </c>
      <c r="Y234" s="3">
        <f t="shared" si="65"/>
        <v>5342.516443243785</v>
      </c>
      <c r="AA234" s="3">
        <f t="shared" si="66"/>
        <v>2754.5237297828376</v>
      </c>
      <c r="AB234" s="3">
        <f t="shared" si="67"/>
        <v>52.483556756214966</v>
      </c>
      <c r="AD234" s="3">
        <f t="shared" si="68"/>
        <v>1.7193552789827977E-5</v>
      </c>
    </row>
    <row r="235" spans="3:30" x14ac:dyDescent="0.25">
      <c r="C235" s="22">
        <v>203</v>
      </c>
      <c r="D235" s="22">
        <v>5278</v>
      </c>
      <c r="F235" s="3">
        <f t="shared" si="55"/>
        <v>6345.5814671593753</v>
      </c>
      <c r="G235" s="3">
        <f t="shared" si="56"/>
        <v>921.17951832908943</v>
      </c>
      <c r="H235" s="3">
        <f t="shared" si="57"/>
        <v>2.0241920510412803</v>
      </c>
      <c r="I235" s="3">
        <f t="shared" si="58"/>
        <v>1.1916714908632238</v>
      </c>
      <c r="J235" s="3">
        <f t="shared" si="59"/>
        <v>-2.0439629228381668</v>
      </c>
      <c r="K235" s="3">
        <f t="shared" si="60"/>
        <v>2.8392560795082477E-3</v>
      </c>
      <c r="L235" s="3" cm="1">
        <f t="array" ref="L235">lmb_2(F235)</f>
        <v>6336.8266430322356</v>
      </c>
      <c r="M235" s="3" cm="1">
        <f t="array" ref="M235">lmb_2(G235)</f>
        <v>914.35756824022133</v>
      </c>
      <c r="N235" s="3" cm="1">
        <f t="array" ref="N235">lmb_2(H235)</f>
        <v>1.5719042613426686</v>
      </c>
      <c r="O235" s="3" cm="1">
        <f t="array" ref="O235">lmb_2(I235)</f>
        <v>1.0980948066495326</v>
      </c>
      <c r="P235" s="3" cm="1">
        <f t="array" ref="P235">lmb_2(J235)</f>
        <v>0.11539875869244287</v>
      </c>
      <c r="R235" s="3">
        <f t="shared" si="61"/>
        <v>2.1677097261767919E-2</v>
      </c>
      <c r="S235" s="3">
        <f t="shared" si="62"/>
        <v>35.009414602799126</v>
      </c>
      <c r="T235" s="3">
        <f t="shared" si="63"/>
        <v>1513.134154032974</v>
      </c>
      <c r="U235" s="3">
        <f t="shared" si="53"/>
        <v>3367.5243212969876</v>
      </c>
      <c r="V235" s="3">
        <f t="shared" si="54"/>
        <v>0</v>
      </c>
      <c r="W235" s="3">
        <f t="shared" si="64"/>
        <v>410.00895007288045</v>
      </c>
      <c r="Y235" s="3">
        <f t="shared" si="65"/>
        <v>5325.7013563589826</v>
      </c>
      <c r="AA235" s="3">
        <f t="shared" si="66"/>
        <v>2275.4193984866492</v>
      </c>
      <c r="AB235" s="3">
        <f t="shared" si="67"/>
        <v>-47.701356358982594</v>
      </c>
      <c r="AD235" s="3">
        <f t="shared" si="68"/>
        <v>1.5626909443545725E-5</v>
      </c>
    </row>
    <row r="236" spans="3:30" x14ac:dyDescent="0.25">
      <c r="C236" s="22">
        <v>204</v>
      </c>
      <c r="D236" s="22">
        <v>5401</v>
      </c>
      <c r="F236" s="3">
        <f t="shared" si="55"/>
        <v>6408.2430618717672</v>
      </c>
      <c r="G236" s="3">
        <f t="shared" si="56"/>
        <v>930.232267649253</v>
      </c>
      <c r="H236" s="3">
        <f t="shared" si="57"/>
        <v>2.0488872296330407</v>
      </c>
      <c r="I236" s="3">
        <f t="shared" si="58"/>
        <v>1.1993675440223794</v>
      </c>
      <c r="J236" s="3">
        <f t="shared" si="59"/>
        <v>-2.0435466237006366</v>
      </c>
      <c r="K236" s="3">
        <f t="shared" si="60"/>
        <v>2.6373034778644495E-3</v>
      </c>
      <c r="L236" s="3" cm="1">
        <f t="array" ref="L236">lmb_2(F236)</f>
        <v>6399.4784053640915</v>
      </c>
      <c r="M236" s="3" cm="1">
        <f t="array" ref="M236">lmb_2(G236)</f>
        <v>923.40050739121386</v>
      </c>
      <c r="N236" s="3" cm="1">
        <f t="array" ref="N236">lmb_2(H236)</f>
        <v>1.5870256350614291</v>
      </c>
      <c r="O236" s="3" cm="1">
        <f t="array" ref="O236">lmb_2(I236)</f>
        <v>1.1021262633302855</v>
      </c>
      <c r="P236" s="3" cm="1">
        <f t="array" ref="P236">lmb_2(J236)</f>
        <v>0.11544183605965966</v>
      </c>
      <c r="R236" s="3">
        <f t="shared" si="61"/>
        <v>2.1359467596536036E-2</v>
      </c>
      <c r="S236" s="3">
        <f t="shared" si="62"/>
        <v>34.496539798061256</v>
      </c>
      <c r="T236" s="3">
        <f t="shared" si="63"/>
        <v>1497.2963946971738</v>
      </c>
      <c r="U236" s="3">
        <f t="shared" si="53"/>
        <v>3365.2680869002324</v>
      </c>
      <c r="V236" s="3">
        <f t="shared" si="54"/>
        <v>0</v>
      </c>
      <c r="W236" s="3">
        <f t="shared" si="64"/>
        <v>411.78239317668772</v>
      </c>
      <c r="Y236" s="3">
        <f t="shared" si="65"/>
        <v>5308.8674113432298</v>
      </c>
      <c r="AA236" s="3">
        <f t="shared" si="66"/>
        <v>8488.4138925976149</v>
      </c>
      <c r="AB236" s="3">
        <f t="shared" si="67"/>
        <v>92.132588656770167</v>
      </c>
      <c r="AD236" s="3">
        <f t="shared" si="68"/>
        <v>3.0182530008241122E-5</v>
      </c>
    </row>
    <row r="237" spans="3:30" x14ac:dyDescent="0.25">
      <c r="C237" s="22">
        <v>205</v>
      </c>
      <c r="D237" s="22">
        <v>5319</v>
      </c>
      <c r="F237" s="3">
        <f t="shared" si="55"/>
        <v>6471.212575968495</v>
      </c>
      <c r="G237" s="3">
        <f t="shared" si="56"/>
        <v>939.32950222406078</v>
      </c>
      <c r="H237" s="3">
        <f t="shared" si="57"/>
        <v>2.0737037604537529</v>
      </c>
      <c r="I237" s="3">
        <f t="shared" si="58"/>
        <v>1.2071014156245774</v>
      </c>
      <c r="J237" s="3">
        <f t="shared" si="59"/>
        <v>-2.043128278867099</v>
      </c>
      <c r="K237" s="3">
        <f t="shared" si="60"/>
        <v>2.4497155027878204E-3</v>
      </c>
      <c r="L237" s="3" cm="1">
        <f t="array" ref="L237">lmb_2(F237)</f>
        <v>6462.438135195358</v>
      </c>
      <c r="M237" s="3" cm="1">
        <f t="array" ref="M237">lmb_2(G237)</f>
        <v>932.48797954373254</v>
      </c>
      <c r="N237" s="3" cm="1">
        <f t="array" ref="N237">lmb_2(H237)</f>
        <v>1.6022776267368721</v>
      </c>
      <c r="O237" s="3" cm="1">
        <f t="array" ref="O237">lmb_2(I237)</f>
        <v>1.1061846098088961</v>
      </c>
      <c r="P237" s="3" cm="1">
        <f t="array" ref="P237">lmb_2(J237)</f>
        <v>0.11548513963133294</v>
      </c>
      <c r="R237" s="3">
        <f t="shared" si="61"/>
        <v>2.1048014611303956E-2</v>
      </c>
      <c r="S237" s="3">
        <f t="shared" si="62"/>
        <v>33.993629806548121</v>
      </c>
      <c r="T237" s="3">
        <f t="shared" si="63"/>
        <v>1481.578783684886</v>
      </c>
      <c r="U237" s="3">
        <f t="shared" si="53"/>
        <v>3362.8652356477569</v>
      </c>
      <c r="V237" s="3">
        <f t="shared" si="54"/>
        <v>0</v>
      </c>
      <c r="W237" s="3">
        <f t="shared" si="64"/>
        <v>413.55583628049504</v>
      </c>
      <c r="Y237" s="3">
        <f t="shared" si="65"/>
        <v>5292.0169831498006</v>
      </c>
      <c r="AA237" s="3">
        <f t="shared" si="66"/>
        <v>728.08319833814585</v>
      </c>
      <c r="AB237" s="3">
        <f t="shared" si="67"/>
        <v>26.983016850199419</v>
      </c>
      <c r="AD237" s="3">
        <f t="shared" si="68"/>
        <v>8.8396052652773711E-6</v>
      </c>
    </row>
    <row r="238" spans="3:30" x14ac:dyDescent="0.25">
      <c r="C238" s="22">
        <v>206</v>
      </c>
      <c r="D238" s="22">
        <v>5361</v>
      </c>
      <c r="F238" s="3">
        <f t="shared" si="55"/>
        <v>6534.4900094495597</v>
      </c>
      <c r="G238" s="3">
        <f t="shared" si="56"/>
        <v>948.47122205351286</v>
      </c>
      <c r="H238" s="3">
        <f t="shared" si="57"/>
        <v>2.0986416435034165</v>
      </c>
      <c r="I238" s="3">
        <f t="shared" si="58"/>
        <v>1.2148731056698181</v>
      </c>
      <c r="J238" s="3">
        <f t="shared" si="59"/>
        <v>-2.0427078883375538</v>
      </c>
      <c r="K238" s="3">
        <f t="shared" si="60"/>
        <v>2.27547041702549E-3</v>
      </c>
      <c r="L238" s="3" cm="1">
        <f t="array" ref="L238">lmb_2(F238)</f>
        <v>6525.7058320573278</v>
      </c>
      <c r="M238" s="3" cm="1">
        <f t="array" ref="M238">lmb_2(G238)</f>
        <v>941.61998423683167</v>
      </c>
      <c r="N238" s="3" cm="1">
        <f t="array" ref="N238">lmb_2(H238)</f>
        <v>1.6176606074238198</v>
      </c>
      <c r="O238" s="3" cm="1">
        <f t="array" ref="O238">lmb_2(I238)</f>
        <v>1.110269935118638</v>
      </c>
      <c r="P238" s="3" cm="1">
        <f t="array" ref="P238">lmb_2(J238)</f>
        <v>0.11552866962481487</v>
      </c>
      <c r="R238" s="3">
        <f t="shared" si="61"/>
        <v>2.0742588863367026E-2</v>
      </c>
      <c r="S238" s="3">
        <f t="shared" si="62"/>
        <v>33.500443924277761</v>
      </c>
      <c r="T238" s="3">
        <f t="shared" si="63"/>
        <v>1465.9824075624776</v>
      </c>
      <c r="U238" s="3">
        <f t="shared" si="53"/>
        <v>3360.3172273460464</v>
      </c>
      <c r="V238" s="3">
        <f t="shared" si="54"/>
        <v>0</v>
      </c>
      <c r="W238" s="3">
        <f t="shared" si="64"/>
        <v>415.32927938430231</v>
      </c>
      <c r="Y238" s="3">
        <f t="shared" si="65"/>
        <v>5275.1523762763836</v>
      </c>
      <c r="AA238" s="3">
        <f t="shared" si="66"/>
        <v>7369.8144989916218</v>
      </c>
      <c r="AB238" s="3">
        <f t="shared" si="67"/>
        <v>85.84762372361638</v>
      </c>
      <c r="AD238" s="3">
        <f t="shared" si="68"/>
        <v>2.8123582729527946E-5</v>
      </c>
    </row>
    <row r="239" spans="3:30" x14ac:dyDescent="0.25">
      <c r="C239" s="22">
        <v>207</v>
      </c>
      <c r="D239" s="22">
        <v>5327</v>
      </c>
      <c r="F239" s="3">
        <f t="shared" si="55"/>
        <v>6598.0753623149621</v>
      </c>
      <c r="G239" s="3">
        <f t="shared" si="56"/>
        <v>957.65742713760994</v>
      </c>
      <c r="H239" s="3">
        <f t="shared" si="57"/>
        <v>2.1237008787820328</v>
      </c>
      <c r="I239" s="3">
        <f t="shared" si="58"/>
        <v>1.2226826141581011</v>
      </c>
      <c r="J239" s="3">
        <f t="shared" si="59"/>
        <v>-2.0422854521120009</v>
      </c>
      <c r="K239" s="3">
        <f t="shared" si="60"/>
        <v>2.1136191581699005E-3</v>
      </c>
      <c r="L239" s="3" cm="1">
        <f t="array" ref="L239">lmb_2(F239)</f>
        <v>6589.2814954881096</v>
      </c>
      <c r="M239" s="3" cm="1">
        <f t="array" ref="M239">lmb_2(G239)</f>
        <v>950.79652101618422</v>
      </c>
      <c r="N239" s="3" cm="1">
        <f t="array" ref="N239">lmb_2(H239)</f>
        <v>1.6331749415792269</v>
      </c>
      <c r="O239" s="3" cm="1">
        <f t="array" ref="O239">lmb_2(I239)</f>
        <v>1.114382328348438</v>
      </c>
      <c r="P239" s="3" cm="1">
        <f t="array" ref="P239">lmb_2(J239)</f>
        <v>0.11557242625861354</v>
      </c>
      <c r="R239" s="3">
        <f t="shared" si="61"/>
        <v>2.0443045228719283E-2</v>
      </c>
      <c r="S239" s="3">
        <f t="shared" si="62"/>
        <v>33.016748386155086</v>
      </c>
      <c r="T239" s="3">
        <f t="shared" si="63"/>
        <v>1450.5082716610577</v>
      </c>
      <c r="U239" s="3">
        <f t="shared" si="53"/>
        <v>3357.6255270208071</v>
      </c>
      <c r="V239" s="3">
        <f t="shared" si="54"/>
        <v>0</v>
      </c>
      <c r="W239" s="3">
        <f t="shared" si="64"/>
        <v>417.10272248810963</v>
      </c>
      <c r="Y239" s="3">
        <f t="shared" si="65"/>
        <v>5258.275826220517</v>
      </c>
      <c r="AA239" s="3">
        <f t="shared" si="66"/>
        <v>4723.0120616725726</v>
      </c>
      <c r="AB239" s="3">
        <f t="shared" si="67"/>
        <v>68.724173779482953</v>
      </c>
      <c r="AD239" s="3">
        <f t="shared" si="68"/>
        <v>2.2513960235267943E-5</v>
      </c>
    </row>
    <row r="240" spans="3:30" x14ac:dyDescent="0.25">
      <c r="C240" s="22">
        <v>208</v>
      </c>
      <c r="D240" s="22">
        <v>5294</v>
      </c>
      <c r="F240" s="3">
        <f t="shared" si="55"/>
        <v>6661.9686345646978</v>
      </c>
      <c r="G240" s="3">
        <f t="shared" si="56"/>
        <v>966.88811747635145</v>
      </c>
      <c r="H240" s="3">
        <f t="shared" si="57"/>
        <v>2.1488814662896019</v>
      </c>
      <c r="I240" s="3">
        <f t="shared" si="58"/>
        <v>1.2305299410894268</v>
      </c>
      <c r="J240" s="3">
        <f t="shared" si="59"/>
        <v>-2.0418609701904407</v>
      </c>
      <c r="K240" s="3">
        <f t="shared" si="60"/>
        <v>1.9632801693913664E-3</v>
      </c>
      <c r="L240" s="3" cm="1">
        <f t="array" ref="L240">lmb_2(F240)</f>
        <v>6653.1651250324931</v>
      </c>
      <c r="M240" s="3" cm="1">
        <f t="array" ref="M240">lmb_2(G240)</f>
        <v>960.0175894339535</v>
      </c>
      <c r="N240" s="3" cm="1">
        <f t="array" ref="N240">lmb_2(H240)</f>
        <v>1.6488209870780322</v>
      </c>
      <c r="O240" s="3" cm="1">
        <f t="array" ref="O240">lmb_2(I240)</f>
        <v>1.1185218786375317</v>
      </c>
      <c r="P240" s="3" cm="1">
        <f t="array" ref="P240">lmb_2(J240)</f>
        <v>0.11561640975239409</v>
      </c>
      <c r="R240" s="3">
        <f t="shared" si="61"/>
        <v>2.0149242757123518E-2</v>
      </c>
      <c r="S240" s="3">
        <f t="shared" si="62"/>
        <v>32.542316133897799</v>
      </c>
      <c r="T240" s="3">
        <f t="shared" si="63"/>
        <v>1435.1573020921735</v>
      </c>
      <c r="U240" s="3">
        <f t="shared" si="53"/>
        <v>3354.7916045999714</v>
      </c>
      <c r="V240" s="3">
        <f t="shared" si="54"/>
        <v>0</v>
      </c>
      <c r="W240" s="3">
        <f t="shared" si="64"/>
        <v>418.8761655919169</v>
      </c>
      <c r="Y240" s="3">
        <f t="shared" si="65"/>
        <v>5241.3895009408861</v>
      </c>
      <c r="AA240" s="3">
        <f t="shared" si="66"/>
        <v>2767.8646112490205</v>
      </c>
      <c r="AB240" s="3">
        <f t="shared" si="67"/>
        <v>52.610499059113863</v>
      </c>
      <c r="AD240" s="3">
        <f t="shared" si="68"/>
        <v>1.7235138942159319E-5</v>
      </c>
    </row>
    <row r="241" spans="3:30" x14ac:dyDescent="0.25">
      <c r="C241" s="22">
        <v>209</v>
      </c>
      <c r="D241" s="22">
        <v>5197</v>
      </c>
      <c r="F241" s="3">
        <f t="shared" si="55"/>
        <v>6726.1698261987704</v>
      </c>
      <c r="G241" s="3">
        <f t="shared" si="56"/>
        <v>976.16329306973762</v>
      </c>
      <c r="H241" s="3">
        <f t="shared" si="57"/>
        <v>2.1741834060261214</v>
      </c>
      <c r="I241" s="3">
        <f t="shared" si="58"/>
        <v>1.2384150864637953</v>
      </c>
      <c r="J241" s="3">
        <f t="shared" si="59"/>
        <v>-2.0414344425728728</v>
      </c>
      <c r="K241" s="3">
        <f t="shared" si="60"/>
        <v>1.8236345978538621E-3</v>
      </c>
      <c r="L241" s="3" cm="1">
        <f t="array" ref="L241">lmb_2(F241)</f>
        <v>6717.3567202418326</v>
      </c>
      <c r="M241" s="3" cm="1">
        <f t="array" ref="M241">lmb_2(G241)</f>
        <v>969.28318904867376</v>
      </c>
      <c r="N241" s="3" cm="1">
        <f t="array" ref="N241">lmb_2(H241)</f>
        <v>1.6645990952314969</v>
      </c>
      <c r="O241" s="3" cm="1">
        <f t="array" ref="O241">lmb_2(I241)</f>
        <v>1.1226886751701179</v>
      </c>
      <c r="P241" s="3" cm="1">
        <f t="array" ref="P241">lmb_2(J241)</f>
        <v>0.11566062032698032</v>
      </c>
      <c r="R241" s="3">
        <f t="shared" si="61"/>
        <v>1.9861044532714044E-2</v>
      </c>
      <c r="S241" s="3">
        <f t="shared" si="62"/>
        <v>32.076926592782918</v>
      </c>
      <c r="T241" s="3">
        <f t="shared" si="63"/>
        <v>1419.9303477558769</v>
      </c>
      <c r="U241" s="3">
        <f t="shared" si="53"/>
        <v>3351.8169345988554</v>
      </c>
      <c r="V241" s="3">
        <f t="shared" si="54"/>
        <v>0</v>
      </c>
      <c r="W241" s="3">
        <f t="shared" si="64"/>
        <v>420.64960869572423</v>
      </c>
      <c r="Y241" s="3">
        <f t="shared" si="65"/>
        <v>5224.4955023223702</v>
      </c>
      <c r="AA241" s="3">
        <f t="shared" si="66"/>
        <v>756.00264795946271</v>
      </c>
      <c r="AB241" s="3">
        <f t="shared" si="67"/>
        <v>-27.495502322370157</v>
      </c>
      <c r="AD241" s="3">
        <f t="shared" si="68"/>
        <v>9.0074949161391924E-6</v>
      </c>
    </row>
    <row r="242" spans="3:30" x14ac:dyDescent="0.25">
      <c r="C242" s="22">
        <v>210</v>
      </c>
      <c r="D242" s="22">
        <v>5342</v>
      </c>
      <c r="F242" s="3">
        <f t="shared" si="55"/>
        <v>6790.6789372171779</v>
      </c>
      <c r="G242" s="3">
        <f t="shared" si="56"/>
        <v>985.48295391776821</v>
      </c>
      <c r="H242" s="3">
        <f t="shared" si="57"/>
        <v>2.199606697991594</v>
      </c>
      <c r="I242" s="3">
        <f t="shared" si="58"/>
        <v>1.2463380502812058</v>
      </c>
      <c r="J242" s="3">
        <f t="shared" si="59"/>
        <v>-2.0410058692592972</v>
      </c>
      <c r="K242" s="3">
        <f t="shared" si="60"/>
        <v>1.693921834661327E-3</v>
      </c>
      <c r="L242" s="3" cm="1">
        <f t="array" ref="L242">lmb_2(F242)</f>
        <v>6781.8562806739073</v>
      </c>
      <c r="M242" s="3" cm="1">
        <f t="array" ref="M242">lmb_2(G242)</f>
        <v>978.59331942512813</v>
      </c>
      <c r="N242" s="3" cm="1">
        <f t="array" ref="N242">lmb_2(H242)</f>
        <v>1.680509610807978</v>
      </c>
      <c r="O242" s="3" cm="1">
        <f t="array" ref="O242">lmb_2(I242)</f>
        <v>1.1268828071700143</v>
      </c>
      <c r="P242" s="3" cm="1">
        <f t="array" ref="P242">lmb_2(J242)</f>
        <v>0.11570505820435605</v>
      </c>
      <c r="R242" s="3">
        <f t="shared" si="61"/>
        <v>1.9578317539895747E-2</v>
      </c>
      <c r="S242" s="3">
        <f t="shared" si="62"/>
        <v>31.62036545683965</v>
      </c>
      <c r="T242" s="3">
        <f t="shared" si="63"/>
        <v>1404.8281823393856</v>
      </c>
      <c r="U242" s="3">
        <f t="shared" si="53"/>
        <v>3348.7029958075445</v>
      </c>
      <c r="V242" s="3">
        <f t="shared" si="54"/>
        <v>0</v>
      </c>
      <c r="W242" s="3">
        <f t="shared" si="64"/>
        <v>422.42305179953149</v>
      </c>
      <c r="Y242" s="3">
        <f t="shared" si="65"/>
        <v>5207.5958676426762</v>
      </c>
      <c r="AA242" s="3">
        <f t="shared" si="66"/>
        <v>18064.470794725003</v>
      </c>
      <c r="AB242" s="3">
        <f t="shared" si="67"/>
        <v>134.40413235732376</v>
      </c>
      <c r="AD242" s="3">
        <f t="shared" si="68"/>
        <v>4.4030639074075781E-5</v>
      </c>
    </row>
    <row r="243" spans="3:30" x14ac:dyDescent="0.25">
      <c r="C243" s="22">
        <v>211</v>
      </c>
      <c r="D243" s="22">
        <v>5233</v>
      </c>
      <c r="F243" s="3">
        <f t="shared" si="55"/>
        <v>6855.4959676199232</v>
      </c>
      <c r="G243" s="3">
        <f t="shared" si="56"/>
        <v>994.84710002044335</v>
      </c>
      <c r="H243" s="3">
        <f t="shared" si="57"/>
        <v>2.2251513421860194</v>
      </c>
      <c r="I243" s="3">
        <f t="shared" si="58"/>
        <v>1.2542988325416593</v>
      </c>
      <c r="J243" s="3">
        <f t="shared" si="59"/>
        <v>-2.0405752502497143</v>
      </c>
      <c r="K243" s="3">
        <f t="shared" si="60"/>
        <v>1.5734353720417455E-3</v>
      </c>
      <c r="L243" s="3" cm="1">
        <f t="array" ref="L243">lmb_2(F243)</f>
        <v>6846.6638058928111</v>
      </c>
      <c r="M243" s="3" cm="1">
        <f t="array" ref="M243">lmb_2(G243)</f>
        <v>987.94798013423281</v>
      </c>
      <c r="N243" s="3" cm="1">
        <f t="array" ref="N243">lmb_2(H243)</f>
        <v>1.6965528720560541</v>
      </c>
      <c r="O243" s="3" cm="1">
        <f t="array" ref="O243">lmb_2(I243)</f>
        <v>1.1311043638953142</v>
      </c>
      <c r="P243" s="3" cm="1">
        <f t="array" ref="P243">lmb_2(J243)</f>
        <v>0.1157497236076663</v>
      </c>
      <c r="R243" s="3">
        <f t="shared" si="61"/>
        <v>1.930093253431393E-2</v>
      </c>
      <c r="S243" s="3">
        <f t="shared" si="62"/>
        <v>31.172424482130502</v>
      </c>
      <c r="T243" s="3">
        <f t="shared" si="63"/>
        <v>1389.8515063046927</v>
      </c>
      <c r="U243" s="3">
        <f t="shared" si="53"/>
        <v>3345.4512709805581</v>
      </c>
      <c r="V243" s="3">
        <f t="shared" si="54"/>
        <v>0</v>
      </c>
      <c r="W243" s="3">
        <f t="shared" si="64"/>
        <v>424.19649490333882</v>
      </c>
      <c r="Y243" s="3">
        <f t="shared" si="65"/>
        <v>5190.6925710386267</v>
      </c>
      <c r="AA243" s="3">
        <f t="shared" si="66"/>
        <v>1789.9185453216451</v>
      </c>
      <c r="AB243" s="3">
        <f t="shared" si="67"/>
        <v>42.307428961373262</v>
      </c>
      <c r="AD243" s="3">
        <f t="shared" si="68"/>
        <v>1.3859865035978714E-5</v>
      </c>
    </row>
    <row r="244" spans="3:30" x14ac:dyDescent="0.25">
      <c r="C244" s="22">
        <v>212</v>
      </c>
      <c r="D244" s="22">
        <v>5202</v>
      </c>
      <c r="F244" s="3">
        <f t="shared" si="55"/>
        <v>6920.6209174070036</v>
      </c>
      <c r="G244" s="3">
        <f t="shared" si="56"/>
        <v>1004.2557313777627</v>
      </c>
      <c r="H244" s="3">
        <f t="shared" si="57"/>
        <v>2.2508173386093957</v>
      </c>
      <c r="I244" s="3">
        <f t="shared" si="58"/>
        <v>1.2622974332451551</v>
      </c>
      <c r="J244" s="3">
        <f t="shared" si="59"/>
        <v>-2.0401425855441238</v>
      </c>
      <c r="K244" s="3">
        <f t="shared" si="60"/>
        <v>1.4615189552044043E-3</v>
      </c>
      <c r="L244" s="3" cm="1">
        <f t="array" ref="L244">lmb_2(F244)</f>
        <v>6911.7792954688211</v>
      </c>
      <c r="M244" s="3" cm="1">
        <f t="array" ref="M244">lmb_2(G244)</f>
        <v>997.34717075292269</v>
      </c>
      <c r="N244" s="3" cm="1">
        <f t="array" ref="N244">lmb_2(H244)</f>
        <v>1.7127292107299588</v>
      </c>
      <c r="O244" s="3" cm="1">
        <f t="array" ref="O244">lmb_2(I244)</f>
        <v>1.1353534346330454</v>
      </c>
      <c r="P244" s="3" cm="1">
        <f t="array" ref="P244">lmb_2(J244)</f>
        <v>0.11579461676121897</v>
      </c>
      <c r="R244" s="3">
        <f t="shared" si="61"/>
        <v>1.9028763918680365E-2</v>
      </c>
      <c r="S244" s="3">
        <f t="shared" si="62"/>
        <v>30.732901287780237</v>
      </c>
      <c r="T244" s="3">
        <f t="shared" si="63"/>
        <v>1375.0009488635048</v>
      </c>
      <c r="U244" s="3">
        <f t="shared" si="53"/>
        <v>3342.0632465288672</v>
      </c>
      <c r="V244" s="3">
        <f t="shared" si="54"/>
        <v>0</v>
      </c>
      <c r="W244" s="3">
        <f t="shared" si="64"/>
        <v>425.96993800714608</v>
      </c>
      <c r="Y244" s="3">
        <f t="shared" si="65"/>
        <v>5173.7875249701719</v>
      </c>
      <c r="AA244" s="3">
        <f t="shared" si="66"/>
        <v>795.94374730867162</v>
      </c>
      <c r="AB244" s="3">
        <f t="shared" si="67"/>
        <v>28.212475029828056</v>
      </c>
      <c r="AD244" s="3">
        <f t="shared" si="68"/>
        <v>9.2423743499360161E-6</v>
      </c>
    </row>
    <row r="245" spans="3:30" x14ac:dyDescent="0.25">
      <c r="C245" s="22">
        <v>213</v>
      </c>
      <c r="D245" s="22">
        <v>5165</v>
      </c>
      <c r="F245" s="3">
        <f t="shared" si="55"/>
        <v>6986.0537865784199</v>
      </c>
      <c r="G245" s="3">
        <f t="shared" si="56"/>
        <v>1013.7088479897268</v>
      </c>
      <c r="H245" s="3">
        <f t="shared" si="57"/>
        <v>2.2766046872617247</v>
      </c>
      <c r="I245" s="3">
        <f t="shared" si="58"/>
        <v>1.2703338523916934</v>
      </c>
      <c r="J245" s="3">
        <f t="shared" si="59"/>
        <v>-2.0397078751425259</v>
      </c>
      <c r="K245" s="3">
        <f t="shared" si="60"/>
        <v>1.3575630079105006E-3</v>
      </c>
      <c r="L245" s="3" cm="1">
        <f t="array" ref="L245">lmb_2(F245)</f>
        <v>6977.2027489782913</v>
      </c>
      <c r="M245" s="3" cm="1">
        <f t="array" ref="M245">lmb_2(G245)</f>
        <v>1006.7908908640399</v>
      </c>
      <c r="N245" s="3" cm="1">
        <f t="array" ref="N245">lmb_2(H245)</f>
        <v>1.729038952117256</v>
      </c>
      <c r="O245" s="3" cm="1">
        <f t="array" ref="O245">lmb_2(I245)</f>
        <v>1.1396301086938319</v>
      </c>
      <c r="P245" s="3" cm="1">
        <f t="array" ref="P245">lmb_2(J245)</f>
        <v>0.11583973789048606</v>
      </c>
      <c r="R245" s="3">
        <f t="shared" si="61"/>
        <v>1.8761689623250765E-2</v>
      </c>
      <c r="S245" s="3">
        <f t="shared" si="62"/>
        <v>30.301599164427756</v>
      </c>
      <c r="T245" s="3">
        <f t="shared" si="63"/>
        <v>1360.2770699379864</v>
      </c>
      <c r="U245" s="3">
        <f t="shared" si="53"/>
        <v>3338.5404122143395</v>
      </c>
      <c r="V245" s="3">
        <f t="shared" si="54"/>
        <v>0</v>
      </c>
      <c r="W245" s="3">
        <f t="shared" si="64"/>
        <v>427.74338111095341</v>
      </c>
      <c r="Y245" s="3">
        <f t="shared" si="65"/>
        <v>5156.8825816803383</v>
      </c>
      <c r="AA245" s="3">
        <f t="shared" si="66"/>
        <v>65.892480176379991</v>
      </c>
      <c r="AB245" s="3">
        <f t="shared" si="67"/>
        <v>8.1174183196617378</v>
      </c>
      <c r="AD245" s="3">
        <f t="shared" si="68"/>
        <v>2.6592568991562032E-6</v>
      </c>
    </row>
    <row r="246" spans="3:30" x14ac:dyDescent="0.25">
      <c r="C246" s="22">
        <v>214</v>
      </c>
      <c r="D246" s="22">
        <v>5111</v>
      </c>
      <c r="F246" s="3">
        <f t="shared" si="55"/>
        <v>7051.7945751341722</v>
      </c>
      <c r="G246" s="3">
        <f t="shared" si="56"/>
        <v>1023.2064498563357</v>
      </c>
      <c r="H246" s="3">
        <f t="shared" si="57"/>
        <v>2.3025133881430064</v>
      </c>
      <c r="I246" s="3">
        <f t="shared" si="58"/>
        <v>1.2784080899812742</v>
      </c>
      <c r="J246" s="3">
        <f t="shared" si="59"/>
        <v>-2.0392711190449204</v>
      </c>
      <c r="K246" s="3">
        <f t="shared" si="60"/>
        <v>1.2610013122883209E-3</v>
      </c>
      <c r="L246" s="3" cm="1">
        <f t="array" ref="L246">lmb_2(F246)</f>
        <v>7042.9341660035343</v>
      </c>
      <c r="M246" s="3" cm="1">
        <f t="array" ref="M246">lmb_2(G246)</f>
        <v>1016.2791400562244</v>
      </c>
      <c r="N246" s="3" cm="1">
        <f t="array" ref="N246">lmb_2(H246)</f>
        <v>1.7454824150686803</v>
      </c>
      <c r="O246" s="3" cm="1">
        <f t="array" ref="O246">lmb_2(I246)</f>
        <v>1.1439344754065603</v>
      </c>
      <c r="P246" s="3" cm="1">
        <f t="array" ref="P246">lmb_2(J246)</f>
        <v>0.11588508722210511</v>
      </c>
      <c r="R246" s="3">
        <f t="shared" si="61"/>
        <v>1.849959099075861E-2</v>
      </c>
      <c r="S246" s="3">
        <f t="shared" si="62"/>
        <v>29.878326889790987</v>
      </c>
      <c r="T246" s="3">
        <f t="shared" si="63"/>
        <v>1345.6803621058923</v>
      </c>
      <c r="U246" s="3">
        <f t="shared" si="53"/>
        <v>3334.8842608466598</v>
      </c>
      <c r="V246" s="3">
        <f t="shared" si="54"/>
        <v>0</v>
      </c>
      <c r="W246" s="3">
        <f t="shared" si="64"/>
        <v>429.51682421476067</v>
      </c>
      <c r="Y246" s="3">
        <f t="shared" si="65"/>
        <v>5139.9795346494075</v>
      </c>
      <c r="AA246" s="3">
        <f t="shared" si="66"/>
        <v>839.81342849620808</v>
      </c>
      <c r="AB246" s="3">
        <f t="shared" si="67"/>
        <v>-28.979534649407469</v>
      </c>
      <c r="AD246" s="3">
        <f t="shared" si="68"/>
        <v>9.4936621984986489E-6</v>
      </c>
    </row>
    <row r="247" spans="3:30" x14ac:dyDescent="0.25">
      <c r="C247" s="22">
        <v>215</v>
      </c>
      <c r="D247" s="22">
        <v>5083</v>
      </c>
      <c r="F247" s="3">
        <f t="shared" si="55"/>
        <v>7117.843283074264</v>
      </c>
      <c r="G247" s="3">
        <f t="shared" si="56"/>
        <v>1032.7485369775889</v>
      </c>
      <c r="H247" s="3">
        <f t="shared" si="57"/>
        <v>2.3285434412532391</v>
      </c>
      <c r="I247" s="3">
        <f t="shared" si="58"/>
        <v>1.2865201460138977</v>
      </c>
      <c r="J247" s="3">
        <f t="shared" si="59"/>
        <v>-2.0388323172513072</v>
      </c>
      <c r="K247" s="3">
        <f t="shared" si="60"/>
        <v>1.1713079248088173E-3</v>
      </c>
      <c r="L247" s="3" cm="1">
        <f t="array" ref="L247">lmb_2(F247)</f>
        <v>7108.9735461327127</v>
      </c>
      <c r="M247" s="3" cm="1">
        <f t="array" ref="M247">lmb_2(G247)</f>
        <v>1025.8119179238067</v>
      </c>
      <c r="N247" s="3" cm="1">
        <f t="array" ref="N247">lmb_2(H247)</f>
        <v>1.7620599120300908</v>
      </c>
      <c r="O247" s="3" cm="1">
        <f t="array" ref="O247">lmb_2(I247)</f>
        <v>1.1482666241130493</v>
      </c>
      <c r="P247" s="3" cm="1">
        <f t="array" ref="P247">lmb_2(J247)</f>
        <v>0.1159306649838808</v>
      </c>
      <c r="R247" s="3">
        <f t="shared" si="61"/>
        <v>1.8242352665619282E-2</v>
      </c>
      <c r="S247" s="3">
        <f t="shared" si="62"/>
        <v>29.462898551049399</v>
      </c>
      <c r="T247" s="3">
        <f t="shared" si="63"/>
        <v>1331.2112525287016</v>
      </c>
      <c r="U247" s="3">
        <f t="shared" si="53"/>
        <v>3331.0962879827948</v>
      </c>
      <c r="V247" s="3">
        <f t="shared" si="54"/>
        <v>0</v>
      </c>
      <c r="W247" s="3">
        <f t="shared" si="64"/>
        <v>431.29026731856794</v>
      </c>
      <c r="Y247" s="3">
        <f t="shared" si="65"/>
        <v>5123.0801200417045</v>
      </c>
      <c r="AA247" s="3">
        <f t="shared" si="66"/>
        <v>1606.4160225574431</v>
      </c>
      <c r="AB247" s="3">
        <f t="shared" si="67"/>
        <v>-40.080120041704504</v>
      </c>
      <c r="AD247" s="3">
        <f t="shared" si="68"/>
        <v>1.3130201197312813E-5</v>
      </c>
    </row>
    <row r="248" spans="3:30" x14ac:dyDescent="0.25">
      <c r="C248" s="22">
        <v>216</v>
      </c>
      <c r="D248" s="22">
        <v>5139</v>
      </c>
      <c r="F248" s="3">
        <f t="shared" si="55"/>
        <v>7184.1999103986882</v>
      </c>
      <c r="G248" s="3">
        <f t="shared" si="56"/>
        <v>1042.3351093534866</v>
      </c>
      <c r="H248" s="3">
        <f t="shared" si="57"/>
        <v>2.3546948465924249</v>
      </c>
      <c r="I248" s="3">
        <f t="shared" si="58"/>
        <v>1.2946700204895636</v>
      </c>
      <c r="J248" s="3">
        <f t="shared" si="59"/>
        <v>-2.0383914697616867</v>
      </c>
      <c r="K248" s="3">
        <f t="shared" si="60"/>
        <v>1.0879943116238796E-3</v>
      </c>
      <c r="L248" s="3" cm="1">
        <f t="array" ref="L248">lmb_2(F248)</f>
        <v>7175.320888959719</v>
      </c>
      <c r="M248" s="3" cm="1">
        <f t="array" ref="M248">lmb_2(G248)</f>
        <v>1035.3892240667058</v>
      </c>
      <c r="N248" s="3" cm="1">
        <f t="array" ref="N248">lmb_2(H248)</f>
        <v>1.7787717490764696</v>
      </c>
      <c r="O248" s="3" cm="1">
        <f t="array" ref="O248">lmb_2(I248)</f>
        <v>1.1526266441627244</v>
      </c>
      <c r="P248" s="3" cm="1">
        <f t="array" ref="P248">lmb_2(J248)</f>
        <v>0.11597647140478595</v>
      </c>
      <c r="R248" s="3">
        <f t="shared" si="61"/>
        <v>1.7989862487226942E-2</v>
      </c>
      <c r="S248" s="3">
        <f t="shared" si="62"/>
        <v>29.05513337376193</v>
      </c>
      <c r="T248" s="3">
        <f t="shared" si="63"/>
        <v>1316.8701048614735</v>
      </c>
      <c r="U248" s="3">
        <f t="shared" si="53"/>
        <v>3327.1779916290679</v>
      </c>
      <c r="V248" s="3">
        <f t="shared" si="54"/>
        <v>0</v>
      </c>
      <c r="W248" s="3">
        <f t="shared" si="64"/>
        <v>433.06371042237527</v>
      </c>
      <c r="Y248" s="3">
        <f t="shared" si="65"/>
        <v>5106.1860181434777</v>
      </c>
      <c r="AA248" s="3">
        <f t="shared" si="66"/>
        <v>1076.7574052801767</v>
      </c>
      <c r="AB248" s="3">
        <f t="shared" si="67"/>
        <v>32.813981856522332</v>
      </c>
      <c r="AD248" s="3">
        <f t="shared" si="68"/>
        <v>1.0749822690470847E-5</v>
      </c>
    </row>
    <row r="249" spans="3:30" x14ac:dyDescent="0.25">
      <c r="C249" s="22">
        <v>217</v>
      </c>
      <c r="D249" s="22">
        <v>5059</v>
      </c>
      <c r="F249" s="3">
        <f t="shared" si="55"/>
        <v>7250.8644571074492</v>
      </c>
      <c r="G249" s="3">
        <f t="shared" si="56"/>
        <v>1051.9661669840291</v>
      </c>
      <c r="H249" s="3">
        <f t="shared" si="57"/>
        <v>2.380967604160563</v>
      </c>
      <c r="I249" s="3">
        <f t="shared" si="58"/>
        <v>1.3028577134082724</v>
      </c>
      <c r="J249" s="3">
        <f t="shared" si="59"/>
        <v>-2.037948576576059</v>
      </c>
      <c r="K249" s="3">
        <f t="shared" si="60"/>
        <v>1.0106066876642433E-3</v>
      </c>
      <c r="L249" s="3" cm="1">
        <f t="array" ref="L249">lmb_2(F249)</f>
        <v>7241.976194084089</v>
      </c>
      <c r="M249" s="3" cm="1">
        <f t="array" ref="M249">lmb_2(G249)</f>
        <v>1045.0110580903258</v>
      </c>
      <c r="N249" s="3" cm="1">
        <f t="array" ref="N249">lmb_2(H249)</f>
        <v>1.7956182259478919</v>
      </c>
      <c r="O249" s="3" cm="1">
        <f t="array" ref="O249">lmb_2(I249)</f>
        <v>1.1570146249073023</v>
      </c>
      <c r="P249" s="3" cm="1">
        <f t="array" ref="P249">lmb_2(J249)</f>
        <v>0.11602250671496335</v>
      </c>
      <c r="R249" s="3">
        <f t="shared" si="61"/>
        <v>1.7742011387174805E-2</v>
      </c>
      <c r="S249" s="3">
        <f t="shared" si="62"/>
        <v>28.65485555705154</v>
      </c>
      <c r="T249" s="3">
        <f t="shared" si="63"/>
        <v>1302.6572211432112</v>
      </c>
      <c r="U249" s="3">
        <f t="shared" si="53"/>
        <v>3323.130871945888</v>
      </c>
      <c r="V249" s="3">
        <f t="shared" si="54"/>
        <v>0</v>
      </c>
      <c r="W249" s="3">
        <f t="shared" si="64"/>
        <v>434.83715352618253</v>
      </c>
      <c r="Y249" s="3">
        <f t="shared" si="65"/>
        <v>5089.2988547904079</v>
      </c>
      <c r="AA249" s="3">
        <f t="shared" si="66"/>
        <v>918.02060161022121</v>
      </c>
      <c r="AB249" s="3">
        <f t="shared" si="67"/>
        <v>-30.298854790407859</v>
      </c>
      <c r="AD249" s="3">
        <f t="shared" si="68"/>
        <v>9.9258699582802364E-6</v>
      </c>
    </row>
    <row r="250" spans="3:30" x14ac:dyDescent="0.25">
      <c r="C250" s="22">
        <v>218</v>
      </c>
      <c r="D250" s="22">
        <v>5062</v>
      </c>
      <c r="F250" s="3">
        <f t="shared" si="55"/>
        <v>7317.8369232005471</v>
      </c>
      <c r="G250" s="3">
        <f t="shared" si="56"/>
        <v>1061.6417098692159</v>
      </c>
      <c r="H250" s="3">
        <f t="shared" si="57"/>
        <v>2.4073617139576524</v>
      </c>
      <c r="I250" s="3">
        <f t="shared" si="58"/>
        <v>1.311083224770023</v>
      </c>
      <c r="J250" s="3">
        <f t="shared" si="59"/>
        <v>-2.0375036376944231</v>
      </c>
      <c r="K250" s="3">
        <f t="shared" si="60"/>
        <v>9.3872354500394348E-4</v>
      </c>
      <c r="L250" s="3" cm="1">
        <f t="array" ref="L250">lmb_2(F250)</f>
        <v>7308.9394611108837</v>
      </c>
      <c r="M250" s="3" cm="1">
        <f t="array" ref="M250">lmb_2(G250)</f>
        <v>1054.6774196054564</v>
      </c>
      <c r="N250" s="3" cm="1">
        <f t="array" ref="N250">lmb_2(H250)</f>
        <v>1.812599636087411</v>
      </c>
      <c r="O250" s="3" cm="1">
        <f t="array" ref="O250">lmb_2(I250)</f>
        <v>1.1614306556954765</v>
      </c>
      <c r="P250" s="3" cm="1">
        <f t="array" ref="P250">lmb_2(J250)</f>
        <v>0.11606877114572724</v>
      </c>
      <c r="R250" s="3">
        <f t="shared" si="61"/>
        <v>1.7498693290237396E-2</v>
      </c>
      <c r="S250" s="3">
        <f t="shared" si="62"/>
        <v>28.261894114799478</v>
      </c>
      <c r="T250" s="3">
        <f t="shared" si="63"/>
        <v>1288.5728436665959</v>
      </c>
      <c r="U250" s="3">
        <f t="shared" si="53"/>
        <v>3318.9564309552093</v>
      </c>
      <c r="V250" s="3">
        <f t="shared" si="54"/>
        <v>0</v>
      </c>
      <c r="W250" s="3">
        <f t="shared" si="64"/>
        <v>436.61059662998986</v>
      </c>
      <c r="Y250" s="3">
        <f t="shared" si="65"/>
        <v>5072.4202027834299</v>
      </c>
      <c r="AA250" s="3">
        <f t="shared" si="66"/>
        <v>108.58062604779994</v>
      </c>
      <c r="AB250" s="3">
        <f t="shared" si="67"/>
        <v>-10.420202783429886</v>
      </c>
      <c r="AD250" s="3">
        <f t="shared" si="68"/>
        <v>3.4136464392039984E-6</v>
      </c>
    </row>
    <row r="251" spans="3:30" x14ac:dyDescent="0.25">
      <c r="C251" s="22">
        <v>219</v>
      </c>
      <c r="D251" s="22">
        <v>5122</v>
      </c>
      <c r="F251" s="3">
        <f t="shared" si="55"/>
        <v>7385.11730867798</v>
      </c>
      <c r="G251" s="3">
        <f t="shared" si="56"/>
        <v>1071.361738009047</v>
      </c>
      <c r="H251" s="3">
        <f t="shared" si="57"/>
        <v>2.4338771759836941</v>
      </c>
      <c r="I251" s="3">
        <f t="shared" si="58"/>
        <v>1.3193465545748169</v>
      </c>
      <c r="J251" s="3">
        <f t="shared" si="59"/>
        <v>-2.0370566531167804</v>
      </c>
      <c r="K251" s="3">
        <f t="shared" si="60"/>
        <v>8.7195335702897601E-4</v>
      </c>
      <c r="L251" s="3" cm="1">
        <f t="array" ref="L251">lmb_2(F251)</f>
        <v>7376.2106896505911</v>
      </c>
      <c r="M251" s="3" cm="1">
        <f t="array" ref="M251">lmb_2(G251)</f>
        <v>1064.3883082281764</v>
      </c>
      <c r="N251" s="3" cm="1">
        <f t="array" ref="N251">lmb_2(H251)</f>
        <v>1.8297162666807887</v>
      </c>
      <c r="O251" s="3" cm="1">
        <f t="array" ref="O251">lmb_2(I251)</f>
        <v>1.1658748258676161</v>
      </c>
      <c r="P251" s="3" cm="1">
        <f t="array" ref="P251">lmb_2(J251)</f>
        <v>0.11611526492956419</v>
      </c>
      <c r="R251" s="3">
        <f t="shared" si="61"/>
        <v>1.725980501896044E-2</v>
      </c>
      <c r="S251" s="3">
        <f t="shared" si="62"/>
        <v>27.876082722603805</v>
      </c>
      <c r="T251" s="3">
        <f t="shared" si="63"/>
        <v>1274.6171568260104</v>
      </c>
      <c r="U251" s="3">
        <f t="shared" si="53"/>
        <v>3314.6561722507568</v>
      </c>
      <c r="V251" s="3">
        <f t="shared" si="54"/>
        <v>0</v>
      </c>
      <c r="W251" s="3">
        <f t="shared" si="64"/>
        <v>438.38403973379712</v>
      </c>
      <c r="Y251" s="3">
        <f t="shared" si="65"/>
        <v>5055.5515832915444</v>
      </c>
      <c r="AA251" s="3">
        <f t="shared" si="66"/>
        <v>4415.3920830605648</v>
      </c>
      <c r="AB251" s="3">
        <f t="shared" si="67"/>
        <v>66.448416708455625</v>
      </c>
      <c r="AD251" s="3">
        <f t="shared" si="68"/>
        <v>2.1768424837976121E-5</v>
      </c>
    </row>
    <row r="252" spans="3:30" x14ac:dyDescent="0.25">
      <c r="C252" s="22">
        <v>220</v>
      </c>
      <c r="D252" s="22">
        <v>5166</v>
      </c>
      <c r="F252" s="3">
        <f t="shared" si="55"/>
        <v>7452.7056135397479</v>
      </c>
      <c r="G252" s="3">
        <f t="shared" si="56"/>
        <v>1081.1262514035232</v>
      </c>
      <c r="H252" s="3">
        <f t="shared" si="57"/>
        <v>2.4605139902386886</v>
      </c>
      <c r="I252" s="3">
        <f t="shared" si="58"/>
        <v>1.3276477028226525</v>
      </c>
      <c r="J252" s="3">
        <f t="shared" si="59"/>
        <v>-2.0366076228431296</v>
      </c>
      <c r="K252" s="3">
        <f t="shared" si="60"/>
        <v>8.0993244590547647E-4</v>
      </c>
      <c r="L252" s="3" cm="1">
        <f t="array" ref="L252">lmb_2(F252)</f>
        <v>7443.789879319027</v>
      </c>
      <c r="M252" s="3" cm="1">
        <f t="array" ref="M252">lmb_2(G252)</f>
        <v>1074.1437235797594</v>
      </c>
      <c r="N252" s="3" cm="1">
        <f t="array" ref="N252">lmb_2(H252)</f>
        <v>1.8469683986980026</v>
      </c>
      <c r="O252" s="3" cm="1">
        <f t="array" ref="O252">lmb_2(I252)</f>
        <v>1.17034722475047</v>
      </c>
      <c r="P252" s="3" cm="1">
        <f t="array" ref="P252">lmb_2(J252)</f>
        <v>0.11616198830013538</v>
      </c>
      <c r="R252" s="3">
        <f t="shared" si="61"/>
        <v>1.7025246201711159E-2</v>
      </c>
      <c r="S252" s="3">
        <f t="shared" si="62"/>
        <v>27.497259570268312</v>
      </c>
      <c r="T252" s="3">
        <f t="shared" si="63"/>
        <v>1260.7902889428701</v>
      </c>
      <c r="U252" s="3">
        <f t="shared" si="53"/>
        <v>3310.2316007110858</v>
      </c>
      <c r="V252" s="3">
        <f t="shared" si="54"/>
        <v>0</v>
      </c>
      <c r="W252" s="3">
        <f t="shared" si="64"/>
        <v>440.15748283760445</v>
      </c>
      <c r="Y252" s="3">
        <f t="shared" si="65"/>
        <v>5038.6944672404761</v>
      </c>
      <c r="AA252" s="3">
        <f t="shared" si="66"/>
        <v>16206.698671186208</v>
      </c>
      <c r="AB252" s="3">
        <f t="shared" si="67"/>
        <v>127.30553275952389</v>
      </c>
      <c r="AD252" s="3">
        <f t="shared" si="68"/>
        <v>4.1705146015639515E-5</v>
      </c>
    </row>
    <row r="253" spans="3:30" x14ac:dyDescent="0.25">
      <c r="C253" s="22">
        <v>221</v>
      </c>
      <c r="D253" s="22">
        <v>5086</v>
      </c>
      <c r="F253" s="3">
        <f t="shared" si="55"/>
        <v>7520.6018377858545</v>
      </c>
      <c r="G253" s="3">
        <f t="shared" si="56"/>
        <v>1090.9352500526436</v>
      </c>
      <c r="H253" s="3">
        <f t="shared" si="57"/>
        <v>2.4872721567226348</v>
      </c>
      <c r="I253" s="3">
        <f t="shared" si="58"/>
        <v>1.3359866695135314</v>
      </c>
      <c r="J253" s="3">
        <f t="shared" si="59"/>
        <v>-2.0361565468734715</v>
      </c>
      <c r="K253" s="3">
        <f t="shared" si="60"/>
        <v>7.5232300173210518E-4</v>
      </c>
      <c r="L253" s="3" cm="1">
        <f t="array" ref="L253">lmb_2(F253)</f>
        <v>7511.6770297372468</v>
      </c>
      <c r="M253" s="3" cm="1">
        <f t="array" ref="M253">lmb_2(G253)</f>
        <v>1083.9436652865779</v>
      </c>
      <c r="N253" s="3" cm="1">
        <f t="array" ref="N253">lmb_2(H253)</f>
        <v>1.864356306936463</v>
      </c>
      <c r="O253" s="3" cm="1">
        <f t="array" ref="O253">lmb_2(I253)</f>
        <v>1.174847941651882</v>
      </c>
      <c r="P253" s="3" cm="1">
        <f t="array" ref="P253">lmb_2(J253)</f>
        <v>0.1162089414922772</v>
      </c>
      <c r="R253" s="3">
        <f t="shared" si="61"/>
        <v>1.6794919184048428E-2</v>
      </c>
      <c r="S253" s="3">
        <f t="shared" si="62"/>
        <v>27.125267219598314</v>
      </c>
      <c r="T253" s="3">
        <f t="shared" si="63"/>
        <v>1247.0923140673285</v>
      </c>
      <c r="U253" s="3">
        <f t="shared" si="53"/>
        <v>3305.6842222155274</v>
      </c>
      <c r="V253" s="3">
        <f t="shared" si="54"/>
        <v>0</v>
      </c>
      <c r="W253" s="3">
        <f t="shared" si="64"/>
        <v>441.93092594141172</v>
      </c>
      <c r="Y253" s="3">
        <f t="shared" si="65"/>
        <v>5021.8502766860511</v>
      </c>
      <c r="AA253" s="3">
        <f t="shared" si="66"/>
        <v>4115.1870012562022</v>
      </c>
      <c r="AB253" s="3">
        <f t="shared" si="67"/>
        <v>64.149723313948925</v>
      </c>
      <c r="AD253" s="3">
        <f t="shared" si="68"/>
        <v>2.1015375527509948E-5</v>
      </c>
    </row>
    <row r="254" spans="3:30" x14ac:dyDescent="0.25">
      <c r="C254" s="22">
        <v>222</v>
      </c>
      <c r="D254" s="22">
        <v>5128</v>
      </c>
      <c r="F254" s="3">
        <f t="shared" si="55"/>
        <v>7588.8059814162943</v>
      </c>
      <c r="G254" s="3">
        <f t="shared" si="56"/>
        <v>1100.7887339564086</v>
      </c>
      <c r="H254" s="3">
        <f t="shared" si="57"/>
        <v>2.5141516754355324</v>
      </c>
      <c r="I254" s="3">
        <f t="shared" si="58"/>
        <v>1.3443634546474528</v>
      </c>
      <c r="J254" s="3">
        <f t="shared" si="59"/>
        <v>-2.0357034252078061</v>
      </c>
      <c r="K254" s="3">
        <f t="shared" si="60"/>
        <v>6.9881124258758145E-4</v>
      </c>
      <c r="L254" s="3" cm="1">
        <f t="array" ref="L254">lmb_2(F254)</f>
        <v>7579.8721405314318</v>
      </c>
      <c r="M254" s="3" cm="1">
        <f t="array" ref="M254">lmb_2(G254)</f>
        <v>1093.7881329800159</v>
      </c>
      <c r="N254" s="3" cm="1">
        <f t="array" ref="N254">lmb_2(H254)</f>
        <v>1.8818802600658802</v>
      </c>
      <c r="O254" s="3" cm="1">
        <f t="array" ref="O254">lmb_2(I254)</f>
        <v>1.1793770658555147</v>
      </c>
      <c r="P254" s="3" cm="1">
        <f t="array" ref="P254">lmb_2(J254)</f>
        <v>0.11625612474200343</v>
      </c>
      <c r="R254" s="3">
        <f t="shared" si="61"/>
        <v>1.6568728943278672E-2</v>
      </c>
      <c r="S254" s="3">
        <f t="shared" si="62"/>
        <v>26.759952467289082</v>
      </c>
      <c r="T254" s="3">
        <f t="shared" si="63"/>
        <v>1233.523253755488</v>
      </c>
      <c r="U254" s="3">
        <f t="shared" si="53"/>
        <v>3301.0155433630594</v>
      </c>
      <c r="V254" s="3">
        <f t="shared" si="54"/>
        <v>0</v>
      </c>
      <c r="W254" s="3">
        <f t="shared" si="64"/>
        <v>443.70436904521904</v>
      </c>
      <c r="Y254" s="3">
        <f t="shared" si="65"/>
        <v>5005.0203861712416</v>
      </c>
      <c r="AA254" s="3">
        <f t="shared" si="66"/>
        <v>15123.985417470538</v>
      </c>
      <c r="AB254" s="3">
        <f t="shared" si="67"/>
        <v>122.97961382875837</v>
      </c>
      <c r="AD254" s="3">
        <f t="shared" si="68"/>
        <v>4.0287979952635879E-5</v>
      </c>
    </row>
    <row r="255" spans="3:30" x14ac:dyDescent="0.25">
      <c r="C255" s="22">
        <v>223</v>
      </c>
      <c r="D255" s="22">
        <v>4846</v>
      </c>
      <c r="F255" s="3">
        <f t="shared" si="55"/>
        <v>7657.3180444310756</v>
      </c>
      <c r="G255" s="3">
        <f t="shared" si="56"/>
        <v>1110.6867031148183</v>
      </c>
      <c r="H255" s="3">
        <f t="shared" si="57"/>
        <v>2.5411525463773832</v>
      </c>
      <c r="I255" s="3">
        <f t="shared" si="58"/>
        <v>1.3527780582244162</v>
      </c>
      <c r="J255" s="3">
        <f t="shared" si="59"/>
        <v>-2.0352482578461326</v>
      </c>
      <c r="K255" s="3">
        <f t="shared" si="60"/>
        <v>6.4910570545162157E-4</v>
      </c>
      <c r="L255" s="3" cm="1">
        <f t="array" ref="L255">lmb_2(F255)</f>
        <v>7648.3752113328228</v>
      </c>
      <c r="M255" s="3" cm="1">
        <f t="array" ref="M255">lmb_2(G255)</f>
        <v>1103.6771262963787</v>
      </c>
      <c r="N255" s="3" cm="1">
        <f t="array" ref="N255">lmb_2(H255)</f>
        <v>1.8995405206747105</v>
      </c>
      <c r="O255" s="3" cm="1">
        <f t="array" ref="O255">lmb_2(I255)</f>
        <v>1.1839346866155858</v>
      </c>
      <c r="P255" s="3" cm="1">
        <f t="array" ref="P255">lmb_2(J255)</f>
        <v>0.11630353828650641</v>
      </c>
      <c r="R255" s="3">
        <f t="shared" si="61"/>
        <v>1.6346583006068883E-2</v>
      </c>
      <c r="S255" s="3">
        <f t="shared" si="62"/>
        <v>26.401166212703487</v>
      </c>
      <c r="T255" s="3">
        <f t="shared" si="63"/>
        <v>1220.0830788213309</v>
      </c>
      <c r="U255" s="3">
        <f t="shared" si="53"/>
        <v>3296.2270711941669</v>
      </c>
      <c r="V255" s="3">
        <f t="shared" si="54"/>
        <v>0</v>
      </c>
      <c r="W255" s="3">
        <f t="shared" si="64"/>
        <v>445.47781214902631</v>
      </c>
      <c r="Y255" s="3">
        <f t="shared" si="65"/>
        <v>4988.2061240659395</v>
      </c>
      <c r="AA255" s="3">
        <f t="shared" si="66"/>
        <v>20222.58172185739</v>
      </c>
      <c r="AB255" s="3">
        <f t="shared" si="67"/>
        <v>-142.20612406593955</v>
      </c>
      <c r="AD255" s="3">
        <f t="shared" si="68"/>
        <v>4.6586562578478917E-5</v>
      </c>
    </row>
    <row r="256" spans="3:30" x14ac:dyDescent="0.25">
      <c r="C256" s="22">
        <v>224</v>
      </c>
      <c r="D256" s="22">
        <v>4988</v>
      </c>
      <c r="F256" s="3">
        <f t="shared" si="55"/>
        <v>7726.1380268301891</v>
      </c>
      <c r="G256" s="3">
        <f t="shared" si="56"/>
        <v>1120.6291575278724</v>
      </c>
      <c r="H256" s="3">
        <f t="shared" si="57"/>
        <v>2.5682747695481862</v>
      </c>
      <c r="I256" s="3">
        <f t="shared" si="58"/>
        <v>1.3612304802444226</v>
      </c>
      <c r="J256" s="3">
        <f t="shared" si="59"/>
        <v>-2.0347910447884523</v>
      </c>
      <c r="K256" s="3">
        <f t="shared" si="60"/>
        <v>6.0293565869046933E-4</v>
      </c>
      <c r="L256" s="3" cm="1">
        <f t="array" ref="L256">lmb_2(F256)</f>
        <v>7717.1862417775974</v>
      </c>
      <c r="M256" s="3" cm="1">
        <f t="array" ref="M256">lmb_2(G256)</f>
        <v>1113.6106448768041</v>
      </c>
      <c r="N256" s="3" cm="1">
        <f t="array" ref="N256">lmb_2(H256)</f>
        <v>1.9173373453181104</v>
      </c>
      <c r="O256" s="3" cm="1">
        <f t="array" ref="O256">lmb_2(I256)</f>
        <v>1.1885208931516169</v>
      </c>
      <c r="P256" s="3" cm="1">
        <f t="array" ref="P256">lmb_2(J256)</f>
        <v>0.11635118236415826</v>
      </c>
      <c r="R256" s="3">
        <f t="shared" si="61"/>
        <v>1.6128391368994757E-2</v>
      </c>
      <c r="S256" s="3">
        <f t="shared" si="62"/>
        <v>26.048763330343412</v>
      </c>
      <c r="T256" s="3">
        <f t="shared" si="63"/>
        <v>1206.7717110626413</v>
      </c>
      <c r="U256" s="3">
        <f t="shared" si="53"/>
        <v>3291.3203129157205</v>
      </c>
      <c r="V256" s="3">
        <f t="shared" si="54"/>
        <v>0</v>
      </c>
      <c r="W256" s="3">
        <f t="shared" si="64"/>
        <v>447.25125525283363</v>
      </c>
      <c r="Y256" s="3">
        <f t="shared" si="65"/>
        <v>4971.4087738885664</v>
      </c>
      <c r="AA256" s="3">
        <f t="shared" si="66"/>
        <v>275.26878388071515</v>
      </c>
      <c r="AB256" s="3">
        <f t="shared" si="67"/>
        <v>16.591226111433571</v>
      </c>
      <c r="AD256" s="3">
        <f t="shared" si="68"/>
        <v>5.4352665792057903E-6</v>
      </c>
    </row>
    <row r="257" spans="3:30" x14ac:dyDescent="0.25">
      <c r="C257" s="22">
        <v>225</v>
      </c>
      <c r="D257" s="22">
        <v>5036</v>
      </c>
      <c r="F257" s="3">
        <f t="shared" si="55"/>
        <v>7795.2659286136377</v>
      </c>
      <c r="G257" s="3">
        <f t="shared" si="56"/>
        <v>1130.6160971955708</v>
      </c>
      <c r="H257" s="3">
        <f t="shared" si="57"/>
        <v>2.5955183449479402</v>
      </c>
      <c r="I257" s="3">
        <f t="shared" si="58"/>
        <v>1.3697207207074711</v>
      </c>
      <c r="J257" s="3">
        <f t="shared" si="59"/>
        <v>-2.0343317860347638</v>
      </c>
      <c r="K257" s="3">
        <f t="shared" si="60"/>
        <v>5.600496274602583E-4</v>
      </c>
      <c r="L257" s="3" cm="1">
        <f t="array" ref="L257">lmb_2(F257)</f>
        <v>7786.3052315068117</v>
      </c>
      <c r="M257" s="3" cm="1">
        <f t="array" ref="M257">lmb_2(G257)</f>
        <v>1123.5886883671808</v>
      </c>
      <c r="N257" s="3" cm="1">
        <f t="array" ref="N257">lmb_2(H257)</f>
        <v>1.9352709845673448</v>
      </c>
      <c r="O257" s="3" cm="1">
        <f t="array" ref="O257">lmb_2(I257)</f>
        <v>1.1931357746431916</v>
      </c>
      <c r="P257" s="3" cm="1">
        <f t="array" ref="P257">lmb_2(J257)</f>
        <v>0.11639905721451295</v>
      </c>
      <c r="R257" s="3">
        <f t="shared" si="61"/>
        <v>1.5914066421906254E-2</v>
      </c>
      <c r="S257" s="3">
        <f t="shared" si="62"/>
        <v>25.702602546828292</v>
      </c>
      <c r="T257" s="3">
        <f t="shared" si="63"/>
        <v>1193.5890249602471</v>
      </c>
      <c r="U257" s="3">
        <f t="shared" si="53"/>
        <v>3286.2967756289499</v>
      </c>
      <c r="V257" s="3">
        <f t="shared" si="54"/>
        <v>0</v>
      </c>
      <c r="W257" s="3">
        <f t="shared" si="64"/>
        <v>449.0246983566409</v>
      </c>
      <c r="Y257" s="3">
        <f t="shared" si="65"/>
        <v>4954.6295756087166</v>
      </c>
      <c r="AA257" s="3">
        <f t="shared" si="66"/>
        <v>6621.1459656175766</v>
      </c>
      <c r="AB257" s="3">
        <f t="shared" si="67"/>
        <v>81.37042439128345</v>
      </c>
      <c r="AD257" s="3">
        <f t="shared" si="68"/>
        <v>2.6656857381079965E-5</v>
      </c>
    </row>
    <row r="258" spans="3:30" x14ac:dyDescent="0.25">
      <c r="C258" s="22">
        <v>226</v>
      </c>
      <c r="D258" s="22">
        <v>4874</v>
      </c>
      <c r="F258" s="3">
        <f t="shared" si="55"/>
        <v>7864.7017497814231</v>
      </c>
      <c r="G258" s="3">
        <f t="shared" si="56"/>
        <v>1140.6475221179139</v>
      </c>
      <c r="H258" s="3">
        <f t="shared" si="57"/>
        <v>2.6228832725766478</v>
      </c>
      <c r="I258" s="3">
        <f t="shared" si="58"/>
        <v>1.3782487796135625</v>
      </c>
      <c r="J258" s="3">
        <f t="shared" si="59"/>
        <v>-2.0338704815850681</v>
      </c>
      <c r="K258" s="3">
        <f t="shared" si="60"/>
        <v>5.2021402399654105E-4</v>
      </c>
      <c r="L258" s="3" cm="1">
        <f t="array" ref="L258">lmb_2(F258)</f>
        <v>7855.7321801663002</v>
      </c>
      <c r="M258" s="3" cm="1">
        <f t="array" ref="M258">lmb_2(G258)</f>
        <v>1133.611256418063</v>
      </c>
      <c r="N258" s="3" cm="1">
        <f t="array" ref="N258">lmb_2(H258)</f>
        <v>1.9533416830605799</v>
      </c>
      <c r="O258" s="3" cm="1">
        <f t="array" ref="O258">lmb_2(I258)</f>
        <v>1.1977794202247325</v>
      </c>
      <c r="P258" s="3" cm="1">
        <f t="array" ref="P258">lmb_2(J258)</f>
        <v>0.11644716307830724</v>
      </c>
      <c r="R258" s="3">
        <f t="shared" si="61"/>
        <v>1.5703522873999121E-2</v>
      </c>
      <c r="S258" s="3">
        <f t="shared" si="62"/>
        <v>25.362546322202896</v>
      </c>
      <c r="T258" s="3">
        <f t="shared" si="63"/>
        <v>1180.5348493499703</v>
      </c>
      <c r="U258" s="3">
        <f t="shared" si="53"/>
        <v>3281.1579660605121</v>
      </c>
      <c r="V258" s="3">
        <f t="shared" si="54"/>
        <v>0</v>
      </c>
      <c r="W258" s="3">
        <f t="shared" si="64"/>
        <v>450.79814146044816</v>
      </c>
      <c r="Y258" s="3">
        <f t="shared" si="65"/>
        <v>4937.869726930031</v>
      </c>
      <c r="AA258" s="3">
        <f t="shared" si="66"/>
        <v>4079.3420181167262</v>
      </c>
      <c r="AB258" s="3">
        <f t="shared" si="67"/>
        <v>-63.869726930030993</v>
      </c>
      <c r="AD258" s="3">
        <f t="shared" si="68"/>
        <v>2.0923649034387245E-5</v>
      </c>
    </row>
    <row r="259" spans="3:30" x14ac:dyDescent="0.25">
      <c r="C259" s="22">
        <v>227</v>
      </c>
      <c r="D259" s="22">
        <v>5057</v>
      </c>
      <c r="F259" s="3">
        <f t="shared" si="55"/>
        <v>7934.4454903335445</v>
      </c>
      <c r="G259" s="3">
        <f t="shared" si="56"/>
        <v>1150.7234322949016</v>
      </c>
      <c r="H259" s="3">
        <f t="shared" si="57"/>
        <v>2.6503695524343067</v>
      </c>
      <c r="I259" s="3">
        <f t="shared" si="58"/>
        <v>1.3868146569626965</v>
      </c>
      <c r="J259" s="3">
        <f t="shared" si="59"/>
        <v>-2.0334071314393651</v>
      </c>
      <c r="K259" s="3">
        <f t="shared" si="60"/>
        <v>4.8321187532952603E-4</v>
      </c>
      <c r="L259" s="3" cm="1">
        <f t="array" ref="L259">lmb_2(F259)</f>
        <v>7925.4670874065914</v>
      </c>
      <c r="M259" s="3" cm="1">
        <f t="array" ref="M259">lmb_2(G259)</f>
        <v>1143.6783486845898</v>
      </c>
      <c r="N259" s="3" cm="1">
        <f t="array" ref="N259">lmb_2(H259)</f>
        <v>1.9715496795549832</v>
      </c>
      <c r="O259" s="3" cm="1">
        <f t="array" ref="O259">lmb_2(I259)</f>
        <v>1.202451918980286</v>
      </c>
      <c r="P259" s="3" cm="1">
        <f t="array" ref="P259">lmb_2(J259)</f>
        <v>0.11649550019746253</v>
      </c>
      <c r="R259" s="3">
        <f t="shared" si="61"/>
        <v>1.5496677682485095E-2</v>
      </c>
      <c r="S259" s="3">
        <f t="shared" si="62"/>
        <v>25.028460735403524</v>
      </c>
      <c r="T259" s="3">
        <f t="shared" si="63"/>
        <v>1167.6089690667598</v>
      </c>
      <c r="U259" s="3">
        <f t="shared" si="53"/>
        <v>3275.9053902967471</v>
      </c>
      <c r="V259" s="3">
        <f t="shared" si="54"/>
        <v>0</v>
      </c>
      <c r="W259" s="3">
        <f t="shared" si="64"/>
        <v>452.57158456425549</v>
      </c>
      <c r="Y259" s="3">
        <f t="shared" si="65"/>
        <v>4921.1303845527236</v>
      </c>
      <c r="AA259" s="3">
        <f t="shared" si="66"/>
        <v>18460.552401790763</v>
      </c>
      <c r="AB259" s="3">
        <f t="shared" si="67"/>
        <v>135.86961544727637</v>
      </c>
      <c r="AD259" s="3">
        <f t="shared" si="68"/>
        <v>4.4510729647714677E-5</v>
      </c>
    </row>
    <row r="260" spans="3:30" x14ac:dyDescent="0.25">
      <c r="C260" s="22">
        <v>228</v>
      </c>
      <c r="D260" s="22">
        <v>4878</v>
      </c>
      <c r="F260" s="3">
        <f t="shared" si="55"/>
        <v>8004.4971502700027</v>
      </c>
      <c r="G260" s="3">
        <f t="shared" si="56"/>
        <v>1160.8438277265338</v>
      </c>
      <c r="H260" s="3">
        <f t="shared" si="57"/>
        <v>2.677977184520917</v>
      </c>
      <c r="I260" s="3">
        <f t="shared" si="58"/>
        <v>1.3954183527548727</v>
      </c>
      <c r="J260" s="3">
        <f t="shared" si="59"/>
        <v>-2.032941735597654</v>
      </c>
      <c r="K260" s="3">
        <f t="shared" si="60"/>
        <v>4.4884164149529109E-4</v>
      </c>
      <c r="L260" s="3" cm="1">
        <f t="array" ref="L260">lmb_2(F260)</f>
        <v>7995.5099528828277</v>
      </c>
      <c r="M260" s="3" cm="1">
        <f t="array" ref="M260">lmb_2(G260)</f>
        <v>1153.7899648264047</v>
      </c>
      <c r="N260" s="3" cm="1">
        <f t="array" ref="N260">lmb_2(H260)</f>
        <v>1.9898952069800917</v>
      </c>
      <c r="O260" s="3" cm="1">
        <f t="array" ref="O260">lmb_2(I260)</f>
        <v>1.2071533599383271</v>
      </c>
      <c r="P260" s="3" cm="1">
        <f t="array" ref="P260">lmb_2(J260)</f>
        <v>0.11654406881508632</v>
      </c>
      <c r="R260" s="3">
        <f t="shared" si="61"/>
        <v>1.5293449983758593E-2</v>
      </c>
      <c r="S260" s="3">
        <f t="shared" si="62"/>
        <v>24.70021537371969</v>
      </c>
      <c r="T260" s="3">
        <f t="shared" si="63"/>
        <v>1154.8111265604878</v>
      </c>
      <c r="U260" s="3">
        <f t="shared" si="53"/>
        <v>3270.5405535211212</v>
      </c>
      <c r="V260" s="3">
        <f t="shared" si="54"/>
        <v>0</v>
      </c>
      <c r="W260" s="3">
        <f t="shared" si="64"/>
        <v>454.34502766806276</v>
      </c>
      <c r="Y260" s="3">
        <f t="shared" si="65"/>
        <v>4904.4126654150159</v>
      </c>
      <c r="AA260" s="3">
        <f t="shared" si="66"/>
        <v>697.62889432557745</v>
      </c>
      <c r="AB260" s="3">
        <f t="shared" si="67"/>
        <v>-26.412665415015908</v>
      </c>
      <c r="AD260" s="3">
        <f t="shared" si="68"/>
        <v>8.6527587915307048E-6</v>
      </c>
    </row>
    <row r="261" spans="3:30" x14ac:dyDescent="0.25">
      <c r="C261" s="22">
        <v>229</v>
      </c>
      <c r="D261" s="22">
        <v>4821</v>
      </c>
      <c r="F261" s="3">
        <f t="shared" si="55"/>
        <v>8074.856729590796</v>
      </c>
      <c r="G261" s="3">
        <f t="shared" si="56"/>
        <v>1171.0087084128108</v>
      </c>
      <c r="H261" s="3">
        <f t="shared" si="57"/>
        <v>2.7057061688364805</v>
      </c>
      <c r="I261" s="3">
        <f t="shared" si="58"/>
        <v>1.4040598669900917</v>
      </c>
      <c r="J261" s="3">
        <f t="shared" si="59"/>
        <v>-2.0324742940599361</v>
      </c>
      <c r="K261" s="3">
        <f t="shared" si="60"/>
        <v>4.1691611780609071E-4</v>
      </c>
      <c r="L261" s="3" cm="1">
        <f t="array" ref="L261">lmb_2(F261)</f>
        <v>8065.8607762546799</v>
      </c>
      <c r="M261" s="3" cm="1">
        <f t="array" ref="M261">lmb_2(G261)</f>
        <v>1163.9461045075798</v>
      </c>
      <c r="N261" s="3" cm="1">
        <f t="array" ref="N261">lmb_2(H261)</f>
        <v>2.008378492492362</v>
      </c>
      <c r="O261" s="3" cm="1">
        <f t="array" ref="O261">lmb_2(I261)</f>
        <v>1.2118838320665795</v>
      </c>
      <c r="P261" s="3" cm="1">
        <f t="array" ref="P261">lmb_2(J261)</f>
        <v>0.11659286917547344</v>
      </c>
      <c r="R261" s="3">
        <f t="shared" si="61"/>
        <v>1.5093761026961888E-2</v>
      </c>
      <c r="S261" s="3">
        <f t="shared" si="62"/>
        <v>24.377683226095147</v>
      </c>
      <c r="T261" s="3">
        <f t="shared" si="63"/>
        <v>1142.1410234830068</v>
      </c>
      <c r="U261" s="3">
        <f t="shared" si="53"/>
        <v>3265.0649597549109</v>
      </c>
      <c r="V261" s="3">
        <f t="shared" si="54"/>
        <v>0</v>
      </c>
      <c r="W261" s="3">
        <f t="shared" si="64"/>
        <v>456.11847077187008</v>
      </c>
      <c r="Y261" s="3">
        <f t="shared" si="65"/>
        <v>4887.7176479130276</v>
      </c>
      <c r="AA261" s="3">
        <f t="shared" si="66"/>
        <v>4451.2445430467133</v>
      </c>
      <c r="AB261" s="3">
        <f t="shared" si="67"/>
        <v>-66.717647913027577</v>
      </c>
      <c r="AD261" s="3">
        <f t="shared" si="68"/>
        <v>2.1856624670734761E-5</v>
      </c>
    </row>
    <row r="262" spans="3:30" x14ac:dyDescent="0.25">
      <c r="C262" s="22">
        <v>230</v>
      </c>
      <c r="D262" s="22">
        <v>4925</v>
      </c>
      <c r="F262" s="3">
        <f t="shared" si="55"/>
        <v>8145.5242282959298</v>
      </c>
      <c r="G262" s="3">
        <f t="shared" si="56"/>
        <v>1181.2180743537322</v>
      </c>
      <c r="H262" s="3">
        <f t="shared" si="57"/>
        <v>2.7335565053809967</v>
      </c>
      <c r="I262" s="3">
        <f t="shared" si="58"/>
        <v>1.4127391996683532</v>
      </c>
      <c r="J262" s="3">
        <f t="shared" si="59"/>
        <v>-2.03200480682621</v>
      </c>
      <c r="K262" s="3">
        <f t="shared" si="60"/>
        <v>3.8726141520076772E-4</v>
      </c>
      <c r="L262" s="3" cm="1">
        <f t="array" ref="L262">lmb_2(F262)</f>
        <v>8136.5195571862796</v>
      </c>
      <c r="M262" s="3" cm="1">
        <f t="array" ref="M262">lmb_2(G262)</f>
        <v>1174.1467673965365</v>
      </c>
      <c r="N262" s="3" cm="1">
        <f t="array" ref="N262">lmb_2(H262)</f>
        <v>2.0269997575308496</v>
      </c>
      <c r="O262" s="3" cm="1">
        <f t="array" ref="O262">lmb_2(I262)</f>
        <v>1.2166434242668496</v>
      </c>
      <c r="P262" s="3" cm="1">
        <f t="array" ref="P262">lmb_2(J262)</f>
        <v>0.11664190152410803</v>
      </c>
      <c r="R262" s="3">
        <f t="shared" si="61"/>
        <v>1.4897534109855221E-2</v>
      </c>
      <c r="S262" s="3">
        <f t="shared" si="62"/>
        <v>24.060740580119298</v>
      </c>
      <c r="T262" s="3">
        <f t="shared" si="63"/>
        <v>1129.5983222460634</v>
      </c>
      <c r="U262" s="3">
        <f t="shared" si="53"/>
        <v>3259.4801116011877</v>
      </c>
      <c r="V262" s="3">
        <f t="shared" si="54"/>
        <v>0</v>
      </c>
      <c r="W262" s="3">
        <f t="shared" si="64"/>
        <v>457.89191387567735</v>
      </c>
      <c r="Y262" s="3">
        <f t="shared" si="65"/>
        <v>4871.046373098573</v>
      </c>
      <c r="AA262" s="3">
        <f t="shared" si="66"/>
        <v>2910.993855818389</v>
      </c>
      <c r="AB262" s="3">
        <f t="shared" si="67"/>
        <v>53.953626901427015</v>
      </c>
      <c r="AD262" s="3">
        <f t="shared" si="68"/>
        <v>1.7675146077490601E-5</v>
      </c>
    </row>
    <row r="263" spans="3:30" x14ac:dyDescent="0.25">
      <c r="C263" s="22">
        <v>231</v>
      </c>
      <c r="D263" s="22">
        <v>4942</v>
      </c>
      <c r="F263" s="3">
        <f t="shared" si="55"/>
        <v>8216.4996463853968</v>
      </c>
      <c r="G263" s="3">
        <f t="shared" si="56"/>
        <v>1191.471925549298</v>
      </c>
      <c r="H263" s="3">
        <f t="shared" si="57"/>
        <v>2.7615281941544634</v>
      </c>
      <c r="I263" s="3">
        <f t="shared" si="58"/>
        <v>1.4214563507896569</v>
      </c>
      <c r="J263" s="3">
        <f t="shared" si="59"/>
        <v>-2.0315332738964766</v>
      </c>
      <c r="K263" s="3">
        <f t="shared" si="60"/>
        <v>3.5971601312150214E-4</v>
      </c>
      <c r="L263" s="3" cm="1">
        <f t="array" ref="L263">lmb_2(F263)</f>
        <v>8207.4862953461197</v>
      </c>
      <c r="M263" s="3" cm="1">
        <f t="array" ref="M263">lmb_2(G263)</f>
        <v>1184.3919531659742</v>
      </c>
      <c r="N263" s="3" cm="1">
        <f t="array" ref="N263">lmb_2(H263)</f>
        <v>2.045759217873953</v>
      </c>
      <c r="O263" s="3" cm="1">
        <f t="array" ref="O263">lmb_2(I263)</f>
        <v>1.2214322253698802</v>
      </c>
      <c r="P263" s="3" cm="1">
        <f t="array" ref="P263">lmb_2(J263)</f>
        <v>0.1166911661076646</v>
      </c>
      <c r="R263" s="3">
        <f t="shared" si="61"/>
        <v>1.4704694516902313E-2</v>
      </c>
      <c r="S263" s="3">
        <f t="shared" si="62"/>
        <v>23.749266922565582</v>
      </c>
      <c r="T263" s="3">
        <f t="shared" si="63"/>
        <v>1117.1826475497628</v>
      </c>
      <c r="U263" s="3">
        <f t="shared" si="53"/>
        <v>3253.7875099921002</v>
      </c>
      <c r="V263" s="3">
        <f t="shared" si="54"/>
        <v>0</v>
      </c>
      <c r="W263" s="3">
        <f t="shared" si="64"/>
        <v>459.66535697948467</v>
      </c>
      <c r="Y263" s="3">
        <f t="shared" si="65"/>
        <v>4854.3998458544429</v>
      </c>
      <c r="AA263" s="3">
        <f t="shared" si="66"/>
        <v>7673.7870063253649</v>
      </c>
      <c r="AB263" s="3">
        <f t="shared" si="67"/>
        <v>87.600154145557099</v>
      </c>
      <c r="AD263" s="3">
        <f t="shared" si="68"/>
        <v>2.8697709678762367E-5</v>
      </c>
    </row>
    <row r="264" spans="3:30" x14ac:dyDescent="0.25">
      <c r="C264" s="22">
        <v>232</v>
      </c>
      <c r="D264" s="22">
        <v>4788</v>
      </c>
      <c r="F264" s="3">
        <f t="shared" si="55"/>
        <v>8287.7829838591988</v>
      </c>
      <c r="G264" s="3">
        <f t="shared" si="56"/>
        <v>1201.7702619995082</v>
      </c>
      <c r="H264" s="3">
        <f t="shared" si="57"/>
        <v>2.7896212351568836</v>
      </c>
      <c r="I264" s="3">
        <f t="shared" si="58"/>
        <v>1.4302113203540034</v>
      </c>
      <c r="J264" s="3">
        <f t="shared" si="59"/>
        <v>-2.031059695270736</v>
      </c>
      <c r="K264" s="3">
        <f t="shared" si="60"/>
        <v>3.3412987975821502E-4</v>
      </c>
      <c r="L264" s="3" cm="1">
        <f t="array" ref="L264">lmb_2(F264)</f>
        <v>8278.7609904070068</v>
      </c>
      <c r="M264" s="3" cm="1">
        <f t="array" ref="M264">lmb_2(G264)</f>
        <v>1194.6816614927945</v>
      </c>
      <c r="N264" s="3" cm="1">
        <f t="array" ref="N264">lmb_2(H264)</f>
        <v>2.0646570836971683</v>
      </c>
      <c r="O264" s="3" cm="1">
        <f t="array" ref="O264">lmb_2(I264)</f>
        <v>1.2262503241302229</v>
      </c>
      <c r="P264" s="3" cm="1">
        <f t="array" ref="P264">lmb_2(J264)</f>
        <v>0.11674066317400988</v>
      </c>
      <c r="R264" s="3">
        <f t="shared" si="61"/>
        <v>1.4515169459485359E-2</v>
      </c>
      <c r="S264" s="3">
        <f t="shared" si="62"/>
        <v>23.443144843340761</v>
      </c>
      <c r="T264" s="3">
        <f t="shared" si="63"/>
        <v>1104.8935878812817</v>
      </c>
      <c r="U264" s="3">
        <f t="shared" si="53"/>
        <v>3247.9886539395134</v>
      </c>
      <c r="V264" s="3">
        <f t="shared" si="54"/>
        <v>0</v>
      </c>
      <c r="W264" s="3">
        <f t="shared" si="64"/>
        <v>461.43880008329194</v>
      </c>
      <c r="Y264" s="3">
        <f t="shared" si="65"/>
        <v>4837.779036046767</v>
      </c>
      <c r="AA264" s="3">
        <f t="shared" si="66"/>
        <v>2477.9524297453318</v>
      </c>
      <c r="AB264" s="3">
        <f t="shared" si="67"/>
        <v>-49.779036046767033</v>
      </c>
      <c r="AD264" s="3">
        <f t="shared" si="68"/>
        <v>1.6307554918055129E-5</v>
      </c>
    </row>
    <row r="265" spans="3:30" x14ac:dyDescent="0.25">
      <c r="C265" s="22">
        <v>233</v>
      </c>
      <c r="D265" s="22">
        <v>4682</v>
      </c>
      <c r="F265" s="3">
        <f t="shared" si="55"/>
        <v>8359.3742407173359</v>
      </c>
      <c r="G265" s="3">
        <f t="shared" si="56"/>
        <v>1212.1130837043629</v>
      </c>
      <c r="H265" s="3">
        <f t="shared" si="57"/>
        <v>2.8178356283882553</v>
      </c>
      <c r="I265" s="3">
        <f t="shared" si="58"/>
        <v>1.4390041083613923</v>
      </c>
      <c r="J265" s="3">
        <f t="shared" si="59"/>
        <v>-2.0305840709489877</v>
      </c>
      <c r="K265" s="3">
        <f t="shared" si="60"/>
        <v>3.1036365486884722E-4</v>
      </c>
      <c r="L265" s="3" cm="1">
        <f t="array" ref="L265">lmb_2(F265)</f>
        <v>8350.3436420459639</v>
      </c>
      <c r="M265" s="3" cm="1">
        <f t="array" ref="M265">lmb_2(G265)</f>
        <v>1205.0158920580323</v>
      </c>
      <c r="N265" s="3" cm="1">
        <f t="array" ref="N265">lmb_2(H265)</f>
        <v>2.0836935596317754</v>
      </c>
      <c r="O265" s="3" cm="1">
        <f t="array" ref="O265">lmb_2(I265)</f>
        <v>1.2310978092211282</v>
      </c>
      <c r="P265" s="3" cm="1">
        <f t="array" ref="P265">lmb_2(J265)</f>
        <v>0.11679039297220443</v>
      </c>
      <c r="R265" s="3">
        <f t="shared" si="61"/>
        <v>1.4328888018167701E-2</v>
      </c>
      <c r="S265" s="3">
        <f t="shared" si="62"/>
        <v>23.142259942713565</v>
      </c>
      <c r="T265" s="3">
        <f t="shared" si="63"/>
        <v>1092.7306969836302</v>
      </c>
      <c r="U265" s="3">
        <f t="shared" si="53"/>
        <v>3242.0850402890355</v>
      </c>
      <c r="V265" s="3">
        <f t="shared" si="54"/>
        <v>0</v>
      </c>
      <c r="W265" s="3">
        <f t="shared" si="64"/>
        <v>463.21224318709926</v>
      </c>
      <c r="Y265" s="3">
        <f t="shared" si="65"/>
        <v>4821.1848796541517</v>
      </c>
      <c r="AA265" s="3">
        <f t="shared" si="66"/>
        <v>19372.430724340691</v>
      </c>
      <c r="AB265" s="3">
        <f t="shared" si="67"/>
        <v>-139.1848796541517</v>
      </c>
      <c r="AD265" s="3">
        <f t="shared" si="68"/>
        <v>4.5596806386337921E-5</v>
      </c>
    </row>
    <row r="266" spans="3:30" x14ac:dyDescent="0.25">
      <c r="C266" s="22">
        <v>234</v>
      </c>
      <c r="D266" s="22">
        <v>4884</v>
      </c>
      <c r="F266" s="3">
        <f t="shared" si="55"/>
        <v>8431.2734169598116</v>
      </c>
      <c r="G266" s="3">
        <f t="shared" si="56"/>
        <v>1222.5003906638626</v>
      </c>
      <c r="H266" s="3">
        <f t="shared" si="57"/>
        <v>2.8461713738485788</v>
      </c>
      <c r="I266" s="3">
        <f t="shared" si="58"/>
        <v>1.447834714811824</v>
      </c>
      <c r="J266" s="3">
        <f t="shared" si="59"/>
        <v>-2.0301064009312317</v>
      </c>
      <c r="K266" s="3">
        <f t="shared" si="60"/>
        <v>2.8828789072456575E-4</v>
      </c>
      <c r="L266" s="3" cm="1">
        <f t="array" ref="L266">lmb_2(F266)</f>
        <v>8422.2342499441784</v>
      </c>
      <c r="M266" s="3" cm="1">
        <f t="array" ref="M266">lmb_2(G266)</f>
        <v>1215.3946445467843</v>
      </c>
      <c r="N266" s="3" cm="1">
        <f t="array" ref="N266">lmb_2(H266)</f>
        <v>2.1028688448244224</v>
      </c>
      <c r="O266" s="3" cm="1">
        <f t="array" ref="O266">lmb_2(I266)</f>
        <v>1.2359747692294554</v>
      </c>
      <c r="P266" s="3" cm="1">
        <f t="array" ref="P266">lmb_2(J266)</f>
        <v>0.11684035575250375</v>
      </c>
      <c r="R266" s="3">
        <f t="shared" si="61"/>
        <v>1.4145781086925316E-2</v>
      </c>
      <c r="S266" s="3">
        <f t="shared" si="62"/>
        <v>22.846500741697831</v>
      </c>
      <c r="T266" s="3">
        <f t="shared" si="63"/>
        <v>1080.6934952942527</v>
      </c>
      <c r="U266" s="3">
        <f t="shared" si="53"/>
        <v>3236.078163477468</v>
      </c>
      <c r="V266" s="3">
        <f t="shared" si="54"/>
        <v>0</v>
      </c>
      <c r="W266" s="3">
        <f t="shared" si="64"/>
        <v>464.98568629090653</v>
      </c>
      <c r="Y266" s="3">
        <f t="shared" si="65"/>
        <v>4804.6182798733025</v>
      </c>
      <c r="AA266" s="3">
        <f t="shared" si="66"/>
        <v>6301.4574902733266</v>
      </c>
      <c r="AB266" s="3">
        <f t="shared" si="67"/>
        <v>79.381720126697473</v>
      </c>
      <c r="AD266" s="3">
        <f t="shared" si="68"/>
        <v>2.6005360152808254E-5</v>
      </c>
    </row>
    <row r="267" spans="3:30" x14ac:dyDescent="0.25">
      <c r="C267" s="22">
        <v>235</v>
      </c>
      <c r="D267" s="22">
        <v>4826</v>
      </c>
      <c r="F267" s="3">
        <f t="shared" si="55"/>
        <v>8503.4805125866205</v>
      </c>
      <c r="G267" s="3">
        <f t="shared" si="56"/>
        <v>1232.9321828780066</v>
      </c>
      <c r="H267" s="3">
        <f t="shared" si="57"/>
        <v>2.8746284715378549</v>
      </c>
      <c r="I267" s="3">
        <f t="shared" si="58"/>
        <v>1.4567031397052983</v>
      </c>
      <c r="J267" s="3">
        <f t="shared" si="59"/>
        <v>-2.0296266852174685</v>
      </c>
      <c r="K267" s="3">
        <f t="shared" si="60"/>
        <v>2.677823470455635E-4</v>
      </c>
      <c r="L267" s="3" cm="1">
        <f t="array" ref="L267">lmb_2(F267)</f>
        <v>8494.4328137869052</v>
      </c>
      <c r="M267" s="3" cm="1">
        <f t="array" ref="M267">lmb_2(G267)</f>
        <v>1225.8179186481395</v>
      </c>
      <c r="N267" s="3" cm="1">
        <f t="array" ref="N267">lmb_2(H267)</f>
        <v>2.1221831329975243</v>
      </c>
      <c r="O267" s="3" cm="1">
        <f t="array" ref="O267">lmb_2(I267)</f>
        <v>1.2408812926506041</v>
      </c>
      <c r="P267" s="3" cm="1">
        <f t="array" ref="P267">lmb_2(J267)</f>
        <v>0.11689055176636026</v>
      </c>
      <c r="R267" s="3">
        <f t="shared" si="61"/>
        <v>1.3965781319272274E-2</v>
      </c>
      <c r="S267" s="3">
        <f t="shared" si="62"/>
        <v>22.555758595469769</v>
      </c>
      <c r="T267" s="3">
        <f t="shared" si="63"/>
        <v>1068.7814713533505</v>
      </c>
      <c r="U267" s="3">
        <f t="shared" si="53"/>
        <v>3229.9695152936829</v>
      </c>
      <c r="V267" s="3">
        <f t="shared" si="54"/>
        <v>0</v>
      </c>
      <c r="W267" s="3">
        <f t="shared" si="64"/>
        <v>466.7591293947138</v>
      </c>
      <c r="Y267" s="3">
        <f t="shared" si="65"/>
        <v>4788.0801082008829</v>
      </c>
      <c r="AA267" s="3">
        <f t="shared" si="66"/>
        <v>1437.9181940567457</v>
      </c>
      <c r="AB267" s="3">
        <f t="shared" si="67"/>
        <v>37.919891799117067</v>
      </c>
      <c r="AD267" s="3">
        <f t="shared" si="68"/>
        <v>1.2422512911255368E-5</v>
      </c>
    </row>
    <row r="268" spans="3:30" x14ac:dyDescent="0.25">
      <c r="C268" s="22">
        <v>236</v>
      </c>
      <c r="D268" s="22">
        <v>4846</v>
      </c>
      <c r="F268" s="3">
        <f t="shared" si="55"/>
        <v>8575.9955275977663</v>
      </c>
      <c r="G268" s="3">
        <f t="shared" si="56"/>
        <v>1243.4084603467952</v>
      </c>
      <c r="H268" s="3">
        <f t="shared" si="57"/>
        <v>2.9032069214560834</v>
      </c>
      <c r="I268" s="3">
        <f t="shared" si="58"/>
        <v>1.4656093830418147</v>
      </c>
      <c r="J268" s="3">
        <f t="shared" si="59"/>
        <v>-2.0291449238076975</v>
      </c>
      <c r="K268" s="3">
        <f t="shared" si="60"/>
        <v>2.4873533608715066E-4</v>
      </c>
      <c r="L268" s="3" cm="1">
        <f t="array" ref="L268">lmb_2(F268)</f>
        <v>8566.9393332634227</v>
      </c>
      <c r="M268" s="3" cm="1">
        <f t="array" ref="M268">lmb_2(G268)</f>
        <v>1236.2857140551152</v>
      </c>
      <c r="N268" s="3" cm="1">
        <f t="array" ref="N268">lmb_2(H268)</f>
        <v>2.1416366125104327</v>
      </c>
      <c r="O268" s="3" cm="1">
        <f t="array" ref="O268">lmb_2(I268)</f>
        <v>1.2458174678834659</v>
      </c>
      <c r="P268" s="3" cm="1">
        <f t="array" ref="P268">lmb_2(J268)</f>
        <v>0.11694098126642473</v>
      </c>
      <c r="R268" s="3">
        <f t="shared" si="61"/>
        <v>1.3788823076207645E-2</v>
      </c>
      <c r="S268" s="3">
        <f t="shared" si="62"/>
        <v>22.269927609704386</v>
      </c>
      <c r="T268" s="3">
        <f t="shared" si="63"/>
        <v>1056.9940831818203</v>
      </c>
      <c r="U268" s="3">
        <f t="shared" si="53"/>
        <v>3223.7605846429969</v>
      </c>
      <c r="V268" s="3">
        <f t="shared" si="54"/>
        <v>0</v>
      </c>
      <c r="W268" s="3">
        <f t="shared" si="64"/>
        <v>468.53257249852112</v>
      </c>
      <c r="Y268" s="3">
        <f t="shared" si="65"/>
        <v>4771.5712054914547</v>
      </c>
      <c r="AA268" s="3">
        <f t="shared" si="66"/>
        <v>5539.6454519952558</v>
      </c>
      <c r="AB268" s="3">
        <f t="shared" si="67"/>
        <v>74.428794508545252</v>
      </c>
      <c r="AD268" s="3">
        <f t="shared" si="68"/>
        <v>2.4382787420640909E-5</v>
      </c>
    </row>
    <row r="269" spans="3:30" x14ac:dyDescent="0.25">
      <c r="C269" s="22">
        <v>237</v>
      </c>
      <c r="D269" s="22">
        <v>4810</v>
      </c>
      <c r="F269" s="3">
        <f t="shared" si="55"/>
        <v>8648.818461993249</v>
      </c>
      <c r="G269" s="3">
        <f t="shared" si="56"/>
        <v>1253.9292230702283</v>
      </c>
      <c r="H269" s="3">
        <f t="shared" si="57"/>
        <v>2.9319067236032632</v>
      </c>
      <c r="I269" s="3">
        <f t="shared" si="58"/>
        <v>1.474553444821374</v>
      </c>
      <c r="J269" s="3">
        <f t="shared" si="59"/>
        <v>-2.0286611167019188</v>
      </c>
      <c r="K269" s="3">
        <f t="shared" si="60"/>
        <v>2.3104311430902828E-4</v>
      </c>
      <c r="L269" s="3" cm="1">
        <f t="array" ref="L269">lmb_2(F269)</f>
        <v>8639.7538080669547</v>
      </c>
      <c r="M269" s="3" cm="1">
        <f t="array" ref="M269">lmb_2(G269)</f>
        <v>1246.7980304645887</v>
      </c>
      <c r="N269" s="3" cm="1">
        <f t="array" ref="N269">lmb_2(H269)</f>
        <v>2.1612294664213181</v>
      </c>
      <c r="O269" s="3" cm="1">
        <f t="array" ref="O269">lmb_2(I269)</f>
        <v>1.2507833832254018</v>
      </c>
      <c r="P269" s="3" cm="1">
        <f t="array" ref="P269">lmb_2(J269)</f>
        <v>0.11699164450654778</v>
      </c>
      <c r="R269" s="3">
        <f t="shared" si="61"/>
        <v>1.3614842375915266E-2</v>
      </c>
      <c r="S269" s="3">
        <f t="shared" si="62"/>
        <v>21.988904559721053</v>
      </c>
      <c r="T269" s="3">
        <f t="shared" si="63"/>
        <v>1045.3307596287539</v>
      </c>
      <c r="U269" s="3">
        <f t="shared" si="53"/>
        <v>3217.4528573150251</v>
      </c>
      <c r="V269" s="3">
        <f t="shared" si="54"/>
        <v>0</v>
      </c>
      <c r="W269" s="3">
        <f t="shared" si="64"/>
        <v>470.30601560232839</v>
      </c>
      <c r="Y269" s="3">
        <f t="shared" si="65"/>
        <v>4755.092382991319</v>
      </c>
      <c r="AA269" s="3">
        <f t="shared" si="66"/>
        <v>3014.8464055719919</v>
      </c>
      <c r="AB269" s="3">
        <f t="shared" si="67"/>
        <v>54.907617008680973</v>
      </c>
      <c r="AD269" s="3">
        <f t="shared" si="68"/>
        <v>1.7987672138676465E-5</v>
      </c>
    </row>
    <row r="270" spans="3:30" x14ac:dyDescent="0.25">
      <c r="C270" s="22">
        <v>238</v>
      </c>
      <c r="D270" s="22">
        <v>4751</v>
      </c>
      <c r="F270" s="3">
        <f t="shared" si="55"/>
        <v>8721.9493157730722</v>
      </c>
      <c r="G270" s="3">
        <f t="shared" si="56"/>
        <v>1264.4944710483055</v>
      </c>
      <c r="H270" s="3">
        <f t="shared" si="57"/>
        <v>2.9607278779793962</v>
      </c>
      <c r="I270" s="3">
        <f t="shared" si="58"/>
        <v>1.4835353250439753</v>
      </c>
      <c r="J270" s="3">
        <f t="shared" si="59"/>
        <v>-2.0281752639001329</v>
      </c>
      <c r="K270" s="3">
        <f t="shared" si="60"/>
        <v>2.1460931731433276E-4</v>
      </c>
      <c r="L270" s="3" cm="1">
        <f t="array" ref="L270">lmb_2(F270)</f>
        <v>8712.876237894603</v>
      </c>
      <c r="M270" s="3" cm="1">
        <f t="array" ref="M270">lmb_2(G270)</f>
        <v>1257.3548675772336</v>
      </c>
      <c r="N270" s="3" cm="1">
        <f t="array" ref="N270">lmb_2(H270)</f>
        <v>2.180961872549708</v>
      </c>
      <c r="O270" s="3" cm="1">
        <f t="array" ref="O270">lmb_2(I270)</f>
        <v>1.2557791268672349</v>
      </c>
      <c r="P270" s="3" cm="1">
        <f t="array" ref="P270">lmb_2(J270)</f>
        <v>0.11704254174178146</v>
      </c>
      <c r="R270" s="3">
        <f t="shared" si="61"/>
        <v>1.3443776845150045E-2</v>
      </c>
      <c r="S270" s="3">
        <f t="shared" si="62"/>
        <v>21.712588812332427</v>
      </c>
      <c r="T270" s="3">
        <f t="shared" si="63"/>
        <v>1033.7909016884876</v>
      </c>
      <c r="U270" s="3">
        <f t="shared" si="53"/>
        <v>3211.0478157550838</v>
      </c>
      <c r="V270" s="3">
        <f t="shared" si="54"/>
        <v>0</v>
      </c>
      <c r="W270" s="3">
        <f t="shared" si="64"/>
        <v>472.07945870613571</v>
      </c>
      <c r="Y270" s="3">
        <f t="shared" si="65"/>
        <v>4738.6444233482016</v>
      </c>
      <c r="AA270" s="3">
        <f t="shared" si="66"/>
        <v>152.66027439846579</v>
      </c>
      <c r="AB270" s="3">
        <f t="shared" si="67"/>
        <v>12.355576651798401</v>
      </c>
      <c r="AD270" s="3">
        <f t="shared" si="68"/>
        <v>4.0476726910530068E-6</v>
      </c>
    </row>
    <row r="271" spans="3:30" x14ac:dyDescent="0.25">
      <c r="C271" s="22">
        <v>239</v>
      </c>
      <c r="D271" s="22">
        <v>4619</v>
      </c>
      <c r="F271" s="3">
        <f t="shared" si="55"/>
        <v>8795.3880889372267</v>
      </c>
      <c r="G271" s="3">
        <f t="shared" si="56"/>
        <v>1275.1042042810277</v>
      </c>
      <c r="H271" s="3">
        <f t="shared" si="57"/>
        <v>2.989670384584481</v>
      </c>
      <c r="I271" s="3">
        <f t="shared" si="58"/>
        <v>1.4925550237096199</v>
      </c>
      <c r="J271" s="3">
        <f t="shared" si="59"/>
        <v>-2.0276873654023397</v>
      </c>
      <c r="K271" s="3">
        <f t="shared" si="60"/>
        <v>1.9934443498074089E-4</v>
      </c>
      <c r="L271" s="3" cm="1">
        <f t="array" ref="L271">lmb_2(F271)</f>
        <v>8786.3066224472695</v>
      </c>
      <c r="M271" s="3" cm="1">
        <f t="array" ref="M271">lmb_2(G271)</f>
        <v>1267.9562250974586</v>
      </c>
      <c r="N271" s="3" cm="1">
        <f t="array" ref="N271">lmb_2(H271)</f>
        <v>2.200834003539617</v>
      </c>
      <c r="O271" s="3" cm="1">
        <f t="array" ref="O271">lmb_2(I271)</f>
        <v>1.260804786888277</v>
      </c>
      <c r="P271" s="3" cm="1">
        <f t="array" ref="P271">lmb_2(J271)</f>
        <v>0.11709367322838099</v>
      </c>
      <c r="R271" s="3">
        <f t="shared" si="61"/>
        <v>1.3275565672247462E-2</v>
      </c>
      <c r="S271" s="3">
        <f t="shared" si="62"/>
        <v>21.440882250295552</v>
      </c>
      <c r="T271" s="3">
        <f t="shared" si="63"/>
        <v>1022.3738837872271</v>
      </c>
      <c r="U271" s="3">
        <f t="shared" si="53"/>
        <v>3204.546938839118</v>
      </c>
      <c r="V271" s="3">
        <f t="shared" si="54"/>
        <v>0</v>
      </c>
      <c r="W271" s="3">
        <f t="shared" si="64"/>
        <v>473.85290180994298</v>
      </c>
      <c r="Y271" s="3">
        <f t="shared" si="65"/>
        <v>4722.2280815966915</v>
      </c>
      <c r="AA271" s="3">
        <f t="shared" si="66"/>
        <v>10656.036830133195</v>
      </c>
      <c r="AB271" s="3">
        <f t="shared" si="67"/>
        <v>-103.22808159669148</v>
      </c>
      <c r="AD271" s="3">
        <f t="shared" si="68"/>
        <v>3.3817400725517918E-5</v>
      </c>
    </row>
    <row r="272" spans="3:30" x14ac:dyDescent="0.25">
      <c r="C272" s="22">
        <v>240</v>
      </c>
      <c r="D272" s="22">
        <v>4782</v>
      </c>
      <c r="F272" s="3">
        <f t="shared" si="55"/>
        <v>8869.1347814857163</v>
      </c>
      <c r="G272" s="3">
        <f t="shared" si="56"/>
        <v>1285.7584227683947</v>
      </c>
      <c r="H272" s="3">
        <f t="shared" si="57"/>
        <v>3.018734243418518</v>
      </c>
      <c r="I272" s="3">
        <f t="shared" si="58"/>
        <v>1.5016125408183068</v>
      </c>
      <c r="J272" s="3">
        <f t="shared" si="59"/>
        <v>-2.0271974212085389</v>
      </c>
      <c r="K272" s="3">
        <f t="shared" si="60"/>
        <v>1.8516532392481028E-4</v>
      </c>
      <c r="L272" s="3" cm="1">
        <f t="array" ref="L272">lmb_2(F272)</f>
        <v>8860.0449614296213</v>
      </c>
      <c r="M272" s="3" cm="1">
        <f t="array" ref="M272">lmb_2(G272)</f>
        <v>1278.6021027333434</v>
      </c>
      <c r="N272" s="3" cm="1">
        <f t="array" ref="N272">lmb_2(H272)</f>
        <v>2.2208460269232373</v>
      </c>
      <c r="O272" s="3" cm="1">
        <f t="array" ref="O272">lmb_2(I272)</f>
        <v>1.26586045125137</v>
      </c>
      <c r="P272" s="3" cm="1">
        <f t="array" ref="P272">lmb_2(J272)</f>
        <v>0.11714503922380616</v>
      </c>
      <c r="R272" s="3">
        <f t="shared" si="61"/>
        <v>1.3110149561695466E-2</v>
      </c>
      <c r="S272" s="3">
        <f t="shared" si="62"/>
        <v>21.173689199268313</v>
      </c>
      <c r="T272" s="3">
        <f t="shared" si="63"/>
        <v>1011.0790550392904</v>
      </c>
      <c r="U272" s="3">
        <f t="shared" si="53"/>
        <v>3197.9517016522268</v>
      </c>
      <c r="V272" s="3">
        <f t="shared" si="54"/>
        <v>0</v>
      </c>
      <c r="W272" s="3">
        <f t="shared" si="64"/>
        <v>475.6263449137503</v>
      </c>
      <c r="Y272" s="3">
        <f t="shared" si="65"/>
        <v>4705.8440861194222</v>
      </c>
      <c r="AA272" s="3">
        <f t="shared" si="66"/>
        <v>5799.7232189859869</v>
      </c>
      <c r="AB272" s="3">
        <f t="shared" si="67"/>
        <v>76.155913880577828</v>
      </c>
      <c r="AD272" s="3">
        <f t="shared" si="68"/>
        <v>2.4948589739171088E-5</v>
      </c>
    </row>
    <row r="273" spans="3:30" x14ac:dyDescent="0.25">
      <c r="C273" s="22">
        <v>241</v>
      </c>
      <c r="D273" s="22">
        <v>4685</v>
      </c>
      <c r="F273" s="3">
        <f t="shared" si="55"/>
        <v>8943.1893934185446</v>
      </c>
      <c r="G273" s="3">
        <f t="shared" si="56"/>
        <v>1296.4571265104059</v>
      </c>
      <c r="H273" s="3">
        <f t="shared" si="57"/>
        <v>3.047919454481506</v>
      </c>
      <c r="I273" s="3">
        <f t="shared" si="58"/>
        <v>1.5107078763700359</v>
      </c>
      <c r="J273" s="3">
        <f t="shared" si="59"/>
        <v>-2.0267054313187303</v>
      </c>
      <c r="K273" s="3">
        <f t="shared" si="60"/>
        <v>1.7199475464410387E-4</v>
      </c>
      <c r="L273" s="3" cm="1">
        <f t="array" ref="L273">lmb_2(F273)</f>
        <v>8934.0912545500105</v>
      </c>
      <c r="M273" s="3" cm="1">
        <f t="array" ref="M273">lmb_2(G273)</f>
        <v>1289.2925001965789</v>
      </c>
      <c r="N273" s="3" cm="1">
        <f t="array" ref="N273">lmb_2(H273)</f>
        <v>2.240998105185112</v>
      </c>
      <c r="O273" s="3" cm="1">
        <f t="array" ref="O273">lmb_2(I273)</f>
        <v>1.2709462077979587</v>
      </c>
      <c r="P273" s="3" cm="1">
        <f t="array" ref="P273">lmb_2(J273)</f>
        <v>0.11719663998672313</v>
      </c>
      <c r="R273" s="3">
        <f t="shared" si="61"/>
        <v>1.2947470690210771E-2</v>
      </c>
      <c r="S273" s="3">
        <f t="shared" si="62"/>
        <v>20.910916357177996</v>
      </c>
      <c r="T273" s="3">
        <f t="shared" si="63"/>
        <v>999.90574047307803</v>
      </c>
      <c r="U273" s="3">
        <f t="shared" si="53"/>
        <v>3191.263575270762</v>
      </c>
      <c r="V273" s="3">
        <f t="shared" si="54"/>
        <v>0</v>
      </c>
      <c r="W273" s="3">
        <f t="shared" si="64"/>
        <v>477.39978801755757</v>
      </c>
      <c r="Y273" s="3">
        <f t="shared" si="65"/>
        <v>4689.4931395840204</v>
      </c>
      <c r="AA273" s="3">
        <f t="shared" si="66"/>
        <v>20.188303321490608</v>
      </c>
      <c r="AB273" s="3">
        <f t="shared" si="67"/>
        <v>-4.493139584020355</v>
      </c>
      <c r="AD273" s="3">
        <f t="shared" si="68"/>
        <v>1.4719473565550909E-6</v>
      </c>
    </row>
    <row r="274" spans="3:30" x14ac:dyDescent="0.25">
      <c r="C274" s="22">
        <v>242</v>
      </c>
      <c r="D274" s="22">
        <v>4584</v>
      </c>
      <c r="F274" s="3">
        <f t="shared" si="55"/>
        <v>9017.5519247357061</v>
      </c>
      <c r="G274" s="3">
        <f t="shared" si="56"/>
        <v>1307.2003155070615</v>
      </c>
      <c r="H274" s="3">
        <f t="shared" si="57"/>
        <v>3.0772260177734476</v>
      </c>
      <c r="I274" s="3">
        <f t="shared" si="58"/>
        <v>1.5198410303648078</v>
      </c>
      <c r="J274" s="3">
        <f t="shared" si="59"/>
        <v>-2.026211395732914</v>
      </c>
      <c r="K274" s="3">
        <f t="shared" si="60"/>
        <v>1.5976099087050322E-4</v>
      </c>
      <c r="L274" s="3" cm="1">
        <f t="array" ref="L274">lmb_2(F274)</f>
        <v>9008.4455015204094</v>
      </c>
      <c r="M274" s="3" cm="1">
        <f t="array" ref="M274">lmb_2(G274)</f>
        <v>1300.0274172024094</v>
      </c>
      <c r="N274" s="3" cm="1">
        <f t="array" ref="N274">lmb_2(H274)</f>
        <v>2.2612903958267587</v>
      </c>
      <c r="O274" s="3" cm="1">
        <f t="array" ref="O274">lmb_2(I274)</f>
        <v>1.2760621442431885</v>
      </c>
      <c r="P274" s="3" cm="1">
        <f t="array" ref="P274">lmb_2(J274)</f>
        <v>0.11724847577700574</v>
      </c>
      <c r="R274" s="3">
        <f t="shared" si="61"/>
        <v>1.2787472664263552E-2</v>
      </c>
      <c r="S274" s="3">
        <f t="shared" si="62"/>
        <v>20.652472725912787</v>
      </c>
      <c r="T274" s="3">
        <f t="shared" si="63"/>
        <v>988.85324222687882</v>
      </c>
      <c r="U274" s="3">
        <f t="shared" si="53"/>
        <v>3184.4840265480402</v>
      </c>
      <c r="V274" s="3">
        <f t="shared" si="54"/>
        <v>0</v>
      </c>
      <c r="W274" s="3">
        <f t="shared" si="64"/>
        <v>479.17323112136489</v>
      </c>
      <c r="Y274" s="3">
        <f t="shared" si="65"/>
        <v>4673.1759198558511</v>
      </c>
      <c r="AA274" s="3">
        <f t="shared" si="66"/>
        <v>7952.3446821371845</v>
      </c>
      <c r="AB274" s="3">
        <f t="shared" si="67"/>
        <v>-89.175919855851134</v>
      </c>
      <c r="AD274" s="3">
        <f t="shared" si="68"/>
        <v>2.9213928711900453E-5</v>
      </c>
    </row>
    <row r="275" spans="3:30" x14ac:dyDescent="0.25">
      <c r="C275" s="22">
        <v>243</v>
      </c>
      <c r="D275" s="22">
        <v>4570</v>
      </c>
      <c r="F275" s="3">
        <f t="shared" si="55"/>
        <v>9092.2223754372044</v>
      </c>
      <c r="G275" s="3">
        <f t="shared" si="56"/>
        <v>1317.9879897583619</v>
      </c>
      <c r="H275" s="3">
        <f t="shared" si="57"/>
        <v>3.106653933294341</v>
      </c>
      <c r="I275" s="3">
        <f t="shared" si="58"/>
        <v>1.529012002802622</v>
      </c>
      <c r="J275" s="3">
        <f t="shared" si="59"/>
        <v>-2.0257153144510904</v>
      </c>
      <c r="K275" s="3">
        <f t="shared" si="60"/>
        <v>1.4839739884358143E-4</v>
      </c>
      <c r="L275" s="3" cm="1">
        <f t="array" ref="L275">lmb_2(F275)</f>
        <v>9083.1077020563607</v>
      </c>
      <c r="M275" s="3" cm="1">
        <f t="array" ref="M275">lmb_2(G275)</f>
        <v>1310.8068534695735</v>
      </c>
      <c r="N275" s="3" cm="1">
        <f t="array" ref="N275">lmb_2(H275)</f>
        <v>2.2817230514316806</v>
      </c>
      <c r="O275" s="3" cm="1">
        <f t="array" ref="O275">lmb_2(I275)</f>
        <v>1.2812083481710261</v>
      </c>
      <c r="P275" s="3" cm="1">
        <f t="array" ref="P275">lmb_2(J275)</f>
        <v>0.11730054685573739</v>
      </c>
      <c r="R275" s="3">
        <f t="shared" si="61"/>
        <v>1.2630100478997033E-2</v>
      </c>
      <c r="S275" s="3">
        <f t="shared" si="62"/>
        <v>20.398269545250908</v>
      </c>
      <c r="T275" s="3">
        <f t="shared" si="63"/>
        <v>977.92084071467536</v>
      </c>
      <c r="U275" s="3">
        <f t="shared" si="53"/>
        <v>3177.6145179037007</v>
      </c>
      <c r="V275" s="3">
        <f t="shared" si="54"/>
        <v>0</v>
      </c>
      <c r="W275" s="3">
        <f t="shared" si="64"/>
        <v>480.94667422517216</v>
      </c>
      <c r="Y275" s="3">
        <f t="shared" si="65"/>
        <v>4656.893080886678</v>
      </c>
      <c r="AA275" s="3">
        <f t="shared" si="66"/>
        <v>7550.407505978772</v>
      </c>
      <c r="AB275" s="3">
        <f t="shared" si="67"/>
        <v>-86.893080886678035</v>
      </c>
      <c r="AD275" s="3">
        <f t="shared" si="68"/>
        <v>2.8466073292926658E-5</v>
      </c>
    </row>
    <row r="276" spans="3:30" x14ac:dyDescent="0.25">
      <c r="C276" s="22">
        <v>244</v>
      </c>
      <c r="D276" s="22">
        <v>4514</v>
      </c>
      <c r="F276" s="3">
        <f t="shared" si="55"/>
        <v>9167.2007455230396</v>
      </c>
      <c r="G276" s="3">
        <f t="shared" si="56"/>
        <v>1328.820149264307</v>
      </c>
      <c r="H276" s="3">
        <f t="shared" si="57"/>
        <v>3.1362032010441854</v>
      </c>
      <c r="I276" s="3">
        <f t="shared" si="58"/>
        <v>1.5382207936834791</v>
      </c>
      <c r="J276" s="3">
        <f t="shared" si="59"/>
        <v>-2.0252171874732596</v>
      </c>
      <c r="K276" s="3">
        <f t="shared" si="60"/>
        <v>1.3784208437584797E-4</v>
      </c>
      <c r="L276" s="3" cm="1">
        <f t="array" ref="L276">lmb_2(F276)</f>
        <v>9158.0778558769143</v>
      </c>
      <c r="M276" s="3" cm="1">
        <f t="array" ref="M276">lmb_2(G276)</f>
        <v>1321.6308087202476</v>
      </c>
      <c r="N276" s="3" cm="1">
        <f t="array" ref="N276">lmb_2(H276)</f>
        <v>2.302296219730728</v>
      </c>
      <c r="O276" s="3" cm="1">
        <f t="array" ref="O276">lmb_2(I276)</f>
        <v>1.2863849070294147</v>
      </c>
      <c r="P276" s="3" cm="1">
        <f t="array" ref="P276">lmb_2(J276)</f>
        <v>0.11735285348521246</v>
      </c>
      <c r="R276" s="3">
        <f t="shared" si="61"/>
        <v>1.2475300478490743E-2</v>
      </c>
      <c r="S276" s="3">
        <f t="shared" si="62"/>
        <v>20.148220228944957</v>
      </c>
      <c r="T276" s="3">
        <f t="shared" si="63"/>
        <v>967.10779576211928</v>
      </c>
      <c r="U276" s="3">
        <f t="shared" si="53"/>
        <v>3170.6565071166738</v>
      </c>
      <c r="V276" s="3">
        <f t="shared" si="54"/>
        <v>0</v>
      </c>
      <c r="W276" s="3">
        <f t="shared" si="64"/>
        <v>482.72011732897948</v>
      </c>
      <c r="Y276" s="3">
        <f t="shared" si="65"/>
        <v>4640.6452535792805</v>
      </c>
      <c r="AA276" s="3">
        <f t="shared" si="66"/>
        <v>16039.020254160261</v>
      </c>
      <c r="AB276" s="3">
        <f t="shared" si="67"/>
        <v>-126.64525357928051</v>
      </c>
      <c r="AD276" s="3">
        <f t="shared" si="68"/>
        <v>4.1488839316109391E-5</v>
      </c>
    </row>
    <row r="277" spans="3:30" x14ac:dyDescent="0.25">
      <c r="C277" s="22">
        <v>245</v>
      </c>
      <c r="D277" s="22">
        <v>4620</v>
      </c>
      <c r="F277" s="3">
        <f t="shared" si="55"/>
        <v>9242.4870349932098</v>
      </c>
      <c r="G277" s="3">
        <f t="shared" si="56"/>
        <v>1339.6967940248958</v>
      </c>
      <c r="H277" s="3">
        <f t="shared" si="57"/>
        <v>3.1658738210229833</v>
      </c>
      <c r="I277" s="3">
        <f t="shared" si="58"/>
        <v>1.5474674030073785</v>
      </c>
      <c r="J277" s="3">
        <f t="shared" si="59"/>
        <v>-2.0247170147994211</v>
      </c>
      <c r="K277" s="3">
        <f t="shared" si="60"/>
        <v>1.2803755573307483E-4</v>
      </c>
      <c r="L277" s="3" cm="1">
        <f t="array" ref="L277">lmb_2(F277)</f>
        <v>9233.3559627045706</v>
      </c>
      <c r="M277" s="3" cm="1">
        <f t="array" ref="M277">lmb_2(G277)</f>
        <v>1332.4992826799889</v>
      </c>
      <c r="N277" s="3" cm="1">
        <f t="array" ref="N277">lmb_2(H277)</f>
        <v>2.3230100436677539</v>
      </c>
      <c r="O277" s="3" cm="1">
        <f t="array" ref="O277">lmb_2(I277)</f>
        <v>1.2915919081254479</v>
      </c>
      <c r="P277" s="3" cm="1">
        <f t="array" ref="P277">lmb_2(J277)</f>
        <v>0.11740539592893819</v>
      </c>
      <c r="R277" s="3">
        <f t="shared" si="61"/>
        <v>1.2323020317318077E-2</v>
      </c>
      <c r="S277" s="3">
        <f t="shared" si="62"/>
        <v>19.902240302883094</v>
      </c>
      <c r="T277" s="3">
        <f t="shared" si="63"/>
        <v>956.41334771289507</v>
      </c>
      <c r="U277" s="3">
        <f t="shared" si="53"/>
        <v>3163.6114471218511</v>
      </c>
      <c r="V277" s="3">
        <f t="shared" si="54"/>
        <v>0</v>
      </c>
      <c r="W277" s="3">
        <f t="shared" si="64"/>
        <v>484.49356043278675</v>
      </c>
      <c r="Y277" s="3">
        <f t="shared" si="65"/>
        <v>4624.4330466282881</v>
      </c>
      <c r="AA277" s="3">
        <f t="shared" si="66"/>
        <v>19.651902408576838</v>
      </c>
      <c r="AB277" s="3">
        <f t="shared" si="67"/>
        <v>-4.4330466282881389</v>
      </c>
      <c r="AD277" s="3">
        <f t="shared" si="68"/>
        <v>1.4522609734184087E-6</v>
      </c>
    </row>
    <row r="278" spans="3:30" x14ac:dyDescent="0.25">
      <c r="C278" s="22">
        <v>246</v>
      </c>
      <c r="D278" s="22">
        <v>4505</v>
      </c>
      <c r="F278" s="3">
        <f t="shared" si="55"/>
        <v>9318.0812438477205</v>
      </c>
      <c r="G278" s="3">
        <f t="shared" si="56"/>
        <v>1350.61792404013</v>
      </c>
      <c r="H278" s="3">
        <f t="shared" si="57"/>
        <v>3.1956657932307331</v>
      </c>
      <c r="I278" s="3">
        <f t="shared" si="58"/>
        <v>1.5567518307743202</v>
      </c>
      <c r="J278" s="3">
        <f t="shared" si="59"/>
        <v>-2.0242147964295749</v>
      </c>
      <c r="K278" s="3">
        <f t="shared" si="60"/>
        <v>1.1893041049350754E-4</v>
      </c>
      <c r="L278" s="3" cm="1">
        <f t="array" ref="L278">lmb_2(F278)</f>
        <v>9308.9420222652243</v>
      </c>
      <c r="M278" s="3" cm="1">
        <f t="array" ref="M278">lmb_2(G278)</f>
        <v>1343.4122750776851</v>
      </c>
      <c r="N278" s="3" cm="1">
        <f t="array" ref="N278">lmb_2(H278)</f>
        <v>2.3438646614655156</v>
      </c>
      <c r="O278" s="3" cm="1">
        <f t="array" ref="O278">lmb_2(I278)</f>
        <v>1.2968294386205825</v>
      </c>
      <c r="P278" s="3" cm="1">
        <f t="array" ref="P278">lmb_2(J278)</f>
        <v>0.11745817445163605</v>
      </c>
      <c r="R278" s="3">
        <f t="shared" si="61"/>
        <v>1.2173208923351025E-2</v>
      </c>
      <c r="S278" s="3">
        <f t="shared" si="62"/>
        <v>19.660247345251072</v>
      </c>
      <c r="T278" s="3">
        <f t="shared" si="63"/>
        <v>945.83671850570397</v>
      </c>
      <c r="U278" s="3">
        <f t="shared" si="53"/>
        <v>3156.4807858103864</v>
      </c>
      <c r="V278" s="3">
        <f t="shared" si="54"/>
        <v>0</v>
      </c>
      <c r="W278" s="3">
        <f t="shared" si="64"/>
        <v>486.26700353659402</v>
      </c>
      <c r="Y278" s="3">
        <f t="shared" si="65"/>
        <v>4608.2570473372689</v>
      </c>
      <c r="AA278" s="3">
        <f t="shared" si="66"/>
        <v>10662.017824810988</v>
      </c>
      <c r="AB278" s="3">
        <f t="shared" si="67"/>
        <v>-103.25704733726889</v>
      </c>
      <c r="AD278" s="3">
        <f t="shared" si="68"/>
        <v>3.3826889868794311E-5</v>
      </c>
    </row>
    <row r="279" spans="3:30" x14ac:dyDescent="0.25">
      <c r="C279" s="22">
        <v>247</v>
      </c>
      <c r="D279" s="22">
        <v>4543</v>
      </c>
      <c r="F279" s="3">
        <f t="shared" si="55"/>
        <v>9393.9833720865645</v>
      </c>
      <c r="G279" s="3">
        <f t="shared" si="56"/>
        <v>1361.5835393100083</v>
      </c>
      <c r="H279" s="3">
        <f t="shared" si="57"/>
        <v>3.2255791176674347</v>
      </c>
      <c r="I279" s="3">
        <f t="shared" si="58"/>
        <v>1.5660740769843049</v>
      </c>
      <c r="J279" s="3">
        <f t="shared" si="59"/>
        <v>-2.023710532363721</v>
      </c>
      <c r="K279" s="3">
        <f t="shared" si="60"/>
        <v>1.1047104468037222E-4</v>
      </c>
      <c r="L279" s="3" cm="1">
        <f t="array" ref="L279">lmb_2(F279)</f>
        <v>9384.8360342881024</v>
      </c>
      <c r="M279" s="3" cm="1">
        <f t="array" ref="M279">lmb_2(G279)</f>
        <v>1354.3697856454946</v>
      </c>
      <c r="N279" s="3" cm="1">
        <f t="array" ref="N279">lmb_2(H279)</f>
        <v>2.3648602066917883</v>
      </c>
      <c r="O279" s="3" cm="1">
        <f t="array" ref="O279">lmb_2(I279)</f>
        <v>1.3020975855258732</v>
      </c>
      <c r="P279" s="3" cm="1">
        <f t="array" ref="P279">lmb_2(J279)</f>
        <v>0.11751118931924349</v>
      </c>
      <c r="R279" s="3">
        <f t="shared" si="61"/>
        <v>1.202581646176664E-2</v>
      </c>
      <c r="S279" s="3">
        <f t="shared" si="62"/>
        <v>19.422160928623217</v>
      </c>
      <c r="T279" s="3">
        <f t="shared" si="63"/>
        <v>935.37711272211777</v>
      </c>
      <c r="U279" s="3">
        <f t="shared" si="53"/>
        <v>3149.265965833707</v>
      </c>
      <c r="V279" s="3">
        <f t="shared" si="54"/>
        <v>0</v>
      </c>
      <c r="W279" s="3">
        <f t="shared" si="64"/>
        <v>488.04044664040134</v>
      </c>
      <c r="Y279" s="3">
        <f t="shared" si="65"/>
        <v>4592.117822412356</v>
      </c>
      <c r="AA279" s="3">
        <f t="shared" si="66"/>
        <v>2412.5604785317378</v>
      </c>
      <c r="AB279" s="3">
        <f t="shared" si="67"/>
        <v>-49.117822412355963</v>
      </c>
      <c r="AD279" s="3">
        <f t="shared" si="68"/>
        <v>1.6090942092415134E-5</v>
      </c>
    </row>
    <row r="280" spans="3:30" x14ac:dyDescent="0.25">
      <c r="C280" s="22">
        <v>248</v>
      </c>
      <c r="D280" s="22">
        <v>4629</v>
      </c>
      <c r="F280" s="3">
        <f t="shared" si="55"/>
        <v>9470.1934197097435</v>
      </c>
      <c r="G280" s="3">
        <f t="shared" si="56"/>
        <v>1372.5936398345316</v>
      </c>
      <c r="H280" s="3">
        <f t="shared" si="57"/>
        <v>3.2556137943330885</v>
      </c>
      <c r="I280" s="3">
        <f t="shared" si="58"/>
        <v>1.5754341416373319</v>
      </c>
      <c r="J280" s="3">
        <f t="shared" si="59"/>
        <v>-2.0232042226018598</v>
      </c>
      <c r="K280" s="3">
        <f t="shared" si="60"/>
        <v>1.0261338258341426E-4</v>
      </c>
      <c r="L280" s="3" cm="1">
        <f t="array" ref="L280">lmb_2(F280)</f>
        <v>9461.0379985057243</v>
      </c>
      <c r="M280" s="3" cm="1">
        <f t="array" ref="M280">lmb_2(G280)</f>
        <v>1365.3718141188003</v>
      </c>
      <c r="N280" s="3" cm="1">
        <f t="array" ref="N280">lmb_2(H280)</f>
        <v>2.3859968083256367</v>
      </c>
      <c r="O280" s="3" cm="1">
        <f t="array" ref="O280">lmb_2(I280)</f>
        <v>1.3073964356972403</v>
      </c>
      <c r="P280" s="3" cm="1">
        <f t="array" ref="P280">lmb_2(J280)</f>
        <v>0.11756444079891556</v>
      </c>
      <c r="R280" s="3">
        <f t="shared" si="61"/>
        <v>1.1880794300211774E-2</v>
      </c>
      <c r="S280" s="3">
        <f t="shared" si="62"/>
        <v>19.187902563911983</v>
      </c>
      <c r="T280" s="3">
        <f t="shared" si="63"/>
        <v>925.03371860559423</v>
      </c>
      <c r="U280" s="3">
        <f t="shared" si="53"/>
        <v>3141.96842441121</v>
      </c>
      <c r="V280" s="3">
        <f t="shared" si="54"/>
        <v>0</v>
      </c>
      <c r="W280" s="3">
        <f t="shared" si="64"/>
        <v>489.81388974420861</v>
      </c>
      <c r="Y280" s="3">
        <f t="shared" si="65"/>
        <v>4576.0159187326071</v>
      </c>
      <c r="AA280" s="3">
        <f t="shared" si="66"/>
        <v>2807.3128677496916</v>
      </c>
      <c r="AB280" s="3">
        <f t="shared" si="67"/>
        <v>52.984081267392867</v>
      </c>
      <c r="AD280" s="3">
        <f t="shared" si="68"/>
        <v>1.7357524043634459E-5</v>
      </c>
    </row>
    <row r="281" spans="3:30" x14ac:dyDescent="0.25">
      <c r="C281" s="22">
        <v>249</v>
      </c>
      <c r="D281" s="22">
        <v>4542</v>
      </c>
      <c r="F281" s="3">
        <f t="shared" si="55"/>
        <v>9546.7113867172593</v>
      </c>
      <c r="G281" s="3">
        <f t="shared" si="56"/>
        <v>1383.648225613699</v>
      </c>
      <c r="H281" s="3">
        <f t="shared" si="57"/>
        <v>3.2857698232276946</v>
      </c>
      <c r="I281" s="3">
        <f t="shared" si="58"/>
        <v>1.5848320247334013</v>
      </c>
      <c r="J281" s="3">
        <f t="shared" si="59"/>
        <v>-2.0226958671439914</v>
      </c>
      <c r="K281" s="3">
        <f t="shared" si="60"/>
        <v>9.531462579787625E-5</v>
      </c>
      <c r="L281" s="3" cm="1">
        <f t="array" ref="L281">lmb_2(F281)</f>
        <v>9537.5479146538401</v>
      </c>
      <c r="M281" s="3" cm="1">
        <f t="array" ref="M281">lmb_2(G281)</f>
        <v>1376.4183602361534</v>
      </c>
      <c r="N281" s="3" cm="1">
        <f t="array" ref="N281">lmb_2(H281)</f>
        <v>2.4072745908238025</v>
      </c>
      <c r="O281" s="3" cm="1">
        <f t="array" ref="O281">lmb_2(I281)</f>
        <v>1.3127260758307706</v>
      </c>
      <c r="P281" s="3" cm="1">
        <f t="array" ref="P281">lmb_2(J281)</f>
        <v>0.11761792915902652</v>
      </c>
      <c r="R281" s="3">
        <f t="shared" si="61"/>
        <v>1.1738094975084329E-2</v>
      </c>
      <c r="S281" s="3">
        <f t="shared" si="62"/>
        <v>18.957395646110015</v>
      </c>
      <c r="T281" s="3">
        <f t="shared" si="63"/>
        <v>914.80570905194509</v>
      </c>
      <c r="U281" s="3">
        <f t="shared" si="53"/>
        <v>3134.5895931416494</v>
      </c>
      <c r="V281" s="3">
        <f t="shared" si="54"/>
        <v>0</v>
      </c>
      <c r="W281" s="3">
        <f t="shared" si="64"/>
        <v>491.58733284801593</v>
      </c>
      <c r="Y281" s="3">
        <f t="shared" si="65"/>
        <v>4559.951864097321</v>
      </c>
      <c r="AA281" s="3">
        <f t="shared" si="66"/>
        <v>322.26942456868449</v>
      </c>
      <c r="AB281" s="3">
        <f t="shared" si="67"/>
        <v>-17.951864097321049</v>
      </c>
      <c r="AD281" s="3">
        <f t="shared" si="68"/>
        <v>5.8810100174195375E-6</v>
      </c>
    </row>
    <row r="282" spans="3:30" x14ac:dyDescent="0.25">
      <c r="C282" s="22">
        <v>250</v>
      </c>
      <c r="D282" s="22">
        <v>4613</v>
      </c>
      <c r="F282" s="3">
        <f t="shared" si="55"/>
        <v>9623.5372731091102</v>
      </c>
      <c r="G282" s="3">
        <f t="shared" si="56"/>
        <v>1394.7472966475111</v>
      </c>
      <c r="H282" s="3">
        <f t="shared" si="57"/>
        <v>3.3160472043512521</v>
      </c>
      <c r="I282" s="3">
        <f t="shared" si="58"/>
        <v>1.5942677262725136</v>
      </c>
      <c r="J282" s="3">
        <f t="shared" si="59"/>
        <v>-2.0221854659901153</v>
      </c>
      <c r="K282" s="3">
        <f t="shared" si="60"/>
        <v>8.8535020114010248E-5</v>
      </c>
      <c r="L282" s="3" cm="1">
        <f t="array" ref="L282">lmb_2(F282)</f>
        <v>9614.3657824713755</v>
      </c>
      <c r="M282" s="3" cm="1">
        <f t="array" ref="M282">lmb_2(G282)</f>
        <v>1387.509423739227</v>
      </c>
      <c r="N282" s="3" cm="1">
        <f t="array" ref="N282">lmb_2(H282)</f>
        <v>2.4286936741871727</v>
      </c>
      <c r="O282" s="3" cm="1">
        <f t="array" ref="O282">lmb_2(I282)</f>
        <v>1.3180865924580456</v>
      </c>
      <c r="P282" s="3" cm="1">
        <f t="array" ref="P282">lmb_2(J282)</f>
        <v>0.11767165466917179</v>
      </c>
      <c r="R282" s="3">
        <f t="shared" si="61"/>
        <v>1.1597672158890912E-2</v>
      </c>
      <c r="S282" s="3">
        <f t="shared" si="62"/>
        <v>18.730565401759925</v>
      </c>
      <c r="T282" s="3">
        <f t="shared" si="63"/>
        <v>904.69224257157964</v>
      </c>
      <c r="U282" s="3">
        <f t="shared" si="53"/>
        <v>3127.1308978182483</v>
      </c>
      <c r="V282" s="3">
        <f t="shared" si="54"/>
        <v>0</v>
      </c>
      <c r="W282" s="3">
        <f t="shared" si="64"/>
        <v>493.3607759518232</v>
      </c>
      <c r="Y282" s="3">
        <f t="shared" si="65"/>
        <v>4543.9261679505898</v>
      </c>
      <c r="AA282" s="3">
        <f t="shared" si="66"/>
        <v>4771.1942739901215</v>
      </c>
      <c r="AB282" s="3">
        <f t="shared" si="67"/>
        <v>69.073832049410157</v>
      </c>
      <c r="AD282" s="3">
        <f t="shared" si="68"/>
        <v>2.2628507882073177E-5</v>
      </c>
    </row>
    <row r="283" spans="3:30" x14ac:dyDescent="0.25">
      <c r="C283" s="22">
        <v>251</v>
      </c>
      <c r="D283" s="22">
        <v>4378</v>
      </c>
      <c r="F283" s="3">
        <f t="shared" si="55"/>
        <v>9700.6710788852979</v>
      </c>
      <c r="G283" s="3">
        <f t="shared" si="56"/>
        <v>1405.8908529359674</v>
      </c>
      <c r="H283" s="3">
        <f t="shared" si="57"/>
        <v>3.3464459377037628</v>
      </c>
      <c r="I283" s="3">
        <f t="shared" si="58"/>
        <v>1.6037412462546681</v>
      </c>
      <c r="J283" s="3">
        <f t="shared" si="59"/>
        <v>-2.0216730191402315</v>
      </c>
      <c r="K283" s="3">
        <f t="shared" si="60"/>
        <v>8.2237638987434612E-5</v>
      </c>
      <c r="L283" s="3" cm="1">
        <f t="array" ref="L283">lmb_2(F283)</f>
        <v>9691.4916017003907</v>
      </c>
      <c r="M283" s="3" cm="1">
        <f t="array" ref="M283">lmb_2(G283)</f>
        <v>1398.6450043727634</v>
      </c>
      <c r="N283" s="3" cm="1">
        <f t="array" ref="N283">lmb_2(H283)</f>
        <v>2.4502541740272838</v>
      </c>
      <c r="O283" s="3" cm="1">
        <f t="array" ref="O283">lmb_2(I283)</f>
        <v>1.3234780719415051</v>
      </c>
      <c r="P283" s="3" cm="1">
        <f t="array" ref="P283">lmb_2(J283)</f>
        <v>0.1177256176001691</v>
      </c>
      <c r="R283" s="3">
        <f t="shared" si="61"/>
        <v>1.1459480628642361E-2</v>
      </c>
      <c r="S283" s="3">
        <f t="shared" si="62"/>
        <v>18.507338838090604</v>
      </c>
      <c r="T283" s="3">
        <f t="shared" si="63"/>
        <v>894.69246422386334</v>
      </c>
      <c r="U283" s="3">
        <f t="shared" si="53"/>
        <v>3119.5937582475144</v>
      </c>
      <c r="V283" s="3">
        <f t="shared" si="54"/>
        <v>0</v>
      </c>
      <c r="W283" s="3">
        <f t="shared" si="64"/>
        <v>495.13421905563052</v>
      </c>
      <c r="Y283" s="3">
        <f t="shared" si="65"/>
        <v>4527.9393220833663</v>
      </c>
      <c r="AA283" s="3">
        <f t="shared" si="66"/>
        <v>22481.800306819452</v>
      </c>
      <c r="AB283" s="3">
        <f t="shared" si="67"/>
        <v>-149.93932208336628</v>
      </c>
      <c r="AD283" s="3">
        <f t="shared" si="68"/>
        <v>4.9119949348823412E-5</v>
      </c>
    </row>
    <row r="284" spans="3:30" x14ac:dyDescent="0.25">
      <c r="C284" s="22">
        <v>252</v>
      </c>
      <c r="D284" s="22">
        <v>4631</v>
      </c>
      <c r="F284" s="3">
        <f t="shared" si="55"/>
        <v>9778.1128040458207</v>
      </c>
      <c r="G284" s="3">
        <f t="shared" si="56"/>
        <v>1417.0788944790686</v>
      </c>
      <c r="H284" s="3">
        <f t="shared" si="57"/>
        <v>3.3769660232852257</v>
      </c>
      <c r="I284" s="3">
        <f t="shared" si="58"/>
        <v>1.6132525846798653</v>
      </c>
      <c r="J284" s="3">
        <f t="shared" si="59"/>
        <v>-2.0211585265943404</v>
      </c>
      <c r="K284" s="3">
        <f t="shared" si="60"/>
        <v>7.6388182410966771E-5</v>
      </c>
      <c r="L284" s="3" cm="1">
        <f t="array" ref="L284">lmb_2(F284)</f>
        <v>9768.9253720860215</v>
      </c>
      <c r="M284" s="3" cm="1">
        <f t="array" ref="M284">lmb_2(G284)</f>
        <v>1409.8251018845294</v>
      </c>
      <c r="N284" s="3" cm="1">
        <f t="array" ref="N284">lmb_2(H284)</f>
        <v>2.4719562016328194</v>
      </c>
      <c r="O284" s="3" cm="1">
        <f t="array" ref="O284">lmb_2(I284)</f>
        <v>1.3289006004698429</v>
      </c>
      <c r="P284" s="3" cm="1">
        <f t="array" ref="P284">lmb_2(J284)</f>
        <v>0.1177798182240606</v>
      </c>
      <c r="R284" s="3">
        <f t="shared" si="61"/>
        <v>1.1323476235250188E-2</v>
      </c>
      <c r="S284" s="3">
        <f t="shared" si="62"/>
        <v>18.287644693760523</v>
      </c>
      <c r="T284" s="3">
        <f t="shared" si="63"/>
        <v>884.805506523943</v>
      </c>
      <c r="U284" s="3">
        <f t="shared" si="53"/>
        <v>3111.9795880717752</v>
      </c>
      <c r="V284" s="3">
        <f t="shared" si="54"/>
        <v>0</v>
      </c>
      <c r="W284" s="3">
        <f t="shared" si="64"/>
        <v>496.90766215943779</v>
      </c>
      <c r="Y284" s="3">
        <f t="shared" si="65"/>
        <v>4511.9918013133347</v>
      </c>
      <c r="AA284" s="3">
        <f t="shared" si="66"/>
        <v>14162.951354644807</v>
      </c>
      <c r="AB284" s="3">
        <f t="shared" si="67"/>
        <v>119.00819868666531</v>
      </c>
      <c r="AD284" s="3">
        <f t="shared" si="68"/>
        <v>3.8986948922801693E-5</v>
      </c>
    </row>
    <row r="285" spans="3:30" x14ac:dyDescent="0.25">
      <c r="C285" s="22">
        <v>253</v>
      </c>
      <c r="D285" s="22">
        <v>4420</v>
      </c>
      <c r="F285" s="3">
        <f t="shared" si="55"/>
        <v>9855.8624485906821</v>
      </c>
      <c r="G285" s="3">
        <f t="shared" si="56"/>
        <v>1428.3114212768144</v>
      </c>
      <c r="H285" s="3">
        <f t="shared" si="57"/>
        <v>3.4076074610956391</v>
      </c>
      <c r="I285" s="3">
        <f t="shared" si="58"/>
        <v>1.6228017415481051</v>
      </c>
      <c r="J285" s="3">
        <f t="shared" si="59"/>
        <v>-2.0206419883524416</v>
      </c>
      <c r="K285" s="3">
        <f t="shared" si="60"/>
        <v>7.0954790092438169E-5</v>
      </c>
      <c r="L285" s="3" cm="1">
        <f t="array" ref="L285">lmb_2(F285)</f>
        <v>9846.6670933764399</v>
      </c>
      <c r="M285" s="3" cm="1">
        <f t="array" ref="M285">lmb_2(G285)</f>
        <v>1421.0497160252648</v>
      </c>
      <c r="N285" s="3" cm="1">
        <f t="array" ref="N285">lmb_2(H285)</f>
        <v>2.4937998640360739</v>
      </c>
      <c r="O285" s="3" cm="1">
        <f t="array" ref="O285">lmb_2(I285)</f>
        <v>1.334354264053436</v>
      </c>
      <c r="P285" s="3" cm="1">
        <f t="array" ref="P285">lmb_2(J285)</f>
        <v>0.11783425681411436</v>
      </c>
      <c r="R285" s="3">
        <f t="shared" si="61"/>
        <v>1.1189615873888387E-2</v>
      </c>
      <c r="S285" s="3">
        <f t="shared" si="62"/>
        <v>18.071413391151481</v>
      </c>
      <c r="T285" s="3">
        <f t="shared" si="63"/>
        <v>875.03049032240767</v>
      </c>
      <c r="U285" s="3">
        <f t="shared" si="53"/>
        <v>3104.2897945954373</v>
      </c>
      <c r="V285" s="3">
        <f t="shared" si="54"/>
        <v>0</v>
      </c>
      <c r="W285" s="3">
        <f t="shared" si="64"/>
        <v>498.68110526324512</v>
      </c>
      <c r="Y285" s="3">
        <f t="shared" si="65"/>
        <v>4496.0840641429058</v>
      </c>
      <c r="AA285" s="3">
        <f t="shared" si="66"/>
        <v>5788.7848165018113</v>
      </c>
      <c r="AB285" s="3">
        <f t="shared" si="67"/>
        <v>-76.084064142905845</v>
      </c>
      <c r="AD285" s="3">
        <f t="shared" si="68"/>
        <v>2.4925051847801859E-5</v>
      </c>
    </row>
    <row r="286" spans="3:30" x14ac:dyDescent="0.25">
      <c r="C286" s="22">
        <v>254</v>
      </c>
      <c r="D286" s="22">
        <v>4546</v>
      </c>
      <c r="F286" s="3">
        <f t="shared" si="55"/>
        <v>9933.9200125198804</v>
      </c>
      <c r="G286" s="3">
        <f t="shared" si="56"/>
        <v>1439.5884333292045</v>
      </c>
      <c r="H286" s="3">
        <f t="shared" si="57"/>
        <v>3.4383702511350061</v>
      </c>
      <c r="I286" s="3">
        <f t="shared" si="58"/>
        <v>1.6323887168593871</v>
      </c>
      <c r="J286" s="3">
        <f t="shared" si="59"/>
        <v>-2.0201234044145351</v>
      </c>
      <c r="K286" s="3">
        <f t="shared" si="60"/>
        <v>6.5907867920930971E-5</v>
      </c>
      <c r="L286" s="3" cm="1">
        <f t="array" ref="L286">lmb_2(F286)</f>
        <v>9924.7167653227916</v>
      </c>
      <c r="M286" s="3" cm="1">
        <f t="array" ref="M286">lmb_2(G286)</f>
        <v>1432.3188465486392</v>
      </c>
      <c r="N286" s="3" cm="1">
        <f t="array" ref="N286">lmb_2(H286)</f>
        <v>2.515785264079339</v>
      </c>
      <c r="O286" s="3" cm="1">
        <f t="array" ref="O286">lmb_2(I286)</f>
        <v>1.3398391485198082</v>
      </c>
      <c r="P286" s="3" cm="1">
        <f t="array" ref="P286">lmb_2(J286)</f>
        <v>0.11788893364482604</v>
      </c>
      <c r="R286" s="3">
        <f t="shared" si="61"/>
        <v>1.1057857455286563E-2</v>
      </c>
      <c r="S286" s="3">
        <f t="shared" si="62"/>
        <v>17.858576990157793</v>
      </c>
      <c r="T286" s="3">
        <f t="shared" si="63"/>
        <v>865.36652565816769</v>
      </c>
      <c r="U286" s="3">
        <f t="shared" si="53"/>
        <v>3096.5257786149618</v>
      </c>
      <c r="V286" s="3">
        <f t="shared" si="54"/>
        <v>0</v>
      </c>
      <c r="W286" s="3">
        <f t="shared" si="64"/>
        <v>500.45454836705238</v>
      </c>
      <c r="Y286" s="3">
        <f t="shared" si="65"/>
        <v>4480.2165533956631</v>
      </c>
      <c r="AA286" s="3">
        <f t="shared" si="66"/>
        <v>4327.4618471456388</v>
      </c>
      <c r="AB286" s="3">
        <f t="shared" si="67"/>
        <v>65.783446604336859</v>
      </c>
      <c r="AD286" s="3">
        <f t="shared" si="68"/>
        <v>2.1550581397183217E-5</v>
      </c>
    </row>
    <row r="287" spans="3:30" x14ac:dyDescent="0.25">
      <c r="C287" s="22">
        <v>255</v>
      </c>
      <c r="D287" s="22">
        <v>4428</v>
      </c>
      <c r="F287" s="3">
        <f t="shared" si="55"/>
        <v>10012.285495833412</v>
      </c>
      <c r="G287" s="3">
        <f t="shared" si="56"/>
        <v>1450.9099306362396</v>
      </c>
      <c r="H287" s="3">
        <f t="shared" si="57"/>
        <v>3.4692543934033253</v>
      </c>
      <c r="I287" s="3">
        <f t="shared" si="58"/>
        <v>1.6420135106137119</v>
      </c>
      <c r="J287" s="3">
        <f t="shared" si="59"/>
        <v>-2.0196027747806213</v>
      </c>
      <c r="K287" s="3">
        <f t="shared" si="60"/>
        <v>6.1219926776244545E-5</v>
      </c>
      <c r="L287" s="3" cm="1">
        <f t="array" ref="L287">lmb_2(F287)</f>
        <v>10003.07438767916</v>
      </c>
      <c r="M287" s="3" cm="1">
        <f t="array" ref="M287">lmb_2(G287)</f>
        <v>1443.6324932112047</v>
      </c>
      <c r="N287" s="3" cm="1">
        <f t="array" ref="N287">lmb_2(H287)</f>
        <v>2.5379125004811725</v>
      </c>
      <c r="O287" s="3" cm="1">
        <f t="array" ref="O287">lmb_2(I287)</f>
        <v>1.3453553395091293</v>
      </c>
      <c r="P287" s="3" cm="1">
        <f t="array" ref="P287">lmb_2(J287)</f>
        <v>0.11794384899192059</v>
      </c>
      <c r="R287" s="3">
        <f t="shared" si="61"/>
        <v>1.0928159877921432E-2</v>
      </c>
      <c r="S287" s="3">
        <f t="shared" si="62"/>
        <v>17.64906914341876</v>
      </c>
      <c r="T287" s="3">
        <f t="shared" si="63"/>
        <v>855.8127125849519</v>
      </c>
      <c r="U287" s="3">
        <f t="shared" si="53"/>
        <v>3088.6889342525669</v>
      </c>
      <c r="V287" s="3">
        <f t="shared" si="54"/>
        <v>0</v>
      </c>
      <c r="W287" s="3">
        <f t="shared" si="64"/>
        <v>502.22799147085971</v>
      </c>
      <c r="Y287" s="3">
        <f t="shared" si="65"/>
        <v>4464.3896968316012</v>
      </c>
      <c r="AA287" s="3">
        <f t="shared" si="66"/>
        <v>1324.2100354958475</v>
      </c>
      <c r="AB287" s="3">
        <f t="shared" si="67"/>
        <v>-36.389696831601213</v>
      </c>
      <c r="AD287" s="3">
        <f t="shared" si="68"/>
        <v>1.1921222801003885E-5</v>
      </c>
    </row>
    <row r="288" spans="3:30" x14ac:dyDescent="0.25">
      <c r="C288" s="22">
        <v>256</v>
      </c>
      <c r="D288" s="22">
        <v>4449</v>
      </c>
      <c r="F288" s="3">
        <f t="shared" si="55"/>
        <v>10090.958898531278</v>
      </c>
      <c r="G288" s="3">
        <f t="shared" si="56"/>
        <v>1462.2759131979187</v>
      </c>
      <c r="H288" s="3">
        <f t="shared" si="57"/>
        <v>3.5002598879005968</v>
      </c>
      <c r="I288" s="3">
        <f t="shared" si="58"/>
        <v>1.6516761228110792</v>
      </c>
      <c r="J288" s="3">
        <f t="shared" si="59"/>
        <v>-2.0190800994507003</v>
      </c>
      <c r="K288" s="3">
        <f t="shared" si="60"/>
        <v>5.6865432803637911E-5</v>
      </c>
      <c r="L288" s="3" cm="1">
        <f t="array" ref="L288">lmb_2(F288)</f>
        <v>10081.739960202525</v>
      </c>
      <c r="M288" s="3" cm="1">
        <f t="array" ref="M288">lmb_2(G288)</f>
        <v>1454.9906557723516</v>
      </c>
      <c r="N288" s="3" cm="1">
        <f t="array" ref="N288">lmb_2(H288)</f>
        <v>2.560181667902528</v>
      </c>
      <c r="O288" s="3" cm="1">
        <f t="array" ref="O288">lmb_2(I288)</f>
        <v>1.3509029224697482</v>
      </c>
      <c r="P288" s="3" cm="1">
        <f t="array" ref="P288">lmb_2(J288)</f>
        <v>0.1179990031323541</v>
      </c>
      <c r="R288" s="3">
        <f t="shared" si="61"/>
        <v>1.080048300107532E-2</v>
      </c>
      <c r="S288" s="3">
        <f t="shared" si="62"/>
        <v>17.442825052943661</v>
      </c>
      <c r="T288" s="3">
        <f t="shared" si="63"/>
        <v>846.36814197182548</v>
      </c>
      <c r="U288" s="3">
        <f t="shared" ref="U288:U351" si="69">$I$18*(C288/$I$19)*($O$28+$O$28^2)/(O288+O288^2)</f>
        <v>3080.7806487936509</v>
      </c>
      <c r="V288" s="3">
        <f t="shared" ref="V288:V351" si="70">$J$18*(C288/$J$19)*($P$28+$P$28^2)/(P288+P288^2)</f>
        <v>0</v>
      </c>
      <c r="W288" s="3">
        <f t="shared" si="64"/>
        <v>504.00143457466697</v>
      </c>
      <c r="Y288" s="3">
        <f t="shared" si="65"/>
        <v>4448.6039077415217</v>
      </c>
      <c r="AA288" s="3">
        <f t="shared" si="66"/>
        <v>0.15688907722647805</v>
      </c>
      <c r="AB288" s="3">
        <f t="shared" si="67"/>
        <v>0.3960922584783475</v>
      </c>
      <c r="AD288" s="3">
        <f t="shared" si="68"/>
        <v>1.2975936801354848E-7</v>
      </c>
    </row>
    <row r="289" spans="3:30" x14ac:dyDescent="0.25">
      <c r="C289" s="22">
        <v>257</v>
      </c>
      <c r="D289" s="22">
        <v>4485</v>
      </c>
      <c r="F289" s="3">
        <f t="shared" ref="F289:F352" si="71">$F$20/(1-$F$20)-LN((1-$F$20)/$F$20)+(C289/$F$19)^2/((1-$F$20)*(1+0.534156*$F$20^0.7917))</f>
        <v>10169.940220613484</v>
      </c>
      <c r="G289" s="3">
        <f t="shared" ref="G289:G352" si="72">$G$20/(1-$G$20)-LN((1-$G$20)/$G$20)+(C289/$G$19)^2/((1-$G$20)*(1+0.534156*$G$20^0.7917))</f>
        <v>1473.6863810142427</v>
      </c>
      <c r="H289" s="3">
        <f t="shared" ref="H289:H352" si="73">$H$20/(1-$H$20)-LN((1-$H$20)/$H$20)+(C289/$H$19)^2/((1-$H$20)*(1+0.534156*$H$20^0.7917))</f>
        <v>3.5313867346268197</v>
      </c>
      <c r="I289" s="3">
        <f t="shared" ref="I289:I352" si="74">$I$20/(1-$I$20)-LN((1-$I$20)/$I$20)+(C289/$I$19)^2/((1-$I$20)*(1+0.534156*$I$20^0.7917))</f>
        <v>1.661376553451489</v>
      </c>
      <c r="J289" s="3">
        <f t="shared" ref="J289:J352" si="75">$J$20/(1-$J$20)-LN((1-$J$20)/$J$20)+(C289/$J$19)^2/((1-$J$20)*(1+0.534156*$J$20^0.7917))</f>
        <v>-2.0185553784247712</v>
      </c>
      <c r="K289" s="3">
        <f t="shared" ref="K289:K352" si="76">$K$18*EXP(-$K$20*C289)</f>
        <v>5.2820668338333236E-5</v>
      </c>
      <c r="L289" s="3" cm="1">
        <f t="array" ref="L289">lmb_2(F289)</f>
        <v>10160.713482652709</v>
      </c>
      <c r="M289" s="3" cm="1">
        <f t="array" ref="M289">lmb_2(G289)</f>
        <v>1466.3933339942648</v>
      </c>
      <c r="N289" s="3" cm="1">
        <f t="array" ref="N289">lmb_2(H289)</f>
        <v>2.5825928570127044</v>
      </c>
      <c r="O289" s="3" cm="1">
        <f t="array" ref="O289">lmb_2(I289)</f>
        <v>1.356481982653764</v>
      </c>
      <c r="P289" s="3" cm="1">
        <f t="array" ref="P289">lmb_2(J289)</f>
        <v>0.11805439634431539</v>
      </c>
      <c r="R289" s="3">
        <f t="shared" ref="R289:R352" si="77">$F$18*(C289/$F$19)*($L$28+$L$28^2)/(L289+L289^2)</f>
        <v>1.067478761873133E-2</v>
      </c>
      <c r="S289" s="3">
        <f t="shared" ref="S289:S352" si="78">$G$18*(C289/$G$19)*($M$28+$M$28^2)/(M289+M289^2)</f>
        <v>17.239781428080871</v>
      </c>
      <c r="T289" s="3">
        <f t="shared" ref="T289:T352" si="79">$H$18*(C289/$H$19)*($N$28+$N$28^2)/(N289+N289^2)</f>
        <v>837.03189627814584</v>
      </c>
      <c r="U289" s="3">
        <f t="shared" si="69"/>
        <v>3072.802302527934</v>
      </c>
      <c r="V289" s="3">
        <f t="shared" si="70"/>
        <v>0</v>
      </c>
      <c r="W289" s="3">
        <f t="shared" ref="W289:W352" si="80">$F$22+$G$22/$F$21*C289</f>
        <v>505.77487767847424</v>
      </c>
      <c r="Y289" s="3">
        <f t="shared" ref="Y289:Y352" si="81">SUM(R289:W289)+K289</f>
        <v>4432.8595855209214</v>
      </c>
      <c r="AA289" s="3">
        <f t="shared" ref="AA289:AA352" si="82">(D289-Y289)^2</f>
        <v>2718.6228220501066</v>
      </c>
      <c r="AB289" s="3">
        <f t="shared" ref="AB289:AB352" si="83">D289-Y289</f>
        <v>52.140414479078572</v>
      </c>
      <c r="AD289" s="3">
        <f t="shared" ref="AD289:AD352" si="84">ABS(AB289/$AC$32)</f>
        <v>1.7081139774761736E-5</v>
      </c>
    </row>
    <row r="290" spans="3:30" x14ac:dyDescent="0.25">
      <c r="C290" s="22">
        <v>258</v>
      </c>
      <c r="D290" s="22">
        <v>4444</v>
      </c>
      <c r="F290" s="3">
        <f t="shared" si="71"/>
        <v>10249.229462080024</v>
      </c>
      <c r="G290" s="3">
        <f t="shared" si="72"/>
        <v>1485.1413340852105</v>
      </c>
      <c r="H290" s="3">
        <f t="shared" si="73"/>
        <v>3.5626349335819945</v>
      </c>
      <c r="I290" s="3">
        <f t="shared" si="74"/>
        <v>1.6711148025349416</v>
      </c>
      <c r="J290" s="3">
        <f t="shared" si="75"/>
        <v>-2.0180286117028348</v>
      </c>
      <c r="K290" s="3">
        <f t="shared" si="76"/>
        <v>4.9063602722279991E-5</v>
      </c>
      <c r="L290" s="3" cm="1">
        <f t="array" ref="L290">lmb_2(F290)</f>
        <v>10239.994954792328</v>
      </c>
      <c r="M290" s="3" cm="1">
        <f t="array" ref="M290">lmb_2(G290)</f>
        <v>1477.8405276418805</v>
      </c>
      <c r="N290" s="3" cm="1">
        <f t="array" ref="N290">lmb_2(H290)</f>
        <v>2.6051461545550865</v>
      </c>
      <c r="O290" s="3" cm="1">
        <f t="array" ref="O290">lmb_2(I290)</f>
        <v>1.3620926051126336</v>
      </c>
      <c r="P290" s="3" cm="1">
        <f t="array" ref="P290">lmb_2(J290)</f>
        <v>0.11811002890722748</v>
      </c>
      <c r="R290" s="3">
        <f t="shared" si="77"/>
        <v>1.0551035434276023E-2</v>
      </c>
      <c r="S290" s="3">
        <f t="shared" si="78"/>
        <v>17.039876444784497</v>
      </c>
      <c r="T290" s="3">
        <f t="shared" si="79"/>
        <v>827.80305030338582</v>
      </c>
      <c r="U290" s="3">
        <f t="shared" si="69"/>
        <v>3064.7552685943069</v>
      </c>
      <c r="V290" s="3">
        <f t="shared" si="70"/>
        <v>0</v>
      </c>
      <c r="W290" s="3">
        <f t="shared" si="80"/>
        <v>507.54832078228156</v>
      </c>
      <c r="Y290" s="3">
        <f t="shared" si="81"/>
        <v>4417.157116223796</v>
      </c>
      <c r="AA290" s="3">
        <f t="shared" si="82"/>
        <v>720.54040942279391</v>
      </c>
      <c r="AB290" s="3">
        <f t="shared" si="83"/>
        <v>26.842883776203962</v>
      </c>
      <c r="AD290" s="3">
        <f t="shared" si="84"/>
        <v>8.7936978315161019E-6</v>
      </c>
    </row>
    <row r="291" spans="3:30" x14ac:dyDescent="0.25">
      <c r="C291" s="22">
        <v>259</v>
      </c>
      <c r="D291" s="22">
        <v>4419</v>
      </c>
      <c r="F291" s="3">
        <f t="shared" si="71"/>
        <v>10328.826622930901</v>
      </c>
      <c r="G291" s="3">
        <f t="shared" si="72"/>
        <v>1496.6407724108235</v>
      </c>
      <c r="H291" s="3">
        <f t="shared" si="73"/>
        <v>3.5940044847661228</v>
      </c>
      <c r="I291" s="3">
        <f t="shared" si="74"/>
        <v>1.6808908700614362</v>
      </c>
      <c r="J291" s="3">
        <f t="shared" si="75"/>
        <v>-2.0174997992848911</v>
      </c>
      <c r="K291" s="3">
        <f t="shared" si="76"/>
        <v>4.5573772309555174E-5</v>
      </c>
      <c r="L291" s="3" cm="1">
        <f t="array" ref="L291">lmb_2(F291)</f>
        <v>10319.584376386763</v>
      </c>
      <c r="M291" s="3" cm="1">
        <f t="array" ref="M291">lmb_2(G291)</f>
        <v>1489.332236482845</v>
      </c>
      <c r="N291" s="3" cm="1">
        <f t="array" ref="N291">lmb_2(H291)</f>
        <v>2.6278416434126437</v>
      </c>
      <c r="O291" s="3" cm="1">
        <f t="array" ref="O291">lmb_2(I291)</f>
        <v>1.3677348746928149</v>
      </c>
      <c r="P291" s="3" cm="1">
        <f t="array" ref="P291">lmb_2(J291)</f>
        <v>0.11816590110174982</v>
      </c>
      <c r="R291" s="3">
        <f t="shared" si="77"/>
        <v>1.0429189035981631E-2</v>
      </c>
      <c r="S291" s="3">
        <f t="shared" si="78"/>
        <v>16.843049706133549</v>
      </c>
      <c r="T291" s="3">
        <f t="shared" si="79"/>
        <v>818.68067191225839</v>
      </c>
      <c r="U291" s="3">
        <f t="shared" si="69"/>
        <v>3056.6409128294044</v>
      </c>
      <c r="V291" s="3">
        <f t="shared" si="70"/>
        <v>0</v>
      </c>
      <c r="W291" s="3">
        <f t="shared" si="80"/>
        <v>509.32176388608883</v>
      </c>
      <c r="Y291" s="3">
        <f t="shared" si="81"/>
        <v>4401.4968730966939</v>
      </c>
      <c r="AA291" s="3">
        <f t="shared" si="82"/>
        <v>306.35945139323815</v>
      </c>
      <c r="AB291" s="3">
        <f t="shared" si="83"/>
        <v>17.503126903306111</v>
      </c>
      <c r="AD291" s="3">
        <f t="shared" si="84"/>
        <v>5.7340042291134411E-6</v>
      </c>
    </row>
    <row r="292" spans="3:30" x14ac:dyDescent="0.25">
      <c r="C292" s="22">
        <v>260</v>
      </c>
      <c r="D292" s="22">
        <v>4380</v>
      </c>
      <c r="F292" s="3">
        <f t="shared" si="71"/>
        <v>10408.731703166111</v>
      </c>
      <c r="G292" s="3">
        <f t="shared" si="72"/>
        <v>1508.1846959910811</v>
      </c>
      <c r="H292" s="3">
        <f t="shared" si="73"/>
        <v>3.6254953881792011</v>
      </c>
      <c r="I292" s="3">
        <f t="shared" si="74"/>
        <v>1.6907047560309738</v>
      </c>
      <c r="J292" s="3">
        <f t="shared" si="75"/>
        <v>-2.0169689411709397</v>
      </c>
      <c r="K292" s="3">
        <f t="shared" si="76"/>
        <v>4.233216900682286E-5</v>
      </c>
      <c r="L292" s="3" cm="1">
        <f t="array" ref="L292">lmb_2(F292)</f>
        <v>10399.481747204103</v>
      </c>
      <c r="M292" s="3" cm="1">
        <f t="array" ref="M292">lmb_2(G292)</f>
        <v>1500.8684602874714</v>
      </c>
      <c r="N292" s="3" cm="1">
        <f t="array" ref="N292">lmb_2(H292)</f>
        <v>2.6506794026731582</v>
      </c>
      <c r="O292" s="3" cm="1">
        <f t="array" ref="O292">lmb_2(I292)</f>
        <v>1.3734088760314507</v>
      </c>
      <c r="P292" s="3" cm="1">
        <f t="array" ref="P292">lmb_2(J292)</f>
        <v>0.11822201320977968</v>
      </c>
      <c r="R292" s="3">
        <f t="shared" si="77"/>
        <v>1.0309211873240923E-2</v>
      </c>
      <c r="S292" s="3">
        <f t="shared" si="78"/>
        <v>16.649242204060588</v>
      </c>
      <c r="T292" s="3">
        <f t="shared" si="79"/>
        <v>809.66382273558554</v>
      </c>
      <c r="U292" s="3">
        <f t="shared" si="69"/>
        <v>3048.4605936198632</v>
      </c>
      <c r="V292" s="3">
        <f t="shared" si="70"/>
        <v>0</v>
      </c>
      <c r="W292" s="3">
        <f t="shared" si="80"/>
        <v>511.09520698989616</v>
      </c>
      <c r="Y292" s="3">
        <f t="shared" si="81"/>
        <v>4385.8792170934476</v>
      </c>
      <c r="AA292" s="3">
        <f t="shared" si="82"/>
        <v>34.565193631885869</v>
      </c>
      <c r="AB292" s="3">
        <f t="shared" si="83"/>
        <v>-5.8792170934475507</v>
      </c>
      <c r="AD292" s="3">
        <f t="shared" si="84"/>
        <v>1.9260247534020126E-6</v>
      </c>
    </row>
    <row r="293" spans="3:30" x14ac:dyDescent="0.25">
      <c r="C293" s="22">
        <v>261</v>
      </c>
      <c r="D293" s="22">
        <v>4319</v>
      </c>
      <c r="F293" s="3">
        <f t="shared" si="71"/>
        <v>10488.94470278566</v>
      </c>
      <c r="G293" s="3">
        <f t="shared" si="72"/>
        <v>1519.773104825983</v>
      </c>
      <c r="H293" s="3">
        <f t="shared" si="73"/>
        <v>3.6571076438212331</v>
      </c>
      <c r="I293" s="3">
        <f t="shared" si="74"/>
        <v>1.7005564604435535</v>
      </c>
      <c r="J293" s="3">
        <f t="shared" si="75"/>
        <v>-2.0164360373609806</v>
      </c>
      <c r="K293" s="3">
        <f t="shared" si="76"/>
        <v>3.9321136741767891E-5</v>
      </c>
      <c r="L293" s="3" cm="1">
        <f t="array" ref="L293">lmb_2(F293)</f>
        <v>10479.687067015117</v>
      </c>
      <c r="M293" s="3" cm="1">
        <f t="array" ref="M293">lmb_2(G293)</f>
        <v>1512.4491988287004</v>
      </c>
      <c r="N293" s="3" cm="1">
        <f t="array" ref="N293">lmb_2(H293)</f>
        <v>2.6736595076941647</v>
      </c>
      <c r="O293" s="3" cm="1">
        <f t="array" ref="O293">lmb_2(I293)</f>
        <v>1.3791146935520888</v>
      </c>
      <c r="P293" s="3" cm="1">
        <f t="array" ref="P293">lmb_2(J293)</f>
        <v>0.11827836551445396</v>
      </c>
      <c r="R293" s="3">
        <f t="shared" si="77"/>
        <v>1.0191068233528743E-2</v>
      </c>
      <c r="S293" s="3">
        <f t="shared" si="78"/>
        <v>16.458396282248302</v>
      </c>
      <c r="T293" s="3">
        <f t="shared" si="79"/>
        <v>800.75155884735068</v>
      </c>
      <c r="U293" s="3">
        <f t="shared" si="69"/>
        <v>3040.2156617582909</v>
      </c>
      <c r="V293" s="3">
        <f t="shared" si="70"/>
        <v>0</v>
      </c>
      <c r="W293" s="3">
        <f t="shared" si="80"/>
        <v>512.86865009370342</v>
      </c>
      <c r="Y293" s="3">
        <f t="shared" si="81"/>
        <v>4370.3044973709639</v>
      </c>
      <c r="AA293" s="3">
        <f t="shared" si="82"/>
        <v>2632.1514504872389</v>
      </c>
      <c r="AB293" s="3">
        <f t="shared" si="83"/>
        <v>-51.304497370963873</v>
      </c>
      <c r="AD293" s="3">
        <f t="shared" si="84"/>
        <v>1.6807294292203268E-5</v>
      </c>
    </row>
    <row r="294" spans="3:30" x14ac:dyDescent="0.25">
      <c r="C294" s="22">
        <v>262</v>
      </c>
      <c r="D294" s="22">
        <v>4225</v>
      </c>
      <c r="F294" s="3">
        <f t="shared" si="71"/>
        <v>10569.465621789548</v>
      </c>
      <c r="G294" s="3">
        <f t="shared" si="72"/>
        <v>1531.4059989155296</v>
      </c>
      <c r="H294" s="3">
        <f t="shared" si="73"/>
        <v>3.6888412516922169</v>
      </c>
      <c r="I294" s="3">
        <f t="shared" si="74"/>
        <v>1.7104459832991761</v>
      </c>
      <c r="J294" s="3">
        <f t="shared" si="75"/>
        <v>-2.0159010878550143</v>
      </c>
      <c r="K294" s="3">
        <f t="shared" si="76"/>
        <v>3.6524275295593963E-5</v>
      </c>
      <c r="L294" s="3" cm="1">
        <f t="array" ref="L294">lmb_2(F294)</f>
        <v>10560.200335593201</v>
      </c>
      <c r="M294" s="3" cm="1">
        <f t="array" ref="M294">lmb_2(G294)</f>
        <v>1524.0744518820607</v>
      </c>
      <c r="N294" s="3" cm="1">
        <f t="array" ref="N294">lmb_2(H294)</f>
        <v>2.696782030167554</v>
      </c>
      <c r="O294" s="3" cm="1">
        <f t="array" ref="O294">lmb_2(I294)</f>
        <v>1.3848524114604439</v>
      </c>
      <c r="P294" s="3" cm="1">
        <f t="array" ref="P294">lmb_2(J294)</f>
        <v>0.11833495830015082</v>
      </c>
      <c r="R294" s="3">
        <f t="shared" si="77"/>
        <v>1.0074723220065411E-2</v>
      </c>
      <c r="S294" s="3">
        <f t="shared" si="78"/>
        <v>16.270455600154133</v>
      </c>
      <c r="T294" s="3">
        <f t="shared" si="79"/>
        <v>791.94293141840592</v>
      </c>
      <c r="U294" s="3">
        <f t="shared" si="69"/>
        <v>3031.9074603029107</v>
      </c>
      <c r="V294" s="3">
        <f t="shared" si="70"/>
        <v>0</v>
      </c>
      <c r="W294" s="3">
        <f t="shared" si="80"/>
        <v>514.6420931975108</v>
      </c>
      <c r="Y294" s="3">
        <f t="shared" si="81"/>
        <v>4354.7730517664768</v>
      </c>
      <c r="AA294" s="3">
        <f t="shared" si="82"/>
        <v>16841.044964784662</v>
      </c>
      <c r="AB294" s="3">
        <f t="shared" si="83"/>
        <v>-129.77305176647678</v>
      </c>
      <c r="AD294" s="3">
        <f t="shared" si="84"/>
        <v>4.2513502402441079E-5</v>
      </c>
    </row>
    <row r="295" spans="3:30" x14ac:dyDescent="0.25">
      <c r="C295" s="22">
        <v>263</v>
      </c>
      <c r="D295" s="22">
        <v>4261</v>
      </c>
      <c r="F295" s="3">
        <f t="shared" si="71"/>
        <v>10650.294460177769</v>
      </c>
      <c r="G295" s="3">
        <f t="shared" si="72"/>
        <v>1543.0833782597208</v>
      </c>
      <c r="H295" s="3">
        <f t="shared" si="73"/>
        <v>3.7206962117921525</v>
      </c>
      <c r="I295" s="3">
        <f t="shared" si="74"/>
        <v>1.7203733245978414</v>
      </c>
      <c r="J295" s="3">
        <f t="shared" si="75"/>
        <v>-2.0153640926530403</v>
      </c>
      <c r="K295" s="3">
        <f t="shared" si="76"/>
        <v>3.392635097579232E-5</v>
      </c>
      <c r="L295" s="3" cm="1">
        <f t="array" ref="L295">lmb_2(F295)</f>
        <v>10641.021552714341</v>
      </c>
      <c r="M295" s="3" cm="1">
        <f t="array" ref="M295">lmb_2(G295)</f>
        <v>1535.7442192256285</v>
      </c>
      <c r="N295" s="3" cm="1">
        <f t="array" ref="N295">lmb_2(H295)</f>
        <v>2.7200470381838366</v>
      </c>
      <c r="O295" s="3" cm="1">
        <f t="array" ref="O295">lmb_2(I295)</f>
        <v>1.3906221137401957</v>
      </c>
      <c r="P295" s="3" cm="1">
        <f t="array" ref="P295">lmb_2(J295)</f>
        <v>0.11839179185249166</v>
      </c>
      <c r="R295" s="3">
        <f t="shared" si="77"/>
        <v>9.9601427301579427E-3</v>
      </c>
      <c r="S295" s="3">
        <f t="shared" si="78"/>
        <v>16.085365098124484</v>
      </c>
      <c r="T295" s="3">
        <f t="shared" si="79"/>
        <v>783.23698734727179</v>
      </c>
      <c r="U295" s="3">
        <f t="shared" si="69"/>
        <v>3023.537324440887</v>
      </c>
      <c r="V295" s="3">
        <f t="shared" si="70"/>
        <v>0</v>
      </c>
      <c r="W295" s="3">
        <f t="shared" si="80"/>
        <v>516.41553630131807</v>
      </c>
      <c r="Y295" s="3">
        <f t="shared" si="81"/>
        <v>4339.285207256682</v>
      </c>
      <c r="AA295" s="3">
        <f t="shared" si="82"/>
        <v>6128.5736752216626</v>
      </c>
      <c r="AB295" s="3">
        <f t="shared" si="83"/>
        <v>-78.285207256682042</v>
      </c>
      <c r="AD295" s="3">
        <f t="shared" si="84"/>
        <v>2.5646143798571674E-5</v>
      </c>
    </row>
    <row r="296" spans="3:30" x14ac:dyDescent="0.25">
      <c r="C296" s="22">
        <v>264</v>
      </c>
      <c r="D296" s="22">
        <v>4214</v>
      </c>
      <c r="F296" s="3">
        <f t="shared" si="71"/>
        <v>10731.431217950325</v>
      </c>
      <c r="G296" s="3">
        <f t="shared" si="72"/>
        <v>1554.8052428585559</v>
      </c>
      <c r="H296" s="3">
        <f t="shared" si="73"/>
        <v>3.7526725241210408</v>
      </c>
      <c r="I296" s="3">
        <f t="shared" si="74"/>
        <v>1.7303384843395486</v>
      </c>
      <c r="J296" s="3">
        <f t="shared" si="75"/>
        <v>-2.014825051755059</v>
      </c>
      <c r="K296" s="3">
        <f t="shared" si="76"/>
        <v>3.1513213642639713E-5</v>
      </c>
      <c r="L296" s="3" cm="1">
        <f t="array" ref="L296">lmb_2(F296)</f>
        <v>10722.150718157078</v>
      </c>
      <c r="M296" s="3" cm="1">
        <f t="array" ref="M296">lmb_2(G296)</f>
        <v>1547.45850063999</v>
      </c>
      <c r="N296" s="3" cm="1">
        <f t="array" ref="N296">lmb_2(H296)</f>
        <v>2.7434545962960302</v>
      </c>
      <c r="O296" s="3" cm="1">
        <f t="array" ref="O296">lmb_2(I296)</f>
        <v>1.3964238841488297</v>
      </c>
      <c r="P296" s="3" cm="1">
        <f t="array" ref="P296">lmb_2(J296)</f>
        <v>0.11844886645834271</v>
      </c>
      <c r="R296" s="3">
        <f t="shared" si="77"/>
        <v>9.8472934341960888E-3</v>
      </c>
      <c r="S296" s="3">
        <f t="shared" si="78"/>
        <v>15.903070963561591</v>
      </c>
      <c r="T296" s="3">
        <f t="shared" si="79"/>
        <v>774.63276986850326</v>
      </c>
      <c r="U296" s="3">
        <f t="shared" si="69"/>
        <v>3015.1065813553164</v>
      </c>
      <c r="V296" s="3">
        <f t="shared" si="70"/>
        <v>0</v>
      </c>
      <c r="W296" s="3">
        <f t="shared" si="80"/>
        <v>518.18897940512534</v>
      </c>
      <c r="Y296" s="3">
        <f t="shared" si="81"/>
        <v>4323.841280399155</v>
      </c>
      <c r="AA296" s="3">
        <f t="shared" si="82"/>
        <v>12065.106879725801</v>
      </c>
      <c r="AB296" s="3">
        <f t="shared" si="83"/>
        <v>-109.84128039915504</v>
      </c>
      <c r="AD296" s="3">
        <f t="shared" si="84"/>
        <v>3.5983877042051476E-5</v>
      </c>
    </row>
    <row r="297" spans="3:30" x14ac:dyDescent="0.25">
      <c r="C297" s="22">
        <v>265</v>
      </c>
      <c r="D297" s="22">
        <v>4324</v>
      </c>
      <c r="F297" s="3">
        <f t="shared" si="71"/>
        <v>10812.875895107218</v>
      </c>
      <c r="G297" s="3">
        <f t="shared" si="72"/>
        <v>1566.5715927120361</v>
      </c>
      <c r="H297" s="3">
        <f t="shared" si="73"/>
        <v>3.7847701886788809</v>
      </c>
      <c r="I297" s="3">
        <f t="shared" si="74"/>
        <v>1.7403414625242988</v>
      </c>
      <c r="J297" s="3">
        <f t="shared" si="75"/>
        <v>-2.01428396516107</v>
      </c>
      <c r="K297" s="3">
        <f t="shared" si="76"/>
        <v>2.9271719637495178E-5</v>
      </c>
      <c r="L297" s="3" cm="1">
        <f t="array" ref="L297">lmb_2(F297)</f>
        <v>10803.587831702469</v>
      </c>
      <c r="M297" s="3" cm="1">
        <f t="array" ref="M297">lmb_2(G297)</f>
        <v>1559.2172959082059</v>
      </c>
      <c r="N297" s="3" cm="1">
        <f t="array" ref="N297">lmb_2(H297)</f>
        <v>2.7670047655831476</v>
      </c>
      <c r="O297" s="3" cm="1">
        <f t="array" ref="O297">lmb_2(I297)</f>
        <v>1.4022578062135203</v>
      </c>
      <c r="P297" s="3" cm="1">
        <f t="array" ref="P297">lmb_2(J297)</f>
        <v>0.11850618240581687</v>
      </c>
      <c r="R297" s="3">
        <f t="shared" si="77"/>
        <v>9.7361427552809417E-3</v>
      </c>
      <c r="S297" s="3">
        <f t="shared" si="78"/>
        <v>15.723520598107374</v>
      </c>
      <c r="T297" s="3">
        <f t="shared" si="79"/>
        <v>766.12931913908164</v>
      </c>
      <c r="U297" s="3">
        <f t="shared" si="69"/>
        <v>3006.6165500958632</v>
      </c>
      <c r="V297" s="3">
        <f t="shared" si="70"/>
        <v>0</v>
      </c>
      <c r="W297" s="3">
        <f t="shared" si="80"/>
        <v>519.9624225089326</v>
      </c>
      <c r="Y297" s="3">
        <f t="shared" si="81"/>
        <v>4308.44157775646</v>
      </c>
      <c r="AA297" s="3">
        <f t="shared" si="82"/>
        <v>242.06450270828049</v>
      </c>
      <c r="AB297" s="3">
        <f t="shared" si="83"/>
        <v>15.558422243540008</v>
      </c>
      <c r="AD297" s="3">
        <f t="shared" si="84"/>
        <v>5.0969212207414238E-6</v>
      </c>
    </row>
    <row r="298" spans="3:30" x14ac:dyDescent="0.25">
      <c r="C298" s="22">
        <v>266</v>
      </c>
      <c r="D298" s="22">
        <v>4312</v>
      </c>
      <c r="F298" s="3">
        <f t="shared" si="71"/>
        <v>10894.628491648446</v>
      </c>
      <c r="G298" s="3">
        <f t="shared" si="72"/>
        <v>1578.3824278201607</v>
      </c>
      <c r="H298" s="3">
        <f t="shared" si="73"/>
        <v>3.8169892054656729</v>
      </c>
      <c r="I298" s="3">
        <f t="shared" si="74"/>
        <v>1.7503822591520917</v>
      </c>
      <c r="J298" s="3">
        <f t="shared" si="75"/>
        <v>-2.0137408328710733</v>
      </c>
      <c r="K298" s="3">
        <f t="shared" si="76"/>
        <v>2.7189660193105842E-5</v>
      </c>
      <c r="L298" s="3" cm="1">
        <f t="array" ref="L298">lmb_2(F298)</f>
        <v>10885.332893134042</v>
      </c>
      <c r="M298" s="3" cm="1">
        <f t="array" ref="M298">lmb_2(G298)</f>
        <v>1571.02060481577</v>
      </c>
      <c r="N298" s="3" cm="1">
        <f t="array" ref="N298">lmb_2(H298)</f>
        <v>2.7906976037132685</v>
      </c>
      <c r="O298" s="3" cm="1">
        <f t="array" ref="O298">lmb_2(I298)</f>
        <v>1.4081239632270499</v>
      </c>
      <c r="P298" s="3" cm="1">
        <f t="array" ref="P298">lmb_2(J298)</f>
        <v>0.1185637399842754</v>
      </c>
      <c r="R298" s="3">
        <f t="shared" si="77"/>
        <v>9.6266588494648593E-3</v>
      </c>
      <c r="S298" s="3">
        <f t="shared" si="78"/>
        <v>15.546662585810221</v>
      </c>
      <c r="T298" s="3">
        <f t="shared" si="79"/>
        <v>757.72567280329713</v>
      </c>
      <c r="U298" s="3">
        <f t="shared" si="69"/>
        <v>2998.0685414530503</v>
      </c>
      <c r="V298" s="3">
        <f t="shared" si="70"/>
        <v>0</v>
      </c>
      <c r="W298" s="3">
        <f t="shared" si="80"/>
        <v>521.73586561273987</v>
      </c>
      <c r="Y298" s="3">
        <f t="shared" si="81"/>
        <v>4293.086396303408</v>
      </c>
      <c r="AA298" s="3">
        <f t="shared" si="82"/>
        <v>357.72440479173719</v>
      </c>
      <c r="AB298" s="3">
        <f t="shared" si="83"/>
        <v>18.913603696591963</v>
      </c>
      <c r="AD298" s="3">
        <f t="shared" si="84"/>
        <v>6.1960748032712378E-6</v>
      </c>
    </row>
    <row r="299" spans="3:30" x14ac:dyDescent="0.25">
      <c r="C299" s="22">
        <v>267</v>
      </c>
      <c r="D299" s="22">
        <v>4303</v>
      </c>
      <c r="F299" s="3">
        <f t="shared" si="71"/>
        <v>10976.68900757401</v>
      </c>
      <c r="G299" s="3">
        <f t="shared" si="72"/>
        <v>1590.2377481829299</v>
      </c>
      <c r="H299" s="3">
        <f t="shared" si="73"/>
        <v>3.8493295744814175</v>
      </c>
      <c r="I299" s="3">
        <f t="shared" si="74"/>
        <v>1.7604608742229266</v>
      </c>
      <c r="J299" s="3">
        <f t="shared" si="75"/>
        <v>-2.0131956548850694</v>
      </c>
      <c r="K299" s="3">
        <f t="shared" si="76"/>
        <v>2.5255694935995496E-5</v>
      </c>
      <c r="L299" s="3" cm="1">
        <f t="array" ref="L299">lmb_2(F299)</f>
        <v>10967.385902237767</v>
      </c>
      <c r="M299" s="3" cm="1">
        <f t="array" ref="M299">lmb_2(G299)</f>
        <v>1582.8684271505761</v>
      </c>
      <c r="N299" s="3" cm="1">
        <f t="array" ref="N299">lmb_2(H299)</f>
        <v>2.8145331650061709</v>
      </c>
      <c r="O299" s="3" cm="1">
        <f t="array" ref="O299">lmb_2(I299)</f>
        <v>1.4140224382437754</v>
      </c>
      <c r="P299" s="3" cm="1">
        <f t="array" ref="P299">lmb_2(J299)</f>
        <v>0.11862153948432975</v>
      </c>
      <c r="R299" s="3">
        <f t="shared" si="77"/>
        <v>9.5188105865819973E-3</v>
      </c>
      <c r="S299" s="3">
        <f t="shared" si="78"/>
        <v>15.372446662241485</v>
      </c>
      <c r="T299" s="3">
        <f t="shared" si="79"/>
        <v>749.4208665365893</v>
      </c>
      <c r="U299" s="3">
        <f t="shared" si="69"/>
        <v>2989.4638578361555</v>
      </c>
      <c r="V299" s="3">
        <f t="shared" si="70"/>
        <v>0</v>
      </c>
      <c r="W299" s="3">
        <f t="shared" si="80"/>
        <v>523.50930871654714</v>
      </c>
      <c r="Y299" s="3">
        <f t="shared" si="81"/>
        <v>4277.7760238178143</v>
      </c>
      <c r="AA299" s="3">
        <f t="shared" si="82"/>
        <v>636.24897443946907</v>
      </c>
      <c r="AB299" s="3">
        <f t="shared" si="83"/>
        <v>25.223976182185652</v>
      </c>
      <c r="AD299" s="3">
        <f t="shared" si="84"/>
        <v>8.2633455669220848E-6</v>
      </c>
    </row>
    <row r="300" spans="3:30" x14ac:dyDescent="0.25">
      <c r="C300" s="22">
        <v>268</v>
      </c>
      <c r="D300" s="22">
        <v>4323</v>
      </c>
      <c r="F300" s="3">
        <f t="shared" si="71"/>
        <v>11059.057442883912</v>
      </c>
      <c r="G300" s="3">
        <f t="shared" si="72"/>
        <v>1602.1375538003438</v>
      </c>
      <c r="H300" s="3">
        <f t="shared" si="73"/>
        <v>3.8817912957261149</v>
      </c>
      <c r="I300" s="3">
        <f t="shared" si="74"/>
        <v>1.7705773077368043</v>
      </c>
      <c r="J300" s="3">
        <f t="shared" si="75"/>
        <v>-2.0126484312030581</v>
      </c>
      <c r="K300" s="3">
        <f t="shared" si="76"/>
        <v>2.3459290118741476E-5</v>
      </c>
      <c r="L300" s="3" cm="1">
        <f t="array" ref="L300">lmb_2(F300)</f>
        <v>11049.746858802017</v>
      </c>
      <c r="M300" s="3" cm="1">
        <f t="array" ref="M300">lmb_2(G300)</f>
        <v>1594.7607627028824</v>
      </c>
      <c r="N300" s="3" cm="1">
        <f t="array" ref="N300">lmb_2(H300)</f>
        <v>2.8385115004954979</v>
      </c>
      <c r="O300" s="3" cm="1">
        <f t="array" ref="O300">lmb_2(I300)</f>
        <v>1.4199533140756342</v>
      </c>
      <c r="P300" s="3" cm="1">
        <f t="array" ref="P300">lmb_2(J300)</f>
        <v>0.11867958119784329</v>
      </c>
      <c r="R300" s="3">
        <f t="shared" si="77"/>
        <v>9.4125675316498042E-3</v>
      </c>
      <c r="S300" s="3">
        <f t="shared" si="78"/>
        <v>15.200823684530119</v>
      </c>
      <c r="T300" s="3">
        <f t="shared" si="79"/>
        <v>741.21393456881572</v>
      </c>
      <c r="U300" s="3">
        <f t="shared" si="69"/>
        <v>2980.8037931547274</v>
      </c>
      <c r="V300" s="3">
        <f t="shared" si="70"/>
        <v>0</v>
      </c>
      <c r="W300" s="3">
        <f t="shared" si="80"/>
        <v>525.28275182035441</v>
      </c>
      <c r="Y300" s="3">
        <f t="shared" si="81"/>
        <v>4262.5107392552491</v>
      </c>
      <c r="AA300" s="3">
        <f t="shared" si="82"/>
        <v>3658.9506654464667</v>
      </c>
      <c r="AB300" s="3">
        <f t="shared" si="83"/>
        <v>60.489260744750936</v>
      </c>
      <c r="AD300" s="3">
        <f t="shared" si="84"/>
        <v>1.9816212202679793E-5</v>
      </c>
    </row>
    <row r="301" spans="3:30" x14ac:dyDescent="0.25">
      <c r="C301" s="22">
        <v>269</v>
      </c>
      <c r="D301" s="22">
        <v>4216</v>
      </c>
      <c r="F301" s="3">
        <f t="shared" si="71"/>
        <v>11141.733797578152</v>
      </c>
      <c r="G301" s="3">
        <f t="shared" si="72"/>
        <v>1614.0818446724022</v>
      </c>
      <c r="H301" s="3">
        <f t="shared" si="73"/>
        <v>3.9143743691997623</v>
      </c>
      <c r="I301" s="3">
        <f t="shared" si="74"/>
        <v>1.780731559693725</v>
      </c>
      <c r="J301" s="3">
        <f t="shared" si="75"/>
        <v>-2.0120991618250388</v>
      </c>
      <c r="K301" s="3">
        <f t="shared" si="76"/>
        <v>2.1790661245710398E-5</v>
      </c>
      <c r="L301" s="3" cm="1">
        <f t="array" ref="L301">lmb_2(F301)</f>
        <v>11132.415762617531</v>
      </c>
      <c r="M301" s="3" cm="1">
        <f t="array" ref="M301">lmb_2(G301)</f>
        <v>1606.6976112652751</v>
      </c>
      <c r="N301" s="3" cm="1">
        <f t="array" ref="N301">lmb_2(H301)</f>
        <v>2.8626326579904493</v>
      </c>
      <c r="O301" s="3" cm="1">
        <f t="array" ref="O301">lmb_2(I301)</f>
        <v>1.4259166732881936</v>
      </c>
      <c r="P301" s="3" cm="1">
        <f t="array" ref="P301">lmb_2(J301)</f>
        <v>0.11873786541793338</v>
      </c>
      <c r="R301" s="3">
        <f t="shared" si="77"/>
        <v>9.3078999268223252E-3</v>
      </c>
      <c r="S301" s="3">
        <f t="shared" si="78"/>
        <v>15.031745602284806</v>
      </c>
      <c r="T301" s="3">
        <f t="shared" si="79"/>
        <v>733.10391018740984</v>
      </c>
      <c r="U301" s="3">
        <f t="shared" si="69"/>
        <v>2972.0896327036908</v>
      </c>
      <c r="V301" s="3">
        <f t="shared" si="70"/>
        <v>0</v>
      </c>
      <c r="W301" s="3">
        <f t="shared" si="80"/>
        <v>527.05619492416179</v>
      </c>
      <c r="Y301" s="3">
        <f t="shared" si="81"/>
        <v>4247.2908131081349</v>
      </c>
      <c r="AA301" s="3">
        <f t="shared" si="82"/>
        <v>979.11498496822674</v>
      </c>
      <c r="AB301" s="3">
        <f t="shared" si="83"/>
        <v>-31.290813108134898</v>
      </c>
      <c r="AD301" s="3">
        <f t="shared" si="84"/>
        <v>1.0250834361519335E-5</v>
      </c>
    </row>
    <row r="302" spans="3:30" x14ac:dyDescent="0.25">
      <c r="C302" s="22">
        <v>270</v>
      </c>
      <c r="D302" s="22">
        <v>4070</v>
      </c>
      <c r="F302" s="3">
        <f t="shared" si="71"/>
        <v>11224.718071656725</v>
      </c>
      <c r="G302" s="3">
        <f t="shared" si="72"/>
        <v>1626.070620799105</v>
      </c>
      <c r="H302" s="3">
        <f t="shared" si="73"/>
        <v>3.9470787949023634</v>
      </c>
      <c r="I302" s="3">
        <f t="shared" si="74"/>
        <v>1.790923630093687</v>
      </c>
      <c r="J302" s="3">
        <f t="shared" si="75"/>
        <v>-2.0115478467510122</v>
      </c>
      <c r="K302" s="3">
        <f t="shared" si="76"/>
        <v>2.024071977975003E-5</v>
      </c>
      <c r="L302" s="3" cm="1">
        <f t="array" ref="L302">lmb_2(F302)</f>
        <v>11215.392613477372</v>
      </c>
      <c r="M302" s="3" cm="1">
        <f t="array" ref="M302">lmb_2(G302)</f>
        <v>1618.6789726326349</v>
      </c>
      <c r="N302" s="3" cm="1">
        <f t="array" ref="N302">lmb_2(H302)</f>
        <v>2.8868966821369786</v>
      </c>
      <c r="O302" s="3" cm="1">
        <f t="array" ref="O302">lmb_2(I302)</f>
        <v>1.4319125981967424</v>
      </c>
      <c r="P302" s="3" cm="1">
        <f t="array" ref="P302">lmb_2(J302)</f>
        <v>0.11879639243897254</v>
      </c>
      <c r="R302" s="3">
        <f t="shared" si="77"/>
        <v>9.2047786738770291E-3</v>
      </c>
      <c r="S302" s="3">
        <f t="shared" si="78"/>
        <v>14.865165429374141</v>
      </c>
      <c r="T302" s="3">
        <f t="shared" si="79"/>
        <v>725.08982622089491</v>
      </c>
      <c r="U302" s="3">
        <f t="shared" si="69"/>
        <v>2963.3226530520246</v>
      </c>
      <c r="V302" s="3">
        <f t="shared" si="70"/>
        <v>0</v>
      </c>
      <c r="W302" s="3">
        <f t="shared" si="80"/>
        <v>528.82963802796905</v>
      </c>
      <c r="Y302" s="3">
        <f t="shared" si="81"/>
        <v>4232.1165077496571</v>
      </c>
      <c r="AA302" s="3">
        <f t="shared" si="82"/>
        <v>26281.762084944632</v>
      </c>
      <c r="AB302" s="3">
        <f t="shared" si="83"/>
        <v>-162.1165077496571</v>
      </c>
      <c r="AD302" s="3">
        <f t="shared" si="84"/>
        <v>5.3109181358334941E-5</v>
      </c>
    </row>
    <row r="303" spans="3:30" x14ac:dyDescent="0.25">
      <c r="C303" s="22">
        <v>271</v>
      </c>
      <c r="D303" s="22">
        <v>4165</v>
      </c>
      <c r="F303" s="3">
        <f t="shared" si="71"/>
        <v>11308.010265119636</v>
      </c>
      <c r="G303" s="3">
        <f t="shared" si="72"/>
        <v>1638.103882180452</v>
      </c>
      <c r="H303" s="3">
        <f t="shared" si="73"/>
        <v>3.9799045728339171</v>
      </c>
      <c r="I303" s="3">
        <f t="shared" si="74"/>
        <v>1.8011535189366925</v>
      </c>
      <c r="J303" s="3">
        <f t="shared" si="75"/>
        <v>-2.0109944859809783</v>
      </c>
      <c r="K303" s="3">
        <f t="shared" si="76"/>
        <v>1.8801023639565466E-5</v>
      </c>
      <c r="L303" s="3" cm="1">
        <f t="array" ref="L303">lmb_2(F303)</f>
        <v>11298.677411176906</v>
      </c>
      <c r="M303" s="3" cm="1">
        <f t="array" ref="M303">lmb_2(G303)</f>
        <v>1630.7048466021038</v>
      </c>
      <c r="N303" s="3" cm="1">
        <f t="array" ref="N303">lmb_2(H303)</f>
        <v>2.9113036144784639</v>
      </c>
      <c r="O303" s="3" cm="1">
        <f t="array" ref="O303">lmb_2(I303)</f>
        <v>1.4379411708624301</v>
      </c>
      <c r="P303" s="3" cm="1">
        <f t="array" ref="P303">lmb_2(J303)</f>
        <v>0.11885516255659091</v>
      </c>
      <c r="R303" s="3">
        <f t="shared" si="77"/>
        <v>9.1031753172173806E-3</v>
      </c>
      <c r="S303" s="3">
        <f t="shared" si="78"/>
        <v>14.70103721653649</v>
      </c>
      <c r="T303" s="3">
        <f t="shared" si="79"/>
        <v>717.17071550323101</v>
      </c>
      <c r="U303" s="3">
        <f t="shared" si="69"/>
        <v>2954.5041219349932</v>
      </c>
      <c r="V303" s="3">
        <f t="shared" si="70"/>
        <v>0</v>
      </c>
      <c r="W303" s="3">
        <f t="shared" si="80"/>
        <v>530.60308113177643</v>
      </c>
      <c r="Y303" s="3">
        <f t="shared" si="81"/>
        <v>4216.9880777628778</v>
      </c>
      <c r="AA303" s="3">
        <f t="shared" si="82"/>
        <v>2702.7602294790254</v>
      </c>
      <c r="AB303" s="3">
        <f t="shared" si="83"/>
        <v>-51.988077762877765</v>
      </c>
      <c r="AD303" s="3">
        <f t="shared" si="84"/>
        <v>1.7031234441859209E-5</v>
      </c>
    </row>
    <row r="304" spans="3:30" x14ac:dyDescent="0.25">
      <c r="C304" s="22">
        <v>272</v>
      </c>
      <c r="D304" s="22">
        <v>4078</v>
      </c>
      <c r="F304" s="3">
        <f t="shared" si="71"/>
        <v>11391.610377966879</v>
      </c>
      <c r="G304" s="3">
        <f t="shared" si="72"/>
        <v>1650.1816288164441</v>
      </c>
      <c r="H304" s="3">
        <f t="shared" si="73"/>
        <v>4.0128517029944213</v>
      </c>
      <c r="I304" s="3">
        <f t="shared" si="74"/>
        <v>1.8114212262227403</v>
      </c>
      <c r="J304" s="3">
        <f t="shared" si="75"/>
        <v>-2.0104390795149367</v>
      </c>
      <c r="K304" s="3">
        <f t="shared" si="76"/>
        <v>1.7463731218152656E-5</v>
      </c>
      <c r="L304" s="3" cm="1">
        <f t="array" ref="L304">lmb_2(F304)</f>
        <v>11382.270155513763</v>
      </c>
      <c r="M304" s="3" cm="1">
        <f t="array" ref="M304">lmb_2(G304)</f>
        <v>1642.7752329730522</v>
      </c>
      <c r="N304" s="3" cm="1">
        <f t="array" ref="N304">lmb_2(H304)</f>
        <v>2.9358534935158587</v>
      </c>
      <c r="O304" s="3" cm="1">
        <f t="array" ref="O304">lmb_2(I304)</f>
        <v>1.4440024730884446</v>
      </c>
      <c r="P304" s="3" cm="1">
        <f t="array" ref="P304">lmb_2(J304)</f>
        <v>0.11891417606767779</v>
      </c>
      <c r="R304" s="3">
        <f t="shared" si="77"/>
        <v>9.0030620273742461E-3</v>
      </c>
      <c r="S304" s="3">
        <f t="shared" si="78"/>
        <v>14.539316024792214</v>
      </c>
      <c r="T304" s="3">
        <f t="shared" si="79"/>
        <v>709.34561131943656</v>
      </c>
      <c r="U304" s="3">
        <f t="shared" si="69"/>
        <v>2945.6352981499172</v>
      </c>
      <c r="V304" s="3">
        <f t="shared" si="70"/>
        <v>0</v>
      </c>
      <c r="W304" s="3">
        <f t="shared" si="80"/>
        <v>532.3765242355837</v>
      </c>
      <c r="Y304" s="3">
        <f t="shared" si="81"/>
        <v>4201.9057702554883</v>
      </c>
      <c r="AA304" s="3">
        <f t="shared" si="82"/>
        <v>15352.639902605844</v>
      </c>
      <c r="AB304" s="3">
        <f t="shared" si="83"/>
        <v>-123.90577025548828</v>
      </c>
      <c r="AD304" s="3">
        <f t="shared" si="84"/>
        <v>4.0591387732115943E-5</v>
      </c>
    </row>
    <row r="305" spans="3:30" x14ac:dyDescent="0.25">
      <c r="C305" s="22">
        <v>273</v>
      </c>
      <c r="D305" s="22">
        <v>4037</v>
      </c>
      <c r="F305" s="3">
        <f t="shared" si="71"/>
        <v>11475.518410198461</v>
      </c>
      <c r="G305" s="3">
        <f t="shared" si="72"/>
        <v>1662.3038607070803</v>
      </c>
      <c r="H305" s="3">
        <f t="shared" si="73"/>
        <v>4.0459201853838795</v>
      </c>
      <c r="I305" s="3">
        <f t="shared" si="74"/>
        <v>1.8217267519518308</v>
      </c>
      <c r="J305" s="3">
        <f t="shared" si="75"/>
        <v>-2.0098816273528874</v>
      </c>
      <c r="K305" s="3">
        <f t="shared" si="76"/>
        <v>1.6221558671840888E-5</v>
      </c>
      <c r="L305" s="3" cm="1">
        <f t="array" ref="L305">lmb_2(F305)</f>
        <v>11466.1708462878</v>
      </c>
      <c r="M305" s="3" cm="1">
        <f t="array" ref="M305">lmb_2(G305)</f>
        <v>1654.8901315470441</v>
      </c>
      <c r="N305" s="3" cm="1">
        <f t="array" ref="N305">lmb_2(H305)</f>
        <v>2.960546354767299</v>
      </c>
      <c r="O305" s="3" cm="1">
        <f t="array" ref="O305">lmb_2(I305)</f>
        <v>1.450096586416239</v>
      </c>
      <c r="P305" s="3" cm="1">
        <f t="array" ref="P305">lmb_2(J305)</f>
        <v>0.11897343327038344</v>
      </c>
      <c r="R305" s="3">
        <f t="shared" si="77"/>
        <v>8.904411584989641E-3</v>
      </c>
      <c r="S305" s="3">
        <f t="shared" si="78"/>
        <v>14.379957899631954</v>
      </c>
      <c r="T305" s="3">
        <f t="shared" si="79"/>
        <v>701.6135478329619</v>
      </c>
      <c r="U305" s="3">
        <f t="shared" si="69"/>
        <v>2936.7174314554513</v>
      </c>
      <c r="V305" s="3">
        <f t="shared" si="70"/>
        <v>0</v>
      </c>
      <c r="W305" s="3">
        <f t="shared" si="80"/>
        <v>534.14996733939097</v>
      </c>
      <c r="Y305" s="3">
        <f t="shared" si="81"/>
        <v>4186.8698251605792</v>
      </c>
      <c r="AA305" s="3">
        <f t="shared" si="82"/>
        <v>22460.964493662588</v>
      </c>
      <c r="AB305" s="3">
        <f t="shared" si="83"/>
        <v>-149.86982516057924</v>
      </c>
      <c r="AD305" s="3">
        <f t="shared" si="84"/>
        <v>4.9097182236902632E-5</v>
      </c>
    </row>
    <row r="306" spans="3:30" x14ac:dyDescent="0.25">
      <c r="C306" s="22">
        <v>274</v>
      </c>
      <c r="D306" s="22">
        <v>4113</v>
      </c>
      <c r="F306" s="3">
        <f t="shared" si="71"/>
        <v>11559.734361814379</v>
      </c>
      <c r="G306" s="3">
        <f t="shared" si="72"/>
        <v>1674.4705778523612</v>
      </c>
      <c r="H306" s="3">
        <f t="shared" si="73"/>
        <v>4.0791100200022896</v>
      </c>
      <c r="I306" s="3">
        <f t="shared" si="74"/>
        <v>1.832070096123964</v>
      </c>
      <c r="J306" s="3">
        <f t="shared" si="75"/>
        <v>-2.0093221294948309</v>
      </c>
      <c r="K306" s="3">
        <f t="shared" si="76"/>
        <v>1.5067740247310765E-5</v>
      </c>
      <c r="L306" s="3" cm="1">
        <f t="array" ref="L306">lmb_2(F306)</f>
        <v>11550.379483301072</v>
      </c>
      <c r="M306" s="3" cm="1">
        <f t="array" ref="M306">lmb_2(G306)</f>
        <v>1667.0495421278092</v>
      </c>
      <c r="N306" s="3" cm="1">
        <f t="array" ref="N306">lmb_2(H306)</f>
        <v>2.9853822308271387</v>
      </c>
      <c r="O306" s="3" cm="1">
        <f t="array" ref="O306">lmb_2(I306)</f>
        <v>1.4562235921218023</v>
      </c>
      <c r="P306" s="3" cm="1">
        <f t="array" ref="P306">lmb_2(J306)</f>
        <v>0.11903293446412082</v>
      </c>
      <c r="R306" s="3">
        <f t="shared" si="77"/>
        <v>8.8071973652670589E-3</v>
      </c>
      <c r="S306" s="3">
        <f t="shared" si="78"/>
        <v>14.22291984595546</v>
      </c>
      <c r="T306" s="3">
        <f t="shared" si="79"/>
        <v>693.97356049526616</v>
      </c>
      <c r="U306" s="3">
        <f t="shared" si="69"/>
        <v>2927.75176247436</v>
      </c>
      <c r="V306" s="3">
        <f t="shared" si="70"/>
        <v>0</v>
      </c>
      <c r="W306" s="3">
        <f t="shared" si="80"/>
        <v>535.92341044319824</v>
      </c>
      <c r="Y306" s="3">
        <f t="shared" si="81"/>
        <v>4171.8804755238853</v>
      </c>
      <c r="AA306" s="3">
        <f t="shared" si="82"/>
        <v>3466.9103979188503</v>
      </c>
      <c r="AB306" s="3">
        <f t="shared" si="83"/>
        <v>-58.880475523885252</v>
      </c>
      <c r="AD306" s="3">
        <f t="shared" si="84"/>
        <v>1.9289176015880701E-5</v>
      </c>
    </row>
    <row r="307" spans="3:30" x14ac:dyDescent="0.25">
      <c r="C307" s="22">
        <v>275</v>
      </c>
      <c r="D307" s="22">
        <v>4146</v>
      </c>
      <c r="F307" s="3">
        <f t="shared" si="71"/>
        <v>11644.258232814631</v>
      </c>
      <c r="G307" s="3">
        <f t="shared" si="72"/>
        <v>1686.6817802522871</v>
      </c>
      <c r="H307" s="3">
        <f t="shared" si="73"/>
        <v>4.1124212068496515</v>
      </c>
      <c r="I307" s="3">
        <f t="shared" si="74"/>
        <v>1.8424512587391395</v>
      </c>
      <c r="J307" s="3">
        <f t="shared" si="75"/>
        <v>-2.0087605859407667</v>
      </c>
      <c r="K307" s="3">
        <f t="shared" si="76"/>
        <v>1.3995991430499425E-5</v>
      </c>
      <c r="L307" s="3" cm="1">
        <f t="array" ref="L307">lmb_2(F307)</f>
        <v>11634.896066357796</v>
      </c>
      <c r="M307" s="3" cm="1">
        <f t="array" ref="M307">lmb_2(G307)</f>
        <v>1679.2534645212083</v>
      </c>
      <c r="N307" s="3" cm="1">
        <f t="array" ref="N307">lmb_2(H307)</f>
        <v>3.0103611514244211</v>
      </c>
      <c r="O307" s="3" cm="1">
        <f t="array" ref="O307">lmb_2(I307)</f>
        <v>1.4623835712119739</v>
      </c>
      <c r="P307" s="3" cm="1">
        <f t="array" ref="P307">lmb_2(J307)</f>
        <v>0.11909267994956771</v>
      </c>
      <c r="R307" s="3">
        <f t="shared" si="77"/>
        <v>8.7113933228731167E-3</v>
      </c>
      <c r="S307" s="3">
        <f t="shared" si="78"/>
        <v>14.06815980373673</v>
      </c>
      <c r="T307" s="3">
        <f t="shared" si="79"/>
        <v>686.42468643805262</v>
      </c>
      <c r="U307" s="3">
        <f t="shared" si="69"/>
        <v>2918.7395225997629</v>
      </c>
      <c r="V307" s="3">
        <f t="shared" si="70"/>
        <v>0</v>
      </c>
      <c r="W307" s="3">
        <f t="shared" si="80"/>
        <v>537.6968535470055</v>
      </c>
      <c r="Y307" s="3">
        <f t="shared" si="81"/>
        <v>4156.9379477778721</v>
      </c>
      <c r="AA307" s="3">
        <f t="shared" si="82"/>
        <v>119.63870159145652</v>
      </c>
      <c r="AB307" s="3">
        <f t="shared" si="83"/>
        <v>-10.937947777872068</v>
      </c>
      <c r="AD307" s="3">
        <f t="shared" si="84"/>
        <v>3.5832591035087424E-6</v>
      </c>
    </row>
    <row r="308" spans="3:30" x14ac:dyDescent="0.25">
      <c r="C308" s="22">
        <v>276</v>
      </c>
      <c r="D308" s="22">
        <v>4085</v>
      </c>
      <c r="F308" s="3">
        <f t="shared" si="71"/>
        <v>11729.09002319922</v>
      </c>
      <c r="G308" s="3">
        <f t="shared" si="72"/>
        <v>1698.9374679068571</v>
      </c>
      <c r="H308" s="3">
        <f t="shared" si="73"/>
        <v>4.1458537459259635</v>
      </c>
      <c r="I308" s="3">
        <f t="shared" si="74"/>
        <v>1.8528702397973571</v>
      </c>
      <c r="J308" s="3">
        <f t="shared" si="75"/>
        <v>-2.0081969966906947</v>
      </c>
      <c r="K308" s="3">
        <f t="shared" si="76"/>
        <v>1.30004747166766E-5</v>
      </c>
      <c r="L308" s="3" cm="1">
        <f t="array" ref="L308">lmb_2(F308)</f>
        <v>11719.720595264329</v>
      </c>
      <c r="M308" s="3" cm="1">
        <f t="array" ref="M308">lmb_2(G308)</f>
        <v>1691.5018985352035</v>
      </c>
      <c r="N308" s="3" cm="1">
        <f t="array" ref="N308">lmb_2(H308)</f>
        <v>3.0354831434807643</v>
      </c>
      <c r="O308" s="3" cm="1">
        <f t="array" ref="O308">lmb_2(I308)</f>
        <v>1.4685766044208068</v>
      </c>
      <c r="P308" s="3" cm="1">
        <f t="array" ref="P308">lmb_2(J308)</f>
        <v>0.11915267002866828</v>
      </c>
      <c r="R308" s="3">
        <f t="shared" si="77"/>
        <v>8.616973977275828E-3</v>
      </c>
      <c r="S308" s="3">
        <f t="shared" si="78"/>
        <v>13.915636624391682</v>
      </c>
      <c r="T308" s="3">
        <f t="shared" si="79"/>
        <v>678.96596484860868</v>
      </c>
      <c r="U308" s="3">
        <f t="shared" si="69"/>
        <v>2909.6819339048193</v>
      </c>
      <c r="V308" s="3">
        <f t="shared" si="70"/>
        <v>0</v>
      </c>
      <c r="W308" s="3">
        <f t="shared" si="80"/>
        <v>539.47029665081277</v>
      </c>
      <c r="Y308" s="3">
        <f t="shared" si="81"/>
        <v>4142.0424620030844</v>
      </c>
      <c r="AA308" s="3">
        <f t="shared" si="82"/>
        <v>3253.842471373332</v>
      </c>
      <c r="AB308" s="3">
        <f t="shared" si="83"/>
        <v>-57.042462003084438</v>
      </c>
      <c r="AD308" s="3">
        <f t="shared" si="84"/>
        <v>1.8687044901842511E-5</v>
      </c>
    </row>
    <row r="309" spans="3:30" x14ac:dyDescent="0.25">
      <c r="C309" s="22">
        <v>277</v>
      </c>
      <c r="D309" s="22">
        <v>4072</v>
      </c>
      <c r="F309" s="3">
        <f t="shared" si="71"/>
        <v>11814.229732968151</v>
      </c>
      <c r="G309" s="3">
        <f t="shared" si="72"/>
        <v>1711.237640816071</v>
      </c>
      <c r="H309" s="3">
        <f t="shared" si="73"/>
        <v>4.179407637231229</v>
      </c>
      <c r="I309" s="3">
        <f t="shared" si="74"/>
        <v>1.8633270392986176</v>
      </c>
      <c r="J309" s="3">
        <f t="shared" si="75"/>
        <v>-2.0076313617446155</v>
      </c>
      <c r="K309" s="3">
        <f t="shared" si="76"/>
        <v>1.2075767815250513E-5</v>
      </c>
      <c r="L309" s="3" cm="1">
        <f t="array" ref="L309">lmb_2(F309)</f>
        <v>11804.853069829129</v>
      </c>
      <c r="M309" s="3" cm="1">
        <f t="array" ref="M309">lmb_2(G309)</f>
        <v>1703.7948439798283</v>
      </c>
      <c r="N309" s="3" cm="1">
        <f t="array" ref="N309">lmb_2(H309)</f>
        <v>3.060748231167651</v>
      </c>
      <c r="O309" s="3" cm="1">
        <f t="array" ref="O309">lmb_2(I309)</f>
        <v>1.4748027722059762</v>
      </c>
      <c r="P309" s="3" cm="1">
        <f t="array" ref="P309">lmb_2(J309)</f>
        <v>0.11921290500463497</v>
      </c>
      <c r="R309" s="3">
        <f t="shared" si="77"/>
        <v>8.5239143985053716E-3</v>
      </c>
      <c r="S309" s="3">
        <f t="shared" si="78"/>
        <v>13.765310047825698</v>
      </c>
      <c r="T309" s="3">
        <f t="shared" si="79"/>
        <v>671.59643732870256</v>
      </c>
      <c r="U309" s="3">
        <f t="shared" si="69"/>
        <v>2900.5802090558359</v>
      </c>
      <c r="V309" s="3">
        <f t="shared" si="70"/>
        <v>0</v>
      </c>
      <c r="W309" s="3">
        <f t="shared" si="80"/>
        <v>541.24373975462015</v>
      </c>
      <c r="Y309" s="3">
        <f t="shared" si="81"/>
        <v>4127.1942321771503</v>
      </c>
      <c r="AA309" s="3">
        <f t="shared" si="82"/>
        <v>3046.4032656251734</v>
      </c>
      <c r="AB309" s="3">
        <f t="shared" si="83"/>
        <v>-55.194232177150298</v>
      </c>
      <c r="AD309" s="3">
        <f t="shared" si="84"/>
        <v>1.808156693800062E-5</v>
      </c>
    </row>
    <row r="310" spans="3:30" x14ac:dyDescent="0.25">
      <c r="C310" s="22">
        <v>278</v>
      </c>
      <c r="D310" s="22">
        <v>4107</v>
      </c>
      <c r="F310" s="3">
        <f t="shared" si="71"/>
        <v>11899.677362121411</v>
      </c>
      <c r="G310" s="3">
        <f t="shared" si="72"/>
        <v>1723.5822989799303</v>
      </c>
      <c r="H310" s="3">
        <f t="shared" si="73"/>
        <v>4.2130828807654481</v>
      </c>
      <c r="I310" s="3">
        <f t="shared" si="74"/>
        <v>1.8738216572429207</v>
      </c>
      <c r="J310" s="3">
        <f t="shared" si="75"/>
        <v>-2.0070636811025291</v>
      </c>
      <c r="K310" s="3">
        <f t="shared" si="76"/>
        <v>1.1216834116125119E-5</v>
      </c>
      <c r="L310" s="3" cm="1">
        <f t="array" ref="L310">lmb_2(F310)</f>
        <v>11890.29348986271</v>
      </c>
      <c r="M310" s="3" cm="1">
        <f t="array" ref="M310">lmb_2(G310)</f>
        <v>1716.1323006671601</v>
      </c>
      <c r="N310" s="3" cm="1">
        <f t="array" ref="N310">lmb_2(H310)</f>
        <v>3.0861564359631046</v>
      </c>
      <c r="O310" s="3" cm="1">
        <f t="array" ref="O310">lmb_2(I310)</f>
        <v>1.4810621547452327</v>
      </c>
      <c r="P310" s="3" cm="1">
        <f t="array" ref="P310">lmb_2(J310)</f>
        <v>0.11927338518195049</v>
      </c>
      <c r="R310" s="3">
        <f t="shared" si="77"/>
        <v>8.4321901933237329E-3</v>
      </c>
      <c r="S310" s="3">
        <f t="shared" si="78"/>
        <v>13.617140680139146</v>
      </c>
      <c r="T310" s="3">
        <f t="shared" si="79"/>
        <v>664.31514823747557</v>
      </c>
      <c r="U310" s="3">
        <f t="shared" si="69"/>
        <v>2891.435551228778</v>
      </c>
      <c r="V310" s="3">
        <f t="shared" si="70"/>
        <v>0</v>
      </c>
      <c r="W310" s="3">
        <f t="shared" si="80"/>
        <v>543.01718285842742</v>
      </c>
      <c r="Y310" s="3">
        <f t="shared" si="81"/>
        <v>4112.3934664118478</v>
      </c>
      <c r="AA310" s="3">
        <f t="shared" si="82"/>
        <v>29.089479935730807</v>
      </c>
      <c r="AB310" s="3">
        <f t="shared" si="83"/>
        <v>-5.3934664118478395</v>
      </c>
      <c r="AD310" s="3">
        <f t="shared" si="84"/>
        <v>1.7668933891620967E-6</v>
      </c>
    </row>
    <row r="311" spans="3:30" x14ac:dyDescent="0.25">
      <c r="C311" s="22">
        <v>279</v>
      </c>
      <c r="D311" s="22">
        <v>4113</v>
      </c>
      <c r="F311" s="3">
        <f t="shared" si="71"/>
        <v>11985.432910659008</v>
      </c>
      <c r="G311" s="3">
        <f t="shared" si="72"/>
        <v>1735.9714423984342</v>
      </c>
      <c r="H311" s="3">
        <f t="shared" si="73"/>
        <v>4.2468794765286173</v>
      </c>
      <c r="I311" s="3">
        <f t="shared" si="74"/>
        <v>1.8843540936302663</v>
      </c>
      <c r="J311" s="3">
        <f t="shared" si="75"/>
        <v>-2.0064939547644345</v>
      </c>
      <c r="K311" s="3">
        <f t="shared" si="76"/>
        <v>1.0418995256746604E-5</v>
      </c>
      <c r="L311" s="3" cm="1">
        <f t="array" ref="L311">lmb_2(F311)</f>
        <v>11976.041855177655</v>
      </c>
      <c r="M311" s="3" cm="1">
        <f t="array" ref="M311">lmb_2(G311)</f>
        <v>1728.5142684112864</v>
      </c>
      <c r="N311" s="3" cm="1">
        <f t="array" ref="N311">lmb_2(H311)</f>
        <v>3.1117077767077479</v>
      </c>
      <c r="O311" s="3" cm="1">
        <f t="array" ref="O311">lmb_2(I311)</f>
        <v>1.4873548319329046</v>
      </c>
      <c r="P311" s="3" cm="1">
        <f t="array" ref="P311">lmb_2(J311)</f>
        <v>0.11933411086636965</v>
      </c>
      <c r="R311" s="3">
        <f t="shared" si="77"/>
        <v>8.341777491789916E-3</v>
      </c>
      <c r="S311" s="3">
        <f t="shared" si="78"/>
        <v>13.471089971969796</v>
      </c>
      <c r="T311" s="3">
        <f t="shared" si="79"/>
        <v>657.12114501876647</v>
      </c>
      <c r="U311" s="3">
        <f t="shared" si="69"/>
        <v>2882.2491540291389</v>
      </c>
      <c r="V311" s="3">
        <f t="shared" si="70"/>
        <v>0</v>
      </c>
      <c r="W311" s="3">
        <f t="shared" si="80"/>
        <v>544.79062596223469</v>
      </c>
      <c r="Y311" s="3">
        <f t="shared" si="81"/>
        <v>4097.6403671785965</v>
      </c>
      <c r="AA311" s="3">
        <f t="shared" si="82"/>
        <v>235.91832040833458</v>
      </c>
      <c r="AB311" s="3">
        <f t="shared" si="83"/>
        <v>15.359632821403466</v>
      </c>
      <c r="AD311" s="3">
        <f t="shared" si="84"/>
        <v>5.0317980348369297E-6</v>
      </c>
    </row>
    <row r="312" spans="3:30" x14ac:dyDescent="0.25">
      <c r="C312" s="22">
        <v>280</v>
      </c>
      <c r="D312" s="22">
        <v>4023</v>
      </c>
      <c r="F312" s="3">
        <f t="shared" si="71"/>
        <v>12071.496378580943</v>
      </c>
      <c r="G312" s="3">
        <f t="shared" si="72"/>
        <v>1748.4050710715824</v>
      </c>
      <c r="H312" s="3">
        <f t="shared" si="73"/>
        <v>4.2807974245207401</v>
      </c>
      <c r="I312" s="3">
        <f t="shared" si="74"/>
        <v>1.8949243484606546</v>
      </c>
      <c r="J312" s="3">
        <f t="shared" si="75"/>
        <v>-2.0059221827303331</v>
      </c>
      <c r="K312" s="3">
        <f t="shared" si="76"/>
        <v>9.6779056404205182E-6</v>
      </c>
      <c r="L312" s="3" cm="1">
        <f t="array" ref="L312">lmb_2(F312)</f>
        <v>12062.098165588541</v>
      </c>
      <c r="M312" s="3" cm="1">
        <f t="array" ref="M312">lmb_2(G312)</f>
        <v>1740.9407470282795</v>
      </c>
      <c r="N312" s="3" cm="1">
        <f t="array" ref="N312">lmb_2(H312)</f>
        <v>3.1374022696602517</v>
      </c>
      <c r="O312" s="3" cm="1">
        <f t="array" ref="O312">lmb_2(I312)</f>
        <v>1.4936808833764488</v>
      </c>
      <c r="P312" s="3" cm="1">
        <f t="array" ref="P312">lmb_2(J312)</f>
        <v>0.11939508236492093</v>
      </c>
      <c r="R312" s="3">
        <f t="shared" si="77"/>
        <v>8.2526529342082829E-3</v>
      </c>
      <c r="S312" s="3">
        <f t="shared" si="78"/>
        <v>13.327120197451569</v>
      </c>
      <c r="T312" s="3">
        <f t="shared" si="79"/>
        <v>650.01347851329547</v>
      </c>
      <c r="U312" s="3">
        <f t="shared" si="69"/>
        <v>2873.0222014151564</v>
      </c>
      <c r="V312" s="3">
        <f t="shared" si="70"/>
        <v>0</v>
      </c>
      <c r="W312" s="3">
        <f t="shared" si="80"/>
        <v>546.56406906604207</v>
      </c>
      <c r="Y312" s="3">
        <f t="shared" si="81"/>
        <v>4082.9351315227855</v>
      </c>
      <c r="AA312" s="3">
        <f t="shared" si="82"/>
        <v>3592.2199906535925</v>
      </c>
      <c r="AB312" s="3">
        <f t="shared" si="83"/>
        <v>-59.935131522785468</v>
      </c>
      <c r="AD312" s="3">
        <f t="shared" si="84"/>
        <v>1.9634680107313154E-5</v>
      </c>
    </row>
    <row r="313" spans="3:30" x14ac:dyDescent="0.25">
      <c r="C313" s="22">
        <v>281</v>
      </c>
      <c r="D313" s="22">
        <v>4039</v>
      </c>
      <c r="F313" s="3">
        <f t="shared" si="71"/>
        <v>12157.867765887213</v>
      </c>
      <c r="G313" s="3">
        <f t="shared" si="72"/>
        <v>1760.8831849993753</v>
      </c>
      <c r="H313" s="3">
        <f t="shared" si="73"/>
        <v>4.3148367247418147</v>
      </c>
      <c r="I313" s="3">
        <f t="shared" si="74"/>
        <v>1.9055324217340845</v>
      </c>
      <c r="J313" s="3">
        <f t="shared" si="75"/>
        <v>-2.0053483650002235</v>
      </c>
      <c r="K313" s="3">
        <f t="shared" si="76"/>
        <v>8.9895287671077679E-6</v>
      </c>
      <c r="L313" s="3" cm="1">
        <f t="array" ref="L313">lmb_2(F313)</f>
        <v>12148.462420911936</v>
      </c>
      <c r="M313" s="3" cm="1">
        <f t="array" ref="M313">lmb_2(G313)</f>
        <v>1753.4117363361688</v>
      </c>
      <c r="N313" s="3" cm="1">
        <f t="array" ref="N313">lmb_2(H313)</f>
        <v>3.1632399285521235</v>
      </c>
      <c r="O313" s="3" cm="1">
        <f t="array" ref="O313">lmb_2(I313)</f>
        <v>1.5000403883930444</v>
      </c>
      <c r="P313" s="3" cm="1">
        <f t="array" ref="P313">lmb_2(J313)</f>
        <v>0.1194562999859089</v>
      </c>
      <c r="R313" s="3">
        <f t="shared" si="77"/>
        <v>8.1647936584475257E-3</v>
      </c>
      <c r="S313" s="3">
        <f t="shared" si="78"/>
        <v>13.185194433770096</v>
      </c>
      <c r="T313" s="3">
        <f t="shared" si="79"/>
        <v>642.99120325614422</v>
      </c>
      <c r="U313" s="3">
        <f t="shared" si="69"/>
        <v>2863.7558676243489</v>
      </c>
      <c r="V313" s="3">
        <f t="shared" si="70"/>
        <v>0</v>
      </c>
      <c r="W313" s="3">
        <f t="shared" si="80"/>
        <v>548.33751216984933</v>
      </c>
      <c r="Y313" s="3">
        <f t="shared" si="81"/>
        <v>4068.2779512673001</v>
      </c>
      <c r="AA313" s="3">
        <f t="shared" si="82"/>
        <v>857.19843041039769</v>
      </c>
      <c r="AB313" s="3">
        <f t="shared" si="83"/>
        <v>-29.277951267300068</v>
      </c>
      <c r="AD313" s="3">
        <f t="shared" si="84"/>
        <v>9.5914231390715399E-6</v>
      </c>
    </row>
    <row r="314" spans="3:30" x14ac:dyDescent="0.25">
      <c r="C314" s="22">
        <v>282</v>
      </c>
      <c r="D314" s="22">
        <v>4070</v>
      </c>
      <c r="F314" s="3">
        <f t="shared" si="71"/>
        <v>12244.54707257782</v>
      </c>
      <c r="G314" s="3">
        <f t="shared" si="72"/>
        <v>1773.4057841818124</v>
      </c>
      <c r="H314" s="3">
        <f t="shared" si="73"/>
        <v>4.3489973771918411</v>
      </c>
      <c r="I314" s="3">
        <f t="shared" si="74"/>
        <v>1.9161783134505579</v>
      </c>
      <c r="J314" s="3">
        <f t="shared" si="75"/>
        <v>-2.0047725015741067</v>
      </c>
      <c r="K314" s="3">
        <f t="shared" si="76"/>
        <v>8.3501152477806872E-6</v>
      </c>
      <c r="L314" s="3" cm="1">
        <f t="array" ref="L314">lmb_2(F314)</f>
        <v>12235.134620966366</v>
      </c>
      <c r="M314" s="3" cm="1">
        <f t="array" ref="M314">lmb_2(G314)</f>
        <v>1765.9272361549106</v>
      </c>
      <c r="N314" s="3" cm="1">
        <f t="array" ref="N314">lmb_2(H314)</f>
        <v>3.1892207646418758</v>
      </c>
      <c r="O314" s="3" cm="1">
        <f t="array" ref="O314">lmb_2(I314)</f>
        <v>1.5064334260062431</v>
      </c>
      <c r="P314" s="3" cm="1">
        <f t="array" ref="P314">lmb_2(J314)</f>
        <v>0.11951776403891558</v>
      </c>
      <c r="R314" s="3">
        <f t="shared" si="77"/>
        <v>8.0781772876186309E-3</v>
      </c>
      <c r="S314" s="3">
        <f t="shared" si="78"/>
        <v>13.045276541296198</v>
      </c>
      <c r="T314" s="3">
        <f t="shared" si="79"/>
        <v>636.05337775993962</v>
      </c>
      <c r="U314" s="3">
        <f t="shared" si="69"/>
        <v>2854.4513171033204</v>
      </c>
      <c r="V314" s="3">
        <f t="shared" si="70"/>
        <v>0</v>
      </c>
      <c r="W314" s="3">
        <f t="shared" si="80"/>
        <v>550.1109552736566</v>
      </c>
      <c r="Y314" s="3">
        <f t="shared" si="81"/>
        <v>4053.669013205616</v>
      </c>
      <c r="AA314" s="3">
        <f t="shared" si="82"/>
        <v>266.70112967834422</v>
      </c>
      <c r="AB314" s="3">
        <f t="shared" si="83"/>
        <v>16.330986794383989</v>
      </c>
      <c r="AD314" s="3">
        <f t="shared" si="84"/>
        <v>5.3500124784506827E-6</v>
      </c>
    </row>
    <row r="315" spans="3:30" x14ac:dyDescent="0.25">
      <c r="C315" s="22">
        <v>283</v>
      </c>
      <c r="D315" s="22">
        <v>4011</v>
      </c>
      <c r="F315" s="3">
        <f t="shared" si="71"/>
        <v>12331.534298652761</v>
      </c>
      <c r="G315" s="3">
        <f t="shared" si="72"/>
        <v>1785.9728686188942</v>
      </c>
      <c r="H315" s="3">
        <f t="shared" si="73"/>
        <v>4.3832793818708211</v>
      </c>
      <c r="I315" s="3">
        <f t="shared" si="74"/>
        <v>1.926862023610074</v>
      </c>
      <c r="J315" s="3">
        <f t="shared" si="75"/>
        <v>-2.0041945924519826</v>
      </c>
      <c r="K315" s="3">
        <f t="shared" si="76"/>
        <v>7.7561823825891404E-6</v>
      </c>
      <c r="L315" s="3" cm="1">
        <f t="array" ref="L315">lmb_2(F315)</f>
        <v>12322.11476557228</v>
      </c>
      <c r="M315" s="3" cm="1">
        <f t="array" ref="M315">lmb_2(G315)</f>
        <v>1778.4872463063641</v>
      </c>
      <c r="N315" s="3" cm="1">
        <f t="array" ref="N315">lmb_2(H315)</f>
        <v>3.2153447867685343</v>
      </c>
      <c r="O315" s="3" cm="1">
        <f t="array" ref="O315">lmb_2(I315)</f>
        <v>1.5128600749426568</v>
      </c>
      <c r="P315" s="3" cm="1">
        <f t="array" ref="P315">lmb_2(J315)</f>
        <v>0.11957947483480252</v>
      </c>
      <c r="R315" s="3">
        <f t="shared" si="77"/>
        <v>7.9927819181003779E-3</v>
      </c>
      <c r="S315" s="3">
        <f t="shared" si="78"/>
        <v>12.907331144278702</v>
      </c>
      <c r="T315" s="3">
        <f t="shared" si="79"/>
        <v>629.19906478416362</v>
      </c>
      <c r="U315" s="3">
        <f t="shared" si="69"/>
        <v>2845.1097044408475</v>
      </c>
      <c r="V315" s="3">
        <f t="shared" si="70"/>
        <v>0</v>
      </c>
      <c r="W315" s="3">
        <f t="shared" si="80"/>
        <v>551.88439837746387</v>
      </c>
      <c r="Y315" s="3">
        <f t="shared" si="81"/>
        <v>4039.1084992848541</v>
      </c>
      <c r="AA315" s="3">
        <f t="shared" si="82"/>
        <v>790.08773204664533</v>
      </c>
      <c r="AB315" s="3">
        <f t="shared" si="83"/>
        <v>-28.108499284854133</v>
      </c>
      <c r="AD315" s="3">
        <f t="shared" si="84"/>
        <v>9.2083120155486068E-6</v>
      </c>
    </row>
    <row r="316" spans="3:30" x14ac:dyDescent="0.25">
      <c r="C316" s="22">
        <v>284</v>
      </c>
      <c r="D316" s="22">
        <v>4029</v>
      </c>
      <c r="F316" s="3">
        <f t="shared" si="71"/>
        <v>12418.829444112038</v>
      </c>
      <c r="G316" s="3">
        <f t="shared" si="72"/>
        <v>1798.58443831062</v>
      </c>
      <c r="H316" s="3">
        <f t="shared" si="73"/>
        <v>4.4176827387787494</v>
      </c>
      <c r="I316" s="3">
        <f t="shared" si="74"/>
        <v>1.9375835522126321</v>
      </c>
      <c r="J316" s="3">
        <f t="shared" si="75"/>
        <v>-2.0036146376338504</v>
      </c>
      <c r="K316" s="3">
        <f t="shared" si="76"/>
        <v>7.2044951916053103E-6</v>
      </c>
      <c r="L316" s="3" cm="1">
        <f t="array" ref="L316">lmb_2(F316)</f>
        <v>12409.402854552032</v>
      </c>
      <c r="M316" s="3" cm="1">
        <f t="array" ref="M316">lmb_2(G316)</f>
        <v>1791.0917666142616</v>
      </c>
      <c r="N316" s="3" cm="1">
        <f t="array" ref="N316">lmb_2(H316)</f>
        <v>3.2416120014044889</v>
      </c>
      <c r="O316" s="3" cm="1">
        <f t="array" ref="O316">lmb_2(I316)</f>
        <v>1.5193204136287031</v>
      </c>
      <c r="P316" s="3" cm="1">
        <f t="array" ref="P316">lmb_2(J316)</f>
        <v>0.11964143268571298</v>
      </c>
      <c r="R316" s="3">
        <f t="shared" si="77"/>
        <v>7.908586107901407E-3</v>
      </c>
      <c r="S316" s="3">
        <f t="shared" si="78"/>
        <v>12.771323612079279</v>
      </c>
      <c r="T316" s="3">
        <f t="shared" si="79"/>
        <v>622.42733159099737</v>
      </c>
      <c r="U316" s="3">
        <f t="shared" si="69"/>
        <v>2835.7321743041689</v>
      </c>
      <c r="V316" s="3">
        <f t="shared" si="70"/>
        <v>0</v>
      </c>
      <c r="W316" s="3">
        <f t="shared" si="80"/>
        <v>553.65784148127113</v>
      </c>
      <c r="Y316" s="3">
        <f t="shared" si="81"/>
        <v>4024.5965867791197</v>
      </c>
      <c r="AA316" s="3">
        <f t="shared" si="82"/>
        <v>19.390047993823757</v>
      </c>
      <c r="AB316" s="3">
        <f t="shared" si="83"/>
        <v>4.4034132208803385</v>
      </c>
      <c r="AD316" s="3">
        <f t="shared" si="84"/>
        <v>1.4425531032568049E-6</v>
      </c>
    </row>
    <row r="317" spans="3:30" x14ac:dyDescent="0.25">
      <c r="C317" s="22">
        <v>285</v>
      </c>
      <c r="D317" s="22">
        <v>3998</v>
      </c>
      <c r="F317" s="3">
        <f t="shared" si="71"/>
        <v>12506.432508955657</v>
      </c>
      <c r="G317" s="3">
        <f t="shared" si="72"/>
        <v>1811.2404932569912</v>
      </c>
      <c r="H317" s="3">
        <f t="shared" si="73"/>
        <v>4.4522074479156331</v>
      </c>
      <c r="I317" s="3">
        <f t="shared" si="74"/>
        <v>1.948342899258233</v>
      </c>
      <c r="J317" s="3">
        <f t="shared" si="75"/>
        <v>-2.0030326371197114</v>
      </c>
      <c r="K317" s="3">
        <f t="shared" si="76"/>
        <v>6.6920487948270195E-6</v>
      </c>
      <c r="L317" s="3" cm="1">
        <f t="array" ref="L317">lmb_2(F317)</f>
        <v>12496.998887729858</v>
      </c>
      <c r="M317" s="3" cm="1">
        <f t="array" ref="M317">lmb_2(G317)</f>
        <v>1803.740796904186</v>
      </c>
      <c r="N317" s="3" cm="1">
        <f t="array" ref="N317">lmb_2(H317)</f>
        <v>3.2680224127077029</v>
      </c>
      <c r="O317" s="3" cm="1">
        <f t="array" ref="O317">lmb_2(I317)</f>
        <v>1.5258145201873961</v>
      </c>
      <c r="P317" s="3" cm="1">
        <f t="array" ref="P317">lmb_2(J317)</f>
        <v>0.11970363790507321</v>
      </c>
      <c r="R317" s="3">
        <f t="shared" si="77"/>
        <v>7.8255688653482095E-3</v>
      </c>
      <c r="S317" s="3">
        <f t="shared" si="78"/>
        <v>12.637220040931982</v>
      </c>
      <c r="T317" s="3">
        <f t="shared" si="79"/>
        <v>615.7372501880908</v>
      </c>
      <c r="U317" s="3">
        <f t="shared" si="69"/>
        <v>2826.3198613784812</v>
      </c>
      <c r="V317" s="3">
        <f t="shared" si="70"/>
        <v>0</v>
      </c>
      <c r="W317" s="3">
        <f t="shared" si="80"/>
        <v>555.4312845850784</v>
      </c>
      <c r="Y317" s="3">
        <f t="shared" si="81"/>
        <v>4010.1334484534968</v>
      </c>
      <c r="AA317" s="3">
        <f t="shared" si="82"/>
        <v>147.22057137366485</v>
      </c>
      <c r="AB317" s="3">
        <f t="shared" si="83"/>
        <v>-12.13344845349684</v>
      </c>
      <c r="AD317" s="3">
        <f t="shared" si="84"/>
        <v>3.9749037489375311E-6</v>
      </c>
    </row>
    <row r="318" spans="3:30" x14ac:dyDescent="0.25">
      <c r="C318" s="22">
        <v>286</v>
      </c>
      <c r="D318" s="22">
        <v>3947</v>
      </c>
      <c r="F318" s="3">
        <f t="shared" si="71"/>
        <v>12594.343493183607</v>
      </c>
      <c r="G318" s="3">
        <f t="shared" si="72"/>
        <v>1823.9410334580068</v>
      </c>
      <c r="H318" s="3">
        <f t="shared" si="73"/>
        <v>4.4868535092814685</v>
      </c>
      <c r="I318" s="3">
        <f t="shared" si="74"/>
        <v>1.959140064746876</v>
      </c>
      <c r="J318" s="3">
        <f t="shared" si="75"/>
        <v>-2.0024485909095642</v>
      </c>
      <c r="K318" s="3">
        <f t="shared" si="76"/>
        <v>6.2160520454684237E-6</v>
      </c>
      <c r="L318" s="3" cm="1">
        <f t="array" ref="L318">lmb_2(F318)</f>
        <v>12584.902864931821</v>
      </c>
      <c r="M318" s="3" cm="1">
        <f t="array" ref="M318">lmb_2(G318)</f>
        <v>1816.4343370035415</v>
      </c>
      <c r="N318" s="3" cm="1">
        <f t="array" ref="N318">lmb_2(H318)</f>
        <v>3.2945760225732283</v>
      </c>
      <c r="O318" s="3" cm="1">
        <f t="array" ref="O318">lmb_2(I318)</f>
        <v>1.5323424724351855</v>
      </c>
      <c r="P318" s="3" cm="1">
        <f t="array" ref="P318">lmb_2(J318)</f>
        <v>0.119766090807595</v>
      </c>
      <c r="R318" s="3">
        <f t="shared" si="77"/>
        <v>7.7437096380888939E-3</v>
      </c>
      <c r="S318" s="3">
        <f t="shared" si="78"/>
        <v>12.504987236211235</v>
      </c>
      <c r="T318" s="3">
        <f t="shared" si="79"/>
        <v>609.12789755867209</v>
      </c>
      <c r="U318" s="3">
        <f t="shared" si="69"/>
        <v>2816.8738903096023</v>
      </c>
      <c r="V318" s="3">
        <f t="shared" si="70"/>
        <v>0</v>
      </c>
      <c r="W318" s="3">
        <f t="shared" si="80"/>
        <v>557.20472768888578</v>
      </c>
      <c r="Y318" s="3">
        <f t="shared" si="81"/>
        <v>3995.7192527190614</v>
      </c>
      <c r="AA318" s="3">
        <f t="shared" si="82"/>
        <v>2373.5655855037703</v>
      </c>
      <c r="AB318" s="3">
        <f t="shared" si="83"/>
        <v>-48.719252719061387</v>
      </c>
      <c r="AD318" s="3">
        <f t="shared" si="84"/>
        <v>1.5960371119607077E-5</v>
      </c>
    </row>
    <row r="319" spans="3:30" x14ac:dyDescent="0.25">
      <c r="C319" s="22">
        <v>287</v>
      </c>
      <c r="D319" s="22">
        <v>3980</v>
      </c>
      <c r="F319" s="3">
        <f t="shared" si="71"/>
        <v>12682.562396795895</v>
      </c>
      <c r="G319" s="3">
        <f t="shared" si="72"/>
        <v>1836.6860589136666</v>
      </c>
      <c r="H319" s="3">
        <f t="shared" si="73"/>
        <v>4.5216209228762558</v>
      </c>
      <c r="I319" s="3">
        <f t="shared" si="74"/>
        <v>1.9699750486785619</v>
      </c>
      <c r="J319" s="3">
        <f t="shared" si="75"/>
        <v>-2.0018624990034097</v>
      </c>
      <c r="K319" s="3">
        <f t="shared" si="76"/>
        <v>5.7739123273937435E-6</v>
      </c>
      <c r="L319" s="3" cm="1">
        <f t="array" ref="L319">lmb_2(F319)</f>
        <v>12673.114785985828</v>
      </c>
      <c r="M319" s="3" cm="1">
        <f t="array" ref="M319">lmb_2(G319)</f>
        <v>1829.1723867415296</v>
      </c>
      <c r="N319" s="3" cm="1">
        <f t="array" ref="N319">lmb_2(H319)</f>
        <v>3.3212728306840749</v>
      </c>
      <c r="O319" s="3" cm="1">
        <f t="array" ref="O319">lmb_2(I319)</f>
        <v>1.538904347878848</v>
      </c>
      <c r="P319" s="3" cm="1">
        <f t="array" ref="P319">lmb_2(J319)</f>
        <v>0.1198287917092771</v>
      </c>
      <c r="R319" s="3">
        <f t="shared" si="77"/>
        <v>7.662988302402707E-3</v>
      </c>
      <c r="S319" s="3">
        <f t="shared" si="78"/>
        <v>12.374592695192245</v>
      </c>
      <c r="T319" s="3">
        <f t="shared" si="79"/>
        <v>602.59835587936595</v>
      </c>
      <c r="U319" s="3">
        <f t="shared" si="69"/>
        <v>2807.3953756497576</v>
      </c>
      <c r="V319" s="3">
        <f t="shared" si="70"/>
        <v>0</v>
      </c>
      <c r="W319" s="3">
        <f t="shared" si="80"/>
        <v>558.97817079269305</v>
      </c>
      <c r="Y319" s="3">
        <f t="shared" si="81"/>
        <v>3981.3541637792237</v>
      </c>
      <c r="AA319" s="3">
        <f t="shared" si="82"/>
        <v>1.8337595409612899</v>
      </c>
      <c r="AB319" s="3">
        <f t="shared" si="83"/>
        <v>-1.3541637792236543</v>
      </c>
      <c r="AD319" s="3">
        <f t="shared" si="84"/>
        <v>4.436224955618649E-7</v>
      </c>
    </row>
    <row r="320" spans="3:30" x14ac:dyDescent="0.25">
      <c r="C320" s="22">
        <v>288</v>
      </c>
      <c r="D320" s="22">
        <v>3990</v>
      </c>
      <c r="F320" s="3">
        <f t="shared" si="71"/>
        <v>12771.089219792517</v>
      </c>
      <c r="G320" s="3">
        <f t="shared" si="72"/>
        <v>1849.4755696239713</v>
      </c>
      <c r="H320" s="3">
        <f t="shared" si="73"/>
        <v>4.556509688699995</v>
      </c>
      <c r="I320" s="3">
        <f t="shared" si="74"/>
        <v>1.9808478510532901</v>
      </c>
      <c r="J320" s="3">
        <f t="shared" si="75"/>
        <v>-2.001274361401248</v>
      </c>
      <c r="K320" s="3">
        <f t="shared" si="76"/>
        <v>5.3632214338895835E-6</v>
      </c>
      <c r="L320" s="3" cm="1">
        <f t="array" ref="L320">lmb_2(F320)</f>
        <v>12761.634650721569</v>
      </c>
      <c r="M320" s="3" cm="1">
        <f t="array" ref="M320">lmb_2(G320)</f>
        <v>1841.9549459491266</v>
      </c>
      <c r="N320" s="3" cm="1">
        <f t="array" ref="N320">lmb_2(H320)</f>
        <v>3.3481128345613977</v>
      </c>
      <c r="O320" s="3" cm="1">
        <f t="array" ref="O320">lmb_2(I320)</f>
        <v>1.5455002237124253</v>
      </c>
      <c r="P320" s="3" cm="1">
        <f t="array" ref="P320">lmb_2(J320)</f>
        <v>0.11989174092740749</v>
      </c>
      <c r="R320" s="3">
        <f t="shared" si="77"/>
        <v>7.5833851528059439E-3</v>
      </c>
      <c r="S320" s="3">
        <f t="shared" si="78"/>
        <v>12.246004590288576</v>
      </c>
      <c r="T320" s="3">
        <f t="shared" si="79"/>
        <v>596.14771272611279</v>
      </c>
      <c r="U320" s="3">
        <f t="shared" si="69"/>
        <v>2797.8854218064712</v>
      </c>
      <c r="V320" s="3">
        <f t="shared" si="70"/>
        <v>0</v>
      </c>
      <c r="W320" s="3">
        <f t="shared" si="80"/>
        <v>560.75161389650032</v>
      </c>
      <c r="Y320" s="3">
        <f t="shared" si="81"/>
        <v>3967.0383417677472</v>
      </c>
      <c r="AA320" s="3">
        <f t="shared" si="82"/>
        <v>527.23774877478422</v>
      </c>
      <c r="AB320" s="3">
        <f t="shared" si="83"/>
        <v>22.96165823225283</v>
      </c>
      <c r="AD320" s="3">
        <f t="shared" si="84"/>
        <v>7.5222128102336916E-6</v>
      </c>
    </row>
    <row r="321" spans="3:30" x14ac:dyDescent="0.25">
      <c r="C321" s="22">
        <v>289</v>
      </c>
      <c r="D321" s="22">
        <v>3996</v>
      </c>
      <c r="F321" s="3">
        <f t="shared" si="71"/>
        <v>12859.923962173472</v>
      </c>
      <c r="G321" s="3">
        <f t="shared" si="72"/>
        <v>1862.3095655889201</v>
      </c>
      <c r="H321" s="3">
        <f t="shared" si="73"/>
        <v>4.5915198067526877</v>
      </c>
      <c r="I321" s="3">
        <f t="shared" si="74"/>
        <v>1.9917584718710613</v>
      </c>
      <c r="J321" s="3">
        <f t="shared" si="75"/>
        <v>-2.0006841781030786</v>
      </c>
      <c r="K321" s="3">
        <f t="shared" si="76"/>
        <v>4.9817424508619853E-6</v>
      </c>
      <c r="L321" s="3" cm="1">
        <f t="array" ref="L321">lmb_2(F321)</f>
        <v>12850.462458970514</v>
      </c>
      <c r="M321" s="3" cm="1">
        <f t="array" ref="M321">lmb_2(G321)</f>
        <v>1854.7820144590544</v>
      </c>
      <c r="N321" s="3" cm="1">
        <f t="array" ref="N321">lmb_2(H321)</f>
        <v>3.3750960296140131</v>
      </c>
      <c r="O321" s="3" cm="1">
        <f t="array" ref="O321">lmb_2(I321)</f>
        <v>1.5521301768142148</v>
      </c>
      <c r="P321" s="3" cm="1">
        <f t="array" ref="P321">lmb_2(J321)</f>
        <v>0.11995493878056518</v>
      </c>
      <c r="R321" s="3">
        <f t="shared" si="77"/>
        <v>7.5048808919448732E-3</v>
      </c>
      <c r="S321" s="3">
        <f t="shared" si="78"/>
        <v>12.119191752752164</v>
      </c>
      <c r="T321" s="3">
        <f t="shared" si="79"/>
        <v>589.77506126856247</v>
      </c>
      <c r="U321" s="3">
        <f t="shared" si="69"/>
        <v>2788.3451229945235</v>
      </c>
      <c r="V321" s="3">
        <f t="shared" si="70"/>
        <v>0</v>
      </c>
      <c r="W321" s="3">
        <f t="shared" si="80"/>
        <v>562.52505700030758</v>
      </c>
      <c r="Y321" s="3">
        <f t="shared" si="81"/>
        <v>3952.7719428787805</v>
      </c>
      <c r="AA321" s="3">
        <f t="shared" si="82"/>
        <v>1868.664922475419</v>
      </c>
      <c r="AB321" s="3">
        <f t="shared" si="83"/>
        <v>43.228057121219535</v>
      </c>
      <c r="AD321" s="3">
        <f t="shared" si="84"/>
        <v>1.4161461761590203E-5</v>
      </c>
    </row>
    <row r="322" spans="3:30" x14ac:dyDescent="0.25">
      <c r="C322" s="22">
        <v>290</v>
      </c>
      <c r="D322" s="22">
        <v>3937</v>
      </c>
      <c r="F322" s="3">
        <f t="shared" si="71"/>
        <v>12949.066623938766</v>
      </c>
      <c r="G322" s="3">
        <f t="shared" si="72"/>
        <v>1875.1880468085133</v>
      </c>
      <c r="H322" s="3">
        <f t="shared" si="73"/>
        <v>4.6266512770343287</v>
      </c>
      <c r="I322" s="3">
        <f t="shared" si="74"/>
        <v>2.0027069111318752</v>
      </c>
      <c r="J322" s="3">
        <f t="shared" si="75"/>
        <v>-2.0000919491089015</v>
      </c>
      <c r="K322" s="3">
        <f t="shared" si="76"/>
        <v>4.6273975730145541E-6</v>
      </c>
      <c r="L322" s="3" cm="1">
        <f t="array" ref="L322">lmb_2(F322)</f>
        <v>12939.598210565882</v>
      </c>
      <c r="M322" s="3" cm="1">
        <f t="array" ref="M322">lmb_2(G322)</f>
        <v>1867.6535921057614</v>
      </c>
      <c r="N322" s="3" cm="1">
        <f t="array" ref="N322">lmb_2(H322)</f>
        <v>3.4022224091872233</v>
      </c>
      <c r="O322" s="3" cm="1">
        <f t="array" ref="O322">lmb_2(I322)</f>
        <v>1.558794283743808</v>
      </c>
      <c r="P322" s="3" cm="1">
        <f t="array" ref="P322">lmb_2(J322)</f>
        <v>0.12001838558862205</v>
      </c>
      <c r="R322" s="3">
        <f t="shared" si="77"/>
        <v>7.4274566207669169E-3</v>
      </c>
      <c r="S322" s="3">
        <f t="shared" si="78"/>
        <v>11.994123656821268</v>
      </c>
      <c r="T322" s="3">
        <f t="shared" si="79"/>
        <v>583.47950045331038</v>
      </c>
      <c r="U322" s="3">
        <f t="shared" si="69"/>
        <v>2778.775563190939</v>
      </c>
      <c r="V322" s="3">
        <f t="shared" si="70"/>
        <v>0</v>
      </c>
      <c r="W322" s="3">
        <f t="shared" si="80"/>
        <v>564.29850010411496</v>
      </c>
      <c r="Y322" s="3">
        <f t="shared" si="81"/>
        <v>3938.5551194892037</v>
      </c>
      <c r="AA322" s="3">
        <f t="shared" si="82"/>
        <v>2.4183966257010585</v>
      </c>
      <c r="AB322" s="3">
        <f t="shared" si="83"/>
        <v>-1.5551194892036619</v>
      </c>
      <c r="AD322" s="3">
        <f t="shared" si="84"/>
        <v>5.0945535487068972E-7</v>
      </c>
    </row>
    <row r="323" spans="3:30" x14ac:dyDescent="0.25">
      <c r="C323" s="22">
        <v>291</v>
      </c>
      <c r="D323" s="22">
        <v>3936</v>
      </c>
      <c r="F323" s="3">
        <f t="shared" si="71"/>
        <v>13038.517205088398</v>
      </c>
      <c r="G323" s="3">
        <f t="shared" si="72"/>
        <v>1888.1110132827514</v>
      </c>
      <c r="H323" s="3">
        <f t="shared" si="73"/>
        <v>4.661904099544925</v>
      </c>
      <c r="I323" s="3">
        <f t="shared" si="74"/>
        <v>2.0136931688357307</v>
      </c>
      <c r="J323" s="3">
        <f t="shared" si="75"/>
        <v>-1.999497674418717</v>
      </c>
      <c r="K323" s="3">
        <f t="shared" si="76"/>
        <v>4.2982567866461961E-6</v>
      </c>
      <c r="L323" s="3" cm="1">
        <f t="array" ref="L323">lmb_2(F323)</f>
        <v>13029.041905342609</v>
      </c>
      <c r="M323" s="3" cm="1">
        <f t="array" ref="M323">lmb_2(G323)</f>
        <v>1880.5696787253969</v>
      </c>
      <c r="N323" s="3" cm="1">
        <f t="array" ref="N323">lmb_2(H323)</f>
        <v>3.4294919646109907</v>
      </c>
      <c r="O323" s="3" cm="1">
        <f t="array" ref="O323">lmb_2(I323)</f>
        <v>1.5654926207391815</v>
      </c>
      <c r="P323" s="3" cm="1">
        <f t="array" ref="P323">lmb_2(J323)</f>
        <v>0.12008208167274492</v>
      </c>
      <c r="R323" s="3">
        <f t="shared" si="77"/>
        <v>7.3510938289614303E-3</v>
      </c>
      <c r="S323" s="3">
        <f t="shared" si="78"/>
        <v>11.870770404302782</v>
      </c>
      <c r="T323" s="3">
        <f t="shared" si="79"/>
        <v>577.26013517632964</v>
      </c>
      <c r="U323" s="3">
        <f t="shared" si="69"/>
        <v>2769.1778160929725</v>
      </c>
      <c r="V323" s="3">
        <f t="shared" si="70"/>
        <v>0</v>
      </c>
      <c r="W323" s="3">
        <f t="shared" si="80"/>
        <v>566.07194320792223</v>
      </c>
      <c r="Y323" s="3">
        <f t="shared" si="81"/>
        <v>3924.3880202736132</v>
      </c>
      <c r="AA323" s="3">
        <f t="shared" si="82"/>
        <v>134.83807316601889</v>
      </c>
      <c r="AB323" s="3">
        <f t="shared" si="83"/>
        <v>11.611979726386835</v>
      </c>
      <c r="AD323" s="3">
        <f t="shared" si="84"/>
        <v>3.8040711940964657E-6</v>
      </c>
    </row>
    <row r="324" spans="3:30" x14ac:dyDescent="0.25">
      <c r="C324" s="22">
        <v>292</v>
      </c>
      <c r="D324" s="22">
        <v>3969</v>
      </c>
      <c r="F324" s="3">
        <f t="shared" si="71"/>
        <v>13128.275705622365</v>
      </c>
      <c r="G324" s="3">
        <f t="shared" si="72"/>
        <v>1901.0784650116341</v>
      </c>
      <c r="H324" s="3">
        <f t="shared" si="73"/>
        <v>4.6972782742844732</v>
      </c>
      <c r="I324" s="3">
        <f t="shared" si="74"/>
        <v>2.0247172449826292</v>
      </c>
      <c r="J324" s="3">
        <f t="shared" si="75"/>
        <v>-1.9989013540325251</v>
      </c>
      <c r="K324" s="3">
        <f t="shared" si="76"/>
        <v>3.9925273574266051E-6</v>
      </c>
      <c r="L324" s="3" cm="1">
        <f t="array" ref="L324">lmb_2(F324)</f>
        <v>13118.793543137335</v>
      </c>
      <c r="M324" s="3" cm="1">
        <f t="array" ref="M324">lmb_2(G324)</f>
        <v>1893.5302741557862</v>
      </c>
      <c r="N324" s="3" cm="1">
        <f t="array" ref="N324">lmb_2(H324)</f>
        <v>3.4569046852473919</v>
      </c>
      <c r="O324" s="3" cm="1">
        <f t="array" ref="O324">lmb_2(I324)</f>
        <v>1.5722252637138379</v>
      </c>
      <c r="P324" s="3" cm="1">
        <f t="array" ref="P324">lmb_2(J324)</f>
        <v>0.12014602735539744</v>
      </c>
      <c r="R324" s="3">
        <f t="shared" si="77"/>
        <v>7.2757743856617929E-3</v>
      </c>
      <c r="S324" s="3">
        <f t="shared" si="78"/>
        <v>11.749102709575446</v>
      </c>
      <c r="T324" s="3">
        <f t="shared" si="79"/>
        <v>571.11607644496803</v>
      </c>
      <c r="U324" s="3">
        <f t="shared" si="69"/>
        <v>2759.55294507906</v>
      </c>
      <c r="V324" s="3">
        <f t="shared" si="70"/>
        <v>0</v>
      </c>
      <c r="W324" s="3">
        <f t="shared" si="80"/>
        <v>567.8453863117295</v>
      </c>
      <c r="Y324" s="3">
        <f t="shared" si="81"/>
        <v>3910.2707903122459</v>
      </c>
      <c r="AA324" s="3">
        <f t="shared" si="82"/>
        <v>3449.120070548186</v>
      </c>
      <c r="AB324" s="3">
        <f t="shared" si="83"/>
        <v>58.729209687754064</v>
      </c>
      <c r="AD324" s="3">
        <f t="shared" si="84"/>
        <v>1.9239621502056501E-5</v>
      </c>
    </row>
    <row r="325" spans="3:30" x14ac:dyDescent="0.25">
      <c r="C325" s="22">
        <v>293</v>
      </c>
      <c r="D325" s="22">
        <v>3918</v>
      </c>
      <c r="F325" s="3">
        <f t="shared" si="71"/>
        <v>13218.342125540672</v>
      </c>
      <c r="G325" s="3">
        <f t="shared" si="72"/>
        <v>1914.0904019951615</v>
      </c>
      <c r="H325" s="3">
        <f t="shared" si="73"/>
        <v>4.7327738012529732</v>
      </c>
      <c r="I325" s="3">
        <f t="shared" si="74"/>
        <v>2.0357791395725702</v>
      </c>
      <c r="J325" s="3">
        <f t="shared" si="75"/>
        <v>-1.9983029879503253</v>
      </c>
      <c r="K325" s="3">
        <f t="shared" si="76"/>
        <v>3.7085440658927357E-6</v>
      </c>
      <c r="L325" s="3" cm="1">
        <f t="array" ref="L325">lmb_2(F325)</f>
        <v>13208.853123788374</v>
      </c>
      <c r="M325" s="3" cm="1">
        <f t="array" ref="M325">lmb_2(G325)</f>
        <v>1906.5353782364107</v>
      </c>
      <c r="N325" s="3" cm="1">
        <f t="array" ref="N325">lmb_2(H325)</f>
        <v>3.4844605585374233</v>
      </c>
      <c r="O325" s="3" cm="1">
        <f t="array" ref="O325">lmb_2(I325)</f>
        <v>1.578992288253996</v>
      </c>
      <c r="P325" s="3" cm="1">
        <f t="array" ref="P325">lmb_2(J325)</f>
        <v>0.12021022296034219</v>
      </c>
      <c r="R325" s="3">
        <f t="shared" si="77"/>
        <v>7.2014805304008297E-3</v>
      </c>
      <c r="S325" s="3">
        <f t="shared" si="78"/>
        <v>11.62909188500109</v>
      </c>
      <c r="T325" s="3">
        <f t="shared" si="79"/>
        <v>565.04644152983747</v>
      </c>
      <c r="U325" s="3">
        <f t="shared" si="69"/>
        <v>2749.9020031726927</v>
      </c>
      <c r="V325" s="3">
        <f t="shared" si="70"/>
        <v>0</v>
      </c>
      <c r="W325" s="3">
        <f t="shared" si="80"/>
        <v>569.61882941553677</v>
      </c>
      <c r="Y325" s="3">
        <f t="shared" si="81"/>
        <v>3896.2035711921426</v>
      </c>
      <c r="AA325" s="3">
        <f t="shared" si="82"/>
        <v>475.08430877599642</v>
      </c>
      <c r="AB325" s="3">
        <f t="shared" si="83"/>
        <v>21.79642880785741</v>
      </c>
      <c r="AD325" s="3">
        <f t="shared" si="84"/>
        <v>7.1404849918683493E-6</v>
      </c>
    </row>
    <row r="326" spans="3:30" x14ac:dyDescent="0.25">
      <c r="C326" s="22">
        <v>294</v>
      </c>
      <c r="D326" s="22">
        <v>3845</v>
      </c>
      <c r="F326" s="3">
        <f t="shared" si="71"/>
        <v>13308.716464843312</v>
      </c>
      <c r="G326" s="3">
        <f t="shared" si="72"/>
        <v>1927.1468242333333</v>
      </c>
      <c r="H326" s="3">
        <f t="shared" si="73"/>
        <v>4.7683906804504268</v>
      </c>
      <c r="I326" s="3">
        <f t="shared" si="74"/>
        <v>2.0468788526055537</v>
      </c>
      <c r="J326" s="3">
        <f t="shared" si="75"/>
        <v>-1.9977025761721183</v>
      </c>
      <c r="K326" s="3">
        <f t="shared" si="76"/>
        <v>3.4447601374816629E-6</v>
      </c>
      <c r="L326" s="3" cm="1">
        <f t="array" ref="L326">lmb_2(F326)</f>
        <v>13299.220647135695</v>
      </c>
      <c r="M326" s="3" cm="1">
        <f t="array" ref="M326">lmb_2(G326)</f>
        <v>1919.5849908083835</v>
      </c>
      <c r="N326" s="3" cm="1">
        <f t="array" ref="N326">lmb_2(H326)</f>
        <v>3.5121595700471087</v>
      </c>
      <c r="O326" s="3" cm="1">
        <f t="array" ref="O326">lmb_2(I326)</f>
        <v>1.5857937696158346</v>
      </c>
      <c r="P326" s="3" cm="1">
        <f t="array" ref="P326">lmb_2(J326)</f>
        <v>0.12027466881264232</v>
      </c>
      <c r="R326" s="3">
        <f t="shared" si="77"/>
        <v>7.1281948643117958E-3</v>
      </c>
      <c r="S326" s="3">
        <f t="shared" si="78"/>
        <v>11.510709826731485</v>
      </c>
      <c r="T326" s="3">
        <f t="shared" si="79"/>
        <v>559.05035410694927</v>
      </c>
      <c r="U326" s="3">
        <f t="shared" si="69"/>
        <v>2740.2260330091872</v>
      </c>
      <c r="V326" s="3">
        <f t="shared" si="70"/>
        <v>0</v>
      </c>
      <c r="W326" s="3">
        <f t="shared" si="80"/>
        <v>571.39227251934415</v>
      </c>
      <c r="Y326" s="3">
        <f t="shared" si="81"/>
        <v>3882.1865011018367</v>
      </c>
      <c r="AA326" s="3">
        <f t="shared" si="82"/>
        <v>1382.835864196903</v>
      </c>
      <c r="AB326" s="3">
        <f t="shared" si="83"/>
        <v>-37.186501101836711</v>
      </c>
      <c r="AD326" s="3">
        <f t="shared" si="84"/>
        <v>1.2182254962888228E-5</v>
      </c>
    </row>
    <row r="327" spans="3:30" x14ac:dyDescent="0.25">
      <c r="C327" s="22">
        <v>295</v>
      </c>
      <c r="D327" s="22">
        <v>3892</v>
      </c>
      <c r="F327" s="3">
        <f t="shared" si="71"/>
        <v>13399.398723530287</v>
      </c>
      <c r="G327" s="3">
        <f t="shared" si="72"/>
        <v>1940.2477317261496</v>
      </c>
      <c r="H327" s="3">
        <f t="shared" si="73"/>
        <v>4.8041289118768304</v>
      </c>
      <c r="I327" s="3">
        <f t="shared" si="74"/>
        <v>2.0580163840815802</v>
      </c>
      <c r="J327" s="3">
        <f t="shared" si="75"/>
        <v>-1.9971001186979038</v>
      </c>
      <c r="K327" s="3">
        <f t="shared" si="76"/>
        <v>3.1997388176985749E-6</v>
      </c>
      <c r="L327" s="3" cm="1">
        <f t="array" ref="L327">lmb_2(F327)</f>
        <v>13389.896113020895</v>
      </c>
      <c r="M327" s="3" cm="1">
        <f t="array" ref="M327">lmb_2(G327)</f>
        <v>1932.6791117144289</v>
      </c>
      <c r="N327" s="3" cm="1">
        <f t="array" ref="N327">lmb_2(H327)</f>
        <v>3.5400017035129232</v>
      </c>
      <c r="O327" s="3" cm="1">
        <f t="array" ref="O327">lmb_2(I327)</f>
        <v>1.5926297827227853</v>
      </c>
      <c r="P327" s="3" cm="1">
        <f t="array" ref="P327">lmb_2(J327)</f>
        <v>0.12033936523866388</v>
      </c>
      <c r="R327" s="3">
        <f t="shared" si="77"/>
        <v>7.0559003415674639E-3</v>
      </c>
      <c r="S327" s="3">
        <f t="shared" si="78"/>
        <v>11.393929000898799</v>
      </c>
      <c r="T327" s="3">
        <f t="shared" si="79"/>
        <v>553.12694439042241</v>
      </c>
      <c r="U327" s="3">
        <f t="shared" si="69"/>
        <v>2730.5260668053097</v>
      </c>
      <c r="V327" s="3">
        <f t="shared" si="70"/>
        <v>0</v>
      </c>
      <c r="W327" s="3">
        <f t="shared" si="80"/>
        <v>573.16571562315141</v>
      </c>
      <c r="Y327" s="3">
        <f t="shared" si="81"/>
        <v>3868.2197149198628</v>
      </c>
      <c r="AA327" s="3">
        <f t="shared" si="82"/>
        <v>565.50195849259683</v>
      </c>
      <c r="AB327" s="3">
        <f t="shared" si="83"/>
        <v>23.780285080137219</v>
      </c>
      <c r="AD327" s="3">
        <f t="shared" si="84"/>
        <v>7.7903940234401302E-6</v>
      </c>
    </row>
    <row r="328" spans="3:30" x14ac:dyDescent="0.25">
      <c r="C328" s="22">
        <v>296</v>
      </c>
      <c r="D328" s="22">
        <v>3802</v>
      </c>
      <c r="F328" s="3">
        <f t="shared" si="71"/>
        <v>13490.388901601596</v>
      </c>
      <c r="G328" s="3">
        <f t="shared" si="72"/>
        <v>1953.3931244736104</v>
      </c>
      <c r="H328" s="3">
        <f t="shared" si="73"/>
        <v>4.8399884955321859</v>
      </c>
      <c r="I328" s="3">
        <f t="shared" si="74"/>
        <v>2.0691917340006483</v>
      </c>
      <c r="J328" s="3">
        <f t="shared" si="75"/>
        <v>-1.9964956155276818</v>
      </c>
      <c r="K328" s="3">
        <f t="shared" si="76"/>
        <v>2.9721455465319966E-6</v>
      </c>
      <c r="L328" s="3" cm="1">
        <f t="array" ref="L328">lmb_2(F328)</f>
        <v>13480.879521287185</v>
      </c>
      <c r="M328" s="3" cm="1">
        <f t="array" ref="M328">lmb_2(G328)</f>
        <v>1945.8177407988592</v>
      </c>
      <c r="N328" s="3" cm="1">
        <f t="array" ref="N328">lmb_2(H328)</f>
        <v>3.5679869408865499</v>
      </c>
      <c r="O328" s="3" cm="1">
        <f t="array" ref="O328">lmb_2(I328)</f>
        <v>1.5995004021628751</v>
      </c>
      <c r="P328" s="3" cm="1">
        <f t="array" ref="P328">lmb_2(J328)</f>
        <v>0.12040431256607761</v>
      </c>
      <c r="R328" s="3">
        <f t="shared" si="77"/>
        <v>6.9845802610500858E-3</v>
      </c>
      <c r="S328" s="3">
        <f t="shared" si="78"/>
        <v>11.278722430177988</v>
      </c>
      <c r="T328" s="3">
        <f t="shared" si="79"/>
        <v>547.27534925608325</v>
      </c>
      <c r="U328" s="3">
        <f t="shared" si="69"/>
        <v>2720.8031263317234</v>
      </c>
      <c r="V328" s="3">
        <f t="shared" si="70"/>
        <v>0</v>
      </c>
      <c r="W328" s="3">
        <f t="shared" si="80"/>
        <v>574.93915872695868</v>
      </c>
      <c r="Y328" s="3">
        <f t="shared" si="81"/>
        <v>3854.3033442973501</v>
      </c>
      <c r="AA328" s="3">
        <f t="shared" si="82"/>
        <v>2735.6398246871477</v>
      </c>
      <c r="AB328" s="3">
        <f t="shared" si="83"/>
        <v>-52.303344297350122</v>
      </c>
      <c r="AD328" s="3">
        <f t="shared" si="84"/>
        <v>1.7134515395711002E-5</v>
      </c>
    </row>
    <row r="329" spans="3:30" x14ac:dyDescent="0.25">
      <c r="C329" s="22">
        <v>297</v>
      </c>
      <c r="D329" s="22">
        <v>3732</v>
      </c>
      <c r="F329" s="3">
        <f t="shared" si="71"/>
        <v>13581.686999057245</v>
      </c>
      <c r="G329" s="3">
        <f t="shared" si="72"/>
        <v>1966.5830024757154</v>
      </c>
      <c r="H329" s="3">
        <f t="shared" si="73"/>
        <v>4.8759694314164932</v>
      </c>
      <c r="I329" s="3">
        <f t="shared" si="74"/>
        <v>2.0804049023627598</v>
      </c>
      <c r="J329" s="3">
        <f t="shared" si="75"/>
        <v>-1.9958890666614522</v>
      </c>
      <c r="K329" s="3">
        <f t="shared" si="76"/>
        <v>2.7607406894927811E-6</v>
      </c>
      <c r="L329" s="3" cm="1">
        <f t="array" ref="L329">lmb_2(F329)</f>
        <v>13572.170871779364</v>
      </c>
      <c r="M329" s="3" cm="1">
        <f t="array" ref="M329">lmb_2(G329)</f>
        <v>1959.0008779075545</v>
      </c>
      <c r="N329" s="3" cm="1">
        <f t="array" ref="N329">lmb_2(H329)</f>
        <v>3.5961152623789405</v>
      </c>
      <c r="O329" s="3" cm="1">
        <f t="array" ref="O329">lmb_2(I329)</f>
        <v>1.6064057021861278</v>
      </c>
      <c r="P329" s="3" cm="1">
        <f t="array" ref="P329">lmb_2(J329)</f>
        <v>0.12046951112386094</v>
      </c>
      <c r="R329" s="3">
        <f t="shared" si="77"/>
        <v>6.9142182582452392E-3</v>
      </c>
      <c r="S329" s="3">
        <f t="shared" si="78"/>
        <v>11.16506368070992</v>
      </c>
      <c r="T329" s="3">
        <f t="shared" si="79"/>
        <v>541.49471235628607</v>
      </c>
      <c r="U329" s="3">
        <f t="shared" si="69"/>
        <v>2711.0582228881995</v>
      </c>
      <c r="V329" s="3">
        <f t="shared" si="70"/>
        <v>0</v>
      </c>
      <c r="W329" s="3">
        <f t="shared" si="80"/>
        <v>576.71260183076595</v>
      </c>
      <c r="Y329" s="3">
        <f t="shared" si="81"/>
        <v>3840.4375177349602</v>
      </c>
      <c r="AA329" s="3">
        <f t="shared" si="82"/>
        <v>11758.695252519816</v>
      </c>
      <c r="AB329" s="3">
        <f t="shared" si="83"/>
        <v>-108.43751773496024</v>
      </c>
      <c r="AD329" s="3">
        <f t="shared" si="84"/>
        <v>3.5524006008856594E-5</v>
      </c>
    </row>
    <row r="330" spans="3:30" x14ac:dyDescent="0.25">
      <c r="C330" s="22">
        <v>298</v>
      </c>
      <c r="D330" s="22">
        <v>3792</v>
      </c>
      <c r="F330" s="3">
        <f t="shared" si="71"/>
        <v>13673.293015897227</v>
      </c>
      <c r="G330" s="3">
        <f t="shared" si="72"/>
        <v>1979.8173657324651</v>
      </c>
      <c r="H330" s="3">
        <f t="shared" si="73"/>
        <v>4.9120717195297559</v>
      </c>
      <c r="I330" s="3">
        <f t="shared" si="74"/>
        <v>2.0916558891679133</v>
      </c>
      <c r="J330" s="3">
        <f t="shared" si="75"/>
        <v>-1.995280472099215</v>
      </c>
      <c r="K330" s="3">
        <f t="shared" si="76"/>
        <v>2.564372785684859E-6</v>
      </c>
      <c r="L330" s="3" cm="1">
        <f t="array" ref="L330">lmb_2(F330)</f>
        <v>13663.770164343792</v>
      </c>
      <c r="M330" s="3" cm="1">
        <f t="array" ref="M330">lmb_2(G330)</f>
        <v>1972.2285228879418</v>
      </c>
      <c r="N330" s="3" cm="1">
        <f t="array" ref="N330">lmb_2(H330)</f>
        <v>3.6243866465037096</v>
      </c>
      <c r="O330" s="3" cm="1">
        <f t="array" ref="O330">lmb_2(I330)</f>
        <v>1.6133457567020044</v>
      </c>
      <c r="P330" s="3" cm="1">
        <f t="array" ref="P330">lmb_2(J330)</f>
        <v>0.12053496124230002</v>
      </c>
      <c r="R330" s="3">
        <f t="shared" si="77"/>
        <v>6.8447982973528403E-3</v>
      </c>
      <c r="S330" s="3">
        <f t="shared" si="78"/>
        <v>11.052926849374405</v>
      </c>
      <c r="T330" s="3">
        <f t="shared" si="79"/>
        <v>535.78418422625225</v>
      </c>
      <c r="U330" s="3">
        <f t="shared" si="69"/>
        <v>2701.2923572816007</v>
      </c>
      <c r="V330" s="3">
        <f t="shared" si="70"/>
        <v>0</v>
      </c>
      <c r="W330" s="3">
        <f t="shared" si="80"/>
        <v>578.48604493457333</v>
      </c>
      <c r="Y330" s="3">
        <f t="shared" si="81"/>
        <v>3826.6223606544704</v>
      </c>
      <c r="AA330" s="3">
        <f t="shared" si="82"/>
        <v>1198.7078572882208</v>
      </c>
      <c r="AB330" s="3">
        <f t="shared" si="83"/>
        <v>-34.622360654470413</v>
      </c>
      <c r="AD330" s="3">
        <f t="shared" si="84"/>
        <v>1.134224550340919E-5</v>
      </c>
    </row>
    <row r="331" spans="3:30" x14ac:dyDescent="0.25">
      <c r="C331" s="22">
        <v>299</v>
      </c>
      <c r="D331" s="22">
        <v>3747</v>
      </c>
      <c r="F331" s="3">
        <f t="shared" si="71"/>
        <v>13765.206952121547</v>
      </c>
      <c r="G331" s="3">
        <f t="shared" si="72"/>
        <v>1993.0962142438598</v>
      </c>
      <c r="H331" s="3">
        <f t="shared" si="73"/>
        <v>4.9482953598719686</v>
      </c>
      <c r="I331" s="3">
        <f t="shared" si="74"/>
        <v>2.1029446944161094</v>
      </c>
      <c r="J331" s="3">
        <f t="shared" si="75"/>
        <v>-1.9946698318409704</v>
      </c>
      <c r="K331" s="3">
        <f t="shared" si="76"/>
        <v>2.381972276131911E-6</v>
      </c>
      <c r="L331" s="3" cm="1">
        <f t="array" ref="L331">lmb_2(F331)</f>
        <v>13755.677398828382</v>
      </c>
      <c r="M331" s="3" cm="1">
        <f t="array" ref="M331">lmb_2(G331)</f>
        <v>1985.5006755889744</v>
      </c>
      <c r="N331" s="3" cm="1">
        <f t="array" ref="N331">lmb_2(H331)</f>
        <v>3.6528010701198363</v>
      </c>
      <c r="O331" s="3" cm="1">
        <f t="array" ref="O331">lmb_2(I331)</f>
        <v>1.6203206392769076</v>
      </c>
      <c r="P331" s="3" cm="1">
        <f t="array" ref="P331">lmb_2(J331)</f>
        <v>0.12060066325299167</v>
      </c>
      <c r="R331" s="3">
        <f t="shared" si="77"/>
        <v>6.7763046636087395E-3</v>
      </c>
      <c r="S331" s="3">
        <f t="shared" si="78"/>
        <v>10.942286551402564</v>
      </c>
      <c r="T331" s="3">
        <f t="shared" si="79"/>
        <v>530.1429223822413</v>
      </c>
      <c r="U331" s="3">
        <f t="shared" si="69"/>
        <v>2691.5065198065454</v>
      </c>
      <c r="V331" s="3">
        <f t="shared" si="70"/>
        <v>0</v>
      </c>
      <c r="W331" s="3">
        <f t="shared" si="80"/>
        <v>580.2594880383806</v>
      </c>
      <c r="Y331" s="3">
        <f t="shared" si="81"/>
        <v>3812.857995465205</v>
      </c>
      <c r="AA331" s="3">
        <f t="shared" si="82"/>
        <v>4337.2755666949652</v>
      </c>
      <c r="AB331" s="3">
        <f t="shared" si="83"/>
        <v>-65.857995465205022</v>
      </c>
      <c r="AD331" s="3">
        <f t="shared" si="84"/>
        <v>2.1575003518205085E-5</v>
      </c>
    </row>
    <row r="332" spans="3:30" x14ac:dyDescent="0.25">
      <c r="C332" s="22">
        <v>300</v>
      </c>
      <c r="D332" s="22">
        <v>3820</v>
      </c>
      <c r="F332" s="3">
        <f t="shared" si="71"/>
        <v>13857.428807730201</v>
      </c>
      <c r="G332" s="3">
        <f t="shared" si="72"/>
        <v>2006.4195480098988</v>
      </c>
      <c r="H332" s="3">
        <f t="shared" si="73"/>
        <v>4.9846403524431331</v>
      </c>
      <c r="I332" s="3">
        <f t="shared" si="74"/>
        <v>2.1142713181073485</v>
      </c>
      <c r="J332" s="3">
        <f t="shared" si="75"/>
        <v>-1.9940571458867182</v>
      </c>
      <c r="K332" s="3">
        <f t="shared" si="76"/>
        <v>2.2125456782001195E-6</v>
      </c>
      <c r="L332" s="3" cm="1">
        <f t="array" ref="L332">lmb_2(F332)</f>
        <v>13847.892575082558</v>
      </c>
      <c r="M332" s="3" cm="1">
        <f t="array" ref="M332">lmb_2(G332)</f>
        <v>1998.8173358611098</v>
      </c>
      <c r="N332" s="3" cm="1">
        <f t="array" ref="N332">lmb_2(H332)</f>
        <v>3.6813585084737133</v>
      </c>
      <c r="O332" s="3" cm="1">
        <f t="array" ref="O332">lmb_2(I332)</f>
        <v>1.6273304231317309</v>
      </c>
      <c r="P332" s="3" cm="1">
        <f t="array" ref="P332">lmb_2(J332)</f>
        <v>0.1206666174888454</v>
      </c>
      <c r="R332" s="3">
        <f t="shared" si="77"/>
        <v>6.7087219558106901E-3</v>
      </c>
      <c r="S332" s="3">
        <f t="shared" si="78"/>
        <v>10.833117908318499</v>
      </c>
      <c r="T332" s="3">
        <f t="shared" si="79"/>
        <v>524.57009141183892</v>
      </c>
      <c r="U332" s="3">
        <f t="shared" si="69"/>
        <v>2681.7016902287514</v>
      </c>
      <c r="V332" s="3">
        <f t="shared" si="70"/>
        <v>0</v>
      </c>
      <c r="W332" s="3">
        <f t="shared" si="80"/>
        <v>582.03293114218786</v>
      </c>
      <c r="Y332" s="3">
        <f t="shared" si="81"/>
        <v>3799.1445416255979</v>
      </c>
      <c r="AA332" s="3">
        <f t="shared" si="82"/>
        <v>434.95014400642003</v>
      </c>
      <c r="AB332" s="3">
        <f t="shared" si="83"/>
        <v>20.855458374402133</v>
      </c>
      <c r="AD332" s="3">
        <f t="shared" si="84"/>
        <v>6.832224160834546E-6</v>
      </c>
    </row>
    <row r="333" spans="3:30" x14ac:dyDescent="0.25">
      <c r="C333" s="22">
        <v>301</v>
      </c>
      <c r="D333" s="22">
        <v>3804</v>
      </c>
      <c r="F333" s="3">
        <f t="shared" si="71"/>
        <v>13949.958582723197</v>
      </c>
      <c r="G333" s="3">
        <f t="shared" si="72"/>
        <v>2019.7873670305821</v>
      </c>
      <c r="H333" s="3">
        <f t="shared" si="73"/>
        <v>5.0211066972432512</v>
      </c>
      <c r="I333" s="3">
        <f t="shared" si="74"/>
        <v>2.1256357602416291</v>
      </c>
      <c r="J333" s="3">
        <f t="shared" si="75"/>
        <v>-1.9934424142364584</v>
      </c>
      <c r="K333" s="3">
        <f t="shared" si="76"/>
        <v>2.0551701743865836E-6</v>
      </c>
      <c r="L333" s="3" cm="1">
        <f t="array" ref="L333">lmb_2(F333)</f>
        <v>13940.415692957267</v>
      </c>
      <c r="M333" s="3" cm="1">
        <f t="array" ref="M333">lmb_2(G333)</f>
        <v>2012.1785035562921</v>
      </c>
      <c r="N333" s="3" cm="1">
        <f t="array" ref="N333">lmb_2(H333)</f>
        <v>3.7100589352405096</v>
      </c>
      <c r="O333" s="3" cm="1">
        <f t="array" ref="O333">lmb_2(I333)</f>
        <v>1.6343751811394585</v>
      </c>
      <c r="P333" s="3" cm="1">
        <f t="array" ref="P333">lmb_2(J333)</f>
        <v>0.12073282428408556</v>
      </c>
      <c r="R333" s="3">
        <f t="shared" si="77"/>
        <v>6.6420350790424645E-3</v>
      </c>
      <c r="S333" s="3">
        <f t="shared" si="78"/>
        <v>10.72539653620033</v>
      </c>
      <c r="T333" s="3">
        <f t="shared" si="79"/>
        <v>519.06486305665715</v>
      </c>
      <c r="U333" s="3">
        <f t="shared" si="69"/>
        <v>2671.8788377710121</v>
      </c>
      <c r="V333" s="3">
        <f t="shared" si="70"/>
        <v>0</v>
      </c>
      <c r="W333" s="3">
        <f t="shared" si="80"/>
        <v>583.80637424599513</v>
      </c>
      <c r="Y333" s="3">
        <f t="shared" si="81"/>
        <v>3785.4821157001138</v>
      </c>
      <c r="AA333" s="3">
        <f t="shared" si="82"/>
        <v>342.91203894397148</v>
      </c>
      <c r="AB333" s="3">
        <f t="shared" si="83"/>
        <v>18.517884299886191</v>
      </c>
      <c r="AD333" s="3">
        <f t="shared" si="84"/>
        <v>6.0664375843452574E-6</v>
      </c>
    </row>
    <row r="334" spans="3:30" x14ac:dyDescent="0.25">
      <c r="C334" s="22">
        <v>302</v>
      </c>
      <c r="D334" s="22">
        <v>3646</v>
      </c>
      <c r="F334" s="3">
        <f t="shared" si="71"/>
        <v>14042.796277100526</v>
      </c>
      <c r="G334" s="3">
        <f t="shared" si="72"/>
        <v>2033.1996713059102</v>
      </c>
      <c r="H334" s="3">
        <f t="shared" si="73"/>
        <v>5.0576943942723211</v>
      </c>
      <c r="I334" s="3">
        <f t="shared" si="74"/>
        <v>2.1370380208189532</v>
      </c>
      <c r="J334" s="3">
        <f t="shared" si="75"/>
        <v>-1.9928256368901913</v>
      </c>
      <c r="K334" s="3">
        <f t="shared" si="76"/>
        <v>1.9089885860002433E-6</v>
      </c>
      <c r="L334" s="3" cm="1">
        <f t="array" ref="L334">lmb_2(F334)</f>
        <v>14033.24675230492</v>
      </c>
      <c r="M334" s="3" cm="1">
        <f t="array" ref="M334">lmb_2(G334)</f>
        <v>2025.5841785279322</v>
      </c>
      <c r="N334" s="3" cm="1">
        <f t="array" ref="N334">lmb_2(H334)</f>
        <v>3.7389023225648605</v>
      </c>
      <c r="O334" s="3" cm="1">
        <f t="array" ref="O334">lmb_2(I334)</f>
        <v>1.641454985822824</v>
      </c>
      <c r="P334" s="3" cm="1">
        <f t="array" ref="P334">lmb_2(J334)</f>
        <v>0.12079928397425303</v>
      </c>
      <c r="R334" s="3">
        <f t="shared" si="77"/>
        <v>6.5762292375903782E-3</v>
      </c>
      <c r="S334" s="3">
        <f t="shared" si="78"/>
        <v>10.619098534251211</v>
      </c>
      <c r="T334" s="3">
        <f t="shared" si="79"/>
        <v>513.62641628773008</v>
      </c>
      <c r="U334" s="3">
        <f t="shared" si="69"/>
        <v>2662.0389211017491</v>
      </c>
      <c r="V334" s="3">
        <f t="shared" si="70"/>
        <v>0</v>
      </c>
      <c r="W334" s="3">
        <f t="shared" si="80"/>
        <v>585.5798173498024</v>
      </c>
      <c r="Y334" s="3">
        <f t="shared" si="81"/>
        <v>3771.8708314117589</v>
      </c>
      <c r="AA334" s="3">
        <f t="shared" si="82"/>
        <v>15843.46620028743</v>
      </c>
      <c r="AB334" s="3">
        <f t="shared" si="83"/>
        <v>-125.8708314117589</v>
      </c>
      <c r="AD334" s="3">
        <f t="shared" si="84"/>
        <v>4.123513950531448E-5</v>
      </c>
    </row>
    <row r="335" spans="3:30" x14ac:dyDescent="0.25">
      <c r="C335" s="22">
        <v>303</v>
      </c>
      <c r="D335" s="22">
        <v>3711</v>
      </c>
      <c r="F335" s="3">
        <f t="shared" si="71"/>
        <v>14135.941890862188</v>
      </c>
      <c r="G335" s="3">
        <f t="shared" si="72"/>
        <v>2046.6564608358822</v>
      </c>
      <c r="H335" s="3">
        <f t="shared" si="73"/>
        <v>5.0944034435303394</v>
      </c>
      <c r="I335" s="3">
        <f t="shared" si="74"/>
        <v>2.1484780998393198</v>
      </c>
      <c r="J335" s="3">
        <f t="shared" si="75"/>
        <v>-1.9922068138479165</v>
      </c>
      <c r="K335" s="3">
        <f t="shared" si="76"/>
        <v>1.7732047043583186E-6</v>
      </c>
      <c r="L335" s="3" cm="1">
        <f t="array" ref="L335">lmb_2(F335)</f>
        <v>14126.385752979404</v>
      </c>
      <c r="M335" s="3" cm="1">
        <f t="array" ref="M335">lmb_2(G335)</f>
        <v>2039.034360630887</v>
      </c>
      <c r="N335" s="3" cm="1">
        <f t="array" ref="N335">lmb_2(H335)</f>
        <v>3.7678886411009023</v>
      </c>
      <c r="O335" s="3" cm="1">
        <f t="array" ref="O335">lmb_2(I335)</f>
        <v>1.6485699093520121</v>
      </c>
      <c r="P335" s="3" cm="1">
        <f t="array" ref="P335">lmb_2(J335)</f>
        <v>0.12086599689620767</v>
      </c>
      <c r="R335" s="3">
        <f t="shared" si="77"/>
        <v>6.5112899280463515E-3</v>
      </c>
      <c r="S335" s="3">
        <f t="shared" si="78"/>
        <v>10.51420047367114</v>
      </c>
      <c r="T335" s="3">
        <f t="shared" si="79"/>
        <v>508.25393737386952</v>
      </c>
      <c r="U335" s="3">
        <f t="shared" si="69"/>
        <v>2652.1828883261351</v>
      </c>
      <c r="V335" s="3">
        <f t="shared" si="70"/>
        <v>0</v>
      </c>
      <c r="W335" s="3">
        <f t="shared" si="80"/>
        <v>587.35326045360978</v>
      </c>
      <c r="Y335" s="3">
        <f t="shared" si="81"/>
        <v>3758.3107996904182</v>
      </c>
      <c r="AA335" s="3">
        <f t="shared" si="82"/>
        <v>2238.3117673468755</v>
      </c>
      <c r="AB335" s="3">
        <f t="shared" si="83"/>
        <v>-47.310799690418207</v>
      </c>
      <c r="AD335" s="3">
        <f t="shared" si="84"/>
        <v>1.5498963528417063E-5</v>
      </c>
    </row>
    <row r="336" spans="3:30" x14ac:dyDescent="0.25">
      <c r="C336" s="22">
        <v>304</v>
      </c>
      <c r="D336" s="22">
        <v>3768</v>
      </c>
      <c r="F336" s="3">
        <f t="shared" si="71"/>
        <v>14229.395424008188</v>
      </c>
      <c r="G336" s="3">
        <f t="shared" si="72"/>
        <v>2060.1577356204994</v>
      </c>
      <c r="H336" s="3">
        <f t="shared" si="73"/>
        <v>5.1312338450173147</v>
      </c>
      <c r="I336" s="3">
        <f t="shared" si="74"/>
        <v>2.1599559973027289</v>
      </c>
      <c r="J336" s="3">
        <f t="shared" si="75"/>
        <v>-1.9915859451096343</v>
      </c>
      <c r="K336" s="3">
        <f t="shared" si="76"/>
        <v>1.6470789540687545E-6</v>
      </c>
      <c r="L336" s="3" cm="1">
        <f t="array" ref="L336">lmb_2(F336)</f>
        <v>14219.83269483605</v>
      </c>
      <c r="M336" s="3" cm="1">
        <f t="array" ref="M336">lmb_2(G336)</f>
        <v>2052.5290497214428</v>
      </c>
      <c r="N336" s="3" cm="1">
        <f t="array" ref="N336">lmb_2(H336)</f>
        <v>3.7970178600516511</v>
      </c>
      <c r="O336" s="3" cm="1">
        <f t="array" ref="O336">lmb_2(I336)</f>
        <v>1.6557200235424185</v>
      </c>
      <c r="P336" s="3" cm="1">
        <f t="array" ref="P336">lmb_2(J336)</f>
        <v>0.12093296338813</v>
      </c>
      <c r="R336" s="3">
        <f t="shared" si="77"/>
        <v>6.4472029325921562E-3</v>
      </c>
      <c r="S336" s="3">
        <f t="shared" si="78"/>
        <v>10.41067938682062</v>
      </c>
      <c r="T336" s="3">
        <f t="shared" si="79"/>
        <v>502.94661994325509</v>
      </c>
      <c r="U336" s="3">
        <f t="shared" si="69"/>
        <v>2642.311676979713</v>
      </c>
      <c r="V336" s="3">
        <f t="shared" si="70"/>
        <v>0</v>
      </c>
      <c r="W336" s="3">
        <f t="shared" si="80"/>
        <v>589.12670355741704</v>
      </c>
      <c r="Y336" s="3">
        <f t="shared" si="81"/>
        <v>3744.8021287172173</v>
      </c>
      <c r="AA336" s="3">
        <f t="shared" si="82"/>
        <v>538.14123205255294</v>
      </c>
      <c r="AB336" s="3">
        <f t="shared" si="83"/>
        <v>23.197871282782671</v>
      </c>
      <c r="AD336" s="3">
        <f t="shared" si="84"/>
        <v>7.5995959337288452E-6</v>
      </c>
    </row>
    <row r="337" spans="3:30" x14ac:dyDescent="0.25">
      <c r="C337" s="22">
        <v>305</v>
      </c>
      <c r="D337" s="22">
        <v>3657</v>
      </c>
      <c r="F337" s="3">
        <f t="shared" si="71"/>
        <v>14323.156876538522</v>
      </c>
      <c r="G337" s="3">
        <f t="shared" si="72"/>
        <v>2073.7034956597613</v>
      </c>
      <c r="H337" s="3">
        <f t="shared" si="73"/>
        <v>5.1681855987332401</v>
      </c>
      <c r="I337" s="3">
        <f t="shared" si="74"/>
        <v>2.1714717132091805</v>
      </c>
      <c r="J337" s="3">
        <f t="shared" si="75"/>
        <v>-1.9909630306753445</v>
      </c>
      <c r="K337" s="3">
        <f t="shared" si="76"/>
        <v>1.5299243647776959E-6</v>
      </c>
      <c r="L337" s="3" cm="1">
        <f t="array" ref="L337">lmb_2(F337)</f>
        <v>14313.587577731612</v>
      </c>
      <c r="M337" s="3" cm="1">
        <f t="array" ref="M337">lmb_2(G337)</f>
        <v>2066.068245657294</v>
      </c>
      <c r="N337" s="3" cm="1">
        <f t="array" ref="N337">lmb_2(H337)</f>
        <v>3.8262899472076892</v>
      </c>
      <c r="O337" s="3" cm="1">
        <f t="array" ref="O337">lmb_2(I337)</f>
        <v>1.6629053998524597</v>
      </c>
      <c r="P337" s="3" cm="1">
        <f t="array" ref="P337">lmb_2(J337)</f>
        <v>0.12100018378952347</v>
      </c>
      <c r="R337" s="3">
        <f t="shared" si="77"/>
        <v>6.3839543124593907E-3</v>
      </c>
      <c r="S337" s="3">
        <f t="shared" si="78"/>
        <v>10.308512756667675</v>
      </c>
      <c r="T337" s="3">
        <f t="shared" si="79"/>
        <v>497.70366503852279</v>
      </c>
      <c r="U337" s="3">
        <f t="shared" si="69"/>
        <v>2632.4262140244928</v>
      </c>
      <c r="V337" s="3">
        <f t="shared" si="70"/>
        <v>0</v>
      </c>
      <c r="W337" s="3">
        <f t="shared" si="80"/>
        <v>590.90014666122431</v>
      </c>
      <c r="Y337" s="3">
        <f t="shared" si="81"/>
        <v>3731.3449239651445</v>
      </c>
      <c r="AA337" s="3">
        <f t="shared" si="82"/>
        <v>5527.1677193831192</v>
      </c>
      <c r="AB337" s="3">
        <f t="shared" si="83"/>
        <v>-74.344923965144517</v>
      </c>
      <c r="AD337" s="3">
        <f t="shared" si="84"/>
        <v>2.4355311527149729E-5</v>
      </c>
    </row>
    <row r="338" spans="3:30" x14ac:dyDescent="0.25">
      <c r="C338" s="22">
        <v>306</v>
      </c>
      <c r="D338" s="22">
        <v>3656</v>
      </c>
      <c r="F338" s="3">
        <f t="shared" si="71"/>
        <v>14417.226248453197</v>
      </c>
      <c r="G338" s="3">
        <f t="shared" si="72"/>
        <v>2087.2937409536671</v>
      </c>
      <c r="H338" s="3">
        <f t="shared" si="73"/>
        <v>5.2052587046781174</v>
      </c>
      <c r="I338" s="3">
        <f t="shared" si="74"/>
        <v>2.1830252475586738</v>
      </c>
      <c r="J338" s="3">
        <f t="shared" si="75"/>
        <v>-1.9903380705450471</v>
      </c>
      <c r="K338" s="3">
        <f t="shared" si="76"/>
        <v>1.421102829441373E-6</v>
      </c>
      <c r="L338" s="3" cm="1">
        <f t="array" ref="L338">lmb_2(F338)</f>
        <v>14407.650401524263</v>
      </c>
      <c r="M338" s="3" cm="1">
        <f t="array" ref="M338">lmb_2(G338)</f>
        <v>2079.6519482975255</v>
      </c>
      <c r="N338" s="3" cm="1">
        <f t="array" ref="N338">lmb_2(H338)</f>
        <v>3.8557048689852436</v>
      </c>
      <c r="O338" s="3" cm="1">
        <f t="array" ref="O338">lmb_2(I338)</f>
        <v>1.6701261093814332</v>
      </c>
      <c r="P338" s="3" cm="1">
        <f t="array" ref="P338">lmb_2(J338)</f>
        <v>0.12106765844121634</v>
      </c>
      <c r="R338" s="3">
        <f t="shared" si="77"/>
        <v>6.3215304015600843E-3</v>
      </c>
      <c r="S338" s="3">
        <f t="shared" si="78"/>
        <v>10.207678506509904</v>
      </c>
      <c r="T338" s="3">
        <f t="shared" si="79"/>
        <v>492.52428116558997</v>
      </c>
      <c r="U338" s="3">
        <f t="shared" si="69"/>
        <v>2622.5274158474872</v>
      </c>
      <c r="V338" s="3">
        <f t="shared" si="70"/>
        <v>0</v>
      </c>
      <c r="W338" s="3">
        <f t="shared" si="80"/>
        <v>592.67358976503158</v>
      </c>
      <c r="Y338" s="3">
        <f t="shared" si="81"/>
        <v>3717.9392882361226</v>
      </c>
      <c r="AA338" s="3">
        <f t="shared" si="82"/>
        <v>3836.4754271974748</v>
      </c>
      <c r="AB338" s="3">
        <f t="shared" si="83"/>
        <v>-61.939288236122593</v>
      </c>
      <c r="AD338" s="3">
        <f t="shared" si="84"/>
        <v>2.0291239540011463E-5</v>
      </c>
    </row>
    <row r="339" spans="3:30" x14ac:dyDescent="0.25">
      <c r="C339" s="22">
        <v>307</v>
      </c>
      <c r="D339" s="22">
        <v>3702</v>
      </c>
      <c r="F339" s="3">
        <f t="shared" si="71"/>
        <v>14511.603539752203</v>
      </c>
      <c r="G339" s="3">
        <f t="shared" si="72"/>
        <v>2100.9284715022181</v>
      </c>
      <c r="H339" s="3">
        <f t="shared" si="73"/>
        <v>5.2424531628519482</v>
      </c>
      <c r="I339" s="3">
        <f t="shared" si="74"/>
        <v>2.1946166003512104</v>
      </c>
      <c r="J339" s="3">
        <f t="shared" si="75"/>
        <v>-1.9897110647187424</v>
      </c>
      <c r="K339" s="3">
        <f t="shared" si="76"/>
        <v>1.3200216287422257E-6</v>
      </c>
      <c r="L339" s="3" cm="1">
        <f t="array" ref="L339">lmb_2(F339)</f>
        <v>14502.021166073542</v>
      </c>
      <c r="M339" s="3" cm="1">
        <f t="array" ref="M339">lmb_2(G339)</f>
        <v>2093.2801575025974</v>
      </c>
      <c r="N339" s="3" cm="1">
        <f t="array" ref="N339">lmb_2(H339)</f>
        <v>3.8852625904635798</v>
      </c>
      <c r="O339" s="3" cm="1">
        <f t="array" ref="O339">lmb_2(I339)</f>
        <v>1.6773822228674338</v>
      </c>
      <c r="P339" s="3" cm="1">
        <f t="array" ref="P339">lmb_2(J339)</f>
        <v>0.12113538768536379</v>
      </c>
      <c r="R339" s="3">
        <f t="shared" si="77"/>
        <v>6.2599178002829634E-3</v>
      </c>
      <c r="S339" s="3">
        <f t="shared" si="78"/>
        <v>10.108154989963396</v>
      </c>
      <c r="T339" s="3">
        <f t="shared" si="79"/>
        <v>487.4076843364814</v>
      </c>
      <c r="U339" s="3">
        <f t="shared" si="69"/>
        <v>2612.6161882616266</v>
      </c>
      <c r="V339" s="3">
        <f t="shared" si="70"/>
        <v>0</v>
      </c>
      <c r="W339" s="3">
        <f t="shared" si="80"/>
        <v>594.44703286883896</v>
      </c>
      <c r="Y339" s="3">
        <f t="shared" si="81"/>
        <v>3704.5853216947321</v>
      </c>
      <c r="AA339" s="3">
        <f t="shared" si="82"/>
        <v>6.6838882652524658</v>
      </c>
      <c r="AB339" s="3">
        <f t="shared" si="83"/>
        <v>-2.5853216947321016</v>
      </c>
      <c r="AD339" s="3">
        <f t="shared" si="84"/>
        <v>8.4694841173850447E-7</v>
      </c>
    </row>
    <row r="340" spans="3:30" x14ac:dyDescent="0.25">
      <c r="C340" s="22">
        <v>308</v>
      </c>
      <c r="D340" s="22">
        <v>3717</v>
      </c>
      <c r="F340" s="3">
        <f t="shared" si="71"/>
        <v>14606.288750435549</v>
      </c>
      <c r="G340" s="3">
        <f t="shared" si="72"/>
        <v>2114.6076873054135</v>
      </c>
      <c r="H340" s="3">
        <f t="shared" si="73"/>
        <v>5.2797689732547308</v>
      </c>
      <c r="I340" s="3">
        <f t="shared" si="74"/>
        <v>2.2062457715867896</v>
      </c>
      <c r="J340" s="3">
        <f t="shared" si="75"/>
        <v>-1.98908201319643</v>
      </c>
      <c r="K340" s="3">
        <f t="shared" si="76"/>
        <v>1.2261302027188473E-6</v>
      </c>
      <c r="L340" s="3" cm="1">
        <f t="array" ref="L340">lmb_2(F340)</f>
        <v>14596.699871240386</v>
      </c>
      <c r="M340" s="3" cm="1">
        <f t="array" ref="M340">lmb_2(G340)</f>
        <v>2106.9528731343225</v>
      </c>
      <c r="N340" s="3" cm="1">
        <f t="array" ref="N340">lmb_2(H340)</f>
        <v>3.9149630754217641</v>
      </c>
      <c r="O340" s="3" cm="1">
        <f t="array" ref="O340">lmb_2(I340)</f>
        <v>1.684673810685315</v>
      </c>
      <c r="P340" s="3" cm="1">
        <f t="array" ref="P340">lmb_2(J340)</f>
        <v>0.12120337186545009</v>
      </c>
      <c r="R340" s="3">
        <f t="shared" si="77"/>
        <v>6.199103369450433E-3</v>
      </c>
      <c r="S340" s="3">
        <f t="shared" si="78"/>
        <v>10.009920981211026</v>
      </c>
      <c r="T340" s="3">
        <f t="shared" si="79"/>
        <v>482.35309810638483</v>
      </c>
      <c r="U340" s="3">
        <f t="shared" si="69"/>
        <v>2602.693426509044</v>
      </c>
      <c r="V340" s="3">
        <f t="shared" si="70"/>
        <v>0</v>
      </c>
      <c r="W340" s="3">
        <f t="shared" si="80"/>
        <v>596.22047597264623</v>
      </c>
      <c r="Y340" s="3">
        <f t="shared" si="81"/>
        <v>3691.2831218987862</v>
      </c>
      <c r="AA340" s="3">
        <f t="shared" si="82"/>
        <v>661.35781927268738</v>
      </c>
      <c r="AB340" s="3">
        <f t="shared" si="83"/>
        <v>25.716878101213752</v>
      </c>
      <c r="AD340" s="3">
        <f t="shared" si="84"/>
        <v>8.4248196683131574E-6</v>
      </c>
    </row>
    <row r="341" spans="3:30" x14ac:dyDescent="0.25">
      <c r="C341" s="22">
        <v>309</v>
      </c>
      <c r="D341" s="22">
        <v>3731</v>
      </c>
      <c r="F341" s="3">
        <f t="shared" si="71"/>
        <v>14701.281880503229</v>
      </c>
      <c r="G341" s="3">
        <f t="shared" si="72"/>
        <v>2128.3313883632532</v>
      </c>
      <c r="H341" s="3">
        <f t="shared" si="73"/>
        <v>5.3172061358864635</v>
      </c>
      <c r="I341" s="3">
        <f t="shared" si="74"/>
        <v>2.2179127612654113</v>
      </c>
      <c r="J341" s="3">
        <f t="shared" si="75"/>
        <v>-1.9884509159781101</v>
      </c>
      <c r="K341" s="3">
        <f t="shared" si="76"/>
        <v>1.1389171520256547E-6</v>
      </c>
      <c r="L341" s="3" cm="1">
        <f t="array" ref="L341">lmb_2(F341)</f>
        <v>14691.686516887063</v>
      </c>
      <c r="M341" s="3" cm="1">
        <f t="array" ref="M341">lmb_2(G341)</f>
        <v>2120.6700950558534</v>
      </c>
      <c r="N341" s="3" cm="1">
        <f t="array" ref="N341">lmb_2(H341)</f>
        <v>3.9448062863747828</v>
      </c>
      <c r="O341" s="3" cm="1">
        <f t="array" ref="O341">lmb_2(I341)</f>
        <v>1.6920009428447091</v>
      </c>
      <c r="P341" s="3" cm="1">
        <f t="array" ref="P341">lmb_2(J341)</f>
        <v>0.12127161132629061</v>
      </c>
      <c r="R341" s="3">
        <f t="shared" si="77"/>
        <v>6.1390742244317766E-3</v>
      </c>
      <c r="S341" s="3">
        <f t="shared" si="78"/>
        <v>9.9129556655022899</v>
      </c>
      <c r="T341" s="3">
        <f t="shared" si="79"/>
        <v>477.35975360517068</v>
      </c>
      <c r="U341" s="3">
        <f t="shared" si="69"/>
        <v>2592.7600152666555</v>
      </c>
      <c r="V341" s="3">
        <f t="shared" si="70"/>
        <v>0</v>
      </c>
      <c r="W341" s="3">
        <f t="shared" si="80"/>
        <v>597.99391907645349</v>
      </c>
      <c r="Y341" s="3">
        <f t="shared" si="81"/>
        <v>3678.0327838269236</v>
      </c>
      <c r="AA341" s="3">
        <f t="shared" si="82"/>
        <v>2805.5259891254054</v>
      </c>
      <c r="AB341" s="3">
        <f t="shared" si="83"/>
        <v>52.967216173076395</v>
      </c>
      <c r="AD341" s="3">
        <f t="shared" si="84"/>
        <v>1.7351999058146477E-5</v>
      </c>
    </row>
    <row r="342" spans="3:30" x14ac:dyDescent="0.25">
      <c r="C342" s="22">
        <v>310</v>
      </c>
      <c r="D342" s="22">
        <v>3595</v>
      </c>
      <c r="F342" s="3">
        <f t="shared" si="71"/>
        <v>14796.582929955248</v>
      </c>
      <c r="G342" s="3">
        <f t="shared" si="72"/>
        <v>2142.0995746757371</v>
      </c>
      <c r="H342" s="3">
        <f t="shared" si="73"/>
        <v>5.3547646507471498</v>
      </c>
      <c r="I342" s="3">
        <f t="shared" si="74"/>
        <v>2.2296175693870754</v>
      </c>
      <c r="J342" s="3">
        <f t="shared" si="75"/>
        <v>-1.9878177730637827</v>
      </c>
      <c r="K342" s="3">
        <f t="shared" si="76"/>
        <v>1.0579074524890906E-6</v>
      </c>
      <c r="L342" s="3" cm="1">
        <f t="array" ref="L342">lmb_2(F342)</f>
        <v>14786.981102877191</v>
      </c>
      <c r="M342" s="3" cm="1">
        <f t="array" ref="M342">lmb_2(G342)</f>
        <v>2134.431823131662</v>
      </c>
      <c r="N342" s="3" cm="1">
        <f t="array" ref="N342">lmb_2(H342)</f>
        <v>3.9747921846090337</v>
      </c>
      <c r="O342" s="3" cm="1">
        <f t="array" ref="O342">lmb_2(I342)</f>
        <v>1.6993636889880956</v>
      </c>
      <c r="P342" s="3" cm="1">
        <f t="array" ref="P342">lmb_2(J342)</f>
        <v>0.12134010641403374</v>
      </c>
      <c r="R342" s="3">
        <f t="shared" si="77"/>
        <v>6.0798177294078774E-3</v>
      </c>
      <c r="S342" s="3">
        <f t="shared" si="78"/>
        <v>9.8172386298976022</v>
      </c>
      <c r="T342" s="3">
        <f t="shared" si="79"/>
        <v>472.42688956360627</v>
      </c>
      <c r="U342" s="3">
        <f t="shared" si="69"/>
        <v>2582.8168286540217</v>
      </c>
      <c r="V342" s="3">
        <f t="shared" si="70"/>
        <v>0</v>
      </c>
      <c r="W342" s="3">
        <f t="shared" si="80"/>
        <v>599.76736218026076</v>
      </c>
      <c r="Y342" s="3">
        <f t="shared" si="81"/>
        <v>3664.8343999034228</v>
      </c>
      <c r="AA342" s="3">
        <f t="shared" si="82"/>
        <v>4876.8434098711732</v>
      </c>
      <c r="AB342" s="3">
        <f t="shared" si="83"/>
        <v>-69.834399903422764</v>
      </c>
      <c r="AD342" s="3">
        <f t="shared" si="84"/>
        <v>2.2877669035707516E-5</v>
      </c>
    </row>
    <row r="343" spans="3:30" x14ac:dyDescent="0.25">
      <c r="C343" s="22">
        <v>311</v>
      </c>
      <c r="D343" s="22">
        <v>3512</v>
      </c>
      <c r="F343" s="3">
        <f t="shared" si="71"/>
        <v>14892.1918987916</v>
      </c>
      <c r="G343" s="3">
        <f t="shared" si="72"/>
        <v>2155.9122462428659</v>
      </c>
      <c r="H343" s="3">
        <f t="shared" si="73"/>
        <v>5.3924445178367879</v>
      </c>
      <c r="I343" s="3">
        <f t="shared" si="74"/>
        <v>2.2413601959517822</v>
      </c>
      <c r="J343" s="3">
        <f t="shared" si="75"/>
        <v>-1.9871825844534479</v>
      </c>
      <c r="K343" s="3">
        <f t="shared" si="76"/>
        <v>9.8265986778883091E-7</v>
      </c>
      <c r="L343" s="3" cm="1">
        <f t="array" ref="L343">lmb_2(F343)</f>
        <v>14882.583629075698</v>
      </c>
      <c r="M343" s="3" cm="1">
        <f t="array" ref="M343">lmb_2(G343)</f>
        <v>2148.2380572275242</v>
      </c>
      <c r="N343" s="3" cm="1">
        <f t="array" ref="N343">lmb_2(H343)</f>
        <v>4.0049207302171697</v>
      </c>
      <c r="O343" s="3" cm="1">
        <f t="array" ref="O343">lmb_2(I343)</f>
        <v>1.706762118388921</v>
      </c>
      <c r="P343" s="3" cm="1">
        <f t="array" ref="P343">lmb_2(J343)</f>
        <v>0.12140885747616317</v>
      </c>
      <c r="R343" s="3">
        <f t="shared" si="77"/>
        <v>6.0213214917832093E-3</v>
      </c>
      <c r="S343" s="3">
        <f t="shared" si="78"/>
        <v>9.7227498542499404</v>
      </c>
      <c r="T343" s="3">
        <f t="shared" si="79"/>
        <v>467.55375233448137</v>
      </c>
      <c r="U343" s="3">
        <f t="shared" si="69"/>
        <v>2572.8647302434424</v>
      </c>
      <c r="V343" s="3">
        <f t="shared" si="70"/>
        <v>0</v>
      </c>
      <c r="W343" s="3">
        <f t="shared" si="80"/>
        <v>601.54080528406803</v>
      </c>
      <c r="Y343" s="3">
        <f t="shared" si="81"/>
        <v>3651.6880600203936</v>
      </c>
      <c r="AA343" s="3">
        <f t="shared" si="82"/>
        <v>19512.754112261071</v>
      </c>
      <c r="AB343" s="3">
        <f t="shared" si="83"/>
        <v>-139.68806002039355</v>
      </c>
      <c r="AD343" s="3">
        <f t="shared" si="84"/>
        <v>4.5761647695206717E-5</v>
      </c>
    </row>
    <row r="344" spans="3:30" x14ac:dyDescent="0.25">
      <c r="C344" s="22">
        <v>312</v>
      </c>
      <c r="D344" s="22">
        <v>3637</v>
      </c>
      <c r="F344" s="3">
        <f t="shared" si="71"/>
        <v>14988.108787012286</v>
      </c>
      <c r="G344" s="3">
        <f t="shared" si="72"/>
        <v>2169.7694030646394</v>
      </c>
      <c r="H344" s="3">
        <f t="shared" si="73"/>
        <v>5.4302457371553796</v>
      </c>
      <c r="I344" s="3">
        <f t="shared" si="74"/>
        <v>2.2531406409595309</v>
      </c>
      <c r="J344" s="3">
        <f t="shared" si="75"/>
        <v>-1.9865453501471055</v>
      </c>
      <c r="K344" s="3">
        <f t="shared" si="76"/>
        <v>9.1276454617160072E-7</v>
      </c>
      <c r="L344" s="3" cm="1">
        <f t="array" ref="L344">lmb_2(F344)</f>
        <v>14978.494095348817</v>
      </c>
      <c r="M344" s="3" cm="1">
        <f t="array" ref="M344">lmb_2(G344)</f>
        <v>2162.0887972105043</v>
      </c>
      <c r="N344" s="3" cm="1">
        <f t="array" ref="N344">lmb_2(H344)</f>
        <v>4.0351918821323371</v>
      </c>
      <c r="O344" s="3" cm="1">
        <f t="array" ref="O344">lmb_2(I344)</f>
        <v>1.7141962999497717</v>
      </c>
      <c r="P344" s="3" cm="1">
        <f t="array" ref="P344">lmb_2(J344)</f>
        <v>0.12147786486149993</v>
      </c>
      <c r="R344" s="3">
        <f t="shared" si="77"/>
        <v>5.9635733567407773E-3</v>
      </c>
      <c r="S344" s="3">
        <f t="shared" si="78"/>
        <v>9.6294697024169924</v>
      </c>
      <c r="T344" s="3">
        <f t="shared" si="79"/>
        <v>462.73959590886079</v>
      </c>
      <c r="U344" s="3">
        <f t="shared" si="69"/>
        <v>2562.9045730722351</v>
      </c>
      <c r="V344" s="3">
        <f t="shared" si="70"/>
        <v>0</v>
      </c>
      <c r="W344" s="3">
        <f t="shared" si="80"/>
        <v>603.31424838787541</v>
      </c>
      <c r="Y344" s="3">
        <f t="shared" si="81"/>
        <v>3638.5938515575094</v>
      </c>
      <c r="AA344" s="3">
        <f t="shared" si="82"/>
        <v>2.5403627873752179</v>
      </c>
      <c r="AB344" s="3">
        <f t="shared" si="83"/>
        <v>-1.5938515575094243</v>
      </c>
      <c r="AD344" s="3">
        <f t="shared" si="84"/>
        <v>5.2214393587078531E-7</v>
      </c>
    </row>
    <row r="345" spans="3:30" x14ac:dyDescent="0.25">
      <c r="C345" s="22">
        <v>313</v>
      </c>
      <c r="D345" s="22">
        <v>3682</v>
      </c>
      <c r="F345" s="3">
        <f t="shared" si="71"/>
        <v>15084.33359461731</v>
      </c>
      <c r="G345" s="3">
        <f t="shared" si="72"/>
        <v>2183.6710451410572</v>
      </c>
      <c r="H345" s="3">
        <f t="shared" si="73"/>
        <v>5.4681683087029231</v>
      </c>
      <c r="I345" s="3">
        <f t="shared" si="74"/>
        <v>2.2649589044103227</v>
      </c>
      <c r="J345" s="3">
        <f t="shared" si="75"/>
        <v>-1.9859060701447555</v>
      </c>
      <c r="K345" s="3">
        <f t="shared" si="76"/>
        <v>8.4784078810765704E-7</v>
      </c>
      <c r="L345" s="3" cm="1">
        <f t="array" ref="L345">lmb_2(F345)</f>
        <v>15074.712501564069</v>
      </c>
      <c r="M345" s="3" cm="1">
        <f t="array" ref="M345">lmb_2(G345)</f>
        <v>2175.9840429489345</v>
      </c>
      <c r="N345" s="3" cm="1">
        <f t="array" ref="N345">lmb_2(H345)</f>
        <v>4.0656055981617802</v>
      </c>
      <c r="O345" s="3" cm="1">
        <f t="array" ref="O345">lmb_2(I345)</f>
        <v>1.7216663022005996</v>
      </c>
      <c r="P345" s="3" cm="1">
        <f t="array" ref="P345">lmb_2(J345)</f>
        <v>0.12154712892020447</v>
      </c>
      <c r="R345" s="3">
        <f t="shared" si="77"/>
        <v>5.9065614019359622E-3</v>
      </c>
      <c r="S345" s="3">
        <f t="shared" si="78"/>
        <v>9.5373789136972782</v>
      </c>
      <c r="T345" s="3">
        <f t="shared" si="79"/>
        <v>457.98368192767094</v>
      </c>
      <c r="U345" s="3">
        <f t="shared" si="69"/>
        <v>2552.9371996571676</v>
      </c>
      <c r="V345" s="3">
        <f t="shared" si="70"/>
        <v>0</v>
      </c>
      <c r="W345" s="3">
        <f t="shared" si="80"/>
        <v>605.08769149168268</v>
      </c>
      <c r="Y345" s="3">
        <f t="shared" si="81"/>
        <v>3625.5518593994611</v>
      </c>
      <c r="AA345" s="3">
        <f t="shared" si="82"/>
        <v>3186.3925772582043</v>
      </c>
      <c r="AB345" s="3">
        <f t="shared" si="83"/>
        <v>56.448140600538864</v>
      </c>
      <c r="AD345" s="3">
        <f t="shared" si="84"/>
        <v>1.8492345894375149E-5</v>
      </c>
    </row>
    <row r="346" spans="3:30" x14ac:dyDescent="0.25">
      <c r="C346" s="22">
        <v>314</v>
      </c>
      <c r="D346" s="22">
        <v>3623</v>
      </c>
      <c r="F346" s="3">
        <f t="shared" si="71"/>
        <v>15180.866321606671</v>
      </c>
      <c r="G346" s="3">
        <f t="shared" si="72"/>
        <v>2197.6171724721198</v>
      </c>
      <c r="H346" s="3">
        <f t="shared" si="73"/>
        <v>5.5062122324794185</v>
      </c>
      <c r="I346" s="3">
        <f t="shared" si="74"/>
        <v>2.2768149863041574</v>
      </c>
      <c r="J346" s="3">
        <f t="shared" si="75"/>
        <v>-1.9852647444463982</v>
      </c>
      <c r="K346" s="3">
        <f t="shared" si="76"/>
        <v>7.8753497273093172E-7</v>
      </c>
      <c r="L346" s="3" cm="1">
        <f t="array" ref="L346">lmb_2(F346)</f>
        <v>15171.238847590237</v>
      </c>
      <c r="M346" s="3" cm="1">
        <f t="array" ref="M346">lmb_2(G346)</f>
        <v>2189.9237943124044</v>
      </c>
      <c r="N346" s="3" cm="1">
        <f t="array" ref="N346">lmb_2(H346)</f>
        <v>4.0961618350198403</v>
      </c>
      <c r="O346" s="3" cm="1">
        <f t="array" ref="O346">lmb_2(I346)</f>
        <v>1.7291721932969948</v>
      </c>
      <c r="P346" s="3" cm="1">
        <f t="array" ref="P346">lmb_2(J346)</f>
        <v>0.12161665000377866</v>
      </c>
      <c r="R346" s="3">
        <f t="shared" si="77"/>
        <v>5.8502739323252574E-3</v>
      </c>
      <c r="S346" s="3">
        <f t="shared" si="78"/>
        <v>9.4464585944837207</v>
      </c>
      <c r="T346" s="3">
        <f t="shared" si="79"/>
        <v>453.28527968882111</v>
      </c>
      <c r="U346" s="3">
        <f t="shared" si="69"/>
        <v>2542.9634420110015</v>
      </c>
      <c r="V346" s="3">
        <f t="shared" si="70"/>
        <v>0</v>
      </c>
      <c r="W346" s="3">
        <f t="shared" si="80"/>
        <v>606.86113459548994</v>
      </c>
      <c r="Y346" s="3">
        <f t="shared" si="81"/>
        <v>3612.562165951264</v>
      </c>
      <c r="AA346" s="3">
        <f t="shared" si="82"/>
        <v>108.94837962895302</v>
      </c>
      <c r="AB346" s="3">
        <f t="shared" si="83"/>
        <v>10.437834048736022</v>
      </c>
      <c r="AD346" s="3">
        <f t="shared" si="84"/>
        <v>3.4194224214264042E-6</v>
      </c>
    </row>
    <row r="347" spans="3:30" x14ac:dyDescent="0.25">
      <c r="C347" s="22">
        <v>315</v>
      </c>
      <c r="D347" s="22">
        <v>3553</v>
      </c>
      <c r="F347" s="3">
        <f t="shared" si="71"/>
        <v>15277.706967980368</v>
      </c>
      <c r="G347" s="3">
        <f t="shared" si="72"/>
        <v>2211.6077850578272</v>
      </c>
      <c r="H347" s="3">
        <f t="shared" si="73"/>
        <v>5.5443775084848639</v>
      </c>
      <c r="I347" s="3">
        <f t="shared" si="74"/>
        <v>2.2887088866410341</v>
      </c>
      <c r="J347" s="3">
        <f t="shared" si="75"/>
        <v>-1.9846213730520332</v>
      </c>
      <c r="K347" s="3">
        <f t="shared" si="76"/>
        <v>7.3151863176882029E-7</v>
      </c>
      <c r="L347" s="3" cm="1">
        <f t="array" ref="L347">lmb_2(F347)</f>
        <v>15268.073133297365</v>
      </c>
      <c r="M347" s="3" cm="1">
        <f t="array" ref="M347">lmb_2(G347)</f>
        <v>2203.9080511717402</v>
      </c>
      <c r="N347" s="3" cm="1">
        <f t="array" ref="N347">lmb_2(H347)</f>
        <v>4.1268605483603471</v>
      </c>
      <c r="O347" s="3" cm="1">
        <f t="array" ref="O347">lmb_2(I347)</f>
        <v>1.7367140410185138</v>
      </c>
      <c r="P347" s="3" cm="1">
        <f t="array" ref="P347">lmb_2(J347)</f>
        <v>0.12168642846506815</v>
      </c>
      <c r="R347" s="3">
        <f t="shared" si="77"/>
        <v>5.7946994751260682E-3</v>
      </c>
      <c r="S347" s="3">
        <f t="shared" si="78"/>
        <v>9.356690210128626</v>
      </c>
      <c r="T347" s="3">
        <f t="shared" si="79"/>
        <v>448.64366615005594</v>
      </c>
      <c r="U347" s="3">
        <f t="shared" si="69"/>
        <v>2532.9841216611057</v>
      </c>
      <c r="V347" s="3">
        <f t="shared" si="70"/>
        <v>0</v>
      </c>
      <c r="W347" s="3">
        <f t="shared" si="80"/>
        <v>608.63457769929721</v>
      </c>
      <c r="Y347" s="3">
        <f t="shared" si="81"/>
        <v>3599.624851151581</v>
      </c>
      <c r="AA347" s="3">
        <f t="shared" si="82"/>
        <v>2173.876744907081</v>
      </c>
      <c r="AB347" s="3">
        <f t="shared" si="83"/>
        <v>-46.62485115158097</v>
      </c>
      <c r="AD347" s="3">
        <f t="shared" si="84"/>
        <v>1.5274247576554543E-5</v>
      </c>
    </row>
    <row r="348" spans="3:30" x14ac:dyDescent="0.25">
      <c r="C348" s="22">
        <v>316</v>
      </c>
      <c r="D348" s="22">
        <v>3631</v>
      </c>
      <c r="F348" s="3">
        <f t="shared" si="71"/>
        <v>15374.855533738404</v>
      </c>
      <c r="G348" s="3">
        <f t="shared" si="72"/>
        <v>2225.6428828981784</v>
      </c>
      <c r="H348" s="3">
        <f t="shared" si="73"/>
        <v>5.5826641367192629</v>
      </c>
      <c r="I348" s="3">
        <f t="shared" si="74"/>
        <v>2.3006406054209534</v>
      </c>
      <c r="J348" s="3">
        <f t="shared" si="75"/>
        <v>-1.9839759559616605</v>
      </c>
      <c r="K348" s="3">
        <f t="shared" si="76"/>
        <v>6.7948666047082751E-7</v>
      </c>
      <c r="L348" s="3" cm="1">
        <f t="array" ref="L348">lmb_2(F348)</f>
        <v>15365.215358556727</v>
      </c>
      <c r="M348" s="3" cm="1">
        <f t="array" ref="M348">lmb_2(G348)</f>
        <v>2217.9368133989915</v>
      </c>
      <c r="N348" s="3" cm="1">
        <f t="array" ref="N348">lmb_2(H348)</f>
        <v>4.157701692808411</v>
      </c>
      <c r="O348" s="3" cm="1">
        <f t="array" ref="O348">lmb_2(I348)</f>
        <v>1.7442919127670589</v>
      </c>
      <c r="P348" s="3" cm="1">
        <f t="array" ref="P348">lmb_2(J348)</f>
        <v>0.12175646465826426</v>
      </c>
      <c r="R348" s="3">
        <f t="shared" si="77"/>
        <v>5.739826774903852E-3</v>
      </c>
      <c r="S348" s="3">
        <f t="shared" si="78"/>
        <v>9.2680555770139321</v>
      </c>
      <c r="T348" s="3">
        <f t="shared" si="79"/>
        <v>444.05812592772884</v>
      </c>
      <c r="U348" s="3">
        <f t="shared" si="69"/>
        <v>2523.0000496700882</v>
      </c>
      <c r="V348" s="3">
        <f t="shared" si="70"/>
        <v>0</v>
      </c>
      <c r="W348" s="3">
        <f t="shared" si="80"/>
        <v>610.40802080310459</v>
      </c>
      <c r="Y348" s="3">
        <f t="shared" si="81"/>
        <v>3586.739992484197</v>
      </c>
      <c r="AA348" s="3">
        <f t="shared" si="82"/>
        <v>1958.9482652989341</v>
      </c>
      <c r="AB348" s="3">
        <f t="shared" si="83"/>
        <v>44.260007515802954</v>
      </c>
      <c r="AD348" s="3">
        <f t="shared" si="84"/>
        <v>1.4499527523180431E-5</v>
      </c>
    </row>
    <row r="349" spans="3:30" x14ac:dyDescent="0.25">
      <c r="C349" s="22">
        <v>317</v>
      </c>
      <c r="D349" s="22">
        <v>3576</v>
      </c>
      <c r="F349" s="3">
        <f t="shared" si="71"/>
        <v>15472.312018880773</v>
      </c>
      <c r="G349" s="3">
        <f t="shared" si="72"/>
        <v>2239.722465993174</v>
      </c>
      <c r="H349" s="3">
        <f t="shared" si="73"/>
        <v>5.6210721171826137</v>
      </c>
      <c r="I349" s="3">
        <f t="shared" si="74"/>
        <v>2.3126101426439147</v>
      </c>
      <c r="J349" s="3">
        <f t="shared" si="75"/>
        <v>-1.9833284931752806</v>
      </c>
      <c r="K349" s="3">
        <f t="shared" si="76"/>
        <v>6.3115565579156442E-7</v>
      </c>
      <c r="L349" s="3" cm="1">
        <f t="array" ref="L349">lmb_2(F349)</f>
        <v>15462.665523240814</v>
      </c>
      <c r="M349" s="3" cm="1">
        <f t="array" ref="M349">lmb_2(G349)</f>
        <v>2232.0100808674165</v>
      </c>
      <c r="N349" s="3" cm="1">
        <f t="array" ref="N349">lmb_2(H349)</f>
        <v>4.1886852219916042</v>
      </c>
      <c r="O349" s="3" cm="1">
        <f t="array" ref="O349">lmb_2(I349)</f>
        <v>1.7519058755653059</v>
      </c>
      <c r="P349" s="3" cm="1">
        <f t="array" ref="P349">lmb_2(J349)</f>
        <v>0.12182675893890607</v>
      </c>
      <c r="R349" s="3">
        <f t="shared" si="77"/>
        <v>5.6856447887829809E-3</v>
      </c>
      <c r="S349" s="3">
        <f t="shared" si="78"/>
        <v>9.1805368548210069</v>
      </c>
      <c r="T349" s="3">
        <f t="shared" si="79"/>
        <v>439.52795129168112</v>
      </c>
      <c r="U349" s="3">
        <f t="shared" si="69"/>
        <v>2513.0120266584286</v>
      </c>
      <c r="V349" s="3">
        <f t="shared" si="70"/>
        <v>0</v>
      </c>
      <c r="W349" s="3">
        <f t="shared" si="80"/>
        <v>612.18146390691186</v>
      </c>
      <c r="Y349" s="3">
        <f t="shared" si="81"/>
        <v>3573.907664987787</v>
      </c>
      <c r="AA349" s="3">
        <f t="shared" si="82"/>
        <v>4.3778658033322513</v>
      </c>
      <c r="AB349" s="3">
        <f t="shared" si="83"/>
        <v>2.0923350122129705</v>
      </c>
      <c r="AD349" s="3">
        <f t="shared" si="84"/>
        <v>6.8544654192532504E-7</v>
      </c>
    </row>
    <row r="350" spans="3:30" x14ac:dyDescent="0.25">
      <c r="C350" s="22">
        <v>318</v>
      </c>
      <c r="D350" s="22">
        <v>3533</v>
      </c>
      <c r="F350" s="3">
        <f t="shared" si="71"/>
        <v>15570.07642340748</v>
      </c>
      <c r="G350" s="3">
        <f t="shared" si="72"/>
        <v>2253.8465343428147</v>
      </c>
      <c r="H350" s="3">
        <f t="shared" si="73"/>
        <v>5.6596014498749181</v>
      </c>
      <c r="I350" s="3">
        <f t="shared" si="74"/>
        <v>2.3246174983099195</v>
      </c>
      <c r="J350" s="3">
        <f t="shared" si="75"/>
        <v>-1.9826789846928932</v>
      </c>
      <c r="K350" s="3">
        <f t="shared" si="76"/>
        <v>5.8626237277660648E-7</v>
      </c>
      <c r="L350" s="3" cm="1">
        <f t="array" ref="L350">lmb_2(F350)</f>
        <v>15560.42362722333</v>
      </c>
      <c r="M350" s="3" cm="1">
        <f t="array" ref="M350">lmb_2(G350)</f>
        <v>2246.1278534514663</v>
      </c>
      <c r="N350" s="3" cm="1">
        <f t="array" ref="N350">lmb_2(H350)</f>
        <v>4.219811088570582</v>
      </c>
      <c r="O350" s="3" cm="1">
        <f t="array" ref="O350">lmb_2(I350)</f>
        <v>1.7595559960551861</v>
      </c>
      <c r="P350" s="3" cm="1">
        <f t="array" ref="P350">lmb_2(J350)</f>
        <v>0.12189731166388289</v>
      </c>
      <c r="R350" s="3">
        <f t="shared" si="77"/>
        <v>5.6321426817778283E-3</v>
      </c>
      <c r="S350" s="3">
        <f t="shared" si="78"/>
        <v>9.0941165389943421</v>
      </c>
      <c r="T350" s="3">
        <f t="shared" si="79"/>
        <v>435.05244215640016</v>
      </c>
      <c r="U350" s="3">
        <f t="shared" si="69"/>
        <v>2503.0208428290489</v>
      </c>
      <c r="V350" s="3">
        <f t="shared" si="70"/>
        <v>0</v>
      </c>
      <c r="W350" s="3">
        <f t="shared" si="80"/>
        <v>613.95490701071913</v>
      </c>
      <c r="Y350" s="3">
        <f t="shared" si="81"/>
        <v>3561.127941264107</v>
      </c>
      <c r="AA350" s="3">
        <f t="shared" si="82"/>
        <v>791.181079757053</v>
      </c>
      <c r="AB350" s="3">
        <f t="shared" si="83"/>
        <v>-28.127941264106994</v>
      </c>
      <c r="AD350" s="3">
        <f t="shared" si="84"/>
        <v>9.2146811855760026E-6</v>
      </c>
    </row>
    <row r="351" spans="3:30" x14ac:dyDescent="0.25">
      <c r="C351" s="22">
        <v>319</v>
      </c>
      <c r="D351" s="22">
        <v>3608</v>
      </c>
      <c r="F351" s="3">
        <f t="shared" si="71"/>
        <v>15668.148747318521</v>
      </c>
      <c r="G351" s="3">
        <f t="shared" si="72"/>
        <v>2268.0150879471003</v>
      </c>
      <c r="H351" s="3">
        <f t="shared" si="73"/>
        <v>5.6982521347961743</v>
      </c>
      <c r="I351" s="3">
        <f t="shared" si="74"/>
        <v>2.3366626724189663</v>
      </c>
      <c r="J351" s="3">
        <f t="shared" si="75"/>
        <v>-1.982027430514498</v>
      </c>
      <c r="K351" s="3">
        <f t="shared" si="76"/>
        <v>5.4456229074363875E-7</v>
      </c>
      <c r="L351" s="3" cm="1">
        <f t="array" ref="L351">lmb_2(F351)</f>
        <v>15658.489670379169</v>
      </c>
      <c r="M351" s="3" cm="1">
        <f t="array" ref="M351">lmb_2(G351)</f>
        <v>2260.290131026768</v>
      </c>
      <c r="N351" s="3" cm="1">
        <f t="array" ref="N351">lmb_2(H351)</f>
        <v>4.2510792442690883</v>
      </c>
      <c r="O351" s="3" cm="1">
        <f t="array" ref="O351">lmb_2(I351)</f>
        <v>1.7672423404964159</v>
      </c>
      <c r="P351" s="3" cm="1">
        <f t="array" ref="P351">lmb_2(J351)</f>
        <v>0.12196812319143603</v>
      </c>
      <c r="R351" s="3">
        <f t="shared" si="77"/>
        <v>5.5793098222407184E-3</v>
      </c>
      <c r="S351" s="3">
        <f t="shared" si="78"/>
        <v>9.0087774533936802</v>
      </c>
      <c r="T351" s="3">
        <f t="shared" si="79"/>
        <v>430.63090606863722</v>
      </c>
      <c r="U351" s="3">
        <f t="shared" si="69"/>
        <v>2493.0272779937955</v>
      </c>
      <c r="V351" s="3">
        <f t="shared" si="70"/>
        <v>0</v>
      </c>
      <c r="W351" s="3">
        <f t="shared" si="80"/>
        <v>615.72835011452639</v>
      </c>
      <c r="Y351" s="3">
        <f t="shared" si="81"/>
        <v>3548.4008914847368</v>
      </c>
      <c r="AA351" s="3">
        <f t="shared" si="82"/>
        <v>3552.0537358141182</v>
      </c>
      <c r="AB351" s="3">
        <f t="shared" si="83"/>
        <v>59.599108515263197</v>
      </c>
      <c r="AD351" s="3">
        <f t="shared" si="84"/>
        <v>1.9524599356778907E-5</v>
      </c>
    </row>
    <row r="352" spans="3:30" x14ac:dyDescent="0.25">
      <c r="C352" s="22">
        <v>320</v>
      </c>
      <c r="D352" s="22">
        <v>3526</v>
      </c>
      <c r="F352" s="3">
        <f t="shared" si="71"/>
        <v>15766.528990613895</v>
      </c>
      <c r="G352" s="3">
        <f t="shared" si="72"/>
        <v>2282.2281268060296</v>
      </c>
      <c r="H352" s="3">
        <f t="shared" si="73"/>
        <v>5.7370241719463824</v>
      </c>
      <c r="I352" s="3">
        <f t="shared" si="74"/>
        <v>2.3487456649710561</v>
      </c>
      <c r="J352" s="3">
        <f t="shared" si="75"/>
        <v>-1.9813738306400954</v>
      </c>
      <c r="K352" s="3">
        <f t="shared" si="76"/>
        <v>5.058282814492635E-7</v>
      </c>
      <c r="L352" s="3" cm="1">
        <f t="array" ref="L352">lmb_2(F352)</f>
        <v>15756.863652584392</v>
      </c>
      <c r="M352" s="3" cm="1">
        <f t="array" ref="M352">lmb_2(G352)</f>
        <v>2274.4969134701123</v>
      </c>
      <c r="N352" s="3" cm="1">
        <f t="array" ref="N352">lmb_2(H352)</f>
        <v>4.2824896399034174</v>
      </c>
      <c r="O352" s="3" cm="1">
        <f t="array" ref="O352">lmb_2(I352)</f>
        <v>1.7749649747650809</v>
      </c>
      <c r="P352" s="3" cm="1">
        <f t="array" ref="P352">lmb_2(J352)</f>
        <v>0.12203919388116108</v>
      </c>
      <c r="R352" s="3">
        <f t="shared" si="77"/>
        <v>5.5271357774234328E-3</v>
      </c>
      <c r="S352" s="3">
        <f t="shared" si="78"/>
        <v>8.9245027431292954</v>
      </c>
      <c r="T352" s="3">
        <f t="shared" si="79"/>
        <v>426.26265819164308</v>
      </c>
      <c r="U352" s="3">
        <f t="shared" ref="U352:U415" si="85">$I$18*(C352/$I$19)*($O$28+$O$28^2)/(O352+O352^2)</f>
        <v>2483.0321016017788</v>
      </c>
      <c r="V352" s="3">
        <f t="shared" ref="V352:V415" si="86">$J$18*(C352/$J$19)*($P$28+$P$28^2)/(P352+P352^2)</f>
        <v>0</v>
      </c>
      <c r="W352" s="3">
        <f t="shared" si="80"/>
        <v>617.50179321833366</v>
      </c>
      <c r="Y352" s="3">
        <f t="shared" si="81"/>
        <v>3535.7265833964902</v>
      </c>
      <c r="AA352" s="3">
        <f t="shared" si="82"/>
        <v>94.606424568879632</v>
      </c>
      <c r="AB352" s="3">
        <f t="shared" si="83"/>
        <v>-9.7265833964902413</v>
      </c>
      <c r="AD352" s="3">
        <f t="shared" si="84"/>
        <v>3.1864175263315363E-6</v>
      </c>
    </row>
    <row r="353" spans="3:30" x14ac:dyDescent="0.25">
      <c r="C353" s="22">
        <v>321</v>
      </c>
      <c r="D353" s="22">
        <v>3513</v>
      </c>
      <c r="F353" s="3">
        <f t="shared" ref="F353:F416" si="87">$F$20/(1-$F$20)-LN((1-$F$20)/$F$20)+(C353/$F$19)^2/((1-$F$20)*(1+0.534156*$F$20^0.7917))</f>
        <v>15865.21715329361</v>
      </c>
      <c r="G353" s="3">
        <f t="shared" ref="G353:G416" si="88">$G$20/(1-$G$20)-LN((1-$G$20)/$G$20)+(C353/$G$19)^2/((1-$G$20)*(1+0.534156*$G$20^0.7917))</f>
        <v>2296.4856509196043</v>
      </c>
      <c r="H353" s="3">
        <f t="shared" ref="H353:H416" si="89">$H$20/(1-$H$20)-LN((1-$H$20)/$H$20)+(C353/$H$19)^2/((1-$H$20)*(1+0.534156*$H$20^0.7917))</f>
        <v>5.7759175613255422</v>
      </c>
      <c r="I353" s="3">
        <f t="shared" ref="I353:I416" si="90">$I$20/(1-$I$20)-LN((1-$I$20)/$I$20)+(C353/$I$19)^2/((1-$I$20)*(1+0.534156*$I$20^0.7917))</f>
        <v>2.3608664759661879</v>
      </c>
      <c r="J353" s="3">
        <f t="shared" ref="J353:J416" si="91">$J$20/(1-$J$20)-LN((1-$J$20)/$J$20)+(C353/$J$19)^2/((1-$J$20)*(1+0.534156*$J$20^0.7917))</f>
        <v>-1.9807181850696853</v>
      </c>
      <c r="K353" s="3">
        <f t="shared" ref="K353:K416" si="92">$K$18*EXP(-$K$20*C353)</f>
        <v>4.6984937198739391E-7</v>
      </c>
      <c r="L353" s="3" cm="1">
        <f t="array" ref="L353">lmb_2(F353)</f>
        <v>15855.545573716236</v>
      </c>
      <c r="M353" s="3" cm="1">
        <f t="array" ref="M353">lmb_2(G353)</f>
        <v>2288.74820065944</v>
      </c>
      <c r="N353" s="3" cm="1">
        <f t="array" ref="N353">lmb_2(H353)</f>
        <v>4.3140422254112822</v>
      </c>
      <c r="O353" s="3" cm="1">
        <f t="array" ref="O353">lmb_2(I353)</f>
        <v>1.7827239643522665</v>
      </c>
      <c r="P353" s="3" cm="1">
        <f t="array" ref="P353">lmb_2(J353)</f>
        <v>0.12211052409401016</v>
      </c>
      <c r="R353" s="3">
        <f t="shared" ref="R353:R416" si="93">$F$18*(C353/$F$19)*($L$28+$L$28^2)/(L353+L353^2)</f>
        <v>5.4756103091490992E-3</v>
      </c>
      <c r="S353" s="3">
        <f t="shared" ref="S353:S416" si="94">$G$18*(C353/$G$19)*($M$28+$M$28^2)/(M353+M353^2)</f>
        <v>8.8412758675753071</v>
      </c>
      <c r="T353" s="3">
        <f t="shared" ref="T353:T416" si="95">$H$18*(C353/$H$19)*($N$28+$N$28^2)/(N353+N353^2)</f>
        <v>421.94702128619093</v>
      </c>
      <c r="U353" s="3">
        <f t="shared" si="85"/>
        <v>2473.0360727695506</v>
      </c>
      <c r="V353" s="3">
        <f t="shared" si="86"/>
        <v>0</v>
      </c>
      <c r="W353" s="3">
        <f t="shared" ref="W353:W416" si="96">$F$22+$G$22/$F$21*C353</f>
        <v>619.27523632214104</v>
      </c>
      <c r="Y353" s="3">
        <f t="shared" ref="Y353:Y416" si="97">SUM(R353:W353)+K353</f>
        <v>3523.1050823256169</v>
      </c>
      <c r="AA353" s="3">
        <f t="shared" ref="AA353:AA416" si="98">(D353-Y353)^2</f>
        <v>102.11268880749459</v>
      </c>
      <c r="AB353" s="3">
        <f t="shared" ref="AB353:AB416" si="99">D353-Y353</f>
        <v>-10.105082325616877</v>
      </c>
      <c r="AD353" s="3">
        <f t="shared" ref="AD353:AD416" si="100">ABS(AB353/$AC$32)</f>
        <v>3.3104133398976879E-6</v>
      </c>
    </row>
    <row r="354" spans="3:30" x14ac:dyDescent="0.25">
      <c r="C354" s="22">
        <v>322</v>
      </c>
      <c r="D354" s="22">
        <v>3467</v>
      </c>
      <c r="F354" s="3">
        <f t="shared" si="87"/>
        <v>15964.213235357658</v>
      </c>
      <c r="G354" s="3">
        <f t="shared" si="88"/>
        <v>2310.7876602878232</v>
      </c>
      <c r="H354" s="3">
        <f t="shared" si="89"/>
        <v>5.8149323029336522</v>
      </c>
      <c r="I354" s="3">
        <f t="shared" si="90"/>
        <v>2.3730251054043618</v>
      </c>
      <c r="J354" s="3">
        <f t="shared" si="91"/>
        <v>-1.9800604938032678</v>
      </c>
      <c r="K354" s="3">
        <f t="shared" si="92"/>
        <v>4.3642959568106193E-7</v>
      </c>
      <c r="L354" s="3" cm="1">
        <f t="array" ref="L354">lmb_2(F354)</f>
        <v>15954.535433653067</v>
      </c>
      <c r="M354" s="3" cm="1">
        <f t="array" ref="M354">lmb_2(G354)</f>
        <v>2303.0439924738239</v>
      </c>
      <c r="N354" s="3" cm="1">
        <f t="array" ref="N354">lmb_2(H354)</f>
        <v>4.3457369498801324</v>
      </c>
      <c r="O354" s="3" cm="1">
        <f t="array" ref="O354">lmb_2(I354)</f>
        <v>1.7905193743627432</v>
      </c>
      <c r="P354" s="3" cm="1">
        <f t="array" ref="P354">lmb_2(J354)</f>
        <v>0.12218211419229386</v>
      </c>
      <c r="R354" s="3">
        <f t="shared" si="93"/>
        <v>5.4247233695914132E-3</v>
      </c>
      <c r="S354" s="3">
        <f t="shared" si="94"/>
        <v>8.7590805935561011</v>
      </c>
      <c r="T354" s="3">
        <f t="shared" si="95"/>
        <v>417.68332568853771</v>
      </c>
      <c r="U354" s="3">
        <f t="shared" si="85"/>
        <v>2463.0399403130518</v>
      </c>
      <c r="V354" s="3">
        <f t="shared" si="86"/>
        <v>0</v>
      </c>
      <c r="W354" s="3">
        <f t="shared" si="96"/>
        <v>621.04867942594831</v>
      </c>
      <c r="Y354" s="3">
        <f t="shared" si="97"/>
        <v>3510.536451180893</v>
      </c>
      <c r="AA354" s="3">
        <f t="shared" si="98"/>
        <v>1895.4225814262779</v>
      </c>
      <c r="AB354" s="3">
        <f t="shared" si="99"/>
        <v>-43.536451180892982</v>
      </c>
      <c r="AD354" s="3">
        <f t="shared" si="100"/>
        <v>1.4262491300607427E-5</v>
      </c>
    </row>
    <row r="355" spans="3:30" x14ac:dyDescent="0.25">
      <c r="C355" s="22">
        <v>323</v>
      </c>
      <c r="D355" s="22">
        <v>3487</v>
      </c>
      <c r="F355" s="3">
        <f t="shared" si="87"/>
        <v>16063.517236806043</v>
      </c>
      <c r="G355" s="3">
        <f t="shared" si="88"/>
        <v>2325.1341549106855</v>
      </c>
      <c r="H355" s="3">
        <f t="shared" si="89"/>
        <v>5.8540683967707157</v>
      </c>
      <c r="I355" s="3">
        <f t="shared" si="90"/>
        <v>2.3852215532855787</v>
      </c>
      <c r="J355" s="3">
        <f t="shared" si="91"/>
        <v>-1.9794007568408427</v>
      </c>
      <c r="K355" s="3">
        <f t="shared" si="92"/>
        <v>4.0538692470880973E-7</v>
      </c>
      <c r="L355" s="3" cm="1">
        <f t="array" ref="L355">lmb_2(F355)</f>
        <v>16053.833232274397</v>
      </c>
      <c r="M355" s="3" cm="1">
        <f t="array" ref="M355">lmb_2(G355)</f>
        <v>2317.3842887934579</v>
      </c>
      <c r="N355" s="3" cm="1">
        <f t="array" ref="N355">lmb_2(H355)</f>
        <v>4.3775737615749177</v>
      </c>
      <c r="O355" s="3" cm="1">
        <f t="array" ref="O355">lmb_2(I355)</f>
        <v>1.7983512695136994</v>
      </c>
      <c r="P355" s="3" cm="1">
        <f t="array" ref="P355">lmb_2(J355)</f>
        <v>0.12225396453968358</v>
      </c>
      <c r="R355" s="3">
        <f t="shared" si="93"/>
        <v>5.3744650971581575E-3</v>
      </c>
      <c r="S355" s="3">
        <f t="shared" si="94"/>
        <v>8.6779009887009799</v>
      </c>
      <c r="T355" s="3">
        <f t="shared" si="95"/>
        <v>413.47090928547789</v>
      </c>
      <c r="U355" s="3">
        <f t="shared" si="85"/>
        <v>2453.0444427813127</v>
      </c>
      <c r="V355" s="3">
        <f t="shared" si="86"/>
        <v>0</v>
      </c>
      <c r="W355" s="3">
        <f t="shared" si="96"/>
        <v>622.82212252975557</v>
      </c>
      <c r="Y355" s="3">
        <f t="shared" si="97"/>
        <v>3498.0207504557311</v>
      </c>
      <c r="AA355" s="3">
        <f t="shared" si="98"/>
        <v>121.45694060749733</v>
      </c>
      <c r="AB355" s="3">
        <f t="shared" si="99"/>
        <v>-11.020750455731104</v>
      </c>
      <c r="AD355" s="3">
        <f t="shared" si="100"/>
        <v>3.6103851654774725E-6</v>
      </c>
    </row>
    <row r="356" spans="3:30" x14ac:dyDescent="0.25">
      <c r="C356" s="22">
        <v>324</v>
      </c>
      <c r="D356" s="22">
        <v>3431</v>
      </c>
      <c r="F356" s="3">
        <f t="shared" si="87"/>
        <v>16163.129157638768</v>
      </c>
      <c r="G356" s="3">
        <f t="shared" si="88"/>
        <v>2339.5251347881936</v>
      </c>
      <c r="H356" s="3">
        <f t="shared" si="89"/>
        <v>5.8933258428367328</v>
      </c>
      <c r="I356" s="3">
        <f t="shared" si="90"/>
        <v>2.3974558196098386</v>
      </c>
      <c r="J356" s="3">
        <f t="shared" si="91"/>
        <v>-1.97873897418241</v>
      </c>
      <c r="K356" s="3">
        <f t="shared" si="92"/>
        <v>3.765522786519813E-7</v>
      </c>
      <c r="L356" s="3" cm="1">
        <f t="array" ref="L356">lmb_2(F356)</f>
        <v>16153.438969460853</v>
      </c>
      <c r="M356" s="3" cm="1">
        <f t="array" ref="M356">lmb_2(G356)</f>
        <v>2331.7690894996445</v>
      </c>
      <c r="N356" s="3" cm="1">
        <f t="array" ref="N356">lmb_2(H356)</f>
        <v>4.4095526079652965</v>
      </c>
      <c r="O356" s="3" cm="1">
        <f t="array" ref="O356">lmb_2(I356)</f>
        <v>1.8062197141335228</v>
      </c>
      <c r="P356" s="3" cm="1">
        <f t="array" ref="P356">lmb_2(J356)</f>
        <v>0.1223260755012138</v>
      </c>
      <c r="R356" s="3">
        <f t="shared" si="93"/>
        <v>5.3248258124761749E-3</v>
      </c>
      <c r="S356" s="3">
        <f t="shared" si="94"/>
        <v>8.5977214149624412</v>
      </c>
      <c r="T356" s="3">
        <f t="shared" si="95"/>
        <v>409.30911748663596</v>
      </c>
      <c r="U356" s="3">
        <f t="shared" si="85"/>
        <v>2443.0503084918614</v>
      </c>
      <c r="V356" s="3">
        <f t="shared" si="86"/>
        <v>0</v>
      </c>
      <c r="W356" s="3">
        <f t="shared" si="96"/>
        <v>624.59556563356284</v>
      </c>
      <c r="Y356" s="3">
        <f t="shared" si="97"/>
        <v>3485.558038229387</v>
      </c>
      <c r="AA356" s="3">
        <f t="shared" si="98"/>
        <v>2976.5795354392499</v>
      </c>
      <c r="AB356" s="3">
        <f t="shared" si="99"/>
        <v>-54.558038229386966</v>
      </c>
      <c r="AD356" s="3">
        <f t="shared" si="100"/>
        <v>1.7873150532911182E-5</v>
      </c>
    </row>
    <row r="357" spans="3:30" x14ac:dyDescent="0.25">
      <c r="C357" s="22">
        <v>325</v>
      </c>
      <c r="D357" s="22">
        <v>3440</v>
      </c>
      <c r="F357" s="3">
        <f t="shared" si="87"/>
        <v>16263.048997855825</v>
      </c>
      <c r="G357" s="3">
        <f t="shared" si="88"/>
        <v>2353.9605999203459</v>
      </c>
      <c r="H357" s="3">
        <f t="shared" si="89"/>
        <v>5.9327046411317017</v>
      </c>
      <c r="I357" s="3">
        <f t="shared" si="90"/>
        <v>2.4097279043771409</v>
      </c>
      <c r="J357" s="3">
        <f t="shared" si="91"/>
        <v>-1.9780751458279697</v>
      </c>
      <c r="K357" s="3">
        <f t="shared" si="92"/>
        <v>3.4976860356275196E-7</v>
      </c>
      <c r="L357" s="3" cm="1">
        <f t="array" ref="L357">lmb_2(F357)</f>
        <v>16253.352645094154</v>
      </c>
      <c r="M357" s="3" cm="1">
        <f t="array" ref="M357">lmb_2(G357)</f>
        <v>2346.1983944747767</v>
      </c>
      <c r="N357" s="3" cm="1">
        <f t="array" ref="N357">lmb_2(H357)</f>
        <v>4.4416734357522989</v>
      </c>
      <c r="O357" s="3" cm="1">
        <f t="array" ref="O357">lmb_2(I357)</f>
        <v>1.8141247721606359</v>
      </c>
      <c r="P357" s="3" cm="1">
        <f t="array" ref="P357">lmb_2(J357)</f>
        <v>0.12239844744328392</v>
      </c>
      <c r="R357" s="3">
        <f t="shared" si="93"/>
        <v>5.2757960144749648E-3</v>
      </c>
      <c r="S357" s="3">
        <f t="shared" si="94"/>
        <v>8.5185265222935715</v>
      </c>
      <c r="T357" s="3">
        <f t="shared" si="95"/>
        <v>405.19730319413856</v>
      </c>
      <c r="U357" s="3">
        <f t="shared" si="85"/>
        <v>2433.0582555677838</v>
      </c>
      <c r="V357" s="3">
        <f t="shared" si="86"/>
        <v>0</v>
      </c>
      <c r="W357" s="3">
        <f t="shared" si="96"/>
        <v>626.36900873737022</v>
      </c>
      <c r="Y357" s="3">
        <f t="shared" si="97"/>
        <v>3473.1483701673692</v>
      </c>
      <c r="AA357" s="3">
        <f t="shared" si="98"/>
        <v>1098.8144447529319</v>
      </c>
      <c r="AB357" s="3">
        <f t="shared" si="99"/>
        <v>-33.148370167369194</v>
      </c>
      <c r="AD357" s="3">
        <f t="shared" si="100"/>
        <v>1.085936791625561E-5</v>
      </c>
    </row>
    <row r="358" spans="3:30" x14ac:dyDescent="0.25">
      <c r="C358" s="22">
        <v>326</v>
      </c>
      <c r="D358" s="22">
        <v>3398</v>
      </c>
      <c r="F358" s="3">
        <f t="shared" si="87"/>
        <v>16363.276757457221</v>
      </c>
      <c r="G358" s="3">
        <f t="shared" si="88"/>
        <v>2368.440550307143</v>
      </c>
      <c r="H358" s="3">
        <f t="shared" si="89"/>
        <v>5.9722047916556225</v>
      </c>
      <c r="I358" s="3">
        <f t="shared" si="90"/>
        <v>2.4220378075874858</v>
      </c>
      <c r="J358" s="3">
        <f t="shared" si="91"/>
        <v>-1.9774092717775222</v>
      </c>
      <c r="K358" s="3">
        <f t="shared" si="92"/>
        <v>3.2489001653686811E-7</v>
      </c>
      <c r="L358" s="3" cm="1">
        <f t="array" ref="L358">lmb_2(F358)</f>
        <v>16353.574259057124</v>
      </c>
      <c r="M358" s="3" cm="1">
        <f t="array" ref="M358">lmb_2(G358)</f>
        <v>2360.6722036023289</v>
      </c>
      <c r="N358" s="3" cm="1">
        <f t="array" ref="N358">lmb_2(H358)</f>
        <v>4.473936190894471</v>
      </c>
      <c r="O358" s="3" cm="1">
        <f t="array" ref="O358">lmb_2(I358)</f>
        <v>1.8220665071423776</v>
      </c>
      <c r="P358" s="3" cm="1">
        <f t="array" ref="P358">lmb_2(J358)</f>
        <v>0.12247108073366068</v>
      </c>
      <c r="R358" s="3">
        <f t="shared" si="93"/>
        <v>5.2273663765661869E-3</v>
      </c>
      <c r="S358" s="3">
        <f t="shared" si="94"/>
        <v>8.4403012424801211</v>
      </c>
      <c r="T358" s="3">
        <f t="shared" si="95"/>
        <v>401.13482676980283</v>
      </c>
      <c r="U358" s="3">
        <f t="shared" si="85"/>
        <v>2423.0689919764204</v>
      </c>
      <c r="V358" s="3">
        <f t="shared" si="86"/>
        <v>0</v>
      </c>
      <c r="W358" s="3">
        <f t="shared" si="96"/>
        <v>628.14245184117749</v>
      </c>
      <c r="Y358" s="3">
        <f t="shared" si="97"/>
        <v>3460.7917995211478</v>
      </c>
      <c r="AA358" s="3">
        <f t="shared" si="98"/>
        <v>3942.8100871040201</v>
      </c>
      <c r="AB358" s="3">
        <f t="shared" si="99"/>
        <v>-62.791799521147823</v>
      </c>
      <c r="AD358" s="3">
        <f t="shared" si="100"/>
        <v>2.0570521255827524E-5</v>
      </c>
    </row>
    <row r="359" spans="3:30" x14ac:dyDescent="0.25">
      <c r="C359" s="22">
        <v>327</v>
      </c>
      <c r="D359" s="22">
        <v>3405</v>
      </c>
      <c r="F359" s="3">
        <f t="shared" si="87"/>
        <v>16463.812436442946</v>
      </c>
      <c r="G359" s="3">
        <f t="shared" si="88"/>
        <v>2382.9649859485844</v>
      </c>
      <c r="H359" s="3">
        <f t="shared" si="89"/>
        <v>6.0118262944084968</v>
      </c>
      <c r="I359" s="3">
        <f t="shared" si="90"/>
        <v>2.4343855292408727</v>
      </c>
      <c r="J359" s="3">
        <f t="shared" si="91"/>
        <v>-1.976741352031067</v>
      </c>
      <c r="K359" s="3">
        <f t="shared" si="92"/>
        <v>3.0178101113180405E-7</v>
      </c>
      <c r="L359" s="3" cm="1">
        <f t="array" ref="L359">lmb_2(F359)</f>
        <v>16454.103811233654</v>
      </c>
      <c r="M359" s="3" cm="1">
        <f t="array" ref="M359">lmb_2(G359)</f>
        <v>2375.1905167668401</v>
      </c>
      <c r="N359" s="3" cm="1">
        <f t="array" ref="N359">lmb_2(H359)</f>
        <v>4.5063408186334772</v>
      </c>
      <c r="O359" s="3" cm="1">
        <f t="array" ref="O359">lmb_2(I359)</f>
        <v>1.8300449822339353</v>
      </c>
      <c r="P359" s="3" cm="1">
        <f t="array" ref="P359">lmb_2(J359)</f>
        <v>0.12254397574148038</v>
      </c>
      <c r="R359" s="3">
        <f t="shared" si="93"/>
        <v>5.1795277429164538E-3</v>
      </c>
      <c r="S359" s="3">
        <f t="shared" si="94"/>
        <v>8.3630307831230795</v>
      </c>
      <c r="T359" s="3">
        <f t="shared" si="95"/>
        <v>397.12105599997278</v>
      </c>
      <c r="U359" s="3">
        <f t="shared" si="85"/>
        <v>2413.0832155696385</v>
      </c>
      <c r="V359" s="3">
        <f t="shared" si="86"/>
        <v>0</v>
      </c>
      <c r="W359" s="3">
        <f t="shared" si="96"/>
        <v>629.91589494498476</v>
      </c>
      <c r="Y359" s="3">
        <f t="shared" si="97"/>
        <v>3448.488377127243</v>
      </c>
      <c r="AA359" s="3">
        <f t="shared" si="98"/>
        <v>1891.2389451613108</v>
      </c>
      <c r="AB359" s="3">
        <f t="shared" si="99"/>
        <v>-43.488377127242984</v>
      </c>
      <c r="AD359" s="3">
        <f t="shared" si="100"/>
        <v>1.4246742295960283E-5</v>
      </c>
    </row>
    <row r="360" spans="3:30" x14ac:dyDescent="0.25">
      <c r="C360" s="22">
        <v>328</v>
      </c>
      <c r="D360" s="22">
        <v>3328</v>
      </c>
      <c r="F360" s="3">
        <f t="shared" si="87"/>
        <v>16564.656034813012</v>
      </c>
      <c r="G360" s="3">
        <f t="shared" si="88"/>
        <v>2397.5339068446706</v>
      </c>
      <c r="H360" s="3">
        <f t="shared" si="89"/>
        <v>6.0515691493903176</v>
      </c>
      <c r="I360" s="3">
        <f t="shared" si="90"/>
        <v>2.4467710693373022</v>
      </c>
      <c r="J360" s="3">
        <f t="shared" si="91"/>
        <v>-1.9760713865886042</v>
      </c>
      <c r="K360" s="3">
        <f t="shared" si="92"/>
        <v>2.8031571930250331E-7</v>
      </c>
      <c r="L360" s="3" cm="1">
        <f t="array" ref="L360">lmb_2(F360)</f>
        <v>16554.941301508716</v>
      </c>
      <c r="M360" s="3" cm="1">
        <f t="array" ref="M360">lmb_2(G360)</f>
        <v>2389.7533338539047</v>
      </c>
      <c r="N360" s="3" cm="1">
        <f t="array" ref="N360">lmb_2(H360)</f>
        <v>4.5388872635191788</v>
      </c>
      <c r="O360" s="3" cm="1">
        <f t="array" ref="O360">lmb_2(I360)</f>
        <v>1.8380602601973266</v>
      </c>
      <c r="P360" s="3" cm="1">
        <f t="array" ref="P360">lmb_2(J360)</f>
        <v>0.12261713283725102</v>
      </c>
      <c r="R360" s="3">
        <f t="shared" si="93"/>
        <v>5.1322711248108221E-3</v>
      </c>
      <c r="S360" s="3">
        <f t="shared" si="94"/>
        <v>8.286700621767574</v>
      </c>
      <c r="T360" s="3">
        <f t="shared" si="95"/>
        <v>393.15536605813446</v>
      </c>
      <c r="U360" s="3">
        <f t="shared" si="85"/>
        <v>2403.1016141256555</v>
      </c>
      <c r="V360" s="3">
        <f t="shared" si="86"/>
        <v>0</v>
      </c>
      <c r="W360" s="3">
        <f t="shared" si="96"/>
        <v>631.68933804879202</v>
      </c>
      <c r="Y360" s="3">
        <f t="shared" si="97"/>
        <v>3436.2381514057902</v>
      </c>
      <c r="AA360" s="3">
        <f t="shared" si="98"/>
        <v>11715.497419742758</v>
      </c>
      <c r="AB360" s="3">
        <f t="shared" si="99"/>
        <v>-108.23815140579018</v>
      </c>
      <c r="AD360" s="3">
        <f t="shared" si="100"/>
        <v>3.5458693828871884E-5</v>
      </c>
    </row>
    <row r="361" spans="3:30" x14ac:dyDescent="0.25">
      <c r="C361" s="22">
        <v>329</v>
      </c>
      <c r="D361" s="22">
        <v>3446</v>
      </c>
      <c r="F361" s="3">
        <f t="shared" si="87"/>
        <v>16665.807552567414</v>
      </c>
      <c r="G361" s="3">
        <f t="shared" si="88"/>
        <v>2412.1473129954011</v>
      </c>
      <c r="H361" s="3">
        <f t="shared" si="89"/>
        <v>6.0914333566010956</v>
      </c>
      <c r="I361" s="3">
        <f t="shared" si="90"/>
        <v>2.4591944278767746</v>
      </c>
      <c r="J361" s="3">
        <f t="shared" si="91"/>
        <v>-1.975399375450134</v>
      </c>
      <c r="K361" s="3">
        <f t="shared" si="92"/>
        <v>2.6037722583466579E-7</v>
      </c>
      <c r="L361" s="3" cm="1">
        <f t="array" ref="L361">lmb_2(F361)</f>
        <v>16656.086729768314</v>
      </c>
      <c r="M361" s="3" cm="1">
        <f t="array" ref="M361">lmb_2(G361)</f>
        <v>2404.3606547501572</v>
      </c>
      <c r="N361" s="3" cm="1">
        <f t="array" ref="N361">lmb_2(H361)</f>
        <v>4.5715754694342285</v>
      </c>
      <c r="O361" s="3" cm="1">
        <f t="array" ref="O361">lmb_2(I361)</f>
        <v>1.8461124034004297</v>
      </c>
      <c r="P361" s="3" cm="1">
        <f t="array" ref="P361">lmb_2(J361)</f>
        <v>0.12269055239285438</v>
      </c>
      <c r="R361" s="3">
        <f t="shared" si="93"/>
        <v>5.0855876971045832E-3</v>
      </c>
      <c r="S361" s="3">
        <f t="shared" si="94"/>
        <v>8.2112965001741536</v>
      </c>
      <c r="T361" s="3">
        <f t="shared" si="95"/>
        <v>389.23713946542517</v>
      </c>
      <c r="U361" s="3">
        <f t="shared" si="85"/>
        <v>2393.1248653923622</v>
      </c>
      <c r="V361" s="3">
        <f t="shared" si="86"/>
        <v>0</v>
      </c>
      <c r="W361" s="3">
        <f t="shared" si="96"/>
        <v>633.4627811525994</v>
      </c>
      <c r="Y361" s="3">
        <f t="shared" si="97"/>
        <v>3424.0411683586353</v>
      </c>
      <c r="AA361" s="3">
        <f t="shared" si="98"/>
        <v>482.1902870537981</v>
      </c>
      <c r="AB361" s="3">
        <f t="shared" si="99"/>
        <v>21.958831641364668</v>
      </c>
      <c r="AD361" s="3">
        <f t="shared" si="100"/>
        <v>7.1936879732153409E-6</v>
      </c>
    </row>
    <row r="362" spans="3:30" x14ac:dyDescent="0.25">
      <c r="C362" s="22">
        <v>330</v>
      </c>
      <c r="D362" s="22">
        <v>3348</v>
      </c>
      <c r="F362" s="3">
        <f t="shared" si="87"/>
        <v>16767.266989706153</v>
      </c>
      <c r="G362" s="3">
        <f t="shared" si="88"/>
        <v>2426.8052044007759</v>
      </c>
      <c r="H362" s="3">
        <f t="shared" si="89"/>
        <v>6.1314189160408255</v>
      </c>
      <c r="I362" s="3">
        <f t="shared" si="90"/>
        <v>2.4716556048592895</v>
      </c>
      <c r="J362" s="3">
        <f t="shared" si="91"/>
        <v>-1.9747253186156561</v>
      </c>
      <c r="K362" s="3">
        <f t="shared" si="92"/>
        <v>2.4185693154151675E-7</v>
      </c>
      <c r="L362" s="3" cm="1">
        <f t="array" ref="L362">lmb_2(F362)</f>
        <v>16757.540095899498</v>
      </c>
      <c r="M362" s="3" cm="1">
        <f t="array" ref="M362">lmb_2(G362)</f>
        <v>2419.0124793432597</v>
      </c>
      <c r="N362" s="3" cm="1">
        <f t="array" ref="N362">lmb_2(H362)</f>
        <v>4.6044053796181075</v>
      </c>
      <c r="O362" s="3" cm="1">
        <f t="array" ref="O362">lmb_2(I362)</f>
        <v>1.8542014738160608</v>
      </c>
      <c r="P362" s="3" cm="1">
        <f t="array" ref="P362">lmb_2(J362)</f>
        <v>0.12276423478154855</v>
      </c>
      <c r="R362" s="3">
        <f t="shared" si="93"/>
        <v>5.0394687947608275E-3</v>
      </c>
      <c r="S362" s="3">
        <f t="shared" si="94"/>
        <v>8.1368044187285751</v>
      </c>
      <c r="T362" s="3">
        <f t="shared" si="95"/>
        <v>385.36576604916809</v>
      </c>
      <c r="U362" s="3">
        <f t="shared" si="85"/>
        <v>2383.1536371321213</v>
      </c>
      <c r="V362" s="3">
        <f t="shared" si="86"/>
        <v>0</v>
      </c>
      <c r="W362" s="3">
        <f t="shared" si="96"/>
        <v>635.23622425640667</v>
      </c>
      <c r="Y362" s="3">
        <f t="shared" si="97"/>
        <v>3411.8974715670765</v>
      </c>
      <c r="AA362" s="3">
        <f t="shared" si="98"/>
        <v>4082.8868726653545</v>
      </c>
      <c r="AB362" s="3">
        <f t="shared" si="99"/>
        <v>-63.897471567076536</v>
      </c>
      <c r="AD362" s="3">
        <f t="shared" si="100"/>
        <v>2.0932738145551967E-5</v>
      </c>
    </row>
    <row r="363" spans="3:30" x14ac:dyDescent="0.25">
      <c r="C363" s="22">
        <v>331</v>
      </c>
      <c r="D363" s="22">
        <v>3375</v>
      </c>
      <c r="F363" s="3">
        <f t="shared" si="87"/>
        <v>16869.034346229226</v>
      </c>
      <c r="G363" s="3">
        <f t="shared" si="88"/>
        <v>2441.5075810607955</v>
      </c>
      <c r="H363" s="3">
        <f t="shared" si="89"/>
        <v>6.1715258277095071</v>
      </c>
      <c r="I363" s="3">
        <f t="shared" si="90"/>
        <v>2.4841546002848469</v>
      </c>
      <c r="J363" s="3">
        <f t="shared" si="91"/>
        <v>-1.9740492160851708</v>
      </c>
      <c r="K363" s="3">
        <f t="shared" si="92"/>
        <v>2.2465396175555266E-7</v>
      </c>
      <c r="L363" s="3" cm="1">
        <f t="array" ref="L363">lmb_2(F363)</f>
        <v>16859.301399790347</v>
      </c>
      <c r="M363" s="3" cm="1">
        <f t="array" ref="M363">lmb_2(G363)</f>
        <v>2433.7088075218912</v>
      </c>
      <c r="N363" s="3" cm="1">
        <f t="array" ref="N363">lmb_2(H363)</f>
        <v>4.6373769366907052</v>
      </c>
      <c r="O363" s="3" cm="1">
        <f t="array" ref="O363">lmb_2(I363)</f>
        <v>1.862327533021102</v>
      </c>
      <c r="P363" s="3" cm="1">
        <f t="array" ref="P363">lmb_2(J363)</f>
        <v>0.1228381803779698</v>
      </c>
      <c r="R363" s="3">
        <f t="shared" si="93"/>
        <v>4.9939059094715821E-3</v>
      </c>
      <c r="S363" s="3">
        <f t="shared" si="94"/>
        <v>8.0632106309862905</v>
      </c>
      <c r="T363" s="3">
        <f t="shared" si="95"/>
        <v>381.54064289953402</v>
      </c>
      <c r="U363" s="3">
        <f t="shared" si="85"/>
        <v>2373.188587167982</v>
      </c>
      <c r="V363" s="3">
        <f t="shared" si="86"/>
        <v>0</v>
      </c>
      <c r="W363" s="3">
        <f t="shared" si="96"/>
        <v>637.00966736021394</v>
      </c>
      <c r="Y363" s="3">
        <f t="shared" si="97"/>
        <v>3399.8071021892792</v>
      </c>
      <c r="AA363" s="3">
        <f t="shared" si="98"/>
        <v>615.3923190293433</v>
      </c>
      <c r="AB363" s="3">
        <f t="shared" si="99"/>
        <v>-24.807102189279249</v>
      </c>
      <c r="AD363" s="3">
        <f t="shared" si="100"/>
        <v>8.1267781266276763E-6</v>
      </c>
    </row>
    <row r="364" spans="3:30" x14ac:dyDescent="0.25">
      <c r="C364" s="22">
        <v>332</v>
      </c>
      <c r="D364" s="22">
        <v>3395</v>
      </c>
      <c r="F364" s="3">
        <f t="shared" si="87"/>
        <v>16971.109622136639</v>
      </c>
      <c r="G364" s="3">
        <f t="shared" si="88"/>
        <v>2456.2544429754598</v>
      </c>
      <c r="H364" s="3">
        <f t="shared" si="89"/>
        <v>6.2117540916071405</v>
      </c>
      <c r="I364" s="3">
        <f t="shared" si="90"/>
        <v>2.496691414153446</v>
      </c>
      <c r="J364" s="3">
        <f t="shared" si="91"/>
        <v>-1.973371067858678</v>
      </c>
      <c r="K364" s="3">
        <f t="shared" si="92"/>
        <v>2.0867461689350842E-7</v>
      </c>
      <c r="L364" s="3" cm="1">
        <f t="array" ref="L364">lmb_2(F364)</f>
        <v>16961.370641329951</v>
      </c>
      <c r="M364" s="3" cm="1">
        <f t="array" ref="M364">lmb_2(G364)</f>
        <v>2448.4496391757348</v>
      </c>
      <c r="N364" s="3" cm="1">
        <f t="array" ref="N364">lmb_2(H364)</f>
        <v>4.6704900826753963</v>
      </c>
      <c r="O364" s="3" cm="1">
        <f t="array" ref="O364">lmb_2(I364)</f>
        <v>1.8704906421956753</v>
      </c>
      <c r="P364" s="3" cm="1">
        <f t="array" ref="P364">lmb_2(J364)</f>
        <v>0.12291238955813502</v>
      </c>
      <c r="R364" s="3">
        <f t="shared" si="93"/>
        <v>4.948890686360171E-3</v>
      </c>
      <c r="S364" s="3">
        <f t="shared" si="94"/>
        <v>7.9905016383480598</v>
      </c>
      <c r="T364" s="3">
        <f t="shared" si="95"/>
        <v>377.7611743244471</v>
      </c>
      <c r="U364" s="3">
        <f t="shared" si="85"/>
        <v>2363.2303634312943</v>
      </c>
      <c r="V364" s="3">
        <f t="shared" si="86"/>
        <v>0</v>
      </c>
      <c r="W364" s="3">
        <f t="shared" si="96"/>
        <v>638.78311046402121</v>
      </c>
      <c r="Y364" s="3">
        <f t="shared" si="97"/>
        <v>3387.7700989574719</v>
      </c>
      <c r="AA364" s="3">
        <f t="shared" si="98"/>
        <v>52.271469084749292</v>
      </c>
      <c r="AB364" s="3">
        <f t="shared" si="99"/>
        <v>7.2299010425281267</v>
      </c>
      <c r="AD364" s="3">
        <f t="shared" si="100"/>
        <v>2.368507260613954E-6</v>
      </c>
    </row>
    <row r="365" spans="3:30" x14ac:dyDescent="0.25">
      <c r="C365" s="22">
        <v>333</v>
      </c>
      <c r="D365" s="22">
        <v>3302</v>
      </c>
      <c r="F365" s="3">
        <f t="shared" si="87"/>
        <v>17073.492817428385</v>
      </c>
      <c r="G365" s="3">
        <f t="shared" si="88"/>
        <v>2471.045790144768</v>
      </c>
      <c r="H365" s="3">
        <f t="shared" si="89"/>
        <v>6.2521037077337258</v>
      </c>
      <c r="I365" s="3">
        <f t="shared" si="90"/>
        <v>2.5092660464650889</v>
      </c>
      <c r="J365" s="3">
        <f t="shared" si="91"/>
        <v>-1.9726908739361777</v>
      </c>
      <c r="K365" s="3">
        <f t="shared" si="92"/>
        <v>1.9383186210192026E-7</v>
      </c>
      <c r="L365" s="3" cm="1">
        <f t="array" ref="L365">lmb_2(F365)</f>
        <v>17063.747820408393</v>
      </c>
      <c r="M365" s="3" cm="1">
        <f t="array" ref="M365">lmb_2(G365)</f>
        <v>2463.2349741954622</v>
      </c>
      <c r="N365" s="3" cm="1">
        <f t="array" ref="N365">lmb_2(H365)</f>
        <v>4.7037447590216201</v>
      </c>
      <c r="O365" s="3" cm="1">
        <f t="array" ref="O365">lmb_2(I365)</f>
        <v>1.8786908621223697</v>
      </c>
      <c r="P365" s="3" cm="1">
        <f t="array" ref="P365">lmb_2(J365)</f>
        <v>0.12298686269944395</v>
      </c>
      <c r="R365" s="3">
        <f t="shared" si="93"/>
        <v>4.9044149207626555E-3</v>
      </c>
      <c r="S365" s="3">
        <f t="shared" si="94"/>
        <v>7.9186641848631423</v>
      </c>
      <c r="T365" s="3">
        <f t="shared" si="95"/>
        <v>374.02677180284263</v>
      </c>
      <c r="U365" s="3">
        <f t="shared" si="85"/>
        <v>2353.2796040106618</v>
      </c>
      <c r="V365" s="3">
        <f t="shared" si="86"/>
        <v>0</v>
      </c>
      <c r="W365" s="3">
        <f t="shared" si="96"/>
        <v>640.55655356782847</v>
      </c>
      <c r="Y365" s="3">
        <f t="shared" si="97"/>
        <v>3375.7864981749485</v>
      </c>
      <c r="AA365" s="3">
        <f t="shared" si="98"/>
        <v>5444.4473129216813</v>
      </c>
      <c r="AB365" s="3">
        <f t="shared" si="99"/>
        <v>-73.78649817494852</v>
      </c>
      <c r="AD365" s="3">
        <f t="shared" si="100"/>
        <v>2.4172371880975705E-5</v>
      </c>
    </row>
    <row r="366" spans="3:30" x14ac:dyDescent="0.25">
      <c r="C366" s="22">
        <v>334</v>
      </c>
      <c r="D366" s="22">
        <v>3362</v>
      </c>
      <c r="F366" s="3">
        <f t="shared" si="87"/>
        <v>17176.183932104468</v>
      </c>
      <c r="G366" s="3">
        <f t="shared" si="88"/>
        <v>2485.8816225687215</v>
      </c>
      <c r="H366" s="3">
        <f t="shared" si="89"/>
        <v>6.2925746760892629</v>
      </c>
      <c r="I366" s="3">
        <f t="shared" si="90"/>
        <v>2.5218784972197739</v>
      </c>
      <c r="J366" s="3">
        <f t="shared" si="91"/>
        <v>-1.9720086343176699</v>
      </c>
      <c r="K366" s="3">
        <f t="shared" si="92"/>
        <v>1.8004485320354558E-7</v>
      </c>
      <c r="L366" s="3" cm="1">
        <f t="array" ref="L366">lmb_2(F366)</f>
        <v>17166.432936916761</v>
      </c>
      <c r="M366" s="3" cm="1">
        <f t="array" ref="M366">lmb_2(G366)</f>
        <v>2478.0648124727295</v>
      </c>
      <c r="N366" s="3" cm="1">
        <f t="array" ref="N366">lmb_2(H366)</f>
        <v>4.7371409066269949</v>
      </c>
      <c r="O366" s="3" cm="1">
        <f t="array" ref="O366">lmb_2(I366)</f>
        <v>1.8869282531855045</v>
      </c>
      <c r="P366" s="3" cm="1">
        <f t="array" ref="P366">lmb_2(J366)</f>
        <v>0.12306160018068128</v>
      </c>
      <c r="R366" s="3">
        <f t="shared" si="93"/>
        <v>4.8604705550861936E-3</v>
      </c>
      <c r="S366" s="3">
        <f t="shared" si="94"/>
        <v>7.8476852521565448</v>
      </c>
      <c r="T366" s="3">
        <f t="shared" si="95"/>
        <v>370.33685393637501</v>
      </c>
      <c r="U366" s="3">
        <f t="shared" si="85"/>
        <v>2343.3369372022257</v>
      </c>
      <c r="V366" s="3">
        <f t="shared" si="86"/>
        <v>0</v>
      </c>
      <c r="W366" s="3">
        <f t="shared" si="96"/>
        <v>642.32999667163585</v>
      </c>
      <c r="Y366" s="3">
        <f t="shared" si="97"/>
        <v>3363.8563337129931</v>
      </c>
      <c r="AA366" s="3">
        <f t="shared" si="98"/>
        <v>3.4459748539947173</v>
      </c>
      <c r="AB366" s="3">
        <f t="shared" si="99"/>
        <v>-1.8563337129930915</v>
      </c>
      <c r="AD366" s="3">
        <f t="shared" si="100"/>
        <v>6.0813278791560882E-7</v>
      </c>
    </row>
    <row r="367" spans="3:30" x14ac:dyDescent="0.25">
      <c r="C367" s="22">
        <v>335</v>
      </c>
      <c r="D367" s="22">
        <v>3348</v>
      </c>
      <c r="F367" s="3">
        <f t="shared" si="87"/>
        <v>17279.182966164884</v>
      </c>
      <c r="G367" s="3">
        <f t="shared" si="88"/>
        <v>2500.7619402473197</v>
      </c>
      <c r="H367" s="3">
        <f t="shared" si="89"/>
        <v>6.3331669966737536</v>
      </c>
      <c r="I367" s="3">
        <f t="shared" si="90"/>
        <v>2.5345287664175014</v>
      </c>
      <c r="J367" s="3">
        <f t="shared" si="91"/>
        <v>-1.9713243490031545</v>
      </c>
      <c r="K367" s="3">
        <f t="shared" si="92"/>
        <v>1.6723849636259122E-7</v>
      </c>
      <c r="L367" s="3" cm="1">
        <f t="array" ref="L367">lmb_2(F367)</f>
        <v>17269.425990747106</v>
      </c>
      <c r="M367" s="3" cm="1">
        <f t="array" ref="M367">lmb_2(G367)</f>
        <v>2492.9391539001576</v>
      </c>
      <c r="N367" s="3" cm="1">
        <f t="array" ref="N367">lmb_2(H367)</f>
        <v>4.7706784658589569</v>
      </c>
      <c r="O367" s="3" cm="1">
        <f t="array" ref="O367">lmb_2(I367)</f>
        <v>1.8952028753704531</v>
      </c>
      <c r="P367" s="3" cm="1">
        <f t="array" ref="P367">lmb_2(J367)</f>
        <v>0.12313660238201912</v>
      </c>
      <c r="R367" s="3">
        <f t="shared" si="93"/>
        <v>4.8170496757422975E-3</v>
      </c>
      <c r="S367" s="3">
        <f t="shared" si="94"/>
        <v>7.7775520544772059</v>
      </c>
      <c r="T367" s="3">
        <f t="shared" si="95"/>
        <v>366.69084639967741</v>
      </c>
      <c r="U367" s="3">
        <f t="shared" si="85"/>
        <v>2333.4029815611989</v>
      </c>
      <c r="V367" s="3">
        <f t="shared" si="86"/>
        <v>0</v>
      </c>
      <c r="W367" s="3">
        <f t="shared" si="96"/>
        <v>644.10343977544312</v>
      </c>
      <c r="Y367" s="3">
        <f t="shared" si="97"/>
        <v>3351.9796370077106</v>
      </c>
      <c r="AA367" s="3">
        <f t="shared" si="98"/>
        <v>15.837510713139839</v>
      </c>
      <c r="AB367" s="3">
        <f t="shared" si="99"/>
        <v>-3.9796370077106076</v>
      </c>
      <c r="AD367" s="3">
        <f t="shared" si="100"/>
        <v>1.3037245035479189E-6</v>
      </c>
    </row>
    <row r="368" spans="3:30" x14ac:dyDescent="0.25">
      <c r="C368" s="22">
        <v>336</v>
      </c>
      <c r="D368" s="22">
        <v>3386</v>
      </c>
      <c r="F368" s="3">
        <f t="shared" si="87"/>
        <v>17382.489919609641</v>
      </c>
      <c r="G368" s="3">
        <f t="shared" si="88"/>
        <v>2515.6867431805613</v>
      </c>
      <c r="H368" s="3">
        <f t="shared" si="89"/>
        <v>6.3738806694871943</v>
      </c>
      <c r="I368" s="3">
        <f t="shared" si="90"/>
        <v>2.5472168540582714</v>
      </c>
      <c r="J368" s="3">
        <f t="shared" si="91"/>
        <v>-1.9706380179926317</v>
      </c>
      <c r="K368" s="3">
        <f t="shared" si="92"/>
        <v>1.553430390703868E-7</v>
      </c>
      <c r="L368" s="3" cm="1">
        <f t="array" ref="L368">lmb_2(F368)</f>
        <v>17372.726981792457</v>
      </c>
      <c r="M368" s="3" cm="1">
        <f t="array" ref="M368">lmb_2(G368)</f>
        <v>2507.8579983713239</v>
      </c>
      <c r="N368" s="3" cm="1">
        <f t="array" ref="N368">lmb_2(H368)</f>
        <v>4.80435737657593</v>
      </c>
      <c r="O368" s="3" cm="1">
        <f t="array" ref="O368">lmb_2(I368)</f>
        <v>1.9035147882630046</v>
      </c>
      <c r="P368" s="3" cm="1">
        <f t="array" ref="P368">lmb_2(J368)</f>
        <v>0.12321186968501903</v>
      </c>
      <c r="R368" s="3">
        <f t="shared" si="93"/>
        <v>4.7741445101529409E-3</v>
      </c>
      <c r="S368" s="3">
        <f t="shared" si="94"/>
        <v>7.708252033863662</v>
      </c>
      <c r="T368" s="3">
        <f t="shared" si="95"/>
        <v>363.08818188926847</v>
      </c>
      <c r="U368" s="3">
        <f t="shared" si="85"/>
        <v>2323.4783459546561</v>
      </c>
      <c r="V368" s="3">
        <f t="shared" si="86"/>
        <v>0</v>
      </c>
      <c r="W368" s="3">
        <f t="shared" si="96"/>
        <v>645.87688287925039</v>
      </c>
      <c r="Y368" s="3">
        <f t="shared" si="97"/>
        <v>3340.1564370568917</v>
      </c>
      <c r="AA368" s="3">
        <f t="shared" si="98"/>
        <v>2101.632263318731</v>
      </c>
      <c r="AB368" s="3">
        <f t="shared" si="99"/>
        <v>45.843562943108282</v>
      </c>
      <c r="AD368" s="3">
        <f t="shared" si="100"/>
        <v>1.5018298458646206E-5</v>
      </c>
    </row>
    <row r="369" spans="3:30" x14ac:dyDescent="0.25">
      <c r="C369" s="22">
        <v>337</v>
      </c>
      <c r="D369" s="22">
        <v>3361</v>
      </c>
      <c r="F369" s="3">
        <f t="shared" si="87"/>
        <v>17486.104792438731</v>
      </c>
      <c r="G369" s="3">
        <f t="shared" si="88"/>
        <v>2530.6560313684481</v>
      </c>
      <c r="H369" s="3">
        <f t="shared" si="89"/>
        <v>6.4147156945295887</v>
      </c>
      <c r="I369" s="3">
        <f t="shared" si="90"/>
        <v>2.5599427601420834</v>
      </c>
      <c r="J369" s="3">
        <f t="shared" si="91"/>
        <v>-1.9699496412861013</v>
      </c>
      <c r="K369" s="3">
        <f t="shared" si="92"/>
        <v>1.4429369022371606E-7</v>
      </c>
      <c r="L369" s="3" cm="1">
        <f t="array" ref="L369">lmb_2(F369)</f>
        <v>17476.335909946785</v>
      </c>
      <c r="M369" s="3" cm="1">
        <f t="array" ref="M369">lmb_2(G369)</f>
        <v>2522.8213457807533</v>
      </c>
      <c r="N369" s="3" cm="1">
        <f t="array" ref="N369">lmb_2(H369)</f>
        <v>4.8381775781480494</v>
      </c>
      <c r="O369" s="3" cm="1">
        <f t="array" ref="O369">lmb_2(I369)</f>
        <v>1.9118640510487752</v>
      </c>
      <c r="P369" s="3" cm="1">
        <f t="array" ref="P369">lmb_2(J369)</f>
        <v>0.12328740247263435</v>
      </c>
      <c r="R369" s="3">
        <f t="shared" si="93"/>
        <v>4.7317474238276168E-3</v>
      </c>
      <c r="S369" s="3">
        <f t="shared" si="94"/>
        <v>7.6397728554241935</v>
      </c>
      <c r="T369" s="3">
        <f t="shared" si="95"/>
        <v>359.52830007119519</v>
      </c>
      <c r="U369" s="3">
        <f t="shared" si="85"/>
        <v>2313.5636296155149</v>
      </c>
      <c r="V369" s="3">
        <f t="shared" si="86"/>
        <v>0</v>
      </c>
      <c r="W369" s="3">
        <f t="shared" si="96"/>
        <v>647.65032598305766</v>
      </c>
      <c r="Y369" s="3">
        <f t="shared" si="97"/>
        <v>3328.3867604169095</v>
      </c>
      <c r="AA369" s="3">
        <f t="shared" si="98"/>
        <v>1063.6233961040602</v>
      </c>
      <c r="AB369" s="3">
        <f t="shared" si="99"/>
        <v>32.61323958309049</v>
      </c>
      <c r="AD369" s="3">
        <f t="shared" si="100"/>
        <v>1.0684059752729557E-5</v>
      </c>
    </row>
    <row r="370" spans="3:30" x14ac:dyDescent="0.25">
      <c r="C370" s="22">
        <v>338</v>
      </c>
      <c r="D370" s="22">
        <v>3248</v>
      </c>
      <c r="F370" s="3">
        <f t="shared" si="87"/>
        <v>17590.027584652154</v>
      </c>
      <c r="G370" s="3">
        <f t="shared" si="88"/>
        <v>2545.6698048109793</v>
      </c>
      <c r="H370" s="3">
        <f t="shared" si="89"/>
        <v>6.4556720718009348</v>
      </c>
      <c r="I370" s="3">
        <f t="shared" si="90"/>
        <v>2.5727064846689385</v>
      </c>
      <c r="J370" s="3">
        <f t="shared" si="91"/>
        <v>-1.9692592188835634</v>
      </c>
      <c r="K370" s="3">
        <f t="shared" si="92"/>
        <v>1.3403026722648129E-7</v>
      </c>
      <c r="L370" s="3" cm="1">
        <f t="array" ref="L370">lmb_2(F370)</f>
        <v>17580.252775105007</v>
      </c>
      <c r="M370" s="3" cm="1">
        <f t="array" ref="M370">lmb_2(G370)</f>
        <v>2537.8291960239039</v>
      </c>
      <c r="N370" s="3" cm="1">
        <f t="array" ref="N370">lmb_2(H370)</f>
        <v>4.8721390094774248</v>
      </c>
      <c r="O370" s="3" cm="1">
        <f t="array" ref="O370">lmb_2(I370)</f>
        <v>1.9202507225126666</v>
      </c>
      <c r="P370" s="3" cm="1">
        <f t="array" ref="P370">lmb_2(J370)</f>
        <v>0.12336320112921269</v>
      </c>
      <c r="R370" s="3">
        <f t="shared" si="93"/>
        <v>4.689850917509418E-3</v>
      </c>
      <c r="S370" s="3">
        <f t="shared" si="94"/>
        <v>7.5721024027284205</v>
      </c>
      <c r="T370" s="3">
        <f t="shared" si="95"/>
        <v>356.01064752750341</v>
      </c>
      <c r="U370" s="3">
        <f t="shared" si="85"/>
        <v>2303.6594221976816</v>
      </c>
      <c r="V370" s="3">
        <f t="shared" si="86"/>
        <v>0</v>
      </c>
      <c r="W370" s="3">
        <f t="shared" si="96"/>
        <v>649.42376908686504</v>
      </c>
      <c r="Y370" s="3">
        <f t="shared" si="97"/>
        <v>3316.6706311997264</v>
      </c>
      <c r="AA370" s="3">
        <f t="shared" si="98"/>
        <v>4715.655589368831</v>
      </c>
      <c r="AB370" s="3">
        <f t="shared" si="99"/>
        <v>-68.670631199726358</v>
      </c>
      <c r="AD370" s="3">
        <f t="shared" si="100"/>
        <v>2.2496419747762023E-5</v>
      </c>
    </row>
    <row r="371" spans="3:30" x14ac:dyDescent="0.25">
      <c r="C371" s="22">
        <v>339</v>
      </c>
      <c r="D371" s="22">
        <v>3326</v>
      </c>
      <c r="F371" s="3">
        <f t="shared" si="87"/>
        <v>17694.258296249918</v>
      </c>
      <c r="G371" s="3">
        <f t="shared" si="88"/>
        <v>2560.7280635081556</v>
      </c>
      <c r="H371" s="3">
        <f t="shared" si="89"/>
        <v>6.4967498013012346</v>
      </c>
      <c r="I371" s="3">
        <f t="shared" si="90"/>
        <v>2.5855080276388365</v>
      </c>
      <c r="J371" s="3">
        <f t="shared" si="91"/>
        <v>-1.968566750785018</v>
      </c>
      <c r="K371" s="3">
        <f t="shared" si="92"/>
        <v>1.2449686819257329E-7</v>
      </c>
      <c r="L371" s="3" cm="1">
        <f t="array" ref="L371">lmb_2(F371)</f>
        <v>17684.47757716299</v>
      </c>
      <c r="M371" s="3" cm="1">
        <f t="array" ref="M371">lmb_2(G371)</f>
        <v>2552.8815489971576</v>
      </c>
      <c r="N371" s="3" cm="1">
        <f t="array" ref="N371">lmb_2(H371)</f>
        <v>4.906241609017969</v>
      </c>
      <c r="O371" s="3" cm="1">
        <f t="array" ref="O371">lmb_2(I371)</f>
        <v>1.9286748610383675</v>
      </c>
      <c r="P371" s="3" cm="1">
        <f t="array" ref="P371">lmb_2(J371)</f>
        <v>0.12343926604049782</v>
      </c>
      <c r="R371" s="3">
        <f t="shared" si="93"/>
        <v>4.6484476243883414E-3</v>
      </c>
      <c r="S371" s="3">
        <f t="shared" si="94"/>
        <v>7.5052287733073175</v>
      </c>
      <c r="T371" s="3">
        <f t="shared" si="95"/>
        <v>352.53467770161808</v>
      </c>
      <c r="U371" s="3">
        <f t="shared" si="85"/>
        <v>2293.766303832319</v>
      </c>
      <c r="V371" s="3">
        <f t="shared" si="86"/>
        <v>0</v>
      </c>
      <c r="W371" s="3">
        <f t="shared" si="96"/>
        <v>651.1972121906723</v>
      </c>
      <c r="Y371" s="3">
        <f t="shared" si="97"/>
        <v>3305.0080710700381</v>
      </c>
      <c r="AA371" s="3">
        <f t="shared" si="98"/>
        <v>440.66108020057078</v>
      </c>
      <c r="AB371" s="3">
        <f t="shared" si="99"/>
        <v>20.991928929961887</v>
      </c>
      <c r="AD371" s="3">
        <f t="shared" si="100"/>
        <v>6.8769317577714845E-6</v>
      </c>
    </row>
    <row r="372" spans="3:30" x14ac:dyDescent="0.25">
      <c r="C372" s="22">
        <v>340</v>
      </c>
      <c r="D372" s="22">
        <v>3232</v>
      </c>
      <c r="F372" s="3">
        <f t="shared" si="87"/>
        <v>17798.796927232022</v>
      </c>
      <c r="G372" s="3">
        <f t="shared" si="88"/>
        <v>2575.8308074599759</v>
      </c>
      <c r="H372" s="3">
        <f t="shared" si="89"/>
        <v>6.5379488830304844</v>
      </c>
      <c r="I372" s="3">
        <f t="shared" si="90"/>
        <v>2.5983473890517765</v>
      </c>
      <c r="J372" s="3">
        <f t="shared" si="91"/>
        <v>-1.9678722369904649</v>
      </c>
      <c r="K372" s="3">
        <f t="shared" si="92"/>
        <v>1.1564156746452138E-7</v>
      </c>
      <c r="L372" s="3" cm="1">
        <f t="array" ref="L372">lmb_2(F372)</f>
        <v>17789.010316017499</v>
      </c>
      <c r="M372" s="3" cm="1">
        <f t="array" ref="M372">lmb_2(G372)</f>
        <v>2567.9784045978058</v>
      </c>
      <c r="N372" s="3" cm="1">
        <f t="array" ref="N372">lmb_2(H372)</f>
        <v>4.9404853147947776</v>
      </c>
      <c r="O372" s="3" cm="1">
        <f t="array" ref="O372">lmb_2(I372)</f>
        <v>1.9371365246079033</v>
      </c>
      <c r="P372" s="3" cm="1">
        <f t="array" ref="P372">lmb_2(J372)</f>
        <v>0.12351559759363229</v>
      </c>
      <c r="R372" s="3">
        <f t="shared" si="93"/>
        <v>4.607530307380054E-3</v>
      </c>
      <c r="S372" s="3">
        <f t="shared" si="94"/>
        <v>7.4391402742588797</v>
      </c>
      <c r="T372" s="3">
        <f t="shared" si="95"/>
        <v>349.09985084271642</v>
      </c>
      <c r="U372" s="3">
        <f t="shared" si="85"/>
        <v>2283.8848451852105</v>
      </c>
      <c r="V372" s="3">
        <f t="shared" si="86"/>
        <v>0</v>
      </c>
      <c r="W372" s="3">
        <f t="shared" si="96"/>
        <v>652.97065529447957</v>
      </c>
      <c r="Y372" s="3">
        <f t="shared" si="97"/>
        <v>3293.3990992426138</v>
      </c>
      <c r="AA372" s="3">
        <f t="shared" si="98"/>
        <v>3769.8493878043419</v>
      </c>
      <c r="AB372" s="3">
        <f t="shared" si="99"/>
        <v>-61.399099242613829</v>
      </c>
      <c r="AD372" s="3">
        <f t="shared" si="100"/>
        <v>2.0114274247443383E-5</v>
      </c>
    </row>
    <row r="373" spans="3:30" x14ac:dyDescent="0.25">
      <c r="C373" s="22">
        <v>341</v>
      </c>
      <c r="D373" s="22">
        <v>3287</v>
      </c>
      <c r="F373" s="3">
        <f t="shared" si="87"/>
        <v>17903.643477598453</v>
      </c>
      <c r="G373" s="3">
        <f t="shared" si="88"/>
        <v>2590.9780366664409</v>
      </c>
      <c r="H373" s="3">
        <f t="shared" si="89"/>
        <v>6.579269316988686</v>
      </c>
      <c r="I373" s="3">
        <f t="shared" si="90"/>
        <v>2.6112245689077591</v>
      </c>
      <c r="J373" s="3">
        <f t="shared" si="91"/>
        <v>-1.9671756774999043</v>
      </c>
      <c r="K373" s="3">
        <f t="shared" si="92"/>
        <v>1.0741613278950938E-7</v>
      </c>
      <c r="L373" s="3" cm="1">
        <f t="array" ref="L373">lmb_2(F373)</f>
        <v>17893.850991566203</v>
      </c>
      <c r="M373" s="3" cm="1">
        <f t="array" ref="M373">lmb_2(G373)</f>
        <v>2583.1197627240463</v>
      </c>
      <c r="N373" s="3" cm="1">
        <f t="array" ref="N373">lmb_2(H373)</f>
        <v>4.9748700644231025</v>
      </c>
      <c r="O373" s="3" cm="1">
        <f t="array" ref="O373">lmb_2(I373)</f>
        <v>1.9456357708012297</v>
      </c>
      <c r="P373" s="3" cm="1">
        <f t="array" ref="P373">lmb_2(J373)</f>
        <v>0.12359219617715946</v>
      </c>
      <c r="R373" s="3">
        <f t="shared" si="93"/>
        <v>4.567091856468343E-3</v>
      </c>
      <c r="S373" s="3">
        <f t="shared" si="94"/>
        <v>7.3738254179565423</v>
      </c>
      <c r="T373" s="3">
        <f t="shared" si="95"/>
        <v>345.7056339491694</v>
      </c>
      <c r="U373" s="3">
        <f t="shared" si="85"/>
        <v>2274.0156075151704</v>
      </c>
      <c r="V373" s="3">
        <f t="shared" si="86"/>
        <v>0</v>
      </c>
      <c r="W373" s="3">
        <f t="shared" si="96"/>
        <v>654.74409839828684</v>
      </c>
      <c r="Y373" s="3">
        <f t="shared" si="97"/>
        <v>3281.843732479856</v>
      </c>
      <c r="AA373" s="3">
        <f t="shared" si="98"/>
        <v>26.587094739291501</v>
      </c>
      <c r="AB373" s="3">
        <f t="shared" si="99"/>
        <v>5.1562675201439561</v>
      </c>
      <c r="AD373" s="3">
        <f t="shared" si="100"/>
        <v>1.6891873052329339E-6</v>
      </c>
    </row>
    <row r="374" spans="3:30" x14ac:dyDescent="0.25">
      <c r="C374" s="22">
        <v>342</v>
      </c>
      <c r="D374" s="22">
        <v>3182</v>
      </c>
      <c r="F374" s="3">
        <f t="shared" si="87"/>
        <v>18008.797947349227</v>
      </c>
      <c r="G374" s="3">
        <f t="shared" si="88"/>
        <v>2606.1697511275506</v>
      </c>
      <c r="H374" s="3">
        <f t="shared" si="89"/>
        <v>6.6207111031758412</v>
      </c>
      <c r="I374" s="3">
        <f t="shared" si="90"/>
        <v>2.6241395672067838</v>
      </c>
      <c r="J374" s="3">
        <f t="shared" si="91"/>
        <v>-1.9664770723133365</v>
      </c>
      <c r="K374" s="3">
        <f t="shared" si="92"/>
        <v>9.9775762612292327E-8</v>
      </c>
      <c r="L374" s="3" cm="1">
        <f t="array" ref="L374">lmb_2(F374)</f>
        <v>17998.999603707703</v>
      </c>
      <c r="M374" s="3" cm="1">
        <f t="array" ref="M374">lmb_2(G374)</f>
        <v>2598.3056232749641</v>
      </c>
      <c r="N374" s="3" cm="1">
        <f t="array" ref="N374">lmb_2(H374)</f>
        <v>5.0093957951268795</v>
      </c>
      <c r="O374" s="3" cm="1">
        <f t="array" ref="O374">lmb_2(I374)</f>
        <v>1.9541726567958728</v>
      </c>
      <c r="P374" s="3" cm="1">
        <f t="array" ref="P374">lmb_2(J374)</f>
        <v>0.12366906218102602</v>
      </c>
      <c r="R374" s="3">
        <f t="shared" si="93"/>
        <v>4.5271252861096099E-3</v>
      </c>
      <c r="S374" s="3">
        <f t="shared" si="94"/>
        <v>7.3092729178578093</v>
      </c>
      <c r="T374" s="3">
        <f t="shared" si="95"/>
        <v>342.35150071113179</v>
      </c>
      <c r="U374" s="3">
        <f t="shared" si="85"/>
        <v>2264.1591427334733</v>
      </c>
      <c r="V374" s="3">
        <f t="shared" si="86"/>
        <v>0</v>
      </c>
      <c r="W374" s="3">
        <f t="shared" si="96"/>
        <v>656.5175415020941</v>
      </c>
      <c r="Y374" s="3">
        <f t="shared" si="97"/>
        <v>3270.3419850896189</v>
      </c>
      <c r="AA374" s="3">
        <f t="shared" si="98"/>
        <v>7804.3063295744487</v>
      </c>
      <c r="AB374" s="3">
        <f t="shared" si="99"/>
        <v>-88.341985089618902</v>
      </c>
      <c r="AD374" s="3">
        <f t="shared" si="100"/>
        <v>2.8940732642261197E-5</v>
      </c>
    </row>
    <row r="375" spans="3:30" x14ac:dyDescent="0.25">
      <c r="C375" s="22">
        <v>343</v>
      </c>
      <c r="D375" s="22">
        <v>3247</v>
      </c>
      <c r="F375" s="3">
        <f t="shared" si="87"/>
        <v>18114.260336484334</v>
      </c>
      <c r="G375" s="3">
        <f t="shared" si="88"/>
        <v>2621.4059508433038</v>
      </c>
      <c r="H375" s="3">
        <f t="shared" si="89"/>
        <v>6.6622742415919483</v>
      </c>
      <c r="I375" s="3">
        <f t="shared" si="90"/>
        <v>2.6370923839488518</v>
      </c>
      <c r="J375" s="3">
        <f t="shared" si="91"/>
        <v>-1.9657764214307609</v>
      </c>
      <c r="K375" s="3">
        <f t="shared" si="92"/>
        <v>9.2678842054131071E-8</v>
      </c>
      <c r="L375" s="3" cm="1">
        <f t="array" ref="L375">lmb_2(F375)</f>
        <v>18104.456152341463</v>
      </c>
      <c r="M375" s="3" cm="1">
        <f t="array" ref="M375">lmb_2(G375)</f>
        <v>2613.5359861505262</v>
      </c>
      <c r="N375" s="3" cm="1">
        <f t="array" ref="N375">lmb_2(H375)</f>
        <v>5.0440624437568538</v>
      </c>
      <c r="O375" s="3" cm="1">
        <f t="array" ref="O375">lmb_2(I375)</f>
        <v>1.9627472393666119</v>
      </c>
      <c r="P375" s="3" cm="1">
        <f t="array" ref="P375">lmb_2(J375)</f>
        <v>0.12374619599658418</v>
      </c>
      <c r="R375" s="3">
        <f t="shared" si="93"/>
        <v>4.4876237326978109E-3</v>
      </c>
      <c r="S375" s="3">
        <f t="shared" si="94"/>
        <v>7.2454716844103233</v>
      </c>
      <c r="T375" s="3">
        <f t="shared" si="95"/>
        <v>339.0369314523474</v>
      </c>
      <c r="U375" s="3">
        <f t="shared" si="85"/>
        <v>2254.3159934642663</v>
      </c>
      <c r="V375" s="3">
        <f t="shared" si="86"/>
        <v>0</v>
      </c>
      <c r="W375" s="3">
        <f t="shared" si="96"/>
        <v>658.29098460590149</v>
      </c>
      <c r="Y375" s="3">
        <f t="shared" si="97"/>
        <v>3258.8938689233373</v>
      </c>
      <c r="AA375" s="3">
        <f t="shared" si="98"/>
        <v>141.46411796552931</v>
      </c>
      <c r="AB375" s="3">
        <f t="shared" si="99"/>
        <v>-11.893868923337322</v>
      </c>
      <c r="AD375" s="3">
        <f t="shared" si="100"/>
        <v>3.8964177705901875E-6</v>
      </c>
    </row>
    <row r="376" spans="3:30" x14ac:dyDescent="0.25">
      <c r="C376" s="22">
        <v>344</v>
      </c>
      <c r="D376" s="22">
        <v>3133</v>
      </c>
      <c r="F376" s="3">
        <f t="shared" si="87"/>
        <v>18220.030645003775</v>
      </c>
      <c r="G376" s="3">
        <f t="shared" si="88"/>
        <v>2636.6866358137027</v>
      </c>
      <c r="H376" s="3">
        <f t="shared" si="89"/>
        <v>6.7039587322370071</v>
      </c>
      <c r="I376" s="3">
        <f t="shared" si="90"/>
        <v>2.6500830191339619</v>
      </c>
      <c r="J376" s="3">
        <f t="shared" si="91"/>
        <v>-1.9650737248521779</v>
      </c>
      <c r="K376" s="3">
        <f t="shared" si="92"/>
        <v>8.6086716248624959E-8</v>
      </c>
      <c r="L376" s="3" cm="1">
        <f t="array" ref="L376">lmb_2(F376)</f>
        <v>18210.220637367824</v>
      </c>
      <c r="M376" s="3" cm="1">
        <f t="array" ref="M376">lmb_2(G376)</f>
        <v>2628.8108512515732</v>
      </c>
      <c r="N376" s="3" cm="1">
        <f t="array" ref="N376">lmb_2(H376)</f>
        <v>5.0788699468082932</v>
      </c>
      <c r="O376" s="3" cm="1">
        <f t="array" ref="O376">lmb_2(I376)</f>
        <v>1.9713595748852044</v>
      </c>
      <c r="P376" s="3" cm="1">
        <f t="array" ref="P376">lmb_2(J376)</f>
        <v>0.12382359801659396</v>
      </c>
      <c r="R376" s="3">
        <f t="shared" si="93"/>
        <v>4.4485804520882138E-3</v>
      </c>
      <c r="S376" s="3">
        <f t="shared" si="94"/>
        <v>7.1824108210529127</v>
      </c>
      <c r="T376" s="3">
        <f t="shared" si="95"/>
        <v>335.76141307124226</v>
      </c>
      <c r="U376" s="3">
        <f t="shared" si="85"/>
        <v>2244.486693105935</v>
      </c>
      <c r="V376" s="3">
        <f t="shared" si="86"/>
        <v>0</v>
      </c>
      <c r="W376" s="3">
        <f t="shared" si="96"/>
        <v>660.06442770970875</v>
      </c>
      <c r="Y376" s="3">
        <f t="shared" si="97"/>
        <v>3247.4993933744777</v>
      </c>
      <c r="AA376" s="3">
        <f t="shared" si="98"/>
        <v>13110.111083123382</v>
      </c>
      <c r="AB376" s="3">
        <f t="shared" si="99"/>
        <v>-114.49939337447768</v>
      </c>
      <c r="AD376" s="3">
        <f t="shared" si="100"/>
        <v>3.7509869491728742E-5</v>
      </c>
    </row>
    <row r="377" spans="3:30" x14ac:dyDescent="0.25">
      <c r="C377" s="22">
        <v>345</v>
      </c>
      <c r="D377" s="22">
        <v>3151</v>
      </c>
      <c r="F377" s="3">
        <f t="shared" si="87"/>
        <v>18326.108872907553</v>
      </c>
      <c r="G377" s="3">
        <f t="shared" si="88"/>
        <v>2652.0118060387458</v>
      </c>
      <c r="H377" s="3">
        <f t="shared" si="89"/>
        <v>6.7457645751110178</v>
      </c>
      <c r="I377" s="3">
        <f t="shared" si="90"/>
        <v>2.663111472762115</v>
      </c>
      <c r="J377" s="3">
        <f t="shared" si="91"/>
        <v>-1.9643689825775874</v>
      </c>
      <c r="K377" s="3">
        <f t="shared" si="92"/>
        <v>7.9963479799874801E-8</v>
      </c>
      <c r="L377" s="3" cm="1">
        <f t="array" ref="L377">lmb_2(F377)</f>
        <v>18316.29305868801</v>
      </c>
      <c r="M377" s="3" cm="1">
        <f t="array" ref="M377">lmb_2(G377)</f>
        <v>2644.1302184798014</v>
      </c>
      <c r="N377" s="3" cm="1">
        <f t="array" ref="N377">lmb_2(H377)</f>
        <v>5.1138182404383041</v>
      </c>
      <c r="O377" s="3" cm="1">
        <f t="array" ref="O377">lmb_2(I377)</f>
        <v>1.9800097193201622</v>
      </c>
      <c r="P377" s="3" cm="1">
        <f t="array" ref="P377">lmb_2(J377)</f>
        <v>0.12390126863522563</v>
      </c>
      <c r="R377" s="3">
        <f t="shared" si="93"/>
        <v>4.4099888171784543E-3</v>
      </c>
      <c r="S377" s="3">
        <f t="shared" si="94"/>
        <v>7.1200796203091672</v>
      </c>
      <c r="T377" s="3">
        <f t="shared" si="95"/>
        <v>332.52443898137119</v>
      </c>
      <c r="U377" s="3">
        <f t="shared" si="85"/>
        <v>2234.671765893363</v>
      </c>
      <c r="V377" s="3">
        <f t="shared" si="86"/>
        <v>0</v>
      </c>
      <c r="W377" s="3">
        <f t="shared" si="96"/>
        <v>661.83787081351602</v>
      </c>
      <c r="Y377" s="3">
        <f t="shared" si="97"/>
        <v>3236.1585653773404</v>
      </c>
      <c r="AA377" s="3">
        <f t="shared" si="98"/>
        <v>7251.9812571267657</v>
      </c>
      <c r="AB377" s="3">
        <f t="shared" si="99"/>
        <v>-85.158565377340437</v>
      </c>
      <c r="AD377" s="3">
        <f t="shared" si="100"/>
        <v>2.7897848008327595E-5</v>
      </c>
    </row>
    <row r="378" spans="3:30" x14ac:dyDescent="0.25">
      <c r="C378" s="22">
        <v>346</v>
      </c>
      <c r="D378" s="22">
        <v>3249</v>
      </c>
      <c r="F378" s="3">
        <f t="shared" si="87"/>
        <v>18432.495020195667</v>
      </c>
      <c r="G378" s="3">
        <f t="shared" si="88"/>
        <v>2667.3814615184338</v>
      </c>
      <c r="H378" s="3">
        <f t="shared" si="89"/>
        <v>6.7876917702139821</v>
      </c>
      <c r="I378" s="3">
        <f t="shared" si="90"/>
        <v>2.6761777448333106</v>
      </c>
      <c r="J378" s="3">
        <f t="shared" si="91"/>
        <v>-1.9636621946069892</v>
      </c>
      <c r="K378" s="3">
        <f t="shared" si="92"/>
        <v>7.4275781216211667E-8</v>
      </c>
      <c r="L378" s="3" cm="1">
        <f t="array" ref="L378">lmb_2(F378)</f>
        <v>18422.673416204099</v>
      </c>
      <c r="M378" s="3" cm="1">
        <f t="array" ref="M378">lmb_2(G378)</f>
        <v>2659.4940877377612</v>
      </c>
      <c r="N378" s="3" cm="1">
        <f t="array" ref="N378">lmb_2(H378)</f>
        <v>5.1489072604827486</v>
      </c>
      <c r="O378" s="3" cm="1">
        <f t="array" ref="O378">lmb_2(I378)</f>
        <v>1.9886977282365617</v>
      </c>
      <c r="P378" s="3" cm="1">
        <f t="array" ref="P378">lmb_2(J378)</f>
        <v>0.12397920824806184</v>
      </c>
      <c r="R378" s="3">
        <f t="shared" si="93"/>
        <v>4.3718423155454395E-3</v>
      </c>
      <c r="S378" s="3">
        <f t="shared" si="94"/>
        <v>7.0584675599710422</v>
      </c>
      <c r="T378" s="3">
        <f t="shared" si="95"/>
        <v>329.3255090512809</v>
      </c>
      <c r="U378" s="3">
        <f t="shared" si="85"/>
        <v>2224.8717269610916</v>
      </c>
      <c r="V378" s="3">
        <f t="shared" si="86"/>
        <v>0</v>
      </c>
      <c r="W378" s="3">
        <f t="shared" si="96"/>
        <v>663.61131391732329</v>
      </c>
      <c r="Y378" s="3">
        <f t="shared" si="97"/>
        <v>3224.8713894062585</v>
      </c>
      <c r="AA378" s="3">
        <f t="shared" si="98"/>
        <v>582.18984918441652</v>
      </c>
      <c r="AB378" s="3">
        <f t="shared" si="99"/>
        <v>24.128610593741541</v>
      </c>
      <c r="AD378" s="3">
        <f t="shared" si="100"/>
        <v>7.9045050608078607E-6</v>
      </c>
    </row>
    <row r="379" spans="3:30" x14ac:dyDescent="0.25">
      <c r="C379" s="22">
        <v>347</v>
      </c>
      <c r="D379" s="22">
        <v>3103</v>
      </c>
      <c r="F379" s="3">
        <f t="shared" si="87"/>
        <v>18539.189086868126</v>
      </c>
      <c r="G379" s="3">
        <f t="shared" si="88"/>
        <v>2682.795602252766</v>
      </c>
      <c r="H379" s="3">
        <f t="shared" si="89"/>
        <v>6.8297403175458946</v>
      </c>
      <c r="I379" s="3">
        <f t="shared" si="90"/>
        <v>2.6892818353475483</v>
      </c>
      <c r="J379" s="3">
        <f t="shared" si="91"/>
        <v>-1.9629533609403835</v>
      </c>
      <c r="K379" s="3">
        <f t="shared" si="92"/>
        <v>6.8992641254303956E-8</v>
      </c>
      <c r="L379" s="3" cm="1">
        <f t="array" ref="L379">lmb_2(F379)</f>
        <v>18529.361709819019</v>
      </c>
      <c r="M379" s="3" cm="1">
        <f t="array" ref="M379">lmb_2(G379)</f>
        <v>2674.9024589288424</v>
      </c>
      <c r="N379" s="3" cm="1">
        <f t="array" ref="N379">lmb_2(H379)</f>
        <v>5.1841369424727661</v>
      </c>
      <c r="O379" s="3" cm="1">
        <f t="array" ref="O379">lmb_2(I379)</f>
        <v>1.9974236567959034</v>
      </c>
      <c r="P379" s="3" cm="1">
        <f t="array" ref="P379">lmb_2(J379)</f>
        <v>0.12405741725210012</v>
      </c>
      <c r="R379" s="3">
        <f t="shared" si="93"/>
        <v>4.3341345471366033E-3</v>
      </c>
      <c r="S379" s="3">
        <f t="shared" si="94"/>
        <v>6.9975642993702776</v>
      </c>
      <c r="T379" s="3">
        <f t="shared" si="95"/>
        <v>326.16412954385333</v>
      </c>
      <c r="U379" s="3">
        <f t="shared" si="85"/>
        <v>2215.087082407309</v>
      </c>
      <c r="V379" s="3">
        <f t="shared" si="86"/>
        <v>0</v>
      </c>
      <c r="W379" s="3">
        <f t="shared" si="96"/>
        <v>665.38475702113067</v>
      </c>
      <c r="Y379" s="3">
        <f t="shared" si="97"/>
        <v>3213.6378674752027</v>
      </c>
      <c r="AA379" s="3">
        <f t="shared" si="98"/>
        <v>12240.737719460518</v>
      </c>
      <c r="AB379" s="3">
        <f t="shared" si="99"/>
        <v>-110.63786747520271</v>
      </c>
      <c r="AD379" s="3">
        <f t="shared" si="100"/>
        <v>3.6244838051369858E-5</v>
      </c>
    </row>
    <row r="380" spans="3:30" x14ac:dyDescent="0.25">
      <c r="C380" s="22">
        <v>348</v>
      </c>
      <c r="D380" s="22">
        <v>3219</v>
      </c>
      <c r="F380" s="3">
        <f t="shared" si="87"/>
        <v>18646.19107292491</v>
      </c>
      <c r="G380" s="3">
        <f t="shared" si="88"/>
        <v>2698.2542282417426</v>
      </c>
      <c r="H380" s="3">
        <f t="shared" si="89"/>
        <v>6.8719102171067643</v>
      </c>
      <c r="I380" s="3">
        <f t="shared" si="90"/>
        <v>2.7024237443048285</v>
      </c>
      <c r="J380" s="3">
        <f t="shared" si="91"/>
        <v>-1.9622424815777706</v>
      </c>
      <c r="K380" s="3">
        <f t="shared" si="92"/>
        <v>6.4085284184209343E-8</v>
      </c>
      <c r="L380" s="3" cm="1">
        <f t="array" ref="L380">lmb_2(F380)</f>
        <v>18636.357939436515</v>
      </c>
      <c r="M380" s="3" cm="1">
        <f t="array" ref="M380">lmb_2(G380)</f>
        <v>2690.3553319572661</v>
      </c>
      <c r="N380" s="3" cm="1">
        <f t="array" ref="N380">lmb_2(H380)</f>
        <v>5.2195072216509431</v>
      </c>
      <c r="O380" s="3" cm="1">
        <f t="array" ref="O380">lmb_2(I380)</f>
        <v>2.0061875597560124</v>
      </c>
      <c r="P380" s="3" cm="1">
        <f t="array" ref="P380">lmb_2(J380)</f>
        <v>0.1241358960457552</v>
      </c>
      <c r="R380" s="3">
        <f t="shared" si="93"/>
        <v>4.2968592220141493E-3</v>
      </c>
      <c r="S380" s="3">
        <f t="shared" si="94"/>
        <v>6.9373596757352844</v>
      </c>
      <c r="T380" s="3">
        <f t="shared" si="95"/>
        <v>323.03981305518079</v>
      </c>
      <c r="U380" s="3">
        <f t="shared" si="85"/>
        <v>2205.3183293586535</v>
      </c>
      <c r="V380" s="3">
        <f t="shared" si="86"/>
        <v>0</v>
      </c>
      <c r="W380" s="3">
        <f t="shared" si="96"/>
        <v>667.15820012493793</v>
      </c>
      <c r="Y380" s="3">
        <f t="shared" si="97"/>
        <v>3202.457999137815</v>
      </c>
      <c r="AA380" s="3">
        <f t="shared" si="98"/>
        <v>273.63779252452855</v>
      </c>
      <c r="AB380" s="3">
        <f t="shared" si="99"/>
        <v>16.542000862184977</v>
      </c>
      <c r="AD380" s="3">
        <f t="shared" si="100"/>
        <v>5.4191404442054615E-6</v>
      </c>
    </row>
    <row r="381" spans="3:30" x14ac:dyDescent="0.25">
      <c r="C381" s="22">
        <v>349</v>
      </c>
      <c r="D381" s="22">
        <v>3209</v>
      </c>
      <c r="F381" s="3">
        <f t="shared" si="87"/>
        <v>18753.500978366035</v>
      </c>
      <c r="G381" s="3">
        <f t="shared" si="88"/>
        <v>2713.7573394853634</v>
      </c>
      <c r="H381" s="3">
        <f t="shared" si="89"/>
        <v>6.914201468896584</v>
      </c>
      <c r="I381" s="3">
        <f t="shared" si="90"/>
        <v>2.7156034717051512</v>
      </c>
      <c r="J381" s="3">
        <f t="shared" si="91"/>
        <v>-1.96152955651915</v>
      </c>
      <c r="K381" s="3">
        <f t="shared" si="92"/>
        <v>5.9526981056326372E-8</v>
      </c>
      <c r="L381" s="3" cm="1">
        <f t="array" ref="L381">lmb_2(F381)</f>
        <v>18743.662104961193</v>
      </c>
      <c r="M381" s="3" cm="1">
        <f t="array" ref="M381">lmb_2(G381)</f>
        <v>2705.8527067280756</v>
      </c>
      <c r="N381" s="3" cm="1">
        <f t="array" ref="N381">lmb_2(H381)</f>
        <v>5.2550180329870573</v>
      </c>
      <c r="O381" s="3" cm="1">
        <f t="array" ref="O381">lmb_2(I381)</f>
        <v>2.0149894914709816</v>
      </c>
      <c r="P381" s="3" cm="1">
        <f t="array" ref="P381">lmb_2(J381)</f>
        <v>0.12421464502886123</v>
      </c>
      <c r="R381" s="3">
        <f t="shared" si="93"/>
        <v>4.2600101581508768E-3</v>
      </c>
      <c r="S381" s="3">
        <f t="shared" si="94"/>
        <v>6.8778437006313471</v>
      </c>
      <c r="T381" s="3">
        <f t="shared" si="95"/>
        <v>319.95207845304066</v>
      </c>
      <c r="U381" s="3">
        <f t="shared" si="85"/>
        <v>2195.5659560357931</v>
      </c>
      <c r="V381" s="3">
        <f t="shared" si="86"/>
        <v>0</v>
      </c>
      <c r="W381" s="3">
        <f t="shared" si="96"/>
        <v>668.9316432287452</v>
      </c>
      <c r="Y381" s="3">
        <f t="shared" si="97"/>
        <v>3191.3317814878951</v>
      </c>
      <c r="AA381" s="3">
        <f t="shared" si="98"/>
        <v>312.16594539148582</v>
      </c>
      <c r="AB381" s="3">
        <f t="shared" si="99"/>
        <v>17.668218512104886</v>
      </c>
      <c r="AD381" s="3">
        <f t="shared" si="100"/>
        <v>5.7880880501514132E-6</v>
      </c>
    </row>
    <row r="382" spans="3:30" x14ac:dyDescent="0.25">
      <c r="C382" s="22">
        <v>350</v>
      </c>
      <c r="D382" s="22">
        <v>3216</v>
      </c>
      <c r="F382" s="3">
        <f t="shared" si="87"/>
        <v>18861.118803191493</v>
      </c>
      <c r="G382" s="3">
        <f t="shared" si="88"/>
        <v>2729.3049359836295</v>
      </c>
      <c r="H382" s="3">
        <f t="shared" si="89"/>
        <v>6.9566140729153556</v>
      </c>
      <c r="I382" s="3">
        <f t="shared" si="90"/>
        <v>2.7288210175485168</v>
      </c>
      <c r="J382" s="3">
        <f t="shared" si="91"/>
        <v>-1.9608145857645216</v>
      </c>
      <c r="K382" s="3">
        <f t="shared" si="92"/>
        <v>5.5292904116564121E-8</v>
      </c>
      <c r="L382" s="3" cm="1">
        <f t="array" ref="L382">lmb_2(F382)</f>
        <v>18851.274206298451</v>
      </c>
      <c r="M382" s="3" cm="1">
        <f t="array" ref="M382">lmb_2(G382)</f>
        <v>2721.3945831471274</v>
      </c>
      <c r="N382" s="3" cm="1">
        <f t="array" ref="N382">lmb_2(H382)</f>
        <v>5.2906693111935095</v>
      </c>
      <c r="O382" s="3" cm="1">
        <f t="array" ref="O382">lmb_2(I382)</f>
        <v>2.0238295058911531</v>
      </c>
      <c r="P382" s="3" cm="1">
        <f t="array" ref="P382">lmb_2(J382)</f>
        <v>0.12429366460267433</v>
      </c>
      <c r="R382" s="3">
        <f t="shared" si="93"/>
        <v>4.2235812792763274E-3</v>
      </c>
      <c r="S382" s="3">
        <f t="shared" si="94"/>
        <v>6.8190065564819804</v>
      </c>
      <c r="T382" s="3">
        <f t="shared" si="95"/>
        <v>316.90045081500938</v>
      </c>
      <c r="U382" s="3">
        <f t="shared" si="85"/>
        <v>2185.830441819759</v>
      </c>
      <c r="V382" s="3">
        <f t="shared" si="86"/>
        <v>0</v>
      </c>
      <c r="W382" s="3">
        <f t="shared" si="96"/>
        <v>670.70508633255247</v>
      </c>
      <c r="Y382" s="3">
        <f t="shared" si="97"/>
        <v>3180.2592091603751</v>
      </c>
      <c r="AA382" s="3">
        <f t="shared" si="98"/>
        <v>1277.4041298418135</v>
      </c>
      <c r="AB382" s="3">
        <f t="shared" si="99"/>
        <v>35.740790839624879</v>
      </c>
      <c r="AD382" s="3">
        <f t="shared" si="100"/>
        <v>1.1708641944860601E-5</v>
      </c>
    </row>
    <row r="383" spans="3:30" x14ac:dyDescent="0.25">
      <c r="C383" s="22">
        <v>351</v>
      </c>
      <c r="D383" s="22">
        <v>3139</v>
      </c>
      <c r="F383" s="3">
        <f t="shared" si="87"/>
        <v>18969.044547401289</v>
      </c>
      <c r="G383" s="3">
        <f t="shared" si="88"/>
        <v>2744.8970177365395</v>
      </c>
      <c r="H383" s="3">
        <f t="shared" si="89"/>
        <v>6.999148029163079</v>
      </c>
      <c r="I383" s="3">
        <f t="shared" si="90"/>
        <v>2.742076381834925</v>
      </c>
      <c r="J383" s="3">
        <f t="shared" si="91"/>
        <v>-1.960097569313886</v>
      </c>
      <c r="K383" s="3">
        <f t="shared" si="92"/>
        <v>5.1359991576771235E-8</v>
      </c>
      <c r="L383" s="3" cm="1">
        <f t="array" ref="L383">lmb_2(F383)</f>
        <v>18959.194243354523</v>
      </c>
      <c r="M383" s="3" cm="1">
        <f t="array" ref="M383">lmb_2(G383)</f>
        <v>2736.9809611210794</v>
      </c>
      <c r="N383" s="3" cm="1">
        <f t="array" ref="N383">lmb_2(H383)</f>
        <v>5.3264609907403528</v>
      </c>
      <c r="O383" s="3" cm="1">
        <f t="array" ref="O383">lmb_2(I383)</f>
        <v>2.0327076565631472</v>
      </c>
      <c r="P383" s="3" cm="1">
        <f t="array" ref="P383">lmb_2(J383)</f>
        <v>0.12437295516987475</v>
      </c>
      <c r="R383" s="3">
        <f t="shared" si="93"/>
        <v>4.1875666127718794E-3</v>
      </c>
      <c r="S383" s="3">
        <f t="shared" si="94"/>
        <v>6.7608385931693746</v>
      </c>
      <c r="T383" s="3">
        <f t="shared" si="95"/>
        <v>313.88446136627897</v>
      </c>
      <c r="U383" s="3">
        <f t="shared" si="85"/>
        <v>2176.1122573189687</v>
      </c>
      <c r="V383" s="3">
        <f t="shared" si="86"/>
        <v>0</v>
      </c>
      <c r="W383" s="3">
        <f t="shared" si="96"/>
        <v>672.47852943635985</v>
      </c>
      <c r="Y383" s="3">
        <f t="shared" si="97"/>
        <v>3169.2402743327493</v>
      </c>
      <c r="AA383" s="3">
        <f t="shared" si="98"/>
        <v>914.47419171993749</v>
      </c>
      <c r="AB383" s="3">
        <f t="shared" si="99"/>
        <v>-30.240274332749323</v>
      </c>
      <c r="AD383" s="3">
        <f t="shared" si="100"/>
        <v>9.906679067771752E-6</v>
      </c>
    </row>
    <row r="384" spans="3:30" x14ac:dyDescent="0.25">
      <c r="C384" s="22">
        <v>352</v>
      </c>
      <c r="D384" s="22">
        <v>3140</v>
      </c>
      <c r="F384" s="3">
        <f t="shared" si="87"/>
        <v>19077.278210995421</v>
      </c>
      <c r="G384" s="3">
        <f t="shared" si="88"/>
        <v>2760.5335847440947</v>
      </c>
      <c r="H384" s="3">
        <f t="shared" si="89"/>
        <v>7.0418033376397577</v>
      </c>
      <c r="I384" s="3">
        <f t="shared" si="90"/>
        <v>2.7553695645643757</v>
      </c>
      <c r="J384" s="3">
        <f t="shared" si="91"/>
        <v>-1.9593785071672427</v>
      </c>
      <c r="K384" s="3">
        <f t="shared" si="92"/>
        <v>4.770682200387067E-8</v>
      </c>
      <c r="L384" s="3" cm="1">
        <f t="array" ref="L384">lmb_2(F384)</f>
        <v>19067.422216036419</v>
      </c>
      <c r="M384" s="3" cm="1">
        <f t="array" ref="M384">lmb_2(G384)</f>
        <v>2752.6118405573852</v>
      </c>
      <c r="N384" s="3" cm="1">
        <f t="array" ref="N384">lmb_2(H384)</f>
        <v>5.3623930058699889</v>
      </c>
      <c r="O384" s="3" cm="1">
        <f t="array" ref="O384">lmb_2(I384)</f>
        <v>2.0416239966299266</v>
      </c>
      <c r="P384" s="3" cm="1">
        <f t="array" ref="P384">lmb_2(J384)</f>
        <v>0.12445251713456934</v>
      </c>
      <c r="R384" s="3">
        <f t="shared" si="93"/>
        <v>4.1519602876136453E-3</v>
      </c>
      <c r="S384" s="3">
        <f t="shared" si="94"/>
        <v>6.7033303247119216</v>
      </c>
      <c r="T384" s="3">
        <f t="shared" si="95"/>
        <v>310.90364741721748</v>
      </c>
      <c r="U384" s="3">
        <f t="shared" si="85"/>
        <v>2166.4118644369596</v>
      </c>
      <c r="V384" s="3">
        <f t="shared" si="86"/>
        <v>0</v>
      </c>
      <c r="W384" s="3">
        <f t="shared" si="96"/>
        <v>674.25197254016712</v>
      </c>
      <c r="Y384" s="3">
        <f t="shared" si="97"/>
        <v>3158.2749667270505</v>
      </c>
      <c r="AA384" s="3">
        <f t="shared" si="98"/>
        <v>333.97440887480172</v>
      </c>
      <c r="AB384" s="3">
        <f t="shared" si="99"/>
        <v>-18.274966727050469</v>
      </c>
      <c r="AD384" s="3">
        <f t="shared" si="100"/>
        <v>5.9868580670589542E-6</v>
      </c>
    </row>
    <row r="385" spans="3:30" x14ac:dyDescent="0.25">
      <c r="C385" s="22">
        <v>353</v>
      </c>
      <c r="D385" s="22">
        <v>3149</v>
      </c>
      <c r="F385" s="3">
        <f t="shared" si="87"/>
        <v>19185.819793973889</v>
      </c>
      <c r="G385" s="3">
        <f t="shared" si="88"/>
        <v>2776.2146370062942</v>
      </c>
      <c r="H385" s="3">
        <f t="shared" si="89"/>
        <v>7.0845799983453848</v>
      </c>
      <c r="I385" s="3">
        <f t="shared" si="90"/>
        <v>2.768700565736868</v>
      </c>
      <c r="J385" s="3">
        <f t="shared" si="91"/>
        <v>-1.9586573993245922</v>
      </c>
      <c r="K385" s="3">
        <f t="shared" si="92"/>
        <v>4.43134976435305E-8</v>
      </c>
      <c r="L385" s="3" cm="1">
        <f t="array" ref="L385">lmb_2(F385)</f>
        <v>19175.95812425196</v>
      </c>
      <c r="M385" s="3" cm="1">
        <f t="array" ref="M385">lmb_2(G385)</f>
        <v>2768.2872213642818</v>
      </c>
      <c r="N385" s="3" cm="1">
        <f t="array" ref="N385">lmb_2(H385)</f>
        <v>5.3984652906114929</v>
      </c>
      <c r="O385" s="3" cm="1">
        <f t="array" ref="O385">lmb_2(I385)</f>
        <v>2.0505785788309039</v>
      </c>
      <c r="P385" s="3" cm="1">
        <f t="array" ref="P385">lmb_2(J385)</f>
        <v>0.12453235090229392</v>
      </c>
      <c r="R385" s="3">
        <f t="shared" si="93"/>
        <v>4.1167565323618439E-3</v>
      </c>
      <c r="S385" s="3">
        <f t="shared" si="94"/>
        <v>6.6464724260168406</v>
      </c>
      <c r="T385" s="3">
        <f t="shared" si="95"/>
        <v>307.95755230072479</v>
      </c>
      <c r="U385" s="3">
        <f t="shared" si="85"/>
        <v>2156.7297164407451</v>
      </c>
      <c r="V385" s="3">
        <f t="shared" si="86"/>
        <v>0</v>
      </c>
      <c r="W385" s="3">
        <f t="shared" si="96"/>
        <v>676.02541564397438</v>
      </c>
      <c r="Y385" s="3">
        <f t="shared" si="97"/>
        <v>3147.3632736123063</v>
      </c>
      <c r="AA385" s="3">
        <f t="shared" si="98"/>
        <v>2.6788732681727709</v>
      </c>
      <c r="AB385" s="3">
        <f t="shared" si="99"/>
        <v>1.6367263876936704</v>
      </c>
      <c r="AD385" s="3">
        <f t="shared" si="100"/>
        <v>5.3618968089435317E-7</v>
      </c>
    </row>
    <row r="386" spans="3:30" x14ac:dyDescent="0.25">
      <c r="C386" s="22">
        <v>354</v>
      </c>
      <c r="D386" s="22">
        <v>3201</v>
      </c>
      <c r="F386" s="3">
        <f t="shared" si="87"/>
        <v>19294.669296336691</v>
      </c>
      <c r="G386" s="3">
        <f t="shared" si="88"/>
        <v>2791.940174523138</v>
      </c>
      <c r="H386" s="3">
        <f t="shared" si="89"/>
        <v>7.1274780112799636</v>
      </c>
      <c r="I386" s="3">
        <f t="shared" si="90"/>
        <v>2.7820693853524041</v>
      </c>
      <c r="J386" s="3">
        <f t="shared" si="91"/>
        <v>-1.9579342457859339</v>
      </c>
      <c r="K386" s="3">
        <f t="shared" si="92"/>
        <v>4.1161536042871758E-8</v>
      </c>
      <c r="L386" s="3" cm="1">
        <f t="array" ref="L386">lmb_2(F386)</f>
        <v>19284.801967909734</v>
      </c>
      <c r="M386" s="3" cm="1">
        <f t="array" ref="M386">lmb_2(G386)</f>
        <v>2784.0071034507837</v>
      </c>
      <c r="N386" s="3" cm="1">
        <f t="array" ref="N386">lmb_2(H386)</f>
        <v>5.4346777787946294</v>
      </c>
      <c r="O386" s="3" cm="1">
        <f t="array" ref="O386">lmb_2(I386)</f>
        <v>2.0595714555020925</v>
      </c>
      <c r="P386" s="3" cm="1">
        <f t="array" ref="P386">lmb_2(J386)</f>
        <v>0.12461245688001572</v>
      </c>
      <c r="R386" s="3">
        <f t="shared" si="93"/>
        <v>4.081949673195564E-3</v>
      </c>
      <c r="S386" s="3">
        <f t="shared" si="94"/>
        <v>6.5902557297060138</v>
      </c>
      <c r="T386" s="3">
        <f t="shared" si="95"/>
        <v>305.04572530942323</v>
      </c>
      <c r="U386" s="3">
        <f t="shared" si="85"/>
        <v>2147.0662580297976</v>
      </c>
      <c r="V386" s="3">
        <f t="shared" si="86"/>
        <v>0</v>
      </c>
      <c r="W386" s="3">
        <f t="shared" si="96"/>
        <v>677.79885874778165</v>
      </c>
      <c r="Y386" s="3">
        <f t="shared" si="97"/>
        <v>3136.5051798075433</v>
      </c>
      <c r="AA386" s="3">
        <f t="shared" si="98"/>
        <v>4159.5818316573204</v>
      </c>
      <c r="AB386" s="3">
        <f t="shared" si="99"/>
        <v>64.4948201924567</v>
      </c>
      <c r="AD386" s="3">
        <f t="shared" si="100"/>
        <v>2.1128428867735899E-5</v>
      </c>
    </row>
    <row r="387" spans="3:30" x14ac:dyDescent="0.25">
      <c r="C387" s="22">
        <v>355</v>
      </c>
      <c r="D387" s="22">
        <v>3096</v>
      </c>
      <c r="F387" s="3">
        <f t="shared" si="87"/>
        <v>19403.826718083837</v>
      </c>
      <c r="G387" s="3">
        <f t="shared" si="88"/>
        <v>2807.7101972946266</v>
      </c>
      <c r="H387" s="3">
        <f t="shared" si="89"/>
        <v>7.1704973764434961</v>
      </c>
      <c r="I387" s="3">
        <f t="shared" si="90"/>
        <v>2.7954760234109819</v>
      </c>
      <c r="J387" s="3">
        <f t="shared" si="91"/>
        <v>-1.9572090465512679</v>
      </c>
      <c r="K387" s="3">
        <f t="shared" si="92"/>
        <v>3.8233769381911531E-8</v>
      </c>
      <c r="L387" s="3" cm="1">
        <f t="array" ref="L387">lmb_2(F387)</f>
        <v>19393.95374691912</v>
      </c>
      <c r="M387" s="3" cm="1">
        <f t="array" ref="M387">lmb_2(G387)</f>
        <v>2799.7714867266727</v>
      </c>
      <c r="N387" s="3" cm="1">
        <f t="array" ref="N387">lmb_2(H387)</f>
        <v>5.4710304040635034</v>
      </c>
      <c r="O387" s="3" cm="1">
        <f t="array" ref="O387">lmb_2(I387)</f>
        <v>2.0686026785762874</v>
      </c>
      <c r="P387" s="3" cm="1">
        <f t="array" ref="P387">lmb_2(J387)</f>
        <v>0.12469283547613569</v>
      </c>
      <c r="R387" s="3">
        <f t="shared" si="93"/>
        <v>4.0475341319917016E-3</v>
      </c>
      <c r="S387" s="3">
        <f t="shared" si="94"/>
        <v>6.5346712230131772</v>
      </c>
      <c r="T387" s="3">
        <f t="shared" si="95"/>
        <v>302.16772163273259</v>
      </c>
      <c r="U387" s="3">
        <f t="shared" si="85"/>
        <v>2137.4219254056275</v>
      </c>
      <c r="V387" s="3">
        <f t="shared" si="86"/>
        <v>0</v>
      </c>
      <c r="W387" s="3">
        <f t="shared" si="96"/>
        <v>679.57230185158892</v>
      </c>
      <c r="Y387" s="3">
        <f t="shared" si="97"/>
        <v>3125.7006676853275</v>
      </c>
      <c r="AA387" s="3">
        <f t="shared" si="98"/>
        <v>882.12966095425816</v>
      </c>
      <c r="AB387" s="3">
        <f t="shared" si="99"/>
        <v>-29.700667685327517</v>
      </c>
      <c r="AD387" s="3">
        <f t="shared" si="100"/>
        <v>9.7299045511115355E-6</v>
      </c>
    </row>
    <row r="388" spans="3:30" x14ac:dyDescent="0.25">
      <c r="C388" s="22">
        <v>356</v>
      </c>
      <c r="D388" s="22">
        <v>3160</v>
      </c>
      <c r="F388" s="3">
        <f t="shared" si="87"/>
        <v>19513.292059215313</v>
      </c>
      <c r="G388" s="3">
        <f t="shared" si="88"/>
        <v>2823.524705320759</v>
      </c>
      <c r="H388" s="3">
        <f t="shared" si="89"/>
        <v>7.2136380938359803</v>
      </c>
      <c r="I388" s="3">
        <f t="shared" si="90"/>
        <v>2.8089204799126031</v>
      </c>
      <c r="J388" s="3">
        <f t="shared" si="91"/>
        <v>-1.9564818016205947</v>
      </c>
      <c r="K388" s="3">
        <f t="shared" si="92"/>
        <v>3.5514250965431348E-8</v>
      </c>
      <c r="L388" s="3" cm="1">
        <f t="array" ref="L388">lmb_2(F388)</f>
        <v>19503.413461190245</v>
      </c>
      <c r="M388" s="3" cm="1">
        <f t="array" ref="M388">lmb_2(G388)</f>
        <v>2815.5803711024892</v>
      </c>
      <c r="N388" s="3" cm="1">
        <f t="array" ref="N388">lmb_2(H388)</f>
        <v>5.507523099889883</v>
      </c>
      <c r="O388" s="3" cm="1">
        <f t="array" ref="O388">lmb_2(I388)</f>
        <v>2.0776722995832975</v>
      </c>
      <c r="P388" s="3" cm="1">
        <f t="array" ref="P388">lmb_2(J388)</f>
        <v>0.12477348710049069</v>
      </c>
      <c r="R388" s="3">
        <f t="shared" si="93"/>
        <v>4.0135044244470099E-3</v>
      </c>
      <c r="S388" s="3">
        <f t="shared" si="94"/>
        <v>6.4797100447506732</v>
      </c>
      <c r="T388" s="3">
        <f t="shared" si="95"/>
        <v>299.32310229386542</v>
      </c>
      <c r="U388" s="3">
        <f t="shared" si="85"/>
        <v>2127.797146341898</v>
      </c>
      <c r="V388" s="3">
        <f t="shared" si="86"/>
        <v>0</v>
      </c>
      <c r="W388" s="3">
        <f t="shared" si="96"/>
        <v>681.3457449553963</v>
      </c>
      <c r="Y388" s="3">
        <f t="shared" si="97"/>
        <v>3114.9497171758489</v>
      </c>
      <c r="AA388" s="3">
        <f t="shared" si="98"/>
        <v>2029.5279825359994</v>
      </c>
      <c r="AB388" s="3">
        <f t="shared" si="99"/>
        <v>45.050282824151054</v>
      </c>
      <c r="AD388" s="3">
        <f t="shared" si="100"/>
        <v>1.4758420804664666E-5</v>
      </c>
    </row>
    <row r="389" spans="3:30" x14ac:dyDescent="0.25">
      <c r="C389" s="22">
        <v>357</v>
      </c>
      <c r="D389" s="22">
        <v>3038</v>
      </c>
      <c r="F389" s="3">
        <f t="shared" si="87"/>
        <v>19623.065319731122</v>
      </c>
      <c r="G389" s="3">
        <f t="shared" si="88"/>
        <v>2839.3836986015367</v>
      </c>
      <c r="H389" s="3">
        <f t="shared" si="89"/>
        <v>7.2569001634574182</v>
      </c>
      <c r="I389" s="3">
        <f t="shared" si="90"/>
        <v>2.8224027548572663</v>
      </c>
      <c r="J389" s="3">
        <f t="shared" si="91"/>
        <v>-1.955752510993914</v>
      </c>
      <c r="K389" s="3">
        <f t="shared" si="92"/>
        <v>3.2988168365956262E-8</v>
      </c>
      <c r="L389" s="3" cm="1">
        <f t="array" ref="L389">lmb_2(F389)</f>
        <v>19613.181110633996</v>
      </c>
      <c r="M389" s="3" cm="1">
        <f t="array" ref="M389">lmb_2(G389)</f>
        <v>2831.433756489525</v>
      </c>
      <c r="N389" s="3" cm="1">
        <f t="array" ref="N389">lmb_2(H389)</f>
        <v>5.544155799586215</v>
      </c>
      <c r="O389" s="3" cm="1">
        <f t="array" ref="O389">lmb_2(I389)</f>
        <v>2.0867803696502056</v>
      </c>
      <c r="P389" s="3" cm="1">
        <f t="array" ref="P389">lmb_2(J389)</f>
        <v>0.12485441216435633</v>
      </c>
      <c r="R389" s="3">
        <f t="shared" si="93"/>
        <v>3.9798551582421304E-3</v>
      </c>
      <c r="S389" s="3">
        <f t="shared" si="94"/>
        <v>6.4253634823440064</v>
      </c>
      <c r="T389" s="3">
        <f t="shared" si="95"/>
        <v>296.51143408678149</v>
      </c>
      <c r="U389" s="3">
        <f t="shared" si="85"/>
        <v>2118.1923402550892</v>
      </c>
      <c r="V389" s="3">
        <f t="shared" si="86"/>
        <v>0</v>
      </c>
      <c r="W389" s="3">
        <f t="shared" si="96"/>
        <v>683.11918805920357</v>
      </c>
      <c r="Y389" s="3">
        <f t="shared" si="97"/>
        <v>3104.2523057715648</v>
      </c>
      <c r="AA389" s="3">
        <f t="shared" si="98"/>
        <v>4389.3680200489198</v>
      </c>
      <c r="AB389" s="3">
        <f t="shared" si="99"/>
        <v>-66.252305771564806</v>
      </c>
      <c r="AD389" s="3">
        <f t="shared" si="100"/>
        <v>2.1704179120755447E-5</v>
      </c>
    </row>
    <row r="390" spans="3:30" x14ac:dyDescent="0.25">
      <c r="C390" s="22">
        <v>358</v>
      </c>
      <c r="D390" s="22">
        <v>3109</v>
      </c>
      <c r="F390" s="3">
        <f t="shared" si="87"/>
        <v>19733.146499631272</v>
      </c>
      <c r="G390" s="3">
        <f t="shared" si="88"/>
        <v>2855.2871771369591</v>
      </c>
      <c r="H390" s="3">
        <f t="shared" si="89"/>
        <v>7.3002835853078079</v>
      </c>
      <c r="I390" s="3">
        <f t="shared" si="90"/>
        <v>2.8359228482449712</v>
      </c>
      <c r="J390" s="3">
        <f t="shared" si="91"/>
        <v>-1.9550211746712256</v>
      </c>
      <c r="K390" s="3">
        <f t="shared" si="92"/>
        <v>3.0641762744761985E-8</v>
      </c>
      <c r="L390" s="3" cm="1">
        <f t="array" ref="L390">lmb_2(F390)</f>
        <v>19723.256695162021</v>
      </c>
      <c r="M390" s="3" cm="1">
        <f t="array" ref="M390">lmb_2(G390)</f>
        <v>2847.3316427998129</v>
      </c>
      <c r="N390" s="3" cm="1">
        <f t="array" ref="N390">lmb_2(H390)</f>
        <v>5.5809284363183043</v>
      </c>
      <c r="O390" s="3" cm="1">
        <f t="array" ref="O390">lmb_2(I390)</f>
        <v>2.0959269395016773</v>
      </c>
      <c r="P390" s="3" cm="1">
        <f t="array" ref="P390">lmb_2(J390)</f>
        <v>0.12493561108044915</v>
      </c>
      <c r="R390" s="3">
        <f t="shared" si="93"/>
        <v>3.9465810312465802E-3</v>
      </c>
      <c r="S390" s="3">
        <f t="shared" si="94"/>
        <v>6.3716229689325088</v>
      </c>
      <c r="T390" s="3">
        <f t="shared" si="95"/>
        <v>293.73228951314161</v>
      </c>
      <c r="U390" s="3">
        <f t="shared" si="85"/>
        <v>2108.6079182756407</v>
      </c>
      <c r="V390" s="3">
        <f t="shared" si="86"/>
        <v>0</v>
      </c>
      <c r="W390" s="3">
        <f t="shared" si="96"/>
        <v>684.89263116301083</v>
      </c>
      <c r="Y390" s="3">
        <f t="shared" si="97"/>
        <v>3093.6084085323987</v>
      </c>
      <c r="AA390" s="3">
        <f t="shared" si="98"/>
        <v>236.9010879055372</v>
      </c>
      <c r="AB390" s="3">
        <f t="shared" si="99"/>
        <v>15.391591467601302</v>
      </c>
      <c r="AD390" s="3">
        <f t="shared" si="100"/>
        <v>5.0422676505500235E-6</v>
      </c>
    </row>
    <row r="391" spans="3:30" x14ac:dyDescent="0.25">
      <c r="C391" s="22">
        <v>359</v>
      </c>
      <c r="D391" s="22">
        <v>3106</v>
      </c>
      <c r="F391" s="3">
        <f t="shared" si="87"/>
        <v>19843.535598915754</v>
      </c>
      <c r="G391" s="3">
        <f t="shared" si="88"/>
        <v>2871.2351409270254</v>
      </c>
      <c r="H391" s="3">
        <f t="shared" si="89"/>
        <v>7.3437883593871494</v>
      </c>
      <c r="I391" s="3">
        <f t="shared" si="90"/>
        <v>2.8494807600757195</v>
      </c>
      <c r="J391" s="3">
        <f t="shared" si="91"/>
        <v>-1.9542877926525297</v>
      </c>
      <c r="K391" s="3">
        <f t="shared" si="92"/>
        <v>2.8462253911473349E-8</v>
      </c>
      <c r="L391" s="3" cm="1">
        <f t="array" ref="L391">lmb_2(F391)</f>
        <v>19833.640214686693</v>
      </c>
      <c r="M391" s="3" cm="1">
        <f t="array" ref="M391">lmb_2(G391)</f>
        <v>2863.2740299461188</v>
      </c>
      <c r="N391" s="3" cm="1">
        <f t="array" ref="N391">lmb_2(H391)</f>
        <v>5.6178409431176926</v>
      </c>
      <c r="O391" s="3" cm="1">
        <f t="array" ref="O391">lmb_2(I391)</f>
        <v>2.1051120594602981</v>
      </c>
      <c r="P391" s="3" cm="1">
        <f t="array" ref="P391">lmb_2(J391)</f>
        <v>0.12501708426292896</v>
      </c>
      <c r="R391" s="3">
        <f t="shared" si="93"/>
        <v>3.9136768297636706E-3</v>
      </c>
      <c r="S391" s="3">
        <f t="shared" si="94"/>
        <v>6.3184800805344583</v>
      </c>
      <c r="T391" s="3">
        <f t="shared" si="95"/>
        <v>290.98524671929255</v>
      </c>
      <c r="U391" s="3">
        <f t="shared" si="85"/>
        <v>2099.0442833195716</v>
      </c>
      <c r="V391" s="3">
        <f t="shared" si="86"/>
        <v>0</v>
      </c>
      <c r="W391" s="3">
        <f t="shared" si="96"/>
        <v>686.6660742668181</v>
      </c>
      <c r="Y391" s="3">
        <f t="shared" si="97"/>
        <v>3083.0179980915086</v>
      </c>
      <c r="AA391" s="3">
        <f t="shared" si="98"/>
        <v>528.17241172190165</v>
      </c>
      <c r="AB391" s="3">
        <f t="shared" si="99"/>
        <v>22.982001908491384</v>
      </c>
      <c r="AD391" s="3">
        <f t="shared" si="100"/>
        <v>7.5288773751558335E-6</v>
      </c>
    </row>
    <row r="392" spans="3:30" x14ac:dyDescent="0.25">
      <c r="C392" s="22">
        <v>360</v>
      </c>
      <c r="D392" s="22">
        <v>2997</v>
      </c>
      <c r="F392" s="3">
        <f t="shared" si="87"/>
        <v>19954.232617584574</v>
      </c>
      <c r="G392" s="3">
        <f t="shared" si="88"/>
        <v>2887.227589971737</v>
      </c>
      <c r="H392" s="3">
        <f t="shared" si="89"/>
        <v>7.3874144856954409</v>
      </c>
      <c r="I392" s="3">
        <f t="shared" si="90"/>
        <v>2.8630764903495103</v>
      </c>
      <c r="J392" s="3">
        <f t="shared" si="91"/>
        <v>-1.9535523649378264</v>
      </c>
      <c r="K392" s="3">
        <f t="shared" si="92"/>
        <v>2.6437770714077518E-8</v>
      </c>
      <c r="L392" s="3" cm="1">
        <f t="array" ref="L392">lmb_2(F392)</f>
        <v>19944.331669121129</v>
      </c>
      <c r="M392" s="3" cm="1">
        <f t="array" ref="M392">lmb_2(G392)</f>
        <v>2879.2609178419375</v>
      </c>
      <c r="N392" s="3" cm="1">
        <f t="array" ref="N392">lmb_2(H392)</f>
        <v>5.6548932528937232</v>
      </c>
      <c r="O392" s="3" cm="1">
        <f t="array" ref="O392">lmb_2(I392)</f>
        <v>2.1143357794469542</v>
      </c>
      <c r="P392" s="3" cm="1">
        <f t="array" ref="P392">lmb_2(J392)</f>
        <v>0.12509883212740128</v>
      </c>
      <c r="R392" s="3">
        <f t="shared" si="93"/>
        <v>3.8811374268143384E-3</v>
      </c>
      <c r="S392" s="3">
        <f t="shared" si="94"/>
        <v>6.2659265332750333</v>
      </c>
      <c r="T392" s="3">
        <f t="shared" si="95"/>
        <v>288.26988943331912</v>
      </c>
      <c r="U392" s="3">
        <f t="shared" si="85"/>
        <v>2089.5018301605423</v>
      </c>
      <c r="V392" s="3">
        <f t="shared" si="86"/>
        <v>0</v>
      </c>
      <c r="W392" s="3">
        <f t="shared" si="96"/>
        <v>688.43951737062548</v>
      </c>
      <c r="Y392" s="3">
        <f t="shared" si="97"/>
        <v>3072.4810446616261</v>
      </c>
      <c r="AA392" s="3">
        <f t="shared" si="98"/>
        <v>5697.3881032103982</v>
      </c>
      <c r="AB392" s="3">
        <f t="shared" si="99"/>
        <v>-75.481044661626129</v>
      </c>
      <c r="AD392" s="3">
        <f t="shared" si="100"/>
        <v>2.4727503359751845E-5</v>
      </c>
    </row>
    <row r="393" spans="3:30" x14ac:dyDescent="0.25">
      <c r="C393" s="22">
        <v>361</v>
      </c>
      <c r="D393" s="22">
        <v>2982</v>
      </c>
      <c r="F393" s="3">
        <f t="shared" si="87"/>
        <v>20065.23755563773</v>
      </c>
      <c r="G393" s="3">
        <f t="shared" si="88"/>
        <v>2903.2645242710928</v>
      </c>
      <c r="H393" s="3">
        <f t="shared" si="89"/>
        <v>7.431161964232686</v>
      </c>
      <c r="I393" s="3">
        <f t="shared" si="90"/>
        <v>2.876710039066344</v>
      </c>
      <c r="J393" s="3">
        <f t="shared" si="91"/>
        <v>-1.9528148915271155</v>
      </c>
      <c r="K393" s="3">
        <f t="shared" si="92"/>
        <v>2.4557286380204087E-8</v>
      </c>
      <c r="L393" s="3" cm="1">
        <f t="array" ref="L393">lmb_2(F393)</f>
        <v>20055.331058379161</v>
      </c>
      <c r="M393" s="3" cm="1">
        <f t="array" ref="M393">lmb_2(G393)</f>
        <v>2895.2923064014785</v>
      </c>
      <c r="N393" s="3" cm="1">
        <f t="array" ref="N393">lmb_2(H393)</f>
        <v>5.6920852984453134</v>
      </c>
      <c r="O393" s="3" cm="1">
        <f t="array" ref="O393">lmb_2(I393)</f>
        <v>2.1235981489812499</v>
      </c>
      <c r="P393" s="3" cm="1">
        <f t="array" ref="P393">lmb_2(J393)</f>
        <v>0.12518085509091992</v>
      </c>
      <c r="R393" s="3">
        <f t="shared" si="93"/>
        <v>3.8489577804589566E-3</v>
      </c>
      <c r="S393" s="3">
        <f t="shared" si="94"/>
        <v>6.2139541806755831</v>
      </c>
      <c r="T393" s="3">
        <f t="shared" si="95"/>
        <v>285.5858069021931</v>
      </c>
      <c r="U393" s="3">
        <f t="shared" si="85"/>
        <v>2079.9809455023142</v>
      </c>
      <c r="V393" s="3">
        <f t="shared" si="86"/>
        <v>0</v>
      </c>
      <c r="W393" s="3">
        <f t="shared" si="96"/>
        <v>690.21296047443275</v>
      </c>
      <c r="Y393" s="3">
        <f t="shared" si="97"/>
        <v>3061.9975160419531</v>
      </c>
      <c r="AA393" s="3">
        <f t="shared" si="98"/>
        <v>6399.6025728825398</v>
      </c>
      <c r="AB393" s="3">
        <f t="shared" si="99"/>
        <v>-79.997516041953077</v>
      </c>
      <c r="AD393" s="3">
        <f t="shared" si="100"/>
        <v>2.6207094185924327E-5</v>
      </c>
    </row>
    <row r="394" spans="3:30" x14ac:dyDescent="0.25">
      <c r="C394" s="22">
        <v>362</v>
      </c>
      <c r="D394" s="22">
        <v>3024</v>
      </c>
      <c r="F394" s="3">
        <f t="shared" si="87"/>
        <v>20176.550413075223</v>
      </c>
      <c r="G394" s="3">
        <f t="shared" si="88"/>
        <v>2919.3459438250925</v>
      </c>
      <c r="H394" s="3">
        <f t="shared" si="89"/>
        <v>7.4750307949988848</v>
      </c>
      <c r="I394" s="3">
        <f t="shared" si="90"/>
        <v>2.8903814062262199</v>
      </c>
      <c r="J394" s="3">
        <f t="shared" si="91"/>
        <v>-1.9520753724203972</v>
      </c>
      <c r="K394" s="3">
        <f t="shared" si="92"/>
        <v>2.2810558457496613E-8</v>
      </c>
      <c r="L394" s="3" cm="1">
        <f t="array" ref="L394">lmb_2(F394)</f>
        <v>20166.638382375335</v>
      </c>
      <c r="M394" s="3" cm="1">
        <f t="array" ref="M394">lmb_2(G394)</f>
        <v>2911.3681955396605</v>
      </c>
      <c r="N394" s="3" cm="1">
        <f t="array" ref="N394">lmb_2(H394)</f>
        <v>5.7294170124724193</v>
      </c>
      <c r="O394" s="3" cm="1">
        <f t="array" ref="O394">lmb_2(I394)</f>
        <v>2.1328992171819565</v>
      </c>
      <c r="P394" s="3" cm="1">
        <f t="array" ref="P394">lmb_2(J394)</f>
        <v>0.12526315357198933</v>
      </c>
      <c r="R394" s="3">
        <f t="shared" si="93"/>
        <v>3.8171329321561409E-3</v>
      </c>
      <c r="S394" s="3">
        <f t="shared" si="94"/>
        <v>6.162555011002631</v>
      </c>
      <c r="T394" s="3">
        <f t="shared" si="95"/>
        <v>282.93259382905211</v>
      </c>
      <c r="U394" s="3">
        <f t="shared" si="85"/>
        <v>2070.4820080516133</v>
      </c>
      <c r="V394" s="3">
        <f t="shared" si="86"/>
        <v>0</v>
      </c>
      <c r="W394" s="3">
        <f t="shared" si="96"/>
        <v>691.98640357824002</v>
      </c>
      <c r="Y394" s="3">
        <f t="shared" si="97"/>
        <v>3051.5673776256513</v>
      </c>
      <c r="AA394" s="3">
        <f t="shared" si="98"/>
        <v>759.96030915525773</v>
      </c>
      <c r="AB394" s="3">
        <f t="shared" si="99"/>
        <v>-27.567377625651261</v>
      </c>
      <c r="AD394" s="3">
        <f t="shared" si="100"/>
        <v>9.031041182772545E-6</v>
      </c>
    </row>
    <row r="395" spans="3:30" x14ac:dyDescent="0.25">
      <c r="C395" s="22">
        <v>363</v>
      </c>
      <c r="D395" s="22">
        <v>3028</v>
      </c>
      <c r="F395" s="3">
        <f t="shared" si="87"/>
        <v>20288.171189897053</v>
      </c>
      <c r="G395" s="3">
        <f t="shared" si="88"/>
        <v>2935.4718486337374</v>
      </c>
      <c r="H395" s="3">
        <f t="shared" si="89"/>
        <v>7.5190209779940336</v>
      </c>
      <c r="I395" s="3">
        <f t="shared" si="90"/>
        <v>2.9040905918291378</v>
      </c>
      <c r="J395" s="3">
        <f t="shared" si="91"/>
        <v>-1.9513338076176712</v>
      </c>
      <c r="K395" s="3">
        <f t="shared" si="92"/>
        <v>2.1188073025947575E-8</v>
      </c>
      <c r="L395" s="3" cm="1">
        <f t="array" ref="L395">lmb_2(F395)</f>
        <v>20278.253641024912</v>
      </c>
      <c r="M395" s="3" cm="1">
        <f t="array" ref="M395">lmb_2(G395)</f>
        <v>2927.4885851721083</v>
      </c>
      <c r="N395" s="3" cm="1">
        <f t="array" ref="N395">lmb_2(H395)</f>
        <v>5.7668883275872203</v>
      </c>
      <c r="O395" s="3" cm="1">
        <f t="array" ref="O395">lmb_2(I395)</f>
        <v>2.1422390327675052</v>
      </c>
      <c r="P395" s="3" cm="1">
        <f t="array" ref="P395">lmb_2(J395)</f>
        <v>0.12534572799056701</v>
      </c>
      <c r="R395" s="3">
        <f t="shared" si="93"/>
        <v>3.7856580051576719E-3</v>
      </c>
      <c r="S395" s="3">
        <f t="shared" si="94"/>
        <v>6.1117211446751636</v>
      </c>
      <c r="T395" s="3">
        <f t="shared" si="95"/>
        <v>280.3098503106342</v>
      </c>
      <c r="U395" s="3">
        <f t="shared" si="85"/>
        <v>2061.0053885913289</v>
      </c>
      <c r="V395" s="3">
        <f t="shared" si="86"/>
        <v>0</v>
      </c>
      <c r="W395" s="3">
        <f t="shared" si="96"/>
        <v>693.75984668204728</v>
      </c>
      <c r="Y395" s="3">
        <f t="shared" si="97"/>
        <v>3041.1905924078787</v>
      </c>
      <c r="AA395" s="3">
        <f t="shared" si="98"/>
        <v>173.99172807078824</v>
      </c>
      <c r="AB395" s="3">
        <f t="shared" si="99"/>
        <v>-13.190592407878739</v>
      </c>
      <c r="AD395" s="3">
        <f t="shared" si="100"/>
        <v>4.3212228917223865E-6</v>
      </c>
    </row>
    <row r="396" spans="3:30" x14ac:dyDescent="0.25">
      <c r="C396" s="22">
        <v>364</v>
      </c>
      <c r="D396" s="22">
        <v>3030</v>
      </c>
      <c r="F396" s="3">
        <f t="shared" si="87"/>
        <v>20400.09988610322</v>
      </c>
      <c r="G396" s="3">
        <f t="shared" si="88"/>
        <v>2951.6422386970266</v>
      </c>
      <c r="H396" s="3">
        <f t="shared" si="89"/>
        <v>7.5631325132181377</v>
      </c>
      <c r="I396" s="3">
        <f t="shared" si="90"/>
        <v>2.9178375958750991</v>
      </c>
      <c r="J396" s="3">
        <f t="shared" si="91"/>
        <v>-1.9505901971189377</v>
      </c>
      <c r="K396" s="3">
        <f t="shared" si="92"/>
        <v>1.9680992878337224E-8</v>
      </c>
      <c r="L396" s="3" cm="1">
        <f t="array" ref="L396">lmb_2(F396)</f>
        <v>20390.176834243848</v>
      </c>
      <c r="M396" s="3" cm="1">
        <f t="array" ref="M396">lmb_2(G396)</f>
        <v>2943.653475215137</v>
      </c>
      <c r="N396" s="3" cm="1">
        <f t="array" ref="N396">lmb_2(H396)</f>
        <v>5.8044991763250238</v>
      </c>
      <c r="O396" s="3" cm="1">
        <f t="array" ref="O396">lmb_2(I396)</f>
        <v>2.1516176440565102</v>
      </c>
      <c r="P396" s="3" cm="1">
        <f t="array" ref="P396">lmb_2(J396)</f>
        <v>0.1254285787680659</v>
      </c>
      <c r="R396" s="3">
        <f t="shared" si="93"/>
        <v>3.7545282029386147E-3</v>
      </c>
      <c r="S396" s="3">
        <f t="shared" si="94"/>
        <v>6.0614448317288057</v>
      </c>
      <c r="T396" s="3">
        <f t="shared" si="95"/>
        <v>277.71718177489657</v>
      </c>
      <c r="U396" s="3">
        <f t="shared" si="85"/>
        <v>2051.5514500540603</v>
      </c>
      <c r="V396" s="3">
        <f t="shared" si="86"/>
        <v>0</v>
      </c>
      <c r="W396" s="3">
        <f t="shared" si="96"/>
        <v>695.53328978585455</v>
      </c>
      <c r="Y396" s="3">
        <f t="shared" si="97"/>
        <v>3030.8671209944246</v>
      </c>
      <c r="AA396" s="3">
        <f t="shared" si="98"/>
        <v>0.75189881897185074</v>
      </c>
      <c r="AB396" s="3">
        <f t="shared" si="99"/>
        <v>-0.86712099442456747</v>
      </c>
      <c r="AD396" s="3">
        <f t="shared" si="100"/>
        <v>2.8406783980091939E-7</v>
      </c>
    </row>
    <row r="397" spans="3:30" x14ac:dyDescent="0.25">
      <c r="C397" s="22">
        <v>365</v>
      </c>
      <c r="D397" s="22">
        <v>2883</v>
      </c>
      <c r="F397" s="3">
        <f t="shared" si="87"/>
        <v>20512.33650169372</v>
      </c>
      <c r="G397" s="3">
        <f t="shared" si="88"/>
        <v>2967.8571140149606</v>
      </c>
      <c r="H397" s="3">
        <f t="shared" si="89"/>
        <v>7.6073654006711902</v>
      </c>
      <c r="I397" s="3">
        <f t="shared" si="90"/>
        <v>2.9316224183641024</v>
      </c>
      <c r="J397" s="3">
        <f t="shared" si="91"/>
        <v>-1.9498445409241969</v>
      </c>
      <c r="K397" s="3">
        <f t="shared" si="92"/>
        <v>1.8281109386531278E-8</v>
      </c>
      <c r="L397" s="3" cm="1">
        <f t="array" ref="L397">lmb_2(F397)</f>
        <v>20502.407961948786</v>
      </c>
      <c r="M397" s="3" cm="1">
        <f t="array" ref="M397">lmb_2(G397)</f>
        <v>2959.8628655857497</v>
      </c>
      <c r="N397" s="3" cm="1">
        <f t="array" ref="N397">lmb_2(H397)</f>
        <v>5.8422494911548739</v>
      </c>
      <c r="O397" s="3" cm="1">
        <f t="array" ref="O397">lmb_2(I397)</f>
        <v>2.161035098968326</v>
      </c>
      <c r="P397" s="3" cm="1">
        <f t="array" ref="P397">lmb_2(J397)</f>
        <v>0.125511706327357</v>
      </c>
      <c r="R397" s="3">
        <f t="shared" si="93"/>
        <v>3.7237388076618049E-3</v>
      </c>
      <c r="S397" s="3">
        <f t="shared" si="94"/>
        <v>6.0117184493354054</v>
      </c>
      <c r="T397" s="3">
        <f t="shared" si="95"/>
        <v>275.15419891884659</v>
      </c>
      <c r="U397" s="3">
        <f t="shared" si="85"/>
        <v>2042.1205475959528</v>
      </c>
      <c r="V397" s="3">
        <f t="shared" si="86"/>
        <v>0</v>
      </c>
      <c r="W397" s="3">
        <f t="shared" si="96"/>
        <v>697.30673288966193</v>
      </c>
      <c r="Y397" s="3">
        <f t="shared" si="97"/>
        <v>3020.5969216108856</v>
      </c>
      <c r="AA397" s="3">
        <f t="shared" si="98"/>
        <v>18932.912836792199</v>
      </c>
      <c r="AB397" s="3">
        <f t="shared" si="99"/>
        <v>-137.5969216108856</v>
      </c>
      <c r="AD397" s="3">
        <f t="shared" si="100"/>
        <v>4.5076593158950383E-5</v>
      </c>
    </row>
    <row r="398" spans="3:30" x14ac:dyDescent="0.25">
      <c r="C398" s="22">
        <v>366</v>
      </c>
      <c r="D398" s="22">
        <v>2927</v>
      </c>
      <c r="F398" s="3">
        <f t="shared" si="87"/>
        <v>20624.881036668557</v>
      </c>
      <c r="G398" s="3">
        <f t="shared" si="88"/>
        <v>2984.116474587539</v>
      </c>
      <c r="H398" s="3">
        <f t="shared" si="89"/>
        <v>7.6517196403531944</v>
      </c>
      <c r="I398" s="3">
        <f t="shared" si="90"/>
        <v>2.9454450592961483</v>
      </c>
      <c r="J398" s="3">
        <f t="shared" si="91"/>
        <v>-1.9490968390334484</v>
      </c>
      <c r="K398" s="3">
        <f t="shared" si="92"/>
        <v>1.6980797791465759E-8</v>
      </c>
      <c r="L398" s="3" cm="1">
        <f t="array" ref="L398">lmb_2(F398)</f>
        <v>20614.947024057066</v>
      </c>
      <c r="M398" s="3" cm="1">
        <f t="array" ref="M398">lmb_2(G398)</f>
        <v>2976.1167562016294</v>
      </c>
      <c r="N398" s="3" cm="1">
        <f t="array" ref="N398">lmb_2(H398)</f>
        <v>5.880139204489911</v>
      </c>
      <c r="O398" s="3" cm="1">
        <f t="array" ref="O398">lmb_2(I398)</f>
        <v>2.1704914450236465</v>
      </c>
      <c r="P398" s="3" cm="1">
        <f t="array" ref="P398">lmb_2(J398)</f>
        <v>0.12559511109277183</v>
      </c>
      <c r="R398" s="3">
        <f t="shared" si="93"/>
        <v>3.6932851786758E-3</v>
      </c>
      <c r="S398" s="3">
        <f t="shared" si="94"/>
        <v>5.9625344993767273</v>
      </c>
      <c r="T398" s="3">
        <f t="shared" si="95"/>
        <v>272.6205176466035</v>
      </c>
      <c r="U398" s="3">
        <f t="shared" si="85"/>
        <v>2032.7130286708173</v>
      </c>
      <c r="V398" s="3">
        <f t="shared" si="86"/>
        <v>0</v>
      </c>
      <c r="W398" s="3">
        <f t="shared" si="96"/>
        <v>699.0801759934692</v>
      </c>
      <c r="Y398" s="3">
        <f t="shared" si="97"/>
        <v>3010.3799501124263</v>
      </c>
      <c r="AA398" s="3">
        <f t="shared" si="98"/>
        <v>6952.2160807506962</v>
      </c>
      <c r="AB398" s="3">
        <f t="shared" si="99"/>
        <v>-83.379950112426286</v>
      </c>
      <c r="AD398" s="3">
        <f t="shared" si="100"/>
        <v>2.7315175694556213E-5</v>
      </c>
    </row>
    <row r="399" spans="3:30" x14ac:dyDescent="0.25">
      <c r="C399" s="22">
        <v>367</v>
      </c>
      <c r="D399" s="22">
        <v>2956</v>
      </c>
      <c r="F399" s="3">
        <f t="shared" si="87"/>
        <v>20737.733491027728</v>
      </c>
      <c r="G399" s="3">
        <f t="shared" si="88"/>
        <v>3000.420320414762</v>
      </c>
      <c r="H399" s="3">
        <f t="shared" si="89"/>
        <v>7.696195232264154</v>
      </c>
      <c r="I399" s="3">
        <f t="shared" si="90"/>
        <v>2.9593055186712371</v>
      </c>
      <c r="J399" s="3">
        <f t="shared" si="91"/>
        <v>-1.9483470914466923</v>
      </c>
      <c r="K399" s="3">
        <f t="shared" si="92"/>
        <v>1.5772975673297553E-8</v>
      </c>
      <c r="L399" s="3" cm="1">
        <f t="array" ref="L399">lmb_2(F399)</f>
        <v>20727.79402048669</v>
      </c>
      <c r="M399" s="3" cm="1">
        <f t="array" ref="M399">lmb_2(G399)</f>
        <v>2992.41514698113</v>
      </c>
      <c r="N399" s="3" cm="1">
        <f t="array" ref="N399">lmb_2(H399)</f>
        <v>5.9181682486974507</v>
      </c>
      <c r="O399" s="3" cm="1">
        <f t="array" ref="O399">lmb_2(I399)</f>
        <v>2.1799867293451305</v>
      </c>
      <c r="P399" s="3" cm="1">
        <f t="array" ref="P399">lmb_2(J399)</f>
        <v>0.12567879349010461</v>
      </c>
      <c r="R399" s="3">
        <f t="shared" si="93"/>
        <v>3.663162751045548E-3</v>
      </c>
      <c r="S399" s="3">
        <f t="shared" si="94"/>
        <v>5.9138856060709175</v>
      </c>
      <c r="T399" s="3">
        <f t="shared" si="95"/>
        <v>270.11575900772169</v>
      </c>
      <c r="U399" s="3">
        <f t="shared" si="85"/>
        <v>2023.3292331045031</v>
      </c>
      <c r="V399" s="3">
        <f t="shared" si="86"/>
        <v>0</v>
      </c>
      <c r="W399" s="3">
        <f t="shared" si="96"/>
        <v>700.85361909727646</v>
      </c>
      <c r="Y399" s="3">
        <f t="shared" si="97"/>
        <v>3000.216159994096</v>
      </c>
      <c r="AA399" s="3">
        <f t="shared" si="98"/>
        <v>1955.068804623492</v>
      </c>
      <c r="AB399" s="3">
        <f t="shared" si="99"/>
        <v>-44.21615999409596</v>
      </c>
      <c r="AD399" s="3">
        <f t="shared" si="100"/>
        <v>1.4485163125533485E-5</v>
      </c>
    </row>
    <row r="400" spans="3:30" x14ac:dyDescent="0.25">
      <c r="C400" s="22">
        <v>368</v>
      </c>
      <c r="D400" s="22">
        <v>2999</v>
      </c>
      <c r="F400" s="3">
        <f t="shared" si="87"/>
        <v>20850.893864771238</v>
      </c>
      <c r="G400" s="3">
        <f t="shared" si="88"/>
        <v>3016.7686514966294</v>
      </c>
      <c r="H400" s="3">
        <f t="shared" si="89"/>
        <v>7.7407921764040637</v>
      </c>
      <c r="I400" s="3">
        <f t="shared" si="90"/>
        <v>2.9732037964893676</v>
      </c>
      <c r="J400" s="3">
        <f t="shared" si="91"/>
        <v>-1.9475952981639288</v>
      </c>
      <c r="K400" s="3">
        <f t="shared" si="92"/>
        <v>1.465106437551899E-8</v>
      </c>
      <c r="L400" s="3" cm="1">
        <f t="array" ref="L400">lmb_2(F400)</f>
        <v>20840.948951156352</v>
      </c>
      <c r="M400" s="3" cm="1">
        <f t="array" ref="M400">lmb_2(G400)</f>
        <v>3008.7580378432704</v>
      </c>
      <c r="N400" s="3" cm="1">
        <f t="array" ref="N400">lmb_2(H400)</f>
        <v>5.9563365561087878</v>
      </c>
      <c r="O400" s="3" cm="1">
        <f t="array" ref="O400">lmb_2(I400)</f>
        <v>2.1895209986580633</v>
      </c>
      <c r="P400" s="3" cm="1">
        <f t="array" ref="P400">lmb_2(J400)</f>
        <v>0.12576275394661512</v>
      </c>
      <c r="R400" s="3">
        <f t="shared" si="93"/>
        <v>3.6333670341149042E-3</v>
      </c>
      <c r="S400" s="3">
        <f t="shared" si="94"/>
        <v>5.8657645136504346</v>
      </c>
      <c r="T400" s="3">
        <f t="shared" si="95"/>
        <v>267.63954913579221</v>
      </c>
      <c r="U400" s="3">
        <f t="shared" si="85"/>
        <v>2013.9694931694958</v>
      </c>
      <c r="V400" s="3">
        <f t="shared" si="86"/>
        <v>0</v>
      </c>
      <c r="W400" s="3">
        <f t="shared" si="96"/>
        <v>702.62706220108373</v>
      </c>
      <c r="Y400" s="3">
        <f t="shared" si="97"/>
        <v>2990.1055024017073</v>
      </c>
      <c r="AA400" s="3">
        <f t="shared" si="98"/>
        <v>79.112087526034131</v>
      </c>
      <c r="AB400" s="3">
        <f t="shared" si="99"/>
        <v>8.8944975982926735</v>
      </c>
      <c r="AD400" s="3">
        <f t="shared" si="100"/>
        <v>2.913827176492453E-6</v>
      </c>
    </row>
    <row r="401" spans="3:30" x14ac:dyDescent="0.25">
      <c r="C401" s="22">
        <v>369</v>
      </c>
      <c r="D401" s="22">
        <v>2943</v>
      </c>
      <c r="F401" s="3">
        <f t="shared" si="87"/>
        <v>20964.362157899082</v>
      </c>
      <c r="G401" s="3">
        <f t="shared" si="88"/>
        <v>3033.1614678331412</v>
      </c>
      <c r="H401" s="3">
        <f t="shared" si="89"/>
        <v>7.785510472772927</v>
      </c>
      <c r="I401" s="3">
        <f t="shared" si="90"/>
        <v>2.987139892750541</v>
      </c>
      <c r="J401" s="3">
        <f t="shared" si="91"/>
        <v>-1.9468414591851577</v>
      </c>
      <c r="K401" s="3">
        <f t="shared" si="92"/>
        <v>1.3608953172925639E-8</v>
      </c>
      <c r="L401" s="3" cm="1">
        <f t="array" ref="L401">lmb_2(F401)</f>
        <v>20954.411815985379</v>
      </c>
      <c r="M401" s="3" cm="1">
        <f t="array" ref="M401">lmb_2(G401)</f>
        <v>3025.1454287077268</v>
      </c>
      <c r="N401" s="3" cm="1">
        <f t="array" ref="N401">lmb_2(H401)</f>
        <v>5.9946440590287757</v>
      </c>
      <c r="O401" s="3" cm="1">
        <f t="array" ref="O401">lmb_2(I401)</f>
        <v>2.1990942992910565</v>
      </c>
      <c r="P401" s="3" cm="1">
        <f t="array" ref="P401">lmb_2(J401)</f>
        <v>0.12584699289103096</v>
      </c>
      <c r="R401" s="3">
        <f t="shared" si="93"/>
        <v>3.6038936101002901E-3</v>
      </c>
      <c r="S401" s="3">
        <f t="shared" si="94"/>
        <v>5.8181640840902258</v>
      </c>
      <c r="T401" s="3">
        <f t="shared" si="95"/>
        <v>265.19151918734292</v>
      </c>
      <c r="U401" s="3">
        <f t="shared" si="85"/>
        <v>2004.6341336597125</v>
      </c>
      <c r="V401" s="3">
        <f t="shared" si="86"/>
        <v>0</v>
      </c>
      <c r="W401" s="3">
        <f t="shared" si="96"/>
        <v>704.40050530489111</v>
      </c>
      <c r="Y401" s="3">
        <f t="shared" si="97"/>
        <v>2980.0479261432556</v>
      </c>
      <c r="AA401" s="3">
        <f t="shared" si="98"/>
        <v>1372.5488315161224</v>
      </c>
      <c r="AB401" s="3">
        <f t="shared" si="99"/>
        <v>-37.047926143255609</v>
      </c>
      <c r="AD401" s="3">
        <f t="shared" si="100"/>
        <v>1.2136857965943461E-5</v>
      </c>
    </row>
    <row r="402" spans="3:30" x14ac:dyDescent="0.25">
      <c r="C402" s="22">
        <v>370</v>
      </c>
      <c r="D402" s="22">
        <v>2923</v>
      </c>
      <c r="F402" s="3">
        <f t="shared" si="87"/>
        <v>21078.138370411263</v>
      </c>
      <c r="G402" s="3">
        <f t="shared" si="88"/>
        <v>3049.5987694242976</v>
      </c>
      <c r="H402" s="3">
        <f t="shared" si="89"/>
        <v>7.830350121370742</v>
      </c>
      <c r="I402" s="3">
        <f t="shared" si="90"/>
        <v>3.0011138074547574</v>
      </c>
      <c r="J402" s="3">
        <f t="shared" si="91"/>
        <v>-1.9460855745103793</v>
      </c>
      <c r="K402" s="3">
        <f t="shared" si="92"/>
        <v>1.2640965988269523E-8</v>
      </c>
      <c r="L402" s="3" cm="1">
        <f t="array" ref="L402">lmb_2(F402)</f>
        <v>21068.182614893773</v>
      </c>
      <c r="M402" s="3" cm="1">
        <f t="array" ref="M402">lmb_2(G402)</f>
        <v>3041.5773194948256</v>
      </c>
      <c r="N402" s="3" cm="1">
        <f t="array" ref="N402">lmb_2(H402)</f>
        <v>6.0330906897451211</v>
      </c>
      <c r="O402" s="3" cm="1">
        <f t="array" ref="O402">lmb_2(I402)</f>
        <v>2.2087066771767749</v>
      </c>
      <c r="P402" s="3" cm="1">
        <f t="array" ref="P402">lmb_2(J402)</f>
        <v>0.12593151075355002</v>
      </c>
      <c r="R402" s="3">
        <f t="shared" si="93"/>
        <v>3.57473813271467E-3</v>
      </c>
      <c r="S402" s="3">
        <f t="shared" si="94"/>
        <v>5.7710772948849014</v>
      </c>
      <c r="T402" s="3">
        <f t="shared" si="95"/>
        <v>262.77130528106136</v>
      </c>
      <c r="U402" s="3">
        <f t="shared" si="85"/>
        <v>1995.3234719654822</v>
      </c>
      <c r="V402" s="3">
        <f t="shared" si="86"/>
        <v>0</v>
      </c>
      <c r="W402" s="3">
        <f t="shared" si="96"/>
        <v>706.17394840869838</v>
      </c>
      <c r="Y402" s="3">
        <f t="shared" si="97"/>
        <v>2970.0433777009007</v>
      </c>
      <c r="AA402" s="3">
        <f t="shared" si="98"/>
        <v>2213.0793855096003</v>
      </c>
      <c r="AB402" s="3">
        <f t="shared" si="99"/>
        <v>-47.043377700900692</v>
      </c>
      <c r="AD402" s="3">
        <f t="shared" si="100"/>
        <v>1.5411356392428022E-5</v>
      </c>
    </row>
    <row r="403" spans="3:30" x14ac:dyDescent="0.25">
      <c r="C403" s="22">
        <v>371</v>
      </c>
      <c r="D403" s="22">
        <v>2896</v>
      </c>
      <c r="F403" s="3">
        <f t="shared" si="87"/>
        <v>21192.222502307784</v>
      </c>
      <c r="G403" s="3">
        <f t="shared" si="88"/>
        <v>3066.0805562700989</v>
      </c>
      <c r="H403" s="3">
        <f t="shared" si="89"/>
        <v>7.875311122197509</v>
      </c>
      <c r="I403" s="3">
        <f t="shared" si="90"/>
        <v>3.0151255406020163</v>
      </c>
      <c r="J403" s="3">
        <f t="shared" si="91"/>
        <v>-1.9453276441395932</v>
      </c>
      <c r="K403" s="3">
        <f t="shared" si="92"/>
        <v>1.1741830476313932E-8</v>
      </c>
      <c r="L403" s="3" cm="1">
        <f t="array" ref="L403">lmb_2(F403)</f>
        <v>21182.261347802189</v>
      </c>
      <c r="M403" s="3" cm="1">
        <f t="array" ref="M403">lmb_2(G403)</f>
        <v>3058.0537101255372</v>
      </c>
      <c r="N403" s="3" cm="1">
        <f t="array" ref="N403">lmb_2(H403)</f>
        <v>6.0716763805374523</v>
      </c>
      <c r="O403" s="3" cm="1">
        <f t="array" ref="O403">lmb_2(I403)</f>
        <v>2.2183581778526955</v>
      </c>
      <c r="P403" s="3" cm="1">
        <f t="array" ref="P403">lmb_2(J403)</f>
        <v>0.12601630796584315</v>
      </c>
      <c r="R403" s="3">
        <f t="shared" si="93"/>
        <v>3.5458963258211602E-3</v>
      </c>
      <c r="S403" s="3">
        <f t="shared" si="94"/>
        <v>5.7244972368737219</v>
      </c>
      <c r="T403" s="3">
        <f t="shared" si="95"/>
        <v>260.37854843735266</v>
      </c>
      <c r="U403" s="3">
        <f t="shared" si="85"/>
        <v>1986.037818148681</v>
      </c>
      <c r="V403" s="3">
        <f t="shared" si="86"/>
        <v>0</v>
      </c>
      <c r="W403" s="3">
        <f t="shared" si="96"/>
        <v>707.94739151250565</v>
      </c>
      <c r="Y403" s="3">
        <f t="shared" si="97"/>
        <v>2960.0918012434809</v>
      </c>
      <c r="AA403" s="3">
        <f t="shared" si="98"/>
        <v>4107.7589866338549</v>
      </c>
      <c r="AB403" s="3">
        <f t="shared" si="99"/>
        <v>-64.091801243480859</v>
      </c>
      <c r="AD403" s="3">
        <f t="shared" si="100"/>
        <v>2.0996400323887321E-5</v>
      </c>
    </row>
    <row r="404" spans="3:30" x14ac:dyDescent="0.25">
      <c r="C404" s="22">
        <v>372</v>
      </c>
      <c r="D404" s="22">
        <v>2904</v>
      </c>
      <c r="F404" s="3">
        <f t="shared" si="87"/>
        <v>21306.614553588639</v>
      </c>
      <c r="G404" s="3">
        <f t="shared" si="88"/>
        <v>3082.6068283705445</v>
      </c>
      <c r="H404" s="3">
        <f t="shared" si="89"/>
        <v>7.9203934752532277</v>
      </c>
      <c r="I404" s="3">
        <f t="shared" si="90"/>
        <v>3.0291750921923177</v>
      </c>
      <c r="J404" s="3">
        <f t="shared" si="91"/>
        <v>-1.9445676680727995</v>
      </c>
      <c r="K404" s="3">
        <f t="shared" si="92"/>
        <v>1.0906649306899044E-8</v>
      </c>
      <c r="L404" s="3" cm="1">
        <f t="array" ref="L404">lmb_2(F404)</f>
        <v>21296.648014631901</v>
      </c>
      <c r="M404" s="3" cm="1">
        <f t="array" ref="M404">lmb_2(G404)</f>
        <v>3074.5746005214669</v>
      </c>
      <c r="N404" s="3" cm="1">
        <f t="array" ref="N404">lmb_2(H404)</f>
        <v>6.1104010636861394</v>
      </c>
      <c r="O404" s="3" cm="1">
        <f t="array" ref="O404">lmb_2(I404)</f>
        <v>2.2280488464619035</v>
      </c>
      <c r="P404" s="3" cm="1">
        <f t="array" ref="P404">lmb_2(J404)</f>
        <v>0.12610138496105655</v>
      </c>
      <c r="R404" s="3">
        <f t="shared" si="93"/>
        <v>3.5173639821155464E-3</v>
      </c>
      <c r="S404" s="3">
        <f t="shared" si="94"/>
        <v>5.6784171121122871</v>
      </c>
      <c r="T404" s="3">
        <f t="shared" si="95"/>
        <v>258.012894518255</v>
      </c>
      <c r="U404" s="3">
        <f t="shared" si="85"/>
        <v>1976.7774750179915</v>
      </c>
      <c r="V404" s="3">
        <f t="shared" si="86"/>
        <v>0</v>
      </c>
      <c r="W404" s="3">
        <f t="shared" si="96"/>
        <v>709.72083461631291</v>
      </c>
      <c r="Y404" s="3">
        <f t="shared" si="97"/>
        <v>2950.1931386395604</v>
      </c>
      <c r="AA404" s="3">
        <f t="shared" si="98"/>
        <v>2133.8060573736484</v>
      </c>
      <c r="AB404" s="3">
        <f t="shared" si="99"/>
        <v>-46.193138639560402</v>
      </c>
      <c r="AD404" s="3">
        <f t="shared" si="100"/>
        <v>1.5132819054476035E-5</v>
      </c>
    </row>
    <row r="405" spans="3:30" x14ac:dyDescent="0.25">
      <c r="C405" s="22">
        <v>373</v>
      </c>
      <c r="D405" s="22">
        <v>2958</v>
      </c>
      <c r="F405" s="3">
        <f t="shared" si="87"/>
        <v>21421.314524253827</v>
      </c>
      <c r="G405" s="3">
        <f t="shared" si="88"/>
        <v>3099.1775857256348</v>
      </c>
      <c r="H405" s="3">
        <f t="shared" si="89"/>
        <v>7.9655971805378964</v>
      </c>
      <c r="I405" s="3">
        <f t="shared" si="90"/>
        <v>3.0432624622256608</v>
      </c>
      <c r="J405" s="3">
        <f t="shared" si="91"/>
        <v>-1.9438056463099984</v>
      </c>
      <c r="K405" s="3">
        <f t="shared" si="92"/>
        <v>1.013087349060625E-8</v>
      </c>
      <c r="L405" s="3" cm="1">
        <f t="array" ref="L405">lmb_2(F405)</f>
        <v>21411.342615304828</v>
      </c>
      <c r="M405" s="3" cm="1">
        <f t="array" ref="M405">lmb_2(G405)</f>
        <v>3091.1399906048509</v>
      </c>
      <c r="N405" s="3" cm="1">
        <f t="array" ref="N405">lmb_2(H405)</f>
        <v>6.1492646714808741</v>
      </c>
      <c r="O405" s="3" cm="1">
        <f t="array" ref="O405">lmb_2(I405)</f>
        <v>2.2377787277539154</v>
      </c>
      <c r="P405" s="3" cm="1">
        <f t="array" ref="P405">lmb_2(J405)</f>
        <v>0.12618674217381415</v>
      </c>
      <c r="R405" s="3">
        <f t="shared" si="93"/>
        <v>3.4891369618369875E-3</v>
      </c>
      <c r="S405" s="3">
        <f t="shared" si="94"/>
        <v>5.632830231789729</v>
      </c>
      <c r="T405" s="3">
        <f t="shared" si="95"/>
        <v>255.6739941677248</v>
      </c>
      <c r="U405" s="3">
        <f t="shared" si="85"/>
        <v>1967.5427382042751</v>
      </c>
      <c r="V405" s="3">
        <f t="shared" si="86"/>
        <v>0</v>
      </c>
      <c r="W405" s="3">
        <f t="shared" si="96"/>
        <v>711.49427772012029</v>
      </c>
      <c r="Y405" s="3">
        <f t="shared" si="97"/>
        <v>2940.3473294710029</v>
      </c>
      <c r="AA405" s="3">
        <f t="shared" si="98"/>
        <v>311.61677680532199</v>
      </c>
      <c r="AB405" s="3">
        <f t="shared" si="99"/>
        <v>17.652670528997078</v>
      </c>
      <c r="AD405" s="3">
        <f t="shared" si="100"/>
        <v>5.7829945487795224E-6</v>
      </c>
    </row>
    <row r="406" spans="3:30" x14ac:dyDescent="0.25">
      <c r="C406" s="22">
        <v>374</v>
      </c>
      <c r="D406" s="22">
        <v>2864</v>
      </c>
      <c r="F406" s="3">
        <f t="shared" si="87"/>
        <v>21536.322414303351</v>
      </c>
      <c r="G406" s="3">
        <f t="shared" si="88"/>
        <v>3115.7928283353694</v>
      </c>
      <c r="H406" s="3">
        <f t="shared" si="89"/>
        <v>8.0109222380515206</v>
      </c>
      <c r="I406" s="3">
        <f t="shared" si="90"/>
        <v>3.0573876507020472</v>
      </c>
      <c r="J406" s="3">
        <f t="shared" si="91"/>
        <v>-1.9430415788511897</v>
      </c>
      <c r="K406" s="3">
        <f t="shared" si="92"/>
        <v>9.4102776017329686E-9</v>
      </c>
      <c r="L406" s="3" cm="1">
        <f t="array" ref="L406">lmb_2(F406)</f>
        <v>21526.345149743527</v>
      </c>
      <c r="M406" s="3" cm="1">
        <f t="array" ref="M406">lmb_2(G406)</f>
        <v>3107.7498802985474</v>
      </c>
      <c r="N406" s="3" cm="1">
        <f t="array" ref="N406">lmb_2(H406)</f>
        <v>6.1882671362290251</v>
      </c>
      <c r="O406" s="3" cm="1">
        <f t="array" ref="O406">lmb_2(I406)</f>
        <v>2.2475478660855366</v>
      </c>
      <c r="P406" s="3" cm="1">
        <f t="array" ref="P406">lmb_2(J406)</f>
        <v>0.12627238004022043</v>
      </c>
      <c r="R406" s="3">
        <f t="shared" si="93"/>
        <v>3.4612111915062545E-3</v>
      </c>
      <c r="S406" s="3">
        <f t="shared" si="94"/>
        <v>5.5877300141903907</v>
      </c>
      <c r="T406" s="3">
        <f t="shared" si="95"/>
        <v>253.36150275230969</v>
      </c>
      <c r="U406" s="3">
        <f t="shared" si="85"/>
        <v>1958.3338962360297</v>
      </c>
      <c r="V406" s="3">
        <f t="shared" si="86"/>
        <v>0</v>
      </c>
      <c r="W406" s="3">
        <f t="shared" si="96"/>
        <v>713.26772082392756</v>
      </c>
      <c r="Y406" s="3">
        <f t="shared" si="97"/>
        <v>2930.5543110470589</v>
      </c>
      <c r="AA406" s="3">
        <f t="shared" si="98"/>
        <v>4429.4763189486721</v>
      </c>
      <c r="AB406" s="3">
        <f t="shared" si="99"/>
        <v>-66.554311047058945</v>
      </c>
      <c r="AD406" s="3">
        <f t="shared" si="100"/>
        <v>2.1803115701428406E-5</v>
      </c>
    </row>
    <row r="407" spans="3:30" x14ac:dyDescent="0.25">
      <c r="C407" s="22">
        <v>375</v>
      </c>
      <c r="D407" s="22">
        <v>2889</v>
      </c>
      <c r="F407" s="3">
        <f t="shared" si="87"/>
        <v>21651.638223737213</v>
      </c>
      <c r="G407" s="3">
        <f t="shared" si="88"/>
        <v>3132.452556199748</v>
      </c>
      <c r="H407" s="3">
        <f t="shared" si="89"/>
        <v>8.0563686477940948</v>
      </c>
      <c r="I407" s="3">
        <f t="shared" si="90"/>
        <v>3.0715506576214762</v>
      </c>
      <c r="J407" s="3">
        <f t="shared" si="91"/>
        <v>-1.9422754656963737</v>
      </c>
      <c r="K407" s="3">
        <f t="shared" si="92"/>
        <v>8.740936763625305E-9</v>
      </c>
      <c r="L407" s="3" cm="1">
        <f t="array" ref="L407">lmb_2(F407)</f>
        <v>21641.655617871162</v>
      </c>
      <c r="M407" s="3" cm="1">
        <f t="array" ref="M407">lmb_2(G407)</f>
        <v>3124.4042695260309</v>
      </c>
      <c r="N407" s="3" cm="1">
        <f t="array" ref="N407">lmb_2(H407)</f>
        <v>6.2274083902637525</v>
      </c>
      <c r="O407" s="3" cm="1">
        <f t="array" ref="O407">lmb_2(I407)</f>
        <v>2.257356305421744</v>
      </c>
      <c r="P407" s="3" cm="1">
        <f t="array" ref="P407">lmb_2(J407)</f>
        <v>0.12635829899786266</v>
      </c>
      <c r="R407" s="3">
        <f t="shared" si="93"/>
        <v>3.4335826626908472E-3</v>
      </c>
      <c r="S407" s="3">
        <f t="shared" si="94"/>
        <v>5.543109982698871</v>
      </c>
      <c r="T407" s="3">
        <f t="shared" si="95"/>
        <v>251.07508030222198</v>
      </c>
      <c r="U407" s="3">
        <f t="shared" si="85"/>
        <v>1949.1512306149143</v>
      </c>
      <c r="V407" s="3">
        <f t="shared" si="86"/>
        <v>0</v>
      </c>
      <c r="W407" s="3">
        <f t="shared" si="96"/>
        <v>715.04116392773483</v>
      </c>
      <c r="Y407" s="3">
        <f t="shared" si="97"/>
        <v>2920.8140184189738</v>
      </c>
      <c r="AA407" s="3">
        <f t="shared" si="98"/>
        <v>1012.1317679628025</v>
      </c>
      <c r="AB407" s="3">
        <f t="shared" si="99"/>
        <v>-31.814018418973774</v>
      </c>
      <c r="AD407" s="3">
        <f t="shared" si="100"/>
        <v>1.0422235819191339E-5</v>
      </c>
    </row>
    <row r="408" spans="3:30" x14ac:dyDescent="0.25">
      <c r="C408" s="22">
        <v>376</v>
      </c>
      <c r="D408" s="22">
        <v>2962</v>
      </c>
      <c r="F408" s="3">
        <f t="shared" si="87"/>
        <v>21767.261952555411</v>
      </c>
      <c r="G408" s="3">
        <f t="shared" si="88"/>
        <v>3149.1567693187721</v>
      </c>
      <c r="H408" s="3">
        <f t="shared" si="89"/>
        <v>8.1019364097656226</v>
      </c>
      <c r="I408" s="3">
        <f t="shared" si="90"/>
        <v>3.0857514829839472</v>
      </c>
      <c r="J408" s="3">
        <f t="shared" si="91"/>
        <v>-1.94150730684555</v>
      </c>
      <c r="K408" s="3">
        <f t="shared" si="92"/>
        <v>8.1192052710141461E-9</v>
      </c>
      <c r="L408" s="3" cm="1">
        <f t="array" ref="L408">lmb_2(F408)</f>
        <v>21757.274019611519</v>
      </c>
      <c r="M408" s="3" cm="1">
        <f t="array" ref="M408">lmb_2(G408)</f>
        <v>3141.1031582113878</v>
      </c>
      <c r="N408" s="3" cm="1">
        <f t="array" ref="N408">lmb_2(H408)</f>
        <v>6.2666883659519215</v>
      </c>
      <c r="O408" s="3" cm="1">
        <f t="array" ref="O408">lmb_2(I408)</f>
        <v>2.2672040893366039</v>
      </c>
      <c r="P408" s="3" cm="1">
        <f t="array" ref="P408">lmb_2(J408)</f>
        <v>0.12644449948581368</v>
      </c>
      <c r="R408" s="3">
        <f t="shared" si="93"/>
        <v>3.4062474307963212E-3</v>
      </c>
      <c r="S408" s="3">
        <f t="shared" si="94"/>
        <v>5.4989637638474287</v>
      </c>
      <c r="T408" s="3">
        <f t="shared" si="95"/>
        <v>248.81439145282539</v>
      </c>
      <c r="U408" s="3">
        <f t="shared" si="85"/>
        <v>1939.9950158913141</v>
      </c>
      <c r="V408" s="3">
        <f t="shared" si="86"/>
        <v>0</v>
      </c>
      <c r="W408" s="3">
        <f t="shared" si="96"/>
        <v>716.8146070315421</v>
      </c>
      <c r="Y408" s="3">
        <f t="shared" si="97"/>
        <v>2911.1263843950787</v>
      </c>
      <c r="AA408" s="3">
        <f t="shared" si="98"/>
        <v>2588.1247647172891</v>
      </c>
      <c r="AB408" s="3">
        <f t="shared" si="99"/>
        <v>50.87361560492127</v>
      </c>
      <c r="AD408" s="3">
        <f t="shared" si="100"/>
        <v>1.6666137921551034E-5</v>
      </c>
    </row>
    <row r="409" spans="3:30" x14ac:dyDescent="0.25">
      <c r="C409" s="22">
        <v>377</v>
      </c>
      <c r="D409" s="22">
        <v>2973</v>
      </c>
      <c r="F409" s="3">
        <f t="shared" si="87"/>
        <v>21883.193600757942</v>
      </c>
      <c r="G409" s="3">
        <f t="shared" si="88"/>
        <v>3165.9054676924402</v>
      </c>
      <c r="H409" s="3">
        <f t="shared" si="89"/>
        <v>8.147625523966104</v>
      </c>
      <c r="I409" s="3">
        <f t="shared" si="90"/>
        <v>3.0999901267894616</v>
      </c>
      <c r="J409" s="3">
        <f t="shared" si="91"/>
        <v>-1.9407371022987188</v>
      </c>
      <c r="K409" s="3">
        <f t="shared" si="92"/>
        <v>7.5416967329166134E-9</v>
      </c>
      <c r="L409" s="3" cm="1">
        <f t="array" ref="L409">lmb_2(F409)</f>
        <v>21873.200354888984</v>
      </c>
      <c r="M409" s="3" cm="1">
        <f t="array" ref="M409">lmb_2(G409)</f>
        <v>3157.8465462793038</v>
      </c>
      <c r="N409" s="3" cm="1">
        <f t="array" ref="N409">lmb_2(H409)</f>
        <v>6.3061069957017715</v>
      </c>
      <c r="O409" s="3" cm="1">
        <f t="array" ref="O409">lmb_2(I409)</f>
        <v>2.2770912610142182</v>
      </c>
      <c r="P409" s="3" cm="1">
        <f t="array" ref="P409">lmb_2(J409)</f>
        <v>0.12653098194463425</v>
      </c>
      <c r="R409" s="3">
        <f t="shared" si="93"/>
        <v>3.3792016138832256E-3</v>
      </c>
      <c r="S409" s="3">
        <f t="shared" si="94"/>
        <v>5.4552850854047437</v>
      </c>
      <c r="T409" s="3">
        <f t="shared" si="95"/>
        <v>246.57910538654926</v>
      </c>
      <c r="U409" s="3">
        <f t="shared" si="85"/>
        <v>1930.8655197399232</v>
      </c>
      <c r="V409" s="3">
        <f t="shared" si="86"/>
        <v>0</v>
      </c>
      <c r="W409" s="3">
        <f t="shared" si="96"/>
        <v>718.58805013534936</v>
      </c>
      <c r="Y409" s="3">
        <f t="shared" si="97"/>
        <v>2901.4913395563822</v>
      </c>
      <c r="AA409" s="3">
        <f t="shared" si="98"/>
        <v>5113.488518440633</v>
      </c>
      <c r="AB409" s="3">
        <f t="shared" si="99"/>
        <v>71.508660443617828</v>
      </c>
      <c r="AD409" s="3">
        <f t="shared" si="100"/>
        <v>2.3426154861763138E-5</v>
      </c>
    </row>
    <row r="410" spans="3:30" x14ac:dyDescent="0.25">
      <c r="C410" s="22">
        <v>378</v>
      </c>
      <c r="D410" s="22">
        <v>2889</v>
      </c>
      <c r="F410" s="3">
        <f t="shared" si="87"/>
        <v>21999.433168344811</v>
      </c>
      <c r="G410" s="3">
        <f t="shared" si="88"/>
        <v>3182.6986513207535</v>
      </c>
      <c r="H410" s="3">
        <f t="shared" si="89"/>
        <v>8.1934359903955354</v>
      </c>
      <c r="I410" s="3">
        <f t="shared" si="90"/>
        <v>3.1142665890380172</v>
      </c>
      <c r="J410" s="3">
        <f t="shared" si="91"/>
        <v>-1.9399648520558801</v>
      </c>
      <c r="K410" s="3">
        <f t="shared" si="92"/>
        <v>7.0052656279474435E-9</v>
      </c>
      <c r="L410" s="3" cm="1">
        <f t="array" ref="L410">lmb_2(F410)</f>
        <v>21989.434623628549</v>
      </c>
      <c r="M410" s="3" cm="1">
        <f t="array" ref="M410">lmb_2(G410)</f>
        <v>3174.6344336550651</v>
      </c>
      <c r="N410" s="3" cm="1">
        <f t="array" ref="N410">lmb_2(H410)</f>
        <v>6.3456642119703899</v>
      </c>
      <c r="O410" s="3" cm="1">
        <f t="array" ref="O410">lmb_2(I410)</f>
        <v>2.2870178632496971</v>
      </c>
      <c r="P410" s="3" cm="1">
        <f t="array" ref="P410">lmb_2(J410)</f>
        <v>0.1266177468163755</v>
      </c>
      <c r="R410" s="3">
        <f t="shared" si="93"/>
        <v>3.352441391509026E-3</v>
      </c>
      <c r="S410" s="3">
        <f t="shared" si="94"/>
        <v>5.4120677745050054</v>
      </c>
      <c r="T410" s="3">
        <f t="shared" si="95"/>
        <v>244.36889577524087</v>
      </c>
      <c r="U410" s="3">
        <f t="shared" si="85"/>
        <v>1921.7630030353384</v>
      </c>
      <c r="V410" s="3">
        <f t="shared" si="86"/>
        <v>0</v>
      </c>
      <c r="W410" s="3">
        <f t="shared" si="96"/>
        <v>720.36149323915674</v>
      </c>
      <c r="Y410" s="3">
        <f t="shared" si="97"/>
        <v>2891.9088122726375</v>
      </c>
      <c r="AA410" s="3">
        <f t="shared" si="98"/>
        <v>8.4611888374467306</v>
      </c>
      <c r="AB410" s="3">
        <f t="shared" si="99"/>
        <v>-2.9088122726375332</v>
      </c>
      <c r="AD410" s="3">
        <f t="shared" si="100"/>
        <v>9.5292355275389247E-7</v>
      </c>
    </row>
    <row r="411" spans="3:30" x14ac:dyDescent="0.25">
      <c r="C411" s="22">
        <v>379</v>
      </c>
      <c r="D411" s="22">
        <v>2849</v>
      </c>
      <c r="F411" s="3">
        <f t="shared" si="87"/>
        <v>22115.980655316023</v>
      </c>
      <c r="G411" s="3">
        <f t="shared" si="88"/>
        <v>3199.5363202037106</v>
      </c>
      <c r="H411" s="3">
        <f t="shared" si="89"/>
        <v>8.2393678090539169</v>
      </c>
      <c r="I411" s="3">
        <f t="shared" si="90"/>
        <v>3.1285808697296162</v>
      </c>
      <c r="J411" s="3">
        <f t="shared" si="91"/>
        <v>-1.9391905561170337</v>
      </c>
      <c r="K411" s="3">
        <f t="shared" si="92"/>
        <v>6.506990171576884E-9</v>
      </c>
      <c r="L411" s="3" cm="1">
        <f t="array" ref="L411">lmb_2(F411)</f>
        <v>22105.976825755813</v>
      </c>
      <c r="M411" s="3" cm="1">
        <f t="array" ref="M411">lmb_2(G411)</f>
        <v>3191.4668202645457</v>
      </c>
      <c r="N411" s="3" cm="1">
        <f t="array" ref="N411">lmb_2(H411)</f>
        <v>6.3853599472709739</v>
      </c>
      <c r="O411" s="3" cm="1">
        <f t="array" ref="O411">lmb_2(I411)</f>
        <v>2.2969839384501647</v>
      </c>
      <c r="P411" s="3" cm="1">
        <f t="array" ref="P411">lmb_2(J411)</f>
        <v>0.12670479454458192</v>
      </c>
      <c r="R411" s="3">
        <f t="shared" si="93"/>
        <v>3.3259630035944341E-3</v>
      </c>
      <c r="S411" s="3">
        <f t="shared" si="94"/>
        <v>5.3693057558164439</v>
      </c>
      <c r="T411" s="3">
        <f t="shared" si="95"/>
        <v>242.18344072296472</v>
      </c>
      <c r="U411" s="3">
        <f t="shared" si="85"/>
        <v>1912.6877199276239</v>
      </c>
      <c r="V411" s="3">
        <f t="shared" si="86"/>
        <v>0</v>
      </c>
      <c r="W411" s="3">
        <f t="shared" si="96"/>
        <v>722.13493634296401</v>
      </c>
      <c r="Y411" s="3">
        <f t="shared" si="97"/>
        <v>2882.3787287188798</v>
      </c>
      <c r="AA411" s="3">
        <f t="shared" si="98"/>
        <v>1114.1395308885683</v>
      </c>
      <c r="AB411" s="3">
        <f t="shared" si="99"/>
        <v>-33.378728718879756</v>
      </c>
      <c r="AD411" s="3">
        <f t="shared" si="100"/>
        <v>1.0934833112610011E-5</v>
      </c>
    </row>
    <row r="412" spans="3:30" x14ac:dyDescent="0.25">
      <c r="C412" s="22">
        <v>380</v>
      </c>
      <c r="D412" s="22">
        <v>2818</v>
      </c>
      <c r="F412" s="3">
        <f t="shared" si="87"/>
        <v>22232.836061671565</v>
      </c>
      <c r="G412" s="3">
        <f t="shared" si="88"/>
        <v>3216.418474341313</v>
      </c>
      <c r="H412" s="3">
        <f t="shared" si="89"/>
        <v>8.2854209799412537</v>
      </c>
      <c r="I412" s="3">
        <f t="shared" si="90"/>
        <v>3.1429329688642578</v>
      </c>
      <c r="J412" s="3">
        <f t="shared" si="91"/>
        <v>-1.9384142144821801</v>
      </c>
      <c r="K412" s="3">
        <f t="shared" si="92"/>
        <v>6.0441564020184469E-9</v>
      </c>
      <c r="L412" s="3" cm="1">
        <f t="array" ref="L412">lmb_2(F412)</f>
        <v>22222.826961196934</v>
      </c>
      <c r="M412" s="3" cm="1">
        <f t="array" ref="M412">lmb_2(G412)</f>
        <v>3208.3437060342067</v>
      </c>
      <c r="N412" s="3" cm="1">
        <f t="array" ref="N412">lmb_2(H412)</f>
        <v>6.4251941341798888</v>
      </c>
      <c r="O412" s="3" cm="1">
        <f t="array" ref="O412">lmb_2(I412)</f>
        <v>2.3069895286357869</v>
      </c>
      <c r="P412" s="3" cm="1">
        <f t="array" ref="P412">lmb_2(J412)</f>
        <v>0.1267921255742934</v>
      </c>
      <c r="R412" s="3">
        <f t="shared" si="93"/>
        <v>3.2997627493135651E-3</v>
      </c>
      <c r="S412" s="3">
        <f t="shared" si="94"/>
        <v>5.3269930497482987</v>
      </c>
      <c r="T412" s="3">
        <f t="shared" si="95"/>
        <v>240.022422709262</v>
      </c>
      <c r="U412" s="3">
        <f t="shared" si="85"/>
        <v>1903.6399179178457</v>
      </c>
      <c r="V412" s="3">
        <f t="shared" si="86"/>
        <v>0</v>
      </c>
      <c r="W412" s="3">
        <f t="shared" si="96"/>
        <v>723.90837944677128</v>
      </c>
      <c r="Y412" s="3">
        <f t="shared" si="97"/>
        <v>2872.9010128924206</v>
      </c>
      <c r="AA412" s="3">
        <f t="shared" si="98"/>
        <v>3014.1212166137293</v>
      </c>
      <c r="AB412" s="3">
        <f t="shared" si="99"/>
        <v>-54.901012892420567</v>
      </c>
      <c r="AD412" s="3">
        <f t="shared" si="100"/>
        <v>1.7985508637790257E-5</v>
      </c>
    </row>
    <row r="413" spans="3:30" x14ac:dyDescent="0.25">
      <c r="C413" s="22">
        <v>381</v>
      </c>
      <c r="D413" s="22">
        <v>2783</v>
      </c>
      <c r="F413" s="3">
        <f t="shared" si="87"/>
        <v>22349.999387411444</v>
      </c>
      <c r="G413" s="3">
        <f t="shared" si="88"/>
        <v>3233.3451137335592</v>
      </c>
      <c r="H413" s="3">
        <f t="shared" si="89"/>
        <v>8.3315955030575424</v>
      </c>
      <c r="I413" s="3">
        <f t="shared" si="90"/>
        <v>3.1573228864419423</v>
      </c>
      <c r="J413" s="3">
        <f t="shared" si="91"/>
        <v>-1.9376358271513188</v>
      </c>
      <c r="K413" s="3">
        <f t="shared" si="92"/>
        <v>5.6142433980667024E-9</v>
      </c>
      <c r="L413" s="3" cm="1">
        <f t="array" ref="L413">lmb_2(F413)</f>
        <v>22339.985029878673</v>
      </c>
      <c r="M413" s="3" cm="1">
        <f t="array" ref="M413">lmb_2(G413)</f>
        <v>3225.2650908910841</v>
      </c>
      <c r="N413" s="3" cm="1">
        <f t="array" ref="N413">lmb_2(H413)</f>
        <v>6.4651667053435089</v>
      </c>
      <c r="O413" s="3" cm="1">
        <f t="array" ref="O413">lmb_2(I413)</f>
        <v>2.3170346754408335</v>
      </c>
      <c r="P413" s="3" cm="1">
        <f t="array" ref="P413">lmb_2(J413)</f>
        <v>0.1268797403520481</v>
      </c>
      <c r="R413" s="3">
        <f t="shared" si="93"/>
        <v>3.2738369860073357E-3</v>
      </c>
      <c r="S413" s="3">
        <f t="shared" si="94"/>
        <v>5.2851237706953977</v>
      </c>
      <c r="T413" s="3">
        <f t="shared" si="95"/>
        <v>237.88552853287803</v>
      </c>
      <c r="U413" s="3">
        <f t="shared" si="85"/>
        <v>1894.619837933544</v>
      </c>
      <c r="V413" s="3">
        <f t="shared" si="86"/>
        <v>0</v>
      </c>
      <c r="W413" s="3">
        <f t="shared" si="96"/>
        <v>725.68182255057854</v>
      </c>
      <c r="Y413" s="3">
        <f t="shared" si="97"/>
        <v>2863.4755866302962</v>
      </c>
      <c r="AA413" s="3">
        <f t="shared" si="98"/>
        <v>6476.3200434903119</v>
      </c>
      <c r="AB413" s="3">
        <f t="shared" si="99"/>
        <v>-80.47558663029622</v>
      </c>
      <c r="AD413" s="3">
        <f t="shared" si="100"/>
        <v>2.6363709560452439E-5</v>
      </c>
    </row>
    <row r="414" spans="3:30" x14ac:dyDescent="0.25">
      <c r="C414" s="22">
        <v>382</v>
      </c>
      <c r="D414" s="22">
        <v>2808</v>
      </c>
      <c r="F414" s="3">
        <f t="shared" si="87"/>
        <v>22467.470632535656</v>
      </c>
      <c r="G414" s="3">
        <f t="shared" si="88"/>
        <v>3250.3162383804506</v>
      </c>
      <c r="H414" s="3">
        <f t="shared" si="89"/>
        <v>8.3778913784027829</v>
      </c>
      <c r="I414" s="3">
        <f t="shared" si="90"/>
        <v>3.1717506224626684</v>
      </c>
      <c r="J414" s="3">
        <f t="shared" si="91"/>
        <v>-1.93685539412445</v>
      </c>
      <c r="K414" s="3">
        <f t="shared" si="92"/>
        <v>5.2149095483713062E-9</v>
      </c>
      <c r="L414" s="3" cm="1">
        <f t="array" ref="L414">lmb_2(F414)</f>
        <v>22457.451031728364</v>
      </c>
      <c r="M414" s="3" cm="1">
        <f t="array" ref="M414">lmb_2(G414)</f>
        <v>3242.2309747627896</v>
      </c>
      <c r="N414" s="3" cm="1">
        <f t="array" ref="N414">lmb_2(H414)</f>
        <v>6.5052775934848848</v>
      </c>
      <c r="O414" s="3" cm="1">
        <f t="array" ref="O414">lmb_2(I414)</f>
        <v>2.3271194201147596</v>
      </c>
      <c r="P414" s="3" cm="1">
        <f t="array" ref="P414">lmb_2(J414)</f>
        <v>0.12696763932588501</v>
      </c>
      <c r="R414" s="3">
        <f t="shared" si="93"/>
        <v>3.248182128119597E-3</v>
      </c>
      <c r="S414" s="3">
        <f t="shared" si="94"/>
        <v>5.2436921253193649</v>
      </c>
      <c r="T414" s="3">
        <f t="shared" si="95"/>
        <v>235.77244925596389</v>
      </c>
      <c r="U414" s="3">
        <f t="shared" si="85"/>
        <v>1885.6277144041326</v>
      </c>
      <c r="V414" s="3">
        <f t="shared" si="86"/>
        <v>0</v>
      </c>
      <c r="W414" s="3">
        <f t="shared" si="96"/>
        <v>727.45526565438593</v>
      </c>
      <c r="Y414" s="3">
        <f t="shared" si="97"/>
        <v>2854.102369627145</v>
      </c>
      <c r="AA414" s="3">
        <f t="shared" si="98"/>
        <v>2125.4284852379001</v>
      </c>
      <c r="AB414" s="3">
        <f t="shared" si="99"/>
        <v>-46.102369627144981</v>
      </c>
      <c r="AD414" s="3">
        <f t="shared" si="100"/>
        <v>1.5103083230475117E-5</v>
      </c>
    </row>
    <row r="415" spans="3:30" x14ac:dyDescent="0.25">
      <c r="C415" s="22">
        <v>383</v>
      </c>
      <c r="D415" s="22">
        <v>2823</v>
      </c>
      <c r="F415" s="3">
        <f t="shared" si="87"/>
        <v>22585.249797044205</v>
      </c>
      <c r="G415" s="3">
        <f t="shared" si="88"/>
        <v>3267.3318482819864</v>
      </c>
      <c r="H415" s="3">
        <f t="shared" si="89"/>
        <v>8.4243086059769752</v>
      </c>
      <c r="I415" s="3">
        <f t="shared" si="90"/>
        <v>3.1862161769264365</v>
      </c>
      <c r="J415" s="3">
        <f t="shared" si="91"/>
        <v>-1.9360729154015737</v>
      </c>
      <c r="K415" s="3">
        <f t="shared" si="92"/>
        <v>4.8439797973595307E-9</v>
      </c>
      <c r="L415" s="3" cm="1">
        <f t="array" ref="L415">lmb_2(F415)</f>
        <v>22575.224966673915</v>
      </c>
      <c r="M415" s="3" cm="1">
        <f t="array" ref="M415">lmb_2(G415)</f>
        <v>3259.2413575774995</v>
      </c>
      <c r="N415" s="3" cm="1">
        <f t="array" ref="N415">lmb_2(H415)</f>
        <v>6.5455267314102095</v>
      </c>
      <c r="O415" s="3" cm="1">
        <f t="array" ref="O415">lmb_2(I415)</f>
        <v>2.3372438035233243</v>
      </c>
      <c r="P415" s="3" cm="1">
        <f t="array" ref="P415">lmb_2(J415)</f>
        <v>0.12705582294534634</v>
      </c>
      <c r="R415" s="3">
        <f t="shared" si="93"/>
        <v>3.2227946461554436E-3</v>
      </c>
      <c r="S415" s="3">
        <f t="shared" si="94"/>
        <v>5.2026924108657084</v>
      </c>
      <c r="T415" s="3">
        <f t="shared" si="95"/>
        <v>233.68288014876393</v>
      </c>
      <c r="U415" s="3">
        <f t="shared" si="85"/>
        <v>1876.6637753361949</v>
      </c>
      <c r="V415" s="3">
        <f t="shared" si="86"/>
        <v>0</v>
      </c>
      <c r="W415" s="3">
        <f t="shared" si="96"/>
        <v>729.22870875819319</v>
      </c>
      <c r="Y415" s="3">
        <f t="shared" si="97"/>
        <v>2844.781279453508</v>
      </c>
      <c r="AA415" s="3">
        <f t="shared" si="98"/>
        <v>474.42413463180878</v>
      </c>
      <c r="AB415" s="3">
        <f t="shared" si="99"/>
        <v>-21.781279453507977</v>
      </c>
      <c r="AD415" s="3">
        <f t="shared" si="100"/>
        <v>7.1355220808189201E-6</v>
      </c>
    </row>
    <row r="416" spans="3:30" x14ac:dyDescent="0.25">
      <c r="C416" s="22">
        <v>384</v>
      </c>
      <c r="D416" s="22">
        <v>2909</v>
      </c>
      <c r="F416" s="3">
        <f t="shared" si="87"/>
        <v>22703.336880937091</v>
      </c>
      <c r="G416" s="3">
        <f t="shared" si="88"/>
        <v>3284.3919434381664</v>
      </c>
      <c r="H416" s="3">
        <f t="shared" si="89"/>
        <v>8.4708471857801193</v>
      </c>
      <c r="I416" s="3">
        <f t="shared" si="90"/>
        <v>3.2007195498332486</v>
      </c>
      <c r="J416" s="3">
        <f t="shared" si="91"/>
        <v>-1.9352883909826899</v>
      </c>
      <c r="K416" s="3">
        <f t="shared" si="92"/>
        <v>4.4994337983398911E-9</v>
      </c>
      <c r="L416" s="3" cm="1">
        <f t="array" ref="L416">lmb_2(F416)</f>
        <v>22693.306834643787</v>
      </c>
      <c r="M416" s="3" cm="1">
        <f t="array" ref="M416">lmb_2(G416)</f>
        <v>3276.2962392639492</v>
      </c>
      <c r="N416" s="3" cm="1">
        <f t="array" ref="N416">lmb_2(H416)</f>
        <v>6.5859140520150943</v>
      </c>
      <c r="O416" s="3" cm="1">
        <f t="array" ref="O416">lmb_2(I416)</f>
        <v>2.3474078661497257</v>
      </c>
      <c r="P416" s="3" cm="1">
        <f t="array" ref="P416">lmb_2(J416)</f>
        <v>0.12714429166148031</v>
      </c>
      <c r="R416" s="3">
        <f t="shared" si="93"/>
        <v>3.1976710656611783E-3</v>
      </c>
      <c r="S416" s="3">
        <f t="shared" si="94"/>
        <v>5.1621190135158574</v>
      </c>
      <c r="T416" s="3">
        <f t="shared" si="95"/>
        <v>231.61652063479281</v>
      </c>
      <c r="U416" s="3">
        <f t="shared" ref="U416:U479" si="101">$I$18*(C416/$I$19)*($O$28+$O$28^2)/(O416+O416^2)</f>
        <v>1867.7282423886791</v>
      </c>
      <c r="V416" s="3">
        <f t="shared" ref="V416:V479" si="102">$J$18*(C416/$J$19)*($P$28+$P$28^2)/(P416+P416^2)</f>
        <v>0</v>
      </c>
      <c r="W416" s="3">
        <f t="shared" si="96"/>
        <v>731.00215186200046</v>
      </c>
      <c r="Y416" s="3">
        <f t="shared" si="97"/>
        <v>2835.5122315745534</v>
      </c>
      <c r="AA416" s="3">
        <f t="shared" si="98"/>
        <v>5400.4521081520625</v>
      </c>
      <c r="AB416" s="3">
        <f t="shared" si="99"/>
        <v>73.487768425446575</v>
      </c>
      <c r="AD416" s="3">
        <f t="shared" si="100"/>
        <v>2.4074508358847975E-5</v>
      </c>
    </row>
    <row r="417" spans="3:30" x14ac:dyDescent="0.25">
      <c r="C417" s="22">
        <v>385</v>
      </c>
      <c r="D417" s="22">
        <v>2862</v>
      </c>
      <c r="F417" s="3">
        <f t="shared" ref="F417:F480" si="103">$F$20/(1-$F$20)-LN((1-$F$20)/$F$20)+(C417/$F$19)^2/((1-$F$20)*(1+0.534156*$F$20^0.7917))</f>
        <v>22821.731884214314</v>
      </c>
      <c r="G417" s="3">
        <f t="shared" ref="G417:G480" si="104">$G$20/(1-$G$20)-LN((1-$G$20)/$G$20)+(C417/$G$19)^2/((1-$G$20)*(1+0.534156*$G$20^0.7917))</f>
        <v>3301.4965238489895</v>
      </c>
      <c r="H417" s="3">
        <f t="shared" ref="H417:H480" si="105">$H$20/(1-$H$20)-LN((1-$H$20)/$H$20)+(C417/$H$19)^2/((1-$H$20)*(1+0.534156*$H$20^0.7917))</f>
        <v>8.5175071178122135</v>
      </c>
      <c r="I417" s="3">
        <f t="shared" ref="I417:I480" si="106">$I$20/(1-$I$20)-LN((1-$I$20)/$I$20)+(C417/$I$19)^2/((1-$I$20)*(1+0.534156*$I$20^0.7917))</f>
        <v>3.2152607411831031</v>
      </c>
      <c r="J417" s="3">
        <f t="shared" ref="J417:J480" si="107">$J$20/(1-$J$20)-LN((1-$J$20)/$J$20)+(C417/$J$19)^2/((1-$J$20)*(1+0.534156*$J$20^0.7917))</f>
        <v>-1.9345018208677984</v>
      </c>
      <c r="K417" s="3">
        <f t="shared" ref="K417:K480" si="108">$K$18*EXP(-$K$20*C417)</f>
        <v>4.1793949092601446E-9</v>
      </c>
      <c r="L417" s="3" cm="1">
        <f t="array" ref="L417">lmb_2(F417)</f>
        <v>22811.696635567016</v>
      </c>
      <c r="M417" s="3" cm="1">
        <f t="array" ref="M417">lmb_2(G417)</f>
        <v>3293.3956197514303</v>
      </c>
      <c r="N417" s="3" cm="1">
        <f t="array" ref="N417">lmb_2(H417)</f>
        <v>6.6264394882906599</v>
      </c>
      <c r="O417" s="3" cm="1">
        <f t="array" ref="O417">lmb_2(I417)</f>
        <v>2.3576116480957636</v>
      </c>
      <c r="P417" s="3" cm="1">
        <f t="array" ref="P417">lmb_2(J417)</f>
        <v>0.1272330459268437</v>
      </c>
      <c r="R417" s="3">
        <f t="shared" ref="R417:R480" si="109">$F$18*(C417/$F$19)*($L$28+$L$28^2)/(L417+L417^2)</f>
        <v>3.1728079662254431E-3</v>
      </c>
      <c r="S417" s="3">
        <f t="shared" ref="S417:S480" si="110">$G$18*(C417/$G$19)*($M$28+$M$28^2)/(M417+M417^2)</f>
        <v>5.1219664067733746</v>
      </c>
      <c r="T417" s="3">
        <f t="shared" ref="T417:T480" si="111">$H$18*(C417/$H$19)*($N$28+$N$28^2)/(N417+N417^2)</f>
        <v>229.57307423651085</v>
      </c>
      <c r="U417" s="3">
        <f t="shared" si="101"/>
        <v>1858.8213309479586</v>
      </c>
      <c r="V417" s="3">
        <f t="shared" si="102"/>
        <v>0</v>
      </c>
      <c r="W417" s="3">
        <f t="shared" ref="W417:W480" si="112">$F$22+$G$22/$F$21*C417</f>
        <v>732.77559496580773</v>
      </c>
      <c r="Y417" s="3">
        <f t="shared" ref="Y417:Y480" si="113">SUM(R417:W417)+K417</f>
        <v>2826.295139369196</v>
      </c>
      <c r="AA417" s="3">
        <f t="shared" ref="AA417:AA480" si="114">(D417-Y417)^2</f>
        <v>1274.8370726651358</v>
      </c>
      <c r="AB417" s="3">
        <f t="shared" ref="AB417:AB480" si="115">D417-Y417</f>
        <v>35.704860630803978</v>
      </c>
      <c r="AD417" s="3">
        <f t="shared" ref="AD417:AD480" si="116">ABS(AB417/$AC$32)</f>
        <v>1.1696871249803078E-5</v>
      </c>
    </row>
    <row r="418" spans="3:30" x14ac:dyDescent="0.25">
      <c r="C418" s="22">
        <v>386</v>
      </c>
      <c r="D418" s="22">
        <v>2860</v>
      </c>
      <c r="F418" s="3">
        <f t="shared" si="103"/>
        <v>22940.434806875877</v>
      </c>
      <c r="G418" s="3">
        <f t="shared" si="104"/>
        <v>3318.6455895144586</v>
      </c>
      <c r="H418" s="3">
        <f t="shared" si="105"/>
        <v>8.564288402073263</v>
      </c>
      <c r="I418" s="3">
        <f t="shared" si="106"/>
        <v>3.2298397509759997</v>
      </c>
      <c r="J418" s="3">
        <f t="shared" si="107"/>
        <v>-1.9337132050568995</v>
      </c>
      <c r="K418" s="3">
        <f t="shared" si="108"/>
        <v>3.8821199711826626E-9</v>
      </c>
      <c r="L418" s="3" cm="1">
        <f t="array" ref="L418">lmb_2(F418)</f>
        <v>22930.394369373174</v>
      </c>
      <c r="M418" s="3" cm="1">
        <f t="array" ref="M418">lmb_2(G418)</f>
        <v>3310.5394989697847</v>
      </c>
      <c r="N418" s="3" cm="1">
        <f t="array" ref="N418">lmb_2(H418)</f>
        <v>6.6671029733294587</v>
      </c>
      <c r="O418" s="3" cm="1">
        <f t="array" ref="O418">lmb_2(I418)</f>
        <v>2.3678551890830319</v>
      </c>
      <c r="P418" s="3" cm="1">
        <f t="array" ref="P418">lmb_2(J418)</f>
        <v>0.12732208619550434</v>
      </c>
      <c r="R418" s="3">
        <f t="shared" si="109"/>
        <v>3.148201980501007E-3</v>
      </c>
      <c r="S418" s="3">
        <f t="shared" si="110"/>
        <v>5.0822291498835588</v>
      </c>
      <c r="T418" s="3">
        <f t="shared" si="111"/>
        <v>227.55224852150184</v>
      </c>
      <c r="U418" s="3">
        <f t="shared" si="101"/>
        <v>1849.9432502027405</v>
      </c>
      <c r="V418" s="3">
        <f t="shared" si="102"/>
        <v>0</v>
      </c>
      <c r="W418" s="3">
        <f t="shared" si="112"/>
        <v>734.54903806961499</v>
      </c>
      <c r="Y418" s="3">
        <f t="shared" si="113"/>
        <v>2817.1299141496038</v>
      </c>
      <c r="AA418" s="3">
        <f t="shared" si="114"/>
        <v>1837.8442608203411</v>
      </c>
      <c r="AB418" s="3">
        <f t="shared" si="115"/>
        <v>42.870085850396208</v>
      </c>
      <c r="AD418" s="3">
        <f t="shared" si="116"/>
        <v>1.4044190785258861E-5</v>
      </c>
    </row>
    <row r="419" spans="3:30" x14ac:dyDescent="0.25">
      <c r="C419" s="22">
        <v>387</v>
      </c>
      <c r="D419" s="22">
        <v>2836</v>
      </c>
      <c r="F419" s="3">
        <f t="shared" si="103"/>
        <v>23059.44564892177</v>
      </c>
      <c r="G419" s="3">
        <f t="shared" si="104"/>
        <v>3335.839140434573</v>
      </c>
      <c r="H419" s="3">
        <f t="shared" si="105"/>
        <v>8.6111910385632644</v>
      </c>
      <c r="I419" s="3">
        <f t="shared" si="106"/>
        <v>3.2444565792119389</v>
      </c>
      <c r="J419" s="3">
        <f t="shared" si="107"/>
        <v>-1.932922543549993</v>
      </c>
      <c r="K419" s="3">
        <f t="shared" si="108"/>
        <v>3.6059898138037368E-9</v>
      </c>
      <c r="L419" s="3" cm="1">
        <f t="array" ref="L419">lmb_2(F419)</f>
        <v>23049.400035992381</v>
      </c>
      <c r="M419" s="3" cm="1">
        <f t="array" ref="M419">lmb_2(G419)</f>
        <v>3327.7278768493957</v>
      </c>
      <c r="N419" s="3" cm="1">
        <f t="array" ref="N419">lmb_2(H419)</f>
        <v>6.7079044403312018</v>
      </c>
      <c r="O419" s="3" cm="1">
        <f t="array" ref="O419">lmb_2(I419)</f>
        <v>2.3781385284541319</v>
      </c>
      <c r="P419" s="3" cm="1">
        <f t="array" ref="P419">lmb_2(J419)</f>
        <v>0.12741141292304373</v>
      </c>
      <c r="R419" s="3">
        <f t="shared" si="109"/>
        <v>3.1238497932467484E-3</v>
      </c>
      <c r="S419" s="3">
        <f t="shared" si="110"/>
        <v>5.0429018862856339</v>
      </c>
      <c r="T419" s="3">
        <f t="shared" si="111"/>
        <v>225.55375504915941</v>
      </c>
      <c r="U419" s="3">
        <f t="shared" si="101"/>
        <v>1841.0942032188152</v>
      </c>
      <c r="V419" s="3">
        <f t="shared" si="102"/>
        <v>0</v>
      </c>
      <c r="W419" s="3">
        <f t="shared" si="112"/>
        <v>736.32248117342237</v>
      </c>
      <c r="Y419" s="3">
        <f t="shared" si="113"/>
        <v>2808.0164651810819</v>
      </c>
      <c r="AA419" s="3">
        <f t="shared" si="114"/>
        <v>783.07822096160101</v>
      </c>
      <c r="AB419" s="3">
        <f t="shared" si="115"/>
        <v>27.983534818918088</v>
      </c>
      <c r="AD419" s="3">
        <f t="shared" si="116"/>
        <v>9.1673738003299959E-6</v>
      </c>
    </row>
    <row r="420" spans="3:30" x14ac:dyDescent="0.25">
      <c r="C420" s="22">
        <v>388</v>
      </c>
      <c r="D420" s="22">
        <v>2825</v>
      </c>
      <c r="F420" s="3">
        <f t="shared" si="103"/>
        <v>23178.764410352003</v>
      </c>
      <c r="G420" s="3">
        <f t="shared" si="104"/>
        <v>3353.0771766093308</v>
      </c>
      <c r="H420" s="3">
        <f t="shared" si="105"/>
        <v>8.6582150272822176</v>
      </c>
      <c r="I420" s="3">
        <f t="shared" si="106"/>
        <v>3.2591112258909214</v>
      </c>
      <c r="J420" s="3">
        <f t="shared" si="107"/>
        <v>-1.9321298363470794</v>
      </c>
      <c r="K420" s="3">
        <f t="shared" si="108"/>
        <v>3.349500436302843E-9</v>
      </c>
      <c r="L420" s="3" cm="1">
        <f t="array" ref="L420">lmb_2(F420)</f>
        <v>23168.713635355314</v>
      </c>
      <c r="M420" s="3" cm="1">
        <f t="array" ref="M420">lmb_2(G420)</f>
        <v>3344.9607533211824</v>
      </c>
      <c r="N420" s="3" cm="1">
        <f t="array" ref="N420">lmb_2(H420)</f>
        <v>6.7488438226083289</v>
      </c>
      <c r="O420" s="3" cm="1">
        <f t="array" ref="O420">lmb_2(I420)</f>
        <v>2.3884617051739117</v>
      </c>
      <c r="P420" s="3" cm="1">
        <f t="array" ref="P420">lmb_2(J420)</f>
        <v>0.12750102656655984</v>
      </c>
      <c r="R420" s="3">
        <f t="shared" si="109"/>
        <v>3.0997481403893367E-3</v>
      </c>
      <c r="S420" s="3">
        <f t="shared" si="110"/>
        <v>5.0039793420968008</v>
      </c>
      <c r="T420" s="3">
        <f t="shared" si="111"/>
        <v>223.57730931788706</v>
      </c>
      <c r="U420" s="3">
        <f t="shared" si="101"/>
        <v>1832.2743870136271</v>
      </c>
      <c r="V420" s="3">
        <f t="shared" si="102"/>
        <v>0</v>
      </c>
      <c r="W420" s="3">
        <f t="shared" si="112"/>
        <v>738.09592427722964</v>
      </c>
      <c r="Y420" s="3">
        <f t="shared" si="113"/>
        <v>2798.9546997023308</v>
      </c>
      <c r="AA420" s="3">
        <f t="shared" si="114"/>
        <v>678.35766759576734</v>
      </c>
      <c r="AB420" s="3">
        <f t="shared" si="115"/>
        <v>26.045300297669201</v>
      </c>
      <c r="AD420" s="3">
        <f t="shared" si="116"/>
        <v>8.5324104018897138E-6</v>
      </c>
    </row>
    <row r="421" spans="3:30" x14ac:dyDescent="0.25">
      <c r="C421" s="22">
        <v>389</v>
      </c>
      <c r="D421" s="22">
        <v>2892</v>
      </c>
      <c r="F421" s="3">
        <f t="shared" si="103"/>
        <v>23298.39109116657</v>
      </c>
      <c r="G421" s="3">
        <f t="shared" si="104"/>
        <v>3370.3596980387342</v>
      </c>
      <c r="H421" s="3">
        <f t="shared" si="105"/>
        <v>8.7053603682301244</v>
      </c>
      <c r="I421" s="3">
        <f t="shared" si="106"/>
        <v>3.2738036910129442</v>
      </c>
      <c r="J421" s="3">
        <f t="shared" si="107"/>
        <v>-1.9313350834481577</v>
      </c>
      <c r="K421" s="3">
        <f t="shared" si="108"/>
        <v>3.1112548154867309E-9</v>
      </c>
      <c r="L421" s="3" cm="1">
        <f t="array" ref="L421">lmb_2(F421)</f>
        <v>23288.335167393172</v>
      </c>
      <c r="M421" s="3" cm="1">
        <f t="array" ref="M421">lmb_2(G421)</f>
        <v>3362.2381283166001</v>
      </c>
      <c r="N421" s="3" cm="1">
        <f t="array" ref="N421">lmb_2(H421)</f>
        <v>6.789921053591411</v>
      </c>
      <c r="O421" s="3" cm="1">
        <f t="array" ref="O421">lmb_2(I421)</f>
        <v>2.3988247578307238</v>
      </c>
      <c r="P421" s="3" cm="1">
        <f t="array" ref="P421">lmb_2(J421)</f>
        <v>0.12759092758466953</v>
      </c>
      <c r="R421" s="3">
        <f t="shared" si="109"/>
        <v>3.0758938081042022E-3</v>
      </c>
      <c r="S421" s="3">
        <f t="shared" si="110"/>
        <v>4.9654563246273682</v>
      </c>
      <c r="T421" s="3">
        <f t="shared" si="111"/>
        <v>221.62263071281393</v>
      </c>
      <c r="U421" s="3">
        <f t="shared" si="101"/>
        <v>1823.4839926306465</v>
      </c>
      <c r="V421" s="3">
        <f t="shared" si="102"/>
        <v>0</v>
      </c>
      <c r="W421" s="3">
        <f t="shared" si="112"/>
        <v>739.86936738103691</v>
      </c>
      <c r="Y421" s="3">
        <f t="shared" si="113"/>
        <v>2789.9445229460443</v>
      </c>
      <c r="AA421" s="3">
        <f t="shared" si="114"/>
        <v>10415.320396710469</v>
      </c>
      <c r="AB421" s="3">
        <f t="shared" si="115"/>
        <v>102.05547705395566</v>
      </c>
      <c r="AD421" s="3">
        <f t="shared" si="116"/>
        <v>3.3433256826872313E-5</v>
      </c>
    </row>
    <row r="422" spans="3:30" x14ac:dyDescent="0.25">
      <c r="C422" s="22">
        <v>390</v>
      </c>
      <c r="D422" s="22">
        <v>2828</v>
      </c>
      <c r="F422" s="3">
        <f t="shared" si="103"/>
        <v>23418.32569136547</v>
      </c>
      <c r="G422" s="3">
        <f t="shared" si="104"/>
        <v>3387.6867047227811</v>
      </c>
      <c r="H422" s="3">
        <f t="shared" si="105"/>
        <v>8.7526270614069812</v>
      </c>
      <c r="I422" s="3">
        <f t="shared" si="106"/>
        <v>3.2885339745780113</v>
      </c>
      <c r="J422" s="3">
        <f t="shared" si="107"/>
        <v>-1.9305382848532289</v>
      </c>
      <c r="K422" s="3">
        <f t="shared" si="108"/>
        <v>2.889955296609531E-9</v>
      </c>
      <c r="L422" s="3" cm="1">
        <f t="array" ref="L422">lmb_2(F422)</f>
        <v>23408.264632037677</v>
      </c>
      <c r="M422" s="3" cm="1">
        <f t="array" ref="M422">lmb_2(G422)</f>
        <v>3379.5600017676261</v>
      </c>
      <c r="N422" s="3" cm="1">
        <f t="array" ref="N422">lmb_2(H422)</f>
        <v>6.831136066834369</v>
      </c>
      <c r="O422" s="3" cm="1">
        <f t="array" ref="O422">lmb_2(I422)</f>
        <v>2.4092277246377201</v>
      </c>
      <c r="P422" s="3" cm="1">
        <f t="array" ref="P422">lmb_2(J422)</f>
        <v>0.12768111643751126</v>
      </c>
      <c r="R422" s="3">
        <f t="shared" si="109"/>
        <v>3.0522836319153016E-3</v>
      </c>
      <c r="S422" s="3">
        <f t="shared" si="110"/>
        <v>4.9273277209263275</v>
      </c>
      <c r="T422" s="3">
        <f t="shared" si="111"/>
        <v>219.68944245403324</v>
      </c>
      <c r="U422" s="3">
        <f t="shared" si="101"/>
        <v>1814.7232052135264</v>
      </c>
      <c r="V422" s="3">
        <f t="shared" si="102"/>
        <v>0</v>
      </c>
      <c r="W422" s="3">
        <f t="shared" si="112"/>
        <v>741.64281048484418</v>
      </c>
      <c r="Y422" s="3">
        <f t="shared" si="113"/>
        <v>2780.9858381598519</v>
      </c>
      <c r="AA422" s="3">
        <f t="shared" si="114"/>
        <v>2210.3314135316341</v>
      </c>
      <c r="AB422" s="3">
        <f t="shared" si="115"/>
        <v>47.014161840148063</v>
      </c>
      <c r="AD422" s="3">
        <f t="shared" si="116"/>
        <v>1.5401785310070096E-5</v>
      </c>
    </row>
    <row r="423" spans="3:30" x14ac:dyDescent="0.25">
      <c r="C423" s="22">
        <v>391</v>
      </c>
      <c r="D423" s="22">
        <v>2749</v>
      </c>
      <c r="F423" s="3">
        <f t="shared" si="103"/>
        <v>23538.56821094871</v>
      </c>
      <c r="G423" s="3">
        <f t="shared" si="104"/>
        <v>3405.0581966614732</v>
      </c>
      <c r="H423" s="3">
        <f t="shared" si="105"/>
        <v>8.8000151068127916</v>
      </c>
      <c r="I423" s="3">
        <f t="shared" si="106"/>
        <v>3.303302076586121</v>
      </c>
      <c r="J423" s="3">
        <f t="shared" si="107"/>
        <v>-1.9297394405622923</v>
      </c>
      <c r="K423" s="3">
        <f t="shared" si="108"/>
        <v>2.6843965254240687E-9</v>
      </c>
      <c r="L423" s="3" cm="1">
        <f t="array" ref="L423">lmb_2(F423)</f>
        <v>23528.502029221105</v>
      </c>
      <c r="M423" s="3" cm="1">
        <f t="array" ref="M423">lmb_2(G423)</f>
        <v>3396.9263736067628</v>
      </c>
      <c r="N423" s="3" cm="1">
        <f t="array" ref="N423">lmb_2(H423)</f>
        <v>6.872488796019562</v>
      </c>
      <c r="O423" s="3" cm="1">
        <f t="array" ref="O423">lmb_2(I423)</f>
        <v>2.4196706434341495</v>
      </c>
      <c r="P423" s="3" cm="1">
        <f t="array" ref="P423">lmb_2(J423)</f>
        <v>0.12777159358674767</v>
      </c>
      <c r="R423" s="3">
        <f t="shared" si="109"/>
        <v>3.028914495813273E-3</v>
      </c>
      <c r="S423" s="3">
        <f t="shared" si="110"/>
        <v>4.8895884963565663</v>
      </c>
      <c r="T423" s="3">
        <f t="shared" si="111"/>
        <v>217.77747154536291</v>
      </c>
      <c r="U423" s="3">
        <f t="shared" si="101"/>
        <v>1805.9922040800457</v>
      </c>
      <c r="V423" s="3">
        <f t="shared" si="102"/>
        <v>0</v>
      </c>
      <c r="W423" s="3">
        <f t="shared" si="112"/>
        <v>743.41625358865156</v>
      </c>
      <c r="Y423" s="3">
        <f t="shared" si="113"/>
        <v>2772.078546627597</v>
      </c>
      <c r="AA423" s="3">
        <f t="shared" si="114"/>
        <v>532.61931444216918</v>
      </c>
      <c r="AB423" s="3">
        <f t="shared" si="115"/>
        <v>-23.078546627597007</v>
      </c>
      <c r="AD423" s="3">
        <f t="shared" si="116"/>
        <v>7.5605053140211829E-6</v>
      </c>
    </row>
    <row r="424" spans="3:30" x14ac:dyDescent="0.25">
      <c r="C424" s="22">
        <v>392</v>
      </c>
      <c r="D424" s="22">
        <v>2835</v>
      </c>
      <c r="F424" s="3">
        <f t="shared" si="103"/>
        <v>23659.11864991628</v>
      </c>
      <c r="G424" s="3">
        <f t="shared" si="104"/>
        <v>3422.4741738548096</v>
      </c>
      <c r="H424" s="3">
        <f t="shared" si="105"/>
        <v>8.8475245044475503</v>
      </c>
      <c r="I424" s="3">
        <f t="shared" si="106"/>
        <v>3.3181079970372727</v>
      </c>
      <c r="J424" s="3">
        <f t="shared" si="107"/>
        <v>-1.9289385505753485</v>
      </c>
      <c r="K424" s="3">
        <f t="shared" si="108"/>
        <v>2.4934588829670854E-9</v>
      </c>
      <c r="L424" s="3" cm="1">
        <f t="array" ref="L424">lmb_2(F424)</f>
        <v>23649.047358876214</v>
      </c>
      <c r="M424" s="3" cm="1">
        <f t="array" ref="M424">lmb_2(G424)</f>
        <v>3414.3372437670273</v>
      </c>
      <c r="N424" s="3" cm="1">
        <f t="array" ref="N424">lmb_2(H424)</f>
        <v>6.9139791749626793</v>
      </c>
      <c r="O424" s="3" cm="1">
        <f t="array" ref="O424">lmb_2(I424)</f>
        <v>2.4301535516866948</v>
      </c>
      <c r="P424" s="3" cm="1">
        <f t="array" ref="P424">lmb_2(J424)</f>
        <v>0.12786235949556821</v>
      </c>
      <c r="R424" s="3">
        <f t="shared" si="109"/>
        <v>3.0057833313915767E-3</v>
      </c>
      <c r="S424" s="3">
        <f t="shared" si="110"/>
        <v>4.8522336931991514</v>
      </c>
      <c r="T424" s="3">
        <f t="shared" si="111"/>
        <v>215.88644872363443</v>
      </c>
      <c r="U424" s="3">
        <f t="shared" si="101"/>
        <v>1797.2911627957983</v>
      </c>
      <c r="V424" s="3">
        <f t="shared" si="102"/>
        <v>0</v>
      </c>
      <c r="W424" s="3">
        <f t="shared" si="112"/>
        <v>745.18969669245882</v>
      </c>
      <c r="Y424" s="3">
        <f t="shared" si="113"/>
        <v>2763.2225476909157</v>
      </c>
      <c r="AA424" s="3">
        <f t="shared" si="114"/>
        <v>5152.0026599828725</v>
      </c>
      <c r="AB424" s="3">
        <f t="shared" si="115"/>
        <v>71.77745230908431</v>
      </c>
      <c r="AD424" s="3">
        <f t="shared" si="116"/>
        <v>2.3514210767536466E-5</v>
      </c>
    </row>
    <row r="425" spans="3:30" x14ac:dyDescent="0.25">
      <c r="C425" s="22">
        <v>393</v>
      </c>
      <c r="D425" s="22">
        <v>2788</v>
      </c>
      <c r="F425" s="3">
        <f t="shared" si="103"/>
        <v>23779.977008268193</v>
      </c>
      <c r="G425" s="3">
        <f t="shared" si="104"/>
        <v>3439.9346363027908</v>
      </c>
      <c r="H425" s="3">
        <f t="shared" si="105"/>
        <v>8.8951552543112644</v>
      </c>
      <c r="I425" s="3">
        <f t="shared" si="106"/>
        <v>3.3329517359314678</v>
      </c>
      <c r="J425" s="3">
        <f t="shared" si="107"/>
        <v>-1.9281356148923969</v>
      </c>
      <c r="K425" s="3">
        <f t="shared" si="108"/>
        <v>2.3161023873197355E-9</v>
      </c>
      <c r="L425" s="3" cm="1">
        <f t="array" ref="L425">lmb_2(F425)</f>
        <v>23769.900620936311</v>
      </c>
      <c r="M425" s="3" cm="1">
        <f t="array" ref="M425">lmb_2(G425)</f>
        <v>3431.7926121819464</v>
      </c>
      <c r="N425" s="3" cm="1">
        <f t="array" ref="N425">lmb_2(H425)</f>
        <v>6.9556071376175268</v>
      </c>
      <c r="O425" s="3" cm="1">
        <f t="array" ref="O425">lmb_2(I425)</f>
        <v>2.4406764864908244</v>
      </c>
      <c r="P425" s="3" cm="1">
        <f t="array" ref="P425">lmb_2(J425)</f>
        <v>0.12795341462869195</v>
      </c>
      <c r="R425" s="3">
        <f t="shared" si="109"/>
        <v>2.9828871170001531E-3</v>
      </c>
      <c r="S425" s="3">
        <f t="shared" si="110"/>
        <v>4.8152584292859357</v>
      </c>
      <c r="T425" s="3">
        <f t="shared" si="111"/>
        <v>214.01610840850881</v>
      </c>
      <c r="U425" s="3">
        <f t="shared" si="101"/>
        <v>1788.6202492476341</v>
      </c>
      <c r="V425" s="3">
        <f t="shared" si="102"/>
        <v>0</v>
      </c>
      <c r="W425" s="3">
        <f t="shared" si="112"/>
        <v>746.96313979626609</v>
      </c>
      <c r="Y425" s="3">
        <f t="shared" si="113"/>
        <v>2754.4177387711279</v>
      </c>
      <c r="AA425" s="3">
        <f t="shared" si="114"/>
        <v>1127.7682692442052</v>
      </c>
      <c r="AB425" s="3">
        <f t="shared" si="115"/>
        <v>33.582261228872085</v>
      </c>
      <c r="AD425" s="3">
        <f t="shared" si="116"/>
        <v>1.1001510128637224E-5</v>
      </c>
    </row>
    <row r="426" spans="3:30" x14ac:dyDescent="0.25">
      <c r="C426" s="22">
        <v>394</v>
      </c>
      <c r="D426" s="22">
        <v>2591</v>
      </c>
      <c r="F426" s="3">
        <f t="shared" si="103"/>
        <v>23901.143286004444</v>
      </c>
      <c r="G426" s="3">
        <f t="shared" si="104"/>
        <v>3457.4395840054158</v>
      </c>
      <c r="H426" s="3">
        <f t="shared" si="105"/>
        <v>8.9429073564039303</v>
      </c>
      <c r="I426" s="3">
        <f t="shared" si="106"/>
        <v>3.347833293268704</v>
      </c>
      <c r="J426" s="3">
        <f t="shared" si="107"/>
        <v>-1.9273306335134379</v>
      </c>
      <c r="K426" s="3">
        <f t="shared" si="108"/>
        <v>2.1513610291278941E-9</v>
      </c>
      <c r="L426" s="3" cm="1">
        <f t="array" ref="L426">lmb_2(F426)</f>
        <v>23891.061815335186</v>
      </c>
      <c r="M426" s="3" cm="1">
        <f t="array" ref="M426">lmb_2(G426)</f>
        <v>3449.2924787855527</v>
      </c>
      <c r="N426" s="3" cm="1">
        <f t="array" ref="N426">lmb_2(H426)</f>
        <v>6.9973726180806075</v>
      </c>
      <c r="O426" s="3" cm="1">
        <f t="array" ref="O426">lmb_2(I426)</f>
        <v>2.4512394845721635</v>
      </c>
      <c r="P426" s="3" cm="1">
        <f t="array" ref="P426">lmb_2(J426)</f>
        <v>0.12804475945236998</v>
      </c>
      <c r="R426" s="3">
        <f t="shared" si="109"/>
        <v>2.9602228769162733E-3</v>
      </c>
      <c r="S426" s="3">
        <f t="shared" si="110"/>
        <v>4.7786578966598752</v>
      </c>
      <c r="T426" s="3">
        <f t="shared" si="111"/>
        <v>212.16618865282527</v>
      </c>
      <c r="U426" s="3">
        <f t="shared" si="101"/>
        <v>1779.9796257168309</v>
      </c>
      <c r="V426" s="3">
        <f t="shared" si="102"/>
        <v>0</v>
      </c>
      <c r="W426" s="3">
        <f t="shared" si="112"/>
        <v>748.73658290007336</v>
      </c>
      <c r="Y426" s="3">
        <f t="shared" si="113"/>
        <v>2745.6640153914177</v>
      </c>
      <c r="AA426" s="3">
        <f t="shared" si="114"/>
        <v>23920.957656996692</v>
      </c>
      <c r="AB426" s="3">
        <f t="shared" si="115"/>
        <v>-154.66401539141771</v>
      </c>
      <c r="AD426" s="3">
        <f t="shared" si="116"/>
        <v>5.06677534388751E-5</v>
      </c>
    </row>
    <row r="427" spans="3:30" x14ac:dyDescent="0.25">
      <c r="C427" s="22">
        <v>395</v>
      </c>
      <c r="D427" s="22">
        <v>2828</v>
      </c>
      <c r="F427" s="3">
        <f t="shared" si="103"/>
        <v>24022.617483125028</v>
      </c>
      <c r="G427" s="3">
        <f t="shared" si="104"/>
        <v>3474.989016962686</v>
      </c>
      <c r="H427" s="3">
        <f t="shared" si="105"/>
        <v>8.9907808107255498</v>
      </c>
      <c r="I427" s="3">
        <f t="shared" si="106"/>
        <v>3.3627526690489833</v>
      </c>
      <c r="J427" s="3">
        <f t="shared" si="107"/>
        <v>-1.9265236064384712</v>
      </c>
      <c r="K427" s="3">
        <f t="shared" si="108"/>
        <v>1.9983375100296427E-9</v>
      </c>
      <c r="L427" s="3" cm="1">
        <f t="array" ref="L427">lmb_2(F427)</f>
        <v>24012.530942007143</v>
      </c>
      <c r="M427" s="3" cm="1">
        <f t="array" ref="M427">lmb_2(G427)</f>
        <v>3466.8368435123816</v>
      </c>
      <c r="N427" s="3" cm="1">
        <f t="array" ref="N427">lmb_2(H427)</f>
        <v>7.0392755505955984</v>
      </c>
      <c r="O427" s="3" cm="1">
        <f t="array" ref="O427">lmb_2(I427)</f>
        <v>2.4618425822878929</v>
      </c>
      <c r="P427" s="3" cm="1">
        <f t="array" ref="P427">lmb_2(J427)</f>
        <v>0.12813639443438837</v>
      </c>
      <c r="R427" s="3">
        <f t="shared" si="109"/>
        <v>2.9377876805321201E-3</v>
      </c>
      <c r="S427" s="3">
        <f t="shared" si="110"/>
        <v>4.7424273602624263</v>
      </c>
      <c r="T427" s="3">
        <f t="shared" si="111"/>
        <v>210.33643109348017</v>
      </c>
      <c r="U427" s="3">
        <f t="shared" si="101"/>
        <v>1771.3694489519817</v>
      </c>
      <c r="V427" s="3">
        <f t="shared" si="102"/>
        <v>0</v>
      </c>
      <c r="W427" s="3">
        <f t="shared" si="112"/>
        <v>750.51002600388063</v>
      </c>
      <c r="Y427" s="3">
        <f t="shared" si="113"/>
        <v>2736.9612711992836</v>
      </c>
      <c r="AA427" s="3">
        <f t="shared" si="114"/>
        <v>8288.0501416503903</v>
      </c>
      <c r="AB427" s="3">
        <f t="shared" si="115"/>
        <v>91.038728800716399</v>
      </c>
      <c r="AD427" s="3">
        <f t="shared" si="116"/>
        <v>2.9824182778325022E-5</v>
      </c>
    </row>
    <row r="428" spans="3:30" x14ac:dyDescent="0.25">
      <c r="C428" s="22">
        <v>396</v>
      </c>
      <c r="D428" s="22">
        <v>2722</v>
      </c>
      <c r="F428" s="3">
        <f t="shared" si="103"/>
        <v>24144.399599629945</v>
      </c>
      <c r="G428" s="3">
        <f t="shared" si="104"/>
        <v>3492.5829351746011</v>
      </c>
      <c r="H428" s="3">
        <f t="shared" si="105"/>
        <v>9.0387756172761211</v>
      </c>
      <c r="I428" s="3">
        <f t="shared" si="106"/>
        <v>3.3777098632723055</v>
      </c>
      <c r="J428" s="3">
        <f t="shared" si="107"/>
        <v>-1.9257145336674972</v>
      </c>
      <c r="K428" s="3">
        <f t="shared" si="108"/>
        <v>1.8561983553314964E-9</v>
      </c>
      <c r="L428" s="3" cm="1">
        <f t="array" ref="L428">lmb_2(F428)</f>
        <v>24134.308000886977</v>
      </c>
      <c r="M428" s="3" cm="1">
        <f t="array" ref="M428">lmb_2(G428)</f>
        <v>3484.4257062974611</v>
      </c>
      <c r="N428" s="3" cm="1">
        <f t="array" ref="N428">lmb_2(H428)</f>
        <v>7.0813158695576623</v>
      </c>
      <c r="O428" s="3" cm="1">
        <f t="array" ref="O428">lmb_2(I428)</f>
        <v>2.4724858156281617</v>
      </c>
      <c r="P428" s="3" cm="1">
        <f t="array" ref="P428">lmb_2(J428)</f>
        <v>0.12822832004407039</v>
      </c>
      <c r="R428" s="3">
        <f t="shared" si="109"/>
        <v>2.9155786415587743E-3</v>
      </c>
      <c r="S428" s="3">
        <f t="shared" si="110"/>
        <v>4.7065621566474194</v>
      </c>
      <c r="T428" s="3">
        <f t="shared" si="111"/>
        <v>208.52658090284041</v>
      </c>
      <c r="U428" s="3">
        <f t="shared" si="101"/>
        <v>1762.7898702415882</v>
      </c>
      <c r="V428" s="3">
        <f t="shared" si="102"/>
        <v>0</v>
      </c>
      <c r="W428" s="3">
        <f t="shared" si="112"/>
        <v>752.28346910768801</v>
      </c>
      <c r="Y428" s="3">
        <f t="shared" si="113"/>
        <v>2728.3093979892619</v>
      </c>
      <c r="AA428" s="3">
        <f t="shared" si="114"/>
        <v>39.808502986902418</v>
      </c>
      <c r="AB428" s="3">
        <f t="shared" si="115"/>
        <v>-6.3093979892619245</v>
      </c>
      <c r="AD428" s="3">
        <f t="shared" si="116"/>
        <v>2.0669515197741122E-6</v>
      </c>
    </row>
    <row r="429" spans="3:30" x14ac:dyDescent="0.25">
      <c r="C429" s="22">
        <v>397</v>
      </c>
      <c r="D429" s="22">
        <v>2771</v>
      </c>
      <c r="F429" s="3">
        <f t="shared" si="103"/>
        <v>24266.489635519203</v>
      </c>
      <c r="G429" s="3">
        <f t="shared" si="104"/>
        <v>3510.2213386411599</v>
      </c>
      <c r="H429" s="3">
        <f t="shared" si="105"/>
        <v>9.0868917760556425</v>
      </c>
      <c r="I429" s="3">
        <f t="shared" si="106"/>
        <v>3.3927048759386702</v>
      </c>
      <c r="J429" s="3">
        <f t="shared" si="107"/>
        <v>-1.9249034152005156</v>
      </c>
      <c r="K429" s="3">
        <f t="shared" si="108"/>
        <v>1.724169374313673E-9</v>
      </c>
      <c r="L429" s="3" cm="1">
        <f t="array" ref="L429">lmb_2(F429)</f>
        <v>24256.392991909997</v>
      </c>
      <c r="M429" s="3" cm="1">
        <f t="array" ref="M429">lmb_2(G429)</f>
        <v>3502.0590670763095</v>
      </c>
      <c r="N429" s="3" cm="1">
        <f t="array" ref="N429">lmb_2(H429)</f>
        <v>7.1234935095176217</v>
      </c>
      <c r="O429" s="3" cm="1">
        <f t="array" ref="O429">lmb_2(I429)</f>
        <v>2.4831692202175231</v>
      </c>
      <c r="P429" s="3" cm="1">
        <f t="array" ref="P429">lmb_2(J429)</f>
        <v>0.12832053675227972</v>
      </c>
      <c r="R429" s="3">
        <f t="shared" si="109"/>
        <v>2.8935929172461965E-3</v>
      </c>
      <c r="S429" s="3">
        <f t="shared" si="110"/>
        <v>4.6710576927207752</v>
      </c>
      <c r="T429" s="3">
        <f t="shared" si="111"/>
        <v>206.73638674068982</v>
      </c>
      <c r="U429" s="3">
        <f t="shared" si="101"/>
        <v>1754.2410354863493</v>
      </c>
      <c r="V429" s="3">
        <f t="shared" si="102"/>
        <v>0</v>
      </c>
      <c r="W429" s="3">
        <f t="shared" si="112"/>
        <v>754.05691221149527</v>
      </c>
      <c r="Y429" s="3">
        <f t="shared" si="113"/>
        <v>2719.7082857258965</v>
      </c>
      <c r="AA429" s="3">
        <f t="shared" si="114"/>
        <v>2630.8399531762698</v>
      </c>
      <c r="AB429" s="3">
        <f t="shared" si="115"/>
        <v>51.29171427410347</v>
      </c>
      <c r="AD429" s="3">
        <f t="shared" si="116"/>
        <v>1.6803106564383909E-5</v>
      </c>
    </row>
    <row r="430" spans="3:30" x14ac:dyDescent="0.25">
      <c r="C430" s="22">
        <v>398</v>
      </c>
      <c r="D430" s="22">
        <v>2726</v>
      </c>
      <c r="F430" s="3">
        <f t="shared" si="103"/>
        <v>24388.88759079279</v>
      </c>
      <c r="G430" s="3">
        <f t="shared" si="104"/>
        <v>3527.9042273623622</v>
      </c>
      <c r="H430" s="3">
        <f t="shared" si="105"/>
        <v>9.1351292870641156</v>
      </c>
      <c r="I430" s="3">
        <f t="shared" si="106"/>
        <v>3.407737707048077</v>
      </c>
      <c r="J430" s="3">
        <f t="shared" si="107"/>
        <v>-1.9240902510375264</v>
      </c>
      <c r="K430" s="3">
        <f t="shared" si="108"/>
        <v>1.601531443437957E-9</v>
      </c>
      <c r="L430" s="3" cm="1">
        <f t="array" ref="L430">lmb_2(F430)</f>
        <v>24378.785915011969</v>
      </c>
      <c r="M430" s="3" cm="1">
        <f t="array" ref="M430">lmb_2(G430)</f>
        <v>3519.7369257849318</v>
      </c>
      <c r="N430" s="3" cm="1">
        <f t="array" ref="N430">lmb_2(H430)</f>
        <v>7.1658084051860058</v>
      </c>
      <c r="O430" s="3" cm="1">
        <f t="array" ref="O430">lmb_2(I430)</f>
        <v>2.4938928313163871</v>
      </c>
      <c r="P430" s="3" cm="1">
        <f t="array" ref="P430">lmb_2(J430)</f>
        <v>0.12841304503142276</v>
      </c>
      <c r="R430" s="3">
        <f t="shared" si="109"/>
        <v>2.8718277076188836E-3</v>
      </c>
      <c r="S430" s="3">
        <f t="shared" si="110"/>
        <v>4.6359094445055096</v>
      </c>
      <c r="T430" s="3">
        <f t="shared" si="111"/>
        <v>204.96560070670952</v>
      </c>
      <c r="U430" s="3">
        <f t="shared" si="101"/>
        <v>1745.7230852711277</v>
      </c>
      <c r="V430" s="3">
        <f t="shared" si="102"/>
        <v>0</v>
      </c>
      <c r="W430" s="3">
        <f t="shared" si="112"/>
        <v>755.83035531530254</v>
      </c>
      <c r="Y430" s="3">
        <f t="shared" si="113"/>
        <v>2711.1578225669546</v>
      </c>
      <c r="AA430" s="3">
        <f t="shared" si="114"/>
        <v>220.29023095400319</v>
      </c>
      <c r="AB430" s="3">
        <f t="shared" si="115"/>
        <v>14.842177433045435</v>
      </c>
      <c r="AD430" s="3">
        <f t="shared" si="116"/>
        <v>4.862280245152046E-6</v>
      </c>
    </row>
    <row r="431" spans="3:30" x14ac:dyDescent="0.25">
      <c r="C431" s="22">
        <v>399</v>
      </c>
      <c r="D431" s="22">
        <v>2684</v>
      </c>
      <c r="F431" s="3">
        <f t="shared" si="103"/>
        <v>24511.593465450718</v>
      </c>
      <c r="G431" s="3">
        <f t="shared" si="104"/>
        <v>3545.6316013382102</v>
      </c>
      <c r="H431" s="3">
        <f t="shared" si="105"/>
        <v>9.1834881503015406</v>
      </c>
      <c r="I431" s="3">
        <f t="shared" si="106"/>
        <v>3.4228083566005263</v>
      </c>
      <c r="J431" s="3">
        <f t="shared" si="107"/>
        <v>-1.9232750411785298</v>
      </c>
      <c r="K431" s="3">
        <f t="shared" si="108"/>
        <v>1.487616589490489E-9</v>
      </c>
      <c r="L431" s="3" cm="1">
        <f t="array" ref="L431">lmb_2(F431)</f>
        <v>24501.486770129177</v>
      </c>
      <c r="M431" s="3" cm="1">
        <f t="array" ref="M431">lmb_2(G431)</f>
        <v>3537.459282359815</v>
      </c>
      <c r="N431" s="3" cm="1">
        <f t="array" ref="N431">lmb_2(H431)</f>
        <v>7.2082604914369464</v>
      </c>
      <c r="O431" s="3" cm="1">
        <f t="array" ref="O431">lmb_2(I431)</f>
        <v>2.5046566838224997</v>
      </c>
      <c r="P431" s="3" cm="1">
        <f t="array" ref="P431">lmb_2(J431)</f>
        <v>0.12850584535545134</v>
      </c>
      <c r="R431" s="3">
        <f t="shared" si="109"/>
        <v>2.8502802547267884E-3</v>
      </c>
      <c r="S431" s="3">
        <f t="shared" si="110"/>
        <v>4.6011129559314545</v>
      </c>
      <c r="T431" s="3">
        <f t="shared" si="111"/>
        <v>203.21397829349323</v>
      </c>
      <c r="U431" s="3">
        <f t="shared" si="101"/>
        <v>1737.2361549365799</v>
      </c>
      <c r="V431" s="3">
        <f t="shared" si="102"/>
        <v>0</v>
      </c>
      <c r="W431" s="3">
        <f t="shared" si="112"/>
        <v>757.60379841910981</v>
      </c>
      <c r="Y431" s="3">
        <f t="shared" si="113"/>
        <v>2702.6578948868569</v>
      </c>
      <c r="AA431" s="3">
        <f t="shared" si="114"/>
        <v>348.11704160899956</v>
      </c>
      <c r="AB431" s="3">
        <f t="shared" si="115"/>
        <v>-18.657894886856866</v>
      </c>
      <c r="AD431" s="3">
        <f t="shared" si="116"/>
        <v>6.112304891498179E-6</v>
      </c>
    </row>
    <row r="432" spans="3:30" x14ac:dyDescent="0.25">
      <c r="C432" s="22">
        <v>400</v>
      </c>
      <c r="D432" s="22">
        <v>2714</v>
      </c>
      <c r="F432" s="3">
        <f t="shared" si="103"/>
        <v>24634.607259492983</v>
      </c>
      <c r="G432" s="3">
        <f t="shared" si="104"/>
        <v>3563.4034605687029</v>
      </c>
      <c r="H432" s="3">
        <f t="shared" si="105"/>
        <v>9.231968365767921</v>
      </c>
      <c r="I432" s="3">
        <f t="shared" si="106"/>
        <v>3.4379168245960186</v>
      </c>
      <c r="J432" s="3">
        <f t="shared" si="107"/>
        <v>-1.9224577856235257</v>
      </c>
      <c r="K432" s="3">
        <f t="shared" si="108"/>
        <v>1.3818043513255853E-9</v>
      </c>
      <c r="L432" s="3" cm="1">
        <f t="array" ref="L432">lmb_2(F432)</f>
        <v>24624.495557198359</v>
      </c>
      <c r="M432" s="3" cm="1">
        <f t="array" ref="M432">lmb_2(G432)</f>
        <v>3555.2261367379197</v>
      </c>
      <c r="N432" s="3" cm="1">
        <f t="array" ref="N432">lmb_2(H432)</f>
        <v>7.2508497033119532</v>
      </c>
      <c r="O432" s="3" cm="1">
        <f t="array" ref="O432">lmb_2(I432)</f>
        <v>2.5154608122724298</v>
      </c>
      <c r="P432" s="3" cm="1">
        <f t="array" ref="P432">lmb_2(J432)</f>
        <v>0.12859893819986562</v>
      </c>
      <c r="R432" s="3">
        <f t="shared" si="109"/>
        <v>2.8289478419112318E-3</v>
      </c>
      <c r="S432" s="3">
        <f t="shared" si="110"/>
        <v>4.566663837649144</v>
      </c>
      <c r="T432" s="3">
        <f t="shared" si="111"/>
        <v>201.48127834009549</v>
      </c>
      <c r="U432" s="3">
        <f t="shared" si="101"/>
        <v>1728.780374650454</v>
      </c>
      <c r="V432" s="3">
        <f t="shared" si="102"/>
        <v>0</v>
      </c>
      <c r="W432" s="3">
        <f t="shared" si="112"/>
        <v>759.37724152291719</v>
      </c>
      <c r="Y432" s="3">
        <f t="shared" si="113"/>
        <v>2694.2083873003398</v>
      </c>
      <c r="AA432" s="3">
        <f t="shared" si="114"/>
        <v>391.70793325334944</v>
      </c>
      <c r="AB432" s="3">
        <f t="shared" si="115"/>
        <v>19.791612699660163</v>
      </c>
      <c r="AD432" s="3">
        <f t="shared" si="116"/>
        <v>6.4837095421727646E-6</v>
      </c>
    </row>
    <row r="433" spans="3:30" x14ac:dyDescent="0.25">
      <c r="C433" s="22">
        <v>401</v>
      </c>
      <c r="D433" s="22">
        <v>2669</v>
      </c>
      <c r="F433" s="3">
        <f t="shared" si="103"/>
        <v>24757.928972919581</v>
      </c>
      <c r="G433" s="3">
        <f t="shared" si="104"/>
        <v>3581.2198050538404</v>
      </c>
      <c r="H433" s="3">
        <f t="shared" si="105"/>
        <v>9.2805699334632514</v>
      </c>
      <c r="I433" s="3">
        <f t="shared" si="106"/>
        <v>3.4530631110345533</v>
      </c>
      <c r="J433" s="3">
        <f t="shared" si="107"/>
        <v>-1.9216384843725141</v>
      </c>
      <c r="K433" s="3">
        <f t="shared" si="108"/>
        <v>1.2835184003939403E-9</v>
      </c>
      <c r="L433" s="3" cm="1">
        <f t="array" ref="L433">lmb_2(F433)</f>
        <v>24747.812276156732</v>
      </c>
      <c r="M433" s="3" cm="1">
        <f t="array" ref="M433">lmb_2(G433)</f>
        <v>3573.0374888566785</v>
      </c>
      <c r="N433" s="3" cm="1">
        <f t="array" ref="N433">lmb_2(H433)</f>
        <v>7.2935759760235515</v>
      </c>
      <c r="O433" s="3" cm="1">
        <f t="array" ref="O433">lmb_2(I433)</f>
        <v>2.5263052508430834</v>
      </c>
      <c r="P433" s="3" cm="1">
        <f t="array" ref="P433">lmb_2(J433)</f>
        <v>0.12869232404171657</v>
      </c>
      <c r="R433" s="3">
        <f t="shared" si="109"/>
        <v>2.807827793085407E-3</v>
      </c>
      <c r="S433" s="3">
        <f t="shared" si="110"/>
        <v>4.5325577658672911</v>
      </c>
      <c r="T433" s="3">
        <f t="shared" si="111"/>
        <v>199.76726298611382</v>
      </c>
      <c r="U433" s="3">
        <f t="shared" si="101"/>
        <v>1720.3558694785224</v>
      </c>
      <c r="V433" s="3">
        <f t="shared" si="102"/>
        <v>0</v>
      </c>
      <c r="W433" s="3">
        <f t="shared" si="112"/>
        <v>761.15068462672446</v>
      </c>
      <c r="Y433" s="3">
        <f t="shared" si="113"/>
        <v>2685.8091826863042</v>
      </c>
      <c r="AA433" s="3">
        <f t="shared" si="114"/>
        <v>282.5486225815493</v>
      </c>
      <c r="AB433" s="3">
        <f t="shared" si="115"/>
        <v>-16.809182686304212</v>
      </c>
      <c r="AD433" s="3">
        <f t="shared" si="116"/>
        <v>5.506668902286432E-6</v>
      </c>
    </row>
    <row r="434" spans="3:30" x14ac:dyDescent="0.25">
      <c r="C434" s="22">
        <v>402</v>
      </c>
      <c r="D434" s="22">
        <v>2759</v>
      </c>
      <c r="F434" s="3">
        <f t="shared" si="103"/>
        <v>24881.558605730523</v>
      </c>
      <c r="G434" s="3">
        <f t="shared" si="104"/>
        <v>3599.0806347936223</v>
      </c>
      <c r="H434" s="3">
        <f t="shared" si="105"/>
        <v>9.3292928533875354</v>
      </c>
      <c r="I434" s="3">
        <f t="shared" si="106"/>
        <v>3.4682472159161306</v>
      </c>
      <c r="J434" s="3">
        <f t="shared" si="107"/>
        <v>-1.9208171374254948</v>
      </c>
      <c r="K434" s="3">
        <f t="shared" si="108"/>
        <v>1.1922234016483095E-9</v>
      </c>
      <c r="L434" s="3" cm="1">
        <f t="array" ref="L434">lmb_2(F434)</f>
        <v>24871.436926941995</v>
      </c>
      <c r="M434" s="3" cm="1">
        <f t="array" ref="M434">lmb_2(G434)</f>
        <v>3590.8933386539893</v>
      </c>
      <c r="N434" s="3" cm="1">
        <f t="array" ref="N434">lmb_2(H434)</f>
        <v>7.3364392449588109</v>
      </c>
      <c r="O434" s="3" cm="1">
        <f t="array" ref="O434">lmb_2(I434)</f>
        <v>2.5371900333532293</v>
      </c>
      <c r="P434" s="3" cm="1">
        <f t="array" ref="P434">lmb_2(J434)</f>
        <v>0.12878600335960882</v>
      </c>
      <c r="R434" s="3">
        <f t="shared" si="109"/>
        <v>2.7869174720291864E-3</v>
      </c>
      <c r="S434" s="3">
        <f t="shared" si="110"/>
        <v>4.4987904812133817</v>
      </c>
      <c r="T434" s="3">
        <f t="shared" si="111"/>
        <v>198.07169762630204</v>
      </c>
      <c r="U434" s="3">
        <f t="shared" si="101"/>
        <v>1711.9627594551566</v>
      </c>
      <c r="V434" s="3">
        <f t="shared" si="102"/>
        <v>0</v>
      </c>
      <c r="W434" s="3">
        <f t="shared" si="112"/>
        <v>762.92412773053172</v>
      </c>
      <c r="Y434" s="3">
        <f t="shared" si="113"/>
        <v>2677.460162211868</v>
      </c>
      <c r="AA434" s="3">
        <f t="shared" si="114"/>
        <v>6648.7451465148779</v>
      </c>
      <c r="AB434" s="3">
        <f t="shared" si="115"/>
        <v>81.53983778813199</v>
      </c>
      <c r="AD434" s="3">
        <f t="shared" si="116"/>
        <v>2.6712357014909078E-5</v>
      </c>
    </row>
    <row r="435" spans="3:30" x14ac:dyDescent="0.25">
      <c r="C435" s="22">
        <v>403</v>
      </c>
      <c r="D435" s="22">
        <v>2671</v>
      </c>
      <c r="F435" s="3">
        <f t="shared" si="103"/>
        <v>25005.496157925791</v>
      </c>
      <c r="G435" s="3">
        <f t="shared" si="104"/>
        <v>3616.9859497880484</v>
      </c>
      <c r="H435" s="3">
        <f t="shared" si="105"/>
        <v>9.3781371255407695</v>
      </c>
      <c r="I435" s="3">
        <f t="shared" si="106"/>
        <v>3.4834691392407504</v>
      </c>
      <c r="J435" s="3">
        <f t="shared" si="107"/>
        <v>-1.9199937447824682</v>
      </c>
      <c r="K435" s="3">
        <f t="shared" si="108"/>
        <v>1.1074220977288703E-9</v>
      </c>
      <c r="L435" s="3" cm="1">
        <f t="array" ref="L435">lmb_2(F435)</f>
        <v>24995.369509492288</v>
      </c>
      <c r="M435" s="3" cm="1">
        <f t="array" ref="M435">lmb_2(G435)</f>
        <v>3608.793686068213</v>
      </c>
      <c r="N435" s="3" cm="1">
        <f t="array" ref="N435">lmb_2(H435)</f>
        <v>7.3794394456827304</v>
      </c>
      <c r="O435" s="3" cm="1">
        <f t="array" ref="O435">lmb_2(I435)</f>
        <v>2.5481151932650472</v>
      </c>
      <c r="P435" s="3" cm="1">
        <f t="array" ref="P435">lmb_2(J435)</f>
        <v>0.12887997663370329</v>
      </c>
      <c r="R435" s="3">
        <f t="shared" si="109"/>
        <v>2.7662142816979119E-3</v>
      </c>
      <c r="S435" s="3">
        <f t="shared" si="110"/>
        <v>4.4653577876168251</v>
      </c>
      <c r="T435" s="3">
        <f t="shared" si="111"/>
        <v>196.39435086571572</v>
      </c>
      <c r="U435" s="3">
        <f t="shared" si="101"/>
        <v>1703.6011596535254</v>
      </c>
      <c r="V435" s="3">
        <f t="shared" si="102"/>
        <v>0</v>
      </c>
      <c r="W435" s="3">
        <f t="shared" si="112"/>
        <v>764.69757083433899</v>
      </c>
      <c r="Y435" s="3">
        <f t="shared" si="113"/>
        <v>2669.1612053565859</v>
      </c>
      <c r="AA435" s="3">
        <f t="shared" si="114"/>
        <v>3.3811657406482984</v>
      </c>
      <c r="AB435" s="3">
        <f t="shared" si="115"/>
        <v>1.8387946434140758</v>
      </c>
      <c r="AD435" s="3">
        <f t="shared" si="116"/>
        <v>6.0238700890729959E-7</v>
      </c>
    </row>
    <row r="436" spans="3:30" x14ac:dyDescent="0.25">
      <c r="C436" s="22">
        <v>404</v>
      </c>
      <c r="D436" s="22">
        <v>2692</v>
      </c>
      <c r="F436" s="3">
        <f t="shared" si="103"/>
        <v>25129.741629505399</v>
      </c>
      <c r="G436" s="3">
        <f t="shared" si="104"/>
        <v>3634.9357500371193</v>
      </c>
      <c r="H436" s="3">
        <f t="shared" si="105"/>
        <v>9.4271027499229554</v>
      </c>
      <c r="I436" s="3">
        <f t="shared" si="106"/>
        <v>3.4987288810084123</v>
      </c>
      <c r="J436" s="3">
        <f t="shared" si="107"/>
        <v>-1.9191683064434339</v>
      </c>
      <c r="K436" s="3">
        <f t="shared" si="108"/>
        <v>1.0286526005467378E-9</v>
      </c>
      <c r="L436" s="3" cm="1">
        <f t="array" ref="L436">lmb_2(F436)</f>
        <v>25119.610023746234</v>
      </c>
      <c r="M436" s="3" cm="1">
        <f t="array" ref="M436">lmb_2(G436)</f>
        <v>3626.7385310381678</v>
      </c>
      <c r="N436" s="3" cm="1">
        <f t="array" ref="N436">lmb_2(H436)</f>
        <v>7.4225765139415243</v>
      </c>
      <c r="O436" s="3" cm="1">
        <f t="array" ref="O436">lmb_2(I436)</f>
        <v>2.5590807636856887</v>
      </c>
      <c r="P436" s="3" cm="1">
        <f t="array" ref="P436">lmb_2(J436)</f>
        <v>0.12897424434571989</v>
      </c>
      <c r="R436" s="3">
        <f t="shared" si="109"/>
        <v>2.7457156635448269E-3</v>
      </c>
      <c r="S436" s="3">
        <f t="shared" si="110"/>
        <v>4.4322555512141735</v>
      </c>
      <c r="T436" s="3">
        <f t="shared" si="111"/>
        <v>194.73499447538634</v>
      </c>
      <c r="U436" s="3">
        <f t="shared" si="101"/>
        <v>1695.2711802554027</v>
      </c>
      <c r="V436" s="3">
        <f t="shared" si="102"/>
        <v>0</v>
      </c>
      <c r="W436" s="3">
        <f t="shared" si="112"/>
        <v>766.47101393814637</v>
      </c>
      <c r="Y436" s="3">
        <f t="shared" si="113"/>
        <v>2660.912189936842</v>
      </c>
      <c r="AA436" s="3">
        <f t="shared" si="114"/>
        <v>966.45193452298975</v>
      </c>
      <c r="AB436" s="3">
        <f t="shared" si="115"/>
        <v>31.087810063158031</v>
      </c>
      <c r="AD436" s="3">
        <f t="shared" si="116"/>
        <v>1.0184330797621825E-5</v>
      </c>
    </row>
    <row r="437" spans="3:30" x14ac:dyDescent="0.25">
      <c r="C437" s="22">
        <v>405</v>
      </c>
      <c r="D437" s="22">
        <v>2663</v>
      </c>
      <c r="F437" s="3">
        <f t="shared" si="103"/>
        <v>25254.295020469344</v>
      </c>
      <c r="G437" s="3">
        <f t="shared" si="104"/>
        <v>3652.930035540835</v>
      </c>
      <c r="H437" s="3">
        <f t="shared" si="105"/>
        <v>9.4761897265340949</v>
      </c>
      <c r="I437" s="3">
        <f t="shared" si="106"/>
        <v>3.5140264412191171</v>
      </c>
      <c r="J437" s="3">
        <f t="shared" si="107"/>
        <v>-1.9183408224083922</v>
      </c>
      <c r="K437" s="3">
        <f t="shared" si="108"/>
        <v>9.5548587551359035E-10</v>
      </c>
      <c r="L437" s="3" cm="1">
        <f t="array" ref="L437">lmb_2(F437)</f>
        <v>25244.158469642902</v>
      </c>
      <c r="M437" s="3" cm="1">
        <f t="array" ref="M437">lmb_2(G437)</f>
        <v>3644.7278735031241</v>
      </c>
      <c r="N437" s="3" cm="1">
        <f t="array" ref="N437">lmb_2(H437)</f>
        <v>7.4658503856657763</v>
      </c>
      <c r="O437" s="3" cm="1">
        <f t="array" ref="O437">lmb_2(I437)</f>
        <v>2.5700867773688567</v>
      </c>
      <c r="P437" s="3" cm="1">
        <f t="array" ref="P437">lmb_2(J437)</f>
        <v>0.12906880697894041</v>
      </c>
      <c r="R437" s="3">
        <f t="shared" si="109"/>
        <v>2.7254190968568912E-3</v>
      </c>
      <c r="S437" s="3">
        <f t="shared" si="110"/>
        <v>4.3994796992759424</v>
      </c>
      <c r="T437" s="3">
        <f t="shared" si="111"/>
        <v>193.09340334852408</v>
      </c>
      <c r="U437" s="3">
        <f t="shared" si="101"/>
        <v>1686.9729266205882</v>
      </c>
      <c r="V437" s="3">
        <f t="shared" si="102"/>
        <v>0</v>
      </c>
      <c r="W437" s="3">
        <f t="shared" si="112"/>
        <v>768.24445704195364</v>
      </c>
      <c r="Y437" s="3">
        <f t="shared" si="113"/>
        <v>2652.712992130394</v>
      </c>
      <c r="AA437" s="3">
        <f t="shared" si="114"/>
        <v>105.8225309093355</v>
      </c>
      <c r="AB437" s="3">
        <f t="shared" si="115"/>
        <v>10.287007869605986</v>
      </c>
      <c r="AD437" s="3">
        <f t="shared" si="116"/>
        <v>3.3700119387297788E-6</v>
      </c>
    </row>
    <row r="438" spans="3:30" x14ac:dyDescent="0.25">
      <c r="C438" s="22">
        <v>406</v>
      </c>
      <c r="D438" s="22">
        <v>2667</v>
      </c>
      <c r="F438" s="3">
        <f t="shared" si="103"/>
        <v>25379.156330817623</v>
      </c>
      <c r="G438" s="3">
        <f t="shared" si="104"/>
        <v>3670.9688062991945</v>
      </c>
      <c r="H438" s="3">
        <f t="shared" si="105"/>
        <v>9.5253980553741862</v>
      </c>
      <c r="I438" s="3">
        <f t="shared" si="106"/>
        <v>3.5293618198728645</v>
      </c>
      <c r="J438" s="3">
        <f t="shared" si="107"/>
        <v>-1.917511292677343</v>
      </c>
      <c r="K438" s="3">
        <f t="shared" si="108"/>
        <v>8.8752340471480169E-10</v>
      </c>
      <c r="L438" s="3" cm="1">
        <f t="array" ref="L438">lmb_2(F438)</f>
        <v>25369.014847121805</v>
      </c>
      <c r="M438" s="3" cm="1">
        <f t="array" ref="M438">lmb_2(G438)</f>
        <v>3662.7617134027996</v>
      </c>
      <c r="N438" s="3" cm="1">
        <f t="array" ref="N438">lmb_2(H438)</f>
        <v>7.5092609969734809</v>
      </c>
      <c r="O438" s="3" cm="1">
        <f t="array" ref="O438">lmb_2(I438)</f>
        <v>2.5811332667164</v>
      </c>
      <c r="P438" s="3" cm="1">
        <f t="array" ref="P438">lmb_2(J438)</f>
        <v>0.12916366501821097</v>
      </c>
      <c r="R438" s="3">
        <f t="shared" si="109"/>
        <v>2.7053220981036485E-3</v>
      </c>
      <c r="S438" s="3">
        <f t="shared" si="110"/>
        <v>4.3670262191545248</v>
      </c>
      <c r="T438" s="3">
        <f t="shared" si="111"/>
        <v>191.46935545724659</v>
      </c>
      <c r="U438" s="3">
        <f t="shared" si="101"/>
        <v>1678.7064993559188</v>
      </c>
      <c r="V438" s="3">
        <f t="shared" si="102"/>
        <v>0</v>
      </c>
      <c r="W438" s="3">
        <f t="shared" si="112"/>
        <v>770.0179001457609</v>
      </c>
      <c r="Y438" s="3">
        <f t="shared" si="113"/>
        <v>2644.5634865010666</v>
      </c>
      <c r="AA438" s="3">
        <f t="shared" si="114"/>
        <v>503.3971379878223</v>
      </c>
      <c r="AB438" s="3">
        <f t="shared" si="115"/>
        <v>22.436513498933436</v>
      </c>
      <c r="AD438" s="3">
        <f t="shared" si="116"/>
        <v>7.3501759999891585E-6</v>
      </c>
    </row>
    <row r="439" spans="3:30" x14ac:dyDescent="0.25">
      <c r="C439" s="22">
        <v>407</v>
      </c>
      <c r="D439" s="22">
        <v>2673</v>
      </c>
      <c r="F439" s="3">
        <f t="shared" si="103"/>
        <v>25504.325560550242</v>
      </c>
      <c r="G439" s="3">
        <f t="shared" si="104"/>
        <v>3689.0520623121993</v>
      </c>
      <c r="H439" s="3">
        <f t="shared" si="105"/>
        <v>9.5747277364432328</v>
      </c>
      <c r="I439" s="3">
        <f t="shared" si="106"/>
        <v>3.5447350169696543</v>
      </c>
      <c r="J439" s="3">
        <f t="shared" si="107"/>
        <v>-1.9166797172502861</v>
      </c>
      <c r="K439" s="3">
        <f t="shared" si="108"/>
        <v>8.2439501629801656E-10</v>
      </c>
      <c r="L439" s="3" cm="1">
        <f t="array" ref="L439">lmb_2(F439)</f>
        <v>25494.179156122918</v>
      </c>
      <c r="M439" s="3" cm="1">
        <f t="array" ref="M439">lmb_2(G439)</f>
        <v>3680.8400506773582</v>
      </c>
      <c r="N439" s="3" cm="1">
        <f t="array" ref="N439">lmb_2(H439)</f>
        <v>7.5528082841729827</v>
      </c>
      <c r="O439" s="3" cm="1">
        <f t="array" ref="O439">lmb_2(I439)</f>
        <v>2.592220263779923</v>
      </c>
      <c r="P439" s="3" cm="1">
        <f t="array" ref="P439">lmb_2(J439)</f>
        <v>0.12925881894994512</v>
      </c>
      <c r="R439" s="3">
        <f t="shared" si="109"/>
        <v>2.6854222202988705E-3</v>
      </c>
      <c r="S439" s="3">
        <f t="shared" si="110"/>
        <v>4.3348911572527342</v>
      </c>
      <c r="T439" s="3">
        <f t="shared" si="111"/>
        <v>189.86263180983124</v>
      </c>
      <c r="U439" s="3">
        <f t="shared" si="101"/>
        <v>1670.4719943838688</v>
      </c>
      <c r="V439" s="3">
        <f t="shared" si="102"/>
        <v>0</v>
      </c>
      <c r="W439" s="3">
        <f t="shared" si="112"/>
        <v>771.79134324956817</v>
      </c>
      <c r="Y439" s="3">
        <f t="shared" si="113"/>
        <v>2636.4635460235654</v>
      </c>
      <c r="AA439" s="3">
        <f t="shared" si="114"/>
        <v>1334.9124691721227</v>
      </c>
      <c r="AB439" s="3">
        <f t="shared" si="115"/>
        <v>36.536453976434586</v>
      </c>
      <c r="AD439" s="3">
        <f t="shared" si="116"/>
        <v>1.1969300272747989E-5</v>
      </c>
    </row>
    <row r="440" spans="3:30" x14ac:dyDescent="0.25">
      <c r="C440" s="22">
        <v>408</v>
      </c>
      <c r="D440" s="22">
        <v>2590</v>
      </c>
      <c r="F440" s="3">
        <f t="shared" si="103"/>
        <v>25629.80270966719</v>
      </c>
      <c r="G440" s="3">
        <f t="shared" si="104"/>
        <v>3707.1798035798488</v>
      </c>
      <c r="H440" s="3">
        <f t="shared" si="105"/>
        <v>9.6241787697412278</v>
      </c>
      <c r="I440" s="3">
        <f t="shared" si="106"/>
        <v>3.5601460325094871</v>
      </c>
      <c r="J440" s="3">
        <f t="shared" si="107"/>
        <v>-1.9158460961272219</v>
      </c>
      <c r="K440" s="3">
        <f t="shared" si="108"/>
        <v>7.6575686825453286E-10</v>
      </c>
      <c r="L440" s="3" cm="1">
        <f t="array" ref="L440">lmb_2(F440)</f>
        <v>25619.651396586643</v>
      </c>
      <c r="M440" s="3" cm="1">
        <f t="array" ref="M440">lmb_2(G440)</f>
        <v>3698.9628852674023</v>
      </c>
      <c r="N440" s="3" cm="1">
        <f t="array" ref="N440">lmb_2(H440)</f>
        <v>7.5964921837657897</v>
      </c>
      <c r="O440" s="3" cm="1">
        <f t="array" ref="O440">lmb_2(I440)</f>
        <v>2.6033478002624117</v>
      </c>
      <c r="P440" s="3" cm="1">
        <f t="array" ref="P440">lmb_2(J440)</f>
        <v>0.12935426926212615</v>
      </c>
      <c r="R440" s="3">
        <f t="shared" si="109"/>
        <v>2.6657170523746989E-3</v>
      </c>
      <c r="S440" s="3">
        <f t="shared" si="110"/>
        <v>4.3030706180125566</v>
      </c>
      <c r="T440" s="3">
        <f t="shared" si="111"/>
        <v>188.27301640848987</v>
      </c>
      <c r="U440" s="3">
        <f t="shared" si="101"/>
        <v>1662.2695030107254</v>
      </c>
      <c r="V440" s="3">
        <f t="shared" si="102"/>
        <v>0</v>
      </c>
      <c r="W440" s="3">
        <f t="shared" si="112"/>
        <v>773.56478635337544</v>
      </c>
      <c r="Y440" s="3">
        <f t="shared" si="113"/>
        <v>2628.4130421084215</v>
      </c>
      <c r="AA440" s="3">
        <f t="shared" si="114"/>
        <v>1475.5618040233594</v>
      </c>
      <c r="AB440" s="3">
        <f t="shared" si="115"/>
        <v>-38.41304210842145</v>
      </c>
      <c r="AD440" s="3">
        <f t="shared" si="116"/>
        <v>1.2584068385015077E-5</v>
      </c>
    </row>
    <row r="441" spans="3:30" x14ac:dyDescent="0.25">
      <c r="C441" s="22">
        <v>409</v>
      </c>
      <c r="D441" s="22">
        <v>2743</v>
      </c>
      <c r="F441" s="3">
        <f t="shared" si="103"/>
        <v>25755.587778168483</v>
      </c>
      <c r="G441" s="3">
        <f t="shared" si="104"/>
        <v>3725.3520301021417</v>
      </c>
      <c r="H441" s="3">
        <f t="shared" si="105"/>
        <v>9.6737511552681745</v>
      </c>
      <c r="I441" s="3">
        <f t="shared" si="106"/>
        <v>3.5755948664923611</v>
      </c>
      <c r="J441" s="3">
        <f t="shared" si="107"/>
        <v>-1.91501042930815</v>
      </c>
      <c r="K441" s="3">
        <f t="shared" si="108"/>
        <v>7.112895756116677E-10</v>
      </c>
      <c r="L441" s="3" cm="1">
        <f t="array" ref="L441">lmb_2(F441)</f>
        <v>25745.431568453838</v>
      </c>
      <c r="M441" s="3" cm="1">
        <f t="array" ref="M441">lmb_2(G441)</f>
        <v>3717.1302171139673</v>
      </c>
      <c r="N441" s="3" cm="1">
        <f t="array" ref="N441">lmb_2(H441)</f>
        <v>7.6403126324493069</v>
      </c>
      <c r="O441" s="3" cm="1">
        <f t="array" ref="O441">lmb_2(I441)</f>
        <v>2.6145159075198721</v>
      </c>
      <c r="P441" s="3" cm="1">
        <f t="array" ref="P441">lmb_2(J441)</f>
        <v>0.12945001644431026</v>
      </c>
      <c r="R441" s="3">
        <f t="shared" si="109"/>
        <v>2.6462042185680088E-3</v>
      </c>
      <c r="S441" s="3">
        <f t="shared" si="110"/>
        <v>4.2715607629236327</v>
      </c>
      <c r="T441" s="3">
        <f t="shared" si="111"/>
        <v>186.7002962076613</v>
      </c>
      <c r="U441" s="3">
        <f t="shared" si="101"/>
        <v>1654.099111994341</v>
      </c>
      <c r="V441" s="3">
        <f t="shared" si="102"/>
        <v>0</v>
      </c>
      <c r="W441" s="3">
        <f t="shared" si="112"/>
        <v>775.33822945718282</v>
      </c>
      <c r="Y441" s="3">
        <f t="shared" si="113"/>
        <v>2620.4118446270386</v>
      </c>
      <c r="AA441" s="3">
        <f t="shared" si="114"/>
        <v>15027.855837745328</v>
      </c>
      <c r="AB441" s="3">
        <f t="shared" si="115"/>
        <v>122.58815537296141</v>
      </c>
      <c r="AD441" s="3">
        <f t="shared" si="116"/>
        <v>4.015973861304769E-5</v>
      </c>
    </row>
    <row r="442" spans="3:30" x14ac:dyDescent="0.25">
      <c r="C442" s="22">
        <v>410</v>
      </c>
      <c r="D442" s="22">
        <v>2633</v>
      </c>
      <c r="F442" s="3">
        <f t="shared" si="103"/>
        <v>25881.680766054102</v>
      </c>
      <c r="G442" s="3">
        <f t="shared" si="104"/>
        <v>3743.5687418790799</v>
      </c>
      <c r="H442" s="3">
        <f t="shared" si="105"/>
        <v>9.7234448930240767</v>
      </c>
      <c r="I442" s="3">
        <f t="shared" si="106"/>
        <v>3.591081518918279</v>
      </c>
      <c r="J442" s="3">
        <f t="shared" si="107"/>
        <v>-1.9141727167930707</v>
      </c>
      <c r="K442" s="3">
        <f t="shared" si="108"/>
        <v>6.6069647083551507E-10</v>
      </c>
      <c r="L442" s="3" cm="1">
        <f t="array" ref="L442">lmb_2(F442)</f>
        <v>25871.519671665763</v>
      </c>
      <c r="M442" s="3" cm="1">
        <f t="array" ref="M442">lmb_2(G442)</f>
        <v>3735.3420461585238</v>
      </c>
      <c r="N442" s="3" cm="1">
        <f t="array" ref="N442">lmb_2(H442)</f>
        <v>7.6842695671194416</v>
      </c>
      <c r="O442" s="3" cm="1">
        <f t="array" ref="O442">lmb_2(I442)</f>
        <v>2.6257246165629899</v>
      </c>
      <c r="P442" s="3" cm="1">
        <f t="array" ref="P442">lmb_2(J442)</f>
        <v>0.12954606098762911</v>
      </c>
      <c r="R442" s="3">
        <f t="shared" si="109"/>
        <v>2.6268813778187257E-3</v>
      </c>
      <c r="S442" s="3">
        <f t="shared" si="110"/>
        <v>4.2403578095510355</v>
      </c>
      <c r="T442" s="3">
        <f t="shared" si="111"/>
        <v>185.14426107282179</v>
      </c>
      <c r="U442" s="3">
        <f t="shared" si="101"/>
        <v>1645.9609036114337</v>
      </c>
      <c r="V442" s="3">
        <f t="shared" si="102"/>
        <v>0</v>
      </c>
      <c r="W442" s="3">
        <f t="shared" si="112"/>
        <v>777.11167256099009</v>
      </c>
      <c r="Y442" s="3">
        <f t="shared" si="113"/>
        <v>2612.4598219368349</v>
      </c>
      <c r="AA442" s="3">
        <f t="shared" si="114"/>
        <v>421.89891486652709</v>
      </c>
      <c r="AB442" s="3">
        <f t="shared" si="115"/>
        <v>20.540178063165058</v>
      </c>
      <c r="AD442" s="3">
        <f t="shared" si="116"/>
        <v>6.7289386937304869E-6</v>
      </c>
    </row>
    <row r="443" spans="3:30" x14ac:dyDescent="0.25">
      <c r="C443" s="22">
        <v>411</v>
      </c>
      <c r="D443" s="22">
        <v>2705</v>
      </c>
      <c r="F443" s="3">
        <f t="shared" si="103"/>
        <v>26008.081673324068</v>
      </c>
      <c r="G443" s="3">
        <f t="shared" si="104"/>
        <v>3761.829938910661</v>
      </c>
      <c r="H443" s="3">
        <f t="shared" si="105"/>
        <v>9.7732599830089253</v>
      </c>
      <c r="I443" s="3">
        <f t="shared" si="106"/>
        <v>3.6066059897872393</v>
      </c>
      <c r="J443" s="3">
        <f t="shared" si="107"/>
        <v>-1.9133329585819838</v>
      </c>
      <c r="K443" s="3">
        <f t="shared" si="108"/>
        <v>6.1370198796899918E-10</v>
      </c>
      <c r="L443" s="3" cm="1">
        <f t="array" ref="L443">lmb_2(F443)</f>
        <v>25997.915706164149</v>
      </c>
      <c r="M443" s="3" cm="1">
        <f t="array" ref="M443">lmb_2(G443)</f>
        <v>3753.5983723429645</v>
      </c>
      <c r="N443" s="3" cm="1">
        <f t="array" ref="N443">lmb_2(H443)</f>
        <v>7.7283629248731041</v>
      </c>
      <c r="O443" s="3" cm="1">
        <f t="array" ref="O443">lmb_2(I443)</f>
        <v>2.6369739580587899</v>
      </c>
      <c r="P443" s="3" cm="1">
        <f t="array" ref="P443">lmb_2(J443)</f>
        <v>0.12964240338479252</v>
      </c>
      <c r="R443" s="3">
        <f t="shared" si="109"/>
        <v>2.6077462231798207E-3</v>
      </c>
      <c r="S443" s="3">
        <f t="shared" si="110"/>
        <v>4.2094580305819624</v>
      </c>
      <c r="T443" s="3">
        <f t="shared" si="111"/>
        <v>183.60470373980894</v>
      </c>
      <c r="U443" s="3">
        <f t="shared" si="101"/>
        <v>1637.8549557244608</v>
      </c>
      <c r="V443" s="3">
        <f t="shared" si="102"/>
        <v>0</v>
      </c>
      <c r="W443" s="3">
        <f t="shared" si="112"/>
        <v>778.88511566479735</v>
      </c>
      <c r="Y443" s="3">
        <f t="shared" si="113"/>
        <v>2604.5568409064863</v>
      </c>
      <c r="AA443" s="3">
        <f t="shared" si="114"/>
        <v>10088.828208684907</v>
      </c>
      <c r="AB443" s="3">
        <f t="shared" si="115"/>
        <v>100.44315909351371</v>
      </c>
      <c r="AD443" s="3">
        <f t="shared" si="116"/>
        <v>3.2905063318653879E-5</v>
      </c>
    </row>
    <row r="444" spans="3:30" x14ac:dyDescent="0.25">
      <c r="C444" s="22">
        <v>412</v>
      </c>
      <c r="D444" s="22">
        <v>2587</v>
      </c>
      <c r="F444" s="3">
        <f t="shared" si="103"/>
        <v>26134.79049997836</v>
      </c>
      <c r="G444" s="3">
        <f t="shared" si="104"/>
        <v>3780.1356211968882</v>
      </c>
      <c r="H444" s="3">
        <f t="shared" si="105"/>
        <v>9.8231964252227311</v>
      </c>
      <c r="I444" s="3">
        <f t="shared" si="106"/>
        <v>3.6221682790992418</v>
      </c>
      <c r="J444" s="3">
        <f t="shared" si="107"/>
        <v>-1.9124911546748893</v>
      </c>
      <c r="K444" s="3">
        <f t="shared" si="108"/>
        <v>5.7005016170407985E-10</v>
      </c>
      <c r="L444" s="3" cm="1">
        <f t="array" ref="L444">lmb_2(F444)</f>
        <v>26124.619671891116</v>
      </c>
      <c r="M444" s="3" cm="1">
        <f t="array" ref="M444">lmb_2(G444)</f>
        <v>3771.8991956096102</v>
      </c>
      <c r="N444" s="3" cm="1">
        <f t="array" ref="N444">lmb_2(H444)</f>
        <v>7.7725926430106496</v>
      </c>
      <c r="O444" s="3" cm="1">
        <f t="array" ref="O444">lmb_2(I444)</f>
        <v>2.6482639623323232</v>
      </c>
      <c r="P444" s="3" cm="1">
        <f t="array" ref="P444">lmb_2(J444)</f>
        <v>0.12973904413009138</v>
      </c>
      <c r="R444" s="3">
        <f t="shared" si="109"/>
        <v>2.5887964812387667E-3</v>
      </c>
      <c r="S444" s="3">
        <f t="shared" si="110"/>
        <v>4.1788577528908801</v>
      </c>
      <c r="T444" s="3">
        <f t="shared" si="111"/>
        <v>182.08141977465462</v>
      </c>
      <c r="U444" s="3">
        <f t="shared" si="101"/>
        <v>1629.7813418480239</v>
      </c>
      <c r="V444" s="3">
        <f t="shared" si="102"/>
        <v>0</v>
      </c>
      <c r="W444" s="3">
        <f t="shared" si="112"/>
        <v>780.65855876860462</v>
      </c>
      <c r="Y444" s="3">
        <f t="shared" si="113"/>
        <v>2596.7027669412255</v>
      </c>
      <c r="AA444" s="3">
        <f t="shared" si="114"/>
        <v>94.143686315738265</v>
      </c>
      <c r="AB444" s="3">
        <f t="shared" si="115"/>
        <v>-9.7027669412254909</v>
      </c>
      <c r="AD444" s="3">
        <f t="shared" si="116"/>
        <v>3.178615282997245E-6</v>
      </c>
    </row>
    <row r="445" spans="3:30" x14ac:dyDescent="0.25">
      <c r="C445" s="22">
        <v>413</v>
      </c>
      <c r="D445" s="22">
        <v>2587</v>
      </c>
      <c r="F445" s="3">
        <f t="shared" si="103"/>
        <v>26261.807246016997</v>
      </c>
      <c r="G445" s="3">
        <f t="shared" si="104"/>
        <v>3798.4857887377607</v>
      </c>
      <c r="H445" s="3">
        <f t="shared" si="105"/>
        <v>9.8732542196654869</v>
      </c>
      <c r="I445" s="3">
        <f t="shared" si="106"/>
        <v>3.6377683868542872</v>
      </c>
      <c r="J445" s="3">
        <f t="shared" si="107"/>
        <v>-1.9116473050717875</v>
      </c>
      <c r="K445" s="3">
        <f t="shared" si="108"/>
        <v>5.2950323321302747E-10</v>
      </c>
      <c r="L445" s="3" cm="1">
        <f t="array" ref="L445">lmb_2(F445)</f>
        <v>26251.631568789227</v>
      </c>
      <c r="M445" s="3" cm="1">
        <f t="array" ref="M445">lmb_2(G445)</f>
        <v>3790.2445159011972</v>
      </c>
      <c r="N445" s="3" cm="1">
        <f t="array" ref="N445">lmb_2(H445)</f>
        <v>7.8169586590381614</v>
      </c>
      <c r="O445" s="3" cm="1">
        <f t="array" ref="O445">lmb_2(I445)</f>
        <v>2.6595946593683597</v>
      </c>
      <c r="P445" s="3" cm="1">
        <f t="array" ref="P445">lmb_2(J445)</f>
        <v>0.12983598371940036</v>
      </c>
      <c r="R445" s="3">
        <f t="shared" si="109"/>
        <v>2.5700299115501567E-3</v>
      </c>
      <c r="S445" s="3">
        <f t="shared" si="110"/>
        <v>4.1485533566227586</v>
      </c>
      <c r="T445" s="3">
        <f t="shared" si="111"/>
        <v>180.57420753392771</v>
      </c>
      <c r="U445" s="3">
        <f t="shared" si="101"/>
        <v>1621.7401312148208</v>
      </c>
      <c r="V445" s="3">
        <f t="shared" si="102"/>
        <v>0</v>
      </c>
      <c r="W445" s="3">
        <f t="shared" si="112"/>
        <v>782.432001872412</v>
      </c>
      <c r="Y445" s="3">
        <f t="shared" si="113"/>
        <v>2588.8974640082242</v>
      </c>
      <c r="AA445" s="3">
        <f t="shared" si="114"/>
        <v>3.6003696625063726</v>
      </c>
      <c r="AB445" s="3">
        <f t="shared" si="115"/>
        <v>-1.8974640082242331</v>
      </c>
      <c r="AD445" s="3">
        <f t="shared" si="116"/>
        <v>6.2160702529633106E-7</v>
      </c>
    </row>
    <row r="446" spans="3:30" x14ac:dyDescent="0.25">
      <c r="C446" s="22">
        <v>414</v>
      </c>
      <c r="D446" s="22">
        <v>2661</v>
      </c>
      <c r="F446" s="3">
        <f t="shared" si="103"/>
        <v>26389.13191143997</v>
      </c>
      <c r="G446" s="3">
        <f t="shared" si="104"/>
        <v>3816.8804415332766</v>
      </c>
      <c r="H446" s="3">
        <f t="shared" si="105"/>
        <v>9.9234333663371963</v>
      </c>
      <c r="I446" s="3">
        <f t="shared" si="106"/>
        <v>3.6534063130523737</v>
      </c>
      <c r="J446" s="3">
        <f t="shared" si="107"/>
        <v>-1.910801409772678</v>
      </c>
      <c r="K446" s="3">
        <f t="shared" si="108"/>
        <v>4.9184035514508847E-10</v>
      </c>
      <c r="L446" s="3" cm="1">
        <f t="array" ref="L446">lmb_2(F446)</f>
        <v>26378.951396801458</v>
      </c>
      <c r="M446" s="3" cm="1">
        <f t="array" ref="M446">lmb_2(G446)</f>
        <v>3808.6343331608746</v>
      </c>
      <c r="N446" s="3" cm="1">
        <f t="array" ref="N446">lmb_2(H446)</f>
        <v>7.8614609106697015</v>
      </c>
      <c r="O446" s="3" cm="1">
        <f t="array" ref="O446">lmb_2(I446)</f>
        <v>2.6709660788130947</v>
      </c>
      <c r="P446" s="3" cm="1">
        <f t="array" ref="P446">lmb_2(J446)</f>
        <v>0.12993322265018079</v>
      </c>
      <c r="R446" s="3">
        <f t="shared" si="109"/>
        <v>2.5514443060792851E-3</v>
      </c>
      <c r="S446" s="3">
        <f t="shared" si="110"/>
        <v>4.1185412742939862</v>
      </c>
      <c r="T446" s="3">
        <f t="shared" si="111"/>
        <v>179.08286812557884</v>
      </c>
      <c r="U446" s="3">
        <f t="shared" si="101"/>
        <v>1613.7313888411275</v>
      </c>
      <c r="V446" s="3">
        <f t="shared" si="102"/>
        <v>0</v>
      </c>
      <c r="W446" s="3">
        <f t="shared" si="112"/>
        <v>784.20544497621927</v>
      </c>
      <c r="Y446" s="3">
        <f t="shared" si="113"/>
        <v>2581.1407946620175</v>
      </c>
      <c r="AA446" s="3">
        <f t="shared" si="114"/>
        <v>6377.492677214057</v>
      </c>
      <c r="AB446" s="3">
        <f t="shared" si="115"/>
        <v>79.85920533798253</v>
      </c>
      <c r="AD446" s="3">
        <f t="shared" si="116"/>
        <v>2.6161783758485848E-5</v>
      </c>
    </row>
    <row r="447" spans="3:30" x14ac:dyDescent="0.25">
      <c r="C447" s="22">
        <v>415</v>
      </c>
      <c r="D447" s="22">
        <v>2556</v>
      </c>
      <c r="F447" s="3">
        <f t="shared" si="103"/>
        <v>26516.764496247266</v>
      </c>
      <c r="G447" s="3">
        <f t="shared" si="104"/>
        <v>3835.3195795834376</v>
      </c>
      <c r="H447" s="3">
        <f t="shared" si="105"/>
        <v>9.9737338652378575</v>
      </c>
      <c r="I447" s="3">
        <f t="shared" si="106"/>
        <v>3.6690820576935037</v>
      </c>
      <c r="J447" s="3">
        <f t="shared" si="107"/>
        <v>-1.909953468777561</v>
      </c>
      <c r="K447" s="3">
        <f t="shared" si="108"/>
        <v>4.5685638873507071E-10</v>
      </c>
      <c r="L447" s="3" cm="1">
        <f t="array" ref="L447">lmb_2(F447)</f>
        <v>26506.579155871168</v>
      </c>
      <c r="M447" s="3" cm="1">
        <f t="array" ref="M447">lmb_2(G447)</f>
        <v>3827.0686473322053</v>
      </c>
      <c r="N447" s="3" cm="1">
        <f t="array" ref="N447">lmb_2(H447)</f>
        <v>7.9060993358294187</v>
      </c>
      <c r="O447" s="3" cm="1">
        <f t="array" ref="O447">lmb_2(I447)</f>
        <v>2.6823782499758702</v>
      </c>
      <c r="P447" s="3" cm="1">
        <f t="array" ref="P447">lmb_2(J447)</f>
        <v>0.13003076142148332</v>
      </c>
      <c r="R447" s="3">
        <f t="shared" si="109"/>
        <v>2.5330374886564314E-3</v>
      </c>
      <c r="S447" s="3">
        <f t="shared" si="110"/>
        <v>4.0888179899105612</v>
      </c>
      <c r="T447" s="3">
        <f t="shared" si="111"/>
        <v>177.60720537028794</v>
      </c>
      <c r="U447" s="3">
        <f t="shared" si="101"/>
        <v>1605.7551755918109</v>
      </c>
      <c r="V447" s="3">
        <f t="shared" si="102"/>
        <v>0</v>
      </c>
      <c r="W447" s="3">
        <f t="shared" si="112"/>
        <v>785.97888808002654</v>
      </c>
      <c r="Y447" s="3">
        <f t="shared" si="113"/>
        <v>2573.4326200699816</v>
      </c>
      <c r="AA447" s="3">
        <f t="shared" si="114"/>
        <v>303.89624250432416</v>
      </c>
      <c r="AB447" s="3">
        <f t="shared" si="115"/>
        <v>-17.432620069981567</v>
      </c>
      <c r="AD447" s="3">
        <f t="shared" si="116"/>
        <v>5.7109062716628806E-6</v>
      </c>
    </row>
    <row r="448" spans="3:30" x14ac:dyDescent="0.25">
      <c r="C448" s="22">
        <v>416</v>
      </c>
      <c r="D448" s="22">
        <v>2516</v>
      </c>
      <c r="F448" s="3">
        <f t="shared" si="103"/>
        <v>26644.705000438913</v>
      </c>
      <c r="G448" s="3">
        <f t="shared" si="104"/>
        <v>3853.8032028882426</v>
      </c>
      <c r="H448" s="3">
        <f t="shared" si="105"/>
        <v>10.024155716367472</v>
      </c>
      <c r="I448" s="3">
        <f t="shared" si="106"/>
        <v>3.6847956207776766</v>
      </c>
      <c r="J448" s="3">
        <f t="shared" si="107"/>
        <v>-1.9091034820864365</v>
      </c>
      <c r="K448" s="3">
        <f t="shared" si="108"/>
        <v>4.2436078647202384E-10</v>
      </c>
      <c r="L448" s="3" cm="1">
        <f t="array" ref="L448">lmb_2(F448)</f>
        <v>26634.514845942191</v>
      </c>
      <c r="M448" s="3" cm="1">
        <f t="array" ref="M448">lmb_2(G448)</f>
        <v>3845.5474583591563</v>
      </c>
      <c r="N448" s="3" cm="1">
        <f t="array" ref="N448">lmb_2(H448)</f>
        <v>7.9508738726536077</v>
      </c>
      <c r="O448" s="3" cm="1">
        <f t="array" ref="O448">lmb_2(I448)</f>
        <v>2.6938312018309003</v>
      </c>
      <c r="P448" s="3" cm="1">
        <f t="array" ref="P448">lmb_2(J448)</f>
        <v>0.13012860053395064</v>
      </c>
      <c r="R448" s="3">
        <f t="shared" si="109"/>
        <v>2.5148073144416064E-3</v>
      </c>
      <c r="S448" s="3">
        <f t="shared" si="110"/>
        <v>4.0593800381032459</v>
      </c>
      <c r="T448" s="3">
        <f t="shared" si="111"/>
        <v>176.14702576330689</v>
      </c>
      <c r="U448" s="3">
        <f t="shared" si="101"/>
        <v>1597.8115482448591</v>
      </c>
      <c r="V448" s="3">
        <f t="shared" si="102"/>
        <v>0</v>
      </c>
      <c r="W448" s="3">
        <f t="shared" si="112"/>
        <v>787.7523311838338</v>
      </c>
      <c r="Y448" s="3">
        <f t="shared" si="113"/>
        <v>2565.7728000378415</v>
      </c>
      <c r="AA448" s="3">
        <f t="shared" si="114"/>
        <v>2477.3316236069581</v>
      </c>
      <c r="AB448" s="3">
        <f t="shared" si="115"/>
        <v>-49.772800037841535</v>
      </c>
      <c r="AD448" s="3">
        <f t="shared" si="116"/>
        <v>1.6305512008708177E-5</v>
      </c>
    </row>
    <row r="449" spans="3:30" x14ac:dyDescent="0.25">
      <c r="C449" s="22">
        <v>417</v>
      </c>
      <c r="D449" s="22">
        <v>2537</v>
      </c>
      <c r="F449" s="3">
        <f t="shared" si="103"/>
        <v>26772.953424014886</v>
      </c>
      <c r="G449" s="3">
        <f t="shared" si="104"/>
        <v>3872.3313114476928</v>
      </c>
      <c r="H449" s="3">
        <f t="shared" si="105"/>
        <v>10.074698919726034</v>
      </c>
      <c r="I449" s="3">
        <f t="shared" si="106"/>
        <v>3.7005470023048921</v>
      </c>
      <c r="J449" s="3">
        <f t="shared" si="107"/>
        <v>-1.9082514496993046</v>
      </c>
      <c r="K449" s="3">
        <f t="shared" si="108"/>
        <v>3.9417655424226434E-10</v>
      </c>
      <c r="L449" s="3" cm="1">
        <f t="array" ref="L449">lmb_2(F449)</f>
        <v>26762.758466958698</v>
      </c>
      <c r="M449" s="3" cm="1">
        <f t="array" ref="M449">lmb_2(G449)</f>
        <v>3864.0707661861002</v>
      </c>
      <c r="N449" s="3" cm="1">
        <f t="array" ref="N449">lmb_2(H449)</f>
        <v>7.9957844594926408</v>
      </c>
      <c r="O449" s="3" cm="1">
        <f t="array" ref="O449">lmb_2(I449)</f>
        <v>2.7053249630190184</v>
      </c>
      <c r="P449" s="3" cm="1">
        <f t="array" ref="P449">lmb_2(J449)</f>
        <v>0.13022674048982069</v>
      </c>
      <c r="R449" s="3">
        <f t="shared" si="109"/>
        <v>2.4967516693995815E-3</v>
      </c>
      <c r="S449" s="3">
        <f t="shared" si="110"/>
        <v>4.0302240032792449</v>
      </c>
      <c r="T449" s="3">
        <f t="shared" si="111"/>
        <v>174.70213843679798</v>
      </c>
      <c r="U449" s="3">
        <f t="shared" si="101"/>
        <v>1589.900559555427</v>
      </c>
      <c r="V449" s="3">
        <f t="shared" si="102"/>
        <v>0</v>
      </c>
      <c r="W449" s="3">
        <f t="shared" si="112"/>
        <v>789.52577428764107</v>
      </c>
      <c r="Y449" s="3">
        <f t="shared" si="113"/>
        <v>2558.1611930352087</v>
      </c>
      <c r="AA449" s="3">
        <f t="shared" si="114"/>
        <v>447.79609067336628</v>
      </c>
      <c r="AB449" s="3">
        <f t="shared" si="115"/>
        <v>-21.161193035208726</v>
      </c>
      <c r="AD449" s="3">
        <f t="shared" si="116"/>
        <v>6.9323824838437007E-6</v>
      </c>
    </row>
    <row r="450" spans="3:30" x14ac:dyDescent="0.25">
      <c r="C450" s="22">
        <v>418</v>
      </c>
      <c r="D450" s="22">
        <v>2592</v>
      </c>
      <c r="F450" s="3">
        <f t="shared" si="103"/>
        <v>26901.509766975203</v>
      </c>
      <c r="G450" s="3">
        <f t="shared" si="104"/>
        <v>3890.9039052617873</v>
      </c>
      <c r="H450" s="3">
        <f t="shared" si="105"/>
        <v>10.12536347531355</v>
      </c>
      <c r="I450" s="3">
        <f t="shared" si="106"/>
        <v>3.71633620227515</v>
      </c>
      <c r="J450" s="3">
        <f t="shared" si="107"/>
        <v>-1.9073973716161652</v>
      </c>
      <c r="K450" s="3">
        <f t="shared" si="108"/>
        <v>3.6613928729380359E-10</v>
      </c>
      <c r="L450" s="3" cm="1">
        <f t="array" ref="L450">lmb_2(F450)</f>
        <v>26891.310018865301</v>
      </c>
      <c r="M450" s="3" cm="1">
        <f t="array" ref="M450">lmb_2(G450)</f>
        <v>3882.6385707578061</v>
      </c>
      <c r="N450" s="3" cm="1">
        <f t="array" ref="N450">lmb_2(H450)</f>
        <v>8.0408310349128644</v>
      </c>
      <c r="O450" s="3" cm="1">
        <f t="array" ref="O450">lmb_2(I450)</f>
        <v>2.7168595618494265</v>
      </c>
      <c r="P450" s="3" cm="1">
        <f t="array" ref="P450">lmb_2(J450)</f>
        <v>0.13032518179292893</v>
      </c>
      <c r="R450" s="3">
        <f t="shared" si="109"/>
        <v>2.4788684697849149E-3</v>
      </c>
      <c r="S450" s="3">
        <f t="shared" si="110"/>
        <v>4.0013465187901218</v>
      </c>
      <c r="T450" s="3">
        <f t="shared" si="111"/>
        <v>173.27235512265943</v>
      </c>
      <c r="U450" s="3">
        <f t="shared" si="101"/>
        <v>1582.0222583193922</v>
      </c>
      <c r="V450" s="3">
        <f t="shared" si="102"/>
        <v>0</v>
      </c>
      <c r="W450" s="3">
        <f t="shared" si="112"/>
        <v>791.29921739144845</v>
      </c>
      <c r="Y450" s="3">
        <f t="shared" si="113"/>
        <v>2550.5976562211263</v>
      </c>
      <c r="AA450" s="3">
        <f t="shared" si="114"/>
        <v>1714.1540703840442</v>
      </c>
      <c r="AB450" s="3">
        <f t="shared" si="115"/>
        <v>41.402343778873728</v>
      </c>
      <c r="AD450" s="3">
        <f t="shared" si="116"/>
        <v>1.3563360171857552E-5</v>
      </c>
    </row>
    <row r="451" spans="3:30" x14ac:dyDescent="0.25">
      <c r="C451" s="22">
        <v>419</v>
      </c>
      <c r="D451" s="22">
        <v>2555</v>
      </c>
      <c r="F451" s="3">
        <f t="shared" si="103"/>
        <v>27030.374029319843</v>
      </c>
      <c r="G451" s="3">
        <f t="shared" si="104"/>
        <v>3909.5209843305261</v>
      </c>
      <c r="H451" s="3">
        <f t="shared" si="105"/>
        <v>10.176149383130021</v>
      </c>
      <c r="I451" s="3">
        <f t="shared" si="106"/>
        <v>3.7321632206884496</v>
      </c>
      <c r="J451" s="3">
        <f t="shared" si="107"/>
        <v>-1.9065412478370181</v>
      </c>
      <c r="K451" s="3">
        <f t="shared" si="108"/>
        <v>3.4009627477138511E-10</v>
      </c>
      <c r="L451" s="3" cm="1">
        <f t="array" ref="L451">lmb_2(F451)</f>
        <v>27020.169501606983</v>
      </c>
      <c r="M451" s="3" cm="1">
        <f t="array" ref="M451">lmb_2(G451)</f>
        <v>3901.2508720194382</v>
      </c>
      <c r="N451" s="3" cm="1">
        <f t="array" ref="N451">lmb_2(H451)</f>
        <v>8.0860135376983546</v>
      </c>
      <c r="O451" s="3" cm="1">
        <f t="array" ref="O451">lmb_2(I451)</f>
        <v>2.7284350263014598</v>
      </c>
      <c r="P451" s="3" cm="1">
        <f t="array" ref="P451">lmb_2(J451)</f>
        <v>0.13042392494871166</v>
      </c>
      <c r="R451" s="3">
        <f t="shared" si="109"/>
        <v>2.4611556616368122E-3</v>
      </c>
      <c r="S451" s="3">
        <f t="shared" si="110"/>
        <v>3.9727442661155483</v>
      </c>
      <c r="T451" s="3">
        <f t="shared" si="111"/>
        <v>171.85749011583994</v>
      </c>
      <c r="U451" s="3">
        <f t="shared" si="101"/>
        <v>1574.1766894364148</v>
      </c>
      <c r="V451" s="3">
        <f t="shared" si="102"/>
        <v>0</v>
      </c>
      <c r="W451" s="3">
        <f t="shared" si="112"/>
        <v>793.07266049525572</v>
      </c>
      <c r="Y451" s="3">
        <f t="shared" si="113"/>
        <v>2543.0820454696277</v>
      </c>
      <c r="AA451" s="3">
        <f t="shared" si="114"/>
        <v>142.03764018802161</v>
      </c>
      <c r="AB451" s="3">
        <f t="shared" si="115"/>
        <v>11.917954530372299</v>
      </c>
      <c r="AD451" s="3">
        <f t="shared" si="116"/>
        <v>3.904308187734637E-6</v>
      </c>
    </row>
    <row r="452" spans="3:30" x14ac:dyDescent="0.25">
      <c r="C452" s="22">
        <v>420</v>
      </c>
      <c r="D452" s="22">
        <v>2618</v>
      </c>
      <c r="F452" s="3">
        <f t="shared" si="103"/>
        <v>27159.546211048833</v>
      </c>
      <c r="G452" s="3">
        <f t="shared" si="104"/>
        <v>3928.1825486539096</v>
      </c>
      <c r="H452" s="3">
        <f t="shared" si="105"/>
        <v>10.227056643175441</v>
      </c>
      <c r="I452" s="3">
        <f t="shared" si="106"/>
        <v>3.7480280575447926</v>
      </c>
      <c r="J452" s="3">
        <f t="shared" si="107"/>
        <v>-1.9056830783618635</v>
      </c>
      <c r="K452" s="3">
        <f t="shared" si="108"/>
        <v>3.1590566794477551E-10</v>
      </c>
      <c r="L452" s="3" cm="1">
        <f t="array" ref="L452">lmb_2(F452)</f>
        <v>27149.336915129163</v>
      </c>
      <c r="M452" s="3" cm="1">
        <f t="array" ref="M452">lmb_2(G452)</f>
        <v>3919.9076699165539</v>
      </c>
      <c r="N452" s="3" cm="1">
        <f t="array" ref="N452">lmb_2(H452)</f>
        <v>8.1313319068526297</v>
      </c>
      <c r="O452" s="3" cm="1">
        <f t="array" ref="O452">lmb_2(I452)</f>
        <v>2.7400513840263621</v>
      </c>
      <c r="P452" s="3" cm="1">
        <f t="array" ref="P452">lmb_2(J452)</f>
        <v>0.13052297046420838</v>
      </c>
      <c r="R452" s="3">
        <f t="shared" si="109"/>
        <v>2.4436112202835853E-3</v>
      </c>
      <c r="S452" s="3">
        <f t="shared" si="110"/>
        <v>3.9444139740625821</v>
      </c>
      <c r="T452" s="3">
        <f t="shared" si="111"/>
        <v>170.45736023813282</v>
      </c>
      <c r="U452" s="3">
        <f t="shared" si="101"/>
        <v>1566.3638939724942</v>
      </c>
      <c r="V452" s="3">
        <f t="shared" si="102"/>
        <v>0</v>
      </c>
      <c r="W452" s="3">
        <f t="shared" si="112"/>
        <v>794.84610359906299</v>
      </c>
      <c r="Y452" s="3">
        <f t="shared" si="113"/>
        <v>2535.6142153952887</v>
      </c>
      <c r="AA452" s="3">
        <f t="shared" si="114"/>
        <v>6787.4175049338792</v>
      </c>
      <c r="AB452" s="3">
        <f t="shared" si="115"/>
        <v>82.385784604711262</v>
      </c>
      <c r="AD452" s="3">
        <f t="shared" si="116"/>
        <v>2.6989488218417312E-5</v>
      </c>
    </row>
    <row r="453" spans="3:30" x14ac:dyDescent="0.25">
      <c r="C453" s="22">
        <v>421</v>
      </c>
      <c r="D453" s="22">
        <v>2508</v>
      </c>
      <c r="F453" s="3">
        <f t="shared" si="103"/>
        <v>27289.02631216215</v>
      </c>
      <c r="G453" s="3">
        <f t="shared" si="104"/>
        <v>3946.8885982319375</v>
      </c>
      <c r="H453" s="3">
        <f t="shared" si="105"/>
        <v>10.278085255449817</v>
      </c>
      <c r="I453" s="3">
        <f t="shared" si="106"/>
        <v>3.7639307128441781</v>
      </c>
      <c r="J453" s="3">
        <f t="shared" si="107"/>
        <v>-1.9048228631907014</v>
      </c>
      <c r="K453" s="3">
        <f t="shared" si="108"/>
        <v>2.934357075999098E-10</v>
      </c>
      <c r="L453" s="3" cm="1">
        <f t="array" ref="L453">lmb_2(F453)</f>
        <v>27278.812259377595</v>
      </c>
      <c r="M453" s="3" cm="1">
        <f t="array" ref="M453">lmb_2(G453)</f>
        <v>3938.6089643950959</v>
      </c>
      <c r="N453" s="3" cm="1">
        <f t="array" ref="N453">lmb_2(H453)</f>
        <v>8.1767860816002838</v>
      </c>
      <c r="O453" s="3" cm="1">
        <f t="array" ref="O453">lmb_2(I453)</f>
        <v>2.7517086623490639</v>
      </c>
      <c r="P453" s="3" cm="1">
        <f t="array" ref="P453">lmb_2(J453)</f>
        <v>0.13062231884806502</v>
      </c>
      <c r="R453" s="3">
        <f t="shared" si="109"/>
        <v>2.4262331498565177E-3</v>
      </c>
      <c r="S453" s="3">
        <f t="shared" si="110"/>
        <v>3.9163524179801352</v>
      </c>
      <c r="T453" s="3">
        <f t="shared" si="111"/>
        <v>169.07178480244883</v>
      </c>
      <c r="U453" s="3">
        <f t="shared" si="101"/>
        <v>1558.583909222026</v>
      </c>
      <c r="V453" s="3">
        <f t="shared" si="102"/>
        <v>0</v>
      </c>
      <c r="W453" s="3">
        <f t="shared" si="112"/>
        <v>796.61954670287025</v>
      </c>
      <c r="Y453" s="3">
        <f t="shared" si="113"/>
        <v>2528.1940193787682</v>
      </c>
      <c r="AA453" s="3">
        <f t="shared" si="114"/>
        <v>407.79841867006519</v>
      </c>
      <c r="AB453" s="3">
        <f t="shared" si="115"/>
        <v>-20.194019378768189</v>
      </c>
      <c r="AD453" s="3">
        <f t="shared" si="116"/>
        <v>6.6155375071173067E-6</v>
      </c>
    </row>
    <row r="454" spans="3:30" x14ac:dyDescent="0.25">
      <c r="C454" s="22">
        <v>422</v>
      </c>
      <c r="D454" s="22">
        <v>2509</v>
      </c>
      <c r="F454" s="3">
        <f t="shared" si="103"/>
        <v>27418.814332659815</v>
      </c>
      <c r="G454" s="3">
        <f t="shared" si="104"/>
        <v>3965.6391330646102</v>
      </c>
      <c r="H454" s="3">
        <f t="shared" si="105"/>
        <v>10.329235219953143</v>
      </c>
      <c r="I454" s="3">
        <f t="shared" si="106"/>
        <v>3.7798711865866061</v>
      </c>
      <c r="J454" s="3">
        <f t="shared" si="107"/>
        <v>-1.9039606023235318</v>
      </c>
      <c r="K454" s="3">
        <f t="shared" si="108"/>
        <v>2.7256400638469067E-10</v>
      </c>
      <c r="L454" s="3" cm="1">
        <f t="array" ref="L454">lmb_2(F454)</f>
        <v>27408.595534298467</v>
      </c>
      <c r="M454" s="3" cm="1">
        <f t="array" ref="M454">lmb_2(G454)</f>
        <v>3957.354755401393</v>
      </c>
      <c r="N454" s="3" cm="1">
        <f t="array" ref="N454">lmb_2(H454)</f>
        <v>8.222376001388513</v>
      </c>
      <c r="O454" s="3" cm="1">
        <f t="array" ref="O454">lmb_2(I454)</f>
        <v>2.76340688826998</v>
      </c>
      <c r="P454" s="3" cm="1">
        <f t="array" ref="P454">lmb_2(J454)</f>
        <v>0.13072197061053645</v>
      </c>
      <c r="R454" s="3">
        <f t="shared" si="109"/>
        <v>2.4090194828129238E-3</v>
      </c>
      <c r="S454" s="3">
        <f t="shared" si="110"/>
        <v>3.8885564189882964</v>
      </c>
      <c r="T454" s="3">
        <f t="shared" si="111"/>
        <v>167.70058557756386</v>
      </c>
      <c r="U454" s="3">
        <f t="shared" si="101"/>
        <v>1550.8367687693403</v>
      </c>
      <c r="V454" s="3">
        <f t="shared" si="102"/>
        <v>0</v>
      </c>
      <c r="W454" s="3">
        <f t="shared" si="112"/>
        <v>798.39298980667763</v>
      </c>
      <c r="Y454" s="3">
        <f t="shared" si="113"/>
        <v>2520.8213095923252</v>
      </c>
      <c r="AA454" s="3">
        <f t="shared" si="114"/>
        <v>139.74336047759928</v>
      </c>
      <c r="AB454" s="3">
        <f t="shared" si="115"/>
        <v>-11.821309592325179</v>
      </c>
      <c r="AD454" s="3">
        <f t="shared" si="116"/>
        <v>3.8726474172593957E-6</v>
      </c>
    </row>
    <row r="455" spans="3:30" x14ac:dyDescent="0.25">
      <c r="C455" s="22">
        <v>423</v>
      </c>
      <c r="D455" s="22">
        <v>2560</v>
      </c>
      <c r="F455" s="3">
        <f t="shared" si="103"/>
        <v>27548.910272541812</v>
      </c>
      <c r="G455" s="3">
        <f t="shared" si="104"/>
        <v>3984.4341531519276</v>
      </c>
      <c r="H455" s="3">
        <f t="shared" si="105"/>
        <v>10.380506536685418</v>
      </c>
      <c r="I455" s="3">
        <f t="shared" si="106"/>
        <v>3.7958494787720767</v>
      </c>
      <c r="J455" s="3">
        <f t="shared" si="107"/>
        <v>-1.9030962957603548</v>
      </c>
      <c r="K455" s="3">
        <f t="shared" si="108"/>
        <v>2.5317688220060561E-10</v>
      </c>
      <c r="L455" s="3" cm="1">
        <f t="array" ref="L455">lmb_2(F455)</f>
        <v>27538.686739838315</v>
      </c>
      <c r="M455" s="3" cm="1">
        <f t="array" ref="M455">lmb_2(G455)</f>
        <v>3976.1450428821536</v>
      </c>
      <c r="N455" s="3" cm="1">
        <f t="array" ref="N455">lmb_2(H455)</f>
        <v>8.2681016058885994</v>
      </c>
      <c r="O455" s="3" cm="1">
        <f t="array" ref="O455">lmb_2(I455)</f>
        <v>2.775146088466808</v>
      </c>
      <c r="P455" s="3" cm="1">
        <f t="array" ref="P455">lmb_2(J455)</f>
        <v>0.1308219262634896</v>
      </c>
      <c r="R455" s="3">
        <f t="shared" si="109"/>
        <v>2.3919682794682159E-3</v>
      </c>
      <c r="S455" s="3">
        <f t="shared" si="110"/>
        <v>3.861022843222218</v>
      </c>
      <c r="T455" s="3">
        <f t="shared" si="111"/>
        <v>166.34358675333436</v>
      </c>
      <c r="U455" s="3">
        <f t="shared" si="101"/>
        <v>1543.1225025497349</v>
      </c>
      <c r="V455" s="3">
        <f t="shared" si="102"/>
        <v>0</v>
      </c>
      <c r="W455" s="3">
        <f t="shared" si="112"/>
        <v>800.1664329104849</v>
      </c>
      <c r="Y455" s="3">
        <f t="shared" si="113"/>
        <v>2513.4959370253091</v>
      </c>
      <c r="AA455" s="3">
        <f t="shared" si="114"/>
        <v>2162.6278731540165</v>
      </c>
      <c r="AB455" s="3">
        <f t="shared" si="115"/>
        <v>46.504062974690896</v>
      </c>
      <c r="AD455" s="3">
        <f t="shared" si="116"/>
        <v>1.5234677508820886E-5</v>
      </c>
    </row>
    <row r="456" spans="3:30" x14ac:dyDescent="0.25">
      <c r="C456" s="22">
        <v>424</v>
      </c>
      <c r="D456" s="22">
        <v>2587</v>
      </c>
      <c r="F456" s="3">
        <f t="shared" si="103"/>
        <v>27679.314131808136</v>
      </c>
      <c r="G456" s="3">
        <f t="shared" si="104"/>
        <v>4003.2736584938875</v>
      </c>
      <c r="H456" s="3">
        <f t="shared" si="105"/>
        <v>10.431899205646648</v>
      </c>
      <c r="I456" s="3">
        <f t="shared" si="106"/>
        <v>3.8118655894005897</v>
      </c>
      <c r="J456" s="3">
        <f t="shared" si="107"/>
        <v>-1.90222994350117</v>
      </c>
      <c r="K456" s="3">
        <f t="shared" si="108"/>
        <v>2.3516873900933319E-10</v>
      </c>
      <c r="L456" s="3" cm="1">
        <f t="array" ref="L456">lmb_2(F456)</f>
        <v>27669.08587594406</v>
      </c>
      <c r="M456" s="3" cm="1">
        <f t="array" ref="M456">lmb_2(G456)</f>
        <v>3994.9798267844594</v>
      </c>
      <c r="N456" s="3" cm="1">
        <f t="array" ref="N456">lmb_2(H456)</f>
        <v>8.3139628349973123</v>
      </c>
      <c r="O456" s="3" cm="1">
        <f t="array" ref="O456">lmb_2(I456)</f>
        <v>2.78692628929634</v>
      </c>
      <c r="P456" s="3" cm="1">
        <f t="array" ref="P456">lmb_2(J456)</f>
        <v>0.13092218632040614</v>
      </c>
      <c r="R456" s="3">
        <f t="shared" si="109"/>
        <v>2.3750776275367853E-3</v>
      </c>
      <c r="S456" s="3">
        <f t="shared" si="110"/>
        <v>3.8337486010902304</v>
      </c>
      <c r="T456" s="3">
        <f t="shared" si="111"/>
        <v>165.0006149063797</v>
      </c>
      <c r="U456" s="3">
        <f t="shared" si="101"/>
        <v>1535.4411369099844</v>
      </c>
      <c r="V456" s="3">
        <f t="shared" si="102"/>
        <v>0</v>
      </c>
      <c r="W456" s="3">
        <f t="shared" si="112"/>
        <v>801.93987601429217</v>
      </c>
      <c r="Y456" s="3">
        <f t="shared" si="113"/>
        <v>2506.2177515096091</v>
      </c>
      <c r="AA456" s="3">
        <f t="shared" si="114"/>
        <v>6525.7716711632602</v>
      </c>
      <c r="AB456" s="3">
        <f t="shared" si="115"/>
        <v>80.782248490390884</v>
      </c>
      <c r="AD456" s="3">
        <f t="shared" si="116"/>
        <v>2.646417163288125E-5</v>
      </c>
    </row>
    <row r="457" spans="3:30" x14ac:dyDescent="0.25">
      <c r="C457" s="22">
        <v>425</v>
      </c>
      <c r="D457" s="22">
        <v>2523</v>
      </c>
      <c r="F457" s="3">
        <f t="shared" si="103"/>
        <v>27810.025910458808</v>
      </c>
      <c r="G457" s="3">
        <f t="shared" si="104"/>
        <v>4022.157649090494</v>
      </c>
      <c r="H457" s="3">
        <f t="shared" si="105"/>
        <v>10.483413226836831</v>
      </c>
      <c r="I457" s="3">
        <f t="shared" si="106"/>
        <v>3.8279195184721444</v>
      </c>
      <c r="J457" s="3">
        <f t="shared" si="107"/>
        <v>-1.901361545545978</v>
      </c>
      <c r="K457" s="3">
        <f t="shared" si="108"/>
        <v>2.1844149168176853E-10</v>
      </c>
      <c r="L457" s="3" cm="1">
        <f t="array" ref="L457">lmb_2(F457)</f>
        <v>27799.792942563025</v>
      </c>
      <c r="M457" s="3" cm="1">
        <f t="array" ref="M457">lmb_2(G457)</f>
        <v>4013.8591070557732</v>
      </c>
      <c r="N457" s="3" cm="1">
        <f t="array" ref="N457">lmb_2(H457)</f>
        <v>8.3599596288382187</v>
      </c>
      <c r="O457" s="3" cm="1">
        <f t="array" ref="O457">lmb_2(I457)</f>
        <v>2.7987475167962783</v>
      </c>
      <c r="P457" s="3" cm="1">
        <f t="array" ref="P457">lmb_2(J457)</f>
        <v>0.1310227512963853</v>
      </c>
      <c r="R457" s="3">
        <f t="shared" si="109"/>
        <v>2.3583456416815078E-3</v>
      </c>
      <c r="S457" s="3">
        <f t="shared" si="110"/>
        <v>3.8067306465458883</v>
      </c>
      <c r="T457" s="3">
        <f t="shared" si="111"/>
        <v>163.67149896622524</v>
      </c>
      <c r="U457" s="3">
        <f t="shared" si="101"/>
        <v>1527.7926946683297</v>
      </c>
      <c r="V457" s="3">
        <f t="shared" si="102"/>
        <v>0</v>
      </c>
      <c r="W457" s="3">
        <f t="shared" si="112"/>
        <v>803.71331911809943</v>
      </c>
      <c r="Y457" s="3">
        <f t="shared" si="113"/>
        <v>2498.9866017450604</v>
      </c>
      <c r="AA457" s="3">
        <f t="shared" si="114"/>
        <v>576.64329575033639</v>
      </c>
      <c r="AB457" s="3">
        <f t="shared" si="115"/>
        <v>24.013398254939602</v>
      </c>
      <c r="AD457" s="3">
        <f t="shared" si="116"/>
        <v>7.8667616312146263E-6</v>
      </c>
    </row>
    <row r="458" spans="3:30" x14ac:dyDescent="0.25">
      <c r="C458" s="22">
        <v>426</v>
      </c>
      <c r="D458" s="22">
        <v>2470</v>
      </c>
      <c r="F458" s="3">
        <f t="shared" si="103"/>
        <v>27941.045608493801</v>
      </c>
      <c r="G458" s="3">
        <f t="shared" si="104"/>
        <v>4041.0861249417439</v>
      </c>
      <c r="H458" s="3">
        <f t="shared" si="105"/>
        <v>10.535048600255964</v>
      </c>
      <c r="I458" s="3">
        <f t="shared" si="106"/>
        <v>3.8440112659867425</v>
      </c>
      <c r="J458" s="3">
        <f t="shared" si="107"/>
        <v>-1.9004911018947783</v>
      </c>
      <c r="K458" s="3">
        <f t="shared" si="108"/>
        <v>2.0290403175679912E-10</v>
      </c>
      <c r="L458" s="3" cm="1">
        <f t="array" ref="L458">lmb_2(F458)</f>
        <v>27930.807939642862</v>
      </c>
      <c r="M458" s="3" cm="1">
        <f t="array" ref="M458">lmb_2(G458)</f>
        <v>4032.7828836439194</v>
      </c>
      <c r="N458" s="3" cm="1">
        <f t="array" ref="N458">lmb_2(H458)</f>
        <v>8.4060919277629402</v>
      </c>
      <c r="O458" s="3" cm="1">
        <f t="array" ref="O458">lmb_2(I458)</f>
        <v>2.8106097966870665</v>
      </c>
      <c r="P458" s="3" cm="1">
        <f t="array" ref="P458">lmb_2(J458)</f>
        <v>0.13112362170814701</v>
      </c>
      <c r="R458" s="3">
        <f t="shared" si="109"/>
        <v>2.3417704630717033E-3</v>
      </c>
      <c r="S458" s="3">
        <f t="shared" si="110"/>
        <v>3.7799659763736955</v>
      </c>
      <c r="T458" s="3">
        <f t="shared" si="111"/>
        <v>162.35607018190231</v>
      </c>
      <c r="U458" s="3">
        <f t="shared" si="101"/>
        <v>1520.177195173942</v>
      </c>
      <c r="V458" s="3">
        <f t="shared" si="102"/>
        <v>0</v>
      </c>
      <c r="W458" s="3">
        <f t="shared" si="112"/>
        <v>805.48676222190682</v>
      </c>
      <c r="Y458" s="3">
        <f t="shared" si="113"/>
        <v>2491.8023353247909</v>
      </c>
      <c r="AA458" s="3">
        <f t="shared" si="114"/>
        <v>475.34182561462399</v>
      </c>
      <c r="AB458" s="3">
        <f t="shared" si="115"/>
        <v>-21.802335324790874</v>
      </c>
      <c r="AD458" s="3">
        <f t="shared" si="116"/>
        <v>7.1424199600179215E-6</v>
      </c>
    </row>
    <row r="459" spans="3:30" x14ac:dyDescent="0.25">
      <c r="C459" s="22">
        <v>427</v>
      </c>
      <c r="D459" s="22">
        <v>2496</v>
      </c>
      <c r="F459" s="3">
        <f t="shared" si="103"/>
        <v>28072.373225913147</v>
      </c>
      <c r="G459" s="3">
        <f t="shared" si="104"/>
        <v>4060.0590860476395</v>
      </c>
      <c r="H459" s="3">
        <f t="shared" si="105"/>
        <v>10.586805325904052</v>
      </c>
      <c r="I459" s="3">
        <f t="shared" si="106"/>
        <v>3.8601408319443831</v>
      </c>
      <c r="J459" s="3">
        <f t="shared" si="107"/>
        <v>-1.8996186125475711</v>
      </c>
      <c r="K459" s="3">
        <f t="shared" si="108"/>
        <v>1.8847173119995801E-10</v>
      </c>
      <c r="L459" s="3" cm="1">
        <f t="array" ref="L459">lmb_2(F459)</f>
        <v>28062.130867131644</v>
      </c>
      <c r="M459" s="3" cm="1">
        <f t="array" ref="M459">lmb_2(G459)</f>
        <v>4051.7511564970941</v>
      </c>
      <c r="N459" s="3" cm="1">
        <f t="array" ref="N459">lmb_2(H459)</f>
        <v>8.45235967235236</v>
      </c>
      <c r="O459" s="3" cm="1">
        <f t="array" ref="O459">lmb_2(I459)</f>
        <v>2.8225131543737167</v>
      </c>
      <c r="P459" s="3" cm="1">
        <f t="array" ref="P459">lmb_2(J459)</f>
        <v>0.13122479807403437</v>
      </c>
      <c r="R459" s="3">
        <f t="shared" si="109"/>
        <v>2.3253502589493493E-3</v>
      </c>
      <c r="S459" s="3">
        <f t="shared" si="110"/>
        <v>3.7534516294881426</v>
      </c>
      <c r="T459" s="3">
        <f t="shared" si="111"/>
        <v>161.05416208899973</v>
      </c>
      <c r="U459" s="3">
        <f t="shared" si="101"/>
        <v>1512.5946543658604</v>
      </c>
      <c r="V459" s="3">
        <f t="shared" si="102"/>
        <v>0</v>
      </c>
      <c r="W459" s="3">
        <f t="shared" si="112"/>
        <v>807.26020532571408</v>
      </c>
      <c r="Y459" s="3">
        <f t="shared" si="113"/>
        <v>2484.6647987605097</v>
      </c>
      <c r="AA459" s="3">
        <f t="shared" si="114"/>
        <v>128.48678713974218</v>
      </c>
      <c r="AB459" s="3">
        <f t="shared" si="115"/>
        <v>11.335201239490289</v>
      </c>
      <c r="AD459" s="3">
        <f t="shared" si="116"/>
        <v>3.7133988803344802E-6</v>
      </c>
    </row>
    <row r="460" spans="3:30" x14ac:dyDescent="0.25">
      <c r="C460" s="22">
        <v>428</v>
      </c>
      <c r="D460" s="22">
        <v>2475</v>
      </c>
      <c r="F460" s="3">
        <f t="shared" si="103"/>
        <v>28204.00876271681</v>
      </c>
      <c r="G460" s="3">
        <f t="shared" si="104"/>
        <v>4079.0765324081794</v>
      </c>
      <c r="H460" s="3">
        <f t="shared" si="105"/>
        <v>10.638683403781091</v>
      </c>
      <c r="I460" s="3">
        <f t="shared" si="106"/>
        <v>3.8763082163450662</v>
      </c>
      <c r="J460" s="3">
        <f t="shared" si="107"/>
        <v>-1.8987440775043565</v>
      </c>
      <c r="K460" s="3">
        <f t="shared" si="108"/>
        <v>1.7506598145908485E-10</v>
      </c>
      <c r="L460" s="3" cm="1">
        <f t="array" ref="L460">lmb_2(F460)</f>
        <v>28193.761724977743</v>
      </c>
      <c r="M460" s="3" cm="1">
        <f t="array" ref="M460">lmb_2(G460)</f>
        <v>4070.7639255638533</v>
      </c>
      <c r="N460" s="3" cm="1">
        <f t="array" ref="N460">lmb_2(H460)</f>
        <v>8.4987628034177121</v>
      </c>
      <c r="O460" s="3" cm="1">
        <f t="array" ref="O460">lmb_2(I460)</f>
        <v>2.8344576149476555</v>
      </c>
      <c r="P460" s="3" cm="1">
        <f t="array" ref="P460">lmb_2(J460)</f>
        <v>0.1313262809140168</v>
      </c>
      <c r="R460" s="3">
        <f t="shared" si="109"/>
        <v>2.3090832222034106E-3</v>
      </c>
      <c r="S460" s="3">
        <f t="shared" si="110"/>
        <v>3.7271846862458657</v>
      </c>
      <c r="T460" s="3">
        <f t="shared" si="111"/>
        <v>159.7656104771649</v>
      </c>
      <c r="U460" s="3">
        <f t="shared" si="101"/>
        <v>1505.0450848313942</v>
      </c>
      <c r="V460" s="3">
        <f t="shared" si="102"/>
        <v>0</v>
      </c>
      <c r="W460" s="3">
        <f t="shared" si="112"/>
        <v>809.03364842952135</v>
      </c>
      <c r="Y460" s="3">
        <f t="shared" si="113"/>
        <v>2477.5738375077235</v>
      </c>
      <c r="AA460" s="3">
        <f t="shared" si="114"/>
        <v>6.6246395161643719</v>
      </c>
      <c r="AB460" s="3">
        <f t="shared" si="115"/>
        <v>-2.5738375077235105</v>
      </c>
      <c r="AD460" s="3">
        <f t="shared" si="116"/>
        <v>8.4318620529168084E-7</v>
      </c>
    </row>
    <row r="461" spans="3:30" x14ac:dyDescent="0.25">
      <c r="C461" s="22">
        <v>429</v>
      </c>
      <c r="D461" s="22">
        <v>2536</v>
      </c>
      <c r="F461" s="3">
        <f t="shared" si="103"/>
        <v>28335.952218904829</v>
      </c>
      <c r="G461" s="3">
        <f t="shared" si="104"/>
        <v>4098.1384640233637</v>
      </c>
      <c r="H461" s="3">
        <f t="shared" si="105"/>
        <v>10.690682833887081</v>
      </c>
      <c r="I461" s="3">
        <f t="shared" si="106"/>
        <v>3.8925134191887922</v>
      </c>
      <c r="J461" s="3">
        <f t="shared" si="107"/>
        <v>-1.8978674967651341</v>
      </c>
      <c r="K461" s="3">
        <f t="shared" si="108"/>
        <v>1.6261376530635569E-10</v>
      </c>
      <c r="L461" s="3" cm="1">
        <f t="array" ref="L461">lmb_2(F461)</f>
        <v>28325.700513129967</v>
      </c>
      <c r="M461" s="3" cm="1">
        <f t="array" ref="M461">lmb_2(G461)</f>
        <v>4089.8211907931127</v>
      </c>
      <c r="N461" s="3" cm="1">
        <f t="array" ref="N461">lmb_2(H461)</f>
        <v>8.5453012620016615</v>
      </c>
      <c r="O461" s="3" cm="1">
        <f t="array" ref="O461">lmb_2(I461)</f>
        <v>2.846443203188568</v>
      </c>
      <c r="P461" s="3" cm="1">
        <f t="array" ref="P461">lmb_2(J461)</f>
        <v>0.13142807074969287</v>
      </c>
      <c r="R461" s="3">
        <f t="shared" si="109"/>
        <v>2.2929675709520607E-3</v>
      </c>
      <c r="S461" s="3">
        <f t="shared" si="110"/>
        <v>3.7011622677705787</v>
      </c>
      <c r="T461" s="3">
        <f t="shared" si="111"/>
        <v>158.49025335804663</v>
      </c>
      <c r="U461" s="3">
        <f t="shared" si="101"/>
        <v>1497.5284958639979</v>
      </c>
      <c r="V461" s="3">
        <f t="shared" si="102"/>
        <v>0</v>
      </c>
      <c r="W461" s="3">
        <f t="shared" si="112"/>
        <v>810.80709153332862</v>
      </c>
      <c r="Y461" s="3">
        <f t="shared" si="113"/>
        <v>2470.5292959908775</v>
      </c>
      <c r="AA461" s="3">
        <f t="shared" si="114"/>
        <v>4286.4130834501329</v>
      </c>
      <c r="AB461" s="3">
        <f t="shared" si="115"/>
        <v>65.470704009122528</v>
      </c>
      <c r="AD461" s="3">
        <f t="shared" si="116"/>
        <v>2.1448127282927544E-5</v>
      </c>
    </row>
    <row r="462" spans="3:30" x14ac:dyDescent="0.25">
      <c r="C462" s="22">
        <v>430</v>
      </c>
      <c r="D462" s="22">
        <v>2463</v>
      </c>
      <c r="F462" s="3">
        <f t="shared" si="103"/>
        <v>28468.203594477178</v>
      </c>
      <c r="G462" s="3">
        <f t="shared" si="104"/>
        <v>4117.2448808931931</v>
      </c>
      <c r="H462" s="3">
        <f t="shared" si="105"/>
        <v>10.742803616222021</v>
      </c>
      <c r="I462" s="3">
        <f t="shared" si="106"/>
        <v>3.9087564404755599</v>
      </c>
      <c r="J462" s="3">
        <f t="shared" si="107"/>
        <v>-1.8969888703299045</v>
      </c>
      <c r="K462" s="3">
        <f t="shared" si="108"/>
        <v>1.5104725913464033E-10</v>
      </c>
      <c r="L462" s="3" cm="1">
        <f t="array" ref="L462">lmb_2(F462)</f>
        <v>28457.947231537415</v>
      </c>
      <c r="M462" s="3" cm="1">
        <f t="array" ref="M462">lmb_2(G462)</f>
        <v>4108.9229521341458</v>
      </c>
      <c r="N462" s="3" cm="1">
        <f t="array" ref="N462">lmb_2(H462)</f>
        <v>8.5919749893792918</v>
      </c>
      <c r="O462" s="3" cm="1">
        <f t="array" ref="O462">lmb_2(I462)</f>
        <v>2.8584699435662531</v>
      </c>
      <c r="P462" s="3" cm="1">
        <f t="array" ref="P462">lmb_2(J462)</f>
        <v>0.13153016810429313</v>
      </c>
      <c r="R462" s="3">
        <f t="shared" si="109"/>
        <v>2.2770015481327049E-3</v>
      </c>
      <c r="S462" s="3">
        <f t="shared" si="110"/>
        <v>3.6753815352905552</v>
      </c>
      <c r="T462" s="3">
        <f t="shared" si="111"/>
        <v>157.2279309336779</v>
      </c>
      <c r="U462" s="3">
        <f t="shared" si="101"/>
        <v>1490.0448935206023</v>
      </c>
      <c r="V462" s="3">
        <f t="shared" si="102"/>
        <v>0</v>
      </c>
      <c r="W462" s="3">
        <f t="shared" si="112"/>
        <v>812.58053463713588</v>
      </c>
      <c r="Y462" s="3">
        <f t="shared" si="113"/>
        <v>2463.5310176284056</v>
      </c>
      <c r="AA462" s="3">
        <f t="shared" si="114"/>
        <v>0.28197972167751528</v>
      </c>
      <c r="AB462" s="3">
        <f t="shared" si="115"/>
        <v>-0.53101762840560696</v>
      </c>
      <c r="AD462" s="3">
        <f t="shared" si="116"/>
        <v>1.7396076391564107E-7</v>
      </c>
    </row>
    <row r="463" spans="3:30" x14ac:dyDescent="0.25">
      <c r="C463" s="22">
        <v>431</v>
      </c>
      <c r="D463" s="22">
        <v>2534</v>
      </c>
      <c r="F463" s="3">
        <f t="shared" si="103"/>
        <v>28600.762889433856</v>
      </c>
      <c r="G463" s="3">
        <f t="shared" si="104"/>
        <v>4136.3957830176669</v>
      </c>
      <c r="H463" s="3">
        <f t="shared" si="105"/>
        <v>10.795045750785919</v>
      </c>
      <c r="I463" s="3">
        <f t="shared" si="106"/>
        <v>3.9250372802053706</v>
      </c>
      <c r="J463" s="3">
        <f t="shared" si="107"/>
        <v>-1.8961081981986672</v>
      </c>
      <c r="K463" s="3">
        <f t="shared" si="108"/>
        <v>1.4030346354199734E-10</v>
      </c>
      <c r="L463" s="3" cm="1">
        <f t="array" ref="L463">lmb_2(F463)</f>
        <v>28590.501880149572</v>
      </c>
      <c r="M463" s="3" cm="1">
        <f t="array" ref="M463">lmb_2(G463)</f>
        <v>4128.0692095365766</v>
      </c>
      <c r="N463" s="3" cm="1">
        <f t="array" ref="N463">lmb_2(H463)</f>
        <v>8.6387839270590323</v>
      </c>
      <c r="O463" s="3" cm="1">
        <f t="array" ref="O463">lmb_2(I463)</f>
        <v>2.8705378602424849</v>
      </c>
      <c r="P463" s="3" cm="1">
        <f t="array" ref="P463">lmb_2(J463)</f>
        <v>0.13163257350268304</v>
      </c>
      <c r="R463" s="3">
        <f t="shared" si="109"/>
        <v>2.2611834210995614E-3</v>
      </c>
      <c r="S463" s="3">
        <f t="shared" si="110"/>
        <v>3.6498396894883878</v>
      </c>
      <c r="T463" s="3">
        <f t="shared" si="111"/>
        <v>155.97848556529294</v>
      </c>
      <c r="U463" s="3">
        <f t="shared" si="101"/>
        <v>1482.5942806784115</v>
      </c>
      <c r="V463" s="3">
        <f t="shared" si="102"/>
        <v>0</v>
      </c>
      <c r="W463" s="3">
        <f t="shared" si="112"/>
        <v>814.35397774094326</v>
      </c>
      <c r="Y463" s="3">
        <f t="shared" si="113"/>
        <v>2456.5788448576977</v>
      </c>
      <c r="AA463" s="3">
        <f t="shared" si="114"/>
        <v>5994.0352635684367</v>
      </c>
      <c r="AB463" s="3">
        <f t="shared" si="115"/>
        <v>77.421155142302268</v>
      </c>
      <c r="AD463" s="3">
        <f t="shared" si="116"/>
        <v>2.5363081320341446E-5</v>
      </c>
    </row>
    <row r="464" spans="3:30" x14ac:dyDescent="0.25">
      <c r="C464" s="22">
        <v>432</v>
      </c>
      <c r="D464" s="22">
        <v>2488</v>
      </c>
      <c r="F464" s="3">
        <f t="shared" si="103"/>
        <v>28733.630103774874</v>
      </c>
      <c r="G464" s="3">
        <f t="shared" si="104"/>
        <v>4155.591170396784</v>
      </c>
      <c r="H464" s="3">
        <f t="shared" si="105"/>
        <v>10.847409237578765</v>
      </c>
      <c r="I464" s="3">
        <f t="shared" si="106"/>
        <v>3.9413559383782237</v>
      </c>
      <c r="J464" s="3">
        <f t="shared" si="107"/>
        <v>-1.8952254803714224</v>
      </c>
      <c r="K464" s="3">
        <f t="shared" si="108"/>
        <v>1.303238601922184E-10</v>
      </c>
      <c r="L464" s="3" cm="1">
        <f t="array" ref="L464">lmb_2(F464)</f>
        <v>28723.364458916283</v>
      </c>
      <c r="M464" s="3" cm="1">
        <f t="array" ref="M464">lmb_2(G464)</f>
        <v>4147.2599629503793</v>
      </c>
      <c r="N464" s="3" cm="1">
        <f t="array" ref="N464">lmb_2(H464)</f>
        <v>8.6857280167835231</v>
      </c>
      <c r="O464" s="3" cm="1">
        <f t="array" ref="O464">lmb_2(I464)</f>
        <v>2.8826469770728753</v>
      </c>
      <c r="P464" s="3" cm="1">
        <f t="array" ref="P464">lmb_2(J464)</f>
        <v>0.13173528747136584</v>
      </c>
      <c r="R464" s="3">
        <f t="shared" si="109"/>
        <v>2.2455114812287018E-3</v>
      </c>
      <c r="S464" s="3">
        <f t="shared" si="110"/>
        <v>3.6245339698627639</v>
      </c>
      <c r="T464" s="3">
        <f t="shared" si="111"/>
        <v>154.74176174257437</v>
      </c>
      <c r="U464" s="3">
        <f t="shared" si="101"/>
        <v>1475.1766570911602</v>
      </c>
      <c r="V464" s="3">
        <f t="shared" si="102"/>
        <v>0</v>
      </c>
      <c r="W464" s="3">
        <f t="shared" si="112"/>
        <v>816.12742084475053</v>
      </c>
      <c r="Y464" s="3">
        <f t="shared" si="113"/>
        <v>2449.6726191599596</v>
      </c>
      <c r="AA464" s="3">
        <f t="shared" si="114"/>
        <v>1468.9881220574964</v>
      </c>
      <c r="AB464" s="3">
        <f t="shared" si="115"/>
        <v>38.327380840040405</v>
      </c>
      <c r="AD464" s="3">
        <f t="shared" si="116"/>
        <v>1.2556005852081299E-5</v>
      </c>
    </row>
    <row r="465" spans="3:30" x14ac:dyDescent="0.25">
      <c r="C465" s="22">
        <v>433</v>
      </c>
      <c r="D465" s="22">
        <v>2402</v>
      </c>
      <c r="F465" s="3">
        <f t="shared" si="103"/>
        <v>28866.805237500226</v>
      </c>
      <c r="G465" s="3">
        <f t="shared" si="104"/>
        <v>4174.8310430305473</v>
      </c>
      <c r="H465" s="3">
        <f t="shared" si="105"/>
        <v>10.899894076600566</v>
      </c>
      <c r="I465" s="3">
        <f t="shared" si="106"/>
        <v>3.9577124149941199</v>
      </c>
      <c r="J465" s="3">
        <f t="shared" si="107"/>
        <v>-1.8943407168481701</v>
      </c>
      <c r="K465" s="3">
        <f t="shared" si="108"/>
        <v>1.2105409308243394E-10</v>
      </c>
      <c r="L465" s="3" cm="1">
        <f t="array" ref="L465">lmb_2(F465)</f>
        <v>28856.534967787717</v>
      </c>
      <c r="M465" s="3" cm="1">
        <f t="array" ref="M465">lmb_2(G465)</f>
        <v>4166.4952123258781</v>
      </c>
      <c r="N465" s="3" cm="1">
        <f t="array" ref="N465">lmb_2(H465)</f>
        <v>8.7328072005304502</v>
      </c>
      <c r="O465" s="3" cm="1">
        <f t="array" ref="O465">lmb_2(I465)</f>
        <v>2.8947973176087474</v>
      </c>
      <c r="P465" s="3" cm="1">
        <f t="array" ref="P465">lmb_2(J465)</f>
        <v>0.1318383105384856</v>
      </c>
      <c r="R465" s="3">
        <f t="shared" si="109"/>
        <v>2.2299840435303824E-3</v>
      </c>
      <c r="S465" s="3">
        <f t="shared" si="110"/>
        <v>3.5994616541019995</v>
      </c>
      <c r="T465" s="3">
        <f t="shared" si="111"/>
        <v>153.51760605332433</v>
      </c>
      <c r="U465" s="3">
        <f t="shared" si="101"/>
        <v>1467.7920194448268</v>
      </c>
      <c r="V465" s="3">
        <f t="shared" si="102"/>
        <v>0</v>
      </c>
      <c r="W465" s="3">
        <f t="shared" si="112"/>
        <v>817.9008639485578</v>
      </c>
      <c r="Y465" s="3">
        <f t="shared" si="113"/>
        <v>2442.8121810849752</v>
      </c>
      <c r="AA465" s="3">
        <f t="shared" si="114"/>
        <v>1665.6341249128104</v>
      </c>
      <c r="AB465" s="3">
        <f t="shared" si="115"/>
        <v>-40.812181084975236</v>
      </c>
      <c r="AD465" s="3">
        <f t="shared" si="116"/>
        <v>1.3370023552556704E-5</v>
      </c>
    </row>
    <row r="466" spans="3:30" x14ac:dyDescent="0.25">
      <c r="C466" s="22">
        <v>434</v>
      </c>
      <c r="D466" s="22">
        <v>2477</v>
      </c>
      <c r="F466" s="3">
        <f t="shared" si="103"/>
        <v>29000.288290609918</v>
      </c>
      <c r="G466" s="3">
        <f t="shared" si="104"/>
        <v>4194.115400918954</v>
      </c>
      <c r="H466" s="3">
        <f t="shared" si="105"/>
        <v>10.952500267851317</v>
      </c>
      <c r="I466" s="3">
        <f t="shared" si="106"/>
        <v>3.9741067100530585</v>
      </c>
      <c r="J466" s="3">
        <f t="shared" si="107"/>
        <v>-1.8934539076289103</v>
      </c>
      <c r="K466" s="3">
        <f t="shared" si="108"/>
        <v>1.124436724817454E-10</v>
      </c>
      <c r="L466" s="3" cm="1">
        <f t="array" ref="L466">lmb_2(F466)</f>
        <v>28990.013406714406</v>
      </c>
      <c r="M466" s="3" cm="1">
        <f t="array" ref="M466">lmb_2(G466)</f>
        <v>4185.774957613733</v>
      </c>
      <c r="N466" s="3" cm="1">
        <f t="array" ref="N466">lmb_2(H466)</f>
        <v>8.7800214205132736</v>
      </c>
      <c r="O466" s="3" cm="1">
        <f t="array" ref="O466">lmb_2(I466)</f>
        <v>2.9069889050990105</v>
      </c>
      <c r="P466" s="3" cm="1">
        <f t="array" ref="P466">lmb_2(J466)</f>
        <v>0.1319416432338299</v>
      </c>
      <c r="R466" s="3">
        <f t="shared" si="109"/>
        <v>2.2145994462684881E-3</v>
      </c>
      <c r="S466" s="3">
        <f t="shared" si="110"/>
        <v>3.5746200574691382</v>
      </c>
      <c r="T466" s="3">
        <f t="shared" si="111"/>
        <v>152.30586715355852</v>
      </c>
      <c r="U466" s="3">
        <f t="shared" si="101"/>
        <v>1460.4403614128005</v>
      </c>
      <c r="V466" s="3">
        <f t="shared" si="102"/>
        <v>0</v>
      </c>
      <c r="W466" s="3">
        <f t="shared" si="112"/>
        <v>819.67430705236507</v>
      </c>
      <c r="Y466" s="3">
        <f t="shared" si="113"/>
        <v>2435.997370275752</v>
      </c>
      <c r="AA466" s="3">
        <f t="shared" si="114"/>
        <v>1681.2156443037841</v>
      </c>
      <c r="AB466" s="3">
        <f t="shared" si="115"/>
        <v>41.002629724247981</v>
      </c>
      <c r="AD466" s="3">
        <f t="shared" si="116"/>
        <v>1.3432414307594453E-5</v>
      </c>
    </row>
    <row r="467" spans="3:30" x14ac:dyDescent="0.25">
      <c r="C467" s="22">
        <v>435</v>
      </c>
      <c r="D467" s="22">
        <v>2470</v>
      </c>
      <c r="F467" s="3">
        <f t="shared" si="103"/>
        <v>29134.079263103937</v>
      </c>
      <c r="G467" s="3">
        <f t="shared" si="104"/>
        <v>4213.4442440620051</v>
      </c>
      <c r="H467" s="3">
        <f t="shared" si="105"/>
        <v>11.005227811331022</v>
      </c>
      <c r="I467" s="3">
        <f t="shared" si="106"/>
        <v>3.9905388235550379</v>
      </c>
      <c r="J467" s="3">
        <f t="shared" si="107"/>
        <v>-1.8925650527136428</v>
      </c>
      <c r="K467" s="3">
        <f t="shared" si="108"/>
        <v>1.0444569992831351E-10</v>
      </c>
      <c r="L467" s="3" cm="1">
        <f t="array" ref="L467">lmb_2(F467)</f>
        <v>29123.799775647214</v>
      </c>
      <c r="M467" s="3" cm="1">
        <f t="array" ref="M467">lmb_2(G467)</f>
        <v>4205.0991987649504</v>
      </c>
      <c r="N467" s="3" cm="1">
        <f t="array" ref="N467">lmb_2(H467)</f>
        <v>8.8273706191819503</v>
      </c>
      <c r="O467" s="3" cm="1">
        <f t="array" ref="O467">lmb_2(I467)</f>
        <v>2.91922176249204</v>
      </c>
      <c r="P467" s="3" cm="1">
        <f t="array" ref="P467">lmb_2(J467)</f>
        <v>0.1320452860888329</v>
      </c>
      <c r="R467" s="3">
        <f t="shared" si="109"/>
        <v>2.1993560505869847E-3</v>
      </c>
      <c r="S467" s="3">
        <f t="shared" si="110"/>
        <v>3.5500065321982888</v>
      </c>
      <c r="T467" s="3">
        <f t="shared" si="111"/>
        <v>151.10639573801424</v>
      </c>
      <c r="U467" s="3">
        <f t="shared" si="101"/>
        <v>1453.1216737105103</v>
      </c>
      <c r="V467" s="3">
        <f t="shared" si="102"/>
        <v>0</v>
      </c>
      <c r="W467" s="3">
        <f t="shared" si="112"/>
        <v>821.44775015617245</v>
      </c>
      <c r="Y467" s="3">
        <f t="shared" si="113"/>
        <v>2429.2280254930506</v>
      </c>
      <c r="AA467" s="3">
        <f t="shared" si="114"/>
        <v>1662.353905195331</v>
      </c>
      <c r="AB467" s="3">
        <f t="shared" si="115"/>
        <v>40.771974506949391</v>
      </c>
      <c r="AD467" s="3">
        <f t="shared" si="116"/>
        <v>1.3356851923869327E-5</v>
      </c>
    </row>
    <row r="468" spans="3:30" x14ac:dyDescent="0.25">
      <c r="C468" s="22">
        <v>436</v>
      </c>
      <c r="D468" s="22">
        <v>2375</v>
      </c>
      <c r="F468" s="3">
        <f t="shared" si="103"/>
        <v>29268.17815498231</v>
      </c>
      <c r="G468" s="3">
        <f t="shared" si="104"/>
        <v>4232.8175724597013</v>
      </c>
      <c r="H468" s="3">
        <f t="shared" si="105"/>
        <v>11.058076707039675</v>
      </c>
      <c r="I468" s="3">
        <f t="shared" si="106"/>
        <v>4.0070087555000615</v>
      </c>
      <c r="J468" s="3">
        <f t="shared" si="107"/>
        <v>-1.8916741521023681</v>
      </c>
      <c r="K468" s="3">
        <f t="shared" si="108"/>
        <v>9.7016612787049519E-11</v>
      </c>
      <c r="L468" s="3" cm="1">
        <f t="array" ref="L468">lmb_2(F468)</f>
        <v>29257.894074537366</v>
      </c>
      <c r="M468" s="3" cm="1">
        <f t="array" ref="M468">lmb_2(G468)</f>
        <v>4224.4679357308723</v>
      </c>
      <c r="N468" s="3" cm="1">
        <f t="array" ref="N468">lmb_2(H468)</f>
        <v>8.8748547392235704</v>
      </c>
      <c r="O468" s="3" cm="1">
        <f t="array" ref="O468">lmb_2(I468)</f>
        <v>2.9314959124375677</v>
      </c>
      <c r="P468" s="3" cm="1">
        <f t="array" ref="P468">lmb_2(J468)</f>
        <v>0.13214923963657821</v>
      </c>
      <c r="R468" s="3">
        <f t="shared" si="109"/>
        <v>2.1842522401432011E-3</v>
      </c>
      <c r="S468" s="3">
        <f t="shared" si="110"/>
        <v>3.5256184669020563</v>
      </c>
      <c r="T468" s="3">
        <f t="shared" si="111"/>
        <v>149.91904451107078</v>
      </c>
      <c r="U468" s="3">
        <f t="shared" si="101"/>
        <v>1445.8359441494949</v>
      </c>
      <c r="V468" s="3">
        <f t="shared" si="102"/>
        <v>0</v>
      </c>
      <c r="W468" s="3">
        <f t="shared" si="112"/>
        <v>823.22119325997971</v>
      </c>
      <c r="Y468" s="3">
        <f t="shared" si="113"/>
        <v>2422.5039846397844</v>
      </c>
      <c r="AA468" s="3">
        <f t="shared" si="114"/>
        <v>2256.6285566568768</v>
      </c>
      <c r="AB468" s="3">
        <f t="shared" si="115"/>
        <v>-47.503984639784449</v>
      </c>
      <c r="AD468" s="3">
        <f t="shared" si="116"/>
        <v>1.5562250695492212E-5</v>
      </c>
    </row>
    <row r="469" spans="3:30" x14ac:dyDescent="0.25">
      <c r="C469" s="22">
        <v>437</v>
      </c>
      <c r="D469" s="22">
        <v>2492</v>
      </c>
      <c r="F469" s="3">
        <f t="shared" si="103"/>
        <v>29402.584966245009</v>
      </c>
      <c r="G469" s="3">
        <f t="shared" si="104"/>
        <v>4252.2353861120409</v>
      </c>
      <c r="H469" s="3">
        <f t="shared" si="105"/>
        <v>11.111046954977283</v>
      </c>
      <c r="I469" s="3">
        <f t="shared" si="106"/>
        <v>4.0235165058881277</v>
      </c>
      <c r="J469" s="3">
        <f t="shared" si="107"/>
        <v>-1.8907812057950857</v>
      </c>
      <c r="K469" s="3">
        <f t="shared" si="108"/>
        <v>9.0115946976585891E-11</v>
      </c>
      <c r="L469" s="3" cm="1">
        <f t="array" ref="L469">lmb_2(F469)</f>
        <v>29392.296303336378</v>
      </c>
      <c r="M469" s="3" cm="1">
        <f t="array" ref="M469">lmb_2(G469)</f>
        <v>4243.881168463171</v>
      </c>
      <c r="N469" s="3" cm="1">
        <f t="array" ref="N469">lmb_2(H469)</f>
        <v>8.9224737235629643</v>
      </c>
      <c r="O469" s="3" cm="1">
        <f t="array" ref="O469">lmb_2(I469)</f>
        <v>2.9438113772885641</v>
      </c>
      <c r="P469" s="3" cm="1">
        <f t="array" ref="P469">lmb_2(J469)</f>
        <v>0.132253504411802</v>
      </c>
      <c r="R469" s="3">
        <f t="shared" si="109"/>
        <v>2.1692864207478232E-3</v>
      </c>
      <c r="S469" s="3">
        <f t="shared" si="110"/>
        <v>3.5014532859897947</v>
      </c>
      <c r="T469" s="3">
        <f t="shared" si="111"/>
        <v>148.74366815807662</v>
      </c>
      <c r="U469" s="3">
        <f t="shared" si="101"/>
        <v>1438.5831576909411</v>
      </c>
      <c r="V469" s="3">
        <f t="shared" si="102"/>
        <v>0</v>
      </c>
      <c r="W469" s="3">
        <f t="shared" si="112"/>
        <v>824.99463636378698</v>
      </c>
      <c r="Y469" s="3">
        <f t="shared" si="113"/>
        <v>2415.8250847853051</v>
      </c>
      <c r="AA469" s="3">
        <f t="shared" si="114"/>
        <v>5802.6177079659592</v>
      </c>
      <c r="AB469" s="3">
        <f t="shared" si="115"/>
        <v>76.17491521469492</v>
      </c>
      <c r="AD469" s="3">
        <f t="shared" si="116"/>
        <v>2.4954814554359146E-5</v>
      </c>
    </row>
    <row r="470" spans="3:30" x14ac:dyDescent="0.25">
      <c r="C470" s="22">
        <v>438</v>
      </c>
      <c r="D470" s="22">
        <v>2446</v>
      </c>
      <c r="F470" s="3">
        <f t="shared" si="103"/>
        <v>29537.299696892042</v>
      </c>
      <c r="G470" s="3">
        <f t="shared" si="104"/>
        <v>4271.6976850190258</v>
      </c>
      <c r="H470" s="3">
        <f t="shared" si="105"/>
        <v>11.164138555143841</v>
      </c>
      <c r="I470" s="3">
        <f t="shared" si="106"/>
        <v>4.040062074719236</v>
      </c>
      <c r="J470" s="3">
        <f t="shared" si="107"/>
        <v>-1.8898862137917958</v>
      </c>
      <c r="K470" s="3">
        <f t="shared" si="108"/>
        <v>8.3706116573169765E-11</v>
      </c>
      <c r="L470" s="3" cm="1">
        <f t="array" ref="L470">lmb_2(F470)</f>
        <v>29527.006461996134</v>
      </c>
      <c r="M470" s="3" cm="1">
        <f t="array" ref="M470">lmb_2(G470)</f>
        <v>4263.3388969138541</v>
      </c>
      <c r="N470" s="3" cm="1">
        <f t="array" ref="N470">lmb_2(H470)</f>
        <v>8.9702275153632236</v>
      </c>
      <c r="O470" s="3" cm="1">
        <f t="array" ref="O470">lmb_2(I470)</f>
        <v>2.9561681791031345</v>
      </c>
      <c r="P470" s="3" cm="1">
        <f t="array" ref="P470">lmb_2(J470)</f>
        <v>0.13235808095089549</v>
      </c>
      <c r="R470" s="3">
        <f t="shared" si="109"/>
        <v>2.1544570200114411E-3</v>
      </c>
      <c r="S470" s="3">
        <f t="shared" si="110"/>
        <v>3.4775084490964532</v>
      </c>
      <c r="T470" s="3">
        <f t="shared" si="111"/>
        <v>147.58012331707917</v>
      </c>
      <c r="U470" s="3">
        <f t="shared" si="101"/>
        <v>1431.3632964986618</v>
      </c>
      <c r="V470" s="3">
        <f t="shared" si="102"/>
        <v>0</v>
      </c>
      <c r="W470" s="3">
        <f t="shared" si="112"/>
        <v>826.76807946759425</v>
      </c>
      <c r="Y470" s="3">
        <f t="shared" si="113"/>
        <v>2409.1911621895356</v>
      </c>
      <c r="AA470" s="3">
        <f t="shared" si="114"/>
        <v>1354.8905409570743</v>
      </c>
      <c r="AB470" s="3">
        <f t="shared" si="115"/>
        <v>36.808837810464411</v>
      </c>
      <c r="AD470" s="3">
        <f t="shared" si="116"/>
        <v>1.2058532903288658E-5</v>
      </c>
    </row>
    <row r="471" spans="3:30" x14ac:dyDescent="0.25">
      <c r="C471" s="22">
        <v>439</v>
      </c>
      <c r="D471" s="22">
        <v>2348</v>
      </c>
      <c r="F471" s="3">
        <f t="shared" si="103"/>
        <v>29672.322346923414</v>
      </c>
      <c r="G471" s="3">
        <f t="shared" si="104"/>
        <v>4291.2044691806559</v>
      </c>
      <c r="H471" s="3">
        <f t="shared" si="105"/>
        <v>11.217351507539355</v>
      </c>
      <c r="I471" s="3">
        <f t="shared" si="106"/>
        <v>4.0566454619933872</v>
      </c>
      <c r="J471" s="3">
        <f t="shared" si="107"/>
        <v>-1.8889891760924984</v>
      </c>
      <c r="K471" s="3">
        <f t="shared" si="108"/>
        <v>7.7752209091046147E-11</v>
      </c>
      <c r="L471" s="3" cm="1">
        <f t="array" ref="L471">lmb_2(F471)</f>
        <v>29662.024550468839</v>
      </c>
      <c r="M471" s="3" cm="1">
        <f t="array" ref="M471">lmb_2(G471)</f>
        <v>4282.8411210352551</v>
      </c>
      <c r="N471" s="3" cm="1">
        <f t="array" ref="N471">lmb_2(H471)</f>
        <v>9.018116058026223</v>
      </c>
      <c r="O471" s="3" cm="1">
        <f t="array" ref="O471">lmb_2(I471)</f>
        <v>2.9685663396464168</v>
      </c>
      <c r="P471" s="3" cm="1">
        <f t="array" ref="P471">lmb_2(J471)</f>
        <v>0.1324629697919085</v>
      </c>
      <c r="R471" s="3">
        <f t="shared" si="109"/>
        <v>2.1397624869975347E-3</v>
      </c>
      <c r="S471" s="3">
        <f t="shared" si="110"/>
        <v>3.4537814505218263</v>
      </c>
      <c r="T471" s="3">
        <f t="shared" si="111"/>
        <v>146.42826855095083</v>
      </c>
      <c r="U471" s="3">
        <f t="shared" si="101"/>
        <v>1424.1763399915276</v>
      </c>
      <c r="V471" s="3">
        <f t="shared" si="102"/>
        <v>0</v>
      </c>
      <c r="W471" s="3">
        <f t="shared" si="112"/>
        <v>828.54152257140152</v>
      </c>
      <c r="Y471" s="3">
        <f t="shared" si="113"/>
        <v>2402.6020523269667</v>
      </c>
      <c r="AA471" s="3">
        <f t="shared" si="114"/>
        <v>2981.3841183168111</v>
      </c>
      <c r="AB471" s="3">
        <f t="shared" si="115"/>
        <v>-54.602052326966714</v>
      </c>
      <c r="AD471" s="3">
        <f t="shared" si="116"/>
        <v>1.788756950062233E-5</v>
      </c>
    </row>
    <row r="472" spans="3:30" x14ac:dyDescent="0.25">
      <c r="C472" s="22">
        <v>440</v>
      </c>
      <c r="D472" s="22">
        <v>2457</v>
      </c>
      <c r="F472" s="3">
        <f t="shared" si="103"/>
        <v>29807.652916339113</v>
      </c>
      <c r="G472" s="3">
        <f t="shared" si="104"/>
        <v>4310.7557385969303</v>
      </c>
      <c r="H472" s="3">
        <f t="shared" si="105"/>
        <v>11.270685812163819</v>
      </c>
      <c r="I472" s="3">
        <f t="shared" si="106"/>
        <v>4.0732666677105795</v>
      </c>
      <c r="J472" s="3">
        <f t="shared" si="107"/>
        <v>-1.8880900926971933</v>
      </c>
      <c r="K472" s="3">
        <f t="shared" si="108"/>
        <v>7.2221795324279156E-11</v>
      </c>
      <c r="L472" s="3" cm="1">
        <f t="array" ref="L472">lmb_2(F472)</f>
        <v>29797.350568707017</v>
      </c>
      <c r="M472" s="3" cm="1">
        <f t="array" ref="M472">lmb_2(G472)</f>
        <v>4302.3878407800312</v>
      </c>
      <c r="N472" s="3" cm="1">
        <f t="array" ref="N472">lmb_2(H472)</f>
        <v>9.0661392951930395</v>
      </c>
      <c r="O472" s="3" cm="1">
        <f t="array" ref="O472">lmb_2(I472)</f>
        <v>2.9810058803924786</v>
      </c>
      <c r="P472" s="3" cm="1">
        <f t="array" ref="P472">lmb_2(J472)</f>
        <v>0.13256817147455188</v>
      </c>
      <c r="R472" s="3">
        <f t="shared" si="109"/>
        <v>2.1252012918817577E-3</v>
      </c>
      <c r="S472" s="3">
        <f t="shared" si="110"/>
        <v>3.4302698186799794</v>
      </c>
      <c r="T472" s="3">
        <f t="shared" si="111"/>
        <v>145.28796431990992</v>
      </c>
      <c r="U472" s="3">
        <f t="shared" si="101"/>
        <v>1417.0222648953527</v>
      </c>
      <c r="V472" s="3">
        <f t="shared" si="102"/>
        <v>0</v>
      </c>
      <c r="W472" s="3">
        <f t="shared" si="112"/>
        <v>830.3149656752089</v>
      </c>
      <c r="Y472" s="3">
        <f t="shared" si="113"/>
        <v>2396.0575899105156</v>
      </c>
      <c r="AA472" s="3">
        <f t="shared" si="114"/>
        <v>3713.9773475148882</v>
      </c>
      <c r="AB472" s="3">
        <f t="shared" si="115"/>
        <v>60.942410089484383</v>
      </c>
      <c r="AD472" s="3">
        <f t="shared" si="116"/>
        <v>1.9964663406483313E-5</v>
      </c>
    </row>
    <row r="473" spans="3:30" x14ac:dyDescent="0.25">
      <c r="C473" s="22">
        <v>441</v>
      </c>
      <c r="D473" s="22">
        <v>2463</v>
      </c>
      <c r="F473" s="3">
        <f t="shared" si="103"/>
        <v>29943.291405139167</v>
      </c>
      <c r="G473" s="3">
        <f t="shared" si="104"/>
        <v>4330.351493267849</v>
      </c>
      <c r="H473" s="3">
        <f t="shared" si="105"/>
        <v>11.324141469017235</v>
      </c>
      <c r="I473" s="3">
        <f t="shared" si="106"/>
        <v>4.0899256918708158</v>
      </c>
      <c r="J473" s="3">
        <f t="shared" si="107"/>
        <v>-1.887188963605881</v>
      </c>
      <c r="K473" s="3">
        <f t="shared" si="108"/>
        <v>6.7084752714283157E-11</v>
      </c>
      <c r="L473" s="3" cm="1">
        <f t="array" ref="L473">lmb_2(F473)</f>
        <v>29932.984516663542</v>
      </c>
      <c r="M473" s="3" cm="1">
        <f t="array" ref="M473">lmb_2(G473)</f>
        <v>4321.9790561011623</v>
      </c>
      <c r="N473" s="3" cm="1">
        <f t="array" ref="N473">lmb_2(H473)</f>
        <v>9.1142971707443721</v>
      </c>
      <c r="O473" s="3" cm="1">
        <f t="array" ref="O473">lmb_2(I473)</f>
        <v>2.9934868225262234</v>
      </c>
      <c r="P473" s="3" cm="1">
        <f t="array" ref="P473">lmb_2(J473)</f>
        <v>0.13267368654020076</v>
      </c>
      <c r="R473" s="3">
        <f t="shared" si="109"/>
        <v>2.1107719256173883E-3</v>
      </c>
      <c r="S473" s="3">
        <f t="shared" si="110"/>
        <v>3.4069711155586413</v>
      </c>
      <c r="T473" s="3">
        <f t="shared" si="111"/>
        <v>144.15907295442784</v>
      </c>
      <c r="U473" s="3">
        <f t="shared" si="101"/>
        <v>1409.9010452942264</v>
      </c>
      <c r="V473" s="3">
        <f t="shared" si="102"/>
        <v>0</v>
      </c>
      <c r="W473" s="3">
        <f t="shared" si="112"/>
        <v>832.08840877901616</v>
      </c>
      <c r="Y473" s="3">
        <f t="shared" si="113"/>
        <v>2389.5576089152219</v>
      </c>
      <c r="AA473" s="3">
        <f t="shared" si="114"/>
        <v>5393.7848082494993</v>
      </c>
      <c r="AB473" s="3">
        <f t="shared" si="115"/>
        <v>73.442391084778137</v>
      </c>
      <c r="AD473" s="3">
        <f t="shared" si="116"/>
        <v>2.4059642794269934E-5</v>
      </c>
    </row>
    <row r="474" spans="3:30" x14ac:dyDescent="0.25">
      <c r="C474" s="22">
        <v>442</v>
      </c>
      <c r="D474" s="22">
        <v>2297</v>
      </c>
      <c r="F474" s="3">
        <f t="shared" si="103"/>
        <v>30079.23781332354</v>
      </c>
      <c r="G474" s="3">
        <f t="shared" si="104"/>
        <v>4349.9917331934121</v>
      </c>
      <c r="H474" s="3">
        <f t="shared" si="105"/>
        <v>11.377718478099604</v>
      </c>
      <c r="I474" s="3">
        <f t="shared" si="106"/>
        <v>4.106622534474095</v>
      </c>
      <c r="J474" s="3">
        <f t="shared" si="107"/>
        <v>-1.8862857888185609</v>
      </c>
      <c r="K474" s="3">
        <f t="shared" si="108"/>
        <v>6.2313101280987027E-11</v>
      </c>
      <c r="L474" s="3" cm="1">
        <f t="array" ref="L474">lmb_2(F474)</f>
        <v>30068.92639429156</v>
      </c>
      <c r="M474" s="3" cm="1">
        <f t="array" ref="M474">lmb_2(G474)</f>
        <v>4341.6147669519469</v>
      </c>
      <c r="N474" s="3" cm="1">
        <f t="array" ref="N474">lmb_2(H474)</f>
        <v>9.1625896288008857</v>
      </c>
      <c r="O474" s="3" cm="1">
        <f t="array" ref="O474">lmb_2(I474)</f>
        <v>3.006009186945291</v>
      </c>
      <c r="P474" s="3" cm="1">
        <f t="array" ref="P474">lmb_2(J474)</f>
        <v>0.1327795155318974</v>
      </c>
      <c r="R474" s="3">
        <f t="shared" si="109"/>
        <v>2.0964728996068333E-3</v>
      </c>
      <c r="S474" s="3">
        <f t="shared" si="110"/>
        <v>3.3838829361883653</v>
      </c>
      <c r="T474" s="3">
        <f t="shared" si="111"/>
        <v>143.0414586285217</v>
      </c>
      <c r="U474" s="3">
        <f t="shared" si="101"/>
        <v>1402.8126526813003</v>
      </c>
      <c r="V474" s="3">
        <f t="shared" si="102"/>
        <v>0</v>
      </c>
      <c r="W474" s="3">
        <f t="shared" si="112"/>
        <v>833.86185188282343</v>
      </c>
      <c r="Y474" s="3">
        <f t="shared" si="113"/>
        <v>2383.1019426017956</v>
      </c>
      <c r="AA474" s="3">
        <f t="shared" si="114"/>
        <v>7413.5445198029038</v>
      </c>
      <c r="AB474" s="3">
        <f t="shared" si="115"/>
        <v>-86.101942601795599</v>
      </c>
      <c r="AD474" s="3">
        <f t="shared" si="116"/>
        <v>2.8206897301322977E-5</v>
      </c>
    </row>
    <row r="475" spans="3:30" x14ac:dyDescent="0.25">
      <c r="C475" s="22">
        <v>443</v>
      </c>
      <c r="D475" s="22">
        <v>2427</v>
      </c>
      <c r="F475" s="3">
        <f t="shared" si="103"/>
        <v>30215.492140892256</v>
      </c>
      <c r="G475" s="3">
        <f t="shared" si="104"/>
        <v>4369.6764583736194</v>
      </c>
      <c r="H475" s="3">
        <f t="shared" si="105"/>
        <v>11.431416839410923</v>
      </c>
      <c r="I475" s="3">
        <f t="shared" si="106"/>
        <v>4.1233571955204162</v>
      </c>
      <c r="J475" s="3">
        <f t="shared" si="107"/>
        <v>-1.8853805683352334</v>
      </c>
      <c r="K475" s="3">
        <f t="shared" si="108"/>
        <v>5.7880851224004353E-11</v>
      </c>
      <c r="L475" s="3" cm="1">
        <f t="array" ref="L475">lmb_2(F475)</f>
        <v>30205.176201544582</v>
      </c>
      <c r="M475" s="3" cm="1">
        <f t="array" ref="M475">lmb_2(G475)</f>
        <v>4361.2949732860006</v>
      </c>
      <c r="N475" s="3" cm="1">
        <f t="array" ref="N475">lmb_2(H475)</f>
        <v>9.2110166137235172</v>
      </c>
      <c r="O475" s="3" cm="1">
        <f t="array" ref="O475">lmb_2(I475)</f>
        <v>3.0185729942619659</v>
      </c>
      <c r="P475" s="3" cm="1">
        <f t="array" ref="P475">lmb_2(J475)</f>
        <v>0.13288565899435423</v>
      </c>
      <c r="R475" s="3">
        <f t="shared" si="109"/>
        <v>2.0823027453790422E-3</v>
      </c>
      <c r="S475" s="3">
        <f t="shared" si="110"/>
        <v>3.3610029081212582</v>
      </c>
      <c r="T475" s="3">
        <f t="shared" si="111"/>
        <v>141.93498733342506</v>
      </c>
      <c r="U475" s="3">
        <f t="shared" si="101"/>
        <v>1395.7570560090217</v>
      </c>
      <c r="V475" s="3">
        <f t="shared" si="102"/>
        <v>0</v>
      </c>
      <c r="W475" s="3">
        <f t="shared" si="112"/>
        <v>835.6352949866307</v>
      </c>
      <c r="Y475" s="3">
        <f t="shared" si="113"/>
        <v>2376.690423540002</v>
      </c>
      <c r="AA475" s="3">
        <f t="shared" si="114"/>
        <v>2531.0534835843819</v>
      </c>
      <c r="AB475" s="3">
        <f t="shared" si="115"/>
        <v>50.30957645999797</v>
      </c>
      <c r="AD475" s="3">
        <f t="shared" si="116"/>
        <v>1.6481359346828776E-5</v>
      </c>
    </row>
    <row r="476" spans="3:30" x14ac:dyDescent="0.25">
      <c r="C476" s="22">
        <v>444</v>
      </c>
      <c r="D476" s="22">
        <v>2305</v>
      </c>
      <c r="F476" s="3">
        <f t="shared" si="103"/>
        <v>30352.054387845299</v>
      </c>
      <c r="G476" s="3">
        <f t="shared" si="104"/>
        <v>4389.405668808472</v>
      </c>
      <c r="H476" s="3">
        <f t="shared" si="105"/>
        <v>11.485236552951195</v>
      </c>
      <c r="I476" s="3">
        <f t="shared" si="106"/>
        <v>4.1401296750097796</v>
      </c>
      <c r="J476" s="3">
        <f t="shared" si="107"/>
        <v>-1.8844733021558984</v>
      </c>
      <c r="K476" s="3">
        <f t="shared" si="108"/>
        <v>5.3763861363734408E-11</v>
      </c>
      <c r="L476" s="3" cm="1">
        <f t="array" ref="L476">lmb_2(F476)</f>
        <v>30341.733938376394</v>
      </c>
      <c r="M476" s="3" cm="1">
        <f t="array" ref="M476">lmb_2(G476)</f>
        <v>4381.0196750572513</v>
      </c>
      <c r="N476" s="3" cm="1">
        <f t="array" ref="N476">lmb_2(H476)</f>
        <v>9.2595780701137453</v>
      </c>
      <c r="O476" s="3" cm="1">
        <f t="array" ref="O476">lmb_2(I476)</f>
        <v>3.0311782648050887</v>
      </c>
      <c r="P476" s="3" cm="1">
        <f t="array" ref="P476">lmb_2(J476)</f>
        <v>0.13299211747395676</v>
      </c>
      <c r="R476" s="3">
        <f t="shared" si="109"/>
        <v>2.0682600142727359E-3</v>
      </c>
      <c r="S476" s="3">
        <f t="shared" si="110"/>
        <v>3.3383286909191003</v>
      </c>
      <c r="T476" s="3">
        <f t="shared" si="111"/>
        <v>140.83952685163374</v>
      </c>
      <c r="U476" s="3">
        <f t="shared" si="101"/>
        <v>1388.7342217388166</v>
      </c>
      <c r="V476" s="3">
        <f t="shared" si="102"/>
        <v>0</v>
      </c>
      <c r="W476" s="3">
        <f t="shared" si="112"/>
        <v>837.40873809043808</v>
      </c>
      <c r="Y476" s="3">
        <f t="shared" si="113"/>
        <v>2370.3228836318754</v>
      </c>
      <c r="AA476" s="3">
        <f t="shared" si="114"/>
        <v>4267.0791259835296</v>
      </c>
      <c r="AB476" s="3">
        <f t="shared" si="115"/>
        <v>-65.322883631875357</v>
      </c>
      <c r="AD476" s="3">
        <f t="shared" si="116"/>
        <v>2.1399701497468356E-5</v>
      </c>
    </row>
    <row r="477" spans="3:30" x14ac:dyDescent="0.25">
      <c r="C477" s="22">
        <v>445</v>
      </c>
      <c r="D477" s="22">
        <v>2392</v>
      </c>
      <c r="F477" s="3">
        <f t="shared" si="103"/>
        <v>30488.924554182693</v>
      </c>
      <c r="G477" s="3">
        <f t="shared" si="104"/>
        <v>4409.1793644979689</v>
      </c>
      <c r="H477" s="3">
        <f t="shared" si="105"/>
        <v>11.539177618720419</v>
      </c>
      <c r="I477" s="3">
        <f t="shared" si="106"/>
        <v>4.156939972942185</v>
      </c>
      <c r="J477" s="3">
        <f t="shared" si="107"/>
        <v>-1.8835639902805559</v>
      </c>
      <c r="K477" s="3">
        <f t="shared" si="108"/>
        <v>4.9939707651363674E-11</v>
      </c>
      <c r="L477" s="3" cm="1">
        <f t="array" ref="L477">lmb_2(F477)</f>
        <v>30478.599604741146</v>
      </c>
      <c r="M477" s="3" cm="1">
        <f t="array" ref="M477">lmb_2(G477)</f>
        <v>4400.7888722199377</v>
      </c>
      <c r="N477" s="3" cm="1">
        <f t="array" ref="N477">lmb_2(H477)</f>
        <v>9.3082739428138179</v>
      </c>
      <c r="O477" s="3" cm="1">
        <f t="array" ref="O477">lmb_2(I477)</f>
        <v>3.0438250186219653</v>
      </c>
      <c r="P477" s="3" cm="1">
        <f t="array" ref="P477">lmb_2(J477)</f>
        <v>0.13309889151876658</v>
      </c>
      <c r="R477" s="3">
        <f t="shared" si="109"/>
        <v>2.054343277125309E-3</v>
      </c>
      <c r="S477" s="3">
        <f t="shared" si="110"/>
        <v>3.3158579756506255</v>
      </c>
      <c r="T477" s="3">
        <f t="shared" si="111"/>
        <v>139.75494673132101</v>
      </c>
      <c r="U477" s="3">
        <f t="shared" si="101"/>
        <v>1381.7441138902286</v>
      </c>
      <c r="V477" s="3">
        <f t="shared" si="102"/>
        <v>0</v>
      </c>
      <c r="W477" s="3">
        <f t="shared" si="112"/>
        <v>839.18218119424535</v>
      </c>
      <c r="Y477" s="3">
        <f t="shared" si="113"/>
        <v>2363.9991541347727</v>
      </c>
      <c r="AA477" s="3">
        <f t="shared" si="114"/>
        <v>784.04736916821946</v>
      </c>
      <c r="AB477" s="3">
        <f t="shared" si="115"/>
        <v>28.000845865227348</v>
      </c>
      <c r="AD477" s="3">
        <f t="shared" si="116"/>
        <v>9.1730448791775669E-6</v>
      </c>
    </row>
    <row r="478" spans="3:30" x14ac:dyDescent="0.25">
      <c r="C478" s="22">
        <v>446</v>
      </c>
      <c r="D478" s="22">
        <v>2305</v>
      </c>
      <c r="F478" s="3">
        <f t="shared" si="103"/>
        <v>30626.102639904424</v>
      </c>
      <c r="G478" s="3">
        <f t="shared" si="104"/>
        <v>4428.997545442111</v>
      </c>
      <c r="H478" s="3">
        <f t="shared" si="105"/>
        <v>11.593240036718598</v>
      </c>
      <c r="I478" s="3">
        <f t="shared" si="106"/>
        <v>4.1737880893176342</v>
      </c>
      <c r="J478" s="3">
        <f t="shared" si="107"/>
        <v>-1.8826526327092057</v>
      </c>
      <c r="K478" s="3">
        <f t="shared" si="108"/>
        <v>4.6387561031580672E-11</v>
      </c>
      <c r="L478" s="3" cm="1">
        <f t="array" ref="L478">lmb_2(F478)</f>
        <v>30615.773200593245</v>
      </c>
      <c r="M478" s="3" cm="1">
        <f t="array" ref="M478">lmb_2(G478)</f>
        <v>4420.6025647286051</v>
      </c>
      <c r="N478" s="3" cm="1">
        <f t="array" ref="N478">lmb_2(H478)</f>
        <v>9.3571041769069208</v>
      </c>
      <c r="O478" s="3" cm="1">
        <f t="array" ref="O478">lmb_2(I478)</f>
        <v>3.0565132754802797</v>
      </c>
      <c r="P478" s="3" cm="1">
        <f t="array" ref="P478">lmb_2(J478)</f>
        <v>0.13320598167852443</v>
      </c>
      <c r="R478" s="3">
        <f t="shared" si="109"/>
        <v>2.0405511239673236E-3</v>
      </c>
      <c r="S478" s="3">
        <f t="shared" si="110"/>
        <v>3.2935884843978287</v>
      </c>
      <c r="T478" s="3">
        <f t="shared" si="111"/>
        <v>138.68111826111902</v>
      </c>
      <c r="U478" s="3">
        <f t="shared" si="101"/>
        <v>1374.7866940895049</v>
      </c>
      <c r="V478" s="3">
        <f t="shared" si="102"/>
        <v>0</v>
      </c>
      <c r="W478" s="3">
        <f t="shared" si="112"/>
        <v>840.95562429805261</v>
      </c>
      <c r="Y478" s="3">
        <f t="shared" si="113"/>
        <v>2357.7190656842445</v>
      </c>
      <c r="AA478" s="3">
        <f t="shared" si="114"/>
        <v>2779.2998866196826</v>
      </c>
      <c r="AB478" s="3">
        <f t="shared" si="115"/>
        <v>-52.71906568424447</v>
      </c>
      <c r="AD478" s="3">
        <f t="shared" si="116"/>
        <v>1.7270705243602397E-5</v>
      </c>
    </row>
    <row r="479" spans="3:30" x14ac:dyDescent="0.25">
      <c r="C479" s="22">
        <v>447</v>
      </c>
      <c r="D479" s="22">
        <v>2425</v>
      </c>
      <c r="F479" s="3">
        <f t="shared" si="103"/>
        <v>30763.588645010477</v>
      </c>
      <c r="G479" s="3">
        <f t="shared" si="104"/>
        <v>4448.8602116408965</v>
      </c>
      <c r="H479" s="3">
        <f t="shared" si="105"/>
        <v>11.647423806945728</v>
      </c>
      <c r="I479" s="3">
        <f t="shared" si="106"/>
        <v>4.1906740241361247</v>
      </c>
      <c r="J479" s="3">
        <f t="shared" si="107"/>
        <v>-1.8817392294418482</v>
      </c>
      <c r="K479" s="3">
        <f t="shared" si="108"/>
        <v>4.3088073992757526E-11</v>
      </c>
      <c r="L479" s="3" cm="1">
        <f t="array" ref="L479">lmb_2(F479)</f>
        <v>30753.254725887415</v>
      </c>
      <c r="M479" s="3" cm="1">
        <f t="array" ref="M479">lmb_2(G479)</f>
        <v>4440.4607525381043</v>
      </c>
      <c r="N479" s="3" cm="1">
        <f t="array" ref="N479">lmb_2(H479)</f>
        <v>9.4060687177173303</v>
      </c>
      <c r="O479" s="3" cm="1">
        <f t="array" ref="O479">lmb_2(I479)</f>
        <v>3.0692430548700043</v>
      </c>
      <c r="P479" s="3" cm="1">
        <f t="array" ref="P479">lmb_2(J479)</f>
        <v>0.13331338850465299</v>
      </c>
      <c r="R479" s="3">
        <f t="shared" si="109"/>
        <v>2.0268821637224373E-3</v>
      </c>
      <c r="S479" s="3">
        <f t="shared" si="110"/>
        <v>3.2715179697710819</v>
      </c>
      <c r="T479" s="3">
        <f t="shared" si="111"/>
        <v>137.61791444526054</v>
      </c>
      <c r="U479" s="3">
        <f t="shared" si="101"/>
        <v>1367.8619216176385</v>
      </c>
      <c r="V479" s="3">
        <f t="shared" si="102"/>
        <v>0</v>
      </c>
      <c r="W479" s="3">
        <f t="shared" si="112"/>
        <v>842.72906740185988</v>
      </c>
      <c r="Y479" s="3">
        <f t="shared" si="113"/>
        <v>2351.4824483167367</v>
      </c>
      <c r="AA479" s="3">
        <f t="shared" si="114"/>
        <v>5404.830405501285</v>
      </c>
      <c r="AB479" s="3">
        <f t="shared" si="115"/>
        <v>73.517551683263264</v>
      </c>
      <c r="AD479" s="3">
        <f t="shared" si="116"/>
        <v>2.4084265319831069E-5</v>
      </c>
    </row>
    <row r="480" spans="3:30" x14ac:dyDescent="0.25">
      <c r="C480" s="22">
        <v>448</v>
      </c>
      <c r="D480" s="22">
        <v>2336</v>
      </c>
      <c r="F480" s="3">
        <f t="shared" si="103"/>
        <v>30901.382569500878</v>
      </c>
      <c r="G480" s="3">
        <f t="shared" si="104"/>
        <v>4468.7673630943273</v>
      </c>
      <c r="H480" s="3">
        <f t="shared" si="105"/>
        <v>11.70172892940181</v>
      </c>
      <c r="I480" s="3">
        <f t="shared" si="106"/>
        <v>4.2075977773976589</v>
      </c>
      <c r="J480" s="3">
        <f t="shared" si="107"/>
        <v>-1.8808237804784831</v>
      </c>
      <c r="K480" s="3">
        <f t="shared" si="108"/>
        <v>4.0023275186668509E-11</v>
      </c>
      <c r="L480" s="3" cm="1">
        <f t="array" ref="L480">lmb_2(F480)</f>
        <v>30891.044180578712</v>
      </c>
      <c r="M480" s="3" cm="1">
        <f t="array" ref="M480">lmb_2(G480)</f>
        <v>4460.36343560359</v>
      </c>
      <c r="N480" s="3" cm="1">
        <f t="array" ref="N480">lmb_2(H480)</f>
        <v>9.4551675108105151</v>
      </c>
      <c r="O480" s="3" cm="1">
        <f t="array" ref="O480">lmb_2(I480)</f>
        <v>3.0820143760053189</v>
      </c>
      <c r="P480" s="3" cm="1">
        <f t="array" ref="P480">lmb_2(J480)</f>
        <v>0.1334211125502601</v>
      </c>
      <c r="R480" s="3">
        <f t="shared" si="109"/>
        <v>2.0133350239126932E-3</v>
      </c>
      <c r="S480" s="3">
        <f t="shared" si="110"/>
        <v>3.2496442144328888</v>
      </c>
      <c r="T480" s="3">
        <f t="shared" si="111"/>
        <v>136.56520997907717</v>
      </c>
      <c r="U480" s="3">
        <f t="shared" ref="U480:U531" si="117">$I$18*(C480/$I$19)*($O$28+$O$28^2)/(O480+O480^2)</f>
        <v>1360.9697534578572</v>
      </c>
      <c r="V480" s="3">
        <f t="shared" ref="V480:V531" si="118">$J$18*(C480/$J$19)*($P$28+$P$28^2)/(P480+P480^2)</f>
        <v>0</v>
      </c>
      <c r="W480" s="3">
        <f t="shared" si="112"/>
        <v>844.50251050566726</v>
      </c>
      <c r="Y480" s="3">
        <f t="shared" si="113"/>
        <v>2345.2891314920985</v>
      </c>
      <c r="AA480" s="3">
        <f t="shared" si="114"/>
        <v>86.28796387749567</v>
      </c>
      <c r="AB480" s="3">
        <f t="shared" si="115"/>
        <v>-9.2891314920984769</v>
      </c>
      <c r="AD480" s="3">
        <f t="shared" si="116"/>
        <v>3.0431087859177129E-6</v>
      </c>
    </row>
    <row r="481" spans="3:30" x14ac:dyDescent="0.25">
      <c r="C481" s="22">
        <v>449</v>
      </c>
      <c r="D481" s="22">
        <v>2349</v>
      </c>
      <c r="F481" s="3">
        <f t="shared" ref="F481:F531" si="119">$F$20/(1-$F$20)-LN((1-$F$20)/$F$20)+(C481/$F$19)^2/((1-$F$20)*(1+0.534156*$F$20^0.7917))</f>
        <v>31039.484413375601</v>
      </c>
      <c r="G481" s="3">
        <f t="shared" ref="G481:G531" si="120">$G$20/(1-$G$20)-LN((1-$G$20)/$G$20)+(C481/$G$19)^2/((1-$G$20)*(1+0.534156*$G$20^0.7917))</f>
        <v>4488.7189998024023</v>
      </c>
      <c r="H481" s="3">
        <f t="shared" ref="H481:H531" si="121">$H$20/(1-$H$20)-LN((1-$H$20)/$H$20)+(C481/$H$19)^2/((1-$H$20)*(1+0.534156*$H$20^0.7917))</f>
        <v>11.75615540408684</v>
      </c>
      <c r="I481" s="3">
        <f t="shared" ref="I481:I531" si="122">$I$20/(1-$I$20)-LN((1-$I$20)/$I$20)+(C481/$I$19)^2/((1-$I$20)*(1+0.534156*$I$20^0.7917))</f>
        <v>4.2245593491022362</v>
      </c>
      <c r="J481" s="3">
        <f t="shared" ref="J481:J531" si="123">$J$20/(1-$J$20)-LN((1-$J$20)/$J$20)+(C481/$J$19)^2/((1-$J$20)*(1+0.534156*$J$20^0.7917))</f>
        <v>-1.8799062858191105</v>
      </c>
      <c r="K481" s="3">
        <f t="shared" ref="K481:K531" si="124">$K$18*EXP(-$K$20*C481)</f>
        <v>3.7176471543774388E-11</v>
      </c>
      <c r="L481" s="3" cm="1">
        <f t="array" ref="L481">lmb_2(F481)</f>
        <v>31029.141564622456</v>
      </c>
      <c r="M481" s="3" cm="1">
        <f t="array" ref="M481">lmb_2(G481)</f>
        <v>4480.3106138805133</v>
      </c>
      <c r="N481" s="3" cm="1">
        <f t="array" ref="N481">lmb_2(H481)</f>
        <v>9.5044005019931941</v>
      </c>
      <c r="O481" s="3" cm="1">
        <f t="array" ref="O481">lmb_2(I481)</f>
        <v>3.094827257826521</v>
      </c>
      <c r="P481" s="3" cm="1">
        <f t="array" ref="P481">lmb_2(J481)</f>
        <v>0.13352915437014168</v>
      </c>
      <c r="R481" s="3">
        <f t="shared" ref="R481:R531" si="125">$F$18*(C481/$F$19)*($L$28+$L$28^2)/(L481+L481^2)</f>
        <v>1.9999083503690579E-3</v>
      </c>
      <c r="S481" s="3">
        <f t="shared" ref="S481:S531" si="126">$G$18*(C481/$G$19)*($M$28+$M$28^2)/(M481+M481^2)</f>
        <v>3.2279650306301297</v>
      </c>
      <c r="T481" s="3">
        <f t="shared" ref="T481:T531" si="127">$H$18*(C481/$H$19)*($N$28+$N$28^2)/(N481+N481^2)</f>
        <v>135.5228812248497</v>
      </c>
      <c r="U481" s="3">
        <f t="shared" si="117"/>
        <v>1354.1101443425762</v>
      </c>
      <c r="V481" s="3">
        <f t="shared" si="118"/>
        <v>0</v>
      </c>
      <c r="W481" s="3">
        <f t="shared" ref="W481:W531" si="128">$F$22+$G$22/$F$21*C481</f>
        <v>846.27595360947453</v>
      </c>
      <c r="Y481" s="3">
        <f t="shared" ref="Y481:Y531" si="129">SUM(R481:W481)+K481</f>
        <v>2339.1389441159181</v>
      </c>
      <c r="AA481" s="3">
        <f t="shared" ref="AA481:AA531" si="130">(D481-Y481)^2</f>
        <v>97.240423148986395</v>
      </c>
      <c r="AB481" s="3">
        <f t="shared" ref="AB481:AB531" si="131">D481-Y481</f>
        <v>9.8610558840819067</v>
      </c>
      <c r="AD481" s="3">
        <f t="shared" ref="AD481:AD531" si="132">ABS(AB481/$AC$32)</f>
        <v>3.230470558501712E-6</v>
      </c>
    </row>
    <row r="482" spans="3:30" x14ac:dyDescent="0.25">
      <c r="C482" s="22">
        <v>450</v>
      </c>
      <c r="D482" s="22">
        <v>2268</v>
      </c>
      <c r="F482" s="3">
        <f t="shared" si="119"/>
        <v>31177.894176634672</v>
      </c>
      <c r="G482" s="3">
        <f t="shared" si="120"/>
        <v>4508.7151217651208</v>
      </c>
      <c r="H482" s="3">
        <f t="shared" si="121"/>
        <v>11.810703231000826</v>
      </c>
      <c r="I482" s="3">
        <f t="shared" si="122"/>
        <v>4.2415587392498537</v>
      </c>
      <c r="J482" s="3">
        <f t="shared" si="123"/>
        <v>-1.8789867454637303</v>
      </c>
      <c r="K482" s="3">
        <f t="shared" si="124"/>
        <v>3.4532157350916447E-11</v>
      </c>
      <c r="L482" s="3" cm="1">
        <f t="array" ref="L482">lmb_2(F482)</f>
        <v>31167.546877974299</v>
      </c>
      <c r="M482" s="3" cm="1">
        <f t="array" ref="M482">lmb_2(G482)</f>
        <v>4500.3022873246218</v>
      </c>
      <c r="N482" s="3" cm="1">
        <f t="array" ref="N482">lmb_2(H482)</f>
        <v>9.5537676373133884</v>
      </c>
      <c r="O482" s="3" cm="1">
        <f t="array" ref="O482">lmb_2(I482)</f>
        <v>3.107681719001941</v>
      </c>
      <c r="P482" s="3" cm="1">
        <f t="array" ref="P482">lmb_2(J482)</f>
        <v>0.13363751452078476</v>
      </c>
      <c r="R482" s="3">
        <f t="shared" si="125"/>
        <v>1.9866008069470819E-3</v>
      </c>
      <c r="S482" s="3">
        <f t="shared" si="126"/>
        <v>3.2064782597345909</v>
      </c>
      <c r="T482" s="3">
        <f t="shared" si="127"/>
        <v>134.49080618800525</v>
      </c>
      <c r="U482" s="3">
        <f t="shared" si="117"/>
        <v>1347.2830467997976</v>
      </c>
      <c r="V482" s="3">
        <f t="shared" si="118"/>
        <v>0</v>
      </c>
      <c r="W482" s="3">
        <f t="shared" si="128"/>
        <v>848.04939671328179</v>
      </c>
      <c r="Y482" s="3">
        <f t="shared" si="129"/>
        <v>2333.0317145616609</v>
      </c>
      <c r="AA482" s="3">
        <f t="shared" si="130"/>
        <v>4229.1238988293408</v>
      </c>
      <c r="AB482" s="3">
        <f t="shared" si="131"/>
        <v>-65.03171456166092</v>
      </c>
      <c r="AD482" s="3">
        <f t="shared" si="132"/>
        <v>2.1304314845173602E-5</v>
      </c>
    </row>
    <row r="483" spans="3:30" x14ac:dyDescent="0.25">
      <c r="C483" s="22">
        <v>451</v>
      </c>
      <c r="D483" s="22">
        <v>2378</v>
      </c>
      <c r="F483" s="3">
        <f t="shared" si="119"/>
        <v>31316.611859278069</v>
      </c>
      <c r="G483" s="3">
        <f t="shared" si="120"/>
        <v>4528.7557289824845</v>
      </c>
      <c r="H483" s="3">
        <f t="shared" si="121"/>
        <v>11.865372410143763</v>
      </c>
      <c r="I483" s="3">
        <f t="shared" si="122"/>
        <v>4.2585959478405151</v>
      </c>
      <c r="J483" s="3">
        <f t="shared" si="123"/>
        <v>-1.8780651594123428</v>
      </c>
      <c r="K483" s="3">
        <f t="shared" si="124"/>
        <v>3.2075929796197809E-11</v>
      </c>
      <c r="L483" s="3" cm="1">
        <f t="array" ref="L483">lmb_2(F483)</f>
        <v>31306.260120590159</v>
      </c>
      <c r="M483" s="3" cm="1">
        <f t="array" ref="M483">lmb_2(G483)</f>
        <v>4520.3384558919615</v>
      </c>
      <c r="N483" s="3" cm="1">
        <f t="array" ref="N483">lmb_2(H483)</f>
        <v>9.6032688630603875</v>
      </c>
      <c r="O483" s="3" cm="1">
        <f t="array" ref="O483">lmb_2(I483)</f>
        <v>3.1205777779298627</v>
      </c>
      <c r="P483" s="3" cm="1">
        <f t="array" ref="P483">lmb_2(J483)</f>
        <v>0.1337461935603704</v>
      </c>
      <c r="R483" s="3">
        <f t="shared" si="125"/>
        <v>1.9734110752476115E-3</v>
      </c>
      <c r="S483" s="3">
        <f t="shared" si="126"/>
        <v>3.1851817717916302</v>
      </c>
      <c r="T483" s="3">
        <f t="shared" si="127"/>
        <v>133.4688644936584</v>
      </c>
      <c r="U483" s="3">
        <f t="shared" si="117"/>
        <v>1340.488411198967</v>
      </c>
      <c r="V483" s="3">
        <f t="shared" si="118"/>
        <v>0</v>
      </c>
      <c r="W483" s="3">
        <f t="shared" si="128"/>
        <v>849.82283981708906</v>
      </c>
      <c r="Y483" s="3">
        <f t="shared" si="129"/>
        <v>2326.9672706926135</v>
      </c>
      <c r="AA483" s="3">
        <f t="shared" si="130"/>
        <v>2604.3394605609838</v>
      </c>
      <c r="AB483" s="3">
        <f t="shared" si="131"/>
        <v>51.032729307386489</v>
      </c>
      <c r="AD483" s="3">
        <f t="shared" si="132"/>
        <v>1.6718263387354127E-5</v>
      </c>
    </row>
    <row r="484" spans="3:30" x14ac:dyDescent="0.25">
      <c r="C484" s="22">
        <v>452</v>
      </c>
      <c r="D484" s="22">
        <v>2348</v>
      </c>
      <c r="F484" s="3">
        <f t="shared" si="119"/>
        <v>31455.637461305814</v>
      </c>
      <c r="G484" s="3">
        <f t="shared" si="120"/>
        <v>4548.8408214544934</v>
      </c>
      <c r="H484" s="3">
        <f t="shared" si="121"/>
        <v>11.920162941515656</v>
      </c>
      <c r="I484" s="3">
        <f t="shared" si="122"/>
        <v>4.2756709748742185</v>
      </c>
      <c r="J484" s="3">
        <f t="shared" si="123"/>
        <v>-1.8771415276649475</v>
      </c>
      <c r="K484" s="3">
        <f t="shared" si="124"/>
        <v>2.9794410521047428E-11</v>
      </c>
      <c r="L484" s="3" cm="1">
        <f t="array" ref="L484">lmb_2(F484)</f>
        <v>31445.28129242628</v>
      </c>
      <c r="M484" s="3" cm="1">
        <f t="array" ref="M484">lmb_2(G484)</f>
        <v>4540.4191195388676</v>
      </c>
      <c r="N484" s="3" cm="1">
        <f t="array" ref="N484">lmb_2(H484)</f>
        <v>9.6529041257647261</v>
      </c>
      <c r="O484" s="3" cm="1">
        <f t="array" ref="O484">lmb_2(I484)</f>
        <v>3.1335154527404283</v>
      </c>
      <c r="P484" s="3" cm="1">
        <f t="array" ref="P484">lmb_2(J484)</f>
        <v>0.13385519204877688</v>
      </c>
      <c r="R484" s="3">
        <f t="shared" si="125"/>
        <v>1.9603378543424244E-3</v>
      </c>
      <c r="S484" s="3">
        <f t="shared" si="126"/>
        <v>3.1640734650768305</v>
      </c>
      <c r="T484" s="3">
        <f t="shared" si="127"/>
        <v>132.45693736349008</v>
      </c>
      <c r="U484" s="3">
        <f t="shared" si="117"/>
        <v>1333.7261857962978</v>
      </c>
      <c r="V484" s="3">
        <f t="shared" si="118"/>
        <v>0</v>
      </c>
      <c r="W484" s="3">
        <f t="shared" si="128"/>
        <v>851.59628292089633</v>
      </c>
      <c r="Y484" s="3">
        <f t="shared" si="129"/>
        <v>2320.9454398836451</v>
      </c>
      <c r="AA484" s="3">
        <f t="shared" si="130"/>
        <v>731.94922308946002</v>
      </c>
      <c r="AB484" s="3">
        <f t="shared" si="131"/>
        <v>27.054560116354878</v>
      </c>
      <c r="AD484" s="3">
        <f t="shared" si="132"/>
        <v>8.8630427569305065E-6</v>
      </c>
    </row>
    <row r="485" spans="3:30" x14ac:dyDescent="0.25">
      <c r="C485" s="22">
        <v>453</v>
      </c>
      <c r="D485" s="22">
        <v>2378</v>
      </c>
      <c r="F485" s="3">
        <f t="shared" si="119"/>
        <v>31594.970982717899</v>
      </c>
      <c r="G485" s="3">
        <f t="shared" si="120"/>
        <v>4568.9703991811466</v>
      </c>
      <c r="H485" s="3">
        <f t="shared" si="121"/>
        <v>11.975074825116497</v>
      </c>
      <c r="I485" s="3">
        <f t="shared" si="122"/>
        <v>4.292783820350965</v>
      </c>
      <c r="J485" s="3">
        <f t="shared" si="123"/>
        <v>-1.8762158502215447</v>
      </c>
      <c r="K485" s="3">
        <f t="shared" si="124"/>
        <v>2.7675172752184043E-11</v>
      </c>
      <c r="L485" s="3" cm="1">
        <f t="array" ref="L485">lmb_2(F485)</f>
        <v>31584.610393439169</v>
      </c>
      <c r="M485" s="3" cm="1">
        <f t="array" ref="M485">lmb_2(G485)</f>
        <v>4560.5442782219634</v>
      </c>
      <c r="N485" s="3" cm="1">
        <f t="array" ref="N485">lmb_2(H485)</f>
        <v>9.7026733721980989</v>
      </c>
      <c r="O485" s="3" cm="1">
        <f t="array" ref="O485">lmb_2(I485)</f>
        <v>3.1464947612975611</v>
      </c>
      <c r="P485" s="3" cm="1">
        <f t="array" ref="P485">lmb_2(J485)</f>
        <v>0.1339645105475826</v>
      </c>
      <c r="R485" s="3">
        <f t="shared" si="125"/>
        <v>1.9473798605047091E-3</v>
      </c>
      <c r="S485" s="3">
        <f t="shared" si="126"/>
        <v>3.1431512656604657</v>
      </c>
      <c r="T485" s="3">
        <f t="shared" si="127"/>
        <v>131.45490759296101</v>
      </c>
      <c r="U485" s="3">
        <f t="shared" si="117"/>
        <v>1326.9963167795397</v>
      </c>
      <c r="V485" s="3">
        <f t="shared" si="118"/>
        <v>0</v>
      </c>
      <c r="W485" s="3">
        <f t="shared" si="128"/>
        <v>853.36972602470371</v>
      </c>
      <c r="Y485" s="3">
        <f t="shared" si="129"/>
        <v>2314.9660490427532</v>
      </c>
      <c r="AA485" s="3">
        <f t="shared" si="130"/>
        <v>3973.2789732805968</v>
      </c>
      <c r="AB485" s="3">
        <f t="shared" si="131"/>
        <v>63.033950957246816</v>
      </c>
      <c r="AD485" s="3">
        <f t="shared" si="132"/>
        <v>2.0649849787600624E-5</v>
      </c>
    </row>
    <row r="486" spans="3:30" x14ac:dyDescent="0.25">
      <c r="C486" s="22">
        <v>454</v>
      </c>
      <c r="D486" s="22">
        <v>2378</v>
      </c>
      <c r="F486" s="3">
        <f t="shared" si="119"/>
        <v>31734.6124235143</v>
      </c>
      <c r="G486" s="3">
        <f t="shared" si="120"/>
        <v>4589.1444621624441</v>
      </c>
      <c r="H486" s="3">
        <f t="shared" si="121"/>
        <v>12.030108060946292</v>
      </c>
      <c r="I486" s="3">
        <f t="shared" si="122"/>
        <v>4.3099344842707543</v>
      </c>
      <c r="J486" s="3">
        <f t="shared" si="123"/>
        <v>-1.8752881270821344</v>
      </c>
      <c r="K486" s="3">
        <f t="shared" si="124"/>
        <v>2.5706673616588946E-11</v>
      </c>
      <c r="L486" s="3" cm="1">
        <f t="array" ref="L486">lmb_2(F486)</f>
        <v>31724.247423585603</v>
      </c>
      <c r="M486" s="3" cm="1">
        <f t="array" ref="M486">lmb_2(G486)</f>
        <v>4580.7139318981581</v>
      </c>
      <c r="N486" s="3" cm="1">
        <f t="array" ref="N486">lmb_2(H486)</f>
        <v>9.7525765493732681</v>
      </c>
      <c r="O486" s="3" cm="1">
        <f t="array" ref="O486">lmb_2(I486)</f>
        <v>3.1595157212008749</v>
      </c>
      <c r="P486" s="3" cm="1">
        <f t="array" ref="P486">lmb_2(J486)</f>
        <v>0.13407414962006919</v>
      </c>
      <c r="R486" s="3">
        <f t="shared" si="125"/>
        <v>1.9345358269442861E-3</v>
      </c>
      <c r="S486" s="3">
        <f t="shared" si="126"/>
        <v>3.1224131269796191</v>
      </c>
      <c r="T486" s="3">
        <f t="shared" si="127"/>
        <v>130.46265952885457</v>
      </c>
      <c r="U486" s="3">
        <f t="shared" si="117"/>
        <v>1320.2987483122204</v>
      </c>
      <c r="V486" s="3">
        <f t="shared" si="118"/>
        <v>0</v>
      </c>
      <c r="W486" s="3">
        <f t="shared" si="128"/>
        <v>855.14316912851098</v>
      </c>
      <c r="Y486" s="3">
        <f t="shared" si="129"/>
        <v>2309.0289246324182</v>
      </c>
      <c r="AA486" s="3">
        <f t="shared" si="130"/>
        <v>4757.009237360644</v>
      </c>
      <c r="AB486" s="3">
        <f t="shared" si="131"/>
        <v>68.971075367581761</v>
      </c>
      <c r="AD486" s="3">
        <f t="shared" si="132"/>
        <v>2.2594844911369216E-5</v>
      </c>
    </row>
    <row r="487" spans="3:30" x14ac:dyDescent="0.25">
      <c r="C487" s="22">
        <v>455</v>
      </c>
      <c r="D487" s="22">
        <v>2340</v>
      </c>
      <c r="F487" s="3">
        <f t="shared" si="119"/>
        <v>31874.561783695055</v>
      </c>
      <c r="G487" s="3">
        <f t="shared" si="120"/>
        <v>4609.3630103983869</v>
      </c>
      <c r="H487" s="3">
        <f t="shared" si="121"/>
        <v>12.085262649005035</v>
      </c>
      <c r="I487" s="3">
        <f t="shared" si="122"/>
        <v>4.3271229666335849</v>
      </c>
      <c r="J487" s="3">
        <f t="shared" si="123"/>
        <v>-1.8743583582467167</v>
      </c>
      <c r="K487" s="3">
        <f t="shared" si="124"/>
        <v>2.3878191270826996E-11</v>
      </c>
      <c r="L487" s="3" cm="1">
        <f t="array" ref="L487">lmb_2(F487)</f>
        <v>31864.192382822708</v>
      </c>
      <c r="M487" s="3" cm="1">
        <f t="array" ref="M487">lmb_2(G487)</f>
        <v>4600.928080524649</v>
      </c>
      <c r="N487" s="3" cm="1">
        <f t="array" ref="N487">lmb_2(H487)</f>
        <v>9.8026136045439074</v>
      </c>
      <c r="O487" s="3" cm="1">
        <f t="array" ref="O487">lmb_2(I487)</f>
        <v>3.1725783497875839</v>
      </c>
      <c r="P487" s="3" cm="1">
        <f t="array" ref="P487">lmb_2(J487)</f>
        <v>0.13418410983122453</v>
      </c>
      <c r="R487" s="3">
        <f t="shared" si="125"/>
        <v>1.9218045035474655E-3</v>
      </c>
      <c r="S487" s="3">
        <f t="shared" si="126"/>
        <v>3.1018570294178169</v>
      </c>
      <c r="T487" s="3">
        <f t="shared" si="127"/>
        <v>129.48007904714606</v>
      </c>
      <c r="U487" s="3">
        <f t="shared" si="117"/>
        <v>1313.6334225773478</v>
      </c>
      <c r="V487" s="3">
        <f t="shared" si="118"/>
        <v>0</v>
      </c>
      <c r="W487" s="3">
        <f t="shared" si="128"/>
        <v>856.91661223231824</v>
      </c>
      <c r="Y487" s="3">
        <f t="shared" si="129"/>
        <v>2303.1338926907574</v>
      </c>
      <c r="AA487" s="3">
        <f t="shared" si="130"/>
        <v>1359.1098681365891</v>
      </c>
      <c r="AB487" s="3">
        <f t="shared" si="131"/>
        <v>36.86610730924258</v>
      </c>
      <c r="AD487" s="3">
        <f t="shared" si="132"/>
        <v>1.2077294325176722E-5</v>
      </c>
    </row>
    <row r="488" spans="3:30" x14ac:dyDescent="0.25">
      <c r="C488" s="22">
        <v>456</v>
      </c>
      <c r="D488" s="22">
        <v>2276</v>
      </c>
      <c r="F488" s="3">
        <f t="shared" si="119"/>
        <v>32014.819063260133</v>
      </c>
      <c r="G488" s="3">
        <f t="shared" si="120"/>
        <v>4629.6260438889731</v>
      </c>
      <c r="H488" s="3">
        <f t="shared" si="121"/>
        <v>12.140538589292733</v>
      </c>
      <c r="I488" s="3">
        <f t="shared" si="122"/>
        <v>4.3443492674394593</v>
      </c>
      <c r="J488" s="3">
        <f t="shared" si="123"/>
        <v>-1.8734265437152915</v>
      </c>
      <c r="K488" s="3">
        <f t="shared" si="124"/>
        <v>2.2179766502277595E-11</v>
      </c>
      <c r="L488" s="3" cm="1">
        <f t="array" ref="L488">lmb_2(F488)</f>
        <v>32004.445271107823</v>
      </c>
      <c r="M488" s="3" cm="1">
        <f t="array" ref="M488">lmb_2(G488)</f>
        <v>4621.1867240589081</v>
      </c>
      <c r="N488" s="3" cm="1">
        <f t="array" ref="N488">lmb_2(H488)</f>
        <v>9.8527844852044559</v>
      </c>
      <c r="O488" s="3" cm="1">
        <f t="array" ref="O488">lmb_2(I488)</f>
        <v>3.1856826641344225</v>
      </c>
      <c r="P488" s="3" cm="1">
        <f t="array" ref="P488">lmb_2(J488)</f>
        <v>0.13429439174774579</v>
      </c>
      <c r="R488" s="3">
        <f t="shared" si="125"/>
        <v>1.9091846566214839E-3</v>
      </c>
      <c r="S488" s="3">
        <f t="shared" si="126"/>
        <v>3.0814809798920426</v>
      </c>
      <c r="T488" s="3">
        <f t="shared" si="127"/>
        <v>128.50705353119201</v>
      </c>
      <c r="U488" s="3">
        <f t="shared" si="117"/>
        <v>1307.0002798205699</v>
      </c>
      <c r="V488" s="3">
        <f t="shared" si="118"/>
        <v>0</v>
      </c>
      <c r="W488" s="3">
        <f t="shared" si="128"/>
        <v>858.69005533612551</v>
      </c>
      <c r="Y488" s="3">
        <f t="shared" si="129"/>
        <v>2297.2807788524583</v>
      </c>
      <c r="AA488" s="3">
        <f t="shared" si="130"/>
        <v>452.87154856723629</v>
      </c>
      <c r="AB488" s="3">
        <f t="shared" si="131"/>
        <v>-21.280778852458297</v>
      </c>
      <c r="AD488" s="3">
        <f t="shared" si="132"/>
        <v>6.9715586599429276E-6</v>
      </c>
    </row>
    <row r="489" spans="3:30" x14ac:dyDescent="0.25">
      <c r="C489" s="22">
        <v>457</v>
      </c>
      <c r="D489" s="22">
        <v>2338</v>
      </c>
      <c r="F489" s="3">
        <f t="shared" si="119"/>
        <v>32155.384262209558</v>
      </c>
      <c r="G489" s="3">
        <f t="shared" si="120"/>
        <v>4649.9335626342045</v>
      </c>
      <c r="H489" s="3">
        <f t="shared" si="121"/>
        <v>12.195935881809385</v>
      </c>
      <c r="I489" s="3">
        <f t="shared" si="122"/>
        <v>4.3616133866883757</v>
      </c>
      <c r="J489" s="3">
        <f t="shared" si="123"/>
        <v>-1.8724926834878588</v>
      </c>
      <c r="K489" s="3">
        <f t="shared" si="124"/>
        <v>2.0602148484193533E-11</v>
      </c>
      <c r="L489" s="3" cm="1">
        <f t="array" ref="L489">lmb_2(F489)</f>
        <v>32145.006088398626</v>
      </c>
      <c r="M489" s="3" cm="1">
        <f t="array" ref="M489">lmb_2(G489)</f>
        <v>4641.4898624586922</v>
      </c>
      <c r="N489" s="3" cm="1">
        <f t="array" ref="N489">lmb_2(H489)</f>
        <v>9.9030891390898983</v>
      </c>
      <c r="O489" s="3" cm="1">
        <f t="array" ref="O489">lmb_2(I489)</f>
        <v>3.1988286810595441</v>
      </c>
      <c r="P489" s="3" cm="1">
        <f t="array" ref="P489">lmb_2(J489)</f>
        <v>0.13440499593804248</v>
      </c>
      <c r="R489" s="3">
        <f t="shared" si="125"/>
        <v>1.8966750686433822E-3</v>
      </c>
      <c r="S489" s="3">
        <f t="shared" si="126"/>
        <v>3.0612830114469309</v>
      </c>
      <c r="T489" s="3">
        <f t="shared" si="127"/>
        <v>127.54347185023742</v>
      </c>
      <c r="U489" s="3">
        <f t="shared" si="117"/>
        <v>1300.3992583928109</v>
      </c>
      <c r="V489" s="3">
        <f t="shared" si="118"/>
        <v>0</v>
      </c>
      <c r="W489" s="3">
        <f t="shared" si="128"/>
        <v>860.46349843993289</v>
      </c>
      <c r="Y489" s="3">
        <f t="shared" si="129"/>
        <v>2291.4694083695172</v>
      </c>
      <c r="AA489" s="3">
        <f t="shared" si="130"/>
        <v>2165.0959574827589</v>
      </c>
      <c r="AB489" s="3">
        <f t="shared" si="131"/>
        <v>46.530591630482832</v>
      </c>
      <c r="AD489" s="3">
        <f t="shared" si="132"/>
        <v>1.5243368265926403E-5</v>
      </c>
    </row>
    <row r="490" spans="3:30" x14ac:dyDescent="0.25">
      <c r="C490" s="22">
        <v>458</v>
      </c>
      <c r="D490" s="22">
        <v>2241</v>
      </c>
      <c r="F490" s="3">
        <f t="shared" si="119"/>
        <v>32296.257380543306</v>
      </c>
      <c r="G490" s="3">
        <f t="shared" si="120"/>
        <v>4670.2855666340811</v>
      </c>
      <c r="H490" s="3">
        <f t="shared" si="121"/>
        <v>12.251454526554987</v>
      </c>
      <c r="I490" s="3">
        <f t="shared" si="122"/>
        <v>4.378915324380336</v>
      </c>
      <c r="J490" s="3">
        <f t="shared" si="123"/>
        <v>-1.8715567775644184</v>
      </c>
      <c r="K490" s="3">
        <f t="shared" si="124"/>
        <v>1.9136744389133773E-11</v>
      </c>
      <c r="L490" s="3" cm="1">
        <f t="array" ref="L490">lmb_2(F490)</f>
        <v>32285.874834653019</v>
      </c>
      <c r="M490" s="3" cm="1">
        <f t="array" ref="M490">lmb_2(G490)</f>
        <v>4661.8374956820344</v>
      </c>
      <c r="N490" s="3" cm="1">
        <f t="array" ref="N490">lmb_2(H490)</f>
        <v>9.9535275141755406</v>
      </c>
      <c r="O490" s="3" cm="1">
        <f t="array" ref="O490">lmb_2(I490)</f>
        <v>3.2120164171244379</v>
      </c>
      <c r="P490" s="3" cm="1">
        <f t="array" ref="P490">lmb_2(J490)</f>
        <v>0.13451592297223963</v>
      </c>
      <c r="R490" s="3">
        <f t="shared" si="125"/>
        <v>1.8842745380132852E-3</v>
      </c>
      <c r="S490" s="3">
        <f t="shared" si="126"/>
        <v>3.0412611828560756</v>
      </c>
      <c r="T490" s="3">
        <f t="shared" si="127"/>
        <v>126.58922433823545</v>
      </c>
      <c r="U490" s="3">
        <f t="shared" si="117"/>
        <v>1293.8302947923712</v>
      </c>
      <c r="V490" s="3">
        <f t="shared" si="118"/>
        <v>0</v>
      </c>
      <c r="W490" s="3">
        <f t="shared" si="128"/>
        <v>862.23694154374016</v>
      </c>
      <c r="Y490" s="3">
        <f t="shared" si="129"/>
        <v>2285.69960613176</v>
      </c>
      <c r="AA490" s="3">
        <f t="shared" si="130"/>
        <v>1998.0547883344755</v>
      </c>
      <c r="AB490" s="3">
        <f t="shared" si="131"/>
        <v>-44.699606131759992</v>
      </c>
      <c r="AD490" s="3">
        <f t="shared" si="132"/>
        <v>1.4643539523832381E-5</v>
      </c>
    </row>
    <row r="491" spans="3:30" x14ac:dyDescent="0.25">
      <c r="C491" s="22">
        <v>459</v>
      </c>
      <c r="D491" s="22">
        <v>2342</v>
      </c>
      <c r="F491" s="3">
        <f t="shared" si="119"/>
        <v>32437.438418261405</v>
      </c>
      <c r="G491" s="3">
        <f t="shared" si="120"/>
        <v>4690.6820558886011</v>
      </c>
      <c r="H491" s="3">
        <f t="shared" si="121"/>
        <v>12.307094523529544</v>
      </c>
      <c r="I491" s="3">
        <f t="shared" si="122"/>
        <v>4.3962550805153375</v>
      </c>
      <c r="J491" s="3">
        <f t="shared" si="123"/>
        <v>-1.8706188259449705</v>
      </c>
      <c r="K491" s="3">
        <f t="shared" si="124"/>
        <v>1.7775572586325737E-11</v>
      </c>
      <c r="L491" s="3" cm="1">
        <f t="array" ref="L491">lmb_2(F491)</f>
        <v>32427.051509829231</v>
      </c>
      <c r="M491" s="3" cm="1">
        <f t="array" ref="M491">lmb_2(G491)</f>
        <v>4682.2296236872362</v>
      </c>
      <c r="N491" s="3" cm="1">
        <f t="array" ref="N491">lmb_2(H491)</f>
        <v>10.004099558676769</v>
      </c>
      <c r="O491" s="3" cm="1">
        <f t="array" ref="O491">lmb_2(I491)</f>
        <v>3.2252458886358277</v>
      </c>
      <c r="P491" s="3" cm="1">
        <f t="array" ref="P491">lmb_2(J491)</f>
        <v>0.13462717342218056</v>
      </c>
      <c r="R491" s="3">
        <f t="shared" si="125"/>
        <v>1.8719818788119553E-3</v>
      </c>
      <c r="S491" s="3">
        <f t="shared" si="126"/>
        <v>3.0214135782302627</v>
      </c>
      <c r="T491" s="3">
        <f t="shared" si="127"/>
        <v>125.64420277297513</v>
      </c>
      <c r="U491" s="3">
        <f t="shared" si="117"/>
        <v>1287.2933237065001</v>
      </c>
      <c r="V491" s="3">
        <f t="shared" si="118"/>
        <v>0</v>
      </c>
      <c r="W491" s="3">
        <f t="shared" si="128"/>
        <v>864.01038464754743</v>
      </c>
      <c r="Y491" s="3">
        <f t="shared" si="129"/>
        <v>2279.9711966871496</v>
      </c>
      <c r="AA491" s="3">
        <f t="shared" si="130"/>
        <v>3847.5724404242824</v>
      </c>
      <c r="AB491" s="3">
        <f t="shared" si="131"/>
        <v>62.028803312850414</v>
      </c>
      <c r="AD491" s="3">
        <f t="shared" si="132"/>
        <v>2.0320564576124284E-5</v>
      </c>
    </row>
    <row r="492" spans="3:30" x14ac:dyDescent="0.25">
      <c r="C492" s="22">
        <v>460</v>
      </c>
      <c r="D492" s="22">
        <v>2193</v>
      </c>
      <c r="F492" s="3">
        <f t="shared" si="119"/>
        <v>32578.927375363841</v>
      </c>
      <c r="G492" s="3">
        <f t="shared" si="120"/>
        <v>4711.1230303977663</v>
      </c>
      <c r="H492" s="3">
        <f t="shared" si="121"/>
        <v>12.362855872733052</v>
      </c>
      <c r="I492" s="3">
        <f t="shared" si="122"/>
        <v>4.413632655093382</v>
      </c>
      <c r="J492" s="3">
        <f t="shared" si="123"/>
        <v>-1.8696788286295154</v>
      </c>
      <c r="K492" s="3">
        <f t="shared" si="124"/>
        <v>1.6511219168039353E-11</v>
      </c>
      <c r="L492" s="3" cm="1">
        <f t="array" ref="L492">lmb_2(F492)</f>
        <v>32568.53611388573</v>
      </c>
      <c r="M492" s="3" cm="1">
        <f t="array" ref="M492">lmb_2(G492)</f>
        <v>4702.6662464328783</v>
      </c>
      <c r="N492" s="3" cm="1">
        <f t="array" ref="N492">lmb_2(H492)</f>
        <v>10.054805221048749</v>
      </c>
      <c r="O492" s="3" cm="1">
        <f t="array" ref="O492">lmb_2(I492)</f>
        <v>3.238517111647583</v>
      </c>
      <c r="P492" s="3" cm="1">
        <f t="array" ref="P492">lmb_2(J492)</f>
        <v>0.13473874786143031</v>
      </c>
      <c r="R492" s="3">
        <f t="shared" si="125"/>
        <v>1.8597959205625728E-3</v>
      </c>
      <c r="S492" s="3">
        <f t="shared" si="126"/>
        <v>3.0017383066324865</v>
      </c>
      <c r="T492" s="3">
        <f t="shared" si="127"/>
        <v>124.70830035551448</v>
      </c>
      <c r="U492" s="3">
        <f t="shared" si="117"/>
        <v>1280.7882780524376</v>
      </c>
      <c r="V492" s="3">
        <f t="shared" si="118"/>
        <v>0</v>
      </c>
      <c r="W492" s="3">
        <f t="shared" si="128"/>
        <v>865.78382775135469</v>
      </c>
      <c r="Y492" s="3">
        <f t="shared" si="129"/>
        <v>2274.2840042618764</v>
      </c>
      <c r="AA492" s="3">
        <f t="shared" si="130"/>
        <v>6607.0893488447346</v>
      </c>
      <c r="AB492" s="3">
        <f t="shared" si="131"/>
        <v>-81.284004261876362</v>
      </c>
      <c r="AD492" s="3">
        <f t="shared" si="132"/>
        <v>2.6628546246147429E-5</v>
      </c>
    </row>
    <row r="493" spans="3:30" x14ac:dyDescent="0.25">
      <c r="C493" s="22">
        <v>461</v>
      </c>
      <c r="D493" s="22">
        <v>2222</v>
      </c>
      <c r="F493" s="3">
        <f t="shared" si="119"/>
        <v>32720.724251850599</v>
      </c>
      <c r="G493" s="3">
        <f t="shared" si="120"/>
        <v>4731.6084901615759</v>
      </c>
      <c r="H493" s="3">
        <f t="shared" si="121"/>
        <v>12.418738574165509</v>
      </c>
      <c r="I493" s="3">
        <f t="shared" si="122"/>
        <v>4.4310480481144676</v>
      </c>
      <c r="J493" s="3">
        <f t="shared" si="123"/>
        <v>-1.8687367856180526</v>
      </c>
      <c r="K493" s="3">
        <f t="shared" si="124"/>
        <v>1.5336797568183514E-11</v>
      </c>
      <c r="L493" s="3" cm="1">
        <f t="array" ref="L493">lmb_2(F493)</f>
        <v>32710.328646781247</v>
      </c>
      <c r="M493" s="3" cm="1">
        <f t="array" ref="M493">lmb_2(G493)</f>
        <v>4723.1473638778061</v>
      </c>
      <c r="N493" s="3" cm="1">
        <f t="array" ref="N493">lmb_2(H493)</f>
        <v>10.105644449986126</v>
      </c>
      <c r="O493" s="3" cm="1">
        <f t="array" ref="O493">lmb_2(I493)</f>
        <v>3.2518301019626152</v>
      </c>
      <c r="P493" s="3" cm="1">
        <f t="array" ref="P493">lmb_2(J493)</f>
        <v>0.13485064686527856</v>
      </c>
      <c r="R493" s="3">
        <f t="shared" si="125"/>
        <v>1.8477155079966319E-3</v>
      </c>
      <c r="S493" s="3">
        <f t="shared" si="126"/>
        <v>2.9822335016996728</v>
      </c>
      <c r="T493" s="3">
        <f t="shared" si="127"/>
        <v>123.78141168991289</v>
      </c>
      <c r="U493" s="3">
        <f t="shared" si="117"/>
        <v>1274.3150890179393</v>
      </c>
      <c r="V493" s="3">
        <f t="shared" si="118"/>
        <v>0</v>
      </c>
      <c r="W493" s="3">
        <f t="shared" si="128"/>
        <v>867.55727085516196</v>
      </c>
      <c r="Y493" s="3">
        <f t="shared" si="129"/>
        <v>2268.6378527802372</v>
      </c>
      <c r="AA493" s="3">
        <f t="shared" si="130"/>
        <v>2175.0893119510743</v>
      </c>
      <c r="AB493" s="3">
        <f t="shared" si="131"/>
        <v>-46.637852780237154</v>
      </c>
      <c r="AD493" s="3">
        <f t="shared" si="132"/>
        <v>1.5278506895138689E-5</v>
      </c>
    </row>
    <row r="494" spans="3:30" x14ac:dyDescent="0.25">
      <c r="C494" s="22">
        <v>462</v>
      </c>
      <c r="D494" s="22">
        <v>2233</v>
      </c>
      <c r="F494" s="3">
        <f t="shared" si="119"/>
        <v>32862.829047721709</v>
      </c>
      <c r="G494" s="3">
        <f t="shared" si="120"/>
        <v>4752.1384351800298</v>
      </c>
      <c r="H494" s="3">
        <f t="shared" si="121"/>
        <v>12.474742627826918</v>
      </c>
      <c r="I494" s="3">
        <f t="shared" si="122"/>
        <v>4.4485012595785971</v>
      </c>
      <c r="J494" s="3">
        <f t="shared" si="123"/>
        <v>-1.867792696910582</v>
      </c>
      <c r="K494" s="3">
        <f t="shared" si="124"/>
        <v>1.4245911053179423E-11</v>
      </c>
      <c r="L494" s="3" cm="1">
        <f t="array" ref="L494">lmb_2(F494)</f>
        <v>32852.429108474826</v>
      </c>
      <c r="M494" s="3" cm="1">
        <f t="array" ref="M494">lmb_2(G494)</f>
        <v>4743.6729759811324</v>
      </c>
      <c r="N494" s="3" cm="1">
        <f t="array" ref="N494">lmb_2(H494)</f>
        <v>10.156617194422694</v>
      </c>
      <c r="O494" s="3" cm="1">
        <f t="array" ref="O494">lmb_2(I494)</f>
        <v>3.2651848751347798</v>
      </c>
      <c r="P494" s="3" cm="1">
        <f t="array" ref="P494">lmb_2(J494)</f>
        <v>0.13496287101074264</v>
      </c>
      <c r="R494" s="3">
        <f t="shared" si="125"/>
        <v>1.8357395008238872E-3</v>
      </c>
      <c r="S494" s="3">
        <f t="shared" si="126"/>
        <v>2.9628973212709107</v>
      </c>
      <c r="T494" s="3">
        <f t="shared" si="127"/>
        <v>122.86343276326015</v>
      </c>
      <c r="U494" s="3">
        <f t="shared" si="117"/>
        <v>1267.8736861012737</v>
      </c>
      <c r="V494" s="3">
        <f t="shared" si="118"/>
        <v>0</v>
      </c>
      <c r="W494" s="3">
        <f t="shared" si="128"/>
        <v>869.33071395896934</v>
      </c>
      <c r="Y494" s="3">
        <f t="shared" si="129"/>
        <v>2263.0325658842889</v>
      </c>
      <c r="AA494" s="3">
        <f t="shared" si="130"/>
        <v>901.95501359415607</v>
      </c>
      <c r="AB494" s="3">
        <f t="shared" si="131"/>
        <v>-30.032565884288942</v>
      </c>
      <c r="AD494" s="3">
        <f t="shared" si="132"/>
        <v>9.8386340191085066E-6</v>
      </c>
    </row>
    <row r="495" spans="3:30" x14ac:dyDescent="0.25">
      <c r="C495" s="22">
        <v>463</v>
      </c>
      <c r="D495" s="22">
        <v>2261</v>
      </c>
      <c r="F495" s="3">
        <f t="shared" si="119"/>
        <v>33005.241762977137</v>
      </c>
      <c r="G495" s="3">
        <f t="shared" si="120"/>
        <v>4772.7128654531271</v>
      </c>
      <c r="H495" s="3">
        <f t="shared" si="121"/>
        <v>12.530868033717283</v>
      </c>
      <c r="I495" s="3">
        <f t="shared" si="122"/>
        <v>4.4659922894857687</v>
      </c>
      <c r="J495" s="3">
        <f t="shared" si="123"/>
        <v>-1.8668465625071042</v>
      </c>
      <c r="K495" s="3">
        <f t="shared" si="124"/>
        <v>1.3232617880809424E-11</v>
      </c>
      <c r="L495" s="3" cm="1">
        <f t="array" ref="L495">lmb_2(F495)</f>
        <v>32994.837498925714</v>
      </c>
      <c r="M495" s="3" cm="1">
        <f t="array" ref="M495">lmb_2(G495)</f>
        <v>4764.2430827022363</v>
      </c>
      <c r="N495" s="3" cm="1">
        <f t="array" ref="N495">lmb_2(H495)</f>
        <v>10.20772340353103</v>
      </c>
      <c r="O495" s="3" cm="1">
        <f t="array" ref="O495">lmb_2(I495)</f>
        <v>3.2785814464707697</v>
      </c>
      <c r="P495" s="3" cm="1">
        <f t="array" ref="P495">lmb_2(J495)</f>
        <v>0.13507542087657073</v>
      </c>
      <c r="R495" s="3">
        <f t="shared" si="125"/>
        <v>1.8238667735062742E-3</v>
      </c>
      <c r="S495" s="3">
        <f t="shared" si="126"/>
        <v>2.9437279470221052</v>
      </c>
      <c r="T495" s="3">
        <f t="shared" si="127"/>
        <v>121.95426092599767</v>
      </c>
      <c r="U495" s="3">
        <f t="shared" si="117"/>
        <v>1261.4639971507027</v>
      </c>
      <c r="V495" s="3">
        <f t="shared" si="118"/>
        <v>0</v>
      </c>
      <c r="W495" s="3">
        <f t="shared" si="128"/>
        <v>871.10415706277661</v>
      </c>
      <c r="Y495" s="3">
        <f t="shared" si="129"/>
        <v>2257.4679669532857</v>
      </c>
      <c r="AA495" s="3">
        <f t="shared" si="130"/>
        <v>12.475257443082128</v>
      </c>
      <c r="AB495" s="3">
        <f t="shared" si="131"/>
        <v>3.5320330467143322</v>
      </c>
      <c r="AD495" s="3">
        <f t="shared" si="132"/>
        <v>1.1570899610744949E-6</v>
      </c>
    </row>
    <row r="496" spans="3:30" x14ac:dyDescent="0.25">
      <c r="C496" s="22">
        <v>464</v>
      </c>
      <c r="D496" s="22">
        <v>2259</v>
      </c>
      <c r="F496" s="3">
        <f t="shared" si="119"/>
        <v>33147.962397616917</v>
      </c>
      <c r="G496" s="3">
        <f t="shared" si="120"/>
        <v>4793.3317809808705</v>
      </c>
      <c r="H496" s="3">
        <f t="shared" si="121"/>
        <v>12.5871147918366</v>
      </c>
      <c r="I496" s="3">
        <f t="shared" si="122"/>
        <v>4.4835211378359832</v>
      </c>
      <c r="J496" s="3">
        <f t="shared" si="123"/>
        <v>-1.8658983824076187</v>
      </c>
      <c r="K496" s="3">
        <f t="shared" si="124"/>
        <v>1.2291398937271739E-11</v>
      </c>
      <c r="L496" s="3" cm="1">
        <f t="array" ref="L496">lmb_2(F496)</f>
        <v>33137.553818093496</v>
      </c>
      <c r="M496" s="3" cm="1">
        <f t="array" ref="M496">lmb_2(G496)</f>
        <v>4784.8576840007599</v>
      </c>
      <c r="N496" s="3" cm="1">
        <f t="array" ref="N496">lmb_2(H496)</f>
        <v>10.258963026722107</v>
      </c>
      <c r="O496" s="3" cm="1">
        <f t="array" ref="O496">lmb_2(I496)</f>
        <v>3.2920198310320101</v>
      </c>
      <c r="P496" s="3" cm="1">
        <f t="array" ref="P496">lmb_2(J496)</f>
        <v>0.13518829704324492</v>
      </c>
      <c r="R496" s="3">
        <f t="shared" si="125"/>
        <v>1.8120962150357091E-3</v>
      </c>
      <c r="S496" s="3">
        <f t="shared" si="126"/>
        <v>2.9247235841069328</v>
      </c>
      <c r="T496" s="3">
        <f t="shared" si="127"/>
        <v>121.05379487252793</v>
      </c>
      <c r="U496" s="3">
        <f t="shared" si="117"/>
        <v>1255.0859484034461</v>
      </c>
      <c r="V496" s="3">
        <f t="shared" si="118"/>
        <v>0</v>
      </c>
      <c r="W496" s="3">
        <f t="shared" si="128"/>
        <v>872.87760016658387</v>
      </c>
      <c r="Y496" s="3">
        <f t="shared" si="129"/>
        <v>2251.9438791228922</v>
      </c>
      <c r="AA496" s="3">
        <f t="shared" si="130"/>
        <v>49.788841832356368</v>
      </c>
      <c r="AB496" s="3">
        <f t="shared" si="131"/>
        <v>7.0561208771077872</v>
      </c>
      <c r="AD496" s="3">
        <f t="shared" si="132"/>
        <v>2.3115770784264477E-6</v>
      </c>
    </row>
    <row r="497" spans="3:30" x14ac:dyDescent="0.25">
      <c r="C497" s="22">
        <v>465</v>
      </c>
      <c r="D497" s="22">
        <v>2254</v>
      </c>
      <c r="F497" s="3">
        <f t="shared" si="119"/>
        <v>33290.990951641019</v>
      </c>
      <c r="G497" s="3">
        <f t="shared" si="120"/>
        <v>4813.9951817632573</v>
      </c>
      <c r="H497" s="3">
        <f t="shared" si="121"/>
        <v>12.643482902184866</v>
      </c>
      <c r="I497" s="3">
        <f t="shared" si="122"/>
        <v>4.5010878046292406</v>
      </c>
      <c r="J497" s="3">
        <f t="shared" si="123"/>
        <v>-1.8649481566121258</v>
      </c>
      <c r="K497" s="3">
        <f t="shared" si="124"/>
        <v>1.1417127676169594E-11</v>
      </c>
      <c r="L497" s="3" cm="1">
        <f t="array" ref="L497">lmb_2(F497)</f>
        <v>33280.578065937938</v>
      </c>
      <c r="M497" s="3" cm="1">
        <f t="array" ref="M497">lmb_2(G497)</f>
        <v>4805.5167798366037</v>
      </c>
      <c r="N497" s="3" cm="1">
        <f t="array" ref="N497">lmb_2(H497)</f>
        <v>10.310336013644893</v>
      </c>
      <c r="O497" s="3" cm="1">
        <f t="array" ref="O497">lmb_2(I497)</f>
        <v>3.3055000436365498</v>
      </c>
      <c r="P497" s="3" cm="1">
        <f t="array" ref="P497">lmb_2(J497)</f>
        <v>0.13530150009298433</v>
      </c>
      <c r="R497" s="3">
        <f t="shared" si="125"/>
        <v>1.800426728715724E-3</v>
      </c>
      <c r="S497" s="3">
        <f t="shared" si="126"/>
        <v>2.9058824608039462</v>
      </c>
      <c r="T497" s="3">
        <f t="shared" si="127"/>
        <v>120.16193462210755</v>
      </c>
      <c r="U497" s="3">
        <f t="shared" si="117"/>
        <v>1248.7394645241295</v>
      </c>
      <c r="V497" s="3">
        <f t="shared" si="118"/>
        <v>0</v>
      </c>
      <c r="W497" s="3">
        <f t="shared" si="128"/>
        <v>874.65104327039114</v>
      </c>
      <c r="Y497" s="3">
        <f t="shared" si="129"/>
        <v>2246.4601253041724</v>
      </c>
      <c r="AA497" s="3">
        <f t="shared" si="130"/>
        <v>56.849710428781655</v>
      </c>
      <c r="AB497" s="3">
        <f t="shared" si="131"/>
        <v>7.5398746958276206</v>
      </c>
      <c r="AD497" s="3">
        <f t="shared" si="132"/>
        <v>2.470054272685112E-6</v>
      </c>
    </row>
    <row r="498" spans="3:30" x14ac:dyDescent="0.25">
      <c r="C498" s="22">
        <v>466</v>
      </c>
      <c r="D498" s="22">
        <v>2187</v>
      </c>
      <c r="F498" s="3">
        <f t="shared" si="119"/>
        <v>33434.327425049465</v>
      </c>
      <c r="G498" s="3">
        <f t="shared" si="120"/>
        <v>4834.7030678002893</v>
      </c>
      <c r="H498" s="3">
        <f t="shared" si="121"/>
        <v>12.699972364762086</v>
      </c>
      <c r="I498" s="3">
        <f t="shared" si="122"/>
        <v>4.5186922898655384</v>
      </c>
      <c r="J498" s="3">
        <f t="shared" si="123"/>
        <v>-1.8639958851206253</v>
      </c>
      <c r="K498" s="3">
        <f t="shared" si="124"/>
        <v>1.0605042195700639E-11</v>
      </c>
      <c r="L498" s="3" cm="1">
        <f t="array" ref="L498">lmb_2(F498)</f>
        <v>33423.910242419137</v>
      </c>
      <c r="M498" s="3" cm="1">
        <f t="array" ref="M498">lmb_2(G498)</f>
        <v>4826.2203701699264</v>
      </c>
      <c r="N498" s="3" cm="1">
        <f t="array" ref="N498">lmb_2(H498)</f>
        <v>10.361842314185925</v>
      </c>
      <c r="O498" s="3" cm="1">
        <f t="array" ref="O498">lmb_2(I498)</f>
        <v>3.319022098860942</v>
      </c>
      <c r="P498" s="3" cm="1">
        <f t="array" ref="P498">lmb_2(J498)</f>
        <v>0.13541503060974819</v>
      </c>
      <c r="R498" s="3">
        <f t="shared" si="125"/>
        <v>1.7888572319468231E-3</v>
      </c>
      <c r="S498" s="3">
        <f t="shared" si="126"/>
        <v>2.8872028281697393</v>
      </c>
      <c r="T498" s="3">
        <f t="shared" si="127"/>
        <v>119.27858150002102</v>
      </c>
      <c r="U498" s="3">
        <f t="shared" si="117"/>
        <v>1242.4244686427273</v>
      </c>
      <c r="V498" s="3">
        <f t="shared" si="118"/>
        <v>0</v>
      </c>
      <c r="W498" s="3">
        <f t="shared" si="128"/>
        <v>876.42448637419852</v>
      </c>
      <c r="Y498" s="3">
        <f t="shared" si="129"/>
        <v>2241.016528202359</v>
      </c>
      <c r="AA498" s="3">
        <f t="shared" si="130"/>
        <v>2917.7853190362498</v>
      </c>
      <c r="AB498" s="3">
        <f t="shared" si="131"/>
        <v>-54.016528202359041</v>
      </c>
      <c r="AD498" s="3">
        <f t="shared" si="132"/>
        <v>1.7695752471282606E-5</v>
      </c>
    </row>
    <row r="499" spans="3:30" x14ac:dyDescent="0.25">
      <c r="C499" s="22">
        <v>467</v>
      </c>
      <c r="D499" s="22">
        <v>2186</v>
      </c>
      <c r="F499" s="3">
        <f t="shared" si="119"/>
        <v>33577.971817842241</v>
      </c>
      <c r="G499" s="3">
        <f t="shared" si="120"/>
        <v>4855.4554390919666</v>
      </c>
      <c r="H499" s="3">
        <f t="shared" si="121"/>
        <v>12.756583179568258</v>
      </c>
      <c r="I499" s="3">
        <f t="shared" si="122"/>
        <v>4.5363345935448809</v>
      </c>
      <c r="J499" s="3">
        <f t="shared" si="123"/>
        <v>-1.8630415679331174</v>
      </c>
      <c r="K499" s="3">
        <f t="shared" si="124"/>
        <v>9.8507193019604813E-12</v>
      </c>
      <c r="L499" s="3" cm="1">
        <f t="array" ref="L499">lmb_2(F499)</f>
        <v>33567.550347497403</v>
      </c>
      <c r="M499" s="3" cm="1">
        <f t="array" ref="M499">lmb_2(G499)</f>
        <v>4846.9684549611447</v>
      </c>
      <c r="N499" s="3" cm="1">
        <f t="array" ref="N499">lmb_2(H499)</f>
        <v>10.413481878468849</v>
      </c>
      <c r="O499" s="3" cm="1">
        <f t="array" ref="O499">lmb_2(I499)</f>
        <v>3.3325860110421379</v>
      </c>
      <c r="P499" s="3" cm="1">
        <f t="array" ref="P499">lmb_2(J499)</f>
        <v>0.135528889179239</v>
      </c>
      <c r="R499" s="3">
        <f t="shared" si="125"/>
        <v>1.7773866560155294E-3</v>
      </c>
      <c r="S499" s="3">
        <f t="shared" si="126"/>
        <v>2.8686829596980359</v>
      </c>
      <c r="T499" s="3">
        <f t="shared" si="127"/>
        <v>118.40363811903086</v>
      </c>
      <c r="U499" s="3">
        <f t="shared" si="117"/>
        <v>1236.1408823919883</v>
      </c>
      <c r="V499" s="3">
        <f t="shared" si="118"/>
        <v>0</v>
      </c>
      <c r="W499" s="3">
        <f t="shared" si="128"/>
        <v>878.19792947800579</v>
      </c>
      <c r="Y499" s="3">
        <f t="shared" si="129"/>
        <v>2235.6129103353887</v>
      </c>
      <c r="AA499" s="3">
        <f t="shared" si="130"/>
        <v>2461.4408719473222</v>
      </c>
      <c r="AB499" s="3">
        <f t="shared" si="131"/>
        <v>-49.612910335388733</v>
      </c>
      <c r="AD499" s="3">
        <f t="shared" si="132"/>
        <v>1.6253132326202257E-5</v>
      </c>
    </row>
    <row r="500" spans="3:30" x14ac:dyDescent="0.25">
      <c r="C500" s="22">
        <v>468</v>
      </c>
      <c r="D500" s="22">
        <v>2256</v>
      </c>
      <c r="F500" s="3">
        <f t="shared" si="119"/>
        <v>33721.924130019368</v>
      </c>
      <c r="G500" s="3">
        <f t="shared" si="120"/>
        <v>4876.2522956382882</v>
      </c>
      <c r="H500" s="3">
        <f t="shared" si="121"/>
        <v>12.81331534660338</v>
      </c>
      <c r="I500" s="3">
        <f t="shared" si="122"/>
        <v>4.5540147156672655</v>
      </c>
      <c r="J500" s="3">
        <f t="shared" si="123"/>
        <v>-1.8620852050496017</v>
      </c>
      <c r="K500" s="3">
        <f t="shared" si="124"/>
        <v>9.1500504170889719E-12</v>
      </c>
      <c r="L500" s="3" cm="1">
        <f t="array" ref="L500">lmb_2(F500)</f>
        <v>33711.498381133322</v>
      </c>
      <c r="M500" s="3" cm="1">
        <f t="array" ref="M500">lmb_2(G500)</f>
        <v>4867.761034170926</v>
      </c>
      <c r="N500" s="3" cm="1">
        <f t="array" ref="N500">lmb_2(H500)</f>
        <v>10.465254656853952</v>
      </c>
      <c r="O500" s="3" cm="1">
        <f t="array" ref="O500">lmb_2(I500)</f>
        <v>3.3461917942793535</v>
      </c>
      <c r="P500" s="3" cm="1">
        <f t="array" ref="P500">lmb_2(J500)</f>
        <v>0.13564307638890563</v>
      </c>
      <c r="R500" s="3">
        <f t="shared" si="125"/>
        <v>1.7660139458870201E-3</v>
      </c>
      <c r="S500" s="3">
        <f t="shared" si="126"/>
        <v>2.850321150984608</v>
      </c>
      <c r="T500" s="3">
        <f t="shared" si="127"/>
        <v>117.53700836109992</v>
      </c>
      <c r="U500" s="3">
        <f t="shared" si="117"/>
        <v>1229.8886259443668</v>
      </c>
      <c r="V500" s="3">
        <f t="shared" si="118"/>
        <v>0</v>
      </c>
      <c r="W500" s="3">
        <f t="shared" si="128"/>
        <v>879.97137258181306</v>
      </c>
      <c r="Y500" s="3">
        <f t="shared" si="129"/>
        <v>2230.2490940522193</v>
      </c>
      <c r="AA500" s="3">
        <f t="shared" si="130"/>
        <v>663.10915713144573</v>
      </c>
      <c r="AB500" s="3">
        <f t="shared" si="131"/>
        <v>25.750905947780666</v>
      </c>
      <c r="AD500" s="3">
        <f t="shared" si="132"/>
        <v>8.4359671516857114E-6</v>
      </c>
    </row>
    <row r="501" spans="3:30" x14ac:dyDescent="0.25">
      <c r="C501" s="22">
        <v>469</v>
      </c>
      <c r="D501" s="22">
        <v>2254</v>
      </c>
      <c r="F501" s="3">
        <f t="shared" si="119"/>
        <v>33866.184361580825</v>
      </c>
      <c r="G501" s="3">
        <f t="shared" si="120"/>
        <v>4897.0936374392541</v>
      </c>
      <c r="H501" s="3">
        <f t="shared" si="121"/>
        <v>12.870168865867456</v>
      </c>
      <c r="I501" s="3">
        <f t="shared" si="122"/>
        <v>4.571732656232693</v>
      </c>
      <c r="J501" s="3">
        <f t="shared" si="123"/>
        <v>-1.8611267964700788</v>
      </c>
      <c r="K501" s="3">
        <f t="shared" si="124"/>
        <v>8.49921920103921E-12</v>
      </c>
      <c r="L501" s="3" cm="1">
        <f t="array" ref="L501">lmb_2(F501)</f>
        <v>33855.754343287714</v>
      </c>
      <c r="M501" s="3" cm="1">
        <f t="array" ref="M501">lmb_2(G501)</f>
        <v>4888.5981077601909</v>
      </c>
      <c r="N501" s="3" cm="1">
        <f t="array" ref="N501">lmb_2(H501)</f>
        <v>10.517160599937679</v>
      </c>
      <c r="O501" s="3" cm="1">
        <f t="array" ref="O501">lmb_2(I501)</f>
        <v>3.3598394624359531</v>
      </c>
      <c r="P501" s="3" cm="1">
        <f t="array" ref="P501">lmb_2(J501)</f>
        <v>0.13575759282794639</v>
      </c>
      <c r="R501" s="3">
        <f t="shared" si="125"/>
        <v>1.7547380600012978E-3</v>
      </c>
      <c r="S501" s="3">
        <f t="shared" si="126"/>
        <v>2.8321157193978874</v>
      </c>
      <c r="T501" s="3">
        <f t="shared" si="127"/>
        <v>116.67859735938234</v>
      </c>
      <c r="U501" s="3">
        <f t="shared" si="117"/>
        <v>1223.6676180484444</v>
      </c>
      <c r="V501" s="3">
        <f t="shared" si="118"/>
        <v>0</v>
      </c>
      <c r="W501" s="3">
        <f t="shared" si="128"/>
        <v>881.74481568562032</v>
      </c>
      <c r="Y501" s="3">
        <f t="shared" si="129"/>
        <v>2224.9249015509135</v>
      </c>
      <c r="AA501" s="3">
        <f t="shared" si="130"/>
        <v>845.36134982406952</v>
      </c>
      <c r="AB501" s="3">
        <f t="shared" si="131"/>
        <v>29.075098449086454</v>
      </c>
      <c r="AD501" s="3">
        <f t="shared" si="132"/>
        <v>9.5249687892887735E-6</v>
      </c>
    </row>
    <row r="502" spans="3:30" x14ac:dyDescent="0.25">
      <c r="C502" s="22">
        <v>470</v>
      </c>
      <c r="D502" s="22">
        <v>2232</v>
      </c>
      <c r="F502" s="3">
        <f t="shared" si="119"/>
        <v>34010.752512526604</v>
      </c>
      <c r="G502" s="3">
        <f t="shared" si="120"/>
        <v>4917.9794644948643</v>
      </c>
      <c r="H502" s="3">
        <f t="shared" si="121"/>
        <v>12.927143737360485</v>
      </c>
      <c r="I502" s="3">
        <f t="shared" si="122"/>
        <v>4.5894884152411626</v>
      </c>
      <c r="J502" s="3">
        <f t="shared" si="123"/>
        <v>-1.8601663421945482</v>
      </c>
      <c r="K502" s="3">
        <f t="shared" si="124"/>
        <v>7.8946807650809878E-12</v>
      </c>
      <c r="L502" s="3" cm="1">
        <f t="array" ref="L502">lmb_2(F502)</f>
        <v>34000.318233921651</v>
      </c>
      <c r="M502" s="3" cm="1">
        <f t="array" ref="M502">lmb_2(G502)</f>
        <v>4909.4796756901078</v>
      </c>
      <c r="N502" s="3" cm="1">
        <f t="array" ref="N502">lmb_2(H502)</f>
        <v>10.569199658552098</v>
      </c>
      <c r="O502" s="3" cm="1">
        <f t="array" ref="O502">lmb_2(I502)</f>
        <v>3.3735290291413182</v>
      </c>
      <c r="P502" s="3" cm="1">
        <f t="array" ref="P502">lmb_2(J502)</f>
        <v>0.13587243908731225</v>
      </c>
      <c r="R502" s="3">
        <f t="shared" si="125"/>
        <v>1.7435579700728254E-3</v>
      </c>
      <c r="S502" s="3">
        <f t="shared" si="126"/>
        <v>2.8140650037551853</v>
      </c>
      <c r="T502" s="3">
        <f t="shared" si="127"/>
        <v>115.82831148047998</v>
      </c>
      <c r="U502" s="3">
        <f t="shared" si="117"/>
        <v>1217.4777760648558</v>
      </c>
      <c r="V502" s="3">
        <f t="shared" si="118"/>
        <v>0</v>
      </c>
      <c r="W502" s="3">
        <f t="shared" si="128"/>
        <v>883.51825878942759</v>
      </c>
      <c r="Y502" s="3">
        <f t="shared" si="129"/>
        <v>2219.6401548964964</v>
      </c>
      <c r="AA502" s="3">
        <f t="shared" si="130"/>
        <v>152.76577098260267</v>
      </c>
      <c r="AB502" s="3">
        <f t="shared" si="131"/>
        <v>12.359845103503631</v>
      </c>
      <c r="AD502" s="3">
        <f t="shared" si="132"/>
        <v>4.0490710309190638E-6</v>
      </c>
    </row>
    <row r="503" spans="3:30" x14ac:dyDescent="0.25">
      <c r="C503" s="22">
        <v>471</v>
      </c>
      <c r="D503" s="22">
        <v>2133</v>
      </c>
      <c r="F503" s="3">
        <f t="shared" si="119"/>
        <v>34155.628582856742</v>
      </c>
      <c r="G503" s="3">
        <f t="shared" si="120"/>
        <v>4938.9097768051197</v>
      </c>
      <c r="H503" s="3">
        <f t="shared" si="121"/>
        <v>12.984239961082466</v>
      </c>
      <c r="I503" s="3">
        <f t="shared" si="122"/>
        <v>4.6072819926926734</v>
      </c>
      <c r="J503" s="3">
        <f t="shared" si="123"/>
        <v>-1.8592038422230104</v>
      </c>
      <c r="K503" s="3">
        <f t="shared" si="124"/>
        <v>7.3331423638207923E-12</v>
      </c>
      <c r="L503" s="3" cm="1">
        <f t="array" ref="L503">lmb_2(F503)</f>
        <v>34145.190052996491</v>
      </c>
      <c r="M503" s="3" cm="1">
        <f t="array" ref="M503">lmb_2(G503)</f>
        <v>4930.4057379220949</v>
      </c>
      <c r="N503" s="3" cm="1">
        <f t="array" ref="N503">lmb_2(H503)</f>
        <v>10.621371783764392</v>
      </c>
      <c r="O503" s="3" cm="1">
        <f t="array" ref="O503">lmb_2(I503)</f>
        <v>3.3872605077927118</v>
      </c>
      <c r="P503" s="3" cm="1">
        <f t="array" ref="P503">lmb_2(J503)</f>
        <v>0.13598761575970994</v>
      </c>
      <c r="R503" s="3">
        <f t="shared" si="125"/>
        <v>1.7324726608935548E-3</v>
      </c>
      <c r="S503" s="3">
        <f t="shared" si="126"/>
        <v>2.7961673640043974</v>
      </c>
      <c r="T503" s="3">
        <f t="shared" si="127"/>
        <v>114.98605830695912</v>
      </c>
      <c r="U503" s="3">
        <f t="shared" si="117"/>
        <v>1211.3190160017193</v>
      </c>
      <c r="V503" s="3">
        <f t="shared" si="118"/>
        <v>0</v>
      </c>
      <c r="W503" s="3">
        <f t="shared" si="128"/>
        <v>885.29170189323497</v>
      </c>
      <c r="Y503" s="3">
        <f t="shared" si="129"/>
        <v>2214.3946760385861</v>
      </c>
      <c r="AA503" s="3">
        <f t="shared" si="130"/>
        <v>6625.0932874263844</v>
      </c>
      <c r="AB503" s="3">
        <f t="shared" si="131"/>
        <v>-81.394676038586113</v>
      </c>
      <c r="AD503" s="3">
        <f t="shared" si="132"/>
        <v>2.6664802192825012E-5</v>
      </c>
    </row>
    <row r="504" spans="3:30" x14ac:dyDescent="0.25">
      <c r="C504" s="22">
        <v>472</v>
      </c>
      <c r="D504" s="22">
        <v>2234</v>
      </c>
      <c r="F504" s="3">
        <f t="shared" si="119"/>
        <v>34300.812572571187</v>
      </c>
      <c r="G504" s="3">
        <f t="shared" si="120"/>
        <v>4959.8845743700185</v>
      </c>
      <c r="H504" s="3">
        <f t="shared" si="121"/>
        <v>13.041457537033398</v>
      </c>
      <c r="I504" s="3">
        <f t="shared" si="122"/>
        <v>4.625113388587228</v>
      </c>
      <c r="J504" s="3">
        <f t="shared" si="123"/>
        <v>-1.8582392965554648</v>
      </c>
      <c r="K504" s="3">
        <f t="shared" si="124"/>
        <v>6.811545460573356E-12</v>
      </c>
      <c r="L504" s="3" cm="1">
        <f t="array" ref="L504">lmb_2(F504)</f>
        <v>34290.36980047376</v>
      </c>
      <c r="M504" s="3" cm="1">
        <f t="array" ref="M504">lmb_2(G504)</f>
        <v>4951.3762944178116</v>
      </c>
      <c r="N504" s="3" cm="1">
        <f t="array" ref="N504">lmb_2(H504)</f>
        <v>10.67367692687629</v>
      </c>
      <c r="O504" s="3" cm="1">
        <f t="array" ref="O504">lmb_2(I504)</f>
        <v>3.4010339115571471</v>
      </c>
      <c r="P504" s="3" cm="1">
        <f t="array" ref="P504">lmb_2(J504)</f>
        <v>0.13610312343960518</v>
      </c>
      <c r="R504" s="3">
        <f t="shared" si="125"/>
        <v>1.7214811301393019E-3</v>
      </c>
      <c r="S504" s="3">
        <f t="shared" si="126"/>
        <v>2.7784211809110997</v>
      </c>
      <c r="T504" s="3">
        <f t="shared" si="127"/>
        <v>114.15174662012552</v>
      </c>
      <c r="U504" s="3">
        <f t="shared" si="117"/>
        <v>1205.1912525495723</v>
      </c>
      <c r="V504" s="3">
        <f t="shared" si="118"/>
        <v>0</v>
      </c>
      <c r="W504" s="3">
        <f t="shared" si="128"/>
        <v>887.06514499704224</v>
      </c>
      <c r="Y504" s="3">
        <f t="shared" si="129"/>
        <v>2209.188286828788</v>
      </c>
      <c r="AA504" s="3">
        <f t="shared" si="130"/>
        <v>615.62111049049395</v>
      </c>
      <c r="AB504" s="3">
        <f t="shared" si="131"/>
        <v>24.811713171211977</v>
      </c>
      <c r="AD504" s="3">
        <f t="shared" si="132"/>
        <v>8.1282886790020429E-6</v>
      </c>
    </row>
    <row r="505" spans="3:30" x14ac:dyDescent="0.25">
      <c r="C505" s="22">
        <v>473</v>
      </c>
      <c r="D505" s="22">
        <v>2188</v>
      </c>
      <c r="F505" s="3">
        <f t="shared" si="119"/>
        <v>34446.304481669991</v>
      </c>
      <c r="G505" s="3">
        <f t="shared" si="120"/>
        <v>4980.9038571895626</v>
      </c>
      <c r="H505" s="3">
        <f t="shared" si="121"/>
        <v>13.098796465213283</v>
      </c>
      <c r="I505" s="3">
        <f t="shared" si="122"/>
        <v>4.6429826029248256</v>
      </c>
      <c r="J505" s="3">
        <f t="shared" si="123"/>
        <v>-1.8572727051919116</v>
      </c>
      <c r="K505" s="3">
        <f t="shared" si="124"/>
        <v>6.3270490684001239E-12</v>
      </c>
      <c r="L505" s="3" cm="1">
        <f t="array" ref="L505">lmb_2(F505)</f>
        <v>34435.85747631533</v>
      </c>
      <c r="M505" s="3" cm="1">
        <f t="array" ref="M505">lmb_2(G505)</f>
        <v>4972.3913451391654</v>
      </c>
      <c r="N505" s="3" cm="1">
        <f t="array" ref="N505">lmb_2(H505)</f>
        <v>10.726115039423517</v>
      </c>
      <c r="O505" s="3" cm="1">
        <f t="array" ref="O505">lmb_2(I505)</f>
        <v>3.4148492533732369</v>
      </c>
      <c r="P505" s="3" cm="1">
        <f t="array" ref="P505">lmb_2(J505)</f>
        <v>0.13621896272322567</v>
      </c>
      <c r="R505" s="3">
        <f t="shared" si="125"/>
        <v>1.7105823881793682E-3</v>
      </c>
      <c r="S505" s="3">
        <f t="shared" si="126"/>
        <v>2.7608248557509194</v>
      </c>
      <c r="T505" s="3">
        <f t="shared" si="127"/>
        <v>113.32528638305243</v>
      </c>
      <c r="U505" s="3">
        <f t="shared" si="117"/>
        <v>1199.0943991158219</v>
      </c>
      <c r="V505" s="3">
        <f t="shared" si="118"/>
        <v>0</v>
      </c>
      <c r="W505" s="3">
        <f t="shared" si="128"/>
        <v>888.83858810084951</v>
      </c>
      <c r="Y505" s="3">
        <f t="shared" si="129"/>
        <v>2204.0208090378692</v>
      </c>
      <c r="AA505" s="3">
        <f t="shared" si="130"/>
        <v>256.66632222787098</v>
      </c>
      <c r="AB505" s="3">
        <f t="shared" si="131"/>
        <v>-16.020809037869185</v>
      </c>
      <c r="AD505" s="3">
        <f t="shared" si="132"/>
        <v>5.2483986024010915E-6</v>
      </c>
    </row>
    <row r="506" spans="3:30" x14ac:dyDescent="0.25">
      <c r="C506" s="22">
        <v>474</v>
      </c>
      <c r="D506" s="22">
        <v>2188</v>
      </c>
      <c r="F506" s="3">
        <f t="shared" si="119"/>
        <v>34592.104310153118</v>
      </c>
      <c r="G506" s="3">
        <f t="shared" si="120"/>
        <v>5001.967625263751</v>
      </c>
      <c r="H506" s="3">
        <f t="shared" si="121"/>
        <v>13.156256745622118</v>
      </c>
      <c r="I506" s="3">
        <f t="shared" si="122"/>
        <v>4.6608896357054652</v>
      </c>
      <c r="J506" s="3">
        <f t="shared" si="123"/>
        <v>-1.856304068132351</v>
      </c>
      <c r="K506" s="3">
        <f t="shared" si="124"/>
        <v>5.8770142760778061E-12</v>
      </c>
      <c r="L506" s="3" cm="1">
        <f t="array" ref="L506">lmb_2(F506)</f>
        <v>34581.653080483229</v>
      </c>
      <c r="M506" s="3" cm="1">
        <f t="array" ref="M506">lmb_2(G506)</f>
        <v>4993.4508900482997</v>
      </c>
      <c r="N506" s="3" cm="1">
        <f t="array" ref="N506">lmb_2(H506)</f>
        <v>10.778686073175191</v>
      </c>
      <c r="O506" s="3" cm="1">
        <f t="array" ref="O506">lmb_2(I506)</f>
        <v>3.4287065459530504</v>
      </c>
      <c r="P506" s="3" cm="1">
        <f t="array" ref="P506">lmb_2(J506)</f>
        <v>0.1363351342085643</v>
      </c>
      <c r="R506" s="3">
        <f t="shared" si="125"/>
        <v>1.6997754578893978E-3</v>
      </c>
      <c r="S506" s="3">
        <f t="shared" si="126"/>
        <v>2.7433768100071068</v>
      </c>
      <c r="T506" s="3">
        <f t="shared" si="127"/>
        <v>112.50658872385958</v>
      </c>
      <c r="U506" s="3">
        <f t="shared" si="117"/>
        <v>1193.0283678587089</v>
      </c>
      <c r="V506" s="3">
        <f t="shared" si="118"/>
        <v>0</v>
      </c>
      <c r="W506" s="3">
        <f t="shared" si="128"/>
        <v>890.61203120465677</v>
      </c>
      <c r="Y506" s="3">
        <f t="shared" si="129"/>
        <v>2198.892064372696</v>
      </c>
      <c r="AA506" s="3">
        <f t="shared" si="130"/>
        <v>118.63706629895439</v>
      </c>
      <c r="AB506" s="3">
        <f t="shared" si="131"/>
        <v>-10.892064372696041</v>
      </c>
      <c r="AD506" s="3">
        <f t="shared" si="132"/>
        <v>3.5682277527804463E-6</v>
      </c>
    </row>
    <row r="507" spans="3:30" x14ac:dyDescent="0.25">
      <c r="C507" s="22">
        <v>475</v>
      </c>
      <c r="D507" s="22">
        <v>2190</v>
      </c>
      <c r="F507" s="3">
        <f t="shared" si="119"/>
        <v>34738.212058020596</v>
      </c>
      <c r="G507" s="3">
        <f t="shared" si="120"/>
        <v>5023.0758785925846</v>
      </c>
      <c r="H507" s="3">
        <f t="shared" si="121"/>
        <v>13.213838378259908</v>
      </c>
      <c r="I507" s="3">
        <f t="shared" si="122"/>
        <v>4.6788344869291478</v>
      </c>
      <c r="J507" s="3">
        <f t="shared" si="123"/>
        <v>-1.8553333853767828</v>
      </c>
      <c r="K507" s="3">
        <f t="shared" si="124"/>
        <v>5.4589898747151719E-12</v>
      </c>
      <c r="L507" s="3" cm="1">
        <f t="array" ref="L507">lmb_2(F507)</f>
        <v>34727.756612939775</v>
      </c>
      <c r="M507" s="3" cm="1">
        <f t="array" ref="M507">lmb_2(G507)</f>
        <v>5014.5549291076022</v>
      </c>
      <c r="N507" s="3" cm="1">
        <f t="array" ref="N507">lmb_2(H507)</f>
        <v>10.831389980133238</v>
      </c>
      <c r="O507" s="3" cm="1">
        <f t="array" ref="O507">lmb_2(I507)</f>
        <v>3.4426058017839614</v>
      </c>
      <c r="P507" s="3" cm="1">
        <f t="array" ref="P507">lmb_2(J507)</f>
        <v>0.13645163849538242</v>
      </c>
      <c r="R507" s="3">
        <f t="shared" si="125"/>
        <v>1.6890593744673583E-3</v>
      </c>
      <c r="S507" s="3">
        <f t="shared" si="126"/>
        <v>2.7260754850731694</v>
      </c>
      <c r="T507" s="3">
        <f t="shared" si="127"/>
        <v>111.69556591923818</v>
      </c>
      <c r="U507" s="3">
        <f t="shared" si="117"/>
        <v>1186.9930697207835</v>
      </c>
      <c r="V507" s="3">
        <f t="shared" si="118"/>
        <v>0</v>
      </c>
      <c r="W507" s="3">
        <f t="shared" si="128"/>
        <v>892.38547430846415</v>
      </c>
      <c r="Y507" s="3">
        <f t="shared" si="129"/>
        <v>2193.8018744929386</v>
      </c>
      <c r="AA507" s="3">
        <f t="shared" si="130"/>
        <v>14.454249660057311</v>
      </c>
      <c r="AB507" s="3">
        <f t="shared" si="131"/>
        <v>-3.801874492938623</v>
      </c>
      <c r="AD507" s="3">
        <f t="shared" si="132"/>
        <v>1.2454897082961135E-6</v>
      </c>
    </row>
    <row r="508" spans="3:30" x14ac:dyDescent="0.25">
      <c r="C508" s="22">
        <v>476</v>
      </c>
      <c r="D508" s="22">
        <v>2184</v>
      </c>
      <c r="F508" s="3">
        <f t="shared" si="119"/>
        <v>34884.62772527241</v>
      </c>
      <c r="G508" s="3">
        <f t="shared" si="120"/>
        <v>5044.2286171760597</v>
      </c>
      <c r="H508" s="3">
        <f t="shared" si="121"/>
        <v>13.27154136312665</v>
      </c>
      <c r="I508" s="3">
        <f t="shared" si="122"/>
        <v>4.6968171565958707</v>
      </c>
      <c r="J508" s="3">
        <f t="shared" si="123"/>
        <v>-1.8543606569252071</v>
      </c>
      <c r="K508" s="3">
        <f t="shared" si="124"/>
        <v>5.0706990067294919E-12</v>
      </c>
      <c r="L508" s="3" cm="1">
        <f t="array" ref="L508">lmb_2(F508)</f>
        <v>34874.168073647503</v>
      </c>
      <c r="M508" s="3" cm="1">
        <f t="array" ref="M508">lmb_2(G508)</f>
        <v>5035.70346227969</v>
      </c>
      <c r="N508" s="3" cm="1">
        <f t="array" ref="N508">lmb_2(H508)</f>
        <v>10.884226712531762</v>
      </c>
      <c r="O508" s="3" cm="1">
        <f t="array" ref="O508">lmb_2(I508)</f>
        <v>3.4565470331304873</v>
      </c>
      <c r="P508" s="3" cm="1">
        <f t="array" ref="P508">lmb_2(J508)</f>
        <v>0.13656847618521284</v>
      </c>
      <c r="R508" s="3">
        <f t="shared" si="125"/>
        <v>1.678433185252626E-3</v>
      </c>
      <c r="S508" s="3">
        <f t="shared" si="126"/>
        <v>2.7089193419605233</v>
      </c>
      <c r="T508" s="3">
        <f t="shared" si="127"/>
        <v>110.89213137821956</v>
      </c>
      <c r="U508" s="3">
        <f t="shared" si="117"/>
        <v>1180.9884144619139</v>
      </c>
      <c r="V508" s="3">
        <f t="shared" si="118"/>
        <v>0</v>
      </c>
      <c r="W508" s="3">
        <f t="shared" si="128"/>
        <v>894.15891741227142</v>
      </c>
      <c r="Y508" s="3">
        <f t="shared" si="129"/>
        <v>2188.7500610275556</v>
      </c>
      <c r="AA508" s="3">
        <f t="shared" si="130"/>
        <v>22.563079765502589</v>
      </c>
      <c r="AB508" s="3">
        <f t="shared" si="131"/>
        <v>-4.7500610275556028</v>
      </c>
      <c r="AD508" s="3">
        <f t="shared" si="132"/>
        <v>1.5561145257654549E-6</v>
      </c>
    </row>
    <row r="509" spans="3:30" x14ac:dyDescent="0.25">
      <c r="C509" s="22">
        <v>477</v>
      </c>
      <c r="D509" s="22">
        <v>2118</v>
      </c>
      <c r="F509" s="3">
        <f t="shared" si="119"/>
        <v>35031.35131190854</v>
      </c>
      <c r="G509" s="3">
        <f t="shared" si="120"/>
        <v>5065.425841014182</v>
      </c>
      <c r="H509" s="3">
        <f t="shared" si="121"/>
        <v>13.329365700222343</v>
      </c>
      <c r="I509" s="3">
        <f t="shared" si="122"/>
        <v>4.7148376447056384</v>
      </c>
      <c r="J509" s="3">
        <f t="shared" si="123"/>
        <v>-1.8533858827776239</v>
      </c>
      <c r="K509" s="3">
        <f t="shared" si="124"/>
        <v>4.7100267644641852E-12</v>
      </c>
      <c r="L509" s="3" cm="1">
        <f t="array" ref="L509">lmb_2(F509)</f>
        <v>35020.887462569161</v>
      </c>
      <c r="M509" s="3" cm="1">
        <f t="array" ref="M509">lmb_2(G509)</f>
        <v>5056.8964895274248</v>
      </c>
      <c r="N509" s="3" cm="1">
        <f t="array" ref="N509">lmb_2(H509)</f>
        <v>10.937196222836413</v>
      </c>
      <c r="O509" s="3" cm="1">
        <f t="array" ref="O509">lmb_2(I509)</f>
        <v>3.4705302520361347</v>
      </c>
      <c r="P509" s="3" cm="1">
        <f t="array" ref="P509">lmb_2(J509)</f>
        <v>0.1366856478813632</v>
      </c>
      <c r="R509" s="3">
        <f t="shared" si="125"/>
        <v>1.6678959495480909E-3</v>
      </c>
      <c r="S509" s="3">
        <f t="shared" si="126"/>
        <v>2.6919068610110086</v>
      </c>
      <c r="T509" s="3">
        <f t="shared" si="127"/>
        <v>110.09619962618284</v>
      </c>
      <c r="U509" s="3">
        <f t="shared" si="117"/>
        <v>1175.0143106918049</v>
      </c>
      <c r="V509" s="3">
        <f t="shared" si="118"/>
        <v>0</v>
      </c>
      <c r="W509" s="3">
        <f t="shared" si="128"/>
        <v>895.93236051607869</v>
      </c>
      <c r="Y509" s="3">
        <f t="shared" si="129"/>
        <v>2183.7364455910315</v>
      </c>
      <c r="AA509" s="3">
        <f t="shared" si="130"/>
        <v>4321.2802789426441</v>
      </c>
      <c r="AB509" s="3">
        <f t="shared" si="131"/>
        <v>-65.736445591031497</v>
      </c>
      <c r="AD509" s="3">
        <f t="shared" si="132"/>
        <v>2.1535183919318011E-5</v>
      </c>
    </row>
    <row r="510" spans="3:30" x14ac:dyDescent="0.25">
      <c r="C510" s="22">
        <v>478</v>
      </c>
      <c r="D510" s="22">
        <v>2224</v>
      </c>
      <c r="F510" s="3">
        <f t="shared" si="119"/>
        <v>35178.382817929029</v>
      </c>
      <c r="G510" s="3">
        <f t="shared" si="120"/>
        <v>5086.6675501069485</v>
      </c>
      <c r="H510" s="3">
        <f t="shared" si="121"/>
        <v>13.387311389546989</v>
      </c>
      <c r="I510" s="3">
        <f t="shared" si="122"/>
        <v>4.732895951258449</v>
      </c>
      <c r="J510" s="3">
        <f t="shared" si="123"/>
        <v>-1.8524090629340333</v>
      </c>
      <c r="K510" s="3">
        <f t="shared" si="124"/>
        <v>4.375008670900675E-12</v>
      </c>
      <c r="L510" s="3" cm="1">
        <f t="array" ref="L510">lmb_2(F510)</f>
        <v>35167.914779667801</v>
      </c>
      <c r="M510" s="3" cm="1">
        <f t="array" ref="M510">lmb_2(G510)</f>
        <v>5078.1340108138938</v>
      </c>
      <c r="N510" s="3" cm="1">
        <f t="array" ref="N510">lmb_2(H510)</f>
        <v>10.990298463743741</v>
      </c>
      <c r="O510" s="3" cm="1">
        <f t="array" ref="O510">lmb_2(I510)</f>
        <v>3.48455547032522</v>
      </c>
      <c r="P510" s="3" cm="1">
        <f t="array" ref="P510">lmb_2(J510)</f>
        <v>0.13680315418891895</v>
      </c>
      <c r="R510" s="3">
        <f t="shared" si="125"/>
        <v>1.6574467384452333E-3</v>
      </c>
      <c r="S510" s="3">
        <f t="shared" si="126"/>
        <v>2.6750365416142428</v>
      </c>
      <c r="T510" s="3">
        <f t="shared" si="127"/>
        <v>109.30768628909938</v>
      </c>
      <c r="U510" s="3">
        <f t="shared" si="117"/>
        <v>1169.07066590206</v>
      </c>
      <c r="V510" s="3">
        <f t="shared" si="118"/>
        <v>0</v>
      </c>
      <c r="W510" s="3">
        <f t="shared" si="128"/>
        <v>897.70580361988596</v>
      </c>
      <c r="Y510" s="3">
        <f t="shared" si="129"/>
        <v>2178.7608497994024</v>
      </c>
      <c r="AA510" s="3">
        <f t="shared" si="130"/>
        <v>2046.5807108722279</v>
      </c>
      <c r="AB510" s="3">
        <f t="shared" si="131"/>
        <v>45.239150200597578</v>
      </c>
      <c r="AD510" s="3">
        <f t="shared" si="132"/>
        <v>1.4820293539820428E-5</v>
      </c>
    </row>
    <row r="511" spans="3:30" x14ac:dyDescent="0.25">
      <c r="C511" s="22">
        <v>479</v>
      </c>
      <c r="D511" s="22">
        <v>2075</v>
      </c>
      <c r="F511" s="3">
        <f t="shared" si="119"/>
        <v>35325.722243333832</v>
      </c>
      <c r="G511" s="3">
        <f t="shared" si="120"/>
        <v>5107.9537444543603</v>
      </c>
      <c r="H511" s="3">
        <f t="shared" si="121"/>
        <v>13.445378431100586</v>
      </c>
      <c r="I511" s="3">
        <f t="shared" si="122"/>
        <v>4.7509920762543008</v>
      </c>
      <c r="J511" s="3">
        <f t="shared" si="123"/>
        <v>-1.8514301973944352</v>
      </c>
      <c r="K511" s="3">
        <f t="shared" si="124"/>
        <v>4.0638199797222464E-12</v>
      </c>
      <c r="L511" s="3" cm="1">
        <f t="array" ref="L511">lmb_2(F511)</f>
        <v>35315.250024906614</v>
      </c>
      <c r="M511" s="3" cm="1">
        <f t="array" ref="M511">lmb_2(G511)</f>
        <v>5099.416026102419</v>
      </c>
      <c r="N511" s="3" cm="1">
        <f t="array" ref="N511">lmb_2(H511)</f>
        <v>11.043533388180538</v>
      </c>
      <c r="O511" s="3" cm="1">
        <f t="array" ref="O511">lmb_2(I511)</f>
        <v>3.4986226996046992</v>
      </c>
      <c r="P511" s="3" cm="1">
        <f t="array" ref="P511">lmb_2(J511)</f>
        <v>0.13692099571474661</v>
      </c>
      <c r="R511" s="3">
        <f t="shared" si="125"/>
        <v>1.6470846346521319E-3</v>
      </c>
      <c r="S511" s="3">
        <f t="shared" si="126"/>
        <v>2.6583069019296595</v>
      </c>
      <c r="T511" s="3">
        <f t="shared" si="127"/>
        <v>108.5265080780093</v>
      </c>
      <c r="U511" s="3">
        <f t="shared" si="117"/>
        <v>1163.1573864977672</v>
      </c>
      <c r="V511" s="3">
        <f t="shared" si="118"/>
        <v>0</v>
      </c>
      <c r="W511" s="3">
        <f t="shared" si="128"/>
        <v>899.47924672369334</v>
      </c>
      <c r="Y511" s="3">
        <f t="shared" si="129"/>
        <v>2173.8230952860381</v>
      </c>
      <c r="AA511" s="3">
        <f t="shared" si="130"/>
        <v>9766.0041619133644</v>
      </c>
      <c r="AB511" s="3">
        <f t="shared" si="131"/>
        <v>-98.823095286038097</v>
      </c>
      <c r="AD511" s="3">
        <f t="shared" si="132"/>
        <v>3.2374332279861943E-5</v>
      </c>
    </row>
    <row r="512" spans="3:30" x14ac:dyDescent="0.25">
      <c r="C512" s="22">
        <v>480</v>
      </c>
      <c r="D512" s="22">
        <v>2158</v>
      </c>
      <c r="F512" s="3">
        <f t="shared" si="119"/>
        <v>35473.369588122987</v>
      </c>
      <c r="G512" s="3">
        <f t="shared" si="120"/>
        <v>5129.2844240564164</v>
      </c>
      <c r="H512" s="3">
        <f t="shared" si="121"/>
        <v>13.503566824883137</v>
      </c>
      <c r="I512" s="3">
        <f t="shared" si="122"/>
        <v>4.7691260196931964</v>
      </c>
      <c r="J512" s="3">
        <f t="shared" si="123"/>
        <v>-1.8504492861588293</v>
      </c>
      <c r="K512" s="3">
        <f t="shared" si="124"/>
        <v>3.7747657364505037E-12</v>
      </c>
      <c r="L512" s="3" cm="1">
        <f t="array" ref="L512">lmb_2(F512)</f>
        <v>35462.893198249112</v>
      </c>
      <c r="M512" s="3" cm="1">
        <f t="array" ref="M512">lmb_2(G512)</f>
        <v>5120.7425353565486</v>
      </c>
      <c r="N512" s="3" cm="1">
        <f t="array" ref="N512">lmb_2(H512)</f>
        <v>11.096900949303153</v>
      </c>
      <c r="O512" s="3" cm="1">
        <f t="array" ref="O512">lmb_2(I512)</f>
        <v>3.5127319512659954</v>
      </c>
      <c r="P512" s="3" cm="1">
        <f t="array" ref="P512">lmb_2(J512)</f>
        <v>0.13703917306749719</v>
      </c>
      <c r="R512" s="3">
        <f t="shared" si="125"/>
        <v>1.6368087323243101E-3</v>
      </c>
      <c r="S512" s="3">
        <f t="shared" si="126"/>
        <v>2.641716478613191</v>
      </c>
      <c r="T512" s="3">
        <f t="shared" si="127"/>
        <v>107.75258277372797</v>
      </c>
      <c r="U512" s="3">
        <f t="shared" si="117"/>
        <v>1157.2743778286156</v>
      </c>
      <c r="V512" s="3">
        <f t="shared" si="118"/>
        <v>0</v>
      </c>
      <c r="W512" s="3">
        <f t="shared" si="128"/>
        <v>901.2526898275006</v>
      </c>
      <c r="Y512" s="3">
        <f t="shared" si="129"/>
        <v>2168.9230037171933</v>
      </c>
      <c r="AA512" s="3">
        <f t="shared" si="130"/>
        <v>119.31201020581857</v>
      </c>
      <c r="AB512" s="3">
        <f t="shared" si="131"/>
        <v>-10.923003717193296</v>
      </c>
      <c r="AD512" s="3">
        <f t="shared" si="132"/>
        <v>3.5783634464295479E-6</v>
      </c>
    </row>
    <row r="513" spans="3:30" x14ac:dyDescent="0.25">
      <c r="C513" s="22">
        <v>481</v>
      </c>
      <c r="D513" s="22">
        <v>2182</v>
      </c>
      <c r="F513" s="3">
        <f t="shared" si="119"/>
        <v>35621.324852296464</v>
      </c>
      <c r="G513" s="3">
        <f t="shared" si="120"/>
        <v>5150.6595889131167</v>
      </c>
      <c r="H513" s="3">
        <f t="shared" si="121"/>
        <v>13.561876570894636</v>
      </c>
      <c r="I513" s="3">
        <f t="shared" si="122"/>
        <v>4.7872977815751323</v>
      </c>
      <c r="J513" s="3">
        <f t="shared" si="123"/>
        <v>-1.8494663292272162</v>
      </c>
      <c r="K513" s="3">
        <f t="shared" si="124"/>
        <v>3.5062715465202744E-12</v>
      </c>
      <c r="L513" s="3" cm="1">
        <f t="array" ref="L513">lmb_2(F513)</f>
        <v>35610.844299658973</v>
      </c>
      <c r="M513" s="3" cm="1">
        <f t="array" ref="M513">lmb_2(G513)</f>
        <v>5142.1135385400612</v>
      </c>
      <c r="N513" s="3" cm="1">
        <f t="array" ref="N513">lmb_2(H513)</f>
        <v>11.150401100496801</v>
      </c>
      <c r="O513" s="3" cm="1">
        <f t="array" ref="O513">lmb_2(I513)</f>
        <v>3.5268832364867992</v>
      </c>
      <c r="P513" s="3" cm="1">
        <f t="array" ref="P513">lmb_2(J513)</f>
        <v>0.13715768685760887</v>
      </c>
      <c r="R513" s="3">
        <f t="shared" si="125"/>
        <v>1.6266181368984184E-3</v>
      </c>
      <c r="S513" s="3">
        <f t="shared" si="126"/>
        <v>2.6252638265484758</v>
      </c>
      <c r="T513" s="3">
        <f t="shared" si="127"/>
        <v>106.98582921177824</v>
      </c>
      <c r="U513" s="3">
        <f t="shared" si="117"/>
        <v>1151.4215442195673</v>
      </c>
      <c r="V513" s="3">
        <f t="shared" si="118"/>
        <v>0</v>
      </c>
      <c r="W513" s="3">
        <f t="shared" si="128"/>
        <v>903.02613293130787</v>
      </c>
      <c r="Y513" s="3">
        <f t="shared" si="129"/>
        <v>2164.0603968073424</v>
      </c>
      <c r="AA513" s="3">
        <f t="shared" si="130"/>
        <v>321.82936271001125</v>
      </c>
      <c r="AB513" s="3">
        <f t="shared" si="131"/>
        <v>17.939603192657614</v>
      </c>
      <c r="AD513" s="3">
        <f t="shared" si="132"/>
        <v>5.876993359162914E-6</v>
      </c>
    </row>
    <row r="514" spans="3:30" x14ac:dyDescent="0.25">
      <c r="C514" s="22">
        <v>482</v>
      </c>
      <c r="D514" s="22">
        <v>2188</v>
      </c>
      <c r="F514" s="3">
        <f t="shared" si="119"/>
        <v>35769.5880358543</v>
      </c>
      <c r="G514" s="3">
        <f t="shared" si="120"/>
        <v>5172.0792390244615</v>
      </c>
      <c r="H514" s="3">
        <f t="shared" si="121"/>
        <v>13.620307669135089</v>
      </c>
      <c r="I514" s="3">
        <f t="shared" si="122"/>
        <v>4.805507361900113</v>
      </c>
      <c r="J514" s="3">
        <f t="shared" si="123"/>
        <v>-1.8484813265995954</v>
      </c>
      <c r="K514" s="3">
        <f t="shared" si="124"/>
        <v>3.2568750000094125E-12</v>
      </c>
      <c r="L514" s="3" cm="1">
        <f t="array" ref="L514">lmb_2(F514)</f>
        <v>35759.103329100144</v>
      </c>
      <c r="M514" s="3" cm="1">
        <f t="array" ref="M514">lmb_2(G514)</f>
        <v>5163.5290356169571</v>
      </c>
      <c r="N514" s="3" cm="1">
        <f t="array" ref="N514">lmb_2(H514)</f>
        <v>11.204033795374865</v>
      </c>
      <c r="O514" s="3" cm="1">
        <f t="array" ref="O514">lmb_2(I514)</f>
        <v>3.5410765662328938</v>
      </c>
      <c r="P514" s="3" cm="1">
        <f t="array" ref="P514">lmb_2(J514)</f>
        <v>0.13727653769731071</v>
      </c>
      <c r="R514" s="3">
        <f t="shared" si="125"/>
        <v>1.6165119649286473E-3</v>
      </c>
      <c r="S514" s="3">
        <f t="shared" si="126"/>
        <v>2.608947518582537</v>
      </c>
      <c r="T514" s="3">
        <f t="shared" si="127"/>
        <v>106.22616726754561</v>
      </c>
      <c r="U514" s="3">
        <f t="shared" si="117"/>
        <v>1145.5987890010517</v>
      </c>
      <c r="V514" s="3">
        <f t="shared" si="118"/>
        <v>0</v>
      </c>
      <c r="W514" s="3">
        <f t="shared" si="128"/>
        <v>904.79957603511514</v>
      </c>
      <c r="Y514" s="3">
        <f t="shared" si="129"/>
        <v>2159.2350963342633</v>
      </c>
      <c r="AA514" s="3">
        <f t="shared" si="130"/>
        <v>827.41968289911324</v>
      </c>
      <c r="AB514" s="3">
        <f t="shared" si="131"/>
        <v>28.764903665736711</v>
      </c>
      <c r="AD514" s="3">
        <f t="shared" si="132"/>
        <v>9.4233493352676539E-6</v>
      </c>
    </row>
    <row r="515" spans="3:30" x14ac:dyDescent="0.25">
      <c r="C515" s="22">
        <v>483</v>
      </c>
      <c r="D515" s="22">
        <v>2147</v>
      </c>
      <c r="F515" s="3">
        <f t="shared" si="119"/>
        <v>35918.159138796444</v>
      </c>
      <c r="G515" s="3">
        <f t="shared" si="120"/>
        <v>5193.5433743904505</v>
      </c>
      <c r="H515" s="3">
        <f t="shared" si="121"/>
        <v>13.678860119604497</v>
      </c>
      <c r="I515" s="3">
        <f t="shared" si="122"/>
        <v>4.8237547606681357</v>
      </c>
      <c r="J515" s="3">
        <f t="shared" si="123"/>
        <v>-1.8474942782759669</v>
      </c>
      <c r="K515" s="3">
        <f t="shared" si="124"/>
        <v>3.0252177063163186E-12</v>
      </c>
      <c r="L515" s="3" cm="1">
        <f t="array" ref="L515">lmb_2(F515)</f>
        <v>35907.670286536733</v>
      </c>
      <c r="M515" s="3" cm="1">
        <f t="array" ref="M515">lmb_2(G515)</f>
        <v>5184.989026551465</v>
      </c>
      <c r="N515" s="3" cm="1">
        <f t="array" ref="N515">lmb_2(H515)</f>
        <v>11.257798987778187</v>
      </c>
      <c r="O515" s="3" cm="1">
        <f t="array" ref="O515">lmb_2(I515)</f>
        <v>3.5553119512599412</v>
      </c>
      <c r="P515" s="3" cm="1">
        <f t="array" ref="P515">lmb_2(J515)</f>
        <v>0.13739572620062562</v>
      </c>
      <c r="R515" s="3">
        <f t="shared" si="125"/>
        <v>1.6064893439258713E-3</v>
      </c>
      <c r="S515" s="3">
        <f t="shared" si="126"/>
        <v>2.5927661452658097</v>
      </c>
      <c r="T515" s="3">
        <f t="shared" si="127"/>
        <v>105.47351784165252</v>
      </c>
      <c r="U515" s="3">
        <f t="shared" si="117"/>
        <v>1139.8060145387255</v>
      </c>
      <c r="V515" s="3">
        <f t="shared" si="118"/>
        <v>0</v>
      </c>
      <c r="W515" s="3">
        <f t="shared" si="128"/>
        <v>906.5730191389224</v>
      </c>
      <c r="Y515" s="3">
        <f t="shared" si="129"/>
        <v>2154.4469241539132</v>
      </c>
      <c r="AA515" s="3">
        <f t="shared" si="130"/>
        <v>55.456679354135638</v>
      </c>
      <c r="AB515" s="3">
        <f t="shared" si="131"/>
        <v>-7.4469241539131872</v>
      </c>
      <c r="AD515" s="3">
        <f t="shared" si="132"/>
        <v>2.439603782131046E-6</v>
      </c>
    </row>
    <row r="516" spans="3:30" x14ac:dyDescent="0.25">
      <c r="C516" s="22">
        <v>484</v>
      </c>
      <c r="D516" s="22">
        <v>2147</v>
      </c>
      <c r="F516" s="3">
        <f t="shared" si="119"/>
        <v>36067.038161122946</v>
      </c>
      <c r="G516" s="3">
        <f t="shared" si="120"/>
        <v>5215.0519950110838</v>
      </c>
      <c r="H516" s="3">
        <f t="shared" si="121"/>
        <v>13.737533922302855</v>
      </c>
      <c r="I516" s="3">
        <f t="shared" si="122"/>
        <v>4.8420399778792005</v>
      </c>
      <c r="J516" s="3">
        <f t="shared" si="123"/>
        <v>-1.8465051842563311</v>
      </c>
      <c r="K516" s="3">
        <f t="shared" si="124"/>
        <v>2.8100378954007498E-12</v>
      </c>
      <c r="L516" s="3" cm="1">
        <f t="array" ref="L516">lmb_2(F516)</f>
        <v>36056.545171933154</v>
      </c>
      <c r="M516" s="3" cm="1">
        <f t="array" ref="M516">lmb_2(G516)</f>
        <v>5206.4935113080301</v>
      </c>
      <c r="N516" s="3" cm="1">
        <f t="array" ref="N516">lmb_2(H516)</f>
        <v>11.311696631774316</v>
      </c>
      <c r="O516" s="3" cm="1">
        <f t="array" ref="O516">lmb_2(I516)</f>
        <v>3.5695894021152874</v>
      </c>
      <c r="P516" s="3" cm="1">
        <f t="array" ref="P516">lmb_2(J516)</f>
        <v>0.13751525298337353</v>
      </c>
      <c r="R516" s="3">
        <f t="shared" si="125"/>
        <v>1.5965494121994168E-3</v>
      </c>
      <c r="S516" s="3">
        <f t="shared" si="126"/>
        <v>2.576718314596488</v>
      </c>
      <c r="T516" s="3">
        <f t="shared" si="127"/>
        <v>104.72780284554985</v>
      </c>
      <c r="U516" s="3">
        <f t="shared" si="117"/>
        <v>1134.0431222627719</v>
      </c>
      <c r="V516" s="3">
        <f t="shared" si="118"/>
        <v>0</v>
      </c>
      <c r="W516" s="3">
        <f t="shared" si="128"/>
        <v>908.34646224272979</v>
      </c>
      <c r="Y516" s="3">
        <f t="shared" si="129"/>
        <v>2149.6957022150627</v>
      </c>
      <c r="AA516" s="3">
        <f t="shared" si="130"/>
        <v>7.2668104322941529</v>
      </c>
      <c r="AB516" s="3">
        <f t="shared" si="131"/>
        <v>-2.6957022150627381</v>
      </c>
      <c r="AD516" s="3">
        <f t="shared" si="132"/>
        <v>8.8310894316149615E-7</v>
      </c>
    </row>
    <row r="517" spans="3:30" x14ac:dyDescent="0.25">
      <c r="C517" s="22">
        <v>485</v>
      </c>
      <c r="D517" s="22">
        <v>2128</v>
      </c>
      <c r="F517" s="3">
        <f t="shared" si="119"/>
        <v>36216.225102833785</v>
      </c>
      <c r="G517" s="3">
        <f t="shared" si="120"/>
        <v>5236.6051008863633</v>
      </c>
      <c r="H517" s="3">
        <f t="shared" si="121"/>
        <v>13.796329077230165</v>
      </c>
      <c r="I517" s="3">
        <f t="shared" si="122"/>
        <v>4.8603630135333082</v>
      </c>
      <c r="J517" s="3">
        <f t="shared" si="123"/>
        <v>-1.8455140445406879</v>
      </c>
      <c r="K517" s="3">
        <f t="shared" si="124"/>
        <v>2.6101635452885431E-12</v>
      </c>
      <c r="L517" s="3" cm="1">
        <f t="array" ref="L517">lmb_2(F517)</f>
        <v>36205.72798525398</v>
      </c>
      <c r="M517" s="3" cm="1">
        <f t="array" ref="M517">lmb_2(G517)</f>
        <v>5228.0424898513229</v>
      </c>
      <c r="N517" s="3" cm="1">
        <f t="array" ref="N517">lmb_2(H517)</f>
        <v>11.365726681656794</v>
      </c>
      <c r="O517" s="3" cm="1">
        <f t="array" ref="O517">lmb_2(I517)</f>
        <v>3.5839089291397492</v>
      </c>
      <c r="P517" s="3" cm="1">
        <f t="array" ref="P517">lmb_2(J517)</f>
        <v>0.13763511866317482</v>
      </c>
      <c r="R517" s="3">
        <f t="shared" si="125"/>
        <v>1.586691318701469E-3</v>
      </c>
      <c r="S517" s="3">
        <f t="shared" si="126"/>
        <v>2.560802651769051</v>
      </c>
      <c r="T517" s="3">
        <f t="shared" si="127"/>
        <v>103.98894518732021</v>
      </c>
      <c r="U517" s="3">
        <f t="shared" si="117"/>
        <v>1128.3100126967565</v>
      </c>
      <c r="V517" s="3">
        <f t="shared" si="118"/>
        <v>0</v>
      </c>
      <c r="W517" s="3">
        <f t="shared" si="128"/>
        <v>910.11990534653705</v>
      </c>
      <c r="Y517" s="3">
        <f t="shared" si="129"/>
        <v>2144.9812525737043</v>
      </c>
      <c r="AA517" s="3">
        <f t="shared" si="130"/>
        <v>288.36293897193877</v>
      </c>
      <c r="AB517" s="3">
        <f t="shared" si="131"/>
        <v>-16.981252573704296</v>
      </c>
      <c r="AD517" s="3">
        <f t="shared" si="132"/>
        <v>5.5630387993628678E-6</v>
      </c>
    </row>
    <row r="518" spans="3:30" x14ac:dyDescent="0.25">
      <c r="C518" s="22">
        <v>486</v>
      </c>
      <c r="D518" s="22">
        <v>2164</v>
      </c>
      <c r="F518" s="3">
        <f t="shared" si="119"/>
        <v>36365.719963928939</v>
      </c>
      <c r="G518" s="3">
        <f t="shared" si="120"/>
        <v>5258.2026920162853</v>
      </c>
      <c r="H518" s="3">
        <f t="shared" si="121"/>
        <v>13.855245584386429</v>
      </c>
      <c r="I518" s="3">
        <f t="shared" si="122"/>
        <v>4.8787238676304572</v>
      </c>
      <c r="J518" s="3">
        <f t="shared" si="123"/>
        <v>-1.844520859129037</v>
      </c>
      <c r="K518" s="3">
        <f t="shared" si="124"/>
        <v>2.4245059984081231E-12</v>
      </c>
      <c r="L518" s="3" cm="1">
        <f t="array" ref="L518">lmb_2(F518)</f>
        <v>36355.218726464009</v>
      </c>
      <c r="M518" s="3" cm="1">
        <f t="array" ref="M518">lmb_2(G518)</f>
        <v>5249.6359621462252</v>
      </c>
      <c r="N518" s="3" cm="1">
        <f t="array" ref="N518">lmb_2(H518)</f>
        <v>11.419889091944393</v>
      </c>
      <c r="O518" s="3" cm="1">
        <f t="array" ref="O518">lmb_2(I518)</f>
        <v>3.5982705424693955</v>
      </c>
      <c r="P518" s="3" cm="1">
        <f t="array" ref="P518">lmb_2(J518)</f>
        <v>0.1377553238594533</v>
      </c>
      <c r="R518" s="3">
        <f t="shared" si="125"/>
        <v>1.5769142228740127E-3</v>
      </c>
      <c r="S518" s="3">
        <f t="shared" si="126"/>
        <v>2.5450177989269527</v>
      </c>
      <c r="T518" s="3">
        <f t="shared" si="127"/>
        <v>103.25686875769269</v>
      </c>
      <c r="U518" s="3">
        <f t="shared" si="117"/>
        <v>1122.6065854860456</v>
      </c>
      <c r="V518" s="3">
        <f t="shared" si="118"/>
        <v>0</v>
      </c>
      <c r="W518" s="3">
        <f t="shared" si="128"/>
        <v>911.89334845034432</v>
      </c>
      <c r="Y518" s="3">
        <f t="shared" si="129"/>
        <v>2140.3033974072346</v>
      </c>
      <c r="AA518" s="3">
        <f t="shared" si="130"/>
        <v>561.52897443945733</v>
      </c>
      <c r="AB518" s="3">
        <f t="shared" si="131"/>
        <v>23.69660259276543</v>
      </c>
      <c r="AD518" s="3">
        <f t="shared" si="132"/>
        <v>7.7629797368875976E-6</v>
      </c>
    </row>
    <row r="519" spans="3:30" x14ac:dyDescent="0.25">
      <c r="C519" s="22">
        <v>487</v>
      </c>
      <c r="D519" s="22">
        <v>2150</v>
      </c>
      <c r="F519" s="3">
        <f t="shared" si="119"/>
        <v>36515.522744408452</v>
      </c>
      <c r="G519" s="3">
        <f t="shared" si="120"/>
        <v>5279.8447684008534</v>
      </c>
      <c r="H519" s="3">
        <f t="shared" si="121"/>
        <v>13.914283443771641</v>
      </c>
      <c r="I519" s="3">
        <f t="shared" si="122"/>
        <v>4.89712254017065</v>
      </c>
      <c r="J519" s="3">
        <f t="shared" si="123"/>
        <v>-1.8435256280213785</v>
      </c>
      <c r="K519" s="3">
        <f t="shared" si="124"/>
        <v>2.2520540319886945E-12</v>
      </c>
      <c r="L519" s="3" cm="1">
        <f t="array" ref="L519">lmb_2(F519)</f>
        <v>36505.017395528303</v>
      </c>
      <c r="M519" s="3" cm="1">
        <f t="array" ref="M519">lmb_2(G519)</f>
        <v>5271.2739281578415</v>
      </c>
      <c r="N519" s="3" cm="1">
        <f t="array" ref="N519">lmb_2(H519)</f>
        <v>11.474183817380355</v>
      </c>
      <c r="O519" s="3" cm="1">
        <f t="array" ref="O519">lmb_2(I519)</f>
        <v>3.6126742520373272</v>
      </c>
      <c r="P519" s="3" cm="1">
        <f t="array" ref="P519">lmb_2(J519)</f>
        <v>0.13787586919343961</v>
      </c>
      <c r="R519" s="3">
        <f t="shared" si="125"/>
        <v>1.5672172944982893E-3</v>
      </c>
      <c r="S519" s="3">
        <f t="shared" si="126"/>
        <v>2.5293624149193388</v>
      </c>
      <c r="T519" s="3">
        <f t="shared" si="127"/>
        <v>102.53149841626346</v>
      </c>
      <c r="U519" s="3">
        <f t="shared" si="117"/>
        <v>1116.93273942578</v>
      </c>
      <c r="V519" s="3">
        <f t="shared" si="118"/>
        <v>0</v>
      </c>
      <c r="W519" s="3">
        <f t="shared" si="128"/>
        <v>913.66679155415159</v>
      </c>
      <c r="Y519" s="3">
        <f t="shared" si="129"/>
        <v>2135.6619590284113</v>
      </c>
      <c r="AA519" s="3">
        <f t="shared" si="130"/>
        <v>205.57941890295697</v>
      </c>
      <c r="AB519" s="3">
        <f t="shared" si="131"/>
        <v>14.338040971588725</v>
      </c>
      <c r="AD519" s="3">
        <f t="shared" si="132"/>
        <v>4.6971257205912345E-6</v>
      </c>
    </row>
    <row r="520" spans="3:30" x14ac:dyDescent="0.25">
      <c r="C520" s="22">
        <v>488</v>
      </c>
      <c r="D520" s="22">
        <v>2172</v>
      </c>
      <c r="F520" s="3">
        <f t="shared" si="119"/>
        <v>36665.63344427228</v>
      </c>
      <c r="G520" s="3">
        <f t="shared" si="120"/>
        <v>5301.5313300400658</v>
      </c>
      <c r="H520" s="3">
        <f t="shared" si="121"/>
        <v>13.973442655385806</v>
      </c>
      <c r="I520" s="3">
        <f t="shared" si="122"/>
        <v>4.9155590311538857</v>
      </c>
      <c r="J520" s="3">
        <f t="shared" si="123"/>
        <v>-1.8425283512177129</v>
      </c>
      <c r="K520" s="3">
        <f t="shared" si="124"/>
        <v>2.0918683502233169E-12</v>
      </c>
      <c r="L520" s="3" cm="1">
        <f t="array" ref="L520">lmb_2(F520)</f>
        <v>36655.12399241206</v>
      </c>
      <c r="M520" s="3" cm="1">
        <f t="array" ref="M520">lmb_2(G520)</f>
        <v>5292.9563878514873</v>
      </c>
      <c r="N520" s="3" cm="1">
        <f t="array" ref="N520">lmb_2(H520)</f>
        <v>11.52861081293163</v>
      </c>
      <c r="O520" s="3" cm="1">
        <f t="array" ref="O520">lmb_2(I520)</f>
        <v>3.6271200675754423</v>
      </c>
      <c r="P520" s="3" cm="1">
        <f t="array" ref="P520">lmb_2(J520)</f>
        <v>0.13799675528817432</v>
      </c>
      <c r="R520" s="3">
        <f t="shared" si="125"/>
        <v>1.5575997135467282E-3</v>
      </c>
      <c r="S520" s="3">
        <f t="shared" si="126"/>
        <v>2.5138351750617729</v>
      </c>
      <c r="T520" s="3">
        <f t="shared" si="127"/>
        <v>101.8127599779209</v>
      </c>
      <c r="U520" s="3">
        <f t="shared" si="117"/>
        <v>1111.2883724884205</v>
      </c>
      <c r="V520" s="3">
        <f t="shared" si="118"/>
        <v>0</v>
      </c>
      <c r="W520" s="3">
        <f t="shared" si="128"/>
        <v>915.44023465795897</v>
      </c>
      <c r="Y520" s="3">
        <f t="shared" si="129"/>
        <v>2131.0567598990779</v>
      </c>
      <c r="AA520" s="3">
        <f t="shared" si="130"/>
        <v>1676.3489099617589</v>
      </c>
      <c r="AB520" s="3">
        <f t="shared" si="131"/>
        <v>40.943240100922139</v>
      </c>
      <c r="AD520" s="3">
        <f t="shared" si="132"/>
        <v>1.3412958335344632E-5</v>
      </c>
    </row>
    <row r="521" spans="3:30" x14ac:dyDescent="0.25">
      <c r="C521" s="22">
        <v>489</v>
      </c>
      <c r="D521" s="22">
        <v>2065</v>
      </c>
      <c r="F521" s="3">
        <f t="shared" si="119"/>
        <v>36816.052063520459</v>
      </c>
      <c r="G521" s="3">
        <f t="shared" si="120"/>
        <v>5323.2623769339198</v>
      </c>
      <c r="H521" s="3">
        <f t="shared" si="121"/>
        <v>14.032723219228927</v>
      </c>
      <c r="I521" s="3">
        <f t="shared" si="122"/>
        <v>4.9340333405801626</v>
      </c>
      <c r="J521" s="3">
        <f t="shared" si="123"/>
        <v>-1.8415290287180393</v>
      </c>
      <c r="K521" s="3">
        <f t="shared" si="124"/>
        <v>1.9430764681972737E-12</v>
      </c>
      <c r="L521" s="3" cm="1">
        <f t="array" ref="L521">lmb_2(F521)</f>
        <v>36805.538517080786</v>
      </c>
      <c r="M521" s="3" cm="1">
        <f t="array" ref="M521">lmb_2(G521)</f>
        <v>5314.6833411926873</v>
      </c>
      <c r="N521" s="3" cm="1">
        <f t="array" ref="N521">lmb_2(H521)</f>
        <v>11.583170033788079</v>
      </c>
      <c r="O521" s="3" cm="1">
        <f t="array" ref="O521">lmb_2(I521)</f>
        <v>3.6416079986161978</v>
      </c>
      <c r="P521" s="3" cm="1">
        <f t="array" ref="P521">lmb_2(J521)</f>
        <v>0.13811798276851142</v>
      </c>
      <c r="R521" s="3">
        <f t="shared" si="125"/>
        <v>1.5480606700372767E-3</v>
      </c>
      <c r="S521" s="3">
        <f t="shared" si="126"/>
        <v>2.4984347709008548</v>
      </c>
      <c r="T521" s="3">
        <f t="shared" si="127"/>
        <v>101.10058019947121</v>
      </c>
      <c r="U521" s="3">
        <f t="shared" si="117"/>
        <v>1105.6733818508635</v>
      </c>
      <c r="V521" s="3">
        <f t="shared" si="118"/>
        <v>0</v>
      </c>
      <c r="W521" s="3">
        <f t="shared" si="128"/>
        <v>917.21367776176623</v>
      </c>
      <c r="Y521" s="3">
        <f t="shared" si="129"/>
        <v>2126.4876226436736</v>
      </c>
      <c r="AA521" s="3">
        <f t="shared" si="130"/>
        <v>3780.7277383708029</v>
      </c>
      <c r="AB521" s="3">
        <f t="shared" si="131"/>
        <v>-61.487622643673603</v>
      </c>
      <c r="AD521" s="3">
        <f t="shared" si="132"/>
        <v>2.0143274411748675E-5</v>
      </c>
    </row>
    <row r="522" spans="3:30" x14ac:dyDescent="0.25">
      <c r="C522" s="22">
        <v>490</v>
      </c>
      <c r="D522" s="22">
        <v>2092</v>
      </c>
      <c r="F522" s="3">
        <f t="shared" si="119"/>
        <v>36966.778602152961</v>
      </c>
      <c r="G522" s="3">
        <f t="shared" si="120"/>
        <v>5345.0379090824208</v>
      </c>
      <c r="H522" s="3">
        <f t="shared" si="121"/>
        <v>14.092125135300998</v>
      </c>
      <c r="I522" s="3">
        <f t="shared" si="122"/>
        <v>4.9525454684494834</v>
      </c>
      <c r="J522" s="3">
        <f t="shared" si="123"/>
        <v>-1.8405276605223584</v>
      </c>
      <c r="K522" s="3">
        <f t="shared" si="124"/>
        <v>1.8048679597159797E-12</v>
      </c>
      <c r="L522" s="3" cm="1">
        <f t="array" ref="L522">lmb_2(F522)</f>
        <v>36956.260969500108</v>
      </c>
      <c r="M522" s="3" cm="1">
        <f t="array" ref="M522">lmb_2(G522)</f>
        <v>5336.4547881471881</v>
      </c>
      <c r="N522" s="3" cm="1">
        <f t="array" ref="N522">lmb_2(H522)</f>
        <v>11.637861435361691</v>
      </c>
      <c r="O522" s="3" cm="1">
        <f t="array" ref="O522">lmb_2(I522)</f>
        <v>3.6561380544943707</v>
      </c>
      <c r="P522" s="3" cm="1">
        <f t="array" ref="P522">lmb_2(J522)</f>
        <v>0.13823955226112122</v>
      </c>
      <c r="R522" s="3">
        <f t="shared" si="125"/>
        <v>1.5385993638901301E-3</v>
      </c>
      <c r="S522" s="3">
        <f t="shared" si="126"/>
        <v>2.4831599099826724</v>
      </c>
      <c r="T522" s="3">
        <f t="shared" si="127"/>
        <v>100.39488676646235</v>
      </c>
      <c r="U522" s="3">
        <f t="shared" si="117"/>
        <v>1100.0876639211224</v>
      </c>
      <c r="V522" s="3">
        <f t="shared" si="118"/>
        <v>0</v>
      </c>
      <c r="W522" s="3">
        <f t="shared" si="128"/>
        <v>918.9871208655735</v>
      </c>
      <c r="Y522" s="3">
        <f t="shared" si="129"/>
        <v>2121.9543700625068</v>
      </c>
      <c r="AA522" s="3">
        <f t="shared" si="130"/>
        <v>897.2642858416018</v>
      </c>
      <c r="AB522" s="3">
        <f t="shared" si="131"/>
        <v>-29.954370062506769</v>
      </c>
      <c r="AD522" s="3">
        <f t="shared" si="132"/>
        <v>9.8130171578885107E-6</v>
      </c>
    </row>
    <row r="523" spans="3:30" x14ac:dyDescent="0.25">
      <c r="C523" s="22">
        <v>491</v>
      </c>
      <c r="D523" s="22">
        <v>2047</v>
      </c>
      <c r="F523" s="3">
        <f t="shared" si="119"/>
        <v>37117.813060169821</v>
      </c>
      <c r="G523" s="3">
        <f t="shared" si="120"/>
        <v>5366.8579264855671</v>
      </c>
      <c r="H523" s="3">
        <f t="shared" si="121"/>
        <v>14.151648403602023</v>
      </c>
      <c r="I523" s="3">
        <f t="shared" si="122"/>
        <v>4.9710954147618454</v>
      </c>
      <c r="J523" s="3">
        <f t="shared" si="123"/>
        <v>-1.83952424663067</v>
      </c>
      <c r="K523" s="3">
        <f t="shared" si="124"/>
        <v>1.6764900431487385E-12</v>
      </c>
      <c r="L523" s="3" cm="1">
        <f t="array" ref="L523">lmb_2(F523)</f>
        <v>37107.291349635947</v>
      </c>
      <c r="M523" s="3" cm="1">
        <f t="array" ref="M523">lmb_2(G523)</f>
        <v>5358.2707286809355</v>
      </c>
      <c r="N523" s="3" cm="1">
        <f t="array" ref="N523">lmb_2(H523)</f>
        <v>11.692684973285791</v>
      </c>
      <c r="O523" s="3" cm="1">
        <f t="array" ref="O523">lmb_2(I523)</f>
        <v>3.6707102443487973</v>
      </c>
      <c r="P523" s="3" cm="1">
        <f t="array" ref="P523">lmb_2(J523)</f>
        <v>0.13836146439449387</v>
      </c>
      <c r="R523" s="3">
        <f t="shared" si="125"/>
        <v>1.5292150047867645E-3</v>
      </c>
      <c r="S523" s="3">
        <f t="shared" si="126"/>
        <v>2.468009315625042</v>
      </c>
      <c r="T523" s="3">
        <f t="shared" si="127"/>
        <v>99.695608280202421</v>
      </c>
      <c r="U523" s="3">
        <f t="shared" si="117"/>
        <v>1094.5311143646013</v>
      </c>
      <c r="V523" s="3">
        <f t="shared" si="118"/>
        <v>0</v>
      </c>
      <c r="W523" s="3">
        <f t="shared" si="128"/>
        <v>920.76056396938077</v>
      </c>
      <c r="Y523" s="3">
        <f t="shared" si="129"/>
        <v>2117.4568251448163</v>
      </c>
      <c r="AA523" s="3">
        <f t="shared" si="130"/>
        <v>4964.1642094872213</v>
      </c>
      <c r="AB523" s="3">
        <f t="shared" si="131"/>
        <v>-70.456825144816321</v>
      </c>
      <c r="AD523" s="3">
        <f t="shared" si="132"/>
        <v>2.3081574828436669E-5</v>
      </c>
    </row>
    <row r="524" spans="3:30" x14ac:dyDescent="0.25">
      <c r="C524" s="22">
        <v>492</v>
      </c>
      <c r="D524" s="22">
        <v>2121</v>
      </c>
      <c r="F524" s="3">
        <f t="shared" si="119"/>
        <v>37269.155437571004</v>
      </c>
      <c r="G524" s="3">
        <f t="shared" si="120"/>
        <v>5388.7224291433577</v>
      </c>
      <c r="H524" s="3">
        <f t="shared" si="121"/>
        <v>14.211293024131997</v>
      </c>
      <c r="I524" s="3">
        <f t="shared" si="122"/>
        <v>4.9896831795172503</v>
      </c>
      <c r="J524" s="3">
        <f t="shared" si="123"/>
        <v>-1.838518787042974</v>
      </c>
      <c r="K524" s="3">
        <f t="shared" si="124"/>
        <v>1.5572434812456467E-12</v>
      </c>
      <c r="L524" s="3" cm="1">
        <f t="array" ref="L524">lmb_2(F524)</f>
        <v>37258.629657454352</v>
      </c>
      <c r="M524" s="3" cm="1">
        <f t="array" ref="M524">lmb_2(G524)</f>
        <v>5380.1311627600871</v>
      </c>
      <c r="N524" s="3" cm="1">
        <f t="array" ref="N524">lmb_2(H524)</f>
        <v>11.747640603414219</v>
      </c>
      <c r="O524" s="3" cm="1">
        <f t="array" ref="O524">lmb_2(I524)</f>
        <v>3.6853245771241232</v>
      </c>
      <c r="P524" s="3" cm="1">
        <f t="array" ref="P524">lmb_2(J524)</f>
        <v>0.13848371979894253</v>
      </c>
      <c r="R524" s="3">
        <f t="shared" si="125"/>
        <v>1.5199068120312872E-3</v>
      </c>
      <c r="S524" s="3">
        <f t="shared" si="126"/>
        <v>2.4529817266934235</v>
      </c>
      <c r="T524" s="3">
        <f t="shared" si="127"/>
        <v>99.002674244970805</v>
      </c>
      <c r="U524" s="3">
        <f t="shared" si="117"/>
        <v>1089.0036281299354</v>
      </c>
      <c r="V524" s="3">
        <f t="shared" si="118"/>
        <v>0</v>
      </c>
      <c r="W524" s="3">
        <f t="shared" si="128"/>
        <v>922.53400707318804</v>
      </c>
      <c r="Y524" s="3">
        <f t="shared" si="129"/>
        <v>2112.9948110816008</v>
      </c>
      <c r="AA524" s="3">
        <f t="shared" si="130"/>
        <v>64.083049619261331</v>
      </c>
      <c r="AB524" s="3">
        <f t="shared" si="131"/>
        <v>8.0051889183991989</v>
      </c>
      <c r="AD524" s="3">
        <f t="shared" si="132"/>
        <v>2.622490676467804E-6</v>
      </c>
    </row>
    <row r="525" spans="3:30" x14ac:dyDescent="0.25">
      <c r="C525" s="22">
        <v>493</v>
      </c>
      <c r="D525" s="22">
        <v>2102</v>
      </c>
      <c r="F525" s="3">
        <f t="shared" si="119"/>
        <v>37420.805734356516</v>
      </c>
      <c r="G525" s="3">
        <f t="shared" si="120"/>
        <v>5410.6314170557916</v>
      </c>
      <c r="H525" s="3">
        <f t="shared" si="121"/>
        <v>14.271058996890924</v>
      </c>
      <c r="I525" s="3">
        <f t="shared" si="122"/>
        <v>5.0083087627156981</v>
      </c>
      <c r="J525" s="3">
        <f t="shared" si="123"/>
        <v>-1.8375112817592705</v>
      </c>
      <c r="K525" s="3">
        <f t="shared" si="124"/>
        <v>1.4464787725953189E-12</v>
      </c>
      <c r="L525" s="3" cm="1">
        <f t="array" ref="L525">lmb_2(F525)</f>
        <v>37410.275892921629</v>
      </c>
      <c r="M525" s="3" cm="1">
        <f t="array" ref="M525">lmb_2(G525)</f>
        <v>5402.0360903510027</v>
      </c>
      <c r="N525" s="3" cm="1">
        <f t="array" ref="N525">lmb_2(H525)</f>
        <v>11.802728281820519</v>
      </c>
      <c r="O525" s="3" cm="1">
        <f t="array" ref="O525">lmb_2(I525)</f>
        <v>3.6999810615725299</v>
      </c>
      <c r="P525" s="3" cm="1">
        <f t="array" ref="P525">lmb_2(J525)</f>
        <v>0.13860631910660659</v>
      </c>
      <c r="R525" s="3">
        <f t="shared" si="125"/>
        <v>1.5106740144140078E-3</v>
      </c>
      <c r="S525" s="3">
        <f t="shared" si="126"/>
        <v>2.4380758973804841</v>
      </c>
      <c r="T525" s="3">
        <f t="shared" si="127"/>
        <v>98.316015055417893</v>
      </c>
      <c r="U525" s="3">
        <f t="shared" si="117"/>
        <v>1083.5050994744274</v>
      </c>
      <c r="V525" s="3">
        <f t="shared" si="118"/>
        <v>0</v>
      </c>
      <c r="W525" s="3">
        <f t="shared" si="128"/>
        <v>924.30745017699542</v>
      </c>
      <c r="Y525" s="3">
        <f t="shared" si="129"/>
        <v>2108.5681512782371</v>
      </c>
      <c r="AA525" s="3">
        <f t="shared" si="130"/>
        <v>43.14061121380778</v>
      </c>
      <c r="AB525" s="3">
        <f t="shared" si="131"/>
        <v>-6.5681512782371101</v>
      </c>
      <c r="AD525" s="3">
        <f t="shared" si="132"/>
        <v>2.1517187994423225E-6</v>
      </c>
    </row>
    <row r="526" spans="3:30" x14ac:dyDescent="0.25">
      <c r="C526" s="22">
        <v>494</v>
      </c>
      <c r="D526" s="22">
        <v>2052</v>
      </c>
      <c r="F526" s="3">
        <f t="shared" si="119"/>
        <v>37572.76395052638</v>
      </c>
      <c r="G526" s="3">
        <f t="shared" si="120"/>
        <v>5432.5848902228709</v>
      </c>
      <c r="H526" s="3">
        <f t="shared" si="121"/>
        <v>14.330946321878804</v>
      </c>
      <c r="I526" s="3">
        <f t="shared" si="122"/>
        <v>5.026972164357189</v>
      </c>
      <c r="J526" s="3">
        <f t="shared" si="123"/>
        <v>-1.8365017307795595</v>
      </c>
      <c r="K526" s="3">
        <f t="shared" si="124"/>
        <v>1.3435926139791694E-12</v>
      </c>
      <c r="L526" s="3" cm="1">
        <f t="array" ref="L526">lmb_2(F526)</f>
        <v>37562.230056004286</v>
      </c>
      <c r="M526" s="3" cm="1">
        <f t="array" ref="M526">lmb_2(G526)</f>
        <v>5423.985511420251</v>
      </c>
      <c r="N526" s="3" cm="1">
        <f t="array" ref="N526">lmb_2(H526)</f>
        <v>11.857947964797123</v>
      </c>
      <c r="O526" s="3" cm="1">
        <f t="array" ref="O526">lmb_2(I526)</f>
        <v>3.7146797062554633</v>
      </c>
      <c r="P526" s="3" cm="1">
        <f t="array" ref="P526">lmb_2(J526)</f>
        <v>0.13872926295145502</v>
      </c>
      <c r="R526" s="3">
        <f t="shared" si="125"/>
        <v>1.501515850077231E-3</v>
      </c>
      <c r="S526" s="3">
        <f t="shared" si="126"/>
        <v>2.4232905969892085</v>
      </c>
      <c r="T526" s="3">
        <f t="shared" si="127"/>
        <v>97.635561984151664</v>
      </c>
      <c r="U526" s="3">
        <f t="shared" si="117"/>
        <v>1078.0354219890721</v>
      </c>
      <c r="V526" s="3">
        <f t="shared" si="118"/>
        <v>0</v>
      </c>
      <c r="W526" s="3">
        <f t="shared" si="128"/>
        <v>926.08089328080268</v>
      </c>
      <c r="Y526" s="3">
        <f t="shared" si="129"/>
        <v>2104.1766693668674</v>
      </c>
      <c r="AA526" s="3">
        <f t="shared" si="130"/>
        <v>2722.404826219396</v>
      </c>
      <c r="AB526" s="3">
        <f t="shared" si="131"/>
        <v>-52.176669366867372</v>
      </c>
      <c r="AD526" s="3">
        <f t="shared" si="132"/>
        <v>1.709301683427547E-5</v>
      </c>
    </row>
    <row r="527" spans="3:30" x14ac:dyDescent="0.25">
      <c r="C527" s="22">
        <v>495</v>
      </c>
      <c r="D527" s="22">
        <v>2126</v>
      </c>
      <c r="F527" s="3">
        <f t="shared" si="119"/>
        <v>37725.030086080558</v>
      </c>
      <c r="G527" s="3">
        <f t="shared" si="120"/>
        <v>5454.5828486445953</v>
      </c>
      <c r="H527" s="3">
        <f t="shared" si="121"/>
        <v>14.390954999095634</v>
      </c>
      <c r="I527" s="3">
        <f t="shared" si="122"/>
        <v>5.0456733844417219</v>
      </c>
      <c r="J527" s="3">
        <f t="shared" si="123"/>
        <v>-1.835490134103841</v>
      </c>
      <c r="K527" s="3">
        <f t="shared" si="124"/>
        <v>1.2480246143539014E-12</v>
      </c>
      <c r="L527" s="3" cm="1">
        <f t="array" ref="L527">lmb_2(F527)</f>
        <v>37714.492146669007</v>
      </c>
      <c r="M527" s="3" cm="1">
        <f t="array" ref="M527">lmb_2(G527)</f>
        <v>5445.9794259346017</v>
      </c>
      <c r="N527" s="3" cm="1">
        <f t="array" ref="N527">lmb_2(H527)</f>
        <v>11.913299608854501</v>
      </c>
      <c r="O527" s="3" cm="1">
        <f t="array" ref="O527">lmb_2(I527)</f>
        <v>3.7294205195453523</v>
      </c>
      <c r="P527" s="3" cm="1">
        <f t="array" ref="P527">lmb_2(J527)</f>
        <v>0.13885255196928956</v>
      </c>
      <c r="R527" s="3">
        <f t="shared" si="125"/>
        <v>1.4924315663832123E-3</v>
      </c>
      <c r="S527" s="3">
        <f t="shared" si="126"/>
        <v>2.4086246097195265</v>
      </c>
      <c r="T527" s="3">
        <f t="shared" si="127"/>
        <v>96.961247169507871</v>
      </c>
      <c r="U527" s="3">
        <f t="shared" si="117"/>
        <v>1072.5944886231709</v>
      </c>
      <c r="V527" s="3">
        <f t="shared" si="118"/>
        <v>0</v>
      </c>
      <c r="W527" s="3">
        <f t="shared" si="128"/>
        <v>927.85433638460995</v>
      </c>
      <c r="Y527" s="3">
        <f t="shared" si="129"/>
        <v>2099.8201892185757</v>
      </c>
      <c r="AA527" s="3">
        <f t="shared" si="130"/>
        <v>685.38249255117967</v>
      </c>
      <c r="AB527" s="3">
        <f t="shared" si="131"/>
        <v>26.179810781424294</v>
      </c>
      <c r="AD527" s="3">
        <f t="shared" si="132"/>
        <v>8.5764758815592993E-6</v>
      </c>
    </row>
    <row r="528" spans="3:30" x14ac:dyDescent="0.25">
      <c r="C528" s="22">
        <v>496</v>
      </c>
      <c r="D528" s="22">
        <v>2038</v>
      </c>
      <c r="F528" s="3">
        <f t="shared" si="119"/>
        <v>37877.604141019096</v>
      </c>
      <c r="G528" s="3">
        <f t="shared" si="120"/>
        <v>5476.625292320964</v>
      </c>
      <c r="H528" s="3">
        <f t="shared" si="121"/>
        <v>14.451085028541419</v>
      </c>
      <c r="I528" s="3">
        <f t="shared" si="122"/>
        <v>5.0644124229692968</v>
      </c>
      <c r="J528" s="3">
        <f t="shared" si="123"/>
        <v>-1.834476491732115</v>
      </c>
      <c r="K528" s="3">
        <f t="shared" si="124"/>
        <v>1.1592542425641471E-12</v>
      </c>
      <c r="L528" s="3" cm="1">
        <f t="array" ref="L528">lmb_2(F528)</f>
        <v>37867.062164882722</v>
      </c>
      <c r="M528" s="3" cm="1">
        <f t="array" ref="M528">lmb_2(G528)</f>
        <v>5468.017833861024</v>
      </c>
      <c r="N528" s="3" cm="1">
        <f t="array" ref="N528">lmb_2(H528)</f>
        <v>11.968783170720343</v>
      </c>
      <c r="O528" s="3" cm="1">
        <f t="array" ref="O528">lmb_2(I528)</f>
        <v>3.7442035096273183</v>
      </c>
      <c r="P528" s="3" cm="1">
        <f t="array" ref="P528">lmb_2(J528)</f>
        <v>0.13897618679774806</v>
      </c>
      <c r="R528" s="3">
        <f t="shared" si="125"/>
        <v>1.4834204197842352E-3</v>
      </c>
      <c r="S528" s="3">
        <f t="shared" si="126"/>
        <v>2.3940767344583711</v>
      </c>
      <c r="T528" s="3">
        <f t="shared" si="127"/>
        <v>96.293003603500864</v>
      </c>
      <c r="U528" s="3">
        <f t="shared" si="117"/>
        <v>1067.1821917085497</v>
      </c>
      <c r="V528" s="3">
        <f t="shared" si="118"/>
        <v>0</v>
      </c>
      <c r="W528" s="3">
        <f t="shared" si="128"/>
        <v>929.62777948841722</v>
      </c>
      <c r="Y528" s="3">
        <f t="shared" si="129"/>
        <v>2095.4985349553472</v>
      </c>
      <c r="AA528" s="3">
        <f t="shared" si="130"/>
        <v>3306.08152201128</v>
      </c>
      <c r="AB528" s="3">
        <f t="shared" si="131"/>
        <v>-57.498534955347168</v>
      </c>
      <c r="AD528" s="3">
        <f t="shared" si="132"/>
        <v>1.8836453876107834E-5</v>
      </c>
    </row>
    <row r="529" spans="3:30" x14ac:dyDescent="0.25">
      <c r="C529" s="22">
        <v>497</v>
      </c>
      <c r="D529" s="22">
        <v>2050</v>
      </c>
      <c r="F529" s="3">
        <f t="shared" si="119"/>
        <v>38030.486115341955</v>
      </c>
      <c r="G529" s="3">
        <f t="shared" si="120"/>
        <v>5498.7122212519762</v>
      </c>
      <c r="H529" s="3">
        <f t="shared" si="121"/>
        <v>14.511336410216156</v>
      </c>
      <c r="I529" s="3">
        <f t="shared" si="122"/>
        <v>5.0831892799399139</v>
      </c>
      <c r="J529" s="3">
        <f t="shared" si="123"/>
        <v>-1.8334608036643814</v>
      </c>
      <c r="K529" s="3">
        <f t="shared" si="124"/>
        <v>1.0767979921603484E-12</v>
      </c>
      <c r="L529" s="3" cm="1">
        <f t="array" ref="L529">lmb_2(F529)</f>
        <v>38019.940110612501</v>
      </c>
      <c r="M529" s="3" cm="1">
        <f t="array" ref="M529">lmb_2(G529)</f>
        <v>5490.1007351666858</v>
      </c>
      <c r="N529" s="3" cm="1">
        <f t="array" ref="N529">lmb_2(H529)</f>
        <v>12.024398607338693</v>
      </c>
      <c r="O529" s="3" cm="1">
        <f t="array" ref="O529">lmb_2(I529)</f>
        <v>3.7590286845008798</v>
      </c>
      <c r="P529" s="3" cm="1">
        <f t="array" ref="P529">lmb_2(J529)</f>
        <v>0.13910016807630779</v>
      </c>
      <c r="R529" s="3">
        <f t="shared" si="125"/>
        <v>1.4744816756947841E-3</v>
      </c>
      <c r="S529" s="3">
        <f t="shared" si="126"/>
        <v>2.379645784573106</v>
      </c>
      <c r="T529" s="3">
        <f t="shared" si="127"/>
        <v>95.630765119953125</v>
      </c>
      <c r="U529" s="3">
        <f t="shared" si="117"/>
        <v>1061.7984229833737</v>
      </c>
      <c r="V529" s="3">
        <f t="shared" si="118"/>
        <v>0</v>
      </c>
      <c r="W529" s="3">
        <f t="shared" si="128"/>
        <v>931.4012225922246</v>
      </c>
      <c r="Y529" s="3">
        <f t="shared" si="129"/>
        <v>2091.2115309618011</v>
      </c>
      <c r="AA529" s="3">
        <f t="shared" si="130"/>
        <v>1698.3902842154944</v>
      </c>
      <c r="AB529" s="3">
        <f t="shared" si="131"/>
        <v>-41.211530961801145</v>
      </c>
      <c r="AD529" s="3">
        <f t="shared" si="132"/>
        <v>1.3500850112591708E-5</v>
      </c>
    </row>
    <row r="530" spans="3:30" x14ac:dyDescent="0.25">
      <c r="C530" s="22">
        <v>498</v>
      </c>
      <c r="D530" s="22">
        <v>1991</v>
      </c>
      <c r="F530" s="3">
        <f t="shared" si="119"/>
        <v>38183.676009049159</v>
      </c>
      <c r="G530" s="3">
        <f t="shared" si="120"/>
        <v>5520.8436354376336</v>
      </c>
      <c r="H530" s="3">
        <f t="shared" si="121"/>
        <v>14.571709144119843</v>
      </c>
      <c r="I530" s="3">
        <f t="shared" si="122"/>
        <v>5.1020039553535748</v>
      </c>
      <c r="J530" s="3">
        <f t="shared" si="123"/>
        <v>-1.8324430699006402</v>
      </c>
      <c r="K530" s="3">
        <f t="shared" si="124"/>
        <v>1.0002067478794647E-12</v>
      </c>
      <c r="L530" s="3" cm="1">
        <f t="array" ref="L530">lmb_2(F530)</f>
        <v>38173.125983825681</v>
      </c>
      <c r="M530" s="3" cm="1">
        <f t="array" ref="M530">lmb_2(G530)</f>
        <v>5512.2281298189564</v>
      </c>
      <c r="N530" s="3" cm="1">
        <f t="array" ref="N530">lmb_2(H530)</f>
        <v>12.080145875869107</v>
      </c>
      <c r="O530" s="3" cm="1">
        <f t="array" ref="O530">lmb_2(I530)</f>
        <v>3.7738960519816485</v>
      </c>
      <c r="P530" s="3" cm="1">
        <f t="array" ref="P530">lmb_2(J530)</f>
        <v>0.13922449644628865</v>
      </c>
      <c r="R530" s="3">
        <f t="shared" si="125"/>
        <v>1.4656146083657591E-3</v>
      </c>
      <c r="S530" s="3">
        <f t="shared" si="126"/>
        <v>2.3653305877082698</v>
      </c>
      <c r="T530" s="3">
        <f t="shared" si="127"/>
        <v>94.97446638279979</v>
      </c>
      <c r="U530" s="3">
        <f t="shared" si="117"/>
        <v>1056.443073615573</v>
      </c>
      <c r="V530" s="3">
        <f t="shared" si="118"/>
        <v>0</v>
      </c>
      <c r="W530" s="3">
        <f t="shared" si="128"/>
        <v>933.17466569603187</v>
      </c>
      <c r="Y530" s="3">
        <f t="shared" si="129"/>
        <v>2086.9590018967224</v>
      </c>
      <c r="AA530" s="3">
        <f t="shared" si="130"/>
        <v>9208.1300450151703</v>
      </c>
      <c r="AB530" s="3">
        <f t="shared" si="131"/>
        <v>-95.959001896722384</v>
      </c>
      <c r="AD530" s="3">
        <f t="shared" si="132"/>
        <v>3.1436058581817161E-5</v>
      </c>
    </row>
    <row r="531" spans="3:30" x14ac:dyDescent="0.25">
      <c r="C531" s="22">
        <v>499</v>
      </c>
      <c r="D531" s="22">
        <v>2037</v>
      </c>
      <c r="F531" s="3">
        <f t="shared" si="119"/>
        <v>38337.173822140699</v>
      </c>
      <c r="G531" s="3">
        <f t="shared" si="120"/>
        <v>5543.0195348779353</v>
      </c>
      <c r="H531" s="3">
        <f t="shared" si="121"/>
        <v>14.632203230252484</v>
      </c>
      <c r="I531" s="3">
        <f t="shared" si="122"/>
        <v>5.1208564492102777</v>
      </c>
      <c r="J531" s="3">
        <f t="shared" si="123"/>
        <v>-1.8314232904408916</v>
      </c>
      <c r="K531" s="3">
        <f t="shared" si="124"/>
        <v>9.2906333944449683E-13</v>
      </c>
      <c r="L531" s="3" cm="1">
        <f t="array" ref="L531">lmb_2(F531)</f>
        <v>38326.61978448974</v>
      </c>
      <c r="M531" s="3" cm="1">
        <f t="array" ref="M531">lmb_2(G531)</f>
        <v>5534.4000177853986</v>
      </c>
      <c r="N531" s="3" cm="1">
        <f t="array" ref="N531">lmb_2(H531)</f>
        <v>12.136024933685803</v>
      </c>
      <c r="O531" s="3" cm="1">
        <f t="array" ref="O531">lmb_2(I531)</f>
        <v>3.788805619703012</v>
      </c>
      <c r="P531" s="3" cm="1">
        <f t="array" ref="P531">lmb_2(J531)</f>
        <v>0.13934917255085655</v>
      </c>
      <c r="R531" s="3">
        <f t="shared" si="125"/>
        <v>1.456818500760713E-3</v>
      </c>
      <c r="S531" s="3">
        <f t="shared" si="126"/>
        <v>2.3511299855855805</v>
      </c>
      <c r="T531" s="3">
        <f t="shared" si="127"/>
        <v>94.324042874566402</v>
      </c>
      <c r="U531" s="3">
        <f t="shared" si="117"/>
        <v>1051.1160342258754</v>
      </c>
      <c r="V531" s="3">
        <f t="shared" si="118"/>
        <v>0</v>
      </c>
      <c r="W531" s="3">
        <f t="shared" si="128"/>
        <v>934.94810879983913</v>
      </c>
      <c r="Y531" s="3">
        <f t="shared" si="129"/>
        <v>2082.7407727043683</v>
      </c>
      <c r="AA531" s="3">
        <f t="shared" si="130"/>
        <v>2092.2182875926824</v>
      </c>
      <c r="AB531" s="3">
        <f t="shared" si="131"/>
        <v>-45.740772704368283</v>
      </c>
      <c r="AD531" s="3">
        <f t="shared" si="132"/>
        <v>1.4984624494736626E-5</v>
      </c>
    </row>
    <row r="532" spans="3:30" x14ac:dyDescent="0.25">
      <c r="C532" s="22"/>
      <c r="D532" s="22"/>
    </row>
    <row r="533" spans="3:30" x14ac:dyDescent="0.25">
      <c r="C533" s="22"/>
      <c r="D533" s="22"/>
    </row>
    <row r="534" spans="3:30" x14ac:dyDescent="0.25">
      <c r="C534" s="22"/>
      <c r="D534" s="22"/>
    </row>
    <row r="535" spans="3:30" x14ac:dyDescent="0.25">
      <c r="C535" s="22"/>
      <c r="D535" s="22"/>
    </row>
    <row r="536" spans="3:30" x14ac:dyDescent="0.25">
      <c r="C536" s="22"/>
      <c r="D536" s="22"/>
    </row>
    <row r="537" spans="3:30" x14ac:dyDescent="0.25">
      <c r="C537" s="22"/>
      <c r="D537" s="22"/>
    </row>
    <row r="538" spans="3:30" x14ac:dyDescent="0.25">
      <c r="C538" s="22"/>
      <c r="D538" s="22"/>
    </row>
    <row r="539" spans="3:30" x14ac:dyDescent="0.25">
      <c r="C539" s="22"/>
      <c r="D539" s="22"/>
    </row>
    <row r="540" spans="3:30" x14ac:dyDescent="0.25">
      <c r="C540" s="22"/>
      <c r="D540" s="22"/>
    </row>
    <row r="541" spans="3:30" x14ac:dyDescent="0.25">
      <c r="C541" s="22"/>
      <c r="D541" s="22"/>
    </row>
    <row r="542" spans="3:30" x14ac:dyDescent="0.25">
      <c r="C542" s="22"/>
      <c r="D542" s="22"/>
    </row>
    <row r="543" spans="3:30" x14ac:dyDescent="0.25">
      <c r="C543" s="22"/>
      <c r="D543" s="22"/>
    </row>
    <row r="544" spans="3:30" x14ac:dyDescent="0.25">
      <c r="C544" s="22"/>
      <c r="D544" s="22"/>
    </row>
    <row r="545" spans="3:4" x14ac:dyDescent="0.25">
      <c r="C545" s="22"/>
      <c r="D545" s="22"/>
    </row>
    <row r="546" spans="3:4" x14ac:dyDescent="0.25">
      <c r="C546" s="22"/>
      <c r="D546" s="22"/>
    </row>
    <row r="547" spans="3:4" x14ac:dyDescent="0.25">
      <c r="C547" s="22"/>
      <c r="D547" s="22"/>
    </row>
    <row r="548" spans="3:4" x14ac:dyDescent="0.25">
      <c r="C548" s="22"/>
      <c r="D548" s="22"/>
    </row>
    <row r="549" spans="3:4" x14ac:dyDescent="0.25">
      <c r="C549" s="22"/>
      <c r="D549" s="22"/>
    </row>
    <row r="550" spans="3:4" x14ac:dyDescent="0.25">
      <c r="C550" s="22"/>
      <c r="D550" s="22"/>
    </row>
    <row r="551" spans="3:4" x14ac:dyDescent="0.25">
      <c r="C551" s="22"/>
      <c r="D551" s="22"/>
    </row>
    <row r="552" spans="3:4" x14ac:dyDescent="0.25">
      <c r="C552" s="22"/>
      <c r="D552" s="22"/>
    </row>
    <row r="553" spans="3:4" x14ac:dyDescent="0.25">
      <c r="C553" s="22"/>
      <c r="D553" s="22"/>
    </row>
    <row r="554" spans="3:4" x14ac:dyDescent="0.25">
      <c r="C554" s="22"/>
      <c r="D554" s="22"/>
    </row>
    <row r="555" spans="3:4" x14ac:dyDescent="0.25">
      <c r="C555" s="22"/>
      <c r="D555" s="22"/>
    </row>
    <row r="556" spans="3:4" x14ac:dyDescent="0.25">
      <c r="C556" s="22"/>
      <c r="D556" s="22"/>
    </row>
    <row r="557" spans="3:4" x14ac:dyDescent="0.25">
      <c r="C557" s="22"/>
      <c r="D557" s="22"/>
    </row>
    <row r="558" spans="3:4" x14ac:dyDescent="0.25">
      <c r="C558" s="22"/>
      <c r="D558" s="22"/>
    </row>
    <row r="559" spans="3:4" x14ac:dyDescent="0.25">
      <c r="C559" s="22"/>
      <c r="D559" s="22"/>
    </row>
    <row r="560" spans="3:4" x14ac:dyDescent="0.25">
      <c r="C560" s="22"/>
      <c r="D560" s="22"/>
    </row>
    <row r="561" spans="3:4" x14ac:dyDescent="0.25">
      <c r="C561" s="22"/>
      <c r="D561" s="22"/>
    </row>
    <row r="562" spans="3:4" x14ac:dyDescent="0.25">
      <c r="C562" s="22"/>
      <c r="D562" s="22"/>
    </row>
    <row r="563" spans="3:4" x14ac:dyDescent="0.25">
      <c r="C563" s="22"/>
      <c r="D563" s="22"/>
    </row>
    <row r="564" spans="3:4" x14ac:dyDescent="0.25">
      <c r="C564" s="22"/>
      <c r="D564" s="22"/>
    </row>
    <row r="565" spans="3:4" x14ac:dyDescent="0.25">
      <c r="C565" s="22"/>
      <c r="D565" s="22"/>
    </row>
    <row r="566" spans="3:4" x14ac:dyDescent="0.25">
      <c r="C566" s="22"/>
      <c r="D566" s="22"/>
    </row>
    <row r="567" spans="3:4" x14ac:dyDescent="0.25">
      <c r="C567" s="22"/>
      <c r="D567" s="22"/>
    </row>
    <row r="568" spans="3:4" x14ac:dyDescent="0.25">
      <c r="C568" s="22"/>
      <c r="D568" s="22"/>
    </row>
    <row r="569" spans="3:4" x14ac:dyDescent="0.25">
      <c r="C569" s="22"/>
      <c r="D569" s="22"/>
    </row>
    <row r="570" spans="3:4" x14ac:dyDescent="0.25">
      <c r="C570" s="22"/>
      <c r="D570" s="22"/>
    </row>
    <row r="571" spans="3:4" x14ac:dyDescent="0.25">
      <c r="C571" s="22"/>
      <c r="D571" s="22"/>
    </row>
    <row r="572" spans="3:4" x14ac:dyDescent="0.25">
      <c r="C572" s="22"/>
      <c r="D572" s="22"/>
    </row>
    <row r="573" spans="3:4" x14ac:dyDescent="0.25">
      <c r="C573" s="22"/>
      <c r="D573" s="22"/>
    </row>
    <row r="574" spans="3:4" x14ac:dyDescent="0.25">
      <c r="C574" s="22"/>
      <c r="D574" s="22"/>
    </row>
    <row r="575" spans="3:4" x14ac:dyDescent="0.25">
      <c r="C575" s="22"/>
      <c r="D575" s="22"/>
    </row>
    <row r="576" spans="3:4" x14ac:dyDescent="0.25">
      <c r="C576" s="22"/>
      <c r="D576" s="22"/>
    </row>
    <row r="577" spans="3:4" x14ac:dyDescent="0.25">
      <c r="C577" s="22"/>
      <c r="D577" s="22"/>
    </row>
    <row r="578" spans="3:4" x14ac:dyDescent="0.25">
      <c r="C578" s="22"/>
      <c r="D578" s="22"/>
    </row>
    <row r="579" spans="3:4" x14ac:dyDescent="0.25">
      <c r="C579" s="22"/>
      <c r="D579" s="22"/>
    </row>
    <row r="580" spans="3:4" x14ac:dyDescent="0.25">
      <c r="C580" s="22"/>
      <c r="D580" s="22"/>
    </row>
    <row r="581" spans="3:4" x14ac:dyDescent="0.25">
      <c r="C581" s="22"/>
      <c r="D581" s="22"/>
    </row>
    <row r="582" spans="3:4" x14ac:dyDescent="0.25">
      <c r="C582" s="22"/>
      <c r="D582" s="22"/>
    </row>
    <row r="583" spans="3:4" x14ac:dyDescent="0.25">
      <c r="C583" s="22"/>
      <c r="D583" s="22"/>
    </row>
    <row r="584" spans="3:4" x14ac:dyDescent="0.25">
      <c r="C584" s="22"/>
      <c r="D584" s="22"/>
    </row>
    <row r="585" spans="3:4" x14ac:dyDescent="0.25">
      <c r="C585" s="22"/>
      <c r="D585" s="22"/>
    </row>
    <row r="586" spans="3:4" x14ac:dyDescent="0.25">
      <c r="C586" s="22"/>
      <c r="D586" s="22"/>
    </row>
    <row r="587" spans="3:4" x14ac:dyDescent="0.25">
      <c r="C587" s="22"/>
      <c r="D587" s="22"/>
    </row>
    <row r="588" spans="3:4" x14ac:dyDescent="0.25">
      <c r="C588" s="22"/>
      <c r="D588" s="22"/>
    </row>
    <row r="589" spans="3:4" x14ac:dyDescent="0.25">
      <c r="C589" s="22"/>
      <c r="D589" s="22"/>
    </row>
    <row r="590" spans="3:4" x14ac:dyDescent="0.25">
      <c r="C590" s="22"/>
      <c r="D590" s="22"/>
    </row>
    <row r="591" spans="3:4" x14ac:dyDescent="0.25">
      <c r="C591" s="22"/>
      <c r="D591" s="22"/>
    </row>
    <row r="592" spans="3:4" x14ac:dyDescent="0.25">
      <c r="C592" s="22"/>
      <c r="D592" s="22"/>
    </row>
    <row r="593" spans="3:4" x14ac:dyDescent="0.25">
      <c r="C593" s="22"/>
      <c r="D593" s="22"/>
    </row>
    <row r="594" spans="3:4" x14ac:dyDescent="0.25">
      <c r="C594" s="22"/>
      <c r="D594" s="22"/>
    </row>
    <row r="595" spans="3:4" x14ac:dyDescent="0.25">
      <c r="C595" s="22"/>
      <c r="D595" s="22"/>
    </row>
    <row r="596" spans="3:4" x14ac:dyDescent="0.25">
      <c r="C596" s="22"/>
      <c r="D596" s="22"/>
    </row>
    <row r="597" spans="3:4" x14ac:dyDescent="0.25">
      <c r="C597" s="22"/>
      <c r="D597" s="22"/>
    </row>
    <row r="598" spans="3:4" x14ac:dyDescent="0.25">
      <c r="C598" s="22"/>
      <c r="D598" s="22"/>
    </row>
    <row r="599" spans="3:4" x14ac:dyDescent="0.25">
      <c r="C599" s="22"/>
      <c r="D599" s="22"/>
    </row>
    <row r="600" spans="3:4" x14ac:dyDescent="0.25">
      <c r="C600" s="22"/>
      <c r="D600" s="22"/>
    </row>
    <row r="601" spans="3:4" x14ac:dyDescent="0.25">
      <c r="C601" s="22"/>
      <c r="D601" s="22"/>
    </row>
    <row r="602" spans="3:4" x14ac:dyDescent="0.25">
      <c r="C602" s="22"/>
      <c r="D602" s="22"/>
    </row>
    <row r="603" spans="3:4" x14ac:dyDescent="0.25">
      <c r="C603" s="22"/>
      <c r="D603" s="22"/>
    </row>
    <row r="604" spans="3:4" x14ac:dyDescent="0.25">
      <c r="C604" s="22"/>
      <c r="D604" s="22"/>
    </row>
    <row r="605" spans="3:4" x14ac:dyDescent="0.25">
      <c r="C605" s="22"/>
      <c r="D605" s="22"/>
    </row>
    <row r="606" spans="3:4" x14ac:dyDescent="0.25">
      <c r="C606" s="22"/>
      <c r="D606" s="22"/>
    </row>
    <row r="607" spans="3:4" x14ac:dyDescent="0.25">
      <c r="C607" s="22"/>
      <c r="D607" s="22"/>
    </row>
    <row r="608" spans="3:4" x14ac:dyDescent="0.25">
      <c r="C608" s="22"/>
      <c r="D608" s="22"/>
    </row>
    <row r="609" spans="3:4" x14ac:dyDescent="0.25">
      <c r="C609" s="22"/>
      <c r="D609" s="22"/>
    </row>
    <row r="610" spans="3:4" x14ac:dyDescent="0.25">
      <c r="C610" s="22"/>
      <c r="D610" s="22"/>
    </row>
    <row r="611" spans="3:4" x14ac:dyDescent="0.25">
      <c r="C611" s="22"/>
      <c r="D611" s="22"/>
    </row>
    <row r="612" spans="3:4" x14ac:dyDescent="0.25">
      <c r="C612" s="22"/>
      <c r="D612" s="22"/>
    </row>
    <row r="613" spans="3:4" x14ac:dyDescent="0.25">
      <c r="C613" s="22"/>
      <c r="D613" s="22"/>
    </row>
    <row r="614" spans="3:4" x14ac:dyDescent="0.25">
      <c r="C614" s="22"/>
      <c r="D614" s="22"/>
    </row>
    <row r="615" spans="3:4" x14ac:dyDescent="0.25">
      <c r="C615" s="22"/>
      <c r="D615" s="22"/>
    </row>
    <row r="616" spans="3:4" x14ac:dyDescent="0.25">
      <c r="C616" s="22"/>
      <c r="D616" s="22"/>
    </row>
    <row r="617" spans="3:4" x14ac:dyDescent="0.25">
      <c r="C617" s="22"/>
      <c r="D617" s="22"/>
    </row>
    <row r="618" spans="3:4" x14ac:dyDescent="0.25">
      <c r="C618" s="22"/>
      <c r="D618" s="22"/>
    </row>
    <row r="619" spans="3:4" x14ac:dyDescent="0.25">
      <c r="C619" s="22"/>
      <c r="D619" s="22"/>
    </row>
    <row r="620" spans="3:4" x14ac:dyDescent="0.25">
      <c r="C620" s="22"/>
      <c r="D620" s="22"/>
    </row>
    <row r="621" spans="3:4" x14ac:dyDescent="0.25">
      <c r="C621" s="22"/>
      <c r="D621" s="22"/>
    </row>
    <row r="622" spans="3:4" x14ac:dyDescent="0.25">
      <c r="C622" s="22"/>
      <c r="D622" s="22"/>
    </row>
    <row r="623" spans="3:4" x14ac:dyDescent="0.25">
      <c r="C623" s="22"/>
      <c r="D623" s="22"/>
    </row>
    <row r="624" spans="3:4" x14ac:dyDescent="0.25">
      <c r="C624" s="22"/>
      <c r="D624" s="22"/>
    </row>
    <row r="625" spans="3:4" x14ac:dyDescent="0.25">
      <c r="C625" s="22"/>
      <c r="D625" s="22"/>
    </row>
    <row r="626" spans="3:4" x14ac:dyDescent="0.25">
      <c r="C626" s="22"/>
      <c r="D626" s="22"/>
    </row>
    <row r="627" spans="3:4" x14ac:dyDescent="0.25">
      <c r="C627" s="22"/>
      <c r="D627" s="22"/>
    </row>
    <row r="628" spans="3:4" x14ac:dyDescent="0.25">
      <c r="C628" s="22"/>
      <c r="D628" s="22"/>
    </row>
    <row r="629" spans="3:4" x14ac:dyDescent="0.25">
      <c r="C629" s="22"/>
      <c r="D629" s="22"/>
    </row>
    <row r="630" spans="3:4" x14ac:dyDescent="0.25">
      <c r="C630" s="22"/>
      <c r="D630" s="22"/>
    </row>
    <row r="631" spans="3:4" x14ac:dyDescent="0.25">
      <c r="C631" s="22"/>
      <c r="D631" s="22"/>
    </row>
    <row r="632" spans="3:4" x14ac:dyDescent="0.25">
      <c r="C632" s="22"/>
      <c r="D632" s="22"/>
    </row>
    <row r="633" spans="3:4" x14ac:dyDescent="0.25">
      <c r="C633" s="22"/>
      <c r="D633" s="22"/>
    </row>
    <row r="634" spans="3:4" x14ac:dyDescent="0.25">
      <c r="C634" s="22"/>
      <c r="D634" s="22"/>
    </row>
    <row r="635" spans="3:4" x14ac:dyDescent="0.25">
      <c r="C635" s="22"/>
      <c r="D635" s="22"/>
    </row>
    <row r="636" spans="3:4" x14ac:dyDescent="0.25">
      <c r="C636" s="22"/>
      <c r="D636" s="22"/>
    </row>
    <row r="637" spans="3:4" x14ac:dyDescent="0.25">
      <c r="C637" s="22"/>
      <c r="D637" s="22"/>
    </row>
    <row r="638" spans="3:4" x14ac:dyDescent="0.25">
      <c r="C638" s="22"/>
      <c r="D638" s="22"/>
    </row>
    <row r="639" spans="3:4" x14ac:dyDescent="0.25">
      <c r="C639" s="22"/>
      <c r="D639" s="22"/>
    </row>
    <row r="640" spans="3:4" x14ac:dyDescent="0.25">
      <c r="C640" s="22"/>
      <c r="D640" s="22"/>
    </row>
    <row r="641" spans="3:4" x14ac:dyDescent="0.25">
      <c r="C641" s="22"/>
      <c r="D641" s="22"/>
    </row>
    <row r="642" spans="3:4" x14ac:dyDescent="0.25">
      <c r="C642" s="22"/>
      <c r="D642" s="22"/>
    </row>
    <row r="643" spans="3:4" x14ac:dyDescent="0.25">
      <c r="C643" s="22"/>
      <c r="D643" s="22"/>
    </row>
    <row r="644" spans="3:4" x14ac:dyDescent="0.25">
      <c r="C644" s="22"/>
      <c r="D644" s="22"/>
    </row>
    <row r="645" spans="3:4" x14ac:dyDescent="0.25">
      <c r="C645" s="22"/>
      <c r="D645" s="22"/>
    </row>
    <row r="646" spans="3:4" x14ac:dyDescent="0.25">
      <c r="C646" s="22"/>
      <c r="D646" s="22"/>
    </row>
    <row r="647" spans="3:4" x14ac:dyDescent="0.25">
      <c r="C647" s="22"/>
      <c r="D647" s="22"/>
    </row>
    <row r="648" spans="3:4" x14ac:dyDescent="0.25">
      <c r="C648" s="22"/>
      <c r="D648" s="22"/>
    </row>
    <row r="649" spans="3:4" x14ac:dyDescent="0.25">
      <c r="C649" s="22"/>
      <c r="D649" s="22"/>
    </row>
    <row r="650" spans="3:4" x14ac:dyDescent="0.25">
      <c r="C650" s="22"/>
      <c r="D650" s="22"/>
    </row>
    <row r="651" spans="3:4" x14ac:dyDescent="0.25">
      <c r="C651" s="22"/>
      <c r="D651" s="22"/>
    </row>
    <row r="652" spans="3:4" x14ac:dyDescent="0.25">
      <c r="C652" s="22"/>
      <c r="D652" s="22"/>
    </row>
    <row r="653" spans="3:4" x14ac:dyDescent="0.25">
      <c r="C653" s="22"/>
      <c r="D653" s="22"/>
    </row>
    <row r="654" spans="3:4" x14ac:dyDescent="0.25">
      <c r="C654" s="22"/>
      <c r="D654" s="22"/>
    </row>
    <row r="655" spans="3:4" x14ac:dyDescent="0.25">
      <c r="C655" s="22"/>
      <c r="D655" s="22"/>
    </row>
    <row r="656" spans="3:4" x14ac:dyDescent="0.25">
      <c r="C656" s="22"/>
      <c r="D656" s="22"/>
    </row>
    <row r="657" spans="3:4" x14ac:dyDescent="0.25">
      <c r="C657" s="22"/>
      <c r="D657" s="22"/>
    </row>
    <row r="658" spans="3:4" x14ac:dyDescent="0.25">
      <c r="C658" s="22"/>
      <c r="D658" s="22"/>
    </row>
    <row r="659" spans="3:4" x14ac:dyDescent="0.25">
      <c r="C659" s="22"/>
      <c r="D659" s="22"/>
    </row>
    <row r="660" spans="3:4" x14ac:dyDescent="0.25">
      <c r="C660" s="22"/>
      <c r="D660" s="22"/>
    </row>
    <row r="661" spans="3:4" x14ac:dyDescent="0.25">
      <c r="C661" s="22"/>
      <c r="D661" s="22"/>
    </row>
    <row r="662" spans="3:4" x14ac:dyDescent="0.25">
      <c r="C662" s="22"/>
      <c r="D662" s="22"/>
    </row>
    <row r="663" spans="3:4" x14ac:dyDescent="0.25">
      <c r="C663" s="22"/>
      <c r="D663" s="22"/>
    </row>
    <row r="664" spans="3:4" x14ac:dyDescent="0.25">
      <c r="C664" s="22"/>
      <c r="D664" s="22"/>
    </row>
    <row r="665" spans="3:4" x14ac:dyDescent="0.25">
      <c r="C665" s="22"/>
      <c r="D665" s="22"/>
    </row>
    <row r="666" spans="3:4" x14ac:dyDescent="0.25">
      <c r="C666" s="22"/>
      <c r="D666" s="22"/>
    </row>
    <row r="667" spans="3:4" x14ac:dyDescent="0.25">
      <c r="C667" s="22"/>
      <c r="D667" s="22"/>
    </row>
    <row r="668" spans="3:4" x14ac:dyDescent="0.25">
      <c r="C668" s="22"/>
      <c r="D668" s="22"/>
    </row>
    <row r="669" spans="3:4" x14ac:dyDescent="0.25">
      <c r="C669" s="22"/>
      <c r="D669" s="22"/>
    </row>
    <row r="670" spans="3:4" x14ac:dyDescent="0.25">
      <c r="C670" s="22"/>
      <c r="D670" s="22"/>
    </row>
    <row r="671" spans="3:4" x14ac:dyDescent="0.25">
      <c r="C671" s="22"/>
      <c r="D671" s="22"/>
    </row>
    <row r="672" spans="3:4" x14ac:dyDescent="0.25">
      <c r="C672" s="22"/>
      <c r="D672" s="22"/>
    </row>
    <row r="673" spans="3:4" x14ac:dyDescent="0.25">
      <c r="C673" s="22"/>
      <c r="D673" s="22"/>
    </row>
    <row r="674" spans="3:4" x14ac:dyDescent="0.25">
      <c r="C674" s="22"/>
      <c r="D674" s="22"/>
    </row>
    <row r="675" spans="3:4" x14ac:dyDescent="0.25">
      <c r="C675" s="22"/>
      <c r="D675" s="22"/>
    </row>
    <row r="676" spans="3:4" x14ac:dyDescent="0.25">
      <c r="C676" s="22"/>
      <c r="D676" s="22"/>
    </row>
    <row r="677" spans="3:4" x14ac:dyDescent="0.25">
      <c r="C677" s="22"/>
      <c r="D677" s="22"/>
    </row>
    <row r="678" spans="3:4" x14ac:dyDescent="0.25">
      <c r="C678" s="22"/>
      <c r="D678" s="22"/>
    </row>
    <row r="679" spans="3:4" x14ac:dyDescent="0.25">
      <c r="C679" s="22"/>
      <c r="D679" s="22"/>
    </row>
    <row r="680" spans="3:4" x14ac:dyDescent="0.25">
      <c r="C680" s="22"/>
      <c r="D680" s="22"/>
    </row>
    <row r="681" spans="3:4" x14ac:dyDescent="0.25">
      <c r="C681" s="22"/>
      <c r="D681" s="22"/>
    </row>
    <row r="682" spans="3:4" x14ac:dyDescent="0.25">
      <c r="C682" s="22"/>
      <c r="D682" s="22"/>
    </row>
    <row r="683" spans="3:4" x14ac:dyDescent="0.25">
      <c r="C683" s="22"/>
      <c r="D683" s="22"/>
    </row>
    <row r="684" spans="3:4" x14ac:dyDescent="0.25">
      <c r="C684" s="22"/>
      <c r="D684" s="22"/>
    </row>
    <row r="685" spans="3:4" x14ac:dyDescent="0.25">
      <c r="C685" s="22"/>
      <c r="D685" s="22"/>
    </row>
    <row r="686" spans="3:4" x14ac:dyDescent="0.25">
      <c r="C686" s="22"/>
      <c r="D686" s="22"/>
    </row>
    <row r="687" spans="3:4" x14ac:dyDescent="0.25">
      <c r="C687" s="22"/>
      <c r="D687" s="22"/>
    </row>
    <row r="688" spans="3:4" x14ac:dyDescent="0.25">
      <c r="C688" s="22"/>
      <c r="D688" s="22"/>
    </row>
    <row r="689" spans="3:4" x14ac:dyDescent="0.25">
      <c r="C689" s="22"/>
      <c r="D689" s="22"/>
    </row>
    <row r="690" spans="3:4" x14ac:dyDescent="0.25">
      <c r="C690" s="22"/>
      <c r="D690" s="22"/>
    </row>
    <row r="691" spans="3:4" x14ac:dyDescent="0.25">
      <c r="C691" s="22"/>
      <c r="D691" s="22"/>
    </row>
    <row r="692" spans="3:4" x14ac:dyDescent="0.25">
      <c r="C692" s="22"/>
      <c r="D692" s="22"/>
    </row>
    <row r="693" spans="3:4" x14ac:dyDescent="0.25">
      <c r="C693" s="22"/>
      <c r="D693" s="22"/>
    </row>
    <row r="694" spans="3:4" x14ac:dyDescent="0.25">
      <c r="C694" s="22"/>
      <c r="D694" s="22"/>
    </row>
    <row r="695" spans="3:4" x14ac:dyDescent="0.25">
      <c r="C695" s="22"/>
      <c r="D695" s="22"/>
    </row>
    <row r="696" spans="3:4" x14ac:dyDescent="0.25">
      <c r="C696" s="22"/>
      <c r="D696" s="22"/>
    </row>
    <row r="697" spans="3:4" x14ac:dyDescent="0.25">
      <c r="C697" s="22"/>
      <c r="D697" s="22"/>
    </row>
    <row r="698" spans="3:4" x14ac:dyDescent="0.25">
      <c r="C698" s="22"/>
      <c r="D698" s="22"/>
    </row>
    <row r="699" spans="3:4" x14ac:dyDescent="0.25">
      <c r="C699" s="22"/>
      <c r="D699" s="22"/>
    </row>
    <row r="700" spans="3:4" x14ac:dyDescent="0.25">
      <c r="C700" s="22"/>
      <c r="D700" s="22"/>
    </row>
    <row r="701" spans="3:4" x14ac:dyDescent="0.25">
      <c r="C701" s="22"/>
      <c r="D701" s="22"/>
    </row>
    <row r="702" spans="3:4" x14ac:dyDescent="0.25">
      <c r="C702" s="22"/>
      <c r="D702" s="22"/>
    </row>
    <row r="703" spans="3:4" x14ac:dyDescent="0.25">
      <c r="C703" s="22"/>
      <c r="D703" s="22"/>
    </row>
    <row r="704" spans="3:4" x14ac:dyDescent="0.25">
      <c r="C704" s="22"/>
      <c r="D704" s="22"/>
    </row>
    <row r="705" spans="3:4" x14ac:dyDescent="0.25">
      <c r="C705" s="22"/>
      <c r="D705" s="22"/>
    </row>
    <row r="706" spans="3:4" x14ac:dyDescent="0.25">
      <c r="C706" s="22"/>
      <c r="D706" s="22"/>
    </row>
    <row r="707" spans="3:4" x14ac:dyDescent="0.25">
      <c r="C707" s="22"/>
      <c r="D707" s="22"/>
    </row>
    <row r="708" spans="3:4" x14ac:dyDescent="0.25">
      <c r="C708" s="22"/>
      <c r="D708" s="22"/>
    </row>
    <row r="709" spans="3:4" x14ac:dyDescent="0.25">
      <c r="C709" s="22"/>
      <c r="D709" s="22"/>
    </row>
    <row r="710" spans="3:4" x14ac:dyDescent="0.25">
      <c r="C710" s="22"/>
      <c r="D710" s="22"/>
    </row>
    <row r="711" spans="3:4" x14ac:dyDescent="0.25">
      <c r="C711" s="22"/>
      <c r="D711" s="22"/>
    </row>
    <row r="712" spans="3:4" x14ac:dyDescent="0.25">
      <c r="C712" s="22"/>
      <c r="D712" s="22"/>
    </row>
    <row r="713" spans="3:4" x14ac:dyDescent="0.25">
      <c r="C713" s="22"/>
      <c r="D713" s="22"/>
    </row>
    <row r="714" spans="3:4" x14ac:dyDescent="0.25">
      <c r="C714" s="22"/>
      <c r="D714" s="22"/>
    </row>
    <row r="715" spans="3:4" x14ac:dyDescent="0.25">
      <c r="C715" s="22"/>
      <c r="D715" s="22"/>
    </row>
    <row r="716" spans="3:4" x14ac:dyDescent="0.25">
      <c r="C716" s="22"/>
      <c r="D716" s="22"/>
    </row>
    <row r="717" spans="3:4" x14ac:dyDescent="0.25">
      <c r="C717" s="22"/>
      <c r="D717" s="22"/>
    </row>
    <row r="718" spans="3:4" x14ac:dyDescent="0.25">
      <c r="C718" s="22"/>
      <c r="D718" s="22"/>
    </row>
    <row r="719" spans="3:4" x14ac:dyDescent="0.25">
      <c r="C719" s="22"/>
      <c r="D719" s="22"/>
    </row>
    <row r="720" spans="3:4" x14ac:dyDescent="0.25">
      <c r="C720" s="22"/>
      <c r="D720" s="22"/>
    </row>
    <row r="721" spans="3:4" x14ac:dyDescent="0.25">
      <c r="C721" s="22"/>
      <c r="D721" s="22"/>
    </row>
    <row r="722" spans="3:4" x14ac:dyDescent="0.25">
      <c r="C722" s="22"/>
      <c r="D722" s="22"/>
    </row>
    <row r="723" spans="3:4" x14ac:dyDescent="0.25">
      <c r="C723" s="22"/>
      <c r="D723" s="22"/>
    </row>
    <row r="724" spans="3:4" x14ac:dyDescent="0.25">
      <c r="C724" s="22"/>
      <c r="D724" s="22"/>
    </row>
    <row r="725" spans="3:4" x14ac:dyDescent="0.25">
      <c r="C725" s="22"/>
      <c r="D725" s="22"/>
    </row>
    <row r="726" spans="3:4" x14ac:dyDescent="0.25">
      <c r="C726" s="22"/>
      <c r="D726" s="22"/>
    </row>
    <row r="727" spans="3:4" x14ac:dyDescent="0.25">
      <c r="C727" s="22"/>
      <c r="D727" s="22"/>
    </row>
    <row r="728" spans="3:4" x14ac:dyDescent="0.25">
      <c r="C728" s="22"/>
      <c r="D728" s="22"/>
    </row>
    <row r="729" spans="3:4" x14ac:dyDescent="0.25">
      <c r="C729" s="22"/>
      <c r="D729" s="22"/>
    </row>
    <row r="730" spans="3:4" x14ac:dyDescent="0.25">
      <c r="C730" s="22"/>
      <c r="D730" s="22"/>
    </row>
    <row r="731" spans="3:4" x14ac:dyDescent="0.25">
      <c r="C731" s="22"/>
      <c r="D731" s="22"/>
    </row>
    <row r="732" spans="3:4" x14ac:dyDescent="0.25">
      <c r="C732" s="22"/>
      <c r="D732" s="22"/>
    </row>
    <row r="733" spans="3:4" x14ac:dyDescent="0.25">
      <c r="C733" s="22"/>
      <c r="D733" s="22"/>
    </row>
    <row r="734" spans="3:4" x14ac:dyDescent="0.25">
      <c r="C734" s="22"/>
      <c r="D734" s="22"/>
    </row>
    <row r="735" spans="3:4" x14ac:dyDescent="0.25">
      <c r="C735" s="22"/>
      <c r="D735" s="22"/>
    </row>
    <row r="736" spans="3:4" x14ac:dyDescent="0.25">
      <c r="C736" s="22"/>
      <c r="D736" s="22"/>
    </row>
    <row r="737" spans="3:4" x14ac:dyDescent="0.25">
      <c r="C737" s="22"/>
      <c r="D737" s="22"/>
    </row>
    <row r="738" spans="3:4" x14ac:dyDescent="0.25">
      <c r="C738" s="22"/>
      <c r="D738" s="22"/>
    </row>
    <row r="739" spans="3:4" x14ac:dyDescent="0.25">
      <c r="C739" s="22"/>
      <c r="D739" s="22"/>
    </row>
    <row r="740" spans="3:4" x14ac:dyDescent="0.25">
      <c r="C740" s="22"/>
      <c r="D740" s="22"/>
    </row>
    <row r="741" spans="3:4" x14ac:dyDescent="0.25">
      <c r="C741" s="22"/>
      <c r="D741" s="22"/>
    </row>
    <row r="742" spans="3:4" x14ac:dyDescent="0.25">
      <c r="C742" s="22"/>
      <c r="D742" s="22"/>
    </row>
    <row r="743" spans="3:4" x14ac:dyDescent="0.25">
      <c r="C743" s="22"/>
      <c r="D743" s="22"/>
    </row>
    <row r="744" spans="3:4" x14ac:dyDescent="0.25">
      <c r="C744" s="22"/>
      <c r="D744" s="22"/>
    </row>
    <row r="745" spans="3:4" x14ac:dyDescent="0.25">
      <c r="C745" s="22"/>
      <c r="D745" s="22"/>
    </row>
    <row r="746" spans="3:4" x14ac:dyDescent="0.25">
      <c r="C746" s="22"/>
      <c r="D746" s="22"/>
    </row>
    <row r="747" spans="3:4" x14ac:dyDescent="0.25">
      <c r="C747" s="22"/>
      <c r="D747" s="22"/>
    </row>
    <row r="748" spans="3:4" x14ac:dyDescent="0.25">
      <c r="C748" s="22"/>
      <c r="D748" s="22"/>
    </row>
    <row r="749" spans="3:4" x14ac:dyDescent="0.25">
      <c r="C749" s="22"/>
      <c r="D749" s="22"/>
    </row>
    <row r="750" spans="3:4" x14ac:dyDescent="0.25">
      <c r="C750" s="22"/>
      <c r="D750" s="22"/>
    </row>
    <row r="751" spans="3:4" x14ac:dyDescent="0.25">
      <c r="C751" s="22"/>
      <c r="D751" s="22"/>
    </row>
    <row r="752" spans="3:4" x14ac:dyDescent="0.25">
      <c r="C752" s="22"/>
      <c r="D752" s="22"/>
    </row>
    <row r="753" spans="3:4" x14ac:dyDescent="0.25">
      <c r="C753" s="22"/>
      <c r="D753" s="22"/>
    </row>
    <row r="754" spans="3:4" x14ac:dyDescent="0.25">
      <c r="C754" s="22"/>
      <c r="D754" s="22"/>
    </row>
    <row r="755" spans="3:4" x14ac:dyDescent="0.25">
      <c r="C755" s="22"/>
      <c r="D755" s="22"/>
    </row>
    <row r="756" spans="3:4" x14ac:dyDescent="0.25">
      <c r="C756" s="22"/>
      <c r="D756" s="22"/>
    </row>
    <row r="757" spans="3:4" x14ac:dyDescent="0.25">
      <c r="C757" s="22"/>
      <c r="D757" s="22"/>
    </row>
    <row r="758" spans="3:4" x14ac:dyDescent="0.25">
      <c r="C758" s="22"/>
      <c r="D758" s="22"/>
    </row>
    <row r="759" spans="3:4" x14ac:dyDescent="0.25">
      <c r="C759" s="22"/>
      <c r="D759" s="22"/>
    </row>
    <row r="760" spans="3:4" x14ac:dyDescent="0.25">
      <c r="C760" s="22"/>
      <c r="D760" s="22"/>
    </row>
    <row r="761" spans="3:4" x14ac:dyDescent="0.25">
      <c r="C761" s="22"/>
      <c r="D761" s="22"/>
    </row>
    <row r="762" spans="3:4" x14ac:dyDescent="0.25">
      <c r="C762" s="22"/>
      <c r="D762" s="22"/>
    </row>
    <row r="763" spans="3:4" x14ac:dyDescent="0.25">
      <c r="C763" s="22"/>
      <c r="D763" s="22"/>
    </row>
    <row r="764" spans="3:4" x14ac:dyDescent="0.25">
      <c r="C764" s="22"/>
      <c r="D764" s="22"/>
    </row>
    <row r="765" spans="3:4" x14ac:dyDescent="0.25">
      <c r="C765" s="22"/>
      <c r="D765" s="22"/>
    </row>
    <row r="766" spans="3:4" x14ac:dyDescent="0.25">
      <c r="C766" s="22"/>
      <c r="D766" s="22"/>
    </row>
    <row r="767" spans="3:4" x14ac:dyDescent="0.25">
      <c r="C767" s="22"/>
      <c r="D767" s="22"/>
    </row>
    <row r="768" spans="3:4" x14ac:dyDescent="0.25">
      <c r="C768" s="22"/>
      <c r="D768" s="22"/>
    </row>
    <row r="769" spans="3:4" x14ac:dyDescent="0.25">
      <c r="C769" s="22"/>
      <c r="D769" s="22"/>
    </row>
    <row r="770" spans="3:4" x14ac:dyDescent="0.25">
      <c r="C770" s="22"/>
      <c r="D770" s="22"/>
    </row>
    <row r="771" spans="3:4" x14ac:dyDescent="0.25">
      <c r="C771" s="22"/>
      <c r="D771" s="22"/>
    </row>
    <row r="772" spans="3:4" x14ac:dyDescent="0.25">
      <c r="C772" s="22"/>
      <c r="D772" s="22"/>
    </row>
    <row r="773" spans="3:4" x14ac:dyDescent="0.25">
      <c r="C773" s="22"/>
      <c r="D773" s="22"/>
    </row>
    <row r="774" spans="3:4" x14ac:dyDescent="0.25">
      <c r="C774" s="22"/>
      <c r="D774" s="22"/>
    </row>
    <row r="775" spans="3:4" x14ac:dyDescent="0.25">
      <c r="C775" s="22"/>
      <c r="D775" s="22"/>
    </row>
    <row r="776" spans="3:4" x14ac:dyDescent="0.25">
      <c r="C776" s="22"/>
      <c r="D776" s="22"/>
    </row>
    <row r="777" spans="3:4" x14ac:dyDescent="0.25">
      <c r="C777" s="22"/>
      <c r="D777" s="22"/>
    </row>
    <row r="778" spans="3:4" x14ac:dyDescent="0.25">
      <c r="C778" s="22"/>
      <c r="D778" s="22"/>
    </row>
    <row r="779" spans="3:4" x14ac:dyDescent="0.25">
      <c r="C779" s="22"/>
      <c r="D779" s="22"/>
    </row>
    <row r="780" spans="3:4" x14ac:dyDescent="0.25">
      <c r="C780" s="22"/>
      <c r="D780" s="22"/>
    </row>
    <row r="781" spans="3:4" x14ac:dyDescent="0.25">
      <c r="C781" s="22"/>
      <c r="D781" s="22"/>
    </row>
    <row r="782" spans="3:4" x14ac:dyDescent="0.25">
      <c r="C782" s="22"/>
      <c r="D782" s="22"/>
    </row>
    <row r="783" spans="3:4" x14ac:dyDescent="0.25">
      <c r="C783" s="22"/>
      <c r="D783" s="22"/>
    </row>
    <row r="784" spans="3:4" x14ac:dyDescent="0.25">
      <c r="C784" s="22"/>
      <c r="D784" s="22"/>
    </row>
    <row r="785" spans="3:4" x14ac:dyDescent="0.25">
      <c r="C785" s="22"/>
      <c r="D785" s="22"/>
    </row>
    <row r="786" spans="3:4" x14ac:dyDescent="0.25">
      <c r="C786" s="22"/>
      <c r="D786" s="22"/>
    </row>
    <row r="787" spans="3:4" x14ac:dyDescent="0.25">
      <c r="C787" s="22"/>
      <c r="D787" s="22"/>
    </row>
    <row r="788" spans="3:4" x14ac:dyDescent="0.25">
      <c r="C788" s="22"/>
      <c r="D788" s="22"/>
    </row>
    <row r="789" spans="3:4" x14ac:dyDescent="0.25">
      <c r="C789" s="22"/>
      <c r="D789" s="22"/>
    </row>
    <row r="790" spans="3:4" x14ac:dyDescent="0.25">
      <c r="C790" s="22"/>
      <c r="D790" s="22"/>
    </row>
    <row r="791" spans="3:4" x14ac:dyDescent="0.25">
      <c r="C791" s="22"/>
      <c r="D791" s="22"/>
    </row>
    <row r="792" spans="3:4" x14ac:dyDescent="0.25">
      <c r="C792" s="22"/>
      <c r="D792" s="22"/>
    </row>
    <row r="793" spans="3:4" x14ac:dyDescent="0.25">
      <c r="C793" s="22"/>
      <c r="D793" s="22"/>
    </row>
    <row r="794" spans="3:4" x14ac:dyDescent="0.25">
      <c r="C794" s="22"/>
      <c r="D794" s="22"/>
    </row>
    <row r="795" spans="3:4" x14ac:dyDescent="0.25">
      <c r="C795" s="22"/>
      <c r="D795" s="22"/>
    </row>
    <row r="796" spans="3:4" x14ac:dyDescent="0.25">
      <c r="C796" s="22"/>
      <c r="D796" s="22"/>
    </row>
    <row r="797" spans="3:4" x14ac:dyDescent="0.25">
      <c r="C797" s="22"/>
      <c r="D797" s="22"/>
    </row>
    <row r="798" spans="3:4" x14ac:dyDescent="0.25">
      <c r="C798" s="22"/>
      <c r="D798" s="22"/>
    </row>
    <row r="799" spans="3:4" x14ac:dyDescent="0.25">
      <c r="C799" s="22"/>
      <c r="D799" s="22"/>
    </row>
    <row r="800" spans="3:4" x14ac:dyDescent="0.25">
      <c r="C800" s="22"/>
      <c r="D800" s="22"/>
    </row>
    <row r="801" spans="3:4" x14ac:dyDescent="0.25">
      <c r="C801" s="22"/>
      <c r="D801" s="22"/>
    </row>
    <row r="802" spans="3:4" x14ac:dyDescent="0.25">
      <c r="C802" s="22"/>
      <c r="D802" s="22"/>
    </row>
    <row r="803" spans="3:4" x14ac:dyDescent="0.25">
      <c r="C803" s="22"/>
      <c r="D803" s="22"/>
    </row>
    <row r="804" spans="3:4" x14ac:dyDescent="0.25">
      <c r="C804" s="22"/>
      <c r="D804" s="22"/>
    </row>
    <row r="805" spans="3:4" x14ac:dyDescent="0.25">
      <c r="C805" s="22"/>
      <c r="D805" s="22"/>
    </row>
    <row r="806" spans="3:4" x14ac:dyDescent="0.25">
      <c r="C806" s="22"/>
      <c r="D806" s="22"/>
    </row>
    <row r="807" spans="3:4" x14ac:dyDescent="0.25">
      <c r="C807" s="22"/>
      <c r="D807" s="22"/>
    </row>
    <row r="808" spans="3:4" x14ac:dyDescent="0.25">
      <c r="C808" s="22"/>
      <c r="D808" s="22"/>
    </row>
    <row r="809" spans="3:4" x14ac:dyDescent="0.25">
      <c r="C809" s="22"/>
      <c r="D809" s="22"/>
    </row>
    <row r="810" spans="3:4" x14ac:dyDescent="0.25">
      <c r="C810" s="22"/>
      <c r="D810" s="22"/>
    </row>
    <row r="811" spans="3:4" x14ac:dyDescent="0.25">
      <c r="C811" s="22"/>
      <c r="D811" s="22"/>
    </row>
    <row r="812" spans="3:4" x14ac:dyDescent="0.25">
      <c r="C812" s="22"/>
      <c r="D812" s="22"/>
    </row>
    <row r="813" spans="3:4" x14ac:dyDescent="0.25">
      <c r="C813" s="22"/>
      <c r="D813" s="22"/>
    </row>
    <row r="814" spans="3:4" x14ac:dyDescent="0.25">
      <c r="C814" s="22"/>
      <c r="D814" s="22"/>
    </row>
    <row r="815" spans="3:4" x14ac:dyDescent="0.25">
      <c r="C815" s="22"/>
      <c r="D815" s="22"/>
    </row>
    <row r="816" spans="3:4" x14ac:dyDescent="0.25">
      <c r="C816" s="22"/>
      <c r="D816" s="22"/>
    </row>
    <row r="817" spans="3:4" x14ac:dyDescent="0.25">
      <c r="C817" s="22"/>
      <c r="D817" s="22"/>
    </row>
    <row r="818" spans="3:4" x14ac:dyDescent="0.25">
      <c r="C818" s="22"/>
      <c r="D818" s="22"/>
    </row>
    <row r="819" spans="3:4" x14ac:dyDescent="0.25">
      <c r="C819" s="22"/>
      <c r="D819" s="22"/>
    </row>
    <row r="820" spans="3:4" x14ac:dyDescent="0.25">
      <c r="C820" s="22"/>
      <c r="D820" s="22"/>
    </row>
    <row r="821" spans="3:4" x14ac:dyDescent="0.25">
      <c r="C821" s="22"/>
      <c r="D821" s="22"/>
    </row>
    <row r="822" spans="3:4" x14ac:dyDescent="0.25">
      <c r="C822" s="22"/>
      <c r="D822" s="22"/>
    </row>
    <row r="823" spans="3:4" x14ac:dyDescent="0.25">
      <c r="C823" s="22"/>
      <c r="D823" s="22"/>
    </row>
    <row r="824" spans="3:4" x14ac:dyDescent="0.25">
      <c r="C824" s="22"/>
      <c r="D824" s="22"/>
    </row>
    <row r="825" spans="3:4" x14ac:dyDescent="0.25">
      <c r="C825" s="22"/>
      <c r="D825" s="22"/>
    </row>
    <row r="826" spans="3:4" x14ac:dyDescent="0.25">
      <c r="C826" s="22"/>
      <c r="D826" s="22"/>
    </row>
    <row r="827" spans="3:4" x14ac:dyDescent="0.25">
      <c r="C827" s="22"/>
      <c r="D827" s="22"/>
    </row>
    <row r="828" spans="3:4" x14ac:dyDescent="0.25">
      <c r="C828" s="22"/>
      <c r="D828" s="22"/>
    </row>
    <row r="829" spans="3:4" x14ac:dyDescent="0.25">
      <c r="C829" s="22"/>
      <c r="D829" s="22"/>
    </row>
    <row r="830" spans="3:4" x14ac:dyDescent="0.25">
      <c r="C830" s="22"/>
      <c r="D830" s="22"/>
    </row>
    <row r="831" spans="3:4" x14ac:dyDescent="0.25">
      <c r="C831" s="22"/>
      <c r="D831" s="22"/>
    </row>
    <row r="832" spans="3:4" x14ac:dyDescent="0.25">
      <c r="C832" s="22"/>
      <c r="D832" s="22"/>
    </row>
    <row r="833" spans="3:4" x14ac:dyDescent="0.25">
      <c r="C833" s="22"/>
      <c r="D833" s="22"/>
    </row>
    <row r="834" spans="3:4" x14ac:dyDescent="0.25">
      <c r="C834" s="22"/>
      <c r="D834" s="22"/>
    </row>
    <row r="835" spans="3:4" x14ac:dyDescent="0.25">
      <c r="C835" s="22"/>
      <c r="D835" s="22"/>
    </row>
    <row r="836" spans="3:4" x14ac:dyDescent="0.25">
      <c r="C836" s="22"/>
      <c r="D836" s="22"/>
    </row>
    <row r="837" spans="3:4" x14ac:dyDescent="0.25">
      <c r="C837" s="22"/>
      <c r="D837" s="22"/>
    </row>
    <row r="838" spans="3:4" x14ac:dyDescent="0.25">
      <c r="C838" s="22"/>
      <c r="D838" s="22"/>
    </row>
    <row r="839" spans="3:4" x14ac:dyDescent="0.25">
      <c r="C839" s="22"/>
      <c r="D839" s="22"/>
    </row>
    <row r="840" spans="3:4" x14ac:dyDescent="0.25">
      <c r="C840" s="22"/>
      <c r="D840" s="22"/>
    </row>
    <row r="841" spans="3:4" x14ac:dyDescent="0.25">
      <c r="C841" s="22"/>
      <c r="D841" s="22"/>
    </row>
    <row r="842" spans="3:4" x14ac:dyDescent="0.25">
      <c r="C842" s="22"/>
      <c r="D842" s="22"/>
    </row>
    <row r="843" spans="3:4" x14ac:dyDescent="0.25">
      <c r="C843" s="22"/>
      <c r="D843" s="22"/>
    </row>
    <row r="844" spans="3:4" x14ac:dyDescent="0.25">
      <c r="C844" s="22"/>
      <c r="D844" s="22"/>
    </row>
    <row r="845" spans="3:4" x14ac:dyDescent="0.25">
      <c r="C845" s="22"/>
      <c r="D845" s="22"/>
    </row>
    <row r="846" spans="3:4" x14ac:dyDescent="0.25">
      <c r="C846" s="22"/>
      <c r="D846" s="22"/>
    </row>
    <row r="847" spans="3:4" x14ac:dyDescent="0.25">
      <c r="C847" s="22"/>
      <c r="D847" s="22"/>
    </row>
    <row r="848" spans="3:4" x14ac:dyDescent="0.25">
      <c r="C848" s="22"/>
      <c r="D848" s="22"/>
    </row>
    <row r="849" spans="3:4" x14ac:dyDescent="0.25">
      <c r="C849" s="22"/>
      <c r="D849" s="22"/>
    </row>
    <row r="850" spans="3:4" x14ac:dyDescent="0.25">
      <c r="C850" s="22"/>
      <c r="D850" s="22"/>
    </row>
    <row r="851" spans="3:4" x14ac:dyDescent="0.25">
      <c r="C851" s="22"/>
      <c r="D851" s="22"/>
    </row>
    <row r="852" spans="3:4" x14ac:dyDescent="0.25">
      <c r="C852" s="22"/>
      <c r="D852" s="22"/>
    </row>
    <row r="853" spans="3:4" x14ac:dyDescent="0.25">
      <c r="C853" s="22"/>
      <c r="D853" s="22"/>
    </row>
    <row r="854" spans="3:4" x14ac:dyDescent="0.25">
      <c r="C854" s="22"/>
      <c r="D854" s="22"/>
    </row>
    <row r="855" spans="3:4" x14ac:dyDescent="0.25">
      <c r="C855" s="22"/>
      <c r="D855" s="22"/>
    </row>
    <row r="856" spans="3:4" x14ac:dyDescent="0.25">
      <c r="C856" s="22"/>
      <c r="D856" s="22"/>
    </row>
    <row r="857" spans="3:4" x14ac:dyDescent="0.25">
      <c r="C857" s="22"/>
      <c r="D857" s="22"/>
    </row>
    <row r="858" spans="3:4" x14ac:dyDescent="0.25">
      <c r="C858" s="22"/>
      <c r="D858" s="22"/>
    </row>
    <row r="859" spans="3:4" x14ac:dyDescent="0.25">
      <c r="C859" s="22"/>
      <c r="D859" s="22"/>
    </row>
    <row r="860" spans="3:4" x14ac:dyDescent="0.25">
      <c r="C860" s="22"/>
      <c r="D860" s="22"/>
    </row>
    <row r="861" spans="3:4" x14ac:dyDescent="0.25">
      <c r="C861" s="22"/>
      <c r="D861" s="22"/>
    </row>
    <row r="862" spans="3:4" x14ac:dyDescent="0.25">
      <c r="C862" s="22"/>
      <c r="D862" s="22"/>
    </row>
    <row r="863" spans="3:4" x14ac:dyDescent="0.25">
      <c r="C863" s="22"/>
      <c r="D863" s="22"/>
    </row>
    <row r="864" spans="3:4" x14ac:dyDescent="0.25">
      <c r="C864" s="22"/>
      <c r="D864" s="22"/>
    </row>
    <row r="865" spans="3:4" x14ac:dyDescent="0.25">
      <c r="C865" s="22"/>
      <c r="D865" s="22"/>
    </row>
    <row r="866" spans="3:4" x14ac:dyDescent="0.25">
      <c r="C866" s="22"/>
      <c r="D866" s="22"/>
    </row>
    <row r="867" spans="3:4" x14ac:dyDescent="0.25">
      <c r="C867" s="22"/>
      <c r="D867" s="22"/>
    </row>
    <row r="868" spans="3:4" x14ac:dyDescent="0.25">
      <c r="C868" s="22"/>
      <c r="D868" s="22"/>
    </row>
    <row r="869" spans="3:4" x14ac:dyDescent="0.25">
      <c r="C869" s="22"/>
      <c r="D869" s="22"/>
    </row>
    <row r="870" spans="3:4" x14ac:dyDescent="0.25">
      <c r="C870" s="22"/>
      <c r="D870" s="22"/>
    </row>
    <row r="871" spans="3:4" x14ac:dyDescent="0.25">
      <c r="C871" s="22"/>
      <c r="D871" s="22"/>
    </row>
    <row r="872" spans="3:4" x14ac:dyDescent="0.25">
      <c r="C872" s="22"/>
      <c r="D872" s="22"/>
    </row>
    <row r="873" spans="3:4" x14ac:dyDescent="0.25">
      <c r="C873" s="22"/>
      <c r="D873" s="22"/>
    </row>
    <row r="874" spans="3:4" x14ac:dyDescent="0.25">
      <c r="C874" s="22"/>
      <c r="D874" s="22"/>
    </row>
    <row r="875" spans="3:4" x14ac:dyDescent="0.25">
      <c r="C875" s="22"/>
      <c r="D875" s="22"/>
    </row>
    <row r="876" spans="3:4" x14ac:dyDescent="0.25">
      <c r="C876" s="22"/>
      <c r="D876" s="22"/>
    </row>
    <row r="877" spans="3:4" x14ac:dyDescent="0.25">
      <c r="C877" s="22"/>
      <c r="D877" s="22"/>
    </row>
    <row r="878" spans="3:4" x14ac:dyDescent="0.25">
      <c r="C878" s="22"/>
      <c r="D878" s="22"/>
    </row>
    <row r="879" spans="3:4" x14ac:dyDescent="0.25">
      <c r="C879" s="22"/>
      <c r="D879" s="22"/>
    </row>
    <row r="880" spans="3:4" x14ac:dyDescent="0.25">
      <c r="C880" s="22"/>
      <c r="D880" s="22"/>
    </row>
    <row r="881" spans="3:4" x14ac:dyDescent="0.25">
      <c r="C881" s="22"/>
      <c r="D881" s="22"/>
    </row>
    <row r="882" spans="3:4" x14ac:dyDescent="0.25">
      <c r="C882" s="22"/>
      <c r="D882" s="22"/>
    </row>
    <row r="883" spans="3:4" x14ac:dyDescent="0.25">
      <c r="C883" s="22"/>
      <c r="D883" s="22"/>
    </row>
    <row r="884" spans="3:4" x14ac:dyDescent="0.25">
      <c r="C884" s="22"/>
      <c r="D884" s="22"/>
    </row>
    <row r="885" spans="3:4" x14ac:dyDescent="0.25">
      <c r="C885" s="22"/>
      <c r="D885" s="22"/>
    </row>
    <row r="886" spans="3:4" x14ac:dyDescent="0.25">
      <c r="C886" s="22"/>
      <c r="D886" s="22"/>
    </row>
    <row r="887" spans="3:4" x14ac:dyDescent="0.25">
      <c r="C887" s="22"/>
      <c r="D887" s="22"/>
    </row>
    <row r="888" spans="3:4" x14ac:dyDescent="0.25">
      <c r="C888" s="22"/>
      <c r="D888" s="22"/>
    </row>
    <row r="889" spans="3:4" x14ac:dyDescent="0.25">
      <c r="C889" s="22"/>
      <c r="D889" s="22"/>
    </row>
    <row r="890" spans="3:4" x14ac:dyDescent="0.25">
      <c r="C890" s="22"/>
      <c r="D890" s="22"/>
    </row>
    <row r="891" spans="3:4" x14ac:dyDescent="0.25">
      <c r="C891" s="22"/>
      <c r="D891" s="22"/>
    </row>
    <row r="892" spans="3:4" x14ac:dyDescent="0.25">
      <c r="C892" s="22"/>
      <c r="D892" s="22"/>
    </row>
    <row r="893" spans="3:4" x14ac:dyDescent="0.25">
      <c r="C893" s="22"/>
      <c r="D893" s="22"/>
    </row>
    <row r="894" spans="3:4" x14ac:dyDescent="0.25">
      <c r="C894" s="22"/>
      <c r="D894" s="22"/>
    </row>
    <row r="895" spans="3:4" x14ac:dyDescent="0.25">
      <c r="C895" s="22"/>
      <c r="D895" s="22"/>
    </row>
    <row r="896" spans="3:4" x14ac:dyDescent="0.25">
      <c r="C896" s="22"/>
      <c r="D896" s="22"/>
    </row>
    <row r="897" spans="3:4" x14ac:dyDescent="0.25">
      <c r="C897" s="22"/>
      <c r="D897" s="22"/>
    </row>
    <row r="898" spans="3:4" x14ac:dyDescent="0.25">
      <c r="C898" s="22"/>
      <c r="D898" s="22"/>
    </row>
    <row r="899" spans="3:4" x14ac:dyDescent="0.25">
      <c r="C899" s="22"/>
      <c r="D899" s="22"/>
    </row>
    <row r="900" spans="3:4" x14ac:dyDescent="0.25">
      <c r="C900" s="22"/>
      <c r="D900" s="22"/>
    </row>
    <row r="901" spans="3:4" x14ac:dyDescent="0.25">
      <c r="C901" s="22"/>
      <c r="D901" s="22"/>
    </row>
    <row r="902" spans="3:4" x14ac:dyDescent="0.25">
      <c r="C902" s="22"/>
      <c r="D902" s="22"/>
    </row>
    <row r="903" spans="3:4" x14ac:dyDescent="0.25">
      <c r="C903" s="22"/>
      <c r="D903" s="22"/>
    </row>
    <row r="904" spans="3:4" x14ac:dyDescent="0.25">
      <c r="C904" s="22"/>
      <c r="D904" s="22"/>
    </row>
    <row r="905" spans="3:4" x14ac:dyDescent="0.25">
      <c r="C905" s="22"/>
      <c r="D905" s="22"/>
    </row>
    <row r="906" spans="3:4" x14ac:dyDescent="0.25">
      <c r="C906" s="22"/>
      <c r="D906" s="22"/>
    </row>
    <row r="907" spans="3:4" x14ac:dyDescent="0.25">
      <c r="C907" s="22"/>
      <c r="D907" s="22"/>
    </row>
    <row r="908" spans="3:4" x14ac:dyDescent="0.25">
      <c r="C908" s="22"/>
      <c r="D908" s="22"/>
    </row>
    <row r="909" spans="3:4" x14ac:dyDescent="0.25">
      <c r="C909" s="22"/>
      <c r="D909" s="22"/>
    </row>
    <row r="910" spans="3:4" x14ac:dyDescent="0.25">
      <c r="C910" s="22"/>
      <c r="D910" s="22"/>
    </row>
    <row r="911" spans="3:4" x14ac:dyDescent="0.25">
      <c r="C911" s="22"/>
      <c r="D911" s="22"/>
    </row>
    <row r="912" spans="3:4" x14ac:dyDescent="0.25">
      <c r="C912" s="22"/>
      <c r="D912" s="22"/>
    </row>
    <row r="913" spans="3:4" x14ac:dyDescent="0.25">
      <c r="C913" s="22"/>
      <c r="D913" s="22"/>
    </row>
    <row r="914" spans="3:4" x14ac:dyDescent="0.25">
      <c r="C914" s="22"/>
      <c r="D914" s="22"/>
    </row>
    <row r="915" spans="3:4" x14ac:dyDescent="0.25">
      <c r="C915" s="22"/>
      <c r="D915" s="22"/>
    </row>
    <row r="916" spans="3:4" x14ac:dyDescent="0.25">
      <c r="C916" s="22"/>
      <c r="D916" s="22"/>
    </row>
    <row r="917" spans="3:4" x14ac:dyDescent="0.25">
      <c r="C917" s="22"/>
      <c r="D917" s="22"/>
    </row>
    <row r="918" spans="3:4" x14ac:dyDescent="0.25">
      <c r="C918" s="22"/>
      <c r="D918" s="22"/>
    </row>
    <row r="919" spans="3:4" x14ac:dyDescent="0.25">
      <c r="C919" s="22"/>
      <c r="D919" s="22"/>
    </row>
    <row r="920" spans="3:4" x14ac:dyDescent="0.25">
      <c r="C920" s="22"/>
      <c r="D920" s="22"/>
    </row>
    <row r="921" spans="3:4" x14ac:dyDescent="0.25">
      <c r="C921" s="22"/>
      <c r="D921" s="22"/>
    </row>
    <row r="922" spans="3:4" x14ac:dyDescent="0.25">
      <c r="C922" s="22"/>
      <c r="D922" s="22"/>
    </row>
    <row r="923" spans="3:4" x14ac:dyDescent="0.25">
      <c r="C923" s="22"/>
      <c r="D923" s="22"/>
    </row>
    <row r="924" spans="3:4" x14ac:dyDescent="0.25">
      <c r="C924" s="22"/>
      <c r="D924" s="22"/>
    </row>
    <row r="925" spans="3:4" x14ac:dyDescent="0.25">
      <c r="C925" s="22"/>
      <c r="D925" s="22"/>
    </row>
    <row r="926" spans="3:4" x14ac:dyDescent="0.25">
      <c r="C926" s="22"/>
      <c r="D926" s="22"/>
    </row>
    <row r="927" spans="3:4" x14ac:dyDescent="0.25">
      <c r="C927" s="22"/>
      <c r="D927" s="22"/>
    </row>
    <row r="928" spans="3:4" x14ac:dyDescent="0.25">
      <c r="C928" s="22"/>
      <c r="D928" s="22"/>
    </row>
    <row r="929" spans="3:4" x14ac:dyDescent="0.25">
      <c r="C929" s="22"/>
      <c r="D929" s="22"/>
    </row>
    <row r="930" spans="3:4" x14ac:dyDescent="0.25">
      <c r="C930" s="22"/>
      <c r="D930" s="22"/>
    </row>
    <row r="931" spans="3:4" x14ac:dyDescent="0.25">
      <c r="C931" s="22"/>
      <c r="D931" s="22"/>
    </row>
    <row r="932" spans="3:4" x14ac:dyDescent="0.25">
      <c r="C932" s="22"/>
      <c r="D932" s="22"/>
    </row>
    <row r="933" spans="3:4" x14ac:dyDescent="0.25">
      <c r="C933" s="22"/>
      <c r="D933" s="22"/>
    </row>
    <row r="934" spans="3:4" x14ac:dyDescent="0.25">
      <c r="C934" s="22"/>
      <c r="D934" s="22"/>
    </row>
    <row r="935" spans="3:4" x14ac:dyDescent="0.25">
      <c r="C935" s="22"/>
      <c r="D935" s="22"/>
    </row>
    <row r="936" spans="3:4" x14ac:dyDescent="0.25">
      <c r="C936" s="22"/>
      <c r="D936" s="22"/>
    </row>
    <row r="937" spans="3:4" x14ac:dyDescent="0.25">
      <c r="C937" s="22"/>
      <c r="D937" s="22"/>
    </row>
    <row r="938" spans="3:4" x14ac:dyDescent="0.25">
      <c r="C938" s="22"/>
      <c r="D938" s="22"/>
    </row>
    <row r="939" spans="3:4" x14ac:dyDescent="0.25">
      <c r="C939" s="22"/>
      <c r="D939" s="22"/>
    </row>
    <row r="940" spans="3:4" x14ac:dyDescent="0.25">
      <c r="C940" s="22"/>
      <c r="D940" s="22"/>
    </row>
    <row r="941" spans="3:4" x14ac:dyDescent="0.25">
      <c r="C941" s="22"/>
      <c r="D941" s="22"/>
    </row>
    <row r="942" spans="3:4" x14ac:dyDescent="0.25">
      <c r="C942" s="22"/>
      <c r="D942" s="22"/>
    </row>
    <row r="943" spans="3:4" x14ac:dyDescent="0.25">
      <c r="C943" s="22"/>
      <c r="D943" s="22"/>
    </row>
    <row r="944" spans="3:4" x14ac:dyDescent="0.25">
      <c r="C944" s="22"/>
      <c r="D944" s="22"/>
    </row>
    <row r="945" spans="3:4" x14ac:dyDescent="0.25">
      <c r="C945" s="22"/>
      <c r="D945" s="22"/>
    </row>
    <row r="946" spans="3:4" x14ac:dyDescent="0.25">
      <c r="C946" s="22"/>
      <c r="D946" s="22"/>
    </row>
    <row r="947" spans="3:4" x14ac:dyDescent="0.25">
      <c r="C947" s="22"/>
      <c r="D947" s="22"/>
    </row>
    <row r="948" spans="3:4" x14ac:dyDescent="0.25">
      <c r="C948" s="22"/>
      <c r="D948" s="22"/>
    </row>
    <row r="949" spans="3:4" x14ac:dyDescent="0.25">
      <c r="C949" s="22"/>
      <c r="D949" s="22"/>
    </row>
    <row r="950" spans="3:4" x14ac:dyDescent="0.25">
      <c r="C950" s="22"/>
      <c r="D950" s="22"/>
    </row>
    <row r="951" spans="3:4" x14ac:dyDescent="0.25">
      <c r="C951" s="22"/>
      <c r="D951" s="22"/>
    </row>
    <row r="952" spans="3:4" x14ac:dyDescent="0.25">
      <c r="C952" s="22"/>
      <c r="D952" s="22"/>
    </row>
    <row r="953" spans="3:4" x14ac:dyDescent="0.25">
      <c r="C953" s="22"/>
      <c r="D953" s="22"/>
    </row>
    <row r="954" spans="3:4" x14ac:dyDescent="0.25">
      <c r="C954" s="22"/>
      <c r="D954" s="22"/>
    </row>
    <row r="955" spans="3:4" x14ac:dyDescent="0.25">
      <c r="C955" s="22"/>
      <c r="D955" s="22"/>
    </row>
    <row r="956" spans="3:4" x14ac:dyDescent="0.25">
      <c r="C956" s="22"/>
      <c r="D956" s="22"/>
    </row>
    <row r="957" spans="3:4" x14ac:dyDescent="0.25">
      <c r="C957" s="22"/>
      <c r="D957" s="22"/>
    </row>
    <row r="958" spans="3:4" x14ac:dyDescent="0.25">
      <c r="C958" s="22"/>
      <c r="D958" s="22"/>
    </row>
    <row r="959" spans="3:4" x14ac:dyDescent="0.25">
      <c r="C959" s="22"/>
      <c r="D959" s="22"/>
    </row>
    <row r="960" spans="3:4" x14ac:dyDescent="0.25">
      <c r="C960" s="22"/>
      <c r="D960" s="22"/>
    </row>
    <row r="961" spans="3:4" x14ac:dyDescent="0.25">
      <c r="C961" s="22"/>
      <c r="D961" s="22"/>
    </row>
    <row r="962" spans="3:4" x14ac:dyDescent="0.25">
      <c r="C962" s="22"/>
      <c r="D962" s="22"/>
    </row>
    <row r="963" spans="3:4" x14ac:dyDescent="0.25">
      <c r="C963" s="22"/>
      <c r="D963" s="22"/>
    </row>
    <row r="964" spans="3:4" x14ac:dyDescent="0.25">
      <c r="C964" s="22"/>
      <c r="D964" s="22"/>
    </row>
    <row r="965" spans="3:4" x14ac:dyDescent="0.25">
      <c r="C965" s="22"/>
      <c r="D965" s="22"/>
    </row>
    <row r="966" spans="3:4" x14ac:dyDescent="0.25">
      <c r="C966" s="22"/>
      <c r="D966" s="22"/>
    </row>
    <row r="967" spans="3:4" x14ac:dyDescent="0.25">
      <c r="C967" s="22"/>
      <c r="D967" s="22"/>
    </row>
    <row r="968" spans="3:4" x14ac:dyDescent="0.25">
      <c r="C968" s="22"/>
      <c r="D968" s="22"/>
    </row>
    <row r="969" spans="3:4" x14ac:dyDescent="0.25">
      <c r="C969" s="22"/>
      <c r="D969" s="22"/>
    </row>
    <row r="970" spans="3:4" x14ac:dyDescent="0.25">
      <c r="C970" s="22"/>
      <c r="D970" s="22"/>
    </row>
    <row r="971" spans="3:4" x14ac:dyDescent="0.25">
      <c r="C971" s="22"/>
      <c r="D971" s="22"/>
    </row>
    <row r="972" spans="3:4" x14ac:dyDescent="0.25">
      <c r="C972" s="22"/>
      <c r="D972" s="22"/>
    </row>
    <row r="973" spans="3:4" x14ac:dyDescent="0.25">
      <c r="C973" s="22"/>
      <c r="D973" s="22"/>
    </row>
    <row r="974" spans="3:4" x14ac:dyDescent="0.25">
      <c r="C974" s="22"/>
      <c r="D974" s="22"/>
    </row>
    <row r="975" spans="3:4" x14ac:dyDescent="0.25">
      <c r="C975" s="22"/>
      <c r="D975" s="22"/>
    </row>
    <row r="976" spans="3:4" x14ac:dyDescent="0.25">
      <c r="C976" s="22"/>
      <c r="D976" s="22"/>
    </row>
    <row r="977" spans="3:4" x14ac:dyDescent="0.25">
      <c r="C977" s="22"/>
      <c r="D977" s="22"/>
    </row>
    <row r="978" spans="3:4" x14ac:dyDescent="0.25">
      <c r="C978" s="22"/>
      <c r="D978" s="22"/>
    </row>
    <row r="979" spans="3:4" x14ac:dyDescent="0.25">
      <c r="C979" s="22"/>
      <c r="D979" s="22"/>
    </row>
    <row r="980" spans="3:4" x14ac:dyDescent="0.25">
      <c r="C980" s="22"/>
      <c r="D980" s="22"/>
    </row>
    <row r="981" spans="3:4" x14ac:dyDescent="0.25">
      <c r="C981" s="22"/>
      <c r="D981" s="22"/>
    </row>
    <row r="982" spans="3:4" x14ac:dyDescent="0.25">
      <c r="C982" s="22"/>
      <c r="D982" s="22"/>
    </row>
    <row r="983" spans="3:4" x14ac:dyDescent="0.25">
      <c r="C983" s="22"/>
      <c r="D983" s="22"/>
    </row>
    <row r="984" spans="3:4" x14ac:dyDescent="0.25">
      <c r="C984" s="22"/>
      <c r="D984" s="22"/>
    </row>
    <row r="985" spans="3:4" x14ac:dyDescent="0.25">
      <c r="C985" s="22"/>
      <c r="D985" s="22"/>
    </row>
    <row r="986" spans="3:4" x14ac:dyDescent="0.25">
      <c r="C986" s="22"/>
      <c r="D986" s="22"/>
    </row>
    <row r="987" spans="3:4" x14ac:dyDescent="0.25">
      <c r="C987" s="22"/>
      <c r="D987" s="22"/>
    </row>
    <row r="988" spans="3:4" x14ac:dyDescent="0.25">
      <c r="C988" s="22"/>
      <c r="D988" s="22"/>
    </row>
    <row r="989" spans="3:4" x14ac:dyDescent="0.25">
      <c r="C989" s="22"/>
      <c r="D989" s="22"/>
    </row>
    <row r="990" spans="3:4" x14ac:dyDescent="0.25">
      <c r="C990" s="22"/>
      <c r="D990" s="22"/>
    </row>
    <row r="991" spans="3:4" x14ac:dyDescent="0.25">
      <c r="C991" s="22"/>
      <c r="D991" s="22"/>
    </row>
    <row r="992" spans="3:4" x14ac:dyDescent="0.25">
      <c r="C992" s="22"/>
      <c r="D992" s="22"/>
    </row>
    <row r="993" spans="3:4" x14ac:dyDescent="0.25">
      <c r="C993" s="22"/>
      <c r="D993" s="22"/>
    </row>
    <row r="994" spans="3:4" x14ac:dyDescent="0.25">
      <c r="C994" s="22"/>
      <c r="D994" s="22"/>
    </row>
    <row r="995" spans="3:4" x14ac:dyDescent="0.25">
      <c r="C995" s="22"/>
      <c r="D995" s="22"/>
    </row>
    <row r="996" spans="3:4" x14ac:dyDescent="0.25">
      <c r="C996" s="22"/>
      <c r="D996" s="22"/>
    </row>
    <row r="997" spans="3:4" x14ac:dyDescent="0.25">
      <c r="C997" s="22"/>
      <c r="D997" s="22"/>
    </row>
    <row r="998" spans="3:4" x14ac:dyDescent="0.25">
      <c r="C998" s="22"/>
      <c r="D998" s="22"/>
    </row>
    <row r="999" spans="3:4" x14ac:dyDescent="0.25">
      <c r="C999" s="22"/>
      <c r="D999" s="22"/>
    </row>
    <row r="1000" spans="3:4" x14ac:dyDescent="0.25">
      <c r="C1000" s="22"/>
      <c r="D1000" s="22"/>
    </row>
    <row r="1001" spans="3:4" x14ac:dyDescent="0.25">
      <c r="C1001" s="22"/>
      <c r="D1001" s="22"/>
    </row>
    <row r="1002" spans="3:4" x14ac:dyDescent="0.25">
      <c r="C1002" s="22"/>
      <c r="D1002" s="22"/>
    </row>
    <row r="1003" spans="3:4" x14ac:dyDescent="0.25">
      <c r="C1003" s="22"/>
      <c r="D1003" s="22"/>
    </row>
    <row r="1004" spans="3:4" x14ac:dyDescent="0.25">
      <c r="C1004" s="22"/>
      <c r="D1004" s="22"/>
    </row>
    <row r="1005" spans="3:4" x14ac:dyDescent="0.25">
      <c r="C1005" s="22"/>
      <c r="D1005" s="22"/>
    </row>
    <row r="1006" spans="3:4" x14ac:dyDescent="0.25">
      <c r="C1006" s="22"/>
      <c r="D1006" s="22"/>
    </row>
    <row r="1007" spans="3:4" x14ac:dyDescent="0.25">
      <c r="C1007" s="22"/>
      <c r="D1007" s="22"/>
    </row>
    <row r="1008" spans="3:4" x14ac:dyDescent="0.25">
      <c r="C1008" s="22"/>
      <c r="D1008" s="22"/>
    </row>
    <row r="1009" spans="3:4" x14ac:dyDescent="0.25">
      <c r="C1009" s="22"/>
      <c r="D1009" s="22"/>
    </row>
    <row r="1010" spans="3:4" x14ac:dyDescent="0.25">
      <c r="C1010" s="22"/>
      <c r="D1010" s="22"/>
    </row>
    <row r="1011" spans="3:4" x14ac:dyDescent="0.25">
      <c r="C1011" s="22"/>
      <c r="D1011" s="22"/>
    </row>
    <row r="1012" spans="3:4" x14ac:dyDescent="0.25">
      <c r="C1012" s="22"/>
      <c r="D1012" s="22"/>
    </row>
    <row r="1013" spans="3:4" x14ac:dyDescent="0.25">
      <c r="C1013" s="22"/>
      <c r="D1013" s="22"/>
    </row>
    <row r="1014" spans="3:4" x14ac:dyDescent="0.25">
      <c r="C1014" s="22"/>
      <c r="D1014" s="22"/>
    </row>
    <row r="1015" spans="3:4" x14ac:dyDescent="0.25">
      <c r="C1015" s="22"/>
      <c r="D1015" s="22"/>
    </row>
    <row r="1016" spans="3:4" x14ac:dyDescent="0.25">
      <c r="C1016" s="22"/>
      <c r="D1016" s="22"/>
    </row>
    <row r="1017" spans="3:4" x14ac:dyDescent="0.25">
      <c r="C1017" s="22"/>
      <c r="D1017" s="22"/>
    </row>
    <row r="1018" spans="3:4" x14ac:dyDescent="0.25">
      <c r="C1018" s="22"/>
      <c r="D1018" s="22"/>
    </row>
    <row r="1019" spans="3:4" x14ac:dyDescent="0.25">
      <c r="C1019" s="22"/>
      <c r="D1019" s="22"/>
    </row>
    <row r="1020" spans="3:4" x14ac:dyDescent="0.25">
      <c r="C1020" s="22"/>
      <c r="D1020" s="22"/>
    </row>
    <row r="1021" spans="3:4" x14ac:dyDescent="0.25">
      <c r="C1021" s="22"/>
      <c r="D1021" s="22"/>
    </row>
    <row r="1022" spans="3:4" x14ac:dyDescent="0.25">
      <c r="C1022" s="22"/>
      <c r="D1022" s="22"/>
    </row>
    <row r="1023" spans="3:4" x14ac:dyDescent="0.25">
      <c r="C1023" s="22"/>
      <c r="D1023" s="22"/>
    </row>
    <row r="1024" spans="3:4" x14ac:dyDescent="0.25">
      <c r="C1024" s="22"/>
      <c r="D1024" s="22"/>
    </row>
    <row r="1025" spans="3:4" x14ac:dyDescent="0.25">
      <c r="C1025" s="22"/>
      <c r="D1025" s="22"/>
    </row>
    <row r="1026" spans="3:4" x14ac:dyDescent="0.25">
      <c r="C1026" s="22"/>
      <c r="D1026" s="22"/>
    </row>
    <row r="1027" spans="3:4" x14ac:dyDescent="0.25">
      <c r="C1027" s="22"/>
      <c r="D1027" s="22"/>
    </row>
    <row r="1028" spans="3:4" x14ac:dyDescent="0.25">
      <c r="C1028" s="22"/>
      <c r="D1028" s="22"/>
    </row>
    <row r="1029" spans="3:4" x14ac:dyDescent="0.25">
      <c r="C1029" s="22"/>
      <c r="D1029" s="22"/>
    </row>
    <row r="1030" spans="3:4" x14ac:dyDescent="0.25">
      <c r="C1030" s="22"/>
      <c r="D1030" s="22"/>
    </row>
    <row r="1031" spans="3:4" x14ac:dyDescent="0.25">
      <c r="C1031" s="22"/>
      <c r="D1031" s="22"/>
    </row>
    <row r="1032" spans="3:4" x14ac:dyDescent="0.25">
      <c r="C1032" s="21"/>
      <c r="D1032" s="21"/>
    </row>
    <row r="1033" spans="3:4" x14ac:dyDescent="0.25">
      <c r="C1033" s="21"/>
      <c r="D1033" s="21"/>
    </row>
    <row r="1034" spans="3:4" x14ac:dyDescent="0.25">
      <c r="C1034" s="21"/>
      <c r="D1034" s="21"/>
    </row>
    <row r="1035" spans="3:4" x14ac:dyDescent="0.25">
      <c r="C1035" s="21"/>
      <c r="D1035" s="21"/>
    </row>
    <row r="1036" spans="3:4" x14ac:dyDescent="0.25">
      <c r="C1036" s="21"/>
      <c r="D1036" s="21"/>
    </row>
    <row r="1037" spans="3:4" x14ac:dyDescent="0.25">
      <c r="C1037" s="21"/>
      <c r="D1037" s="21"/>
    </row>
    <row r="1038" spans="3:4" x14ac:dyDescent="0.25">
      <c r="C1038" s="21"/>
      <c r="D1038" s="21"/>
    </row>
    <row r="1039" spans="3:4" x14ac:dyDescent="0.25">
      <c r="C1039" s="21"/>
      <c r="D1039" s="21"/>
    </row>
    <row r="1040" spans="3:4" x14ac:dyDescent="0.25">
      <c r="C1040" s="21"/>
      <c r="D1040" s="21"/>
    </row>
    <row r="1041" spans="3:4" x14ac:dyDescent="0.25">
      <c r="C1041" s="21"/>
      <c r="D1041" s="21"/>
    </row>
    <row r="1042" spans="3:4" x14ac:dyDescent="0.25">
      <c r="C1042" s="21"/>
      <c r="D1042" s="21"/>
    </row>
    <row r="1043" spans="3:4" x14ac:dyDescent="0.25">
      <c r="C1043" s="21"/>
      <c r="D1043" s="21"/>
    </row>
    <row r="1044" spans="3:4" x14ac:dyDescent="0.25">
      <c r="C1044" s="21"/>
      <c r="D1044" s="21"/>
    </row>
    <row r="1045" spans="3:4" x14ac:dyDescent="0.25">
      <c r="C1045" s="21"/>
      <c r="D1045" s="21"/>
    </row>
    <row r="1046" spans="3:4" x14ac:dyDescent="0.25">
      <c r="C1046" s="21"/>
      <c r="D1046" s="21"/>
    </row>
    <row r="1047" spans="3:4" x14ac:dyDescent="0.25">
      <c r="C1047" s="21"/>
      <c r="D1047" s="21"/>
    </row>
    <row r="1048" spans="3:4" x14ac:dyDescent="0.25">
      <c r="C1048" s="21"/>
      <c r="D1048" s="21"/>
    </row>
    <row r="1049" spans="3:4" x14ac:dyDescent="0.25">
      <c r="C1049" s="21"/>
      <c r="D1049" s="21"/>
    </row>
    <row r="1050" spans="3:4" x14ac:dyDescent="0.25">
      <c r="C1050" s="21"/>
      <c r="D1050" s="21"/>
    </row>
    <row r="1051" spans="3:4" x14ac:dyDescent="0.25">
      <c r="C1051" s="21"/>
      <c r="D1051" s="21"/>
    </row>
    <row r="1052" spans="3:4" x14ac:dyDescent="0.25">
      <c r="C1052" s="21"/>
      <c r="D1052" s="21"/>
    </row>
    <row r="1053" spans="3:4" x14ac:dyDescent="0.25">
      <c r="C1053" s="21"/>
      <c r="D1053" s="21"/>
    </row>
    <row r="1054" spans="3:4" x14ac:dyDescent="0.25">
      <c r="C1054" s="21"/>
      <c r="D1054" s="21"/>
    </row>
    <row r="1055" spans="3:4" x14ac:dyDescent="0.25">
      <c r="C1055" s="21"/>
      <c r="D1055" s="21"/>
    </row>
    <row r="1056" spans="3:4" x14ac:dyDescent="0.25">
      <c r="C1056" s="21"/>
      <c r="D1056" s="21"/>
    </row>
    <row r="1057" spans="3:4" x14ac:dyDescent="0.25">
      <c r="C1057" s="21"/>
      <c r="D1057" s="21"/>
    </row>
    <row r="1058" spans="3:4" x14ac:dyDescent="0.25">
      <c r="C1058" s="21"/>
      <c r="D1058" s="21"/>
    </row>
    <row r="1059" spans="3:4" x14ac:dyDescent="0.25">
      <c r="C1059" s="21"/>
      <c r="D1059" s="21"/>
    </row>
    <row r="1060" spans="3:4" x14ac:dyDescent="0.25">
      <c r="C1060" s="21"/>
      <c r="D1060" s="21"/>
    </row>
    <row r="1061" spans="3:4" x14ac:dyDescent="0.25">
      <c r="C1061" s="21"/>
      <c r="D1061" s="21"/>
    </row>
    <row r="1062" spans="3:4" x14ac:dyDescent="0.25">
      <c r="C1062" s="21"/>
      <c r="D1062" s="21"/>
    </row>
    <row r="1063" spans="3:4" x14ac:dyDescent="0.25">
      <c r="C1063" s="21"/>
      <c r="D1063" s="21"/>
    </row>
    <row r="1064" spans="3:4" x14ac:dyDescent="0.25">
      <c r="C1064" s="21"/>
      <c r="D1064" s="21"/>
    </row>
    <row r="1065" spans="3:4" x14ac:dyDescent="0.25">
      <c r="C1065" s="21"/>
      <c r="D1065" s="21"/>
    </row>
    <row r="1066" spans="3:4" x14ac:dyDescent="0.25">
      <c r="C1066" s="21"/>
      <c r="D1066" s="21"/>
    </row>
    <row r="1067" spans="3:4" x14ac:dyDescent="0.25">
      <c r="C1067" s="21"/>
      <c r="D1067" s="21"/>
    </row>
    <row r="1068" spans="3:4" x14ac:dyDescent="0.25">
      <c r="C1068" s="21"/>
      <c r="D1068" s="21"/>
    </row>
    <row r="1069" spans="3:4" x14ac:dyDescent="0.25">
      <c r="C1069" s="21"/>
      <c r="D1069" s="21"/>
    </row>
    <row r="1070" spans="3:4" x14ac:dyDescent="0.25">
      <c r="C1070" s="21"/>
      <c r="D1070" s="21"/>
    </row>
    <row r="1071" spans="3:4" x14ac:dyDescent="0.25">
      <c r="C1071" s="21"/>
      <c r="D1071" s="21"/>
    </row>
    <row r="1072" spans="3:4" x14ac:dyDescent="0.25">
      <c r="C1072" s="21"/>
      <c r="D1072" s="21"/>
    </row>
    <row r="1073" spans="3:4" x14ac:dyDescent="0.25">
      <c r="C1073" s="21"/>
      <c r="D1073" s="21"/>
    </row>
    <row r="1074" spans="3:4" x14ac:dyDescent="0.25">
      <c r="C1074" s="21"/>
      <c r="D1074" s="21"/>
    </row>
    <row r="1075" spans="3:4" x14ac:dyDescent="0.25">
      <c r="C1075" s="21"/>
      <c r="D1075" s="21"/>
    </row>
    <row r="1076" spans="3:4" x14ac:dyDescent="0.25">
      <c r="C1076" s="21"/>
      <c r="D1076" s="21"/>
    </row>
    <row r="1077" spans="3:4" x14ac:dyDescent="0.25">
      <c r="C1077" s="21"/>
      <c r="D1077" s="21"/>
    </row>
    <row r="1078" spans="3:4" x14ac:dyDescent="0.25">
      <c r="C1078" s="21"/>
      <c r="D1078" s="21"/>
    </row>
    <row r="1079" spans="3:4" x14ac:dyDescent="0.25">
      <c r="C1079" s="21"/>
      <c r="D1079" s="21"/>
    </row>
    <row r="1080" spans="3:4" x14ac:dyDescent="0.25">
      <c r="C1080" s="21"/>
      <c r="D1080" s="21"/>
    </row>
    <row r="1081" spans="3:4" x14ac:dyDescent="0.25">
      <c r="C1081" s="21"/>
      <c r="D1081" s="21"/>
    </row>
    <row r="1082" spans="3:4" x14ac:dyDescent="0.25">
      <c r="C1082" s="21"/>
      <c r="D1082" s="21"/>
    </row>
    <row r="1083" spans="3:4" x14ac:dyDescent="0.25">
      <c r="C1083" s="21"/>
      <c r="D1083" s="21"/>
    </row>
    <row r="1084" spans="3:4" x14ac:dyDescent="0.25">
      <c r="C1084" s="21"/>
      <c r="D1084" s="21"/>
    </row>
    <row r="1085" spans="3:4" x14ac:dyDescent="0.25">
      <c r="C1085" s="21"/>
      <c r="D1085" s="21"/>
    </row>
    <row r="1086" spans="3:4" x14ac:dyDescent="0.25">
      <c r="C1086" s="21"/>
      <c r="D1086" s="21"/>
    </row>
    <row r="1087" spans="3:4" x14ac:dyDescent="0.25">
      <c r="C1087" s="21"/>
      <c r="D1087" s="21"/>
    </row>
    <row r="1088" spans="3:4" x14ac:dyDescent="0.25">
      <c r="C1088" s="21"/>
      <c r="D1088" s="21"/>
    </row>
    <row r="1089" spans="3:4" x14ac:dyDescent="0.25">
      <c r="C1089" s="21"/>
      <c r="D1089" s="21"/>
    </row>
    <row r="1090" spans="3:4" x14ac:dyDescent="0.25">
      <c r="C1090" s="21"/>
      <c r="D1090" s="21"/>
    </row>
    <row r="1091" spans="3:4" x14ac:dyDescent="0.25">
      <c r="C1091" s="21"/>
      <c r="D1091" s="21"/>
    </row>
    <row r="1092" spans="3:4" x14ac:dyDescent="0.25">
      <c r="C1092" s="21"/>
      <c r="D1092" s="21"/>
    </row>
    <row r="1093" spans="3:4" x14ac:dyDescent="0.25">
      <c r="C1093" s="21"/>
      <c r="D1093" s="21"/>
    </row>
    <row r="1094" spans="3:4" x14ac:dyDescent="0.25">
      <c r="C1094" s="21"/>
      <c r="D1094" s="21"/>
    </row>
    <row r="1095" spans="3:4" x14ac:dyDescent="0.25">
      <c r="C1095" s="21"/>
      <c r="D1095" s="21"/>
    </row>
    <row r="1096" spans="3:4" x14ac:dyDescent="0.25">
      <c r="C1096" s="21"/>
      <c r="D1096" s="21"/>
    </row>
    <row r="1097" spans="3:4" x14ac:dyDescent="0.25">
      <c r="C1097" s="21"/>
      <c r="D1097" s="21"/>
    </row>
    <row r="1098" spans="3:4" x14ac:dyDescent="0.25">
      <c r="C1098" s="21"/>
      <c r="D1098" s="21"/>
    </row>
    <row r="1099" spans="3:4" x14ac:dyDescent="0.25">
      <c r="C1099" s="21"/>
      <c r="D1099" s="21"/>
    </row>
    <row r="1100" spans="3:4" x14ac:dyDescent="0.25">
      <c r="C1100" s="21"/>
      <c r="D1100" s="21"/>
    </row>
    <row r="1101" spans="3:4" x14ac:dyDescent="0.25">
      <c r="C1101" s="21"/>
      <c r="D1101" s="21"/>
    </row>
    <row r="1102" spans="3:4" x14ac:dyDescent="0.25">
      <c r="C1102" s="21"/>
      <c r="D1102" s="21"/>
    </row>
    <row r="1103" spans="3:4" x14ac:dyDescent="0.25">
      <c r="C1103" s="21"/>
      <c r="D1103" s="21"/>
    </row>
    <row r="1104" spans="3:4" x14ac:dyDescent="0.25">
      <c r="C1104" s="21"/>
      <c r="D1104" s="21"/>
    </row>
    <row r="1105" spans="3:4" x14ac:dyDescent="0.25">
      <c r="C1105" s="21"/>
      <c r="D1105" s="21"/>
    </row>
    <row r="1106" spans="3:4" x14ac:dyDescent="0.25">
      <c r="C1106" s="21"/>
      <c r="D1106" s="21"/>
    </row>
    <row r="1107" spans="3:4" x14ac:dyDescent="0.25">
      <c r="C1107" s="21"/>
      <c r="D1107" s="21"/>
    </row>
    <row r="1108" spans="3:4" x14ac:dyDescent="0.25">
      <c r="C1108" s="21"/>
      <c r="D1108" s="21"/>
    </row>
    <row r="1109" spans="3:4" x14ac:dyDescent="0.25">
      <c r="C1109" s="21"/>
      <c r="D1109" s="21"/>
    </row>
    <row r="1110" spans="3:4" x14ac:dyDescent="0.25">
      <c r="C1110" s="21"/>
      <c r="D1110" s="21"/>
    </row>
    <row r="1111" spans="3:4" x14ac:dyDescent="0.25">
      <c r="C1111" s="21"/>
      <c r="D1111" s="21"/>
    </row>
    <row r="1112" spans="3:4" x14ac:dyDescent="0.25">
      <c r="C1112" s="21"/>
      <c r="D1112" s="21"/>
    </row>
    <row r="1113" spans="3:4" x14ac:dyDescent="0.25">
      <c r="C1113" s="21"/>
      <c r="D1113" s="21"/>
    </row>
    <row r="1114" spans="3:4" x14ac:dyDescent="0.25">
      <c r="C1114" s="21"/>
      <c r="D1114" s="21"/>
    </row>
    <row r="1115" spans="3:4" x14ac:dyDescent="0.25">
      <c r="C1115" s="21"/>
      <c r="D1115" s="21"/>
    </row>
    <row r="1116" spans="3:4" x14ac:dyDescent="0.25">
      <c r="C1116" s="21"/>
      <c r="D1116" s="21"/>
    </row>
    <row r="1117" spans="3:4" x14ac:dyDescent="0.25">
      <c r="C1117" s="21"/>
      <c r="D1117" s="21"/>
    </row>
    <row r="1118" spans="3:4" x14ac:dyDescent="0.25">
      <c r="C1118" s="21"/>
      <c r="D1118" s="21"/>
    </row>
    <row r="1119" spans="3:4" x14ac:dyDescent="0.25">
      <c r="C1119" s="21"/>
      <c r="D1119" s="21"/>
    </row>
    <row r="1120" spans="3:4" x14ac:dyDescent="0.25">
      <c r="C1120" s="21"/>
      <c r="D1120" s="21"/>
    </row>
    <row r="1121" spans="3:4" x14ac:dyDescent="0.25">
      <c r="C1121" s="21"/>
      <c r="D1121" s="21"/>
    </row>
    <row r="1122" spans="3:4" x14ac:dyDescent="0.25">
      <c r="C1122" s="21"/>
      <c r="D1122" s="21"/>
    </row>
    <row r="1123" spans="3:4" x14ac:dyDescent="0.25">
      <c r="C1123" s="21"/>
      <c r="D1123" s="21"/>
    </row>
    <row r="1124" spans="3:4" x14ac:dyDescent="0.25">
      <c r="C1124" s="21"/>
      <c r="D1124" s="21"/>
    </row>
    <row r="1125" spans="3:4" x14ac:dyDescent="0.25">
      <c r="C1125" s="21"/>
      <c r="D1125" s="21"/>
    </row>
    <row r="1126" spans="3:4" x14ac:dyDescent="0.25">
      <c r="C1126" s="21"/>
      <c r="D1126" s="21"/>
    </row>
    <row r="1127" spans="3:4" x14ac:dyDescent="0.25">
      <c r="C1127" s="21"/>
      <c r="D1127" s="21"/>
    </row>
    <row r="1128" spans="3:4" x14ac:dyDescent="0.25">
      <c r="C1128" s="21"/>
      <c r="D1128" s="21"/>
    </row>
    <row r="1129" spans="3:4" x14ac:dyDescent="0.25">
      <c r="C1129" s="21"/>
      <c r="D1129" s="21"/>
    </row>
    <row r="1130" spans="3:4" x14ac:dyDescent="0.25">
      <c r="C1130" s="21"/>
      <c r="D1130" s="21"/>
    </row>
    <row r="1131" spans="3:4" x14ac:dyDescent="0.25">
      <c r="C1131" s="21"/>
      <c r="D1131" s="21"/>
    </row>
    <row r="1132" spans="3:4" x14ac:dyDescent="0.25">
      <c r="C1132" s="21"/>
      <c r="D1132" s="21"/>
    </row>
    <row r="1133" spans="3:4" x14ac:dyDescent="0.25">
      <c r="C1133" s="21"/>
      <c r="D1133" s="21"/>
    </row>
    <row r="1134" spans="3:4" x14ac:dyDescent="0.25">
      <c r="C1134" s="21"/>
      <c r="D1134" s="21"/>
    </row>
    <row r="1135" spans="3:4" x14ac:dyDescent="0.25">
      <c r="C1135" s="21"/>
      <c r="D1135" s="21"/>
    </row>
    <row r="1136" spans="3:4" x14ac:dyDescent="0.25">
      <c r="C1136" s="21"/>
      <c r="D1136" s="21"/>
    </row>
    <row r="1137" spans="3:4" x14ac:dyDescent="0.25">
      <c r="C1137" s="21"/>
      <c r="D1137" s="21"/>
    </row>
    <row r="1138" spans="3:4" x14ac:dyDescent="0.25">
      <c r="C1138" s="21"/>
      <c r="D1138" s="21"/>
    </row>
    <row r="1139" spans="3:4" x14ac:dyDescent="0.25">
      <c r="C1139" s="21"/>
      <c r="D1139" s="21"/>
    </row>
    <row r="1140" spans="3:4" x14ac:dyDescent="0.25">
      <c r="C1140" s="21"/>
      <c r="D1140" s="21"/>
    </row>
    <row r="1141" spans="3:4" x14ac:dyDescent="0.25">
      <c r="C1141" s="21"/>
      <c r="D1141" s="21"/>
    </row>
    <row r="1142" spans="3:4" x14ac:dyDescent="0.25">
      <c r="C1142" s="21"/>
      <c r="D1142" s="21"/>
    </row>
    <row r="1143" spans="3:4" x14ac:dyDescent="0.25">
      <c r="C1143" s="21"/>
      <c r="D1143" s="21"/>
    </row>
    <row r="1144" spans="3:4" x14ac:dyDescent="0.25">
      <c r="C1144" s="21"/>
      <c r="D1144" s="21"/>
    </row>
    <row r="1145" spans="3:4" x14ac:dyDescent="0.25">
      <c r="C1145" s="21"/>
      <c r="D1145" s="21"/>
    </row>
    <row r="1146" spans="3:4" x14ac:dyDescent="0.25">
      <c r="C1146" s="21"/>
      <c r="D1146" s="21"/>
    </row>
    <row r="1147" spans="3:4" x14ac:dyDescent="0.25">
      <c r="C1147" s="21"/>
      <c r="D1147" s="21"/>
    </row>
    <row r="1148" spans="3:4" x14ac:dyDescent="0.25">
      <c r="C1148" s="21"/>
      <c r="D1148" s="21"/>
    </row>
    <row r="1149" spans="3:4" x14ac:dyDescent="0.25">
      <c r="C1149" s="21"/>
      <c r="D1149" s="21"/>
    </row>
    <row r="1150" spans="3:4" x14ac:dyDescent="0.25">
      <c r="C1150" s="21"/>
      <c r="D1150" s="21"/>
    </row>
    <row r="1151" spans="3:4" x14ac:dyDescent="0.25">
      <c r="C1151" s="21"/>
      <c r="D1151" s="21"/>
    </row>
    <row r="1152" spans="3:4" x14ac:dyDescent="0.25">
      <c r="C1152" s="21"/>
      <c r="D1152" s="21"/>
    </row>
    <row r="1153" spans="3:4" x14ac:dyDescent="0.25">
      <c r="C1153" s="21"/>
      <c r="D1153" s="21"/>
    </row>
    <row r="1154" spans="3:4" x14ac:dyDescent="0.25">
      <c r="C1154" s="21"/>
      <c r="D1154" s="21"/>
    </row>
    <row r="1155" spans="3:4" x14ac:dyDescent="0.25">
      <c r="C1155" s="21"/>
      <c r="D1155" s="21"/>
    </row>
    <row r="1156" spans="3:4" x14ac:dyDescent="0.25">
      <c r="C1156" s="21"/>
      <c r="D1156" s="21"/>
    </row>
    <row r="1157" spans="3:4" x14ac:dyDescent="0.25">
      <c r="C1157" s="21"/>
      <c r="D1157" s="21"/>
    </row>
    <row r="1158" spans="3:4" x14ac:dyDescent="0.25">
      <c r="C1158" s="21"/>
      <c r="D1158" s="21"/>
    </row>
    <row r="1159" spans="3:4" x14ac:dyDescent="0.25">
      <c r="C1159" s="21"/>
      <c r="D1159" s="21"/>
    </row>
    <row r="1160" spans="3:4" x14ac:dyDescent="0.25">
      <c r="C1160" s="21"/>
      <c r="D1160" s="21"/>
    </row>
    <row r="1161" spans="3:4" x14ac:dyDescent="0.25">
      <c r="C1161" s="21"/>
      <c r="D1161" s="21"/>
    </row>
    <row r="1162" spans="3:4" x14ac:dyDescent="0.25">
      <c r="C1162" s="21"/>
      <c r="D1162" s="21"/>
    </row>
    <row r="1163" spans="3:4" x14ac:dyDescent="0.25">
      <c r="C1163" s="21"/>
      <c r="D1163" s="21"/>
    </row>
    <row r="1164" spans="3:4" x14ac:dyDescent="0.25">
      <c r="C1164" s="21"/>
      <c r="D1164" s="21"/>
    </row>
    <row r="1165" spans="3:4" x14ac:dyDescent="0.25">
      <c r="C1165" s="21"/>
      <c r="D1165" s="21"/>
    </row>
    <row r="1166" spans="3:4" x14ac:dyDescent="0.25">
      <c r="C1166" s="21"/>
      <c r="D1166" s="21"/>
    </row>
    <row r="1167" spans="3:4" x14ac:dyDescent="0.25">
      <c r="C1167" s="21"/>
      <c r="D1167" s="21"/>
    </row>
    <row r="1168" spans="3:4" x14ac:dyDescent="0.25">
      <c r="C1168" s="21"/>
      <c r="D1168" s="21"/>
    </row>
    <row r="1169" spans="3:4" x14ac:dyDescent="0.25">
      <c r="C1169" s="21"/>
      <c r="D1169" s="21"/>
    </row>
    <row r="1170" spans="3:4" x14ac:dyDescent="0.25">
      <c r="C1170" s="21"/>
      <c r="D1170" s="21"/>
    </row>
    <row r="1171" spans="3:4" x14ac:dyDescent="0.25">
      <c r="C1171" s="21"/>
      <c r="D1171" s="21"/>
    </row>
    <row r="1172" spans="3:4" x14ac:dyDescent="0.25">
      <c r="C1172" s="21"/>
      <c r="D1172" s="21"/>
    </row>
    <row r="1173" spans="3:4" x14ac:dyDescent="0.25">
      <c r="C1173" s="21"/>
      <c r="D1173" s="21"/>
    </row>
    <row r="1174" spans="3:4" x14ac:dyDescent="0.25">
      <c r="C1174" s="21"/>
      <c r="D1174" s="21"/>
    </row>
    <row r="1175" spans="3:4" x14ac:dyDescent="0.25">
      <c r="C1175" s="21"/>
      <c r="D1175" s="21"/>
    </row>
    <row r="1176" spans="3:4" x14ac:dyDescent="0.25">
      <c r="C1176" s="21"/>
      <c r="D1176" s="21"/>
    </row>
    <row r="1177" spans="3:4" x14ac:dyDescent="0.25">
      <c r="C1177" s="21"/>
      <c r="D1177" s="21"/>
    </row>
    <row r="1178" spans="3:4" x14ac:dyDescent="0.25">
      <c r="C1178" s="21"/>
      <c r="D1178" s="21"/>
    </row>
    <row r="1179" spans="3:4" x14ac:dyDescent="0.25">
      <c r="C1179" s="21"/>
      <c r="D1179" s="21"/>
    </row>
    <row r="1180" spans="3:4" x14ac:dyDescent="0.25">
      <c r="C1180" s="21"/>
      <c r="D1180" s="21"/>
    </row>
    <row r="1181" spans="3:4" x14ac:dyDescent="0.25">
      <c r="C1181" s="21"/>
      <c r="D1181" s="21"/>
    </row>
    <row r="1182" spans="3:4" x14ac:dyDescent="0.25">
      <c r="C1182" s="21"/>
      <c r="D1182" s="21"/>
    </row>
    <row r="1183" spans="3:4" x14ac:dyDescent="0.25">
      <c r="C1183" s="21"/>
      <c r="D1183" s="21"/>
    </row>
    <row r="1184" spans="3:4" x14ac:dyDescent="0.25">
      <c r="C1184" s="21"/>
      <c r="D1184" s="21"/>
    </row>
    <row r="1185" spans="3:4" x14ac:dyDescent="0.25">
      <c r="C1185" s="21"/>
      <c r="D1185" s="21"/>
    </row>
    <row r="1186" spans="3:4" x14ac:dyDescent="0.25">
      <c r="C1186" s="21"/>
      <c r="D1186" s="21"/>
    </row>
    <row r="1187" spans="3:4" x14ac:dyDescent="0.25">
      <c r="C1187" s="21"/>
      <c r="D1187" s="21"/>
    </row>
    <row r="1188" spans="3:4" x14ac:dyDescent="0.25">
      <c r="C1188" s="21"/>
      <c r="D1188" s="21"/>
    </row>
    <row r="1189" spans="3:4" x14ac:dyDescent="0.25">
      <c r="C1189" s="21"/>
      <c r="D1189" s="21"/>
    </row>
    <row r="1190" spans="3:4" x14ac:dyDescent="0.25">
      <c r="C1190" s="21"/>
      <c r="D1190" s="21"/>
    </row>
    <row r="1191" spans="3:4" x14ac:dyDescent="0.25">
      <c r="C1191" s="21"/>
      <c r="D1191" s="21"/>
    </row>
    <row r="1192" spans="3:4" x14ac:dyDescent="0.25">
      <c r="C1192" s="21"/>
      <c r="D1192" s="21"/>
    </row>
    <row r="1193" spans="3:4" x14ac:dyDescent="0.25">
      <c r="C1193" s="21"/>
      <c r="D1193" s="21"/>
    </row>
    <row r="1194" spans="3:4" x14ac:dyDescent="0.25">
      <c r="C1194" s="21"/>
      <c r="D1194" s="21"/>
    </row>
    <row r="1195" spans="3:4" x14ac:dyDescent="0.25">
      <c r="C1195" s="21"/>
      <c r="D1195" s="21"/>
    </row>
    <row r="1196" spans="3:4" x14ac:dyDescent="0.25">
      <c r="C1196" s="21"/>
      <c r="D1196" s="21"/>
    </row>
    <row r="1197" spans="3:4" x14ac:dyDescent="0.25">
      <c r="C1197" s="21"/>
      <c r="D1197" s="21"/>
    </row>
    <row r="1198" spans="3:4" x14ac:dyDescent="0.25">
      <c r="C1198" s="21"/>
      <c r="D1198" s="21"/>
    </row>
    <row r="1199" spans="3:4" x14ac:dyDescent="0.25">
      <c r="C1199" s="21"/>
      <c r="D1199" s="21"/>
    </row>
    <row r="1200" spans="3:4" x14ac:dyDescent="0.25">
      <c r="C1200" s="21"/>
      <c r="D1200" s="21"/>
    </row>
    <row r="1201" spans="3:4" x14ac:dyDescent="0.25">
      <c r="C1201" s="21"/>
      <c r="D1201" s="21"/>
    </row>
    <row r="1202" spans="3:4" x14ac:dyDescent="0.25">
      <c r="C1202" s="21"/>
      <c r="D1202" s="21"/>
    </row>
    <row r="1203" spans="3:4" x14ac:dyDescent="0.25">
      <c r="C1203" s="21"/>
      <c r="D1203" s="21"/>
    </row>
    <row r="1204" spans="3:4" x14ac:dyDescent="0.25">
      <c r="C1204" s="21"/>
      <c r="D1204" s="21"/>
    </row>
    <row r="1205" spans="3:4" x14ac:dyDescent="0.25">
      <c r="C1205" s="21"/>
      <c r="D1205" s="21"/>
    </row>
    <row r="1206" spans="3:4" x14ac:dyDescent="0.25">
      <c r="C1206" s="21"/>
      <c r="D1206" s="21"/>
    </row>
    <row r="1207" spans="3:4" x14ac:dyDescent="0.25">
      <c r="C1207" s="21"/>
      <c r="D1207" s="21"/>
    </row>
    <row r="1208" spans="3:4" x14ac:dyDescent="0.25">
      <c r="C1208" s="21"/>
      <c r="D1208" s="21"/>
    </row>
    <row r="1209" spans="3:4" x14ac:dyDescent="0.25">
      <c r="C1209" s="21"/>
      <c r="D1209" s="21"/>
    </row>
    <row r="1210" spans="3:4" x14ac:dyDescent="0.25">
      <c r="C1210" s="21"/>
      <c r="D1210" s="21"/>
    </row>
    <row r="1211" spans="3:4" x14ac:dyDescent="0.25">
      <c r="C1211" s="21"/>
      <c r="D1211" s="21"/>
    </row>
    <row r="1212" spans="3:4" x14ac:dyDescent="0.25">
      <c r="C1212" s="21"/>
      <c r="D1212" s="21"/>
    </row>
    <row r="1213" spans="3:4" x14ac:dyDescent="0.25">
      <c r="C1213" s="21"/>
      <c r="D1213" s="21"/>
    </row>
    <row r="1214" spans="3:4" x14ac:dyDescent="0.25">
      <c r="C1214" s="21"/>
      <c r="D1214" s="21"/>
    </row>
    <row r="1215" spans="3:4" x14ac:dyDescent="0.25">
      <c r="C1215" s="21"/>
      <c r="D1215" s="21"/>
    </row>
    <row r="1216" spans="3:4" x14ac:dyDescent="0.25">
      <c r="C1216" s="21"/>
      <c r="D1216" s="21"/>
    </row>
    <row r="1217" spans="3:4" x14ac:dyDescent="0.25">
      <c r="C1217" s="21"/>
      <c r="D1217" s="21"/>
    </row>
    <row r="1218" spans="3:4" x14ac:dyDescent="0.25">
      <c r="C1218" s="21"/>
      <c r="D1218" s="21"/>
    </row>
    <row r="1219" spans="3:4" x14ac:dyDescent="0.25">
      <c r="C1219" s="21"/>
      <c r="D1219" s="21"/>
    </row>
    <row r="1220" spans="3:4" x14ac:dyDescent="0.25">
      <c r="C1220" s="21"/>
      <c r="D1220" s="21"/>
    </row>
    <row r="1221" spans="3:4" x14ac:dyDescent="0.25">
      <c r="C1221" s="21"/>
      <c r="D1221" s="21"/>
    </row>
    <row r="1222" spans="3:4" x14ac:dyDescent="0.25">
      <c r="C1222" s="21"/>
      <c r="D1222" s="21"/>
    </row>
    <row r="1223" spans="3:4" x14ac:dyDescent="0.25">
      <c r="C1223" s="21"/>
      <c r="D1223" s="21"/>
    </row>
    <row r="1224" spans="3:4" x14ac:dyDescent="0.25">
      <c r="C1224" s="21"/>
      <c r="D1224" s="21"/>
    </row>
    <row r="1225" spans="3:4" x14ac:dyDescent="0.25">
      <c r="C1225" s="21"/>
      <c r="D1225" s="21"/>
    </row>
    <row r="1226" spans="3:4" x14ac:dyDescent="0.25">
      <c r="C1226" s="21"/>
      <c r="D1226" s="21"/>
    </row>
    <row r="1227" spans="3:4" x14ac:dyDescent="0.25">
      <c r="C1227" s="21"/>
      <c r="D1227" s="21"/>
    </row>
    <row r="1228" spans="3:4" x14ac:dyDescent="0.25">
      <c r="C1228" s="21"/>
      <c r="D1228" s="21"/>
    </row>
    <row r="1229" spans="3:4" x14ac:dyDescent="0.25">
      <c r="C1229" s="21"/>
      <c r="D1229" s="21"/>
    </row>
    <row r="1230" spans="3:4" x14ac:dyDescent="0.25">
      <c r="C1230" s="21"/>
      <c r="D1230" s="21"/>
    </row>
    <row r="1231" spans="3:4" x14ac:dyDescent="0.25">
      <c r="C1231" s="21"/>
      <c r="D1231" s="21"/>
    </row>
    <row r="1232" spans="3:4" x14ac:dyDescent="0.25">
      <c r="C1232" s="21"/>
      <c r="D1232" s="21"/>
    </row>
    <row r="1233" spans="3:4" x14ac:dyDescent="0.25">
      <c r="C1233" s="21"/>
      <c r="D1233" s="21"/>
    </row>
    <row r="1234" spans="3:4" x14ac:dyDescent="0.25">
      <c r="C1234" s="21"/>
      <c r="D1234" s="21"/>
    </row>
    <row r="1235" spans="3:4" x14ac:dyDescent="0.25">
      <c r="C1235" s="21"/>
      <c r="D1235" s="21"/>
    </row>
    <row r="1236" spans="3:4" x14ac:dyDescent="0.25">
      <c r="C1236" s="21"/>
      <c r="D1236" s="21"/>
    </row>
    <row r="1237" spans="3:4" x14ac:dyDescent="0.25">
      <c r="C1237" s="21"/>
      <c r="D1237" s="21"/>
    </row>
    <row r="1238" spans="3:4" x14ac:dyDescent="0.25">
      <c r="C1238" s="21"/>
      <c r="D1238" s="21"/>
    </row>
    <row r="1239" spans="3:4" x14ac:dyDescent="0.25">
      <c r="C1239" s="21"/>
      <c r="D1239" s="21"/>
    </row>
    <row r="1240" spans="3:4" x14ac:dyDescent="0.25">
      <c r="C1240" s="21"/>
      <c r="D1240" s="21"/>
    </row>
    <row r="1241" spans="3:4" x14ac:dyDescent="0.25">
      <c r="C1241" s="21"/>
      <c r="D1241" s="21"/>
    </row>
    <row r="1242" spans="3:4" x14ac:dyDescent="0.25">
      <c r="C1242" s="21"/>
      <c r="D1242" s="21"/>
    </row>
    <row r="1243" spans="3:4" x14ac:dyDescent="0.25">
      <c r="C1243" s="21"/>
      <c r="D1243" s="21"/>
    </row>
    <row r="1244" spans="3:4" x14ac:dyDescent="0.25">
      <c r="C1244" s="21"/>
      <c r="D1244" s="21"/>
    </row>
    <row r="1245" spans="3:4" x14ac:dyDescent="0.25">
      <c r="C1245" s="21"/>
      <c r="D1245" s="21"/>
    </row>
    <row r="1246" spans="3:4" x14ac:dyDescent="0.25">
      <c r="C1246" s="21"/>
      <c r="D1246" s="21"/>
    </row>
    <row r="1247" spans="3:4" x14ac:dyDescent="0.25">
      <c r="C1247" s="21"/>
      <c r="D1247" s="21"/>
    </row>
    <row r="1248" spans="3:4" x14ac:dyDescent="0.25">
      <c r="C1248" s="21"/>
      <c r="D1248" s="21"/>
    </row>
    <row r="1249" spans="3:4" x14ac:dyDescent="0.25">
      <c r="C1249" s="21"/>
      <c r="D1249" s="21"/>
    </row>
    <row r="1250" spans="3:4" x14ac:dyDescent="0.25">
      <c r="C1250" s="21"/>
      <c r="D1250" s="21"/>
    </row>
    <row r="1251" spans="3:4" x14ac:dyDescent="0.25">
      <c r="C1251" s="21"/>
      <c r="D1251" s="21"/>
    </row>
    <row r="1252" spans="3:4" x14ac:dyDescent="0.25">
      <c r="C1252" s="21"/>
      <c r="D1252" s="21"/>
    </row>
    <row r="1253" spans="3:4" x14ac:dyDescent="0.25">
      <c r="C1253" s="21"/>
      <c r="D1253" s="21"/>
    </row>
    <row r="1254" spans="3:4" x14ac:dyDescent="0.25">
      <c r="C1254" s="21"/>
      <c r="D1254" s="21"/>
    </row>
    <row r="1255" spans="3:4" x14ac:dyDescent="0.25">
      <c r="C1255" s="21"/>
      <c r="D1255" s="21"/>
    </row>
    <row r="1256" spans="3:4" x14ac:dyDescent="0.25">
      <c r="C1256" s="21"/>
      <c r="D1256" s="21"/>
    </row>
    <row r="1257" spans="3:4" x14ac:dyDescent="0.25">
      <c r="C1257" s="21"/>
      <c r="D1257" s="21"/>
    </row>
    <row r="1258" spans="3:4" x14ac:dyDescent="0.25">
      <c r="C1258" s="21"/>
      <c r="D1258" s="21"/>
    </row>
    <row r="1259" spans="3:4" x14ac:dyDescent="0.25">
      <c r="C1259" s="21"/>
      <c r="D1259" s="21"/>
    </row>
    <row r="1260" spans="3:4" x14ac:dyDescent="0.25">
      <c r="C1260" s="21"/>
      <c r="D1260" s="21"/>
    </row>
    <row r="1261" spans="3:4" x14ac:dyDescent="0.25">
      <c r="C1261" s="21"/>
      <c r="D1261" s="21"/>
    </row>
    <row r="1262" spans="3:4" x14ac:dyDescent="0.25">
      <c r="C1262" s="21"/>
      <c r="D1262" s="21"/>
    </row>
    <row r="1263" spans="3:4" x14ac:dyDescent="0.25">
      <c r="C1263" s="21"/>
      <c r="D1263" s="21"/>
    </row>
    <row r="1264" spans="3:4" x14ac:dyDescent="0.25">
      <c r="C1264" s="21"/>
      <c r="D1264" s="21"/>
    </row>
    <row r="1265" spans="3:4" x14ac:dyDescent="0.25">
      <c r="C1265" s="21"/>
      <c r="D1265" s="21"/>
    </row>
    <row r="1266" spans="3:4" x14ac:dyDescent="0.25">
      <c r="C1266" s="21"/>
      <c r="D1266" s="21"/>
    </row>
    <row r="1267" spans="3:4" x14ac:dyDescent="0.25">
      <c r="C1267" s="21"/>
      <c r="D1267" s="21"/>
    </row>
    <row r="1268" spans="3:4" x14ac:dyDescent="0.25">
      <c r="C1268" s="21"/>
      <c r="D1268" s="21"/>
    </row>
    <row r="1269" spans="3:4" x14ac:dyDescent="0.25">
      <c r="C1269" s="21"/>
      <c r="D1269" s="21"/>
    </row>
    <row r="1270" spans="3:4" x14ac:dyDescent="0.25">
      <c r="C1270" s="21"/>
      <c r="D1270" s="21"/>
    </row>
    <row r="1271" spans="3:4" x14ac:dyDescent="0.25">
      <c r="C1271" s="21"/>
      <c r="D1271" s="21"/>
    </row>
    <row r="1272" spans="3:4" x14ac:dyDescent="0.25">
      <c r="C1272" s="21"/>
      <c r="D1272" s="21"/>
    </row>
    <row r="1273" spans="3:4" x14ac:dyDescent="0.25">
      <c r="C1273" s="21"/>
      <c r="D1273" s="21"/>
    </row>
    <row r="1274" spans="3:4" x14ac:dyDescent="0.25">
      <c r="C1274" s="21"/>
      <c r="D1274" s="21"/>
    </row>
    <row r="1275" spans="3:4" x14ac:dyDescent="0.25">
      <c r="C1275" s="21"/>
      <c r="D1275" s="21"/>
    </row>
    <row r="1276" spans="3:4" x14ac:dyDescent="0.25">
      <c r="C1276" s="21"/>
      <c r="D1276" s="21"/>
    </row>
    <row r="1277" spans="3:4" x14ac:dyDescent="0.25">
      <c r="C1277" s="21"/>
      <c r="D1277" s="21"/>
    </row>
    <row r="1278" spans="3:4" x14ac:dyDescent="0.25">
      <c r="C1278" s="21"/>
      <c r="D1278" s="21"/>
    </row>
    <row r="1279" spans="3:4" x14ac:dyDescent="0.25">
      <c r="C1279" s="21"/>
      <c r="D1279" s="21"/>
    </row>
    <row r="1280" spans="3:4" x14ac:dyDescent="0.25">
      <c r="C1280" s="21"/>
      <c r="D1280" s="21"/>
    </row>
    <row r="1281" spans="3:4" x14ac:dyDescent="0.25">
      <c r="C1281" s="21"/>
      <c r="D1281" s="21"/>
    </row>
    <row r="1282" spans="3:4" x14ac:dyDescent="0.25">
      <c r="C1282" s="21"/>
      <c r="D1282" s="21"/>
    </row>
    <row r="1283" spans="3:4" x14ac:dyDescent="0.25">
      <c r="C1283" s="21"/>
      <c r="D1283" s="21"/>
    </row>
    <row r="1284" spans="3:4" x14ac:dyDescent="0.25">
      <c r="C1284" s="21"/>
      <c r="D1284" s="21"/>
    </row>
    <row r="1285" spans="3:4" x14ac:dyDescent="0.25">
      <c r="C1285" s="21"/>
      <c r="D1285" s="21"/>
    </row>
    <row r="1286" spans="3:4" x14ac:dyDescent="0.25">
      <c r="C1286" s="21"/>
      <c r="D1286" s="21"/>
    </row>
    <row r="1287" spans="3:4" x14ac:dyDescent="0.25">
      <c r="C1287" s="21"/>
      <c r="D1287" s="21"/>
    </row>
    <row r="1288" spans="3:4" x14ac:dyDescent="0.25">
      <c r="C1288" s="21"/>
      <c r="D1288" s="21"/>
    </row>
    <row r="1289" spans="3:4" x14ac:dyDescent="0.25">
      <c r="C1289" s="21"/>
      <c r="D1289" s="21"/>
    </row>
    <row r="1290" spans="3:4" x14ac:dyDescent="0.25">
      <c r="C1290" s="21"/>
      <c r="D1290" s="21"/>
    </row>
    <row r="1291" spans="3:4" x14ac:dyDescent="0.25">
      <c r="C1291" s="21"/>
      <c r="D1291" s="21"/>
    </row>
    <row r="1292" spans="3:4" x14ac:dyDescent="0.25">
      <c r="C1292" s="21"/>
      <c r="D1292" s="21"/>
    </row>
    <row r="1293" spans="3:4" x14ac:dyDescent="0.25">
      <c r="C1293" s="21"/>
      <c r="D1293" s="21"/>
    </row>
    <row r="1294" spans="3:4" x14ac:dyDescent="0.25">
      <c r="C1294" s="21"/>
      <c r="D1294" s="21"/>
    </row>
    <row r="1295" spans="3:4" x14ac:dyDescent="0.25">
      <c r="C1295" s="21"/>
      <c r="D1295" s="21"/>
    </row>
    <row r="1296" spans="3:4" x14ac:dyDescent="0.25">
      <c r="C1296" s="21"/>
      <c r="D1296" s="21"/>
    </row>
    <row r="1297" spans="3:4" x14ac:dyDescent="0.25">
      <c r="C1297" s="21"/>
      <c r="D1297" s="21"/>
    </row>
    <row r="1298" spans="3:4" x14ac:dyDescent="0.25">
      <c r="C1298" s="21"/>
      <c r="D1298" s="21"/>
    </row>
    <row r="1299" spans="3:4" x14ac:dyDescent="0.25">
      <c r="C1299" s="21"/>
      <c r="D1299" s="21"/>
    </row>
    <row r="1300" spans="3:4" x14ac:dyDescent="0.25">
      <c r="C1300" s="21"/>
      <c r="D1300" s="21"/>
    </row>
    <row r="1301" spans="3:4" x14ac:dyDescent="0.25">
      <c r="C1301" s="21"/>
      <c r="D1301" s="21"/>
    </row>
    <row r="1302" spans="3:4" x14ac:dyDescent="0.25">
      <c r="C1302" s="21"/>
      <c r="D1302" s="21"/>
    </row>
    <row r="1303" spans="3:4" x14ac:dyDescent="0.25">
      <c r="C1303" s="21"/>
      <c r="D1303" s="21"/>
    </row>
    <row r="1304" spans="3:4" x14ac:dyDescent="0.25">
      <c r="C1304" s="21"/>
      <c r="D1304" s="21"/>
    </row>
    <row r="1305" spans="3:4" x14ac:dyDescent="0.25">
      <c r="C1305" s="21"/>
      <c r="D1305" s="21"/>
    </row>
    <row r="1306" spans="3:4" x14ac:dyDescent="0.25">
      <c r="C1306" s="21"/>
      <c r="D1306" s="21"/>
    </row>
    <row r="1307" spans="3:4" x14ac:dyDescent="0.25">
      <c r="C1307" s="21"/>
      <c r="D1307" s="21"/>
    </row>
    <row r="1308" spans="3:4" x14ac:dyDescent="0.25">
      <c r="C1308" s="21"/>
      <c r="D1308" s="21"/>
    </row>
    <row r="1309" spans="3:4" x14ac:dyDescent="0.25">
      <c r="C1309" s="21"/>
      <c r="D1309" s="21"/>
    </row>
    <row r="1310" spans="3:4" x14ac:dyDescent="0.25">
      <c r="C1310" s="21"/>
      <c r="D1310" s="21"/>
    </row>
    <row r="1311" spans="3:4" x14ac:dyDescent="0.25">
      <c r="C1311" s="21"/>
      <c r="D1311" s="21"/>
    </row>
    <row r="1312" spans="3:4" x14ac:dyDescent="0.25">
      <c r="C1312" s="21"/>
      <c r="D1312" s="21"/>
    </row>
    <row r="1313" spans="3:4" x14ac:dyDescent="0.25">
      <c r="C1313" s="21"/>
      <c r="D1313" s="21"/>
    </row>
    <row r="1314" spans="3:4" x14ac:dyDescent="0.25">
      <c r="C1314" s="21"/>
      <c r="D1314" s="21"/>
    </row>
    <row r="1315" spans="3:4" x14ac:dyDescent="0.25">
      <c r="C1315" s="21"/>
      <c r="D1315" s="21"/>
    </row>
    <row r="1316" spans="3:4" x14ac:dyDescent="0.25">
      <c r="C1316" s="21"/>
      <c r="D1316" s="21"/>
    </row>
    <row r="1317" spans="3:4" x14ac:dyDescent="0.25">
      <c r="C1317" s="21"/>
      <c r="D1317" s="21"/>
    </row>
    <row r="1318" spans="3:4" x14ac:dyDescent="0.25">
      <c r="C1318" s="21"/>
      <c r="D1318" s="21"/>
    </row>
    <row r="1319" spans="3:4" x14ac:dyDescent="0.25">
      <c r="C1319" s="21"/>
      <c r="D1319" s="21"/>
    </row>
    <row r="1320" spans="3:4" x14ac:dyDescent="0.25">
      <c r="C1320" s="21"/>
      <c r="D1320" s="21"/>
    </row>
    <row r="1321" spans="3:4" x14ac:dyDescent="0.25">
      <c r="C1321" s="21"/>
      <c r="D1321" s="21"/>
    </row>
    <row r="1322" spans="3:4" x14ac:dyDescent="0.25">
      <c r="C1322" s="21"/>
      <c r="D1322" s="21"/>
    </row>
    <row r="1323" spans="3:4" x14ac:dyDescent="0.25">
      <c r="C1323" s="21"/>
      <c r="D1323" s="21"/>
    </row>
    <row r="1324" spans="3:4" x14ac:dyDescent="0.25">
      <c r="C1324" s="21"/>
      <c r="D1324" s="21"/>
    </row>
    <row r="1325" spans="3:4" x14ac:dyDescent="0.25">
      <c r="C1325" s="21"/>
      <c r="D1325" s="21"/>
    </row>
    <row r="1326" spans="3:4" x14ac:dyDescent="0.25">
      <c r="C1326" s="21"/>
      <c r="D1326" s="21"/>
    </row>
    <row r="1327" spans="3:4" x14ac:dyDescent="0.25">
      <c r="C1327" s="21"/>
      <c r="D1327" s="21"/>
    </row>
    <row r="1328" spans="3:4" x14ac:dyDescent="0.25">
      <c r="C1328" s="21"/>
      <c r="D1328" s="21"/>
    </row>
    <row r="1329" spans="3:4" x14ac:dyDescent="0.25">
      <c r="C1329" s="21"/>
      <c r="D1329" s="21"/>
    </row>
    <row r="1330" spans="3:4" x14ac:dyDescent="0.25">
      <c r="C1330" s="21"/>
      <c r="D1330" s="21"/>
    </row>
    <row r="1331" spans="3:4" x14ac:dyDescent="0.25">
      <c r="C1331" s="21"/>
      <c r="D1331" s="21"/>
    </row>
    <row r="1332" spans="3:4" x14ac:dyDescent="0.25">
      <c r="C1332" s="21"/>
      <c r="D1332" s="21"/>
    </row>
    <row r="1333" spans="3:4" x14ac:dyDescent="0.25">
      <c r="C1333" s="21"/>
      <c r="D1333" s="21"/>
    </row>
    <row r="1334" spans="3:4" x14ac:dyDescent="0.25">
      <c r="C1334" s="21"/>
      <c r="D1334" s="21"/>
    </row>
    <row r="1335" spans="3:4" x14ac:dyDescent="0.25">
      <c r="C1335" s="21"/>
      <c r="D1335" s="21"/>
    </row>
    <row r="1336" spans="3:4" x14ac:dyDescent="0.25">
      <c r="C1336" s="21"/>
      <c r="D1336" s="21"/>
    </row>
    <row r="1337" spans="3:4" x14ac:dyDescent="0.25">
      <c r="C1337" s="21"/>
      <c r="D1337" s="21"/>
    </row>
    <row r="1338" spans="3:4" x14ac:dyDescent="0.25">
      <c r="C1338" s="21"/>
      <c r="D1338" s="21"/>
    </row>
    <row r="1339" spans="3:4" x14ac:dyDescent="0.25">
      <c r="C1339" s="21"/>
      <c r="D1339" s="21"/>
    </row>
    <row r="1340" spans="3:4" x14ac:dyDescent="0.25">
      <c r="C1340" s="21"/>
      <c r="D1340" s="21"/>
    </row>
    <row r="1341" spans="3:4" x14ac:dyDescent="0.25">
      <c r="C1341" s="21"/>
      <c r="D1341" s="21"/>
    </row>
    <row r="1342" spans="3:4" x14ac:dyDescent="0.25">
      <c r="C1342" s="21"/>
      <c r="D1342" s="21"/>
    </row>
    <row r="1343" spans="3:4" x14ac:dyDescent="0.25">
      <c r="C1343" s="21"/>
      <c r="D1343" s="21"/>
    </row>
    <row r="1344" spans="3:4" x14ac:dyDescent="0.25">
      <c r="C1344" s="21"/>
      <c r="D1344" s="21"/>
    </row>
    <row r="1345" spans="3:4" x14ac:dyDescent="0.25">
      <c r="C1345" s="21"/>
      <c r="D1345" s="21"/>
    </row>
    <row r="1346" spans="3:4" x14ac:dyDescent="0.25">
      <c r="C1346" s="21"/>
      <c r="D1346" s="21"/>
    </row>
    <row r="1347" spans="3:4" x14ac:dyDescent="0.25">
      <c r="C1347" s="21"/>
      <c r="D1347" s="21"/>
    </row>
    <row r="1348" spans="3:4" x14ac:dyDescent="0.25">
      <c r="C1348" s="21"/>
      <c r="D1348" s="21"/>
    </row>
    <row r="1349" spans="3:4" x14ac:dyDescent="0.25">
      <c r="C1349" s="21"/>
      <c r="D1349" s="21"/>
    </row>
    <row r="1350" spans="3:4" x14ac:dyDescent="0.25">
      <c r="C1350" s="21"/>
      <c r="D1350" s="21"/>
    </row>
    <row r="1351" spans="3:4" x14ac:dyDescent="0.25">
      <c r="C1351" s="21"/>
      <c r="D1351" s="21"/>
    </row>
    <row r="1352" spans="3:4" x14ac:dyDescent="0.25">
      <c r="C1352" s="21"/>
      <c r="D1352" s="21"/>
    </row>
    <row r="1353" spans="3:4" x14ac:dyDescent="0.25">
      <c r="C1353" s="21"/>
      <c r="D1353" s="21"/>
    </row>
    <row r="1354" spans="3:4" x14ac:dyDescent="0.25">
      <c r="C1354" s="21"/>
      <c r="D1354" s="21"/>
    </row>
    <row r="1355" spans="3:4" x14ac:dyDescent="0.25">
      <c r="C1355" s="21"/>
      <c r="D1355" s="21"/>
    </row>
    <row r="1356" spans="3:4" x14ac:dyDescent="0.25">
      <c r="C1356" s="21"/>
      <c r="D1356" s="21"/>
    </row>
    <row r="1357" spans="3:4" x14ac:dyDescent="0.25">
      <c r="C1357" s="21"/>
      <c r="D1357" s="21"/>
    </row>
    <row r="1358" spans="3:4" x14ac:dyDescent="0.25">
      <c r="C1358" s="21"/>
      <c r="D1358" s="21"/>
    </row>
    <row r="1359" spans="3:4" x14ac:dyDescent="0.25">
      <c r="C1359" s="21"/>
      <c r="D1359" s="21"/>
    </row>
    <row r="1360" spans="3:4" x14ac:dyDescent="0.25">
      <c r="C1360" s="21"/>
      <c r="D1360" s="21"/>
    </row>
    <row r="1361" spans="3:4" x14ac:dyDescent="0.25">
      <c r="C1361" s="21"/>
      <c r="D1361" s="21"/>
    </row>
    <row r="1362" spans="3:4" x14ac:dyDescent="0.25">
      <c r="C1362" s="21"/>
      <c r="D1362" s="21"/>
    </row>
    <row r="1363" spans="3:4" x14ac:dyDescent="0.25">
      <c r="C1363" s="21"/>
      <c r="D1363" s="21"/>
    </row>
    <row r="1364" spans="3:4" x14ac:dyDescent="0.25">
      <c r="C1364" s="21"/>
      <c r="D1364" s="21"/>
    </row>
    <row r="1365" spans="3:4" x14ac:dyDescent="0.25">
      <c r="C1365" s="21"/>
      <c r="D1365" s="21"/>
    </row>
    <row r="1366" spans="3:4" x14ac:dyDescent="0.25">
      <c r="C1366" s="21"/>
      <c r="D1366" s="21"/>
    </row>
    <row r="1367" spans="3:4" x14ac:dyDescent="0.25">
      <c r="C1367" s="21"/>
      <c r="D1367" s="21"/>
    </row>
    <row r="1368" spans="3:4" x14ac:dyDescent="0.25">
      <c r="C1368" s="21"/>
      <c r="D1368" s="21"/>
    </row>
    <row r="1369" spans="3:4" x14ac:dyDescent="0.25">
      <c r="C1369" s="21"/>
      <c r="D1369" s="21"/>
    </row>
    <row r="1370" spans="3:4" x14ac:dyDescent="0.25">
      <c r="C1370" s="21"/>
      <c r="D1370" s="21"/>
    </row>
    <row r="1371" spans="3:4" x14ac:dyDescent="0.25">
      <c r="C1371" s="21"/>
      <c r="D1371" s="21"/>
    </row>
    <row r="1372" spans="3:4" x14ac:dyDescent="0.25">
      <c r="C1372" s="21"/>
      <c r="D1372" s="21"/>
    </row>
    <row r="1373" spans="3:4" x14ac:dyDescent="0.25">
      <c r="C1373" s="21"/>
      <c r="D1373" s="21"/>
    </row>
    <row r="1374" spans="3:4" x14ac:dyDescent="0.25">
      <c r="C1374" s="21"/>
      <c r="D1374" s="21"/>
    </row>
    <row r="1375" spans="3:4" x14ac:dyDescent="0.25">
      <c r="C1375" s="21"/>
      <c r="D1375" s="21"/>
    </row>
    <row r="1376" spans="3:4" x14ac:dyDescent="0.25">
      <c r="C1376" s="21"/>
      <c r="D1376" s="21"/>
    </row>
    <row r="1377" spans="3:4" x14ac:dyDescent="0.25">
      <c r="C1377" s="21"/>
      <c r="D1377" s="21"/>
    </row>
    <row r="1378" spans="3:4" x14ac:dyDescent="0.25">
      <c r="C1378" s="21"/>
      <c r="D1378" s="21"/>
    </row>
    <row r="1379" spans="3:4" x14ac:dyDescent="0.25">
      <c r="C1379" s="21"/>
      <c r="D1379" s="21"/>
    </row>
    <row r="1380" spans="3:4" x14ac:dyDescent="0.25">
      <c r="C1380" s="21"/>
      <c r="D1380" s="21"/>
    </row>
    <row r="1381" spans="3:4" x14ac:dyDescent="0.25">
      <c r="C1381" s="21"/>
      <c r="D1381" s="21"/>
    </row>
    <row r="1382" spans="3:4" x14ac:dyDescent="0.25">
      <c r="C1382" s="21"/>
      <c r="D1382" s="21"/>
    </row>
    <row r="1383" spans="3:4" x14ac:dyDescent="0.25">
      <c r="C1383" s="21"/>
      <c r="D1383" s="21"/>
    </row>
    <row r="1384" spans="3:4" x14ac:dyDescent="0.25">
      <c r="C1384" s="21"/>
      <c r="D1384" s="21"/>
    </row>
    <row r="1385" spans="3:4" x14ac:dyDescent="0.25">
      <c r="C1385" s="21"/>
      <c r="D1385" s="21"/>
    </row>
    <row r="1386" spans="3:4" x14ac:dyDescent="0.25">
      <c r="C1386" s="21"/>
      <c r="D1386" s="21"/>
    </row>
    <row r="1387" spans="3:4" x14ac:dyDescent="0.25">
      <c r="C1387" s="21"/>
      <c r="D1387" s="21"/>
    </row>
    <row r="1388" spans="3:4" x14ac:dyDescent="0.25">
      <c r="C1388" s="21"/>
      <c r="D1388" s="21"/>
    </row>
    <row r="1389" spans="3:4" x14ac:dyDescent="0.25">
      <c r="C1389" s="21"/>
      <c r="D1389" s="21"/>
    </row>
    <row r="1390" spans="3:4" x14ac:dyDescent="0.25">
      <c r="C1390" s="21"/>
      <c r="D1390" s="21"/>
    </row>
    <row r="1391" spans="3:4" x14ac:dyDescent="0.25">
      <c r="C1391" s="21"/>
      <c r="D1391" s="21"/>
    </row>
    <row r="1392" spans="3:4" x14ac:dyDescent="0.25">
      <c r="C1392" s="21"/>
      <c r="D1392" s="21"/>
    </row>
    <row r="1393" spans="3:4" x14ac:dyDescent="0.25">
      <c r="C1393" s="21"/>
      <c r="D1393" s="21"/>
    </row>
    <row r="1394" spans="3:4" x14ac:dyDescent="0.25">
      <c r="C1394" s="21"/>
      <c r="D1394" s="21"/>
    </row>
    <row r="1395" spans="3:4" x14ac:dyDescent="0.25">
      <c r="C1395" s="21"/>
      <c r="D1395" s="21"/>
    </row>
    <row r="1396" spans="3:4" x14ac:dyDescent="0.25">
      <c r="C1396" s="21"/>
      <c r="D1396" s="21"/>
    </row>
    <row r="1397" spans="3:4" x14ac:dyDescent="0.25">
      <c r="C1397" s="21"/>
      <c r="D1397" s="21"/>
    </row>
    <row r="1398" spans="3:4" x14ac:dyDescent="0.25">
      <c r="C1398" s="21"/>
      <c r="D1398" s="21"/>
    </row>
    <row r="1399" spans="3:4" x14ac:dyDescent="0.25">
      <c r="C1399" s="21"/>
      <c r="D1399" s="21"/>
    </row>
    <row r="1400" spans="3:4" x14ac:dyDescent="0.25">
      <c r="C1400" s="21"/>
      <c r="D1400" s="21"/>
    </row>
    <row r="1401" spans="3:4" x14ac:dyDescent="0.25">
      <c r="C1401" s="21"/>
      <c r="D1401" s="21"/>
    </row>
    <row r="1402" spans="3:4" x14ac:dyDescent="0.25">
      <c r="C1402" s="21"/>
      <c r="D1402" s="21"/>
    </row>
    <row r="1403" spans="3:4" x14ac:dyDescent="0.25">
      <c r="C1403" s="21"/>
      <c r="D1403" s="21"/>
    </row>
    <row r="1404" spans="3:4" x14ac:dyDescent="0.25">
      <c r="C1404" s="21"/>
      <c r="D1404" s="21"/>
    </row>
    <row r="1405" spans="3:4" x14ac:dyDescent="0.25">
      <c r="C1405" s="21"/>
      <c r="D1405" s="21"/>
    </row>
    <row r="1406" spans="3:4" x14ac:dyDescent="0.25">
      <c r="C1406" s="21"/>
      <c r="D1406" s="21"/>
    </row>
    <row r="1407" spans="3:4" x14ac:dyDescent="0.25">
      <c r="C1407" s="21"/>
      <c r="D1407" s="21"/>
    </row>
    <row r="1408" spans="3:4" x14ac:dyDescent="0.25">
      <c r="C1408" s="21"/>
      <c r="D1408" s="21"/>
    </row>
    <row r="1409" spans="3:4" x14ac:dyDescent="0.25">
      <c r="C1409" s="21"/>
      <c r="D1409" s="21"/>
    </row>
    <row r="1410" spans="3:4" x14ac:dyDescent="0.25">
      <c r="C1410" s="21"/>
      <c r="D1410" s="21"/>
    </row>
    <row r="1411" spans="3:4" x14ac:dyDescent="0.25">
      <c r="C1411" s="21"/>
      <c r="D1411" s="21"/>
    </row>
    <row r="1412" spans="3:4" x14ac:dyDescent="0.25">
      <c r="C1412" s="21"/>
      <c r="D1412" s="21"/>
    </row>
    <row r="1413" spans="3:4" x14ac:dyDescent="0.25">
      <c r="C1413" s="21"/>
      <c r="D1413" s="21"/>
    </row>
    <row r="1414" spans="3:4" x14ac:dyDescent="0.25">
      <c r="C1414" s="21"/>
      <c r="D1414" s="21"/>
    </row>
    <row r="1415" spans="3:4" x14ac:dyDescent="0.25">
      <c r="C1415" s="21"/>
      <c r="D1415" s="21"/>
    </row>
    <row r="1416" spans="3:4" x14ac:dyDescent="0.25">
      <c r="C1416" s="21"/>
      <c r="D1416" s="21"/>
    </row>
    <row r="1417" spans="3:4" x14ac:dyDescent="0.25">
      <c r="C1417" s="21"/>
      <c r="D1417" s="21"/>
    </row>
    <row r="1418" spans="3:4" x14ac:dyDescent="0.25">
      <c r="C1418" s="21"/>
      <c r="D1418" s="21"/>
    </row>
    <row r="1419" spans="3:4" x14ac:dyDescent="0.25">
      <c r="C1419" s="21"/>
      <c r="D1419" s="21"/>
    </row>
    <row r="1420" spans="3:4" x14ac:dyDescent="0.25">
      <c r="C1420" s="21"/>
      <c r="D1420" s="21"/>
    </row>
    <row r="1421" spans="3:4" x14ac:dyDescent="0.25">
      <c r="C1421" s="21"/>
      <c r="D1421" s="21"/>
    </row>
    <row r="1422" spans="3:4" x14ac:dyDescent="0.25">
      <c r="C1422" s="21"/>
      <c r="D1422" s="21"/>
    </row>
    <row r="1423" spans="3:4" x14ac:dyDescent="0.25">
      <c r="C1423" s="21"/>
      <c r="D1423" s="21"/>
    </row>
    <row r="1424" spans="3:4" x14ac:dyDescent="0.25">
      <c r="C1424" s="21"/>
      <c r="D1424" s="21"/>
    </row>
    <row r="1425" spans="3:4" x14ac:dyDescent="0.25">
      <c r="C1425" s="21"/>
      <c r="D1425" s="21"/>
    </row>
    <row r="1426" spans="3:4" x14ac:dyDescent="0.25">
      <c r="C1426" s="21"/>
      <c r="D1426" s="21"/>
    </row>
    <row r="1427" spans="3:4" x14ac:dyDescent="0.25">
      <c r="C1427" s="21"/>
      <c r="D1427" s="21"/>
    </row>
    <row r="1428" spans="3:4" x14ac:dyDescent="0.25">
      <c r="C1428" s="21"/>
      <c r="D1428" s="21"/>
    </row>
    <row r="1429" spans="3:4" x14ac:dyDescent="0.25">
      <c r="C1429" s="21"/>
      <c r="D1429" s="21"/>
    </row>
    <row r="1430" spans="3:4" x14ac:dyDescent="0.25">
      <c r="C1430" s="21"/>
      <c r="D1430" s="21"/>
    </row>
    <row r="1431" spans="3:4" x14ac:dyDescent="0.25">
      <c r="C1431" s="21"/>
      <c r="D1431" s="21"/>
    </row>
    <row r="1432" spans="3:4" x14ac:dyDescent="0.25">
      <c r="C1432" s="21"/>
      <c r="D1432" s="21"/>
    </row>
    <row r="1433" spans="3:4" x14ac:dyDescent="0.25">
      <c r="C1433" s="21"/>
      <c r="D1433" s="21"/>
    </row>
    <row r="1434" spans="3:4" x14ac:dyDescent="0.25">
      <c r="C1434" s="21"/>
      <c r="D1434" s="21"/>
    </row>
    <row r="1435" spans="3:4" x14ac:dyDescent="0.25">
      <c r="C1435" s="21"/>
      <c r="D1435" s="21"/>
    </row>
    <row r="1436" spans="3:4" x14ac:dyDescent="0.25">
      <c r="C1436" s="21"/>
      <c r="D1436" s="21"/>
    </row>
    <row r="1437" spans="3:4" x14ac:dyDescent="0.25">
      <c r="C1437" s="21"/>
      <c r="D1437" s="21"/>
    </row>
    <row r="1438" spans="3:4" x14ac:dyDescent="0.25">
      <c r="C1438" s="21"/>
      <c r="D1438" s="21"/>
    </row>
    <row r="1439" spans="3:4" x14ac:dyDescent="0.25">
      <c r="C1439" s="21"/>
      <c r="D1439" s="21"/>
    </row>
    <row r="1440" spans="3:4" x14ac:dyDescent="0.25">
      <c r="C1440" s="21"/>
      <c r="D1440" s="21"/>
    </row>
    <row r="1441" spans="3:4" x14ac:dyDescent="0.25">
      <c r="C1441" s="21"/>
      <c r="D1441" s="21"/>
    </row>
    <row r="1442" spans="3:4" x14ac:dyDescent="0.25">
      <c r="C1442" s="21"/>
      <c r="D1442" s="21"/>
    </row>
    <row r="1443" spans="3:4" x14ac:dyDescent="0.25">
      <c r="C1443" s="21"/>
      <c r="D1443" s="21"/>
    </row>
    <row r="1444" spans="3:4" x14ac:dyDescent="0.25">
      <c r="C1444" s="21"/>
      <c r="D1444" s="21"/>
    </row>
    <row r="1445" spans="3:4" x14ac:dyDescent="0.25">
      <c r="C1445" s="21"/>
      <c r="D1445" s="21"/>
    </row>
    <row r="1446" spans="3:4" x14ac:dyDescent="0.25">
      <c r="C1446" s="21"/>
      <c r="D1446" s="21"/>
    </row>
    <row r="1447" spans="3:4" x14ac:dyDescent="0.25">
      <c r="C1447" s="21"/>
      <c r="D1447" s="21"/>
    </row>
    <row r="1448" spans="3:4" x14ac:dyDescent="0.25">
      <c r="C1448" s="21"/>
      <c r="D1448" s="21"/>
    </row>
    <row r="1449" spans="3:4" x14ac:dyDescent="0.25">
      <c r="C1449" s="21"/>
      <c r="D1449" s="21"/>
    </row>
    <row r="1450" spans="3:4" x14ac:dyDescent="0.25">
      <c r="C1450" s="21"/>
      <c r="D1450" s="21"/>
    </row>
    <row r="1451" spans="3:4" x14ac:dyDescent="0.25">
      <c r="C1451" s="21"/>
      <c r="D1451" s="21"/>
    </row>
    <row r="1452" spans="3:4" x14ac:dyDescent="0.25">
      <c r="C1452" s="21"/>
      <c r="D1452" s="21"/>
    </row>
    <row r="1453" spans="3:4" x14ac:dyDescent="0.25">
      <c r="C1453" s="21"/>
      <c r="D1453" s="21"/>
    </row>
    <row r="1454" spans="3:4" x14ac:dyDescent="0.25">
      <c r="C1454" s="21"/>
      <c r="D1454" s="21"/>
    </row>
    <row r="1455" spans="3:4" x14ac:dyDescent="0.25">
      <c r="C1455" s="21"/>
      <c r="D1455" s="21"/>
    </row>
    <row r="1456" spans="3:4" x14ac:dyDescent="0.25">
      <c r="C1456" s="21"/>
      <c r="D1456" s="21"/>
    </row>
    <row r="1457" spans="3:4" x14ac:dyDescent="0.25">
      <c r="C1457" s="21"/>
      <c r="D1457" s="21"/>
    </row>
    <row r="1458" spans="3:4" x14ac:dyDescent="0.25">
      <c r="C1458" s="21"/>
      <c r="D1458" s="21"/>
    </row>
    <row r="1459" spans="3:4" x14ac:dyDescent="0.25">
      <c r="C1459" s="21"/>
      <c r="D1459" s="21"/>
    </row>
    <row r="1460" spans="3:4" x14ac:dyDescent="0.25">
      <c r="C1460" s="21"/>
      <c r="D1460" s="21"/>
    </row>
    <row r="1461" spans="3:4" x14ac:dyDescent="0.25">
      <c r="C1461" s="21"/>
      <c r="D1461" s="21"/>
    </row>
    <row r="1462" spans="3:4" x14ac:dyDescent="0.25">
      <c r="C1462" s="21"/>
      <c r="D1462" s="21"/>
    </row>
    <row r="1463" spans="3:4" x14ac:dyDescent="0.25">
      <c r="C1463" s="21"/>
      <c r="D1463" s="21"/>
    </row>
    <row r="1464" spans="3:4" x14ac:dyDescent="0.25">
      <c r="C1464" s="21"/>
      <c r="D1464" s="21"/>
    </row>
    <row r="1465" spans="3:4" x14ac:dyDescent="0.25">
      <c r="C1465" s="21"/>
      <c r="D1465" s="21"/>
    </row>
    <row r="1466" spans="3:4" x14ac:dyDescent="0.25">
      <c r="C1466" s="21"/>
      <c r="D1466" s="21"/>
    </row>
    <row r="1467" spans="3:4" x14ac:dyDescent="0.25">
      <c r="C1467" s="21"/>
      <c r="D1467" s="21"/>
    </row>
    <row r="1468" spans="3:4" x14ac:dyDescent="0.25">
      <c r="C1468" s="21"/>
      <c r="D1468" s="21"/>
    </row>
    <row r="1469" spans="3:4" x14ac:dyDescent="0.25">
      <c r="C1469" s="21"/>
      <c r="D1469" s="21"/>
    </row>
    <row r="1470" spans="3:4" x14ac:dyDescent="0.25">
      <c r="C1470" s="21"/>
      <c r="D1470" s="21"/>
    </row>
    <row r="1471" spans="3:4" x14ac:dyDescent="0.25">
      <c r="C1471" s="21"/>
      <c r="D1471" s="21"/>
    </row>
    <row r="1472" spans="3:4" x14ac:dyDescent="0.25">
      <c r="C1472" s="21"/>
      <c r="D1472" s="21"/>
    </row>
    <row r="1473" spans="3:4" x14ac:dyDescent="0.25">
      <c r="C1473" s="21"/>
      <c r="D1473" s="21"/>
    </row>
    <row r="1474" spans="3:4" x14ac:dyDescent="0.25">
      <c r="C1474" s="21"/>
      <c r="D1474" s="21"/>
    </row>
    <row r="1475" spans="3:4" x14ac:dyDescent="0.25">
      <c r="C1475" s="21"/>
      <c r="D1475" s="21"/>
    </row>
    <row r="1476" spans="3:4" x14ac:dyDescent="0.25">
      <c r="C1476" s="21"/>
      <c r="D1476" s="21"/>
    </row>
    <row r="1477" spans="3:4" x14ac:dyDescent="0.25">
      <c r="C1477" s="21"/>
      <c r="D1477" s="21"/>
    </row>
    <row r="1478" spans="3:4" x14ac:dyDescent="0.25">
      <c r="C1478" s="21"/>
      <c r="D1478" s="21"/>
    </row>
    <row r="1479" spans="3:4" x14ac:dyDescent="0.25">
      <c r="C1479" s="21"/>
      <c r="D1479" s="21"/>
    </row>
    <row r="1480" spans="3:4" x14ac:dyDescent="0.25">
      <c r="C1480" s="21"/>
      <c r="D1480" s="21"/>
    </row>
    <row r="1481" spans="3:4" x14ac:dyDescent="0.25">
      <c r="C1481" s="21"/>
      <c r="D1481" s="21"/>
    </row>
    <row r="1482" spans="3:4" x14ac:dyDescent="0.25">
      <c r="C1482" s="21"/>
      <c r="D1482" s="21"/>
    </row>
    <row r="1483" spans="3:4" x14ac:dyDescent="0.25">
      <c r="C1483" s="21"/>
      <c r="D1483" s="21"/>
    </row>
    <row r="1484" spans="3:4" x14ac:dyDescent="0.25">
      <c r="C1484" s="21"/>
      <c r="D1484" s="21"/>
    </row>
    <row r="1485" spans="3:4" x14ac:dyDescent="0.25">
      <c r="C1485" s="21"/>
      <c r="D1485" s="21"/>
    </row>
    <row r="1486" spans="3:4" x14ac:dyDescent="0.25">
      <c r="C1486" s="21"/>
      <c r="D1486" s="21"/>
    </row>
    <row r="1487" spans="3:4" x14ac:dyDescent="0.25">
      <c r="C1487" s="21"/>
      <c r="D1487" s="21"/>
    </row>
    <row r="1488" spans="3:4" x14ac:dyDescent="0.25">
      <c r="C1488" s="21"/>
      <c r="D1488" s="21"/>
    </row>
    <row r="1489" spans="3:4" x14ac:dyDescent="0.25">
      <c r="C1489" s="21"/>
      <c r="D1489" s="21"/>
    </row>
    <row r="1490" spans="3:4" x14ac:dyDescent="0.25">
      <c r="C1490" s="21"/>
      <c r="D1490" s="21"/>
    </row>
    <row r="1491" spans="3:4" x14ac:dyDescent="0.25">
      <c r="C1491" s="21"/>
      <c r="D1491" s="21"/>
    </row>
    <row r="1492" spans="3:4" x14ac:dyDescent="0.25">
      <c r="C1492" s="21"/>
      <c r="D1492" s="21"/>
    </row>
    <row r="1493" spans="3:4" x14ac:dyDescent="0.25">
      <c r="C1493" s="21"/>
      <c r="D1493" s="21"/>
    </row>
    <row r="1494" spans="3:4" x14ac:dyDescent="0.25">
      <c r="C1494" s="21"/>
      <c r="D1494" s="21"/>
    </row>
    <row r="1495" spans="3:4" x14ac:dyDescent="0.25">
      <c r="C1495" s="21"/>
      <c r="D1495" s="21"/>
    </row>
    <row r="1496" spans="3:4" x14ac:dyDescent="0.25">
      <c r="C1496" s="21"/>
      <c r="D1496" s="21"/>
    </row>
    <row r="1497" spans="3:4" x14ac:dyDescent="0.25">
      <c r="C1497" s="21"/>
      <c r="D1497" s="21"/>
    </row>
    <row r="1498" spans="3:4" x14ac:dyDescent="0.25">
      <c r="C1498" s="21"/>
      <c r="D1498" s="21"/>
    </row>
    <row r="1499" spans="3:4" x14ac:dyDescent="0.25">
      <c r="C1499" s="21"/>
      <c r="D1499" s="21"/>
    </row>
    <row r="1500" spans="3:4" x14ac:dyDescent="0.25">
      <c r="C1500" s="21"/>
      <c r="D1500" s="21"/>
    </row>
    <row r="1501" spans="3:4" x14ac:dyDescent="0.25">
      <c r="C1501" s="21"/>
      <c r="D1501" s="21"/>
    </row>
    <row r="1502" spans="3:4" x14ac:dyDescent="0.25">
      <c r="C1502" s="21"/>
      <c r="D1502" s="21"/>
    </row>
    <row r="1503" spans="3:4" x14ac:dyDescent="0.25">
      <c r="C1503" s="21"/>
      <c r="D1503" s="21"/>
    </row>
    <row r="1504" spans="3:4" x14ac:dyDescent="0.25">
      <c r="C1504" s="21"/>
      <c r="D1504" s="21"/>
    </row>
    <row r="1505" spans="3:4" x14ac:dyDescent="0.25">
      <c r="C1505" s="21"/>
      <c r="D1505" s="21"/>
    </row>
    <row r="1506" spans="3:4" x14ac:dyDescent="0.25">
      <c r="C1506" s="21"/>
      <c r="D1506" s="21"/>
    </row>
  </sheetData>
  <sheetProtection formatCells="0" formatColumns="0" formatRows="0" insertColumns="0" insertRows="0" insertHyperlinks="0" deleteColumns="0" deleteRows="0" selectLockedCells="1" sort="0" autoFilter="0" pivotTables="0"/>
  <mergeCells count="5">
    <mergeCell ref="A1:B1"/>
    <mergeCell ref="E16:J16"/>
    <mergeCell ref="C30:D30"/>
    <mergeCell ref="X30:Z30"/>
    <mergeCell ref="M16:R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LM-OSL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</dc:creator>
  <cp:lastModifiedBy>Paul</cp:lastModifiedBy>
  <dcterms:created xsi:type="dcterms:W3CDTF">2015-05-11T20:50:28Z</dcterms:created>
  <dcterms:modified xsi:type="dcterms:W3CDTF">2021-10-20T09:13:04Z</dcterms:modified>
</cp:coreProperties>
</file>