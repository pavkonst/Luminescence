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I(D)\"/>
    </mc:Choice>
  </mc:AlternateContent>
  <xr:revisionPtr revIDLastSave="0" documentId="13_ncr:1_{D291760E-7506-4661-B7BD-297EEDE7F53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OTOR model" sheetId="1" r:id="rId1"/>
    <sheet name="f(D)" sheetId="3" r:id="rId2"/>
    <sheet name="g(D)" sheetId="6" r:id="rId3"/>
    <sheet name="OTOR and f(D)" sheetId="9" r:id="rId4"/>
  </sheets>
  <functionGroups builtInGroupCount="19"/>
  <definedNames>
    <definedName name="solver_adj" localSheetId="1" hidden="1">'f(D)'!$C$20,'f(D)'!$C$22</definedName>
    <definedName name="solver_adj" localSheetId="3" hidden="1">'OTOR and f(D)'!$C$19,'OTOR and f(D)'!$C$21,'OTOR and f(D)'!$C$23</definedName>
    <definedName name="solver_adj" localSheetId="0" hidden="1">'OTOR model'!$C$19,'OTOR model'!$C$21,'OTOR model'!$C$23</definedName>
    <definedName name="solver_cvg" localSheetId="1" hidden="1">0.0001</definedName>
    <definedName name="solver_cvg" localSheetId="3" hidden="1">0.0001</definedName>
    <definedName name="solver_cvg" localSheetId="0" hidden="1">0.0001</definedName>
    <definedName name="solver_drv" localSheetId="1" hidden="1">1</definedName>
    <definedName name="solver_drv" localSheetId="3" hidden="1">2</definedName>
    <definedName name="solver_drv" localSheetId="0" hidden="1">2</definedName>
    <definedName name="solver_eng" localSheetId="1" hidden="1">1</definedName>
    <definedName name="solver_eng" localSheetId="3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est" localSheetId="0" hidden="1">1</definedName>
    <definedName name="solver_itr" localSheetId="1" hidden="1">2147483647</definedName>
    <definedName name="solver_itr" localSheetId="3" hidden="1">2147483647</definedName>
    <definedName name="solver_itr" localSheetId="0" hidden="1">2147483647</definedName>
    <definedName name="solver_lhs1" localSheetId="3" hidden="1">'OTOR and f(D)'!$C$19</definedName>
    <definedName name="solver_lhs1" localSheetId="0" hidden="1">'OTOR model'!$C$19</definedName>
    <definedName name="solver_mip" localSheetId="1" hidden="1">2147483647</definedName>
    <definedName name="solver_mip" localSheetId="3" hidden="1">2147483647</definedName>
    <definedName name="solver_mip" localSheetId="0" hidden="1">2147483647</definedName>
    <definedName name="solver_mni" localSheetId="1" hidden="1">30</definedName>
    <definedName name="solver_mni" localSheetId="3" hidden="1">30</definedName>
    <definedName name="solver_mni" localSheetId="0" hidden="1">30</definedName>
    <definedName name="solver_mrt" localSheetId="1" hidden="1">0.075</definedName>
    <definedName name="solver_mrt" localSheetId="3" hidden="1">0.075</definedName>
    <definedName name="solver_mrt" localSheetId="0" hidden="1">0.075</definedName>
    <definedName name="solver_msl" localSheetId="1" hidden="1">2</definedName>
    <definedName name="solver_msl" localSheetId="3" hidden="1">2</definedName>
    <definedName name="solver_msl" localSheetId="0" hidden="1">2</definedName>
    <definedName name="solver_neg" localSheetId="1" hidden="1">1</definedName>
    <definedName name="solver_neg" localSheetId="3" hidden="1">1</definedName>
    <definedName name="solver_neg" localSheetId="0" hidden="1">1</definedName>
    <definedName name="solver_nod" localSheetId="1" hidden="1">2147483647</definedName>
    <definedName name="solver_nod" localSheetId="3" hidden="1">2147483647</definedName>
    <definedName name="solver_nod" localSheetId="0" hidden="1">2147483647</definedName>
    <definedName name="solver_num" localSheetId="1" hidden="1">0</definedName>
    <definedName name="solver_num" localSheetId="3" hidden="1">0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nwt" localSheetId="0" hidden="1">1</definedName>
    <definedName name="solver_opt" localSheetId="1" hidden="1">'f(D)'!$P$20</definedName>
    <definedName name="solver_opt" localSheetId="3" hidden="1">'OTOR and f(D)'!$B$12</definedName>
    <definedName name="solver_opt" localSheetId="0" hidden="1">'OTOR model'!$R$26</definedName>
    <definedName name="solver_pre" localSheetId="1" hidden="1">0.000001</definedName>
    <definedName name="solver_pre" localSheetId="3" hidden="1">0.000001</definedName>
    <definedName name="solver_pre" localSheetId="0" hidden="1">0.000001</definedName>
    <definedName name="solver_rbv" localSheetId="1" hidden="1">1</definedName>
    <definedName name="solver_rbv" localSheetId="3" hidden="1">2</definedName>
    <definedName name="solver_rbv" localSheetId="0" hidden="1">2</definedName>
    <definedName name="solver_rel1" localSheetId="3" hidden="1">6</definedName>
    <definedName name="solver_rel1" localSheetId="0" hidden="1">6</definedName>
    <definedName name="solver_rhs1" localSheetId="3" hidden="1">AllDifferent</definedName>
    <definedName name="solver_rhs1" localSheetId="0" hidden="1">AllDifferent</definedName>
    <definedName name="solver_rlx" localSheetId="1" hidden="1">2</definedName>
    <definedName name="solver_rlx" localSheetId="3" hidden="1">2</definedName>
    <definedName name="solver_rlx" localSheetId="0" hidden="1">2</definedName>
    <definedName name="solver_rsd" localSheetId="1" hidden="1">0</definedName>
    <definedName name="solver_rsd" localSheetId="3" hidden="1">0</definedName>
    <definedName name="solver_rsd" localSheetId="0" hidden="1">0</definedName>
    <definedName name="solver_scl" localSheetId="1" hidden="1">1</definedName>
    <definedName name="solver_scl" localSheetId="3" hidden="1">2</definedName>
    <definedName name="solver_scl" localSheetId="0" hidden="1">2</definedName>
    <definedName name="solver_sho" localSheetId="1" hidden="1">2</definedName>
    <definedName name="solver_sho" localSheetId="3" hidden="1">2</definedName>
    <definedName name="solver_sho" localSheetId="0" hidden="1">2</definedName>
    <definedName name="solver_ssz" localSheetId="1" hidden="1">100</definedName>
    <definedName name="solver_ssz" localSheetId="3" hidden="1">100</definedName>
    <definedName name="solver_ssz" localSheetId="0" hidden="1">100</definedName>
    <definedName name="solver_tim" localSheetId="1" hidden="1">2147483647</definedName>
    <definedName name="solver_tim" localSheetId="3" hidden="1">2147483647</definedName>
    <definedName name="solver_tim" localSheetId="0" hidden="1">2147483647</definedName>
    <definedName name="solver_tol" localSheetId="1" hidden="1">0.01</definedName>
    <definedName name="solver_tol" localSheetId="3" hidden="1">0.01</definedName>
    <definedName name="solver_tol" localSheetId="0" hidden="1">0.01</definedName>
    <definedName name="solver_typ" localSheetId="1" hidden="1">2</definedName>
    <definedName name="solver_typ" localSheetId="3" hidden="1">2</definedName>
    <definedName name="solver_typ" localSheetId="0" hidden="1">2</definedName>
    <definedName name="solver_val" localSheetId="1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9" l="1"/>
  <c r="K40" i="9"/>
  <c r="H41" i="9"/>
  <c r="K41" i="9"/>
  <c r="H33" i="9"/>
  <c r="K33" i="9"/>
  <c r="H34" i="9"/>
  <c r="K34" i="9"/>
  <c r="H35" i="9"/>
  <c r="K35" i="9"/>
  <c r="H36" i="9"/>
  <c r="K36" i="9"/>
  <c r="H37" i="9"/>
  <c r="K37" i="9"/>
  <c r="H38" i="9"/>
  <c r="K38" i="9"/>
  <c r="H39" i="9"/>
  <c r="K39" i="9"/>
  <c r="G27" i="3"/>
  <c r="G28" i="3"/>
  <c r="G29" i="3"/>
  <c r="G30" i="3"/>
  <c r="G31" i="3"/>
  <c r="G32" i="3"/>
  <c r="G33" i="3"/>
  <c r="G34" i="3"/>
  <c r="G35" i="3"/>
  <c r="K33" i="1"/>
  <c r="K34" i="1"/>
  <c r="K35" i="1"/>
  <c r="K36" i="1"/>
  <c r="K37" i="1"/>
  <c r="K38" i="1"/>
  <c r="K39" i="1"/>
  <c r="K40" i="1"/>
  <c r="K41" i="1"/>
  <c r="C27" i="9"/>
  <c r="T28" i="9" s="1"/>
  <c r="H27" i="9"/>
  <c r="H28" i="9"/>
  <c r="H29" i="9"/>
  <c r="H30" i="9"/>
  <c r="H31" i="9"/>
  <c r="H32" i="9"/>
  <c r="H26" i="9"/>
  <c r="K32" i="9"/>
  <c r="K31" i="9"/>
  <c r="K30" i="9"/>
  <c r="K29" i="9"/>
  <c r="K28" i="9"/>
  <c r="K27" i="9"/>
  <c r="K26" i="9"/>
  <c r="C29" i="9" a="1"/>
  <c r="L40" i="9"/>
  <c r="L41" i="9"/>
  <c r="L39" i="9"/>
  <c r="L38" i="9"/>
  <c r="L33" i="9"/>
  <c r="L35" i="9"/>
  <c r="L37" i="9"/>
  <c r="L36" i="9"/>
  <c r="L34" i="9"/>
  <c r="L32" i="9"/>
  <c r="U28" i="9" a="1"/>
  <c r="L26" i="9"/>
  <c r="L29" i="9"/>
  <c r="L27" i="9"/>
  <c r="L30" i="9"/>
  <c r="L31" i="9"/>
  <c r="L28" i="9"/>
  <c r="L36" i="1"/>
  <c r="L33" i="1"/>
  <c r="L41" i="1"/>
  <c r="L39" i="1"/>
  <c r="L38" i="1"/>
  <c r="L35" i="1"/>
  <c r="L40" i="1"/>
  <c r="L37" i="1"/>
  <c r="L34" i="1"/>
  <c r="T38" i="9" l="1"/>
  <c r="T35" i="9"/>
  <c r="T41" i="9"/>
  <c r="T37" i="9"/>
  <c r="T34" i="9"/>
  <c r="T39" i="9"/>
  <c r="T40" i="9"/>
  <c r="T36" i="9"/>
  <c r="T33" i="9"/>
  <c r="M41" i="9"/>
  <c r="O41" i="9" s="1"/>
  <c r="M40" i="9"/>
  <c r="O40" i="9" s="1"/>
  <c r="M34" i="9"/>
  <c r="O34" i="9" s="1"/>
  <c r="M36" i="9"/>
  <c r="O36" i="9" s="1"/>
  <c r="M37" i="9"/>
  <c r="O37" i="9" s="1"/>
  <c r="M35" i="9"/>
  <c r="O35" i="9" s="1"/>
  <c r="M33" i="9"/>
  <c r="O33" i="9" s="1"/>
  <c r="M38" i="9"/>
  <c r="O38" i="9" s="1"/>
  <c r="M39" i="9"/>
  <c r="O39" i="9" s="1"/>
  <c r="M34" i="1"/>
  <c r="O34" i="1" s="1"/>
  <c r="M37" i="1"/>
  <c r="O37" i="1" s="1"/>
  <c r="M40" i="1"/>
  <c r="O40" i="1" s="1"/>
  <c r="M35" i="1"/>
  <c r="O35" i="1" s="1"/>
  <c r="M38" i="1"/>
  <c r="O38" i="1" s="1"/>
  <c r="M39" i="1"/>
  <c r="O39" i="1" s="1"/>
  <c r="M41" i="1"/>
  <c r="O41" i="1" s="1"/>
  <c r="M33" i="1"/>
  <c r="O33" i="1" s="1"/>
  <c r="M36" i="1"/>
  <c r="O36" i="1" s="1"/>
  <c r="T27" i="9"/>
  <c r="T26" i="9"/>
  <c r="T32" i="9"/>
  <c r="T31" i="9"/>
  <c r="T30" i="9"/>
  <c r="T29" i="9"/>
  <c r="C29" i="9"/>
  <c r="U28" i="9"/>
  <c r="M30" i="9"/>
  <c r="O30" i="9" s="1"/>
  <c r="M27" i="9"/>
  <c r="O27" i="9" s="1"/>
  <c r="M32" i="9"/>
  <c r="O32" i="9" s="1"/>
  <c r="M28" i="9"/>
  <c r="O28" i="9" s="1"/>
  <c r="M29" i="9"/>
  <c r="O29" i="9" s="1"/>
  <c r="M26" i="9"/>
  <c r="M31" i="9"/>
  <c r="O31" i="9" s="1"/>
  <c r="J5" i="6"/>
  <c r="J4" i="6"/>
  <c r="J6" i="6"/>
  <c r="J7" i="6"/>
  <c r="J8" i="6"/>
  <c r="J9" i="6"/>
  <c r="J10" i="6"/>
  <c r="C26" i="3"/>
  <c r="U38" i="9" a="1"/>
  <c r="U35" i="9" a="1"/>
  <c r="U41" i="9" a="1"/>
  <c r="U33" i="9" a="1"/>
  <c r="U37" i="9" a="1"/>
  <c r="U34" i="9" a="1"/>
  <c r="U39" i="9" a="1"/>
  <c r="U40" i="9" a="1"/>
  <c r="U36" i="9" a="1"/>
  <c r="U32" i="9" a="1"/>
  <c r="U30" i="9" a="1"/>
  <c r="U29" i="9" a="1"/>
  <c r="U31" i="9" a="1"/>
  <c r="U27" i="9" a="1"/>
  <c r="C28" i="3" a="1"/>
  <c r="U38" i="9" l="1"/>
  <c r="V38" i="9" s="1"/>
  <c r="X38" i="9" s="1"/>
  <c r="U36" i="9"/>
  <c r="V36" i="9" s="1"/>
  <c r="X36" i="9" s="1"/>
  <c r="U40" i="9"/>
  <c r="V40" i="9" s="1"/>
  <c r="X40" i="9" s="1"/>
  <c r="U39" i="9"/>
  <c r="V39" i="9" s="1"/>
  <c r="X39" i="9" s="1"/>
  <c r="U34" i="9"/>
  <c r="V34" i="9" s="1"/>
  <c r="X34" i="9" s="1"/>
  <c r="U37" i="9"/>
  <c r="V37" i="9" s="1"/>
  <c r="X37" i="9" s="1"/>
  <c r="U33" i="9"/>
  <c r="V33" i="9" s="1"/>
  <c r="X33" i="9" s="1"/>
  <c r="U41" i="9"/>
  <c r="V41" i="9" s="1"/>
  <c r="X41" i="9" s="1"/>
  <c r="U35" i="9"/>
  <c r="V35" i="9" s="1"/>
  <c r="X35" i="9" s="1"/>
  <c r="I31" i="3"/>
  <c r="I29" i="3"/>
  <c r="I34" i="3"/>
  <c r="I27" i="3"/>
  <c r="I35" i="3"/>
  <c r="I30" i="3"/>
  <c r="I32" i="3"/>
  <c r="I28" i="3"/>
  <c r="I33" i="3"/>
  <c r="U29" i="9"/>
  <c r="V29" i="9" s="1"/>
  <c r="X29" i="9" s="1"/>
  <c r="U30" i="9"/>
  <c r="V30" i="9" s="1"/>
  <c r="X30" i="9" s="1"/>
  <c r="U31" i="9"/>
  <c r="V31" i="9" s="1"/>
  <c r="X31" i="9" s="1"/>
  <c r="U32" i="9"/>
  <c r="V32" i="9" s="1"/>
  <c r="X32" i="9" s="1"/>
  <c r="U27" i="9"/>
  <c r="V27" i="9" s="1"/>
  <c r="X27" i="9" s="1"/>
  <c r="V28" i="9"/>
  <c r="X28" i="9" s="1"/>
  <c r="O26" i="9"/>
  <c r="P26" i="9"/>
  <c r="Q35" i="9" s="1"/>
  <c r="G22" i="3"/>
  <c r="G21" i="3"/>
  <c r="G20" i="3"/>
  <c r="G23" i="3"/>
  <c r="I23" i="3"/>
  <c r="I22" i="3"/>
  <c r="I21" i="3"/>
  <c r="I20" i="3"/>
  <c r="C28" i="3"/>
  <c r="G24" i="3"/>
  <c r="I24" i="3"/>
  <c r="I25" i="3"/>
  <c r="I26" i="3"/>
  <c r="K27" i="1"/>
  <c r="K28" i="1"/>
  <c r="K29" i="1"/>
  <c r="K30" i="1"/>
  <c r="K31" i="1"/>
  <c r="K32" i="1"/>
  <c r="J31" i="3" a="1"/>
  <c r="J33" i="3" a="1"/>
  <c r="J29" i="3" a="1"/>
  <c r="J32" i="3" a="1"/>
  <c r="J34" i="3" a="1"/>
  <c r="J35" i="3" a="1"/>
  <c r="J27" i="3" a="1"/>
  <c r="J30" i="3" a="1"/>
  <c r="J28" i="3" a="1"/>
  <c r="J25" i="3" a="1"/>
  <c r="J23" i="3" a="1"/>
  <c r="J22" i="3" a="1"/>
  <c r="J26" i="3" a="1"/>
  <c r="J21" i="3" a="1"/>
  <c r="J24" i="3" a="1"/>
  <c r="J20" i="3" a="1"/>
  <c r="Q41" i="9" l="1"/>
  <c r="Q40" i="9"/>
  <c r="Q34" i="9"/>
  <c r="Q38" i="9"/>
  <c r="Q39" i="9"/>
  <c r="Q33" i="9"/>
  <c r="Q37" i="9"/>
  <c r="Q36" i="9"/>
  <c r="J28" i="3"/>
  <c r="K28" i="3" s="1"/>
  <c r="M28" i="3" s="1"/>
  <c r="J30" i="3"/>
  <c r="K30" i="3" s="1"/>
  <c r="M30" i="3" s="1"/>
  <c r="J27" i="3"/>
  <c r="K27" i="3" s="1"/>
  <c r="M27" i="3" s="1"/>
  <c r="J35" i="3"/>
  <c r="K35" i="3" s="1"/>
  <c r="M35" i="3" s="1"/>
  <c r="J34" i="3"/>
  <c r="K34" i="3" s="1"/>
  <c r="M34" i="3" s="1"/>
  <c r="J32" i="3"/>
  <c r="K32" i="3" s="1"/>
  <c r="M32" i="3" s="1"/>
  <c r="J29" i="3"/>
  <c r="K29" i="3" s="1"/>
  <c r="M29" i="3" s="1"/>
  <c r="J33" i="3"/>
  <c r="K33" i="3" s="1"/>
  <c r="M33" i="3" s="1"/>
  <c r="J31" i="3"/>
  <c r="K31" i="3" s="1"/>
  <c r="M31" i="3" s="1"/>
  <c r="Q31" i="9"/>
  <c r="Q29" i="9"/>
  <c r="Q30" i="9"/>
  <c r="Q28" i="9"/>
  <c r="Q27" i="9"/>
  <c r="Q32" i="9"/>
  <c r="Q26" i="9"/>
  <c r="G25" i="3"/>
  <c r="J23" i="3"/>
  <c r="K23" i="3" s="1"/>
  <c r="M23" i="3" s="1"/>
  <c r="G26" i="3"/>
  <c r="J22" i="3"/>
  <c r="K22" i="3" s="1"/>
  <c r="M22" i="3" s="1"/>
  <c r="J21" i="3"/>
  <c r="K21" i="3" s="1"/>
  <c r="M21" i="3" s="1"/>
  <c r="J26" i="3"/>
  <c r="K26" i="3" s="1"/>
  <c r="J25" i="3"/>
  <c r="K25" i="3" s="1"/>
  <c r="J20" i="3"/>
  <c r="K20" i="3" s="1"/>
  <c r="J24" i="3"/>
  <c r="K24" i="3" s="1"/>
  <c r="M24" i="3" s="1"/>
  <c r="K26" i="1"/>
  <c r="U26" i="9" a="1"/>
  <c r="L29" i="1"/>
  <c r="L31" i="1"/>
  <c r="L32" i="1"/>
  <c r="L27" i="1"/>
  <c r="L26" i="1"/>
  <c r="L30" i="1"/>
  <c r="L28" i="1"/>
  <c r="R26" i="9" l="1"/>
  <c r="U26" i="9"/>
  <c r="V26" i="9" s="1"/>
  <c r="Y26" i="9" s="1"/>
  <c r="M25" i="3"/>
  <c r="M26" i="3"/>
  <c r="N20" i="3"/>
  <c r="M20" i="3"/>
  <c r="M26" i="1"/>
  <c r="M30" i="1"/>
  <c r="O30" i="1" s="1"/>
  <c r="M28" i="1"/>
  <c r="O28" i="1" s="1"/>
  <c r="M32" i="1"/>
  <c r="O32" i="1" s="1"/>
  <c r="M27" i="1"/>
  <c r="M29" i="1"/>
  <c r="O29" i="1" s="1"/>
  <c r="M31" i="1"/>
  <c r="O31" i="1" s="1"/>
  <c r="Z41" i="9" l="1"/>
  <c r="Z40" i="9"/>
  <c r="Z35" i="9"/>
  <c r="Z38" i="9"/>
  <c r="Z33" i="9"/>
  <c r="Z39" i="9"/>
  <c r="Z36" i="9"/>
  <c r="Z37" i="9"/>
  <c r="Z34" i="9"/>
  <c r="O28" i="3"/>
  <c r="O29" i="3"/>
  <c r="O33" i="3"/>
  <c r="O32" i="3"/>
  <c r="O31" i="3"/>
  <c r="O35" i="3"/>
  <c r="O34" i="3"/>
  <c r="O30" i="3"/>
  <c r="O27" i="3"/>
  <c r="X26" i="9"/>
  <c r="P26" i="1"/>
  <c r="O24" i="3"/>
  <c r="O22" i="3"/>
  <c r="O21" i="3"/>
  <c r="O26" i="3"/>
  <c r="O25" i="3"/>
  <c r="O23" i="3"/>
  <c r="O20" i="3"/>
  <c r="O26" i="1"/>
  <c r="O27" i="1"/>
  <c r="Q41" i="1" l="1"/>
  <c r="Q34" i="1"/>
  <c r="Q38" i="1"/>
  <c r="Q33" i="1"/>
  <c r="Q39" i="1"/>
  <c r="Q40" i="1"/>
  <c r="Q35" i="1"/>
  <c r="Q37" i="1"/>
  <c r="Q36" i="1"/>
  <c r="Z32" i="9"/>
  <c r="Z27" i="9"/>
  <c r="Z30" i="9"/>
  <c r="Z31" i="9"/>
  <c r="Z28" i="9"/>
  <c r="Z29" i="9"/>
  <c r="Z26" i="9"/>
  <c r="P20" i="3"/>
  <c r="Q32" i="1"/>
  <c r="Q30" i="1"/>
  <c r="Q27" i="1"/>
  <c r="Q29" i="1"/>
  <c r="Q26" i="1"/>
  <c r="Q31" i="1"/>
  <c r="Q28" i="1"/>
  <c r="AA26" i="9" l="1"/>
  <c r="B12" i="9" s="1"/>
  <c r="R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<sst xmlns="http://schemas.openxmlformats.org/spreadsheetml/2006/main" count="60" uniqueCount="22">
  <si>
    <t>Dose</t>
  </si>
  <si>
    <t>I</t>
  </si>
  <si>
    <t>z</t>
  </si>
  <si>
    <t>w</t>
  </si>
  <si>
    <t>ABS(EX-THEOR)</t>
  </si>
  <si>
    <t>Afit</t>
  </si>
  <si>
    <t>fom</t>
  </si>
  <si>
    <t>fom(tot)</t>
  </si>
  <si>
    <t>R</t>
  </si>
  <si>
    <t>Dc</t>
  </si>
  <si>
    <t>I0</t>
  </si>
  <si>
    <t>Ith</t>
  </si>
  <si>
    <t>factors</t>
  </si>
  <si>
    <t>f(D) exp</t>
  </si>
  <si>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R</t>
    </r>
  </si>
  <si>
    <t>k</t>
  </si>
  <si>
    <t>f(D) theo</t>
  </si>
  <si>
    <t>ABS (EXP-Theo)</t>
  </si>
  <si>
    <t>FOM</t>
  </si>
  <si>
    <t>FOM%</t>
  </si>
  <si>
    <t>Fom Tot both</t>
  </si>
  <si>
    <t>g(D)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</si>
</sst>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1" xfId="0" applyBorder="1"/>
    <xf numFmtId="11" fontId="0" fillId="0" borderId="1" xfId="0" applyNumberFormat="1" applyBorder="1"/>
    <xf numFmtId="0" fontId="0" fillId="9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model'!$F$26:$F$1300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model'!$G$26:$G$1300</c:f>
              <c:numCache>
                <c:formatCode>General</c:formatCode>
                <c:ptCount val="1275"/>
                <c:pt idx="0">
                  <c:v>1.0456399999999999</c:v>
                </c:pt>
                <c:pt idx="1">
                  <c:v>1.8672200000000001</c:v>
                </c:pt>
                <c:pt idx="2">
                  <c:v>3.2116199999999999</c:v>
                </c:pt>
                <c:pt idx="3">
                  <c:v>5.0788399999999996</c:v>
                </c:pt>
                <c:pt idx="4">
                  <c:v>6.1244800000000001</c:v>
                </c:pt>
                <c:pt idx="5">
                  <c:v>7.1701199999999998</c:v>
                </c:pt>
                <c:pt idx="6">
                  <c:v>9.0373400000000004</c:v>
                </c:pt>
                <c:pt idx="7">
                  <c:v>10.0083</c:v>
                </c:pt>
                <c:pt idx="8">
                  <c:v>10.7552</c:v>
                </c:pt>
                <c:pt idx="9">
                  <c:v>11.4274</c:v>
                </c:pt>
                <c:pt idx="10">
                  <c:v>13.294600000000001</c:v>
                </c:pt>
                <c:pt idx="11" formatCode="0.00E+00">
                  <c:v>14.489599999999999</c:v>
                </c:pt>
                <c:pt idx="12" formatCode="0.00E+00">
                  <c:v>14.788399999999999</c:v>
                </c:pt>
                <c:pt idx="13" formatCode="0.00E+00">
                  <c:v>15.61</c:v>
                </c:pt>
                <c:pt idx="14" formatCode="0.00E+00">
                  <c:v>16.4315</c:v>
                </c:pt>
                <c:pt idx="15" formatCode="0.00E+00">
                  <c:v>17.029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A-4649-91E2-1A6E83B1FD9B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model'!$F$26:$F$1300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model'!$M$26:$M$1300</c:f>
              <c:numCache>
                <c:formatCode>General</c:formatCode>
                <c:ptCount val="1275"/>
                <c:pt idx="0">
                  <c:v>0.972006985260224</c:v>
                </c:pt>
                <c:pt idx="1">
                  <c:v>2.4895912933950619</c:v>
                </c:pt>
                <c:pt idx="2">
                  <c:v>2.5862355435699396</c:v>
                </c:pt>
                <c:pt idx="3">
                  <c:v>4.388504821538346</c:v>
                </c:pt>
                <c:pt idx="4">
                  <c:v>5.3592479145488792</c:v>
                </c:pt>
                <c:pt idx="5">
                  <c:v>6.9113855564065467</c:v>
                </c:pt>
                <c:pt idx="6">
                  <c:v>9.1560215830314</c:v>
                </c:pt>
                <c:pt idx="7">
                  <c:v>10.001985042445227</c:v>
                </c:pt>
                <c:pt idx="8">
                  <c:v>11.172409845839175</c:v>
                </c:pt>
                <c:pt idx="9">
                  <c:v>11.71971333807087</c:v>
                </c:pt>
                <c:pt idx="10">
                  <c:v>13.757224134995855</c:v>
                </c:pt>
                <c:pt idx="11">
                  <c:v>14.840012737858999</c:v>
                </c:pt>
                <c:pt idx="12">
                  <c:v>15.210157343853915</c:v>
                </c:pt>
                <c:pt idx="13">
                  <c:v>15.673247939131556</c:v>
                </c:pt>
                <c:pt idx="14">
                  <c:v>15.936640182920115</c:v>
                </c:pt>
                <c:pt idx="15">
                  <c:v>15.994513994081057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A-4649-91E2-1A6E83B1F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'f(D)'!$G$20:$G$163</c:f>
              <c:numCache>
                <c:formatCode>General</c:formatCode>
                <c:ptCount val="144"/>
                <c:pt idx="0">
                  <c:v>1</c:v>
                </c:pt>
                <c:pt idx="1">
                  <c:v>0.62142203401887408</c:v>
                </c:pt>
                <c:pt idx="2">
                  <c:v>1.0212834566964446</c:v>
                </c:pt>
                <c:pt idx="3">
                  <c:v>0.82590486614817937</c:v>
                </c:pt>
                <c:pt idx="4">
                  <c:v>0.75314472003551103</c:v>
                </c:pt>
                <c:pt idx="5">
                  <c:v>0.5981128287652927</c:v>
                </c:pt>
                <c:pt idx="6">
                  <c:v>0.45929255775319566</c:v>
                </c:pt>
                <c:pt idx="7">
                  <c:v>0.4254341291646051</c:v>
                </c:pt>
                <c:pt idx="8">
                  <c:v>0.356601569397342</c:v>
                </c:pt>
                <c:pt idx="9">
                  <c:v>0.3363230698053325</c:v>
                </c:pt>
                <c:pt idx="10">
                  <c:v>0.23860382361060925</c:v>
                </c:pt>
                <c:pt idx="11">
                  <c:v>0.1828047550096307</c:v>
                </c:pt>
                <c:pt idx="12">
                  <c:v>0.15842613593692192</c:v>
                </c:pt>
                <c:pt idx="13">
                  <c:v>0.12367401350958609</c:v>
                </c:pt>
                <c:pt idx="14">
                  <c:v>8.7339662971862964E-2</c:v>
                </c:pt>
                <c:pt idx="15">
                  <c:v>6.0614617647063732E-2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0-4A0E-80D5-64A26762356B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'f(D)'!$K$20:$K$163</c:f>
              <c:numCache>
                <c:formatCode>General</c:formatCode>
                <c:ptCount val="144"/>
                <c:pt idx="0">
                  <c:v>0.93994781768590963</c:v>
                </c:pt>
                <c:pt idx="1">
                  <c:v>0.84817099952848862</c:v>
                </c:pt>
                <c:pt idx="2">
                  <c:v>0.84242194504538603</c:v>
                </c:pt>
                <c:pt idx="3">
                  <c:v>0.73751715054255451</c:v>
                </c:pt>
                <c:pt idx="4">
                  <c:v>0.68286904809160043</c:v>
                </c:pt>
                <c:pt idx="5">
                  <c:v>0.59811282883556016</c:v>
                </c:pt>
                <c:pt idx="6">
                  <c:v>0.48052111061366704</c:v>
                </c:pt>
                <c:pt idx="7">
                  <c:v>0.43736082641144453</c:v>
                </c:pt>
                <c:pt idx="8">
                  <c:v>0.37819064964349841</c:v>
                </c:pt>
                <c:pt idx="9">
                  <c:v>0.35054931676044165</c:v>
                </c:pt>
                <c:pt idx="10">
                  <c:v>0.24482580218264272</c:v>
                </c:pt>
                <c:pt idx="11">
                  <c:v>0.18183467645953924</c:v>
                </c:pt>
                <c:pt idx="12">
                  <c:v>0.15679437452137582</c:v>
                </c:pt>
                <c:pt idx="13">
                  <c:v>0.11779494564402913</c:v>
                </c:pt>
                <c:pt idx="14">
                  <c:v>7.951124609938727E-2</c:v>
                </c:pt>
                <c:pt idx="15">
                  <c:v>5.3283158359337564E-2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50-4A0E-80D5-64A26762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3584"/>
        <c:axId val="230804000"/>
      </c:scatterChart>
      <c:valAx>
        <c:axId val="2308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4000"/>
        <c:crosses val="autoZero"/>
        <c:crossBetween val="midCat"/>
      </c:valAx>
      <c:valAx>
        <c:axId val="2308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'g(D)'!$E$4:$E$14</c:f>
              <c:numCache>
                <c:formatCode>General</c:formatCode>
                <c:ptCount val="11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'g(D)'!$J$4:$J$14</c:f>
              <c:numCache>
                <c:formatCode>General</c:formatCode>
                <c:ptCount val="11"/>
                <c:pt idx="0">
                  <c:v>0.76925298982579393</c:v>
                </c:pt>
                <c:pt idx="1">
                  <c:v>0.54925929049034483</c:v>
                </c:pt>
                <c:pt idx="2">
                  <c:v>0.14399043523149757</c:v>
                </c:pt>
                <c:pt idx="3">
                  <c:v>-0.31712663145842046</c:v>
                </c:pt>
                <c:pt idx="4">
                  <c:v>-1.1105954122814756</c:v>
                </c:pt>
                <c:pt idx="5">
                  <c:v>-2.943147854106289</c:v>
                </c:pt>
                <c:pt idx="6">
                  <c:v>-9.2337901889230558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C-46EB-B848-73802C4B5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533344"/>
        <c:axId val="1963531680"/>
      </c:scatterChart>
      <c:valAx>
        <c:axId val="196353334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1680"/>
        <c:crosses val="autoZero"/>
        <c:crossBetween val="midCat"/>
      </c:valAx>
      <c:valAx>
        <c:axId val="19635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OTOR</a:t>
            </a:r>
            <a:r>
              <a:rPr lang="en-US" baseline="0"/>
              <a:t> 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and f(D)'!$F$26:$F$1300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f(D)'!$G$26:$G$1300</c:f>
              <c:numCache>
                <c:formatCode>General</c:formatCode>
                <c:ptCount val="1275"/>
                <c:pt idx="0">
                  <c:v>1.0456399999999999</c:v>
                </c:pt>
                <c:pt idx="1">
                  <c:v>1.8672200000000001</c:v>
                </c:pt>
                <c:pt idx="2">
                  <c:v>3.2116199999999999</c:v>
                </c:pt>
                <c:pt idx="3">
                  <c:v>5.0788399999999996</c:v>
                </c:pt>
                <c:pt idx="4">
                  <c:v>6.1244800000000001</c:v>
                </c:pt>
                <c:pt idx="5">
                  <c:v>7.1701199999999998</c:v>
                </c:pt>
                <c:pt idx="6">
                  <c:v>9.0373400000000004</c:v>
                </c:pt>
                <c:pt idx="7">
                  <c:v>10.0083</c:v>
                </c:pt>
                <c:pt idx="8">
                  <c:v>10.7552</c:v>
                </c:pt>
                <c:pt idx="9">
                  <c:v>11.4274</c:v>
                </c:pt>
                <c:pt idx="10">
                  <c:v>13.294600000000001</c:v>
                </c:pt>
                <c:pt idx="11" formatCode="0.00E+00">
                  <c:v>14.489599999999999</c:v>
                </c:pt>
                <c:pt idx="12" formatCode="0.00E+00">
                  <c:v>14.788399999999999</c:v>
                </c:pt>
                <c:pt idx="13" formatCode="0.00E+00">
                  <c:v>15.61</c:v>
                </c:pt>
                <c:pt idx="14" formatCode="0.00E+00">
                  <c:v>16.4315</c:v>
                </c:pt>
                <c:pt idx="15" formatCode="0.00E+00">
                  <c:v>17.029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9-4E75-B7EC-F8653488986F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and f(D)'!$F$26:$F$1300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f(D)'!$M$26:$M$1300</c:f>
              <c:numCache>
                <c:formatCode>General</c:formatCode>
                <c:ptCount val="1275"/>
                <c:pt idx="0">
                  <c:v>0.96809387555900106</c:v>
                </c:pt>
                <c:pt idx="1">
                  <c:v>2.4795686865722764</c:v>
                </c:pt>
                <c:pt idx="2">
                  <c:v>2.5758238659290824</c:v>
                </c:pt>
                <c:pt idx="3">
                  <c:v>4.3708375608587042</c:v>
                </c:pt>
                <c:pt idx="4">
                  <c:v>5.3376726323506087</c:v>
                </c:pt>
                <c:pt idx="5">
                  <c:v>6.8835616721343307</c:v>
                </c:pt>
                <c:pt idx="6">
                  <c:v>9.1191612338523509</c:v>
                </c:pt>
                <c:pt idx="7">
                  <c:v>9.9617190101074033</c:v>
                </c:pt>
                <c:pt idx="8">
                  <c:v>11.127431912535448</c:v>
                </c:pt>
                <c:pt idx="9">
                  <c:v>11.672532068127136</c:v>
                </c:pt>
                <c:pt idx="10">
                  <c:v>13.701840245743107</c:v>
                </c:pt>
                <c:pt idx="11">
                  <c:v>14.780269753815277</c:v>
                </c:pt>
                <c:pt idx="12">
                  <c:v>15.148924230139791</c:v>
                </c:pt>
                <c:pt idx="13">
                  <c:v>15.610150513402802</c:v>
                </c:pt>
                <c:pt idx="14">
                  <c:v>15.872482391617837</c:v>
                </c:pt>
                <c:pt idx="15">
                  <c:v>15.930123214152836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E9-4E75-B7EC-F86534889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 (D)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'OTOR and f(D)'!$F$26:$F$41</c:f>
              <c:numCache>
                <c:formatCode>General</c:formatCode>
                <c:ptCount val="16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f(D)'!$H$26:$H$41</c:f>
              <c:numCache>
                <c:formatCode>General</c:formatCode>
                <c:ptCount val="16"/>
                <c:pt idx="0">
                  <c:v>1</c:v>
                </c:pt>
                <c:pt idx="1">
                  <c:v>0.62142203401887408</c:v>
                </c:pt>
                <c:pt idx="2">
                  <c:v>1.0212834566964446</c:v>
                </c:pt>
                <c:pt idx="3">
                  <c:v>0.82590486614817937</c:v>
                </c:pt>
                <c:pt idx="4">
                  <c:v>0.75314472003551103</c:v>
                </c:pt>
                <c:pt idx="5">
                  <c:v>0.5981128287652927</c:v>
                </c:pt>
                <c:pt idx="6">
                  <c:v>0.45929255775319566</c:v>
                </c:pt>
                <c:pt idx="7">
                  <c:v>0.4254341291646051</c:v>
                </c:pt>
                <c:pt idx="8">
                  <c:v>0.356601569397342</c:v>
                </c:pt>
                <c:pt idx="9">
                  <c:v>0.3363230698053325</c:v>
                </c:pt>
                <c:pt idx="10">
                  <c:v>0.23860382361060925</c:v>
                </c:pt>
                <c:pt idx="11">
                  <c:v>0.1828047550096307</c:v>
                </c:pt>
                <c:pt idx="12">
                  <c:v>0.15842613593692192</c:v>
                </c:pt>
                <c:pt idx="13">
                  <c:v>0.12367401350958609</c:v>
                </c:pt>
                <c:pt idx="14">
                  <c:v>8.7339662971862964E-2</c:v>
                </c:pt>
                <c:pt idx="15">
                  <c:v>6.0614617647063732E-2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26-4C2F-909D-B23024390C17}"/>
            </c:ext>
          </c:extLst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'OTOR and f(D)'!$F$26:$F$41</c:f>
              <c:numCache>
                <c:formatCode>General</c:formatCode>
                <c:ptCount val="16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f(D)'!$V$26:$V$41</c:f>
              <c:numCache>
                <c:formatCode>General</c:formatCode>
                <c:ptCount val="16"/>
                <c:pt idx="0">
                  <c:v>0.93015829849678366</c:v>
                </c:pt>
                <c:pt idx="1">
                  <c:v>0.8290655734105975</c:v>
                </c:pt>
                <c:pt idx="2">
                  <c:v>0.82292430017517471</c:v>
                </c:pt>
                <c:pt idx="3">
                  <c:v>0.71408800977002806</c:v>
                </c:pt>
                <c:pt idx="4">
                  <c:v>0.65945130214536452</c:v>
                </c:pt>
                <c:pt idx="5">
                  <c:v>0.57688796920125096</c:v>
                </c:pt>
                <c:pt idx="6">
                  <c:v>0.46561317651804535</c:v>
                </c:pt>
                <c:pt idx="7">
                  <c:v>0.42542977322284414</c:v>
                </c:pt>
                <c:pt idx="8">
                  <c:v>0.37066474904933316</c:v>
                </c:pt>
                <c:pt idx="9">
                  <c:v>0.34514046941229221</c:v>
                </c:pt>
                <c:pt idx="10">
                  <c:v>0.24706009511315349</c:v>
                </c:pt>
                <c:pt idx="11">
                  <c:v>0.18734194847614016</c:v>
                </c:pt>
                <c:pt idx="12">
                  <c:v>0.16304557435752681</c:v>
                </c:pt>
                <c:pt idx="13">
                  <c:v>0.12425223894112891</c:v>
                </c:pt>
                <c:pt idx="14">
                  <c:v>8.4761910175933611E-2</c:v>
                </c:pt>
                <c:pt idx="15">
                  <c:v>5.6967733388269812E-2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26-4C2F-909D-B23024390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065088"/>
        <c:axId val="459063008"/>
      </c:scatterChart>
      <c:valAx>
        <c:axId val="45906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3008"/>
        <c:crosses val="autoZero"/>
        <c:crossBetween val="midCat"/>
      </c:valAx>
      <c:valAx>
        <c:axId val="45906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437589</xdr:colOff>
      <xdr:row>0</xdr:row>
      <xdr:rowOff>89982</xdr:rowOff>
    </xdr:from>
    <xdr:to>
      <xdr:col>15</xdr:col>
      <xdr:colOff>657225</xdr:colOff>
      <xdr:row>22</xdr:row>
      <xdr:rowOff>152400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0</xdr:row>
      <xdr:rowOff>104775</xdr:rowOff>
    </xdr:from>
    <xdr:to>
      <xdr:col>3</xdr:col>
      <xdr:colOff>838201</xdr:colOff>
      <xdr:row>12</xdr:row>
      <xdr:rowOff>142874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CF593F22-2830-4967-840E-89E0F8E30294}"/>
                </a:ext>
              </a:extLst>
            </xdr:cNvPr>
            <xdr:cNvSpPr txBox="1"/>
          </xdr:nvSpPr>
          <xdr:spPr>
            <a:xfrm>
              <a:off x="133350" y="104775"/>
              <a:ext cx="3209926" cy="2324099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OTOR</a:t>
              </a:r>
              <a:endParaRPr lang="en-US" sz="1100" b="1" u="sng" baseline="0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𝑅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𝑚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𝑐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𝑛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1−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𝑅</m:t>
                        </m:r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𝑛</m:t>
                        </m:r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</m:d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=1+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𝑊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e>
                            </m:d>
                            <m:func>
                              <m:func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sz="1100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exp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−1−</m:t>
                                    </m:r>
                                    <m:f>
                                      <m:fPr>
                                        <m:ctrlP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</m:e>
                                          <m:sub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  <m:t>𝑐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</m:func>
                          </m:e>
                        </m:d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1−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𝐼</m:t>
                        </m:r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𝑁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/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𝑅</m:t>
                    </m:r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ctr"/>
              <a:r>
                <a:rPr lang="en-US" sz="1100" b="1" u="none"/>
                <a:t>z= </a:t>
              </a:r>
              <a14:m>
                <m:oMath xmlns:m="http://schemas.openxmlformats.org/officeDocument/2006/math">
                  <m:d>
                    <m:d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𝑅</m:t>
                      </m:r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−1</m:t>
                      </m:r>
                    </m:e>
                  </m:d>
                  <m:func>
                    <m:func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10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exp</m:t>
                      </m:r>
                    </m:fName>
                    <m:e>
                      <m:d>
                        <m:dPr>
                          <m:ctrlP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𝑅</m:t>
                          </m:r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−1−</m:t>
                          </m:r>
                          <m:f>
                            <m:fPr>
                              <m:ctrlP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m:t>𝐷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+mn-lt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+mn-lt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+mn-lt"/>
                                      <a:ea typeface="+mn-ea"/>
                                      <a:cs typeface="+mn-cs"/>
                                    </a:rPr>
                                    <m:t>𝑐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el-GR" sz="1100" b="1" u="none"/>
            </a:p>
          </xdr:txBody>
        </xdr:sp>
      </mc:Choice>
      <mc:Fallback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CF593F22-2830-4967-840E-89E0F8E30294}"/>
                </a:ext>
              </a:extLst>
            </xdr:cNvPr>
            <xdr:cNvSpPr txBox="1"/>
          </xdr:nvSpPr>
          <xdr:spPr>
            <a:xfrm>
              <a:off x="133350" y="104775"/>
              <a:ext cx="3209926" cy="2324099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OTOR</a:t>
              </a:r>
              <a:endParaRPr lang="en-US" sz="1100" b="1" u="sng" baseline="0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𝑅=𝐴_𝑛/𝐴_𝑚 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𝑐=𝑛/𝑁_0   (1−𝑅)/𝑅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𝑛(𝐷)/𝑁=1+𝑊[(𝑅−1)  exp⁡(𝑅−1−𝐷/𝐷_𝑐 ) ]/(1−𝑅)=𝐼(𝐷)/𝐼_0 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𝐷_𝑐=𝑁/𝑅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(𝑛(𝐷))/𝑁=(𝐼(𝐷))/𝐼_0 </a:t>
              </a:r>
              <a:endParaRPr lang="en-US" sz="1100" b="1" u="none"/>
            </a:p>
            <a:p>
              <a:pPr algn="ctr"/>
              <a:r>
                <a:rPr lang="en-US" sz="1100" b="1" u="none"/>
                <a:t>z=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(𝑅−1)  exp⁡(𝑅−1−𝐷/𝐷_𝑐 )</a:t>
              </a:r>
              <a:endParaRPr lang="el-GR" sz="1100" b="1" u="none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2</xdr:row>
      <xdr:rowOff>30480</xdr:rowOff>
    </xdr:from>
    <xdr:to>
      <xdr:col>4</xdr:col>
      <xdr:colOff>30480</xdr:colOff>
      <xdr:row>7</xdr:row>
      <xdr:rowOff>99060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9A77BA1E-D8C2-4E88-A26F-8C6E15A6AB2F}"/>
            </a:ext>
          </a:extLst>
        </xdr:cNvPr>
        <xdr:cNvSpPr txBox="1"/>
      </xdr:nvSpPr>
      <xdr:spPr>
        <a:xfrm>
          <a:off x="266700" y="396240"/>
          <a:ext cx="241554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OTOR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f(D)=1/kD[1-(W(z1)/(R-1))]</a:t>
          </a:r>
        </a:p>
        <a:p>
          <a:pPr algn="l"/>
          <a:r>
            <a:rPr lang="en-US" sz="1100" b="1" u="none" baseline="0"/>
            <a:t>k=1/((R-1)Dc)*W[ZR]/(1+W[ZR])</a:t>
          </a:r>
        </a:p>
        <a:p>
          <a:pPr algn="l"/>
          <a:r>
            <a:rPr lang="en-US" sz="1100" b="1" u="none" baseline="0"/>
            <a:t>z1=zRexp(-D/Dc)</a:t>
          </a:r>
        </a:p>
        <a:p>
          <a:pPr algn="l"/>
          <a:r>
            <a:rPr lang="en-US" sz="1100" b="1" u="none" baseline="0"/>
            <a:t>zR=(R-1)exp(R-1)</a:t>
          </a:r>
          <a:endParaRPr lang="el-GR" sz="1100" b="1" u="none"/>
        </a:p>
      </xdr:txBody>
    </xdr:sp>
    <xdr:clientData/>
  </xdr:twoCellAnchor>
  <xdr:twoCellAnchor>
    <xdr:from>
      <xdr:col>6</xdr:col>
      <xdr:colOff>480060</xdr:colOff>
      <xdr:row>0</xdr:row>
      <xdr:rowOff>0</xdr:rowOff>
    </xdr:from>
    <xdr:to>
      <xdr:col>14</xdr:col>
      <xdr:colOff>106680</xdr:colOff>
      <xdr:row>17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C73F05-6A17-4C16-AE99-625CC583B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495299</xdr:colOff>
      <xdr:row>1</xdr:row>
      <xdr:rowOff>128587</xdr:rowOff>
    </xdr:from>
    <xdr:to>
      <xdr:col>21</xdr:col>
      <xdr:colOff>504824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FB873E-00E1-4EEA-98AC-1246A7983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285189</xdr:colOff>
      <xdr:row>0</xdr:row>
      <xdr:rowOff>70932</xdr:rowOff>
    </xdr:from>
    <xdr:to>
      <xdr:col>14</xdr:col>
      <xdr:colOff>57150</xdr:colOff>
      <xdr:row>22</xdr:row>
      <xdr:rowOff>133350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750B3DBC-0F61-498C-A4C5-5E3F45B89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219075</xdr:colOff>
      <xdr:row>0</xdr:row>
      <xdr:rowOff>33336</xdr:rowOff>
    </xdr:from>
    <xdr:to>
      <xdr:col>24</xdr:col>
      <xdr:colOff>28576</xdr:colOff>
      <xdr:row>22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CE99B1-719E-458E-8912-EC2500BB4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B6:R72"/>
  <sheetViews>
    <sheetView tabSelected="1" zoomScaleNormal="100" workbookViewId="0">
      <selection activeCell="F7" sqref="F7"/>
    </sheetView>
  </sheetViews>
  <sheetFormatPr defaultRowHeight="15" x14ac:dyDescent="0.25"/>
  <cols>
    <col min="2" max="2" width="12" bestFit="1" customWidth="1"/>
    <col min="3" max="3" width="16.42578125" customWidth="1"/>
    <col min="4" max="4" width="15.85546875" customWidth="1"/>
    <col min="7" max="7" width="17.85546875" customWidth="1"/>
    <col min="16" max="16" width="10.140625" customWidth="1"/>
    <col min="18" max="18" width="12" bestFit="1" customWidth="1"/>
  </cols>
  <sheetData>
    <row r="6" spans="3:8" x14ac:dyDescent="0.25">
      <c r="E6" s="9"/>
      <c r="F6" s="9"/>
      <c r="G6" s="9"/>
      <c r="H6" s="9"/>
    </row>
    <row r="8" spans="3:8" x14ac:dyDescent="0.25">
      <c r="D8" s="2"/>
      <c r="E8" s="2"/>
      <c r="G8" s="2"/>
    </row>
    <row r="9" spans="3:8" x14ac:dyDescent="0.25">
      <c r="D9" s="2"/>
      <c r="E9" s="2"/>
      <c r="G9" s="2"/>
    </row>
    <row r="10" spans="3:8" x14ac:dyDescent="0.25">
      <c r="D10" s="2"/>
      <c r="E10" s="2"/>
      <c r="G10" s="2"/>
    </row>
    <row r="11" spans="3:8" x14ac:dyDescent="0.25">
      <c r="D11" s="2"/>
      <c r="E11" s="2"/>
      <c r="G11" s="2"/>
    </row>
    <row r="12" spans="3:8" x14ac:dyDescent="0.25">
      <c r="C12" s="2"/>
      <c r="D12" s="2"/>
      <c r="E12" s="2"/>
      <c r="G12" s="2"/>
    </row>
    <row r="13" spans="3:8" x14ac:dyDescent="0.25">
      <c r="D13" s="2"/>
      <c r="E13" s="2"/>
      <c r="G13" s="2"/>
    </row>
    <row r="14" spans="3:8" x14ac:dyDescent="0.25">
      <c r="C14" s="2"/>
      <c r="D14" s="2"/>
      <c r="E14" s="2"/>
      <c r="G14" s="2"/>
    </row>
    <row r="15" spans="3:8" x14ac:dyDescent="0.25">
      <c r="D15" s="2"/>
      <c r="E15" s="2"/>
      <c r="G15" s="2"/>
    </row>
    <row r="16" spans="3:8" x14ac:dyDescent="0.25">
      <c r="D16" s="2"/>
      <c r="E16" s="2"/>
      <c r="G16" s="2"/>
    </row>
    <row r="17" spans="2:18" x14ac:dyDescent="0.25">
      <c r="D17" s="2"/>
      <c r="E17" s="2"/>
      <c r="G17" s="2"/>
    </row>
    <row r="18" spans="2:18" x14ac:dyDescent="0.25">
      <c r="B18" s="5" t="s">
        <v>12</v>
      </c>
      <c r="C18" s="6" t="s">
        <v>8</v>
      </c>
      <c r="D18" s="3"/>
      <c r="E18" s="2"/>
      <c r="G18" s="2"/>
    </row>
    <row r="19" spans="2:18" x14ac:dyDescent="0.25">
      <c r="B19" s="5"/>
      <c r="C19" s="2">
        <v>0.42170869801948008</v>
      </c>
      <c r="D19" s="3"/>
      <c r="E19" s="2"/>
      <c r="G19" s="2"/>
    </row>
    <row r="20" spans="2:18" x14ac:dyDescent="0.25">
      <c r="B20" s="5"/>
      <c r="C20" s="7" t="s">
        <v>9</v>
      </c>
      <c r="D20" s="3"/>
      <c r="E20" s="2"/>
      <c r="G20" s="2"/>
    </row>
    <row r="21" spans="2:18" x14ac:dyDescent="0.25">
      <c r="B21" s="5">
        <v>1000</v>
      </c>
      <c r="C21" s="2">
        <v>0.81595389006110064</v>
      </c>
      <c r="D21" s="3"/>
      <c r="E21" s="2"/>
      <c r="G21" s="2"/>
    </row>
    <row r="22" spans="2:18" x14ac:dyDescent="0.25">
      <c r="B22" s="5"/>
      <c r="C22" s="8" t="s">
        <v>10</v>
      </c>
      <c r="D22" s="3"/>
      <c r="E22" s="2"/>
      <c r="G22" s="2"/>
    </row>
    <row r="23" spans="2:18" x14ac:dyDescent="0.25">
      <c r="B23" s="5">
        <v>10</v>
      </c>
      <c r="C23" s="2">
        <v>1.6</v>
      </c>
      <c r="D23" s="1"/>
      <c r="E23" s="2"/>
      <c r="G23" s="2"/>
    </row>
    <row r="25" spans="2:18" x14ac:dyDescent="0.25">
      <c r="F25" s="4" t="s">
        <v>0</v>
      </c>
      <c r="G25" s="4" t="s">
        <v>1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</row>
    <row r="26" spans="2:18" x14ac:dyDescent="0.25">
      <c r="F26" s="2">
        <v>22.473500000000001</v>
      </c>
      <c r="G26" s="2">
        <v>1.0456399999999999</v>
      </c>
      <c r="K26" s="5">
        <f t="shared" ref="K26:K32" si="0">($C$19-1)*EXP($C$19-1)*EXP(-F26/($C$21*$B$21))</f>
        <v>-0.31552685970235483</v>
      </c>
      <c r="L26" s="5">
        <f>lmb_1_0(K26)</f>
        <v>-0.54315985291550151</v>
      </c>
      <c r="M26" s="5">
        <f>$C$23*B$23*(1-L26/($C$19-1))</f>
        <v>0.972006985260224</v>
      </c>
      <c r="N26" s="5"/>
      <c r="O26" s="5">
        <f t="shared" ref="O26:O32" si="1">ABS(M26-G26)</f>
        <v>7.3633014739775904E-2</v>
      </c>
      <c r="P26" s="5">
        <f>SUM(M26:M55)</f>
        <v>156.16889825694716</v>
      </c>
      <c r="Q26" s="5">
        <f t="shared" ref="Q26:Q32" si="2">O26/$P$26</f>
        <v>4.7149602489111718E-4</v>
      </c>
      <c r="R26" s="5">
        <f>SUM(Q26:Q55)*100</f>
        <v>4.2886888811796773</v>
      </c>
    </row>
    <row r="27" spans="2:18" x14ac:dyDescent="0.25">
      <c r="F27" s="2">
        <v>64.579899999999995</v>
      </c>
      <c r="G27" s="2">
        <v>1.8672200000000001</v>
      </c>
      <c r="K27" s="5">
        <f t="shared" si="0"/>
        <v>-0.29965742806465434</v>
      </c>
      <c r="L27" s="5">
        <f t="shared" ref="L27:L32" si="3">lmb_1_0(K27)</f>
        <v>-0.48830949007697011</v>
      </c>
      <c r="M27" s="5">
        <f t="shared" ref="M27:M32" si="4">$C$23*B$23*(1-L27/($C$19-1))</f>
        <v>2.4895912933950619</v>
      </c>
      <c r="N27" s="5"/>
      <c r="O27" s="5">
        <f t="shared" si="1"/>
        <v>0.62237129339506181</v>
      </c>
      <c r="P27" s="5"/>
      <c r="Q27" s="5">
        <f t="shared" si="2"/>
        <v>3.9852448236592187E-3</v>
      </c>
      <c r="R27" s="5"/>
    </row>
    <row r="28" spans="2:18" x14ac:dyDescent="0.25">
      <c r="F28" s="2">
        <v>67.587500000000006</v>
      </c>
      <c r="G28" s="2">
        <v>3.2116199999999999</v>
      </c>
      <c r="K28" s="5">
        <f t="shared" si="0"/>
        <v>-0.29855492615773255</v>
      </c>
      <c r="L28" s="5">
        <f t="shared" si="3"/>
        <v>-0.48481645699806003</v>
      </c>
      <c r="M28" s="5">
        <f t="shared" si="4"/>
        <v>2.5862355435699396</v>
      </c>
      <c r="N28" s="5"/>
      <c r="O28" s="5">
        <f t="shared" si="1"/>
        <v>0.62538445643006035</v>
      </c>
      <c r="P28" s="5"/>
      <c r="Q28" s="5">
        <f t="shared" si="2"/>
        <v>4.0045390817901871E-3</v>
      </c>
      <c r="R28" s="5"/>
    </row>
    <row r="29" spans="2:18" x14ac:dyDescent="0.25">
      <c r="F29" s="2">
        <v>132.167</v>
      </c>
      <c r="G29" s="2">
        <v>5.0788399999999996</v>
      </c>
      <c r="K29" s="5">
        <f t="shared" si="0"/>
        <v>-0.2758363918198794</v>
      </c>
      <c r="L29" s="5">
        <f t="shared" si="3"/>
        <v>-0.41967666654331998</v>
      </c>
      <c r="M29" s="5">
        <f t="shared" si="4"/>
        <v>4.388504821538346</v>
      </c>
      <c r="N29" s="5"/>
      <c r="O29" s="5">
        <f t="shared" si="1"/>
        <v>0.6903351784616536</v>
      </c>
      <c r="P29" s="5"/>
      <c r="Q29" s="5">
        <f t="shared" si="2"/>
        <v>4.4204395764247126E-3</v>
      </c>
      <c r="R29" s="5"/>
    </row>
    <row r="30" spans="2:18" x14ac:dyDescent="0.25">
      <c r="F30" s="2">
        <v>174.77500000000001</v>
      </c>
      <c r="G30" s="2">
        <v>6.1244800000000001</v>
      </c>
      <c r="K30" s="5">
        <f t="shared" si="0"/>
        <v>-0.26180220337227278</v>
      </c>
      <c r="L30" s="5">
        <f t="shared" si="3"/>
        <v>-0.38459089859671636</v>
      </c>
      <c r="M30" s="5">
        <f t="shared" si="4"/>
        <v>5.3592479145488792</v>
      </c>
      <c r="N30" s="5"/>
      <c r="O30" s="5">
        <f t="shared" si="1"/>
        <v>0.76523208545112098</v>
      </c>
      <c r="P30" s="5"/>
      <c r="Q30" s="5">
        <f t="shared" si="2"/>
        <v>4.900028712452543E-3</v>
      </c>
      <c r="R30" s="5"/>
    </row>
    <row r="31" spans="2:18" x14ac:dyDescent="0.25">
      <c r="F31" s="2">
        <v>257.65100000000001</v>
      </c>
      <c r="G31" s="2">
        <v>7.1701199999999998</v>
      </c>
      <c r="K31" s="5">
        <f t="shared" si="0"/>
        <v>-0.23651693326040979</v>
      </c>
      <c r="L31" s="5">
        <f t="shared" si="3"/>
        <v>-0.32849166748653852</v>
      </c>
      <c r="M31" s="5">
        <f t="shared" si="4"/>
        <v>6.9113855564065467</v>
      </c>
      <c r="N31" s="5"/>
      <c r="O31" s="5">
        <f t="shared" si="1"/>
        <v>0.2587344435934531</v>
      </c>
      <c r="P31" s="5"/>
      <c r="Q31" s="5">
        <f t="shared" si="2"/>
        <v>1.6567603823890288E-3</v>
      </c>
      <c r="R31" s="5"/>
    </row>
    <row r="32" spans="2:18" x14ac:dyDescent="0.25">
      <c r="F32" s="2">
        <v>422.90199999999999</v>
      </c>
      <c r="G32" s="2">
        <v>9.0373400000000004</v>
      </c>
      <c r="K32" s="5">
        <f t="shared" si="0"/>
        <v>-0.19315536793366103</v>
      </c>
      <c r="L32" s="5">
        <f t="shared" si="3"/>
        <v>-0.24736332434220934</v>
      </c>
      <c r="M32" s="5">
        <f t="shared" si="4"/>
        <v>9.1560215830314</v>
      </c>
      <c r="N32" s="5"/>
      <c r="O32" s="5">
        <f t="shared" si="1"/>
        <v>0.11868158303139964</v>
      </c>
      <c r="P32" s="5"/>
      <c r="Q32" s="5">
        <f t="shared" si="2"/>
        <v>7.599565877459861E-4</v>
      </c>
      <c r="R32" s="5"/>
    </row>
    <row r="33" spans="3:18" x14ac:dyDescent="0.25">
      <c r="F33" s="2">
        <v>505.61099999999999</v>
      </c>
      <c r="G33" s="2">
        <v>10.0083</v>
      </c>
      <c r="K33" s="5">
        <f t="shared" ref="K33:K41" si="5">($C$19-1)*EXP($C$19-1)*EXP(-F33/($C$21*$B$21))</f>
        <v>-0.17453583588184171</v>
      </c>
      <c r="L33" s="5">
        <f t="shared" ref="L33:L41" si="6">lmb_1_0(K33)</f>
        <v>-0.21678749244393641</v>
      </c>
      <c r="M33" s="5">
        <f t="shared" ref="M33:M41" si="7">$C$23*B$23*(1-L33/($C$19-1))</f>
        <v>10.001985042445227</v>
      </c>
      <c r="N33" s="5"/>
      <c r="O33" s="5">
        <f t="shared" ref="O33:O41" si="8">ABS(M33-G33)</f>
        <v>6.3149575547729597E-3</v>
      </c>
      <c r="P33" s="5"/>
      <c r="Q33" s="5">
        <f t="shared" ref="Q33:Q41" si="9">O33/$P$26</f>
        <v>4.0436717075271032E-5</v>
      </c>
      <c r="R33" s="5"/>
    </row>
    <row r="34" spans="3:18" x14ac:dyDescent="0.25">
      <c r="F34" s="2">
        <v>648.22199999999998</v>
      </c>
      <c r="G34" s="2">
        <v>10.7552</v>
      </c>
      <c r="K34" s="5">
        <f t="shared" si="5"/>
        <v>-0.1465478249246413</v>
      </c>
      <c r="L34" s="5">
        <f t="shared" si="6"/>
        <v>-0.17448458722987517</v>
      </c>
      <c r="M34" s="5">
        <f t="shared" si="7"/>
        <v>11.172409845839175</v>
      </c>
      <c r="N34" s="5"/>
      <c r="O34" s="5">
        <f t="shared" si="8"/>
        <v>0.41720984583917442</v>
      </c>
      <c r="P34" s="5"/>
      <c r="Q34" s="5">
        <f t="shared" si="9"/>
        <v>2.6715296739350269E-3</v>
      </c>
      <c r="R34" s="5"/>
    </row>
    <row r="35" spans="3:18" x14ac:dyDescent="0.25">
      <c r="F35" s="2">
        <v>730.26300000000003</v>
      </c>
      <c r="G35" s="2">
        <v>11.4274</v>
      </c>
      <c r="K35" s="5">
        <f t="shared" si="5"/>
        <v>-0.13252955834778329</v>
      </c>
      <c r="L35" s="5">
        <f t="shared" si="6"/>
        <v>-0.15470328416105314</v>
      </c>
      <c r="M35" s="5">
        <f t="shared" si="7"/>
        <v>11.71971333807087</v>
      </c>
      <c r="N35" s="5"/>
      <c r="O35" s="5">
        <f t="shared" si="8"/>
        <v>0.29231333807086912</v>
      </c>
      <c r="P35" s="5"/>
      <c r="Q35" s="5">
        <f t="shared" si="9"/>
        <v>1.8717769116224497E-3</v>
      </c>
      <c r="R35" s="5"/>
    </row>
    <row r="36" spans="3:18" x14ac:dyDescent="0.25">
      <c r="C36" s="2"/>
      <c r="F36" s="2">
        <v>1197.53</v>
      </c>
      <c r="G36" s="2">
        <v>13.294600000000001</v>
      </c>
      <c r="K36" s="5">
        <f t="shared" si="5"/>
        <v>-7.474947697911466E-2</v>
      </c>
      <c r="L36" s="5">
        <f t="shared" si="6"/>
        <v>-8.1061110938983313E-2</v>
      </c>
      <c r="M36" s="5">
        <f t="shared" si="7"/>
        <v>13.757224134995855</v>
      </c>
      <c r="N36" s="5"/>
      <c r="O36" s="5">
        <f t="shared" si="8"/>
        <v>0.46262413499585442</v>
      </c>
      <c r="P36" s="5"/>
      <c r="Q36" s="5">
        <f t="shared" si="9"/>
        <v>2.9623320658553384E-3</v>
      </c>
      <c r="R36" s="5"/>
    </row>
    <row r="37" spans="3:18" x14ac:dyDescent="0.25">
      <c r="C37" s="2"/>
      <c r="F37" s="15">
        <v>1703.56</v>
      </c>
      <c r="G37" s="16">
        <v>14.489599999999999</v>
      </c>
      <c r="K37" s="5">
        <f t="shared" si="5"/>
        <v>-4.0204236163704971E-2</v>
      </c>
      <c r="L37" s="5">
        <f t="shared" si="6"/>
        <v>-4.1925659006521183E-2</v>
      </c>
      <c r="M37" s="5">
        <f t="shared" si="7"/>
        <v>14.840012737858999</v>
      </c>
      <c r="N37" s="5"/>
      <c r="O37" s="5">
        <f t="shared" si="8"/>
        <v>0.35041273785899918</v>
      </c>
      <c r="P37" s="5"/>
      <c r="Q37" s="5">
        <f t="shared" si="9"/>
        <v>2.2438061724842262E-3</v>
      </c>
      <c r="R37" s="5"/>
    </row>
    <row r="38" spans="3:18" x14ac:dyDescent="0.25">
      <c r="F38" s="15">
        <v>2006.24</v>
      </c>
      <c r="G38" s="16">
        <v>14.788399999999999</v>
      </c>
      <c r="K38" s="5">
        <f t="shared" si="5"/>
        <v>-2.7744012002776652E-2</v>
      </c>
      <c r="L38" s="5">
        <f t="shared" si="6"/>
        <v>-2.8547446123904471E-2</v>
      </c>
      <c r="M38" s="5">
        <f t="shared" si="7"/>
        <v>15.210157343853915</v>
      </c>
      <c r="N38" s="5"/>
      <c r="O38" s="5">
        <f t="shared" si="8"/>
        <v>0.4217573438539155</v>
      </c>
      <c r="P38" s="5"/>
      <c r="Q38" s="5">
        <f t="shared" si="9"/>
        <v>2.7006487755327022E-3</v>
      </c>
      <c r="R38" s="5"/>
    </row>
    <row r="39" spans="3:18" x14ac:dyDescent="0.25">
      <c r="F39" s="15">
        <v>2712.77</v>
      </c>
      <c r="G39" s="16">
        <v>15.61</v>
      </c>
      <c r="K39" s="5">
        <f t="shared" si="5"/>
        <v>-1.1671214552489305E-2</v>
      </c>
      <c r="L39" s="5">
        <f t="shared" si="6"/>
        <v>-1.1809867169026871E-2</v>
      </c>
      <c r="M39" s="5">
        <f t="shared" si="7"/>
        <v>15.673247939131556</v>
      </c>
      <c r="N39" s="5"/>
      <c r="O39" s="5">
        <f t="shared" si="8"/>
        <v>6.3247939131557018E-2</v>
      </c>
      <c r="P39" s="5"/>
      <c r="Q39" s="5">
        <f t="shared" si="9"/>
        <v>4.0499702461558115E-4</v>
      </c>
      <c r="R39" s="5"/>
    </row>
    <row r="40" spans="3:18" x14ac:dyDescent="0.25">
      <c r="F40" s="15">
        <v>4043.47</v>
      </c>
      <c r="G40" s="16">
        <v>16.4315</v>
      </c>
      <c r="K40" s="5">
        <f t="shared" si="5"/>
        <v>-2.2847887212421392E-3</v>
      </c>
      <c r="L40" s="5">
        <f t="shared" si="6"/>
        <v>-2.2900269445233538E-3</v>
      </c>
      <c r="M40" s="5">
        <f t="shared" si="7"/>
        <v>15.936640182920115</v>
      </c>
      <c r="N40" s="5"/>
      <c r="O40" s="5">
        <f t="shared" si="8"/>
        <v>0.49485981707988458</v>
      </c>
      <c r="P40" s="5"/>
      <c r="Q40" s="5">
        <f t="shared" si="9"/>
        <v>3.168747571399805E-3</v>
      </c>
      <c r="R40" s="5"/>
    </row>
    <row r="41" spans="3:18" x14ac:dyDescent="0.25">
      <c r="F41" s="15">
        <v>6038.1</v>
      </c>
      <c r="G41" s="16">
        <v>17.029</v>
      </c>
      <c r="K41" s="5">
        <f t="shared" si="5"/>
        <v>-1.9824253230396111E-4</v>
      </c>
      <c r="L41" s="5">
        <f t="shared" si="6"/>
        <v>-1.9828184409612315E-4</v>
      </c>
      <c r="M41" s="5">
        <f t="shared" si="7"/>
        <v>15.994513994081057</v>
      </c>
      <c r="N41" s="5"/>
      <c r="O41" s="5">
        <f t="shared" si="8"/>
        <v>1.0344860059189429</v>
      </c>
      <c r="P41" s="5"/>
      <c r="Q41" s="5">
        <f t="shared" si="9"/>
        <v>6.6241487099235772E-3</v>
      </c>
      <c r="R41" s="5"/>
    </row>
    <row r="42" spans="3:18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3:18" x14ac:dyDescent="0.25">
      <c r="F43" s="15"/>
      <c r="G43" s="16"/>
      <c r="K43" s="5"/>
      <c r="L43" s="5"/>
      <c r="M43" s="5"/>
      <c r="N43" s="5"/>
      <c r="O43" s="5"/>
      <c r="P43" s="5"/>
      <c r="Q43" s="5"/>
      <c r="R43" s="2"/>
    </row>
    <row r="44" spans="3:18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3:18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3:18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3:18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3:18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3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3:17" x14ac:dyDescent="0.25">
      <c r="C50" s="2"/>
      <c r="F50" s="15"/>
      <c r="G50" s="16"/>
      <c r="K50" s="5"/>
      <c r="L50" s="5"/>
      <c r="M50" s="5"/>
      <c r="N50" s="5"/>
      <c r="O50" s="5"/>
      <c r="P50" s="5"/>
      <c r="Q50" s="5"/>
    </row>
    <row r="51" spans="3:17" x14ac:dyDescent="0.25">
      <c r="C51" s="2"/>
      <c r="F51" s="15"/>
      <c r="G51" s="16"/>
      <c r="K51" s="5"/>
      <c r="L51" s="5"/>
      <c r="M51" s="5"/>
      <c r="N51" s="5"/>
      <c r="O51" s="5"/>
      <c r="P51" s="5"/>
      <c r="Q51" s="5"/>
    </row>
    <row r="52" spans="3:17" x14ac:dyDescent="0.25">
      <c r="C52" s="2"/>
      <c r="F52" s="15"/>
      <c r="G52" s="16"/>
      <c r="K52" s="5"/>
      <c r="L52" s="5"/>
      <c r="M52" s="5"/>
      <c r="N52" s="5"/>
      <c r="O52" s="5"/>
      <c r="P52" s="5"/>
      <c r="Q52" s="5"/>
    </row>
    <row r="53" spans="3:17" x14ac:dyDescent="0.25">
      <c r="C53" s="2"/>
      <c r="F53" s="15"/>
      <c r="G53" s="16"/>
      <c r="K53" s="5"/>
      <c r="L53" s="5"/>
      <c r="M53" s="5"/>
      <c r="N53" s="5"/>
      <c r="O53" s="5"/>
      <c r="P53" s="5"/>
      <c r="Q53" s="5"/>
    </row>
    <row r="54" spans="3:17" x14ac:dyDescent="0.25">
      <c r="C54" s="2"/>
      <c r="F54" s="15"/>
      <c r="G54" s="16"/>
      <c r="K54" s="5"/>
      <c r="L54" s="5"/>
      <c r="M54" s="5"/>
      <c r="N54" s="5"/>
      <c r="O54" s="5"/>
      <c r="P54" s="5"/>
      <c r="Q54" s="5"/>
    </row>
    <row r="55" spans="3:17" x14ac:dyDescent="0.25">
      <c r="C55" s="2"/>
    </row>
    <row r="56" spans="3:17" x14ac:dyDescent="0.25">
      <c r="C56" s="2"/>
    </row>
    <row r="57" spans="3:17" x14ac:dyDescent="0.25">
      <c r="C57" s="2"/>
    </row>
    <row r="58" spans="3:17" x14ac:dyDescent="0.25">
      <c r="C58" s="2"/>
    </row>
    <row r="59" spans="3:17" x14ac:dyDescent="0.25">
      <c r="C59" s="2"/>
    </row>
    <row r="60" spans="3:17" x14ac:dyDescent="0.25">
      <c r="C60" s="2"/>
    </row>
    <row r="61" spans="3:17" x14ac:dyDescent="0.25">
      <c r="C61" s="2"/>
    </row>
    <row r="62" spans="3:17" x14ac:dyDescent="0.25">
      <c r="C62" s="2"/>
    </row>
    <row r="63" spans="3:17" x14ac:dyDescent="0.25">
      <c r="C63" s="2"/>
    </row>
    <row r="64" spans="3:17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____3"/>
  <dimension ref="B7:P167"/>
  <sheetViews>
    <sheetView workbookViewId="0">
      <selection activeCell="C19" sqref="C19:C22"/>
    </sheetView>
  </sheetViews>
  <sheetFormatPr defaultRowHeight="15" x14ac:dyDescent="0.25"/>
  <cols>
    <col min="3" max="3" width="12" bestFit="1" customWidth="1"/>
    <col min="9" max="9" width="12.7109375" bestFit="1" customWidth="1"/>
  </cols>
  <sheetData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pans="2:16" s="2" customFormat="1" x14ac:dyDescent="0.25"/>
    <row r="19" spans="2:16" x14ac:dyDescent="0.25">
      <c r="B19" s="5" t="s">
        <v>12</v>
      </c>
      <c r="C19" s="6" t="s">
        <v>8</v>
      </c>
      <c r="E19" s="12" t="s">
        <v>0</v>
      </c>
      <c r="F19" s="12" t="s">
        <v>1</v>
      </c>
      <c r="G19" s="12" t="s">
        <v>13</v>
      </c>
      <c r="I19" s="13" t="s">
        <v>2</v>
      </c>
      <c r="J19" s="13" t="s">
        <v>3</v>
      </c>
      <c r="K19" s="13" t="s">
        <v>16</v>
      </c>
      <c r="M19" s="14" t="s">
        <v>17</v>
      </c>
      <c r="N19" s="14" t="s">
        <v>5</v>
      </c>
      <c r="O19" s="14" t="s">
        <v>18</v>
      </c>
      <c r="P19" s="14" t="s">
        <v>19</v>
      </c>
    </row>
    <row r="20" spans="2:16" x14ac:dyDescent="0.25">
      <c r="B20" s="5"/>
      <c r="C20" s="2">
        <v>0.53748753220756107</v>
      </c>
      <c r="E20" s="2">
        <v>22.473500000000001</v>
      </c>
      <c r="F20" s="2">
        <v>1.0456399999999999</v>
      </c>
      <c r="G20" s="5">
        <f>(F20/E20)/($F$20/$E$20)</f>
        <v>1</v>
      </c>
      <c r="H20" s="5"/>
      <c r="I20" s="5">
        <f>$C$26*EXP(-E20/($C$22*$B$22))</f>
        <v>-0.28051222639894335</v>
      </c>
      <c r="J20" s="5" cm="1">
        <f t="array" ref="J20">lmb_1_0(I20)</f>
        <v>-0.43214586132571303</v>
      </c>
      <c r="K20" s="5">
        <f>(1/($C$28*E20))*(1-(J20/($C$20-1)))</f>
        <v>0.93994781768590963</v>
      </c>
      <c r="L20" s="5"/>
      <c r="M20" s="5">
        <f>ABS(G20-K20)</f>
        <v>6.0052182314090374E-2</v>
      </c>
      <c r="N20" s="5">
        <f>SUM(K20:K169)</f>
        <v>7.1297058964248627</v>
      </c>
      <c r="O20" s="5">
        <f>M20/$N$20</f>
        <v>8.4228133932148716E-3</v>
      </c>
      <c r="P20" s="5">
        <f>SUM(O20:O120)*100</f>
        <v>10.142906277932102</v>
      </c>
    </row>
    <row r="21" spans="2:16" x14ac:dyDescent="0.25">
      <c r="B21" s="5"/>
      <c r="C21" s="7" t="s">
        <v>9</v>
      </c>
      <c r="E21" s="2">
        <v>64.579899999999995</v>
      </c>
      <c r="F21" s="2">
        <v>1.8672200000000001</v>
      </c>
      <c r="G21" s="5">
        <f t="shared" ref="G21:G26" si="0">(F21/E21)/($F$20/$E$20)</f>
        <v>0.62142203401887408</v>
      </c>
      <c r="H21" s="5"/>
      <c r="I21" s="5">
        <f t="shared" ref="I21:I26" si="1">$C$26*EXP(-E21/($C$22*$B$22))</f>
        <v>-0.26145842574792111</v>
      </c>
      <c r="J21" s="5" cm="1">
        <f t="array" ref="J21">lmb_1_0(I21)</f>
        <v>-0.38377116601833938</v>
      </c>
      <c r="K21" s="5">
        <f t="shared" ref="K21:K26" si="2">1/($C$28*E21)*(1-(J21/($C$20-1)))</f>
        <v>0.84817099952848862</v>
      </c>
      <c r="L21" s="5"/>
      <c r="M21" s="5">
        <f t="shared" ref="M21:M26" si="3">ABS(G21-K21)</f>
        <v>0.22674896550961454</v>
      </c>
      <c r="N21" s="5"/>
      <c r="O21" s="5">
        <f t="shared" ref="O21:O26" si="4">M21/$N$20</f>
        <v>3.1803410800341159E-2</v>
      </c>
      <c r="P21" s="5"/>
    </row>
    <row r="22" spans="2:16" x14ac:dyDescent="0.25">
      <c r="B22" s="5">
        <v>1000</v>
      </c>
      <c r="C22" s="2">
        <v>0.59859522288525702</v>
      </c>
      <c r="E22" s="2">
        <v>67.587500000000006</v>
      </c>
      <c r="F22" s="2">
        <v>3.2116199999999999</v>
      </c>
      <c r="G22" s="5">
        <f t="shared" si="0"/>
        <v>1.0212834566964446</v>
      </c>
      <c r="H22" s="5"/>
      <c r="I22" s="5">
        <f t="shared" si="1"/>
        <v>-0.26014804082620419</v>
      </c>
      <c r="J22" s="5" cm="1">
        <f t="array" ref="J22">lmb_1_0(I22)</f>
        <v>-0.38066262353436781</v>
      </c>
      <c r="K22" s="5">
        <f t="shared" si="2"/>
        <v>0.84242194504538603</v>
      </c>
      <c r="L22" s="5"/>
      <c r="M22" s="5">
        <f t="shared" si="3"/>
        <v>0.17886151165105857</v>
      </c>
      <c r="N22" s="5"/>
      <c r="O22" s="5">
        <f t="shared" si="4"/>
        <v>2.5086800809097514E-2</v>
      </c>
      <c r="P22" s="5"/>
    </row>
    <row r="23" spans="2:16" x14ac:dyDescent="0.25">
      <c r="B23" s="5"/>
      <c r="C23" s="10"/>
      <c r="E23" s="2">
        <v>132.167</v>
      </c>
      <c r="F23" s="2">
        <v>5.0788399999999996</v>
      </c>
      <c r="G23" s="5">
        <f t="shared" si="0"/>
        <v>0.82590486614817937</v>
      </c>
      <c r="H23" s="5"/>
      <c r="I23" s="5">
        <f t="shared" si="1"/>
        <v>-0.2335428952780006</v>
      </c>
      <c r="J23" s="5" cm="1">
        <f t="array" ref="J23">lmb_1_0(I23)</f>
        <v>-0.32238703743616426</v>
      </c>
      <c r="K23" s="5">
        <f t="shared" si="2"/>
        <v>0.73751715054255451</v>
      </c>
      <c r="L23" s="5"/>
      <c r="M23" s="5">
        <f t="shared" si="3"/>
        <v>8.8387715605624861E-2</v>
      </c>
      <c r="N23" s="5"/>
      <c r="O23" s="5">
        <f t="shared" si="4"/>
        <v>1.2397105419165496E-2</v>
      </c>
      <c r="P23" s="5"/>
    </row>
    <row r="24" spans="2:16" x14ac:dyDescent="0.25">
      <c r="B24" s="5"/>
      <c r="C24" s="2"/>
      <c r="E24" s="2">
        <v>174.77500000000001</v>
      </c>
      <c r="F24" s="2">
        <v>6.1244800000000001</v>
      </c>
      <c r="G24" s="5">
        <f t="shared" si="0"/>
        <v>0.75314472003551103</v>
      </c>
      <c r="H24" s="5"/>
      <c r="I24" s="5">
        <f t="shared" si="1"/>
        <v>-0.21749715701123673</v>
      </c>
      <c r="J24" s="5" cm="1">
        <f t="array" ref="J24">lmb_1_0(I24)</f>
        <v>-0.29094357754559774</v>
      </c>
      <c r="K24" s="5">
        <f t="shared" si="2"/>
        <v>0.68286904809160043</v>
      </c>
      <c r="L24" s="5"/>
      <c r="M24" s="5">
        <f t="shared" si="3"/>
        <v>7.02756719439106E-2</v>
      </c>
      <c r="N24" s="5"/>
      <c r="O24" s="5">
        <f t="shared" si="4"/>
        <v>9.8567420542760124E-3</v>
      </c>
      <c r="P24" s="5"/>
    </row>
    <row r="25" spans="2:16" ht="18" x14ac:dyDescent="0.35">
      <c r="B25" s="5"/>
      <c r="C25" s="11" t="s">
        <v>14</v>
      </c>
      <c r="E25" s="2">
        <v>257.65100000000001</v>
      </c>
      <c r="F25" s="2">
        <v>7.1701199999999998</v>
      </c>
      <c r="G25" s="5">
        <f t="shared" si="0"/>
        <v>0.5981128287652927</v>
      </c>
      <c r="H25" s="5"/>
      <c r="I25" s="5">
        <f t="shared" si="1"/>
        <v>-0.18937609498060581</v>
      </c>
      <c r="J25" s="5" cm="1">
        <f t="array" ref="J25">lmb_1_0(I25)</f>
        <v>-0.24098032251370094</v>
      </c>
      <c r="K25" s="5">
        <f t="shared" si="2"/>
        <v>0.59811282883556016</v>
      </c>
      <c r="L25" s="5"/>
      <c r="M25" s="5">
        <f t="shared" si="3"/>
        <v>7.026745851845817E-11</v>
      </c>
      <c r="N25" s="5"/>
      <c r="O25" s="5">
        <f t="shared" si="4"/>
        <v>9.8555900536785474E-12</v>
      </c>
      <c r="P25" s="5"/>
    </row>
    <row r="26" spans="2:16" x14ac:dyDescent="0.25">
      <c r="B26" s="5"/>
      <c r="C26" s="5">
        <f>(C20-1)*EXP(C20-1)</f>
        <v>-0.29124389584429483</v>
      </c>
      <c r="E26" s="2">
        <v>422.90199999999999</v>
      </c>
      <c r="F26" s="2">
        <v>9.0373400000000004</v>
      </c>
      <c r="G26" s="5">
        <f t="shared" si="0"/>
        <v>0.45929255775319566</v>
      </c>
      <c r="H26" s="5"/>
      <c r="I26" s="5">
        <f t="shared" si="1"/>
        <v>-0.14369173504355381</v>
      </c>
      <c r="J26" s="5" cm="1">
        <f t="array" ref="J26">lmb_1_0(I26)</f>
        <v>-0.17038391020991561</v>
      </c>
      <c r="K26" s="5">
        <f t="shared" si="2"/>
        <v>0.48052111061366704</v>
      </c>
      <c r="L26" s="5"/>
      <c r="M26" s="5">
        <f t="shared" si="3"/>
        <v>2.1228552860471372E-2</v>
      </c>
      <c r="N26" s="5"/>
      <c r="O26" s="5">
        <f t="shared" si="4"/>
        <v>2.9774794597230538E-3</v>
      </c>
      <c r="P26" s="5"/>
    </row>
    <row r="27" spans="2:16" x14ac:dyDescent="0.25">
      <c r="B27" s="5"/>
      <c r="C27" s="5" t="s">
        <v>15</v>
      </c>
      <c r="E27" s="2">
        <v>505.61099999999999</v>
      </c>
      <c r="F27" s="2">
        <v>10.0083</v>
      </c>
      <c r="G27" s="5">
        <f t="shared" ref="G27:G35" si="5">(F27/E27)/($F$20/$E$20)</f>
        <v>0.4254341291646051</v>
      </c>
      <c r="H27" s="5"/>
      <c r="I27" s="5">
        <f t="shared" ref="I27:I35" si="6">$C$26*EXP(-E27/($C$22*$B$22))</f>
        <v>-0.1251481758035983</v>
      </c>
      <c r="J27" s="5" cm="1">
        <f t="array" ref="J27">lmb_1_0(I27)</f>
        <v>-0.14462149272803279</v>
      </c>
      <c r="K27" s="5">
        <f t="shared" ref="K27:K35" si="7">1/($C$28*E27)*(1-(J27/($C$20-1)))</f>
        <v>0.43736082641144453</v>
      </c>
      <c r="L27" s="5"/>
      <c r="M27" s="5">
        <f t="shared" ref="M27:M35" si="8">ABS(G27-K27)</f>
        <v>1.1926697246839424E-2</v>
      </c>
      <c r="N27" s="5"/>
      <c r="O27" s="5">
        <f t="shared" ref="O27:O35" si="9">M27/$N$20</f>
        <v>1.6728175635996397E-3</v>
      </c>
      <c r="P27" s="5"/>
    </row>
    <row r="28" spans="2:16" x14ac:dyDescent="0.25">
      <c r="B28" s="5"/>
      <c r="C28" s="5" cm="1">
        <f t="array" ref="C28">1/((C20-1)*(C22*B22))*lmb_1_0(C26)/(1+lmb_1_0(C26))</f>
        <v>3.1081241568584137E-3</v>
      </c>
      <c r="E28" s="2">
        <v>648.22199999999998</v>
      </c>
      <c r="F28" s="2">
        <v>10.7552</v>
      </c>
      <c r="G28" s="5">
        <f t="shared" si="5"/>
        <v>0.356601569397342</v>
      </c>
      <c r="H28" s="5"/>
      <c r="I28" s="5">
        <f t="shared" si="6"/>
        <v>-9.861818187632497E-2</v>
      </c>
      <c r="J28" s="5" cm="1">
        <f t="array" ref="J28">lmb_1_0(I28)</f>
        <v>-0.11009586793462499</v>
      </c>
      <c r="K28" s="5">
        <f t="shared" si="7"/>
        <v>0.37819064964349841</v>
      </c>
      <c r="L28" s="5"/>
      <c r="M28" s="5">
        <f t="shared" si="8"/>
        <v>2.1589080246156411E-2</v>
      </c>
      <c r="N28" s="5"/>
      <c r="O28" s="5">
        <f t="shared" si="9"/>
        <v>3.0280463962731046E-3</v>
      </c>
      <c r="P28" s="5"/>
    </row>
    <row r="29" spans="2:16" x14ac:dyDescent="0.25">
      <c r="E29" s="2">
        <v>730.26300000000003</v>
      </c>
      <c r="F29" s="2">
        <v>11.4274</v>
      </c>
      <c r="G29" s="5">
        <f t="shared" si="5"/>
        <v>0.3363230698053325</v>
      </c>
      <c r="H29" s="5"/>
      <c r="I29" s="5">
        <f t="shared" si="6"/>
        <v>-8.5987312533095911E-2</v>
      </c>
      <c r="J29" s="5" cm="1">
        <f t="array" ref="J29">lmb_1_0(I29)</f>
        <v>-9.4510428737631241E-2</v>
      </c>
      <c r="K29" s="5">
        <f t="shared" si="7"/>
        <v>0.35054931676044165</v>
      </c>
      <c r="L29" s="5"/>
      <c r="M29" s="5">
        <f t="shared" si="8"/>
        <v>1.4226246955109156E-2</v>
      </c>
      <c r="N29" s="5"/>
      <c r="O29" s="5">
        <f t="shared" si="9"/>
        <v>1.9953483582321116E-3</v>
      </c>
      <c r="P29" s="5"/>
    </row>
    <row r="30" spans="2:16" x14ac:dyDescent="0.25">
      <c r="E30" s="2">
        <v>1197.53</v>
      </c>
      <c r="F30" s="2">
        <v>13.294600000000001</v>
      </c>
      <c r="G30" s="5">
        <f t="shared" si="5"/>
        <v>0.23860382361060925</v>
      </c>
      <c r="H30" s="5"/>
      <c r="I30" s="5">
        <f t="shared" si="6"/>
        <v>-3.9393222918566742E-2</v>
      </c>
      <c r="J30" s="5" cm="1">
        <f t="array" ref="J30">lmb_1_0(I30)</f>
        <v>-4.1043706061470626E-2</v>
      </c>
      <c r="K30" s="5">
        <f t="shared" si="7"/>
        <v>0.24482580218264272</v>
      </c>
      <c r="L30" s="5"/>
      <c r="M30" s="5">
        <f t="shared" si="8"/>
        <v>6.2219785720334653E-3</v>
      </c>
      <c r="N30" s="5"/>
      <c r="O30" s="5">
        <f t="shared" si="9"/>
        <v>8.7268376317646275E-4</v>
      </c>
    </row>
    <row r="31" spans="2:16" x14ac:dyDescent="0.25">
      <c r="E31" s="15">
        <v>1703.56</v>
      </c>
      <c r="F31" s="16">
        <v>14.489599999999999</v>
      </c>
      <c r="G31" s="5">
        <f t="shared" si="5"/>
        <v>0.1828047550096307</v>
      </c>
      <c r="H31" s="5"/>
      <c r="I31" s="5">
        <f t="shared" si="6"/>
        <v>-1.6915514485403998E-2</v>
      </c>
      <c r="J31" s="5" cm="1">
        <f t="array" ref="J31">lmb_1_0(I31)</f>
        <v>-1.7209135091275696E-2</v>
      </c>
      <c r="K31" s="5">
        <f t="shared" si="7"/>
        <v>0.18183467645953924</v>
      </c>
      <c r="L31" s="5"/>
      <c r="M31" s="5">
        <f t="shared" si="8"/>
        <v>9.7007855009145771E-4</v>
      </c>
      <c r="N31" s="5"/>
      <c r="O31" s="5">
        <f t="shared" si="9"/>
        <v>1.3606150999550995E-4</v>
      </c>
    </row>
    <row r="32" spans="2:16" x14ac:dyDescent="0.25">
      <c r="E32" s="15">
        <v>2006.24</v>
      </c>
      <c r="F32" s="16">
        <v>14.788399999999999</v>
      </c>
      <c r="G32" s="5">
        <f t="shared" si="5"/>
        <v>0.15842613593692192</v>
      </c>
      <c r="H32" s="5"/>
      <c r="I32" s="5">
        <f t="shared" si="6"/>
        <v>-1.0201968316135188E-2</v>
      </c>
      <c r="J32" s="5" cm="1">
        <f t="array" ref="J32">lmb_1_0(I32)</f>
        <v>-1.0307670682555737E-2</v>
      </c>
      <c r="K32" s="5">
        <f t="shared" si="7"/>
        <v>0.15679437452137582</v>
      </c>
      <c r="L32" s="5"/>
      <c r="M32" s="5">
        <f t="shared" si="8"/>
        <v>1.6317614155461069E-3</v>
      </c>
      <c r="N32" s="5"/>
      <c r="O32" s="5">
        <f t="shared" si="9"/>
        <v>2.2886798407271489E-4</v>
      </c>
    </row>
    <row r="33" spans="5:15" x14ac:dyDescent="0.25">
      <c r="E33" s="15">
        <v>2712.77</v>
      </c>
      <c r="F33" s="16">
        <v>15.61</v>
      </c>
      <c r="G33" s="5">
        <f t="shared" si="5"/>
        <v>0.12367401350958609</v>
      </c>
      <c r="H33" s="5"/>
      <c r="I33" s="5">
        <f t="shared" si="6"/>
        <v>-3.1338654529863745E-3</v>
      </c>
      <c r="J33" s="5" cm="1">
        <f t="array" ref="J33">lmb_1_0(I33)</f>
        <v>-3.143732991528383E-3</v>
      </c>
      <c r="K33" s="5">
        <f t="shared" si="7"/>
        <v>0.11779494564402913</v>
      </c>
      <c r="L33" s="5"/>
      <c r="M33" s="5">
        <f t="shared" si="8"/>
        <v>5.8790678655569611E-3</v>
      </c>
      <c r="N33" s="5"/>
      <c r="O33" s="5">
        <f t="shared" si="9"/>
        <v>8.2458771104499209E-4</v>
      </c>
    </row>
    <row r="34" spans="5:15" x14ac:dyDescent="0.25">
      <c r="E34" s="15">
        <v>4043.47</v>
      </c>
      <c r="F34" s="16">
        <v>16.4315</v>
      </c>
      <c r="G34" s="5">
        <f t="shared" si="5"/>
        <v>8.7339662971862964E-2</v>
      </c>
      <c r="H34" s="5"/>
      <c r="I34" s="5">
        <f t="shared" si="6"/>
        <v>-3.3933382887989808E-4</v>
      </c>
      <c r="J34" s="5" cm="1">
        <f t="array" ref="J34">lmb_1_0(I34)</f>
        <v>-3.3944903497283731E-4</v>
      </c>
      <c r="K34" s="5">
        <f t="shared" si="7"/>
        <v>7.951124609938727E-2</v>
      </c>
      <c r="L34" s="5"/>
      <c r="M34" s="5">
        <f t="shared" si="8"/>
        <v>7.8284168724756936E-3</v>
      </c>
      <c r="N34" s="5"/>
      <c r="O34" s="5">
        <f t="shared" si="9"/>
        <v>1.0979999716960547E-3</v>
      </c>
    </row>
    <row r="35" spans="5:15" x14ac:dyDescent="0.25">
      <c r="E35" s="15">
        <v>6038.1</v>
      </c>
      <c r="F35" s="16">
        <v>17.029</v>
      </c>
      <c r="G35" s="5">
        <f t="shared" si="5"/>
        <v>6.0614617647063732E-2</v>
      </c>
      <c r="H35" s="5"/>
      <c r="I35" s="5">
        <f t="shared" si="6"/>
        <v>-1.2119302225538467E-5</v>
      </c>
      <c r="J35" s="5" cm="1">
        <f t="array" ref="J35">lmb_1_0(I35)</f>
        <v>-1.2119449105695036E-5</v>
      </c>
      <c r="K35" s="5">
        <f t="shared" si="7"/>
        <v>5.3283158359337564E-2</v>
      </c>
      <c r="L35" s="5"/>
      <c r="M35" s="5">
        <f t="shared" si="8"/>
        <v>7.3314592877261678E-3</v>
      </c>
      <c r="N35" s="5"/>
      <c r="O35" s="5">
        <f t="shared" si="9"/>
        <v>1.0282975755567243E-3</v>
      </c>
    </row>
    <row r="36" spans="5:15" x14ac:dyDescent="0.25">
      <c r="E36" s="15"/>
      <c r="F36" s="16"/>
      <c r="G36" s="5"/>
      <c r="H36" s="5"/>
      <c r="I36" s="5"/>
      <c r="J36" s="5"/>
      <c r="K36" s="5"/>
      <c r="L36" s="5"/>
      <c r="M36" s="5"/>
      <c r="N36" s="5"/>
      <c r="O36" s="5"/>
    </row>
    <row r="37" spans="5:15" x14ac:dyDescent="0.25">
      <c r="E37" s="15"/>
      <c r="F37" s="16"/>
      <c r="G37" s="5"/>
      <c r="H37" s="5"/>
      <c r="I37" s="5"/>
      <c r="J37" s="5"/>
      <c r="K37" s="5"/>
      <c r="L37" s="5"/>
      <c r="M37" s="5"/>
      <c r="N37" s="5"/>
      <c r="O37" s="5"/>
    </row>
    <row r="38" spans="5:15" x14ac:dyDescent="0.25">
      <c r="E38" s="15"/>
      <c r="F38" s="16"/>
      <c r="G38" s="5"/>
      <c r="H38" s="5"/>
      <c r="I38" s="5"/>
      <c r="J38" s="5"/>
      <c r="K38" s="5"/>
      <c r="L38" s="5"/>
      <c r="M38" s="5"/>
      <c r="N38" s="5"/>
      <c r="O38" s="5"/>
    </row>
    <row r="39" spans="5:15" x14ac:dyDescent="0.25">
      <c r="E39" s="15"/>
      <c r="F39" s="16"/>
      <c r="G39" s="5"/>
      <c r="H39" s="5"/>
      <c r="I39" s="5"/>
      <c r="J39" s="5"/>
      <c r="K39" s="5"/>
      <c r="L39" s="5"/>
      <c r="M39" s="5"/>
      <c r="N39" s="5"/>
      <c r="O39" s="5"/>
    </row>
    <row r="40" spans="5:15" x14ac:dyDescent="0.25">
      <c r="E40" s="15"/>
      <c r="F40" s="16"/>
      <c r="G40" s="5"/>
      <c r="H40" s="5"/>
      <c r="I40" s="5"/>
      <c r="J40" s="5"/>
      <c r="K40" s="5"/>
      <c r="L40" s="5"/>
      <c r="M40" s="5"/>
      <c r="N40" s="5"/>
      <c r="O40" s="5"/>
    </row>
    <row r="41" spans="5:15" x14ac:dyDescent="0.25">
      <c r="E41" s="15"/>
      <c r="F41" s="16"/>
      <c r="G41" s="5"/>
      <c r="H41" s="5"/>
      <c r="I41" s="5"/>
      <c r="J41" s="5"/>
      <c r="K41" s="5"/>
      <c r="L41" s="5"/>
      <c r="M41" s="5"/>
      <c r="N41" s="5"/>
      <c r="O41" s="5"/>
    </row>
    <row r="42" spans="5:15" x14ac:dyDescent="0.25">
      <c r="E42" s="15"/>
      <c r="F42" s="16"/>
      <c r="G42" s="5"/>
      <c r="H42" s="5"/>
      <c r="I42" s="5"/>
      <c r="J42" s="5"/>
      <c r="K42" s="5"/>
      <c r="L42" s="5"/>
      <c r="M42" s="5"/>
      <c r="N42" s="5"/>
      <c r="O42" s="5"/>
    </row>
    <row r="43" spans="5:15" x14ac:dyDescent="0.25">
      <c r="E43" s="15"/>
      <c r="F43" s="16"/>
      <c r="G43" s="5"/>
      <c r="H43" s="5"/>
      <c r="I43" s="5"/>
      <c r="J43" s="5"/>
      <c r="K43" s="5"/>
      <c r="L43" s="5"/>
      <c r="M43" s="5"/>
      <c r="N43" s="5"/>
      <c r="O43" s="5"/>
    </row>
    <row r="44" spans="5:15" x14ac:dyDescent="0.25">
      <c r="E44" s="15"/>
      <c r="F44" s="16"/>
      <c r="G44" s="5"/>
      <c r="H44" s="5"/>
      <c r="I44" s="5"/>
      <c r="J44" s="5"/>
      <c r="K44" s="5"/>
      <c r="L44" s="5"/>
      <c r="M44" s="5"/>
      <c r="N44" s="5"/>
      <c r="O44" s="5"/>
    </row>
    <row r="45" spans="5:15" x14ac:dyDescent="0.25">
      <c r="E45" s="15"/>
      <c r="F45" s="16"/>
      <c r="G45" s="5"/>
      <c r="H45" s="5"/>
      <c r="I45" s="5"/>
      <c r="J45" s="5"/>
      <c r="K45" s="5"/>
      <c r="L45" s="5"/>
      <c r="M45" s="5"/>
      <c r="N45" s="5"/>
      <c r="O45" s="5"/>
    </row>
    <row r="46" spans="5:15" x14ac:dyDescent="0.25">
      <c r="E46" s="15"/>
      <c r="F46" s="16"/>
      <c r="G46" s="5"/>
      <c r="H46" s="5"/>
      <c r="I46" s="5"/>
      <c r="J46" s="5"/>
      <c r="K46" s="5"/>
      <c r="L46" s="5"/>
      <c r="M46" s="5"/>
      <c r="N46" s="5"/>
      <c r="O46" s="5"/>
    </row>
    <row r="47" spans="5:15" x14ac:dyDescent="0.25">
      <c r="E47" s="15"/>
      <c r="F47" s="16"/>
      <c r="G47" s="5"/>
      <c r="H47" s="5"/>
      <c r="I47" s="5"/>
      <c r="J47" s="5"/>
      <c r="K47" s="5"/>
      <c r="L47" s="5"/>
      <c r="M47" s="5"/>
      <c r="N47" s="5"/>
      <c r="O47" s="5"/>
    </row>
    <row r="48" spans="5:15" x14ac:dyDescent="0.25">
      <c r="E48" s="15"/>
      <c r="F48" s="16"/>
      <c r="G48" s="5"/>
      <c r="H48" s="5"/>
      <c r="I48" s="5"/>
      <c r="J48" s="5"/>
      <c r="K48" s="5"/>
      <c r="L48" s="5"/>
      <c r="M48" s="5"/>
      <c r="N48" s="5"/>
      <c r="O48" s="5"/>
    </row>
    <row r="49" spans="13:13" x14ac:dyDescent="0.25">
      <c r="M49" s="2"/>
    </row>
    <row r="50" spans="13:13" x14ac:dyDescent="0.25">
      <c r="M50" s="2"/>
    </row>
    <row r="51" spans="13:13" x14ac:dyDescent="0.25">
      <c r="M51" s="2"/>
    </row>
    <row r="52" spans="13:13" x14ac:dyDescent="0.25">
      <c r="M52" s="2"/>
    </row>
    <row r="53" spans="13:13" x14ac:dyDescent="0.25">
      <c r="M53" s="2"/>
    </row>
    <row r="54" spans="13:13" x14ac:dyDescent="0.25">
      <c r="M54" s="2"/>
    </row>
    <row r="55" spans="13:13" x14ac:dyDescent="0.25">
      <c r="M55" s="2"/>
    </row>
    <row r="56" spans="13:13" x14ac:dyDescent="0.25">
      <c r="M56" s="2"/>
    </row>
    <row r="57" spans="13:13" x14ac:dyDescent="0.25">
      <c r="M57" s="2"/>
    </row>
    <row r="58" spans="13:13" x14ac:dyDescent="0.25">
      <c r="M58" s="2"/>
    </row>
    <row r="59" spans="13:13" x14ac:dyDescent="0.25">
      <c r="M59" s="2"/>
    </row>
    <row r="60" spans="13:13" x14ac:dyDescent="0.25">
      <c r="M60" s="2"/>
    </row>
    <row r="61" spans="13:13" x14ac:dyDescent="0.25">
      <c r="M61" s="2"/>
    </row>
    <row r="62" spans="13:13" x14ac:dyDescent="0.25">
      <c r="M62" s="2"/>
    </row>
    <row r="63" spans="13:13" x14ac:dyDescent="0.25">
      <c r="M63" s="2"/>
    </row>
    <row r="64" spans="13:13" x14ac:dyDescent="0.25">
      <c r="M64" s="2"/>
    </row>
    <row r="65" spans="13:13" x14ac:dyDescent="0.25">
      <c r="M65" s="2"/>
    </row>
    <row r="66" spans="13:13" x14ac:dyDescent="0.25">
      <c r="M66" s="2"/>
    </row>
    <row r="67" spans="13:13" x14ac:dyDescent="0.25">
      <c r="M67" s="2"/>
    </row>
    <row r="68" spans="13:13" x14ac:dyDescent="0.25">
      <c r="M68" s="2"/>
    </row>
    <row r="69" spans="13:13" x14ac:dyDescent="0.25">
      <c r="M69" s="2"/>
    </row>
    <row r="70" spans="13:13" x14ac:dyDescent="0.25">
      <c r="M70" s="2"/>
    </row>
    <row r="71" spans="13:13" x14ac:dyDescent="0.25">
      <c r="M71" s="2"/>
    </row>
    <row r="72" spans="13:13" x14ac:dyDescent="0.25">
      <c r="M72" s="2"/>
    </row>
    <row r="73" spans="13:13" x14ac:dyDescent="0.25">
      <c r="M73" s="2"/>
    </row>
    <row r="74" spans="13:13" x14ac:dyDescent="0.25">
      <c r="M74" s="2"/>
    </row>
    <row r="75" spans="13:13" x14ac:dyDescent="0.25">
      <c r="M75" s="2"/>
    </row>
    <row r="76" spans="13:13" x14ac:dyDescent="0.25">
      <c r="M76" s="2"/>
    </row>
    <row r="77" spans="13:13" x14ac:dyDescent="0.25">
      <c r="M77" s="2"/>
    </row>
    <row r="78" spans="13:13" x14ac:dyDescent="0.25">
      <c r="M78" s="2"/>
    </row>
    <row r="79" spans="13:13" x14ac:dyDescent="0.25">
      <c r="M79" s="2"/>
    </row>
    <row r="80" spans="13:13" x14ac:dyDescent="0.25">
      <c r="M80" s="2"/>
    </row>
    <row r="81" spans="13:13" x14ac:dyDescent="0.25">
      <c r="M81" s="2"/>
    </row>
    <row r="82" spans="13:13" x14ac:dyDescent="0.25">
      <c r="M82" s="2"/>
    </row>
    <row r="83" spans="13:13" x14ac:dyDescent="0.25">
      <c r="M83" s="2"/>
    </row>
    <row r="84" spans="13:13" x14ac:dyDescent="0.25">
      <c r="M84" s="2"/>
    </row>
    <row r="85" spans="13:13" x14ac:dyDescent="0.25">
      <c r="M85" s="2"/>
    </row>
    <row r="86" spans="13:13" x14ac:dyDescent="0.25">
      <c r="M86" s="2"/>
    </row>
    <row r="87" spans="13:13" x14ac:dyDescent="0.25">
      <c r="M87" s="2"/>
    </row>
    <row r="88" spans="13:13" x14ac:dyDescent="0.25">
      <c r="M88" s="2"/>
    </row>
    <row r="89" spans="13:13" x14ac:dyDescent="0.25">
      <c r="M89" s="2"/>
    </row>
    <row r="90" spans="13:13" x14ac:dyDescent="0.25">
      <c r="M90" s="2"/>
    </row>
    <row r="91" spans="13:13" x14ac:dyDescent="0.25">
      <c r="M91" s="2"/>
    </row>
    <row r="92" spans="13:13" x14ac:dyDescent="0.25">
      <c r="M92" s="2"/>
    </row>
    <row r="93" spans="13:13" x14ac:dyDescent="0.25">
      <c r="M93" s="2"/>
    </row>
    <row r="94" spans="13:13" x14ac:dyDescent="0.25">
      <c r="M94" s="2"/>
    </row>
    <row r="95" spans="13:13" x14ac:dyDescent="0.25">
      <c r="M95" s="2"/>
    </row>
    <row r="96" spans="13:13" x14ac:dyDescent="0.25">
      <c r="M96" s="2"/>
    </row>
    <row r="97" spans="13:13" x14ac:dyDescent="0.25">
      <c r="M97" s="2"/>
    </row>
    <row r="98" spans="13:13" x14ac:dyDescent="0.25">
      <c r="M98" s="2"/>
    </row>
    <row r="99" spans="13:13" x14ac:dyDescent="0.25">
      <c r="M99" s="2"/>
    </row>
    <row r="100" spans="13:13" x14ac:dyDescent="0.25">
      <c r="M100" s="2"/>
    </row>
    <row r="101" spans="13:13" x14ac:dyDescent="0.25">
      <c r="M101" s="2"/>
    </row>
    <row r="102" spans="13:13" x14ac:dyDescent="0.25">
      <c r="M102" s="2"/>
    </row>
    <row r="103" spans="13:13" x14ac:dyDescent="0.25">
      <c r="M103" s="2"/>
    </row>
    <row r="104" spans="13:13" x14ac:dyDescent="0.25">
      <c r="M104" s="2"/>
    </row>
    <row r="105" spans="13:13" x14ac:dyDescent="0.25">
      <c r="M105" s="2"/>
    </row>
    <row r="106" spans="13:13" x14ac:dyDescent="0.25">
      <c r="M106" s="2"/>
    </row>
    <row r="107" spans="13:13" x14ac:dyDescent="0.25">
      <c r="M107" s="2"/>
    </row>
    <row r="108" spans="13:13" x14ac:dyDescent="0.25">
      <c r="M108" s="2"/>
    </row>
    <row r="109" spans="13:13" x14ac:dyDescent="0.25">
      <c r="M109" s="2"/>
    </row>
    <row r="110" spans="13:13" x14ac:dyDescent="0.25">
      <c r="M110" s="2"/>
    </row>
    <row r="111" spans="13:13" x14ac:dyDescent="0.25">
      <c r="M111" s="2"/>
    </row>
    <row r="112" spans="13:13" x14ac:dyDescent="0.25">
      <c r="M112" s="2"/>
    </row>
    <row r="113" spans="13:13" x14ac:dyDescent="0.25">
      <c r="M113" s="2"/>
    </row>
    <row r="114" spans="13:13" x14ac:dyDescent="0.25">
      <c r="M114" s="2"/>
    </row>
    <row r="115" spans="13:13" x14ac:dyDescent="0.25">
      <c r="M115" s="2"/>
    </row>
    <row r="116" spans="13:13" x14ac:dyDescent="0.25">
      <c r="M116" s="2"/>
    </row>
    <row r="117" spans="13:13" x14ac:dyDescent="0.25">
      <c r="M117" s="2"/>
    </row>
    <row r="118" spans="13:13" x14ac:dyDescent="0.25">
      <c r="M118" s="2"/>
    </row>
    <row r="119" spans="13:13" x14ac:dyDescent="0.25">
      <c r="M119" s="2"/>
    </row>
    <row r="120" spans="13:13" x14ac:dyDescent="0.25">
      <c r="M120" s="2"/>
    </row>
    <row r="121" spans="13:13" x14ac:dyDescent="0.25">
      <c r="M121" s="2"/>
    </row>
    <row r="122" spans="13:13" x14ac:dyDescent="0.25">
      <c r="M122" s="2"/>
    </row>
    <row r="123" spans="13:13" x14ac:dyDescent="0.25">
      <c r="M123" s="2"/>
    </row>
    <row r="124" spans="13:13" x14ac:dyDescent="0.25">
      <c r="M124" s="2"/>
    </row>
    <row r="125" spans="13:13" x14ac:dyDescent="0.25">
      <c r="M125" s="2"/>
    </row>
    <row r="126" spans="13:13" x14ac:dyDescent="0.25">
      <c r="M126" s="2"/>
    </row>
    <row r="127" spans="13:13" x14ac:dyDescent="0.25">
      <c r="M127" s="2"/>
    </row>
    <row r="128" spans="13:13" x14ac:dyDescent="0.25">
      <c r="M128" s="2"/>
    </row>
    <row r="129" spans="13:13" x14ac:dyDescent="0.25">
      <c r="M129" s="2"/>
    </row>
    <row r="130" spans="13:13" x14ac:dyDescent="0.25">
      <c r="M130" s="2"/>
    </row>
    <row r="131" spans="13:13" x14ac:dyDescent="0.25">
      <c r="M131" s="2"/>
    </row>
    <row r="132" spans="13:13" x14ac:dyDescent="0.25">
      <c r="M132" s="2"/>
    </row>
    <row r="133" spans="13:13" x14ac:dyDescent="0.25">
      <c r="M133" s="2"/>
    </row>
    <row r="134" spans="13:13" x14ac:dyDescent="0.25">
      <c r="M134" s="2"/>
    </row>
    <row r="135" spans="13:13" x14ac:dyDescent="0.25">
      <c r="M135" s="2"/>
    </row>
    <row r="136" spans="13:13" x14ac:dyDescent="0.25">
      <c r="M136" s="2"/>
    </row>
    <row r="137" spans="13:13" x14ac:dyDescent="0.25">
      <c r="M137" s="2"/>
    </row>
    <row r="138" spans="13:13" x14ac:dyDescent="0.25">
      <c r="M138" s="2"/>
    </row>
    <row r="139" spans="13:13" x14ac:dyDescent="0.25">
      <c r="M139" s="2"/>
    </row>
    <row r="140" spans="13:13" x14ac:dyDescent="0.25">
      <c r="M140" s="2"/>
    </row>
    <row r="141" spans="13:13" x14ac:dyDescent="0.25">
      <c r="M141" s="2"/>
    </row>
    <row r="142" spans="13:13" x14ac:dyDescent="0.25">
      <c r="M142" s="2"/>
    </row>
    <row r="143" spans="13:13" x14ac:dyDescent="0.25">
      <c r="M143" s="2"/>
    </row>
    <row r="144" spans="13:13" x14ac:dyDescent="0.25">
      <c r="M144" s="2"/>
    </row>
    <row r="145" spans="13:13" x14ac:dyDescent="0.25">
      <c r="M145" s="2"/>
    </row>
    <row r="146" spans="13:13" x14ac:dyDescent="0.25">
      <c r="M146" s="2"/>
    </row>
    <row r="147" spans="13:13" x14ac:dyDescent="0.25">
      <c r="M147" s="2"/>
    </row>
    <row r="148" spans="13:13" x14ac:dyDescent="0.25">
      <c r="M148" s="2"/>
    </row>
    <row r="149" spans="13:13" x14ac:dyDescent="0.25">
      <c r="M149" s="2"/>
    </row>
    <row r="150" spans="13:13" x14ac:dyDescent="0.25">
      <c r="M150" s="2"/>
    </row>
    <row r="151" spans="13:13" x14ac:dyDescent="0.25">
      <c r="M151" s="2"/>
    </row>
    <row r="152" spans="13:13" x14ac:dyDescent="0.25">
      <c r="M152" s="2"/>
    </row>
    <row r="153" spans="13:13" x14ac:dyDescent="0.25">
      <c r="M153" s="2"/>
    </row>
    <row r="154" spans="13:13" x14ac:dyDescent="0.25">
      <c r="M154" s="2"/>
    </row>
    <row r="155" spans="13:13" x14ac:dyDescent="0.25">
      <c r="M155" s="2"/>
    </row>
    <row r="156" spans="13:13" x14ac:dyDescent="0.25">
      <c r="M156" s="2"/>
    </row>
    <row r="157" spans="13:13" x14ac:dyDescent="0.25">
      <c r="M157" s="2"/>
    </row>
    <row r="158" spans="13:13" x14ac:dyDescent="0.25">
      <c r="M158" s="2"/>
    </row>
    <row r="159" spans="13:13" x14ac:dyDescent="0.25">
      <c r="M159" s="2"/>
    </row>
    <row r="160" spans="13:13" x14ac:dyDescent="0.25">
      <c r="M160" s="2"/>
    </row>
    <row r="161" spans="13:13" x14ac:dyDescent="0.25">
      <c r="M161" s="2"/>
    </row>
    <row r="162" spans="13:13" x14ac:dyDescent="0.25">
      <c r="M162" s="2"/>
    </row>
    <row r="163" spans="13:13" x14ac:dyDescent="0.25">
      <c r="M163" s="2"/>
    </row>
    <row r="164" spans="13:13" x14ac:dyDescent="0.25">
      <c r="M164" s="2"/>
    </row>
    <row r="165" spans="13:13" x14ac:dyDescent="0.25">
      <c r="M165" s="2"/>
    </row>
    <row r="166" spans="13:13" x14ac:dyDescent="0.25">
      <c r="M166" s="2"/>
    </row>
    <row r="167" spans="13:13" x14ac:dyDescent="0.25">
      <c r="M167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6948-87E9-4F4A-AD94-D28ECF9534A6}">
  <dimension ref="B3:J14"/>
  <sheetViews>
    <sheetView workbookViewId="0">
      <selection activeCell="J4" sqref="J4"/>
    </sheetView>
  </sheetViews>
  <sheetFormatPr defaultRowHeight="15" x14ac:dyDescent="0.25"/>
  <sheetData>
    <row r="3" spans="2:10" x14ac:dyDescent="0.25">
      <c r="E3" s="18" t="s">
        <v>0</v>
      </c>
      <c r="F3" s="18" t="s">
        <v>1</v>
      </c>
      <c r="G3" s="5"/>
      <c r="H3" s="18" t="s">
        <v>3</v>
      </c>
      <c r="I3" s="5"/>
      <c r="J3" s="18" t="s">
        <v>21</v>
      </c>
    </row>
    <row r="4" spans="2:10" x14ac:dyDescent="0.25">
      <c r="B4" s="5" t="s">
        <v>12</v>
      </c>
      <c r="C4" s="6" t="s">
        <v>8</v>
      </c>
      <c r="E4" s="2">
        <v>18.57173418</v>
      </c>
      <c r="F4" s="2">
        <v>1.012802727</v>
      </c>
      <c r="H4">
        <v>-0.44858547261370918</v>
      </c>
      <c r="J4">
        <f>1-E4/((C$7*B$7)*(1+H4)^2)</f>
        <v>0.76925298982579393</v>
      </c>
    </row>
    <row r="5" spans="2:10" x14ac:dyDescent="0.25">
      <c r="B5" s="5"/>
      <c r="C5" s="2">
        <v>0.48657998786782153</v>
      </c>
      <c r="E5" s="2">
        <v>46.650087110000001</v>
      </c>
      <c r="F5" s="2">
        <v>1.7726328140000001</v>
      </c>
      <c r="H5">
        <v>-0.37470802780624013</v>
      </c>
      <c r="J5" s="2">
        <f t="shared" ref="J5:J10" si="0">1-E5/((C$7*B$7)*(1+H5)^2)</f>
        <v>0.54925929049034483</v>
      </c>
    </row>
    <row r="6" spans="2:10" x14ac:dyDescent="0.25">
      <c r="B6" s="5"/>
      <c r="C6" s="7" t="s">
        <v>9</v>
      </c>
      <c r="E6" s="2">
        <v>132.22436060000001</v>
      </c>
      <c r="F6" s="2">
        <v>4.5442117839999998</v>
      </c>
      <c r="H6">
        <v>-0.23610011508583217</v>
      </c>
      <c r="J6" s="2">
        <f t="shared" si="0"/>
        <v>0.14399043523149757</v>
      </c>
    </row>
    <row r="7" spans="2:10" x14ac:dyDescent="0.25">
      <c r="B7" s="5">
        <v>1000</v>
      </c>
      <c r="C7" s="2">
        <v>0.26470367387602756</v>
      </c>
      <c r="E7" s="2">
        <v>264.82002340000003</v>
      </c>
      <c r="F7" s="2">
        <v>6.0118138529999996</v>
      </c>
      <c r="H7">
        <v>-0.12847136718267807</v>
      </c>
      <c r="J7" s="2">
        <f t="shared" si="0"/>
        <v>-0.31712663145842046</v>
      </c>
    </row>
    <row r="8" spans="2:10" x14ac:dyDescent="0.25">
      <c r="B8" s="5"/>
      <c r="C8" s="8" t="s">
        <v>10</v>
      </c>
      <c r="E8" s="2">
        <v>506.89502970000001</v>
      </c>
      <c r="F8" s="2">
        <v>7.2757614769999996</v>
      </c>
      <c r="H8">
        <v>-4.7474662221468671E-2</v>
      </c>
      <c r="J8" s="2">
        <f t="shared" si="0"/>
        <v>-1.1105954122814756</v>
      </c>
    </row>
    <row r="9" spans="2:10" x14ac:dyDescent="0.25">
      <c r="B9" s="5">
        <v>1</v>
      </c>
      <c r="C9" s="2">
        <v>8.0177898214797416</v>
      </c>
      <c r="E9" s="2">
        <v>1030.658416</v>
      </c>
      <c r="F9" s="2">
        <v>7.8528558290000001</v>
      </c>
      <c r="H9">
        <v>-6.2986919291901939E-3</v>
      </c>
      <c r="J9" s="2">
        <f t="shared" si="0"/>
        <v>-2.943147854106289</v>
      </c>
    </row>
    <row r="10" spans="2:10" x14ac:dyDescent="0.25">
      <c r="E10" s="2">
        <v>2708.8620270000001</v>
      </c>
      <c r="F10" s="2">
        <v>8.055218923</v>
      </c>
      <c r="H10">
        <v>-1.104387978976259E-5</v>
      </c>
      <c r="J10" s="2">
        <f t="shared" si="0"/>
        <v>-9.2337901889230558</v>
      </c>
    </row>
    <row r="11" spans="2:10" x14ac:dyDescent="0.25">
      <c r="E11" s="2"/>
      <c r="F11" s="2"/>
      <c r="J11" s="2"/>
    </row>
    <row r="12" spans="2:10" x14ac:dyDescent="0.25">
      <c r="E12" s="2"/>
      <c r="F12" s="2"/>
      <c r="J12" s="2"/>
    </row>
    <row r="13" spans="2:10" x14ac:dyDescent="0.25">
      <c r="E13" s="2"/>
      <c r="F13" s="2"/>
      <c r="J13" s="2"/>
    </row>
    <row r="14" spans="2:10" x14ac:dyDescent="0.25">
      <c r="E14" s="2"/>
      <c r="F14" s="2"/>
      <c r="J1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7AAD-1F71-421D-8A6C-FB40A9A1E406}">
  <sheetPr codeName="F____2"/>
  <dimension ref="B6:AA54"/>
  <sheetViews>
    <sheetView zoomScaleNormal="100" workbookViewId="0">
      <selection activeCell="C18" sqref="C18:C23"/>
    </sheetView>
  </sheetViews>
  <sheetFormatPr defaultRowHeight="15" x14ac:dyDescent="0.25"/>
  <cols>
    <col min="1" max="1" width="9.140625" style="2"/>
    <col min="2" max="2" width="12" style="2" bestFit="1" customWidth="1"/>
    <col min="3" max="3" width="16.42578125" style="2" customWidth="1"/>
    <col min="4" max="4" width="15.85546875" style="2" customWidth="1"/>
    <col min="5" max="6" width="9.140625" style="2"/>
    <col min="7" max="7" width="17.85546875" style="2" customWidth="1"/>
    <col min="8" max="15" width="9.140625" style="2"/>
    <col min="16" max="16" width="10.140625" style="2" customWidth="1"/>
    <col min="17" max="17" width="9.140625" style="2"/>
    <col min="18" max="18" width="12" style="2" bestFit="1" customWidth="1"/>
    <col min="19" max="16384" width="9.140625" style="2"/>
  </cols>
  <sheetData>
    <row r="6" spans="2:8" x14ac:dyDescent="0.25">
      <c r="E6" s="9"/>
      <c r="F6" s="9"/>
      <c r="G6" s="9"/>
      <c r="H6" s="9"/>
    </row>
    <row r="11" spans="2:8" x14ac:dyDescent="0.25">
      <c r="B11" s="17" t="s">
        <v>20</v>
      </c>
    </row>
    <row r="12" spans="2:8" x14ac:dyDescent="0.25">
      <c r="B12" s="5">
        <f>R26+AA26</f>
        <v>15.022009354789375</v>
      </c>
    </row>
    <row r="18" spans="2:27" x14ac:dyDescent="0.25">
      <c r="B18" s="5" t="s">
        <v>12</v>
      </c>
      <c r="C18" s="6" t="s">
        <v>8</v>
      </c>
      <c r="D18" s="3"/>
    </row>
    <row r="19" spans="2:27" x14ac:dyDescent="0.25">
      <c r="B19" s="5"/>
      <c r="C19" s="2">
        <v>0.42170869801948008</v>
      </c>
      <c r="D19" s="3"/>
    </row>
    <row r="20" spans="2:27" x14ac:dyDescent="0.25">
      <c r="B20" s="5"/>
      <c r="C20" s="7" t="s">
        <v>9</v>
      </c>
      <c r="D20" s="3"/>
    </row>
    <row r="21" spans="2:27" x14ac:dyDescent="0.25">
      <c r="B21" s="5">
        <v>1000</v>
      </c>
      <c r="C21" s="2">
        <v>0.81595389006110064</v>
      </c>
      <c r="D21" s="3"/>
    </row>
    <row r="22" spans="2:27" x14ac:dyDescent="0.25">
      <c r="B22" s="5"/>
      <c r="C22" s="8" t="s">
        <v>10</v>
      </c>
      <c r="D22" s="3"/>
    </row>
    <row r="23" spans="2:27" x14ac:dyDescent="0.25">
      <c r="B23" s="5">
        <v>1</v>
      </c>
      <c r="C23" s="2">
        <v>15.935587134486688</v>
      </c>
    </row>
    <row r="25" spans="2:27" x14ac:dyDescent="0.25">
      <c r="F25" s="4" t="s">
        <v>0</v>
      </c>
      <c r="G25" s="4" t="s">
        <v>1</v>
      </c>
      <c r="H25" s="12" t="s">
        <v>13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  <c r="T25" s="13" t="s">
        <v>2</v>
      </c>
      <c r="U25" s="13" t="s">
        <v>3</v>
      </c>
      <c r="V25" s="13" t="s">
        <v>16</v>
      </c>
      <c r="X25" s="14" t="s">
        <v>17</v>
      </c>
      <c r="Y25" s="14" t="s">
        <v>5</v>
      </c>
      <c r="Z25" s="14" t="s">
        <v>18</v>
      </c>
      <c r="AA25" s="14" t="s">
        <v>19</v>
      </c>
    </row>
    <row r="26" spans="2:27" ht="18" x14ac:dyDescent="0.35">
      <c r="C26" s="11" t="s">
        <v>14</v>
      </c>
      <c r="F26" s="2">
        <v>22.473500000000001</v>
      </c>
      <c r="G26" s="2">
        <v>1.0456399999999999</v>
      </c>
      <c r="H26" s="5">
        <f>(G26/F26)/($G$26/$F$26)</f>
        <v>1</v>
      </c>
      <c r="K26" s="5">
        <f t="shared" ref="K26:K32" si="0">($C$19-1)*EXP($C$19-1)*EXP(-F26/($C$21*$B$21))</f>
        <v>-0.31552685970235483</v>
      </c>
      <c r="L26" s="5">
        <f>lmb_1_0(K26)</f>
        <v>-0.54315985291550151</v>
      </c>
      <c r="M26" s="5">
        <f>$C$23*B$23*(1-L26/($C$19-1))</f>
        <v>0.96809387555900106</v>
      </c>
      <c r="N26" s="5"/>
      <c r="O26" s="5">
        <f t="shared" ref="O26:O32" si="1">ABS(M26-G26)</f>
        <v>7.7546124440998843E-2</v>
      </c>
      <c r="P26" s="5">
        <f>SUM(M26:M55)</f>
        <v>155.540192866898</v>
      </c>
      <c r="Q26" s="5">
        <f t="shared" ref="Q26:Q32" si="2">O26/$P$26</f>
        <v>4.98560037837668E-4</v>
      </c>
      <c r="R26" s="5">
        <f>SUM(Q26:Q55)*100</f>
        <v>4.2235413884949997</v>
      </c>
      <c r="T26" s="5">
        <f>$C$27*EXP(-F26/($C$21*$B$21))</f>
        <v>-0.31552685970235483</v>
      </c>
      <c r="U26" s="5" cm="1">
        <f t="array" ref="U26">lmb_1_0(T26)</f>
        <v>-0.54315985291550151</v>
      </c>
      <c r="V26" s="5">
        <f>(1/($C$29*F26))*(1-(U26/($C$19-1)))</f>
        <v>0.93015829849678366</v>
      </c>
      <c r="X26" s="5">
        <f>ABS(H26-V26)</f>
        <v>6.9841701503216336E-2</v>
      </c>
      <c r="Y26" s="5">
        <f>SUM(V26:V175)</f>
        <v>7.0028531218538665</v>
      </c>
      <c r="Z26" s="5">
        <f>X26/$Y$26</f>
        <v>9.9733209147655419E-3</v>
      </c>
      <c r="AA26" s="5">
        <f>SUM(Z26:Z126)*100</f>
        <v>10.798467966294377</v>
      </c>
    </row>
    <row r="27" spans="2:27" x14ac:dyDescent="0.25">
      <c r="C27" s="5">
        <f>(C19-1)*EXP(C19-1)</f>
        <v>-0.32433807800229841</v>
      </c>
      <c r="F27" s="2">
        <v>64.579899999999995</v>
      </c>
      <c r="G27" s="2">
        <v>1.8672200000000001</v>
      </c>
      <c r="H27" s="5">
        <f t="shared" ref="H27:H32" si="3">(G27/F27)/($G$26/$F$26)</f>
        <v>0.62142203401887408</v>
      </c>
      <c r="K27" s="5">
        <f t="shared" si="0"/>
        <v>-0.29965742806465434</v>
      </c>
      <c r="L27" s="5">
        <f t="shared" ref="L27:L32" si="4">lmb_1_0(K27)</f>
        <v>-0.48830949007697011</v>
      </c>
      <c r="M27" s="5">
        <f t="shared" ref="M27:M32" si="5">$C$23*B$23*(1-L27/($C$19-1))</f>
        <v>2.4795686865722764</v>
      </c>
      <c r="N27" s="5"/>
      <c r="O27" s="5">
        <f t="shared" si="1"/>
        <v>0.61234868657227626</v>
      </c>
      <c r="P27" s="5"/>
      <c r="Q27" s="5">
        <f t="shared" si="2"/>
        <v>3.9369160812105179E-3</v>
      </c>
      <c r="R27" s="5"/>
      <c r="T27" s="5">
        <f t="shared" ref="T27:T32" si="6">$C$27*EXP(-F27/($C$21*$B$21))</f>
        <v>-0.29965742806465434</v>
      </c>
      <c r="U27" s="5" cm="1">
        <f t="array" ref="U27">lmb_1_0(T27)</f>
        <v>-0.48830949007697011</v>
      </c>
      <c r="V27" s="5">
        <f t="shared" ref="V27:V32" si="7">(1/($C$29*F27))*(1-(U27/($C$19-1)))</f>
        <v>0.8290655734105975</v>
      </c>
      <c r="X27" s="5">
        <f t="shared" ref="X27:X32" si="8">ABS(H27-V27)</f>
        <v>0.20764353939172342</v>
      </c>
      <c r="Y27" s="5"/>
      <c r="Z27" s="5">
        <f t="shared" ref="Z27:Z32" si="9">X27/$Y$26</f>
        <v>2.9651277240661862E-2</v>
      </c>
      <c r="AA27" s="5"/>
    </row>
    <row r="28" spans="2:27" x14ac:dyDescent="0.25">
      <c r="C28" s="5" t="s">
        <v>15</v>
      </c>
      <c r="F28" s="2">
        <v>67.587500000000006</v>
      </c>
      <c r="G28" s="2">
        <v>3.2116199999999999</v>
      </c>
      <c r="H28" s="5">
        <f t="shared" si="3"/>
        <v>1.0212834566964446</v>
      </c>
      <c r="K28" s="5">
        <f t="shared" si="0"/>
        <v>-0.29855492615773255</v>
      </c>
      <c r="L28" s="5">
        <f t="shared" si="4"/>
        <v>-0.48481645699806003</v>
      </c>
      <c r="M28" s="5">
        <f t="shared" si="5"/>
        <v>2.5758238659290824</v>
      </c>
      <c r="N28" s="5"/>
      <c r="O28" s="5">
        <f t="shared" si="1"/>
        <v>0.63579613407091751</v>
      </c>
      <c r="P28" s="5"/>
      <c r="Q28" s="5">
        <f t="shared" si="2"/>
        <v>4.0876645602143094E-3</v>
      </c>
      <c r="R28" s="5"/>
      <c r="T28" s="5">
        <f t="shared" si="6"/>
        <v>-0.29855492615773255</v>
      </c>
      <c r="U28" s="5" cm="1">
        <f t="array" ref="U28">lmb_1_0(T28)</f>
        <v>-0.48481645699806003</v>
      </c>
      <c r="V28" s="5">
        <f t="shared" si="7"/>
        <v>0.82292430017517471</v>
      </c>
      <c r="X28" s="5">
        <f t="shared" si="8"/>
        <v>0.1983591565212699</v>
      </c>
      <c r="Y28" s="5"/>
      <c r="Z28" s="5">
        <f t="shared" si="9"/>
        <v>2.8325477211887922E-2</v>
      </c>
      <c r="AA28" s="5"/>
    </row>
    <row r="29" spans="2:27" x14ac:dyDescent="0.25">
      <c r="C29" s="5" cm="1">
        <f t="array" ref="C29">1/((C19-1)*(C21*B21))*lmb_1_0(C27)/(1+lmb_1_0(C27))</f>
        <v>2.9061754117539959E-3</v>
      </c>
      <c r="F29" s="2">
        <v>132.167</v>
      </c>
      <c r="G29" s="2">
        <v>5.0788399999999996</v>
      </c>
      <c r="H29" s="5">
        <f t="shared" si="3"/>
        <v>0.82590486614817937</v>
      </c>
      <c r="K29" s="5">
        <f t="shared" si="0"/>
        <v>-0.2758363918198794</v>
      </c>
      <c r="L29" s="5">
        <f t="shared" si="4"/>
        <v>-0.41967666654331998</v>
      </c>
      <c r="M29" s="5">
        <f t="shared" si="5"/>
        <v>4.3708375608587042</v>
      </c>
      <c r="N29" s="5"/>
      <c r="O29" s="5">
        <f t="shared" si="1"/>
        <v>0.70800243914129535</v>
      </c>
      <c r="P29" s="5"/>
      <c r="Q29" s="5">
        <f t="shared" si="2"/>
        <v>4.5518937972975357E-3</v>
      </c>
      <c r="R29" s="5"/>
      <c r="T29" s="5">
        <f t="shared" si="6"/>
        <v>-0.2758363918198794</v>
      </c>
      <c r="U29" s="5" cm="1">
        <f t="array" ref="U29">lmb_1_0(T29)</f>
        <v>-0.41967666654331998</v>
      </c>
      <c r="V29" s="5">
        <f t="shared" si="7"/>
        <v>0.71408800977002806</v>
      </c>
      <c r="X29" s="5">
        <f t="shared" si="8"/>
        <v>0.11181685637815131</v>
      </c>
      <c r="Y29" s="5"/>
      <c r="Z29" s="5">
        <f t="shared" si="9"/>
        <v>1.5967328520600187E-2</v>
      </c>
      <c r="AA29" s="5"/>
    </row>
    <row r="30" spans="2:27" x14ac:dyDescent="0.25">
      <c r="F30" s="2">
        <v>174.77500000000001</v>
      </c>
      <c r="G30" s="2">
        <v>6.1244800000000001</v>
      </c>
      <c r="H30" s="5">
        <f t="shared" si="3"/>
        <v>0.75314472003551103</v>
      </c>
      <c r="K30" s="5">
        <f t="shared" si="0"/>
        <v>-0.26180220337227278</v>
      </c>
      <c r="L30" s="5">
        <f t="shared" si="4"/>
        <v>-0.38459089859671636</v>
      </c>
      <c r="M30" s="5">
        <f t="shared" si="5"/>
        <v>5.3376726323506087</v>
      </c>
      <c r="N30" s="5"/>
      <c r="O30" s="5">
        <f t="shared" si="1"/>
        <v>0.78680736764939141</v>
      </c>
      <c r="P30" s="5"/>
      <c r="Q30" s="5">
        <f t="shared" si="2"/>
        <v>5.0585469462719138E-3</v>
      </c>
      <c r="R30" s="5"/>
      <c r="T30" s="5">
        <f t="shared" si="6"/>
        <v>-0.26180220337227278</v>
      </c>
      <c r="U30" s="5" cm="1">
        <f t="array" ref="U30">lmb_1_0(T30)</f>
        <v>-0.38459089859671636</v>
      </c>
      <c r="V30" s="5">
        <f t="shared" si="7"/>
        <v>0.65945130214536452</v>
      </c>
      <c r="X30" s="5">
        <f t="shared" si="8"/>
        <v>9.3693417890146513E-2</v>
      </c>
      <c r="Y30" s="5"/>
      <c r="Z30" s="5">
        <f t="shared" si="9"/>
        <v>1.3379320722543305E-2</v>
      </c>
      <c r="AA30" s="5"/>
    </row>
    <row r="31" spans="2:27" x14ac:dyDescent="0.25">
      <c r="F31" s="2">
        <v>257.65100000000001</v>
      </c>
      <c r="G31" s="2">
        <v>7.1701199999999998</v>
      </c>
      <c r="H31" s="5">
        <f t="shared" si="3"/>
        <v>0.5981128287652927</v>
      </c>
      <c r="K31" s="5">
        <f t="shared" si="0"/>
        <v>-0.23651693326040979</v>
      </c>
      <c r="L31" s="5">
        <f t="shared" si="4"/>
        <v>-0.32849166748653852</v>
      </c>
      <c r="M31" s="5">
        <f t="shared" si="5"/>
        <v>6.8835616721343307</v>
      </c>
      <c r="N31" s="5"/>
      <c r="O31" s="5">
        <f t="shared" si="1"/>
        <v>0.28655832786566915</v>
      </c>
      <c r="P31" s="5"/>
      <c r="Q31" s="5">
        <f t="shared" si="2"/>
        <v>1.8423426291549519E-3</v>
      </c>
      <c r="R31" s="5"/>
      <c r="T31" s="5">
        <f t="shared" si="6"/>
        <v>-0.23651693326040979</v>
      </c>
      <c r="U31" s="5" cm="1">
        <f t="array" ref="U31">lmb_1_0(T31)</f>
        <v>-0.32849166748653852</v>
      </c>
      <c r="V31" s="5">
        <f t="shared" si="7"/>
        <v>0.57688796920125096</v>
      </c>
      <c r="X31" s="5">
        <f t="shared" si="8"/>
        <v>2.1224859564041743E-2</v>
      </c>
      <c r="Y31" s="5"/>
      <c r="Z31" s="5">
        <f t="shared" si="9"/>
        <v>3.0308874389789976E-3</v>
      </c>
      <c r="AA31" s="5"/>
    </row>
    <row r="32" spans="2:27" x14ac:dyDescent="0.25">
      <c r="F32" s="2">
        <v>422.90199999999999</v>
      </c>
      <c r="G32" s="2">
        <v>9.0373400000000004</v>
      </c>
      <c r="H32" s="5">
        <f t="shared" si="3"/>
        <v>0.45929255775319566</v>
      </c>
      <c r="K32" s="5">
        <f t="shared" si="0"/>
        <v>-0.19315536793366103</v>
      </c>
      <c r="L32" s="5">
        <f t="shared" si="4"/>
        <v>-0.24736332434220934</v>
      </c>
      <c r="M32" s="5">
        <f t="shared" si="5"/>
        <v>9.1191612338523509</v>
      </c>
      <c r="N32" s="5"/>
      <c r="O32" s="5">
        <f t="shared" si="1"/>
        <v>8.1821233852350517E-2</v>
      </c>
      <c r="P32" s="5"/>
      <c r="Q32" s="5">
        <f t="shared" si="2"/>
        <v>5.2604559853135994E-4</v>
      </c>
      <c r="R32" s="5"/>
      <c r="T32" s="5">
        <f t="shared" si="6"/>
        <v>-0.19315536793366103</v>
      </c>
      <c r="U32" s="5" cm="1">
        <f t="array" ref="U32">lmb_1_0(T32)</f>
        <v>-0.24736332434220934</v>
      </c>
      <c r="V32" s="5">
        <f t="shared" si="7"/>
        <v>0.46561317651804535</v>
      </c>
      <c r="X32" s="5">
        <f t="shared" si="8"/>
        <v>6.3206187648496837E-3</v>
      </c>
      <c r="Y32" s="5"/>
      <c r="Z32" s="5">
        <f t="shared" si="9"/>
        <v>9.0257765725870677E-4</v>
      </c>
      <c r="AA32" s="5"/>
    </row>
    <row r="33" spans="6:26" x14ac:dyDescent="0.25">
      <c r="F33" s="2">
        <v>505.61099999999999</v>
      </c>
      <c r="G33" s="2">
        <v>10.0083</v>
      </c>
      <c r="H33" s="5">
        <f t="shared" ref="H33:H40" si="10">(G33/F33)/($G$26/$F$26)</f>
        <v>0.4254341291646051</v>
      </c>
      <c r="K33" s="5">
        <f t="shared" ref="K33:K40" si="11">($C$19-1)*EXP($C$19-1)*EXP(-F33/($C$21*$B$21))</f>
        <v>-0.17453583588184171</v>
      </c>
      <c r="L33" s="5">
        <f t="shared" ref="L33:L40" si="12">lmb_1_0(K33)</f>
        <v>-0.21678749244393641</v>
      </c>
      <c r="M33" s="5">
        <f t="shared" ref="M33:M40" si="13">$C$23*B$23*(1-L33/($C$19-1))</f>
        <v>9.9617190101074033</v>
      </c>
      <c r="N33" s="5"/>
      <c r="O33" s="5">
        <f t="shared" ref="O33:O40" si="14">ABS(M33-G33)</f>
        <v>4.6580989892596847E-2</v>
      </c>
      <c r="P33" s="5"/>
      <c r="Q33" s="5">
        <f t="shared" ref="Q33:Q40" si="15">O33/$P$26</f>
        <v>2.994787973064819E-4</v>
      </c>
      <c r="R33" s="5"/>
      <c r="T33" s="5">
        <f t="shared" ref="T33:T40" si="16">$C$27*EXP(-F33/($C$21*$B$21))</f>
        <v>-0.17453583588184171</v>
      </c>
      <c r="U33" s="5" cm="1">
        <f t="array" ref="U33">lmb_1_0(T33)</f>
        <v>-0.21678749244393641</v>
      </c>
      <c r="V33" s="5">
        <f t="shared" ref="V33:V40" si="17">(1/($C$29*F33))*(1-(U33/($C$19-1)))</f>
        <v>0.42542977322284414</v>
      </c>
      <c r="X33" s="5">
        <f t="shared" ref="X33:X40" si="18">ABS(H33-V33)</f>
        <v>4.3559417609584372E-6</v>
      </c>
      <c r="Y33" s="5"/>
      <c r="Z33" s="5">
        <f t="shared" ref="Z33:Z40" si="19">X33/$Y$26</f>
        <v>6.2202386443959686E-7</v>
      </c>
    </row>
    <row r="34" spans="6:26" x14ac:dyDescent="0.25">
      <c r="F34" s="2">
        <v>648.22199999999998</v>
      </c>
      <c r="G34" s="2">
        <v>10.7552</v>
      </c>
      <c r="H34" s="5">
        <f t="shared" si="10"/>
        <v>0.356601569397342</v>
      </c>
      <c r="K34" s="5">
        <f t="shared" si="11"/>
        <v>-0.1465478249246413</v>
      </c>
      <c r="L34" s="5">
        <f t="shared" si="12"/>
        <v>-0.17448458722987517</v>
      </c>
      <c r="M34" s="5">
        <f t="shared" si="13"/>
        <v>11.127431912535448</v>
      </c>
      <c r="N34" s="5"/>
      <c r="O34" s="5">
        <f t="shared" si="14"/>
        <v>0.37223191253544741</v>
      </c>
      <c r="P34" s="5"/>
      <c r="Q34" s="5">
        <f t="shared" si="15"/>
        <v>2.3931557861316352E-3</v>
      </c>
      <c r="R34" s="5"/>
      <c r="T34" s="5">
        <f t="shared" si="16"/>
        <v>-0.1465478249246413</v>
      </c>
      <c r="U34" s="5" cm="1">
        <f t="array" ref="U34">lmb_1_0(T34)</f>
        <v>-0.17448458722987517</v>
      </c>
      <c r="V34" s="5">
        <f t="shared" si="17"/>
        <v>0.37066474904933316</v>
      </c>
      <c r="X34" s="5">
        <f t="shared" si="18"/>
        <v>1.4063179651991164E-2</v>
      </c>
      <c r="Y34" s="5"/>
      <c r="Z34" s="5">
        <f t="shared" si="19"/>
        <v>2.0082071417582745E-3</v>
      </c>
    </row>
    <row r="35" spans="6:26" x14ac:dyDescent="0.25">
      <c r="F35" s="2">
        <v>730.26300000000003</v>
      </c>
      <c r="G35" s="2">
        <v>11.4274</v>
      </c>
      <c r="H35" s="5">
        <f t="shared" si="10"/>
        <v>0.3363230698053325</v>
      </c>
      <c r="K35" s="5">
        <f t="shared" si="11"/>
        <v>-0.13252955834778329</v>
      </c>
      <c r="L35" s="5">
        <f t="shared" si="12"/>
        <v>-0.15470328416105314</v>
      </c>
      <c r="M35" s="5">
        <f t="shared" si="13"/>
        <v>11.672532068127136</v>
      </c>
      <c r="N35" s="5"/>
      <c r="O35" s="5">
        <f t="shared" si="14"/>
        <v>0.24513206812713584</v>
      </c>
      <c r="P35" s="5"/>
      <c r="Q35" s="5">
        <f t="shared" si="15"/>
        <v>1.5760046558313402E-3</v>
      </c>
      <c r="R35" s="5"/>
      <c r="T35" s="5">
        <f t="shared" si="16"/>
        <v>-0.13252955834778329</v>
      </c>
      <c r="U35" s="5" cm="1">
        <f t="array" ref="U35">lmb_1_0(T35)</f>
        <v>-0.15470328416105314</v>
      </c>
      <c r="V35" s="5">
        <f t="shared" si="17"/>
        <v>0.34514046941229221</v>
      </c>
      <c r="X35" s="5">
        <f t="shared" si="18"/>
        <v>8.8173996069597083E-3</v>
      </c>
      <c r="Y35" s="5"/>
      <c r="Z35" s="5">
        <f t="shared" si="19"/>
        <v>1.2591153139344263E-3</v>
      </c>
    </row>
    <row r="36" spans="6:26" x14ac:dyDescent="0.25">
      <c r="F36" s="2">
        <v>1197.53</v>
      </c>
      <c r="G36" s="2">
        <v>13.294600000000001</v>
      </c>
      <c r="H36" s="5">
        <f t="shared" si="10"/>
        <v>0.23860382361060925</v>
      </c>
      <c r="K36" s="5">
        <f t="shared" si="11"/>
        <v>-7.474947697911466E-2</v>
      </c>
      <c r="L36" s="5">
        <f t="shared" si="12"/>
        <v>-8.1061110938983313E-2</v>
      </c>
      <c r="M36" s="5">
        <f t="shared" si="13"/>
        <v>13.701840245743107</v>
      </c>
      <c r="N36" s="5"/>
      <c r="O36" s="5">
        <f t="shared" si="14"/>
        <v>0.40724024574310569</v>
      </c>
      <c r="P36" s="5"/>
      <c r="Q36" s="5">
        <f t="shared" si="15"/>
        <v>2.6182315852700372E-3</v>
      </c>
      <c r="R36" s="5"/>
      <c r="T36" s="5">
        <f t="shared" si="16"/>
        <v>-7.474947697911466E-2</v>
      </c>
      <c r="U36" s="5" cm="1">
        <f t="array" ref="U36">lmb_1_0(T36)</f>
        <v>-8.1061110938983313E-2</v>
      </c>
      <c r="V36" s="5">
        <f t="shared" si="17"/>
        <v>0.24706009511315349</v>
      </c>
      <c r="X36" s="5">
        <f t="shared" si="18"/>
        <v>8.4562715025442436E-3</v>
      </c>
      <c r="Y36" s="5"/>
      <c r="Z36" s="5">
        <f t="shared" si="19"/>
        <v>1.2075466035628651E-3</v>
      </c>
    </row>
    <row r="37" spans="6:26" x14ac:dyDescent="0.25">
      <c r="F37" s="15">
        <v>1703.56</v>
      </c>
      <c r="G37" s="16">
        <v>14.489599999999999</v>
      </c>
      <c r="H37" s="5">
        <f t="shared" si="10"/>
        <v>0.1828047550096307</v>
      </c>
      <c r="K37" s="5">
        <f t="shared" si="11"/>
        <v>-4.0204236163704971E-2</v>
      </c>
      <c r="L37" s="5">
        <f t="shared" si="12"/>
        <v>-4.1925659006521183E-2</v>
      </c>
      <c r="M37" s="5">
        <f t="shared" si="13"/>
        <v>14.780269753815277</v>
      </c>
      <c r="N37" s="5"/>
      <c r="O37" s="5">
        <f t="shared" si="14"/>
        <v>0.29066975381527804</v>
      </c>
      <c r="P37" s="5"/>
      <c r="Q37" s="5">
        <f t="shared" si="15"/>
        <v>1.8687758350924501E-3</v>
      </c>
      <c r="R37" s="5"/>
      <c r="T37" s="5">
        <f t="shared" si="16"/>
        <v>-4.0204236163704971E-2</v>
      </c>
      <c r="U37" s="5" cm="1">
        <f t="array" ref="U37">lmb_1_0(T37)</f>
        <v>-4.1925659006521183E-2</v>
      </c>
      <c r="V37" s="5">
        <f t="shared" si="17"/>
        <v>0.18734194847614016</v>
      </c>
      <c r="X37" s="5">
        <f t="shared" si="18"/>
        <v>4.5371934665094649E-3</v>
      </c>
      <c r="Y37" s="5"/>
      <c r="Z37" s="5">
        <f t="shared" si="19"/>
        <v>6.4790641579361478E-4</v>
      </c>
    </row>
    <row r="38" spans="6:26" x14ac:dyDescent="0.25">
      <c r="F38" s="15">
        <v>2006.24</v>
      </c>
      <c r="G38" s="16">
        <v>14.788399999999999</v>
      </c>
      <c r="H38" s="5">
        <f t="shared" si="10"/>
        <v>0.15842613593692192</v>
      </c>
      <c r="K38" s="5">
        <f t="shared" si="11"/>
        <v>-2.7744012002776652E-2</v>
      </c>
      <c r="L38" s="5">
        <f t="shared" si="12"/>
        <v>-2.8547446123904471E-2</v>
      </c>
      <c r="M38" s="5">
        <f t="shared" si="13"/>
        <v>15.148924230139791</v>
      </c>
      <c r="N38" s="5"/>
      <c r="O38" s="5">
        <f t="shared" si="14"/>
        <v>0.36052423013979151</v>
      </c>
      <c r="P38" s="5"/>
      <c r="Q38" s="5">
        <f t="shared" si="15"/>
        <v>2.3178846798030308E-3</v>
      </c>
      <c r="R38" s="5"/>
      <c r="T38" s="5">
        <f t="shared" si="16"/>
        <v>-2.7744012002776652E-2</v>
      </c>
      <c r="U38" s="5" cm="1">
        <f t="array" ref="U38">lmb_1_0(T38)</f>
        <v>-2.8547446123904471E-2</v>
      </c>
      <c r="V38" s="5">
        <f t="shared" si="17"/>
        <v>0.16304557435752681</v>
      </c>
      <c r="X38" s="5">
        <f t="shared" si="18"/>
        <v>4.6194384206048877E-3</v>
      </c>
      <c r="Y38" s="5"/>
      <c r="Z38" s="5">
        <f t="shared" si="19"/>
        <v>6.5965090802618215E-4</v>
      </c>
    </row>
    <row r="39" spans="6:26" x14ac:dyDescent="0.25">
      <c r="F39" s="15">
        <v>2712.77</v>
      </c>
      <c r="G39" s="16">
        <v>15.61</v>
      </c>
      <c r="H39" s="5">
        <f t="shared" si="10"/>
        <v>0.12367401350958609</v>
      </c>
      <c r="K39" s="5">
        <f t="shared" si="11"/>
        <v>-1.1671214552489305E-2</v>
      </c>
      <c r="L39" s="5">
        <f t="shared" si="12"/>
        <v>-1.1809867169026871E-2</v>
      </c>
      <c r="M39" s="5">
        <f t="shared" si="13"/>
        <v>15.610150513402802</v>
      </c>
      <c r="N39" s="5"/>
      <c r="O39" s="5">
        <f t="shared" si="14"/>
        <v>1.5051340280258785E-4</v>
      </c>
      <c r="P39" s="5"/>
      <c r="Q39" s="5">
        <f t="shared" si="15"/>
        <v>9.6768172925816184E-7</v>
      </c>
      <c r="R39" s="5"/>
      <c r="T39" s="5">
        <f t="shared" si="16"/>
        <v>-1.1671214552489305E-2</v>
      </c>
      <c r="U39" s="5" cm="1">
        <f t="array" ref="U39">lmb_1_0(T39)</f>
        <v>-1.1809867169026871E-2</v>
      </c>
      <c r="V39" s="5">
        <f t="shared" si="17"/>
        <v>0.12425223894112891</v>
      </c>
      <c r="X39" s="5">
        <f t="shared" si="18"/>
        <v>5.7822543154281703E-4</v>
      </c>
      <c r="Y39" s="5"/>
      <c r="Z39" s="5">
        <f t="shared" si="19"/>
        <v>8.2569978476107649E-5</v>
      </c>
    </row>
    <row r="40" spans="6:26" x14ac:dyDescent="0.25">
      <c r="F40" s="15">
        <v>4043.47</v>
      </c>
      <c r="G40" s="16">
        <v>16.4315</v>
      </c>
      <c r="H40" s="5">
        <f t="shared" si="10"/>
        <v>8.7339662971862964E-2</v>
      </c>
      <c r="K40" s="5">
        <f t="shared" si="11"/>
        <v>-2.2847887212421392E-3</v>
      </c>
      <c r="L40" s="5">
        <f t="shared" si="12"/>
        <v>-2.2900269445233538E-3</v>
      </c>
      <c r="M40" s="5">
        <f t="shared" si="13"/>
        <v>15.872482391617837</v>
      </c>
      <c r="N40" s="5"/>
      <c r="O40" s="5">
        <f t="shared" si="14"/>
        <v>0.55901760838216319</v>
      </c>
      <c r="P40" s="5"/>
      <c r="Q40" s="5">
        <f t="shared" si="15"/>
        <v>3.594039573170242E-3</v>
      </c>
      <c r="R40" s="5"/>
      <c r="T40" s="5">
        <f t="shared" si="16"/>
        <v>-2.2847887212421392E-3</v>
      </c>
      <c r="U40" s="5" cm="1">
        <f t="array" ref="U40">lmb_1_0(T40)</f>
        <v>-2.2900269445233538E-3</v>
      </c>
      <c r="V40" s="5">
        <f t="shared" si="17"/>
        <v>8.4761910175933611E-2</v>
      </c>
      <c r="X40" s="5">
        <f t="shared" si="18"/>
        <v>2.5777527959293528E-3</v>
      </c>
      <c r="Y40" s="5"/>
      <c r="Z40" s="5">
        <f t="shared" si="19"/>
        <v>3.6810036581874558E-4</v>
      </c>
    </row>
    <row r="41" spans="6:26" x14ac:dyDescent="0.25">
      <c r="F41" s="15">
        <v>6038.1</v>
      </c>
      <c r="G41" s="16">
        <v>17.029</v>
      </c>
      <c r="H41" s="5">
        <f t="shared" ref="H41" si="20">(G41/F41)/($G$26/$F$26)</f>
        <v>6.0614617647063732E-2</v>
      </c>
      <c r="K41" s="5">
        <f t="shared" ref="K41" si="21">($C$19-1)*EXP($C$19-1)*EXP(-F41/($C$21*$B$21))</f>
        <v>-1.9824253230396111E-4</v>
      </c>
      <c r="L41" s="5">
        <f t="shared" ref="L41" si="22">lmb_1_0(K41)</f>
        <v>-1.9828184409612315E-4</v>
      </c>
      <c r="M41" s="5">
        <f t="shared" ref="M41" si="23">$C$23*B$23*(1-L41/($C$19-1))</f>
        <v>15.930123214152836</v>
      </c>
      <c r="N41" s="5"/>
      <c r="O41" s="5">
        <f t="shared" ref="O41" si="24">ABS(M41-G41)</f>
        <v>1.098876785847164</v>
      </c>
      <c r="P41" s="5"/>
      <c r="Q41" s="5">
        <f t="shared" ref="Q41" si="25">O41/$P$26</f>
        <v>7.0649056400972649E-3</v>
      </c>
      <c r="R41" s="5"/>
      <c r="T41" s="5">
        <f t="shared" ref="T41" si="26">$C$27*EXP(-F41/($C$21*$B$21))</f>
        <v>-1.9824253230396111E-4</v>
      </c>
      <c r="U41" s="5" cm="1">
        <f t="array" ref="U41">lmb_1_0(T41)</f>
        <v>-1.9828184409612315E-4</v>
      </c>
      <c r="V41" s="5">
        <f t="shared" ref="V41" si="27">(1/($C$29*F41))*(1-(U41/($C$19-1)))</f>
        <v>5.6967733388269812E-2</v>
      </c>
      <c r="X41" s="5">
        <f t="shared" ref="X41" si="28">ABS(H41-V41)</f>
        <v>3.6468842587939199E-3</v>
      </c>
      <c r="Y41" s="5"/>
      <c r="Z41" s="5">
        <f t="shared" ref="Z41" si="29">X41/$Y$26</f>
        <v>5.2077120501257631E-4</v>
      </c>
    </row>
    <row r="42" spans="6:26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6:26" x14ac:dyDescent="0.25">
      <c r="F43" s="15"/>
      <c r="G43" s="16"/>
      <c r="K43" s="5"/>
      <c r="L43" s="5"/>
      <c r="M43" s="5"/>
      <c r="N43" s="5"/>
      <c r="O43" s="5"/>
      <c r="P43" s="5"/>
      <c r="Q43" s="5"/>
    </row>
    <row r="44" spans="6:26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6:26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6:26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6:26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6:26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6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6:17" x14ac:dyDescent="0.25">
      <c r="F50" s="15"/>
      <c r="G50" s="16"/>
      <c r="K50" s="5"/>
      <c r="L50" s="5"/>
      <c r="M50" s="5"/>
      <c r="N50" s="5"/>
      <c r="O50" s="5"/>
      <c r="P50" s="5"/>
      <c r="Q50" s="5"/>
    </row>
    <row r="51" spans="6:17" x14ac:dyDescent="0.25">
      <c r="F51" s="15"/>
      <c r="G51" s="16"/>
      <c r="K51" s="5"/>
      <c r="L51" s="5"/>
      <c r="M51" s="5"/>
      <c r="N51" s="5"/>
      <c r="O51" s="5"/>
      <c r="P51" s="5"/>
      <c r="Q51" s="5"/>
    </row>
    <row r="52" spans="6:17" x14ac:dyDescent="0.25">
      <c r="F52" s="15"/>
      <c r="G52" s="16"/>
      <c r="K52" s="5"/>
      <c r="L52" s="5"/>
      <c r="M52" s="5"/>
      <c r="N52" s="5"/>
      <c r="O52" s="5"/>
      <c r="P52" s="5"/>
      <c r="Q52" s="5"/>
    </row>
    <row r="53" spans="6:17" x14ac:dyDescent="0.25">
      <c r="F53" s="15"/>
      <c r="G53" s="16"/>
      <c r="K53" s="5"/>
      <c r="L53" s="5"/>
      <c r="M53" s="5"/>
      <c r="N53" s="5"/>
      <c r="O53" s="5"/>
      <c r="P53" s="5"/>
      <c r="Q53" s="5"/>
    </row>
    <row r="54" spans="6:17" x14ac:dyDescent="0.25">
      <c r="F54" s="15"/>
      <c r="G54" s="16"/>
      <c r="K54" s="5"/>
      <c r="L54" s="5"/>
      <c r="M54" s="5"/>
      <c r="N54" s="5"/>
      <c r="O54" s="5"/>
      <c r="P54" s="5"/>
      <c r="Q54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OTOR model</vt:lpstr>
      <vt:lpstr>f(D)</vt:lpstr>
      <vt:lpstr>g(D)</vt:lpstr>
      <vt:lpstr>OTOR and f(D)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2020-08-20T12:08:27Z</dcterms:created>
  <dcterms:modified xsi:type="dcterms:W3CDTF">2022-01-23T11:00:00Z</dcterms:modified>
</cp:coreProperties>
</file>