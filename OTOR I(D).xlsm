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esktop\Dosimetry\Deconovolution\I(D)\"/>
    </mc:Choice>
  </mc:AlternateContent>
  <xr:revisionPtr revIDLastSave="0" documentId="13_ncr:1_{7CE61895-C9EC-412D-BE09-ACE1B0984DB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OTOR model" sheetId="1" r:id="rId1"/>
    <sheet name="f(D)" sheetId="3" r:id="rId2"/>
  </sheets>
  <functionGroups builtInGroupCount="19"/>
  <definedNames>
    <definedName name="solver_adj" localSheetId="1" hidden="1">'f(D)'!$C$20,'f(D)'!$C$22</definedName>
    <definedName name="solver_adj" localSheetId="0" hidden="1">'OTOR model'!$C$19,'OTOR model'!$C$21,'OTOR model'!$C$23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0" hidden="1">'OTOR model'!$C$19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'f(D)'!$P$20</definedName>
    <definedName name="solver_opt" localSheetId="0" hidden="1">'OTOR model'!$R$26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2</definedName>
    <definedName name="solver_rel1" localSheetId="0" hidden="1">6</definedName>
    <definedName name="solver_rhs1" localSheetId="0" hidden="1">AllDifferent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3" l="1"/>
  <c r="C26" i="3" s="1"/>
  <c r="C22" i="3"/>
  <c r="K36" i="1"/>
  <c r="E20" i="3"/>
  <c r="F20" i="3"/>
  <c r="E21" i="3"/>
  <c r="F21" i="3"/>
  <c r="G21" i="3" s="1"/>
  <c r="E22" i="3"/>
  <c r="F22" i="3"/>
  <c r="G22" i="3" s="1"/>
  <c r="E23" i="3"/>
  <c r="F23" i="3"/>
  <c r="L36" i="1"/>
  <c r="C28" i="3" a="1"/>
  <c r="M36" i="1" l="1"/>
  <c r="O36" i="1" s="1"/>
  <c r="G20" i="3"/>
  <c r="G23" i="3"/>
  <c r="I23" i="3"/>
  <c r="I22" i="3"/>
  <c r="I21" i="3"/>
  <c r="I20" i="3"/>
  <c r="C28" i="3"/>
  <c r="F24" i="3"/>
  <c r="G24" i="3" s="1"/>
  <c r="F25" i="3"/>
  <c r="F26" i="3"/>
  <c r="F27" i="3"/>
  <c r="F28" i="3"/>
  <c r="F29" i="3"/>
  <c r="E24" i="3"/>
  <c r="I24" i="3" s="1"/>
  <c r="E25" i="3"/>
  <c r="I25" i="3" s="1"/>
  <c r="E26" i="3"/>
  <c r="I26" i="3" s="1"/>
  <c r="E27" i="3"/>
  <c r="I27" i="3" s="1"/>
  <c r="E28" i="3"/>
  <c r="I28" i="3" s="1"/>
  <c r="E29" i="3"/>
  <c r="I29" i="3" s="1"/>
  <c r="D21" i="1"/>
  <c r="K27" i="1"/>
  <c r="K28" i="1"/>
  <c r="K29" i="1"/>
  <c r="K30" i="1"/>
  <c r="K31" i="1"/>
  <c r="K32" i="1"/>
  <c r="K33" i="1"/>
  <c r="K34" i="1"/>
  <c r="K35" i="1"/>
  <c r="J20" i="3" a="1"/>
  <c r="J26" i="3" a="1"/>
  <c r="J23" i="3" a="1"/>
  <c r="J24" i="3" a="1"/>
  <c r="J22" i="3" a="1"/>
  <c r="J25" i="3" a="1"/>
  <c r="J28" i="3" a="1"/>
  <c r="J29" i="3" a="1"/>
  <c r="J21" i="3" a="1"/>
  <c r="J27" i="3" a="1"/>
  <c r="G25" i="3" l="1"/>
  <c r="J23" i="3"/>
  <c r="K23" i="3" s="1"/>
  <c r="M23" i="3" s="1"/>
  <c r="G29" i="3"/>
  <c r="G27" i="3"/>
  <c r="G26" i="3"/>
  <c r="J22" i="3"/>
  <c r="K22" i="3" s="1"/>
  <c r="M22" i="3" s="1"/>
  <c r="G28" i="3"/>
  <c r="J29" i="3"/>
  <c r="K29" i="3" s="1"/>
  <c r="J21" i="3"/>
  <c r="K21" i="3" s="1"/>
  <c r="M21" i="3" s="1"/>
  <c r="J28" i="3"/>
  <c r="K28" i="3" s="1"/>
  <c r="J26" i="3"/>
  <c r="K26" i="3" s="1"/>
  <c r="J25" i="3"/>
  <c r="K25" i="3" s="1"/>
  <c r="M25" i="3" s="1"/>
  <c r="J27" i="3"/>
  <c r="K27" i="3" s="1"/>
  <c r="M27" i="3" s="1"/>
  <c r="J20" i="3"/>
  <c r="K20" i="3" s="1"/>
  <c r="J24" i="3"/>
  <c r="K24" i="3" s="1"/>
  <c r="M24" i="3" s="1"/>
  <c r="K26" i="1"/>
  <c r="L34" i="1"/>
  <c r="L29" i="1"/>
  <c r="L27" i="1"/>
  <c r="L31" i="1"/>
  <c r="L33" i="1"/>
  <c r="L28" i="1"/>
  <c r="L32" i="1"/>
  <c r="L26" i="1"/>
  <c r="L35" i="1"/>
  <c r="L30" i="1"/>
  <c r="M26" i="3" l="1"/>
  <c r="M29" i="3"/>
  <c r="M28" i="3"/>
  <c r="N20" i="3"/>
  <c r="O27" i="3" s="1"/>
  <c r="M20" i="3"/>
  <c r="M26" i="1"/>
  <c r="M30" i="1"/>
  <c r="O30" i="1" s="1"/>
  <c r="M28" i="1"/>
  <c r="O28" i="1" s="1"/>
  <c r="M32" i="1"/>
  <c r="O32" i="1" s="1"/>
  <c r="M27" i="1"/>
  <c r="M29" i="1"/>
  <c r="O29" i="1" s="1"/>
  <c r="M33" i="1"/>
  <c r="O33" i="1" s="1"/>
  <c r="M34" i="1"/>
  <c r="O34" i="1" s="1"/>
  <c r="M35" i="1"/>
  <c r="O35" i="1" s="1"/>
  <c r="M31" i="1"/>
  <c r="O31" i="1" s="1"/>
  <c r="O24" i="3" l="1"/>
  <c r="O22" i="3"/>
  <c r="O28" i="3"/>
  <c r="O29" i="3"/>
  <c r="O21" i="3"/>
  <c r="O26" i="3"/>
  <c r="O25" i="3"/>
  <c r="O23" i="3"/>
  <c r="O20" i="3"/>
  <c r="P26" i="1"/>
  <c r="Q36" i="1" s="1"/>
  <c r="O26" i="1"/>
  <c r="O27" i="1"/>
  <c r="P20" i="3" l="1"/>
  <c r="Q32" i="1"/>
  <c r="Q30" i="1"/>
  <c r="Q27" i="1"/>
  <c r="Q29" i="1"/>
  <c r="Q26" i="1"/>
  <c r="Q35" i="1"/>
  <c r="Q31" i="1"/>
  <c r="Q28" i="1"/>
  <c r="Q33" i="1"/>
  <c r="Q34" i="1"/>
  <c r="R2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<sst xmlns="http://schemas.openxmlformats.org/spreadsheetml/2006/main" count="28" uniqueCount="20">
  <si>
    <t>Dose</t>
  </si>
  <si>
    <t>I</t>
  </si>
  <si>
    <t>z</t>
  </si>
  <si>
    <t>w</t>
  </si>
  <si>
    <t>ABS(EX-THEOR)</t>
  </si>
  <si>
    <t>Afit</t>
  </si>
  <si>
    <t>fom</t>
  </si>
  <si>
    <t>fom(tot)</t>
  </si>
  <si>
    <t>R</t>
  </si>
  <si>
    <t>Dc</t>
  </si>
  <si>
    <t>I0</t>
  </si>
  <si>
    <t>Ith</t>
  </si>
  <si>
    <t>factors</t>
  </si>
  <si>
    <t>f(D) exp</t>
  </si>
  <si>
    <r>
      <rPr>
        <sz val="11"/>
        <color theme="1"/>
        <rFont val="Calibri"/>
        <family val="2"/>
        <scheme val="minor"/>
      </rPr>
      <t>z</t>
    </r>
    <r>
      <rPr>
        <vertAlign val="subscript"/>
        <sz val="11"/>
        <color theme="1"/>
        <rFont val="Calibri"/>
        <family val="2"/>
        <scheme val="minor"/>
      </rPr>
      <t>R</t>
    </r>
  </si>
  <si>
    <t>k</t>
  </si>
  <si>
    <t>f(D) theo</t>
  </si>
  <si>
    <t>ABS (EXP-Theo)</t>
  </si>
  <si>
    <t>FOM</t>
  </si>
  <si>
    <t>FOM%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</si>
</sst>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161"/>
      <scheme val="minor"/>
    </font>
    <font>
      <vertAlign val="sub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/>
    <xf numFmtId="0" fontId="0" fillId="0" borderId="0" xfId="0"/>
    <xf numFmtId="0" fontId="0" fillId="0" borderId="0" xfId="0" applyFill="1"/>
    <xf numFmtId="11" fontId="0" fillId="0" borderId="0" xfId="0" applyNumberFormat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experiment</c:v>
          </c:tx>
          <c:spPr>
            <a:ln w="28575">
              <a:noFill/>
            </a:ln>
          </c:spPr>
          <c:xVal>
            <c:numRef>
              <c:f>'OTOR model'!$F$26:$F$1300</c:f>
              <c:numCache>
                <c:formatCode>General</c:formatCode>
                <c:ptCount val="1275"/>
                <c:pt idx="0">
                  <c:v>13.7143</c:v>
                </c:pt>
                <c:pt idx="1">
                  <c:v>27.428599999999999</c:v>
                </c:pt>
                <c:pt idx="2">
                  <c:v>54.857100000000003</c:v>
                </c:pt>
                <c:pt idx="3">
                  <c:v>123.429</c:v>
                </c:pt>
                <c:pt idx="4">
                  <c:v>171.429</c:v>
                </c:pt>
                <c:pt idx="5">
                  <c:v>219.429</c:v>
                </c:pt>
                <c:pt idx="6">
                  <c:v>370.286</c:v>
                </c:pt>
                <c:pt idx="7">
                  <c:v>473.14299999999997</c:v>
                </c:pt>
                <c:pt idx="8">
                  <c:v>569.14300000000003</c:v>
                </c:pt>
                <c:pt idx="9">
                  <c:v>672</c:v>
                </c:pt>
                <c:pt idx="10">
                  <c:v>1172.57</c:v>
                </c:pt>
              </c:numCache>
            </c:numRef>
          </c:xVal>
          <c:yVal>
            <c:numRef>
              <c:f>'OTOR model'!$G$26:$G$1300</c:f>
              <c:numCache>
                <c:formatCode>General</c:formatCode>
                <c:ptCount val="1275"/>
                <c:pt idx="0">
                  <c:v>1.1159399999999999</c:v>
                </c:pt>
                <c:pt idx="1">
                  <c:v>1.92754</c:v>
                </c:pt>
                <c:pt idx="2">
                  <c:v>3.2463799999999998</c:v>
                </c:pt>
                <c:pt idx="3">
                  <c:v>5.0724600000000004</c:v>
                </c:pt>
                <c:pt idx="4">
                  <c:v>6.1884100000000002</c:v>
                </c:pt>
                <c:pt idx="5">
                  <c:v>7.1014499999999998</c:v>
                </c:pt>
                <c:pt idx="6">
                  <c:v>8.9275400000000005</c:v>
                </c:pt>
                <c:pt idx="7">
                  <c:v>9.8405799999999992</c:v>
                </c:pt>
                <c:pt idx="8">
                  <c:v>10.449299999999999</c:v>
                </c:pt>
                <c:pt idx="9">
                  <c:v>11.260899999999999</c:v>
                </c:pt>
                <c:pt idx="10">
                  <c:v>13.1884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A-4649-91E2-1A6E83B1FD9B}"/>
            </c:ext>
          </c:extLst>
        </c:ser>
        <c:ser>
          <c:idx val="1"/>
          <c:order val="1"/>
          <c:tx>
            <c:v>theory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'OTOR model'!$F$26:$F$1300</c:f>
              <c:numCache>
                <c:formatCode>General</c:formatCode>
                <c:ptCount val="1275"/>
                <c:pt idx="0">
                  <c:v>13.7143</c:v>
                </c:pt>
                <c:pt idx="1">
                  <c:v>27.428599999999999</c:v>
                </c:pt>
                <c:pt idx="2">
                  <c:v>54.857100000000003</c:v>
                </c:pt>
                <c:pt idx="3">
                  <c:v>123.429</c:v>
                </c:pt>
                <c:pt idx="4">
                  <c:v>171.429</c:v>
                </c:pt>
                <c:pt idx="5">
                  <c:v>219.429</c:v>
                </c:pt>
                <c:pt idx="6">
                  <c:v>370.286</c:v>
                </c:pt>
                <c:pt idx="7">
                  <c:v>473.14299999999997</c:v>
                </c:pt>
                <c:pt idx="8">
                  <c:v>569.14300000000003</c:v>
                </c:pt>
                <c:pt idx="9">
                  <c:v>672</c:v>
                </c:pt>
                <c:pt idx="10">
                  <c:v>1172.57</c:v>
                </c:pt>
              </c:numCache>
            </c:numRef>
          </c:xVal>
          <c:yVal>
            <c:numRef>
              <c:f>'OTOR model'!$M$26:$M$1300</c:f>
              <c:numCache>
                <c:formatCode>General</c:formatCode>
                <c:ptCount val="1275"/>
                <c:pt idx="0">
                  <c:v>1.1376243063431424</c:v>
                </c:pt>
                <c:pt idx="1">
                  <c:v>1.9520572575048294</c:v>
                </c:pt>
                <c:pt idx="2">
                  <c:v>3.1650678159221077</c:v>
                </c:pt>
                <c:pt idx="3">
                  <c:v>5.1812154287162917</c:v>
                </c:pt>
                <c:pt idx="4">
                  <c:v>6.1884101656741626</c:v>
                </c:pt>
                <c:pt idx="5">
                  <c:v>7.0126731249013412</c:v>
                </c:pt>
                <c:pt idx="6">
                  <c:v>8.915804376731236</c:v>
                </c:pt>
                <c:pt idx="7">
                  <c:v>9.8546170165347018</c:v>
                </c:pt>
                <c:pt idx="8">
                  <c:v>10.567476242328333</c:v>
                </c:pt>
                <c:pt idx="9">
                  <c:v>11.203669269454654</c:v>
                </c:pt>
                <c:pt idx="10">
                  <c:v>13.189335494114474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AA-4649-91E2-1A6E83B1F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68032"/>
        <c:axId val="167066240"/>
      </c:scatterChart>
      <c:valAx>
        <c:axId val="167068032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167066240"/>
        <c:crosses val="autoZero"/>
        <c:crossBetween val="midCat"/>
      </c:valAx>
      <c:valAx>
        <c:axId val="167066240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67068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Exp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'f(D)'!$E$20:$E$163</c:f>
              <c:numCache>
                <c:formatCode>General</c:formatCode>
                <c:ptCount val="144"/>
                <c:pt idx="0">
                  <c:v>13.7143</c:v>
                </c:pt>
                <c:pt idx="1">
                  <c:v>27.428599999999999</c:v>
                </c:pt>
                <c:pt idx="2">
                  <c:v>54.857100000000003</c:v>
                </c:pt>
                <c:pt idx="3">
                  <c:v>123.429</c:v>
                </c:pt>
                <c:pt idx="4">
                  <c:v>171.429</c:v>
                </c:pt>
                <c:pt idx="5">
                  <c:v>219.429</c:v>
                </c:pt>
                <c:pt idx="6">
                  <c:v>370.286</c:v>
                </c:pt>
                <c:pt idx="7">
                  <c:v>473.14299999999997</c:v>
                </c:pt>
                <c:pt idx="8">
                  <c:v>569.14300000000003</c:v>
                </c:pt>
                <c:pt idx="9">
                  <c:v>672</c:v>
                </c:pt>
              </c:numCache>
            </c:numRef>
          </c:xVal>
          <c:yVal>
            <c:numRef>
              <c:f>'f(D)'!$G$20:$G$163</c:f>
              <c:numCache>
                <c:formatCode>General</c:formatCode>
                <c:ptCount val="144"/>
                <c:pt idx="0">
                  <c:v>1</c:v>
                </c:pt>
                <c:pt idx="1">
                  <c:v>0.8636396222019106</c:v>
                </c:pt>
                <c:pt idx="2">
                  <c:v>0.72727608963851798</c:v>
                </c:pt>
                <c:pt idx="3">
                  <c:v>0.50504982059439429</c:v>
                </c:pt>
                <c:pt idx="4">
                  <c:v>0.44363682457895431</c:v>
                </c:pt>
                <c:pt idx="5">
                  <c:v>0.39772767394174752</c:v>
                </c:pt>
                <c:pt idx="6">
                  <c:v>0.29629704009657437</c:v>
                </c:pt>
                <c:pt idx="7">
                  <c:v>0.25560013432264306</c:v>
                </c:pt>
                <c:pt idx="8">
                  <c:v>0.22563091252842241</c:v>
                </c:pt>
                <c:pt idx="9">
                  <c:v>0.20593806575995721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50-4A0E-80D5-64A26762356B}"/>
            </c:ext>
          </c:extLst>
        </c:ser>
        <c:ser>
          <c:idx val="1"/>
          <c:order val="1"/>
          <c:tx>
            <c:v>Theo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'f(D)'!$E$20:$E$163</c:f>
              <c:numCache>
                <c:formatCode>General</c:formatCode>
                <c:ptCount val="144"/>
                <c:pt idx="0">
                  <c:v>13.7143</c:v>
                </c:pt>
                <c:pt idx="1">
                  <c:v>27.428599999999999</c:v>
                </c:pt>
                <c:pt idx="2">
                  <c:v>54.857100000000003</c:v>
                </c:pt>
                <c:pt idx="3">
                  <c:v>123.429</c:v>
                </c:pt>
                <c:pt idx="4">
                  <c:v>171.429</c:v>
                </c:pt>
                <c:pt idx="5">
                  <c:v>219.429</c:v>
                </c:pt>
                <c:pt idx="6">
                  <c:v>370.286</c:v>
                </c:pt>
                <c:pt idx="7">
                  <c:v>473.14299999999997</c:v>
                </c:pt>
                <c:pt idx="8">
                  <c:v>569.14300000000003</c:v>
                </c:pt>
                <c:pt idx="9">
                  <c:v>672</c:v>
                </c:pt>
              </c:numCache>
            </c:numRef>
          </c:xVal>
          <c:yVal>
            <c:numRef>
              <c:f>'f(D)'!$K$20:$K$163</c:f>
              <c:numCache>
                <c:formatCode>General</c:formatCode>
                <c:ptCount val="144"/>
                <c:pt idx="0">
                  <c:v>0.78825261475727471</c:v>
                </c:pt>
                <c:pt idx="1">
                  <c:v>0.67628400202270855</c:v>
                </c:pt>
                <c:pt idx="2">
                  <c:v>0.54826481726500209</c:v>
                </c:pt>
                <c:pt idx="3">
                  <c:v>0.39889137193094087</c:v>
                </c:pt>
                <c:pt idx="4">
                  <c:v>0.34303228953936299</c:v>
                </c:pt>
                <c:pt idx="5">
                  <c:v>0.30368949891941649</c:v>
                </c:pt>
                <c:pt idx="6">
                  <c:v>0.22880390989342117</c:v>
                </c:pt>
                <c:pt idx="7">
                  <c:v>0.19791902118347524</c:v>
                </c:pt>
                <c:pt idx="8">
                  <c:v>0.17643717043242821</c:v>
                </c:pt>
                <c:pt idx="9">
                  <c:v>0.15842773376590416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50-4A0E-80D5-64A267623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03584"/>
        <c:axId val="230804000"/>
      </c:scatterChart>
      <c:valAx>
        <c:axId val="2308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804000"/>
        <c:crosses val="autoZero"/>
        <c:crossBetween val="midCat"/>
      </c:valAx>
      <c:valAx>
        <c:axId val="2308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8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342339</xdr:colOff>
      <xdr:row>3</xdr:row>
      <xdr:rowOff>42358</xdr:rowOff>
    </xdr:from>
    <xdr:to>
      <xdr:col>13</xdr:col>
      <xdr:colOff>109369</xdr:colOff>
      <xdr:row>20</xdr:row>
      <xdr:rowOff>95922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2</xdr:row>
      <xdr:rowOff>30480</xdr:rowOff>
    </xdr:from>
    <xdr:to>
      <xdr:col>4</xdr:col>
      <xdr:colOff>30480</xdr:colOff>
      <xdr:row>7</xdr:row>
      <xdr:rowOff>99060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9A77BA1E-D8C2-4E88-A26F-8C6E15A6AB2F}"/>
            </a:ext>
          </a:extLst>
        </xdr:cNvPr>
        <xdr:cNvSpPr txBox="1"/>
      </xdr:nvSpPr>
      <xdr:spPr>
        <a:xfrm>
          <a:off x="266700" y="396240"/>
          <a:ext cx="2415540" cy="98298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1100" b="1" u="sng"/>
            <a:t>OTOR</a:t>
          </a:r>
          <a:r>
            <a:rPr lang="en-US" sz="1100" b="1" u="sng" baseline="0"/>
            <a:t> f(D)</a:t>
          </a:r>
        </a:p>
        <a:p>
          <a:pPr algn="l"/>
          <a:r>
            <a:rPr lang="en-US" sz="1100" b="1" u="none" baseline="0"/>
            <a:t>f(D)=1/kD[1-(W(z1)/(R-1))]</a:t>
          </a:r>
        </a:p>
        <a:p>
          <a:pPr algn="l"/>
          <a:r>
            <a:rPr lang="en-US" sz="1100" b="1" u="none" baseline="0"/>
            <a:t>k=1/((R-1)Dc)*W[ZR]/(1+W[ZR])</a:t>
          </a:r>
        </a:p>
        <a:p>
          <a:pPr algn="l"/>
          <a:r>
            <a:rPr lang="en-US" sz="1100" b="1" u="none" baseline="0"/>
            <a:t>z1=zRexp(-D/Dc)</a:t>
          </a:r>
        </a:p>
        <a:p>
          <a:pPr algn="l"/>
          <a:r>
            <a:rPr lang="en-US" sz="1100" b="1" u="none" baseline="0"/>
            <a:t>zR=(R-1)exp(R-1)</a:t>
          </a:r>
          <a:endParaRPr lang="el-GR" sz="1100" b="1" u="none"/>
        </a:p>
      </xdr:txBody>
    </xdr:sp>
    <xdr:clientData/>
  </xdr:twoCellAnchor>
  <xdr:twoCellAnchor>
    <xdr:from>
      <xdr:col>6</xdr:col>
      <xdr:colOff>480060</xdr:colOff>
      <xdr:row>0</xdr:row>
      <xdr:rowOff>0</xdr:rowOff>
    </xdr:from>
    <xdr:to>
      <xdr:col>14</xdr:col>
      <xdr:colOff>106680</xdr:colOff>
      <xdr:row>17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C73F05-6A17-4C16-AE99-625CC583B6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____1"/>
  <dimension ref="B6:R72"/>
  <sheetViews>
    <sheetView zoomScaleNormal="100" workbookViewId="0">
      <selection activeCell="C23" sqref="C23"/>
    </sheetView>
  </sheetViews>
  <sheetFormatPr defaultRowHeight="14.4" x14ac:dyDescent="0.3"/>
  <cols>
    <col min="3" max="3" width="16.44140625" customWidth="1"/>
    <col min="4" max="4" width="15.88671875" customWidth="1"/>
    <col min="7" max="7" width="17.88671875" customWidth="1"/>
  </cols>
  <sheetData>
    <row r="6" spans="3:8" x14ac:dyDescent="0.3">
      <c r="E6" s="10"/>
      <c r="F6" s="10"/>
      <c r="G6" s="10"/>
      <c r="H6" s="10"/>
    </row>
    <row r="8" spans="3:8" x14ac:dyDescent="0.3">
      <c r="D8" s="2"/>
      <c r="E8" s="2"/>
      <c r="G8" s="2"/>
    </row>
    <row r="9" spans="3:8" x14ac:dyDescent="0.3">
      <c r="D9" s="2"/>
      <c r="E9" s="2"/>
      <c r="G9" s="2"/>
    </row>
    <row r="10" spans="3:8" x14ac:dyDescent="0.3">
      <c r="D10" s="2"/>
      <c r="E10" s="2"/>
      <c r="G10" s="2"/>
    </row>
    <row r="11" spans="3:8" x14ac:dyDescent="0.3">
      <c r="D11" s="2"/>
      <c r="E11" s="2"/>
      <c r="G11" s="2"/>
    </row>
    <row r="12" spans="3:8" x14ac:dyDescent="0.3">
      <c r="C12" s="2"/>
      <c r="D12" s="2"/>
      <c r="E12" s="2"/>
      <c r="G12" s="2"/>
    </row>
    <row r="13" spans="3:8" x14ac:dyDescent="0.3">
      <c r="D13" s="2"/>
      <c r="E13" s="2"/>
      <c r="G13" s="2"/>
    </row>
    <row r="14" spans="3:8" x14ac:dyDescent="0.3">
      <c r="C14" s="2"/>
      <c r="D14" s="2"/>
      <c r="E14" s="2"/>
      <c r="G14" s="2"/>
    </row>
    <row r="15" spans="3:8" x14ac:dyDescent="0.3">
      <c r="D15" s="2"/>
      <c r="E15" s="2"/>
      <c r="G15" s="2"/>
    </row>
    <row r="16" spans="3:8" x14ac:dyDescent="0.3">
      <c r="D16" s="2"/>
      <c r="E16" s="2"/>
      <c r="G16" s="2"/>
    </row>
    <row r="17" spans="2:18" x14ac:dyDescent="0.3">
      <c r="D17" s="2"/>
      <c r="E17" s="2"/>
      <c r="G17" s="2"/>
    </row>
    <row r="18" spans="2:18" x14ac:dyDescent="0.3">
      <c r="B18" s="6" t="s">
        <v>12</v>
      </c>
      <c r="C18" s="7" t="s">
        <v>8</v>
      </c>
      <c r="D18" s="3"/>
      <c r="E18" s="2"/>
      <c r="G18" s="2"/>
    </row>
    <row r="19" spans="2:18" x14ac:dyDescent="0.3">
      <c r="B19" s="6"/>
      <c r="C19" s="2">
        <v>0.14189058278835051</v>
      </c>
      <c r="D19" s="3"/>
      <c r="E19" s="2"/>
      <c r="G19" s="2"/>
    </row>
    <row r="20" spans="2:18" x14ac:dyDescent="0.3">
      <c r="B20" s="6"/>
      <c r="C20" s="8" t="s">
        <v>9</v>
      </c>
      <c r="D20" s="3"/>
      <c r="E20" s="2"/>
      <c r="G20" s="2"/>
    </row>
    <row r="21" spans="2:18" x14ac:dyDescent="0.3">
      <c r="B21" s="6">
        <v>10</v>
      </c>
      <c r="C21" s="2">
        <v>105.05341804797358</v>
      </c>
      <c r="D21" s="3">
        <f>33*5%</f>
        <v>1.6500000000000001</v>
      </c>
      <c r="E21" s="2"/>
      <c r="G21" s="2"/>
    </row>
    <row r="22" spans="2:18" x14ac:dyDescent="0.3">
      <c r="B22" s="6"/>
      <c r="C22" s="9" t="s">
        <v>10</v>
      </c>
      <c r="D22" s="3"/>
      <c r="E22" s="2"/>
      <c r="G22" s="2"/>
    </row>
    <row r="23" spans="2:18" x14ac:dyDescent="0.3">
      <c r="B23" s="6">
        <v>1</v>
      </c>
      <c r="C23" s="2">
        <v>15.686409812348169</v>
      </c>
      <c r="D23" s="1"/>
      <c r="E23" s="2"/>
      <c r="G23" s="2"/>
    </row>
    <row r="25" spans="2:18" x14ac:dyDescent="0.3">
      <c r="F25" s="5" t="s">
        <v>0</v>
      </c>
      <c r="G25" s="5" t="s">
        <v>1</v>
      </c>
      <c r="K25" s="10" t="s">
        <v>2</v>
      </c>
      <c r="L25" s="10" t="s">
        <v>3</v>
      </c>
      <c r="M25" s="10" t="s">
        <v>11</v>
      </c>
      <c r="N25" s="10"/>
      <c r="O25" s="10" t="s">
        <v>4</v>
      </c>
      <c r="P25" s="10" t="s">
        <v>5</v>
      </c>
      <c r="Q25" s="10" t="s">
        <v>6</v>
      </c>
      <c r="R25" s="10" t="s">
        <v>7</v>
      </c>
    </row>
    <row r="26" spans="2:18" x14ac:dyDescent="0.3">
      <c r="F26" s="2">
        <v>13.7143</v>
      </c>
      <c r="G26" s="2">
        <v>1.1159399999999999</v>
      </c>
      <c r="K26" s="6">
        <f t="shared" ref="K26:K35" si="0">($C$19-1)*EXP($C$19-1)*EXP(-F26/($C$21*$B$21))</f>
        <v>-0.35908804293926117</v>
      </c>
      <c r="L26" s="6">
        <f>lmb_1_0(K26)</f>
        <v>-0.79587681318051784</v>
      </c>
      <c r="M26" s="6">
        <f>$C$23*B$23*(1-L26/($C$19-1))</f>
        <v>1.1376243063431424</v>
      </c>
      <c r="N26" s="6"/>
      <c r="O26" s="6">
        <f t="shared" ref="O26:O35" si="1">ABS(M26-G26)</f>
        <v>2.1684306343142445E-2</v>
      </c>
      <c r="P26" s="6">
        <f>SUM(M26:M43)</f>
        <v>78.367950498225269</v>
      </c>
      <c r="Q26" s="6">
        <f t="shared" ref="Q26:Q35" si="2">O26/$P$26</f>
        <v>2.7669865302440839E-4</v>
      </c>
      <c r="R26" s="6">
        <f>SUM(Q26:Q43)*100</f>
        <v>0.67267463402470162</v>
      </c>
    </row>
    <row r="27" spans="2:18" x14ac:dyDescent="0.3">
      <c r="F27" s="2">
        <v>27.428599999999999</v>
      </c>
      <c r="G27" s="2">
        <v>1.92754</v>
      </c>
      <c r="K27" s="6">
        <f t="shared" si="0"/>
        <v>-0.35443075899818416</v>
      </c>
      <c r="L27" s="6">
        <f t="shared" ref="L27:L35" si="3">lmb_1_0(K27)</f>
        <v>-0.75132407017305325</v>
      </c>
      <c r="M27" s="6">
        <f t="shared" ref="M27:M35" si="4">$C$23*B$23*(1-L27/($C$19-1))</f>
        <v>1.9520572575048294</v>
      </c>
      <c r="N27" s="6"/>
      <c r="O27" s="6">
        <f t="shared" si="1"/>
        <v>2.451725750482936E-2</v>
      </c>
      <c r="P27" s="6"/>
      <c r="Q27" s="6">
        <f t="shared" si="2"/>
        <v>3.1284801183341626E-4</v>
      </c>
      <c r="R27" s="6"/>
    </row>
    <row r="28" spans="2:18" x14ac:dyDescent="0.3">
      <c r="F28" s="2">
        <v>54.857100000000003</v>
      </c>
      <c r="G28" s="2">
        <v>3.2463799999999998</v>
      </c>
      <c r="K28" s="6">
        <f t="shared" si="0"/>
        <v>-0.34529665205687593</v>
      </c>
      <c r="L28" s="6">
        <f t="shared" si="3"/>
        <v>-0.68496753634492091</v>
      </c>
      <c r="M28" s="6">
        <f t="shared" si="4"/>
        <v>3.1650678159221077</v>
      </c>
      <c r="N28" s="6"/>
      <c r="O28" s="6">
        <f t="shared" si="1"/>
        <v>8.1312184077892091E-2</v>
      </c>
      <c r="P28" s="6"/>
      <c r="Q28" s="6">
        <f t="shared" si="2"/>
        <v>1.0375693578937412E-3</v>
      </c>
      <c r="R28" s="6"/>
    </row>
    <row r="29" spans="2:18" x14ac:dyDescent="0.3">
      <c r="F29" s="2">
        <v>123.429</v>
      </c>
      <c r="G29" s="2">
        <v>5.0724600000000004</v>
      </c>
      <c r="K29" s="6">
        <f t="shared" si="0"/>
        <v>-0.32347781856446961</v>
      </c>
      <c r="L29" s="6">
        <f t="shared" si="3"/>
        <v>-0.57467619028652717</v>
      </c>
      <c r="M29" s="6">
        <f t="shared" si="4"/>
        <v>5.1812154287162917</v>
      </c>
      <c r="N29" s="6"/>
      <c r="O29" s="6">
        <f t="shared" si="1"/>
        <v>0.10875542871629129</v>
      </c>
      <c r="P29" s="6"/>
      <c r="Q29" s="6">
        <f t="shared" si="2"/>
        <v>1.3877538971591987E-3</v>
      </c>
      <c r="R29" s="6"/>
    </row>
    <row r="30" spans="2:18" x14ac:dyDescent="0.3">
      <c r="F30" s="2">
        <v>171.429</v>
      </c>
      <c r="G30" s="2">
        <v>6.1884100000000002</v>
      </c>
      <c r="K30" s="6">
        <f t="shared" si="0"/>
        <v>-0.30903035361998749</v>
      </c>
      <c r="L30" s="6">
        <f t="shared" si="3"/>
        <v>-0.51957860587500648</v>
      </c>
      <c r="M30" s="6">
        <f t="shared" si="4"/>
        <v>6.1884101656741626</v>
      </c>
      <c r="N30" s="6"/>
      <c r="O30" s="6">
        <f t="shared" si="1"/>
        <v>1.6567416238899568E-7</v>
      </c>
      <c r="P30" s="6"/>
      <c r="Q30" s="6">
        <f t="shared" si="2"/>
        <v>2.1140550612300059E-9</v>
      </c>
      <c r="R30" s="6"/>
    </row>
    <row r="31" spans="2:18" x14ac:dyDescent="0.3">
      <c r="F31" s="2">
        <v>219.429</v>
      </c>
      <c r="G31" s="2">
        <v>7.1014499999999998</v>
      </c>
      <c r="K31" s="6">
        <f t="shared" si="0"/>
        <v>-0.29522815469172964</v>
      </c>
      <c r="L31" s="6">
        <f t="shared" si="3"/>
        <v>-0.47448812207196328</v>
      </c>
      <c r="M31" s="6">
        <f t="shared" si="4"/>
        <v>7.0126731249013412</v>
      </c>
      <c r="N31" s="6"/>
      <c r="O31" s="6">
        <f t="shared" si="1"/>
        <v>8.8776875098658614E-2</v>
      </c>
      <c r="P31" s="6"/>
      <c r="Q31" s="6">
        <f t="shared" si="2"/>
        <v>1.1328211920084482E-3</v>
      </c>
      <c r="R31" s="6"/>
    </row>
    <row r="32" spans="2:18" x14ac:dyDescent="0.3">
      <c r="F32" s="2">
        <v>370.286</v>
      </c>
      <c r="G32" s="2">
        <v>8.9275400000000005</v>
      </c>
      <c r="K32" s="6">
        <f t="shared" si="0"/>
        <v>-0.25573664525414264</v>
      </c>
      <c r="L32" s="6">
        <f t="shared" si="3"/>
        <v>-0.37037922341884549</v>
      </c>
      <c r="M32" s="6">
        <f t="shared" si="4"/>
        <v>8.915804376731236</v>
      </c>
      <c r="N32" s="6"/>
      <c r="O32" s="6">
        <f t="shared" si="1"/>
        <v>1.1735623268764428E-2</v>
      </c>
      <c r="P32" s="6"/>
      <c r="Q32" s="6">
        <f t="shared" si="2"/>
        <v>1.497502894251419E-4</v>
      </c>
      <c r="R32" s="6"/>
    </row>
    <row r="33" spans="3:18" x14ac:dyDescent="0.3">
      <c r="F33" s="2">
        <v>473.14299999999997</v>
      </c>
      <c r="G33" s="2">
        <v>9.8405799999999992</v>
      </c>
      <c r="K33" s="6">
        <f t="shared" si="0"/>
        <v>-0.2318843946493313</v>
      </c>
      <c r="L33" s="6">
        <f t="shared" si="3"/>
        <v>-0.31902241348911126</v>
      </c>
      <c r="M33" s="6">
        <f t="shared" si="4"/>
        <v>9.8546170165347018</v>
      </c>
      <c r="N33" s="6"/>
      <c r="O33" s="6">
        <f t="shared" si="1"/>
        <v>1.4037016534702573E-2</v>
      </c>
      <c r="P33" s="6"/>
      <c r="Q33" s="6">
        <f t="shared" si="2"/>
        <v>1.7911680024119628E-4</v>
      </c>
      <c r="R33" s="6"/>
    </row>
    <row r="34" spans="3:18" x14ac:dyDescent="0.3">
      <c r="F34" s="2">
        <v>569.14300000000003</v>
      </c>
      <c r="G34" s="2">
        <v>10.449299999999999</v>
      </c>
      <c r="K34" s="6">
        <f t="shared" si="0"/>
        <v>-0.21163368245135772</v>
      </c>
      <c r="L34" s="6">
        <f t="shared" si="3"/>
        <v>-0.28002615990926483</v>
      </c>
      <c r="M34" s="6">
        <f t="shared" si="4"/>
        <v>10.567476242328333</v>
      </c>
      <c r="N34" s="6"/>
      <c r="O34" s="6">
        <f t="shared" si="1"/>
        <v>0.11817624232833346</v>
      </c>
      <c r="P34" s="6"/>
      <c r="Q34" s="6">
        <f t="shared" si="2"/>
        <v>1.5079664783502241E-3</v>
      </c>
      <c r="R34" s="6"/>
    </row>
    <row r="35" spans="3:18" x14ac:dyDescent="0.3">
      <c r="F35" s="2">
        <v>672</v>
      </c>
      <c r="G35" s="2">
        <v>11.260899999999999</v>
      </c>
      <c r="K35" s="6">
        <f t="shared" si="0"/>
        <v>-0.19189486236465339</v>
      </c>
      <c r="L35" s="6">
        <f t="shared" si="3"/>
        <v>-0.24522385432932672</v>
      </c>
      <c r="M35" s="6">
        <f t="shared" si="4"/>
        <v>11.203669269454654</v>
      </c>
      <c r="N35" s="6"/>
      <c r="O35" s="6">
        <f t="shared" si="1"/>
        <v>5.7230730545345665E-2</v>
      </c>
      <c r="P35" s="6"/>
      <c r="Q35" s="6">
        <f t="shared" si="2"/>
        <v>7.3028234350267613E-4</v>
      </c>
      <c r="R35" s="6"/>
    </row>
    <row r="36" spans="3:18" x14ac:dyDescent="0.3">
      <c r="C36" s="2"/>
      <c r="F36" s="2">
        <v>1172.57</v>
      </c>
      <c r="G36" s="2">
        <v>13.1884</v>
      </c>
      <c r="K36" s="6">
        <f t="shared" ref="K36" si="5">($C$19-1)*EXP($C$19-1)*EXP(-F36/($C$21*$B$21))</f>
        <v>-0.11915875842910489</v>
      </c>
      <c r="L36" s="6">
        <f t="shared" ref="L36" si="6">lmb_1_0(K36)</f>
        <v>-0.13659996223399276</v>
      </c>
      <c r="M36" s="6">
        <f t="shared" ref="M36" si="7">$C$23*B$23*(1-L36/($C$19-1))</f>
        <v>13.189335494114474</v>
      </c>
      <c r="N36" s="6"/>
      <c r="O36" s="6">
        <f t="shared" ref="O36" si="8">ABS(M36-G36)</f>
        <v>9.3549411447391151E-4</v>
      </c>
      <c r="P36" s="6"/>
      <c r="Q36" s="6">
        <f t="shared" ref="Q36" si="9">O36/$P$26</f>
        <v>1.1937202753504405E-5</v>
      </c>
      <c r="R36" s="6"/>
    </row>
    <row r="37" spans="3:18" x14ac:dyDescent="0.3">
      <c r="C37" s="2"/>
      <c r="F37" s="4"/>
      <c r="G37" s="4"/>
      <c r="K37" s="6"/>
      <c r="L37" s="6"/>
      <c r="M37" s="6"/>
      <c r="N37" s="6"/>
      <c r="O37" s="6"/>
      <c r="P37" s="6"/>
      <c r="Q37" s="6"/>
      <c r="R37" s="6"/>
    </row>
    <row r="38" spans="3:18" x14ac:dyDescent="0.3">
      <c r="F38" s="4"/>
      <c r="G38" s="4"/>
      <c r="K38" s="6"/>
      <c r="L38" s="6"/>
      <c r="M38" s="6"/>
      <c r="N38" s="6"/>
      <c r="O38" s="6"/>
      <c r="P38" s="6"/>
      <c r="Q38" s="6"/>
      <c r="R38" s="6"/>
    </row>
    <row r="39" spans="3:18" x14ac:dyDescent="0.3">
      <c r="F39" s="4"/>
      <c r="G39" s="4"/>
      <c r="K39" s="6"/>
      <c r="L39" s="6"/>
      <c r="M39" s="6"/>
      <c r="N39" s="6"/>
      <c r="O39" s="6"/>
      <c r="P39" s="6"/>
      <c r="Q39" s="6"/>
      <c r="R39" s="6"/>
    </row>
    <row r="40" spans="3:18" x14ac:dyDescent="0.3">
      <c r="F40" s="4"/>
      <c r="G40" s="4"/>
      <c r="K40" s="6"/>
      <c r="L40" s="6"/>
      <c r="M40" s="6"/>
      <c r="N40" s="6"/>
      <c r="O40" s="6"/>
      <c r="P40" s="6"/>
      <c r="Q40" s="6"/>
      <c r="R40" s="6"/>
    </row>
    <row r="41" spans="3:18" x14ac:dyDescent="0.3">
      <c r="F41" s="4"/>
      <c r="G41" s="4"/>
      <c r="K41" s="6"/>
      <c r="L41" s="6"/>
      <c r="M41" s="6"/>
      <c r="N41" s="6"/>
      <c r="O41" s="6"/>
      <c r="P41" s="6"/>
      <c r="Q41" s="6"/>
      <c r="R41" s="6"/>
    </row>
    <row r="42" spans="3:18" x14ac:dyDescent="0.3">
      <c r="F42" s="4"/>
      <c r="G42" s="4"/>
      <c r="K42" s="6"/>
      <c r="L42" s="6"/>
      <c r="M42" s="6"/>
      <c r="N42" s="6"/>
      <c r="O42" s="6"/>
      <c r="P42" s="6"/>
      <c r="Q42" s="6"/>
      <c r="R42" s="6"/>
    </row>
    <row r="43" spans="3:18" x14ac:dyDescent="0.3">
      <c r="F43" s="4"/>
      <c r="G43" s="4"/>
      <c r="K43" s="2"/>
      <c r="L43" s="2"/>
      <c r="M43" s="2"/>
      <c r="O43" s="2"/>
      <c r="P43" s="2"/>
      <c r="Q43" s="2"/>
      <c r="R43" s="2"/>
    </row>
    <row r="50" spans="3:3" x14ac:dyDescent="0.3">
      <c r="C50" s="2"/>
    </row>
    <row r="51" spans="3:3" x14ac:dyDescent="0.3">
      <c r="C51" s="2"/>
    </row>
    <row r="52" spans="3:3" x14ac:dyDescent="0.3">
      <c r="C52" s="2"/>
    </row>
    <row r="53" spans="3:3" x14ac:dyDescent="0.3">
      <c r="C53" s="2"/>
    </row>
    <row r="54" spans="3:3" x14ac:dyDescent="0.3">
      <c r="C54" s="2"/>
    </row>
    <row r="55" spans="3:3" x14ac:dyDescent="0.3">
      <c r="C55" s="2"/>
    </row>
    <row r="56" spans="3:3" x14ac:dyDescent="0.3">
      <c r="C56" s="2"/>
    </row>
    <row r="57" spans="3:3" x14ac:dyDescent="0.3">
      <c r="C57" s="2"/>
    </row>
    <row r="58" spans="3:3" x14ac:dyDescent="0.3">
      <c r="C58" s="2"/>
    </row>
    <row r="59" spans="3:3" x14ac:dyDescent="0.3">
      <c r="C59" s="2"/>
    </row>
    <row r="60" spans="3:3" x14ac:dyDescent="0.3">
      <c r="C60" s="2"/>
    </row>
    <row r="61" spans="3:3" x14ac:dyDescent="0.3">
      <c r="C61" s="2"/>
    </row>
    <row r="62" spans="3:3" x14ac:dyDescent="0.3">
      <c r="C62" s="2"/>
    </row>
    <row r="63" spans="3:3" x14ac:dyDescent="0.3">
      <c r="C63" s="2"/>
    </row>
    <row r="64" spans="3:3" x14ac:dyDescent="0.3">
      <c r="C64" s="2"/>
    </row>
    <row r="65" spans="3:3" x14ac:dyDescent="0.3">
      <c r="C65" s="2"/>
    </row>
    <row r="66" spans="3:3" x14ac:dyDescent="0.3">
      <c r="C66" s="2"/>
    </row>
    <row r="67" spans="3:3" x14ac:dyDescent="0.3">
      <c r="C67" s="2"/>
    </row>
    <row r="68" spans="3:3" x14ac:dyDescent="0.3">
      <c r="C68" s="2"/>
    </row>
    <row r="69" spans="3:3" x14ac:dyDescent="0.3">
      <c r="C69" s="2"/>
    </row>
    <row r="70" spans="3:3" x14ac:dyDescent="0.3">
      <c r="C70" s="2"/>
    </row>
    <row r="71" spans="3:3" x14ac:dyDescent="0.3">
      <c r="C71" s="2"/>
    </row>
    <row r="72" spans="3:3" x14ac:dyDescent="0.3">
      <c r="C72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____3"/>
  <dimension ref="B7:P167"/>
  <sheetViews>
    <sheetView tabSelected="1" workbookViewId="0">
      <selection activeCell="E12" sqref="E12"/>
    </sheetView>
  </sheetViews>
  <sheetFormatPr defaultRowHeight="14.4" x14ac:dyDescent="0.3"/>
  <cols>
    <col min="3" max="3" width="12" bestFit="1" customWidth="1"/>
    <col min="9" max="9" width="12.6640625" bestFit="1" customWidth="1"/>
  </cols>
  <sheetData>
    <row r="7" s="2" customFormat="1" x14ac:dyDescent="0.3"/>
    <row r="8" s="2" customFormat="1" x14ac:dyDescent="0.3"/>
    <row r="9" s="2" customFormat="1" x14ac:dyDescent="0.3"/>
    <row r="10" s="2" customFormat="1" x14ac:dyDescent="0.3"/>
    <row r="11" s="2" customFormat="1" x14ac:dyDescent="0.3"/>
    <row r="12" s="2" customFormat="1" x14ac:dyDescent="0.3"/>
    <row r="13" s="2" customFormat="1" x14ac:dyDescent="0.3"/>
    <row r="14" s="2" customFormat="1" x14ac:dyDescent="0.3"/>
    <row r="15" s="2" customFormat="1" x14ac:dyDescent="0.3"/>
    <row r="16" s="2" customFormat="1" x14ac:dyDescent="0.3"/>
    <row r="17" spans="2:16" s="2" customFormat="1" x14ac:dyDescent="0.3"/>
    <row r="19" spans="2:16" x14ac:dyDescent="0.3">
      <c r="B19" s="6" t="s">
        <v>12</v>
      </c>
      <c r="C19" s="7" t="s">
        <v>8</v>
      </c>
      <c r="E19" s="13" t="s">
        <v>0</v>
      </c>
      <c r="F19" s="13" t="s">
        <v>1</v>
      </c>
      <c r="G19" s="13" t="s">
        <v>13</v>
      </c>
      <c r="I19" s="14" t="s">
        <v>2</v>
      </c>
      <c r="J19" s="14" t="s">
        <v>3</v>
      </c>
      <c r="K19" s="14" t="s">
        <v>16</v>
      </c>
      <c r="M19" s="15" t="s">
        <v>17</v>
      </c>
      <c r="N19" s="15" t="s">
        <v>5</v>
      </c>
      <c r="O19" s="15" t="s">
        <v>18</v>
      </c>
      <c r="P19" s="15" t="s">
        <v>19</v>
      </c>
    </row>
    <row r="20" spans="2:16" x14ac:dyDescent="0.3">
      <c r="B20" s="6"/>
      <c r="C20" s="2">
        <f>'OTOR model'!C19</f>
        <v>0.14189058278835051</v>
      </c>
      <c r="E20" s="6">
        <f>'OTOR model'!F26</f>
        <v>13.7143</v>
      </c>
      <c r="F20" s="6">
        <f>'OTOR model'!G26</f>
        <v>1.1159399999999999</v>
      </c>
      <c r="G20" s="6">
        <f>(F20/E20)/($F$20/$E$20)</f>
        <v>1</v>
      </c>
      <c r="H20" s="6"/>
      <c r="I20" s="6">
        <f>$C$26*EXP(-E20/($C$22*$B$22))</f>
        <v>-0.35908804293926117</v>
      </c>
      <c r="J20" s="6" cm="1">
        <f t="array" ref="J20">lmb_1_0(I20)</f>
        <v>-0.79587681318051784</v>
      </c>
      <c r="K20" s="6">
        <f>(1/($C$28*E20))*(1-(J20/($C$20-1)))</f>
        <v>0.78825261475727471</v>
      </c>
      <c r="L20" s="6"/>
      <c r="M20" s="6">
        <f>ABS(G20-K20)</f>
        <v>0.21174738524272529</v>
      </c>
      <c r="N20" s="6">
        <f>SUM(K20:K169)</f>
        <v>3.8200024297099344</v>
      </c>
      <c r="O20" s="6">
        <f>M20/$N$20</f>
        <v>5.5431217424331318E-2</v>
      </c>
      <c r="P20" s="6">
        <f>SUM(O20:O120)*100</f>
        <v>28.816572088850066</v>
      </c>
    </row>
    <row r="21" spans="2:16" x14ac:dyDescent="0.3">
      <c r="B21" s="6"/>
      <c r="C21" s="8" t="s">
        <v>9</v>
      </c>
      <c r="E21" s="6">
        <f>'OTOR model'!F27</f>
        <v>27.428599999999999</v>
      </c>
      <c r="F21" s="6">
        <f>'OTOR model'!G27</f>
        <v>1.92754</v>
      </c>
      <c r="G21" s="6">
        <f t="shared" ref="G21:G29" si="0">(F21/E21)/($F$20/$E$20)</f>
        <v>0.8636396222019106</v>
      </c>
      <c r="H21" s="6"/>
      <c r="I21" s="6">
        <f t="shared" ref="I21:I29" si="1">$C$26*EXP(-E21/($C$22*$B$22))</f>
        <v>-0.35443075899818416</v>
      </c>
      <c r="J21" s="6" cm="1">
        <f t="array" ref="J21">lmb_1_0(I21)</f>
        <v>-0.75132407017305325</v>
      </c>
      <c r="K21" s="6">
        <f t="shared" ref="K21:K29" si="2">1/($C$28*E21)*(1-(J21/($C$20-1)))</f>
        <v>0.67628400202270855</v>
      </c>
      <c r="L21" s="6"/>
      <c r="M21" s="6">
        <f t="shared" ref="M21:M29" si="3">ABS(G21-K21)</f>
        <v>0.18735562017920204</v>
      </c>
      <c r="N21" s="6"/>
      <c r="O21" s="6">
        <f t="shared" ref="O21:O29" si="4">M21/$N$20</f>
        <v>4.9045942673242901E-2</v>
      </c>
      <c r="P21" s="6"/>
    </row>
    <row r="22" spans="2:16" x14ac:dyDescent="0.3">
      <c r="B22" s="6">
        <v>10</v>
      </c>
      <c r="C22" s="2">
        <f>'OTOR model'!C21</f>
        <v>105.05341804797358</v>
      </c>
      <c r="E22" s="6">
        <f>'OTOR model'!F28</f>
        <v>54.857100000000003</v>
      </c>
      <c r="F22" s="6">
        <f>'OTOR model'!G28</f>
        <v>3.2463799999999998</v>
      </c>
      <c r="G22" s="6">
        <f t="shared" si="0"/>
        <v>0.72727608963851798</v>
      </c>
      <c r="H22" s="6"/>
      <c r="I22" s="6">
        <f t="shared" si="1"/>
        <v>-0.34529665205687593</v>
      </c>
      <c r="J22" s="6" cm="1">
        <f t="array" ref="J22">lmb_1_0(I22)</f>
        <v>-0.68496753634492091</v>
      </c>
      <c r="K22" s="6">
        <f t="shared" si="2"/>
        <v>0.54826481726500209</v>
      </c>
      <c r="L22" s="6"/>
      <c r="M22" s="6">
        <f t="shared" si="3"/>
        <v>0.17901127237351588</v>
      </c>
      <c r="N22" s="6"/>
      <c r="O22" s="6">
        <f t="shared" si="4"/>
        <v>4.6861559820292789E-2</v>
      </c>
      <c r="P22" s="6"/>
    </row>
    <row r="23" spans="2:16" x14ac:dyDescent="0.3">
      <c r="B23" s="6"/>
      <c r="C23" s="11"/>
      <c r="E23" s="6">
        <f>'OTOR model'!F29</f>
        <v>123.429</v>
      </c>
      <c r="F23" s="6">
        <f>'OTOR model'!G29</f>
        <v>5.0724600000000004</v>
      </c>
      <c r="G23" s="6">
        <f t="shared" si="0"/>
        <v>0.50504982059439429</v>
      </c>
      <c r="H23" s="6"/>
      <c r="I23" s="6">
        <f t="shared" si="1"/>
        <v>-0.32347781856446961</v>
      </c>
      <c r="J23" s="6" cm="1">
        <f t="array" ref="J23">lmb_1_0(I23)</f>
        <v>-0.57467619028652717</v>
      </c>
      <c r="K23" s="6">
        <f t="shared" si="2"/>
        <v>0.39889137193094087</v>
      </c>
      <c r="L23" s="6"/>
      <c r="M23" s="6">
        <f t="shared" si="3"/>
        <v>0.10615844866345342</v>
      </c>
      <c r="N23" s="6"/>
      <c r="O23" s="6">
        <f t="shared" si="4"/>
        <v>2.7790152131268248E-2</v>
      </c>
      <c r="P23" s="6"/>
    </row>
    <row r="24" spans="2:16" x14ac:dyDescent="0.3">
      <c r="B24" s="6"/>
      <c r="C24" s="2"/>
      <c r="E24" s="6">
        <f>'OTOR model'!F30</f>
        <v>171.429</v>
      </c>
      <c r="F24" s="6">
        <f>'OTOR model'!G30</f>
        <v>6.1884100000000002</v>
      </c>
      <c r="G24" s="6">
        <f t="shared" si="0"/>
        <v>0.44363682457895431</v>
      </c>
      <c r="H24" s="6"/>
      <c r="I24" s="6">
        <f t="shared" si="1"/>
        <v>-0.30903035361998749</v>
      </c>
      <c r="J24" s="6" cm="1">
        <f t="array" ref="J24">lmb_1_0(I24)</f>
        <v>-0.51957860587500648</v>
      </c>
      <c r="K24" s="6">
        <f t="shared" si="2"/>
        <v>0.34303228953936299</v>
      </c>
      <c r="L24" s="6"/>
      <c r="M24" s="6">
        <f t="shared" si="3"/>
        <v>0.10060453503959133</v>
      </c>
      <c r="N24" s="6"/>
      <c r="O24" s="6">
        <f t="shared" si="4"/>
        <v>2.6336248966006694E-2</v>
      </c>
      <c r="P24" s="6"/>
    </row>
    <row r="25" spans="2:16" ht="15.6" x14ac:dyDescent="0.35">
      <c r="B25" s="6"/>
      <c r="C25" s="12" t="s">
        <v>14</v>
      </c>
      <c r="E25" s="6">
        <f>'OTOR model'!F31</f>
        <v>219.429</v>
      </c>
      <c r="F25" s="6">
        <f>'OTOR model'!G31</f>
        <v>7.1014499999999998</v>
      </c>
      <c r="G25" s="6">
        <f t="shared" si="0"/>
        <v>0.39772767394174752</v>
      </c>
      <c r="H25" s="6"/>
      <c r="I25" s="6">
        <f t="shared" si="1"/>
        <v>-0.29522815469172964</v>
      </c>
      <c r="J25" s="6" cm="1">
        <f t="array" ref="J25">lmb_1_0(I25)</f>
        <v>-0.47448812207196328</v>
      </c>
      <c r="K25" s="6">
        <f t="shared" si="2"/>
        <v>0.30368949891941649</v>
      </c>
      <c r="L25" s="6"/>
      <c r="M25" s="6">
        <f t="shared" si="3"/>
        <v>9.4038175022331028E-2</v>
      </c>
      <c r="N25" s="6"/>
      <c r="O25" s="6">
        <f t="shared" si="4"/>
        <v>2.4617307646443477E-2</v>
      </c>
      <c r="P25" s="6"/>
    </row>
    <row r="26" spans="2:16" x14ac:dyDescent="0.3">
      <c r="B26" s="6"/>
      <c r="C26" s="6">
        <f>(C20-1)*EXP(C20-1)</f>
        <v>-0.36380652442924483</v>
      </c>
      <c r="E26" s="6">
        <f>'OTOR model'!F32</f>
        <v>370.286</v>
      </c>
      <c r="F26" s="6">
        <f>'OTOR model'!G32</f>
        <v>8.9275400000000005</v>
      </c>
      <c r="G26" s="6">
        <f t="shared" si="0"/>
        <v>0.29629704009657437</v>
      </c>
      <c r="H26" s="6"/>
      <c r="I26" s="6">
        <f t="shared" si="1"/>
        <v>-0.25573664525414264</v>
      </c>
      <c r="J26" s="6" cm="1">
        <f t="array" ref="J26">lmb_1_0(I26)</f>
        <v>-0.37037922341884549</v>
      </c>
      <c r="K26" s="6">
        <f t="shared" si="2"/>
        <v>0.22880390989342117</v>
      </c>
      <c r="L26" s="6"/>
      <c r="M26" s="6">
        <f t="shared" si="3"/>
        <v>6.7493130203153201E-2</v>
      </c>
      <c r="N26" s="6"/>
      <c r="O26" s="6">
        <f t="shared" si="4"/>
        <v>1.7668347453977454E-2</v>
      </c>
      <c r="P26" s="6"/>
    </row>
    <row r="27" spans="2:16" x14ac:dyDescent="0.3">
      <c r="B27" s="6"/>
      <c r="C27" s="6" t="s">
        <v>15</v>
      </c>
      <c r="E27" s="6">
        <f>'OTOR model'!F33</f>
        <v>473.14299999999997</v>
      </c>
      <c r="F27" s="6">
        <f>'OTOR model'!G33</f>
        <v>9.8405799999999992</v>
      </c>
      <c r="G27" s="6">
        <f t="shared" si="0"/>
        <v>0.25560013432264306</v>
      </c>
      <c r="H27" s="6"/>
      <c r="I27" s="6">
        <f t="shared" si="1"/>
        <v>-0.2318843946493313</v>
      </c>
      <c r="J27" s="6" cm="1">
        <f t="array" ref="J27">lmb_1_0(I27)</f>
        <v>-0.31902241348911126</v>
      </c>
      <c r="K27" s="6">
        <f t="shared" si="2"/>
        <v>0.19791902118347524</v>
      </c>
      <c r="L27" s="6"/>
      <c r="M27" s="6">
        <f t="shared" si="3"/>
        <v>5.7681113139167822E-2</v>
      </c>
      <c r="N27" s="6"/>
      <c r="O27" s="6">
        <f t="shared" si="4"/>
        <v>1.5099758233281475E-2</v>
      </c>
      <c r="P27" s="6"/>
    </row>
    <row r="28" spans="2:16" x14ac:dyDescent="0.3">
      <c r="B28" s="6"/>
      <c r="C28" s="6" cm="1">
        <f t="array" ref="C28">1/((C20-1)*(C22*B22))*lmb_1_0(C26)/(1+lmb_1_0(C26))</f>
        <v>6.7086670771419055E-3</v>
      </c>
      <c r="E28" s="6">
        <f>'OTOR model'!F34</f>
        <v>569.14300000000003</v>
      </c>
      <c r="F28" s="6">
        <f>'OTOR model'!G34</f>
        <v>10.449299999999999</v>
      </c>
      <c r="G28" s="6">
        <f t="shared" si="0"/>
        <v>0.22563091252842241</v>
      </c>
      <c r="H28" s="6"/>
      <c r="I28" s="6">
        <f t="shared" si="1"/>
        <v>-0.21163368245135772</v>
      </c>
      <c r="J28" s="6" cm="1">
        <f t="array" ref="J28">lmb_1_0(I28)</f>
        <v>-0.28002615990926483</v>
      </c>
      <c r="K28" s="6">
        <f t="shared" si="2"/>
        <v>0.17643717043242821</v>
      </c>
      <c r="L28" s="6"/>
      <c r="M28" s="6">
        <f t="shared" si="3"/>
        <v>4.9193742095994197E-2</v>
      </c>
      <c r="N28" s="6"/>
      <c r="O28" s="6">
        <f t="shared" si="4"/>
        <v>1.2877934766059728E-2</v>
      </c>
      <c r="P28" s="6"/>
    </row>
    <row r="29" spans="2:16" x14ac:dyDescent="0.3">
      <c r="E29" s="6">
        <f>'OTOR model'!F35</f>
        <v>672</v>
      </c>
      <c r="F29" s="6">
        <f>'OTOR model'!G35</f>
        <v>11.260899999999999</v>
      </c>
      <c r="G29" s="6">
        <f t="shared" si="0"/>
        <v>0.20593806575995721</v>
      </c>
      <c r="H29" s="6"/>
      <c r="I29" s="6">
        <f t="shared" si="1"/>
        <v>-0.19189486236465339</v>
      </c>
      <c r="J29" s="6" cm="1">
        <f t="array" ref="J29">lmb_1_0(I29)</f>
        <v>-0.24522385432932672</v>
      </c>
      <c r="K29" s="6">
        <f t="shared" si="2"/>
        <v>0.15842773376590416</v>
      </c>
      <c r="L29" s="6"/>
      <c r="M29" s="6">
        <f t="shared" si="3"/>
        <v>4.7510331994053051E-2</v>
      </c>
      <c r="N29" s="6"/>
      <c r="O29" s="6">
        <f t="shared" si="4"/>
        <v>1.243725177359656E-2</v>
      </c>
      <c r="P29" s="6"/>
    </row>
    <row r="30" spans="2:16" x14ac:dyDescent="0.3">
      <c r="E30" s="6"/>
      <c r="F30" s="6"/>
      <c r="G30" s="6"/>
      <c r="I30" s="2"/>
      <c r="J30" s="2"/>
      <c r="K30" s="2"/>
      <c r="M30" s="2"/>
      <c r="O30" s="2"/>
    </row>
    <row r="31" spans="2:16" x14ac:dyDescent="0.3">
      <c r="E31" s="2"/>
      <c r="M31" s="2"/>
    </row>
    <row r="32" spans="2:16" x14ac:dyDescent="0.3">
      <c r="E32" s="2"/>
      <c r="M32" s="2"/>
    </row>
    <row r="33" spans="5:13" x14ac:dyDescent="0.3">
      <c r="E33" s="2"/>
      <c r="M33" s="2"/>
    </row>
    <row r="34" spans="5:13" x14ac:dyDescent="0.3">
      <c r="E34" s="2"/>
      <c r="M34" s="2"/>
    </row>
    <row r="35" spans="5:13" x14ac:dyDescent="0.3">
      <c r="E35" s="2"/>
      <c r="M35" s="2"/>
    </row>
    <row r="36" spans="5:13" x14ac:dyDescent="0.3">
      <c r="M36" s="2"/>
    </row>
    <row r="37" spans="5:13" x14ac:dyDescent="0.3">
      <c r="M37" s="2"/>
    </row>
    <row r="38" spans="5:13" x14ac:dyDescent="0.3">
      <c r="M38" s="2"/>
    </row>
    <row r="39" spans="5:13" x14ac:dyDescent="0.3">
      <c r="M39" s="2"/>
    </row>
    <row r="40" spans="5:13" x14ac:dyDescent="0.3">
      <c r="M40" s="2"/>
    </row>
    <row r="41" spans="5:13" x14ac:dyDescent="0.3">
      <c r="M41" s="2"/>
    </row>
    <row r="42" spans="5:13" x14ac:dyDescent="0.3">
      <c r="M42" s="2"/>
    </row>
    <row r="43" spans="5:13" x14ac:dyDescent="0.3">
      <c r="M43" s="2"/>
    </row>
    <row r="44" spans="5:13" x14ac:dyDescent="0.3">
      <c r="M44" s="2"/>
    </row>
    <row r="45" spans="5:13" x14ac:dyDescent="0.3">
      <c r="M45" s="2"/>
    </row>
    <row r="46" spans="5:13" x14ac:dyDescent="0.3">
      <c r="M46" s="2"/>
    </row>
    <row r="47" spans="5:13" x14ac:dyDescent="0.3">
      <c r="M47" s="2"/>
    </row>
    <row r="48" spans="5:13" x14ac:dyDescent="0.3">
      <c r="M48" s="2"/>
    </row>
    <row r="49" spans="13:13" x14ac:dyDescent="0.3">
      <c r="M49" s="2"/>
    </row>
    <row r="50" spans="13:13" x14ac:dyDescent="0.3">
      <c r="M50" s="2"/>
    </row>
    <row r="51" spans="13:13" x14ac:dyDescent="0.3">
      <c r="M51" s="2"/>
    </row>
    <row r="52" spans="13:13" x14ac:dyDescent="0.3">
      <c r="M52" s="2"/>
    </row>
    <row r="53" spans="13:13" x14ac:dyDescent="0.3">
      <c r="M53" s="2"/>
    </row>
    <row r="54" spans="13:13" x14ac:dyDescent="0.3">
      <c r="M54" s="2"/>
    </row>
    <row r="55" spans="13:13" x14ac:dyDescent="0.3">
      <c r="M55" s="2"/>
    </row>
    <row r="56" spans="13:13" x14ac:dyDescent="0.3">
      <c r="M56" s="2"/>
    </row>
    <row r="57" spans="13:13" x14ac:dyDescent="0.3">
      <c r="M57" s="2"/>
    </row>
    <row r="58" spans="13:13" x14ac:dyDescent="0.3">
      <c r="M58" s="2"/>
    </row>
    <row r="59" spans="13:13" x14ac:dyDescent="0.3">
      <c r="M59" s="2"/>
    </row>
    <row r="60" spans="13:13" x14ac:dyDescent="0.3">
      <c r="M60" s="2"/>
    </row>
    <row r="61" spans="13:13" x14ac:dyDescent="0.3">
      <c r="M61" s="2"/>
    </row>
    <row r="62" spans="13:13" x14ac:dyDescent="0.3">
      <c r="M62" s="2"/>
    </row>
    <row r="63" spans="13:13" x14ac:dyDescent="0.3">
      <c r="M63" s="2"/>
    </row>
    <row r="64" spans="13:13" x14ac:dyDescent="0.3">
      <c r="M64" s="2"/>
    </row>
    <row r="65" spans="13:13" x14ac:dyDescent="0.3">
      <c r="M65" s="2"/>
    </row>
    <row r="66" spans="13:13" x14ac:dyDescent="0.3">
      <c r="M66" s="2"/>
    </row>
    <row r="67" spans="13:13" x14ac:dyDescent="0.3">
      <c r="M67" s="2"/>
    </row>
    <row r="68" spans="13:13" x14ac:dyDescent="0.3">
      <c r="M68" s="2"/>
    </row>
    <row r="69" spans="13:13" x14ac:dyDescent="0.3">
      <c r="M69" s="2"/>
    </row>
    <row r="70" spans="13:13" x14ac:dyDescent="0.3">
      <c r="M70" s="2"/>
    </row>
    <row r="71" spans="13:13" x14ac:dyDescent="0.3">
      <c r="M71" s="2"/>
    </row>
    <row r="72" spans="13:13" x14ac:dyDescent="0.3">
      <c r="M72" s="2"/>
    </row>
    <row r="73" spans="13:13" x14ac:dyDescent="0.3">
      <c r="M73" s="2"/>
    </row>
    <row r="74" spans="13:13" x14ac:dyDescent="0.3">
      <c r="M74" s="2"/>
    </row>
    <row r="75" spans="13:13" x14ac:dyDescent="0.3">
      <c r="M75" s="2"/>
    </row>
    <row r="76" spans="13:13" x14ac:dyDescent="0.3">
      <c r="M76" s="2"/>
    </row>
    <row r="77" spans="13:13" x14ac:dyDescent="0.3">
      <c r="M77" s="2"/>
    </row>
    <row r="78" spans="13:13" x14ac:dyDescent="0.3">
      <c r="M78" s="2"/>
    </row>
    <row r="79" spans="13:13" x14ac:dyDescent="0.3">
      <c r="M79" s="2"/>
    </row>
    <row r="80" spans="13:13" x14ac:dyDescent="0.3">
      <c r="M80" s="2"/>
    </row>
    <row r="81" spans="13:13" x14ac:dyDescent="0.3">
      <c r="M81" s="2"/>
    </row>
    <row r="82" spans="13:13" x14ac:dyDescent="0.3">
      <c r="M82" s="2"/>
    </row>
    <row r="83" spans="13:13" x14ac:dyDescent="0.3">
      <c r="M83" s="2"/>
    </row>
    <row r="84" spans="13:13" x14ac:dyDescent="0.3">
      <c r="M84" s="2"/>
    </row>
    <row r="85" spans="13:13" x14ac:dyDescent="0.3">
      <c r="M85" s="2"/>
    </row>
    <row r="86" spans="13:13" x14ac:dyDescent="0.3">
      <c r="M86" s="2"/>
    </row>
    <row r="87" spans="13:13" x14ac:dyDescent="0.3">
      <c r="M87" s="2"/>
    </row>
    <row r="88" spans="13:13" x14ac:dyDescent="0.3">
      <c r="M88" s="2"/>
    </row>
    <row r="89" spans="13:13" x14ac:dyDescent="0.3">
      <c r="M89" s="2"/>
    </row>
    <row r="90" spans="13:13" x14ac:dyDescent="0.3">
      <c r="M90" s="2"/>
    </row>
    <row r="91" spans="13:13" x14ac:dyDescent="0.3">
      <c r="M91" s="2"/>
    </row>
    <row r="92" spans="13:13" x14ac:dyDescent="0.3">
      <c r="M92" s="2"/>
    </row>
    <row r="93" spans="13:13" x14ac:dyDescent="0.3">
      <c r="M93" s="2"/>
    </row>
    <row r="94" spans="13:13" x14ac:dyDescent="0.3">
      <c r="M94" s="2"/>
    </row>
    <row r="95" spans="13:13" x14ac:dyDescent="0.3">
      <c r="M95" s="2"/>
    </row>
    <row r="96" spans="13:13" x14ac:dyDescent="0.3">
      <c r="M96" s="2"/>
    </row>
    <row r="97" spans="13:13" x14ac:dyDescent="0.3">
      <c r="M97" s="2"/>
    </row>
    <row r="98" spans="13:13" x14ac:dyDescent="0.3">
      <c r="M98" s="2"/>
    </row>
    <row r="99" spans="13:13" x14ac:dyDescent="0.3">
      <c r="M99" s="2"/>
    </row>
    <row r="100" spans="13:13" x14ac:dyDescent="0.3">
      <c r="M100" s="2"/>
    </row>
    <row r="101" spans="13:13" x14ac:dyDescent="0.3">
      <c r="M101" s="2"/>
    </row>
    <row r="102" spans="13:13" x14ac:dyDescent="0.3">
      <c r="M102" s="2"/>
    </row>
    <row r="103" spans="13:13" x14ac:dyDescent="0.3">
      <c r="M103" s="2"/>
    </row>
    <row r="104" spans="13:13" x14ac:dyDescent="0.3">
      <c r="M104" s="2"/>
    </row>
    <row r="105" spans="13:13" x14ac:dyDescent="0.3">
      <c r="M105" s="2"/>
    </row>
    <row r="106" spans="13:13" x14ac:dyDescent="0.3">
      <c r="M106" s="2"/>
    </row>
    <row r="107" spans="13:13" x14ac:dyDescent="0.3">
      <c r="M107" s="2"/>
    </row>
    <row r="108" spans="13:13" x14ac:dyDescent="0.3">
      <c r="M108" s="2"/>
    </row>
    <row r="109" spans="13:13" x14ac:dyDescent="0.3">
      <c r="M109" s="2"/>
    </row>
    <row r="110" spans="13:13" x14ac:dyDescent="0.3">
      <c r="M110" s="2"/>
    </row>
    <row r="111" spans="13:13" x14ac:dyDescent="0.3">
      <c r="M111" s="2"/>
    </row>
    <row r="112" spans="13:13" x14ac:dyDescent="0.3">
      <c r="M112" s="2"/>
    </row>
    <row r="113" spans="13:13" x14ac:dyDescent="0.3">
      <c r="M113" s="2"/>
    </row>
    <row r="114" spans="13:13" x14ac:dyDescent="0.3">
      <c r="M114" s="2"/>
    </row>
    <row r="115" spans="13:13" x14ac:dyDescent="0.3">
      <c r="M115" s="2"/>
    </row>
    <row r="116" spans="13:13" x14ac:dyDescent="0.3">
      <c r="M116" s="2"/>
    </row>
    <row r="117" spans="13:13" x14ac:dyDescent="0.3">
      <c r="M117" s="2"/>
    </row>
    <row r="118" spans="13:13" x14ac:dyDescent="0.3">
      <c r="M118" s="2"/>
    </row>
    <row r="119" spans="13:13" x14ac:dyDescent="0.3">
      <c r="M119" s="2"/>
    </row>
    <row r="120" spans="13:13" x14ac:dyDescent="0.3">
      <c r="M120" s="2"/>
    </row>
    <row r="121" spans="13:13" x14ac:dyDescent="0.3">
      <c r="M121" s="2"/>
    </row>
    <row r="122" spans="13:13" x14ac:dyDescent="0.3">
      <c r="M122" s="2"/>
    </row>
    <row r="123" spans="13:13" x14ac:dyDescent="0.3">
      <c r="M123" s="2"/>
    </row>
    <row r="124" spans="13:13" x14ac:dyDescent="0.3">
      <c r="M124" s="2"/>
    </row>
    <row r="125" spans="13:13" x14ac:dyDescent="0.3">
      <c r="M125" s="2"/>
    </row>
    <row r="126" spans="13:13" x14ac:dyDescent="0.3">
      <c r="M126" s="2"/>
    </row>
    <row r="127" spans="13:13" x14ac:dyDescent="0.3">
      <c r="M127" s="2"/>
    </row>
    <row r="128" spans="13:13" x14ac:dyDescent="0.3">
      <c r="M128" s="2"/>
    </row>
    <row r="129" spans="13:13" x14ac:dyDescent="0.3">
      <c r="M129" s="2"/>
    </row>
    <row r="130" spans="13:13" x14ac:dyDescent="0.3">
      <c r="M130" s="2"/>
    </row>
    <row r="131" spans="13:13" x14ac:dyDescent="0.3">
      <c r="M131" s="2"/>
    </row>
    <row r="132" spans="13:13" x14ac:dyDescent="0.3">
      <c r="M132" s="2"/>
    </row>
    <row r="133" spans="13:13" x14ac:dyDescent="0.3">
      <c r="M133" s="2"/>
    </row>
    <row r="134" spans="13:13" x14ac:dyDescent="0.3">
      <c r="M134" s="2"/>
    </row>
    <row r="135" spans="13:13" x14ac:dyDescent="0.3">
      <c r="M135" s="2"/>
    </row>
    <row r="136" spans="13:13" x14ac:dyDescent="0.3">
      <c r="M136" s="2"/>
    </row>
    <row r="137" spans="13:13" x14ac:dyDescent="0.3">
      <c r="M137" s="2"/>
    </row>
    <row r="138" spans="13:13" x14ac:dyDescent="0.3">
      <c r="M138" s="2"/>
    </row>
    <row r="139" spans="13:13" x14ac:dyDescent="0.3">
      <c r="M139" s="2"/>
    </row>
    <row r="140" spans="13:13" x14ac:dyDescent="0.3">
      <c r="M140" s="2"/>
    </row>
    <row r="141" spans="13:13" x14ac:dyDescent="0.3">
      <c r="M141" s="2"/>
    </row>
    <row r="142" spans="13:13" x14ac:dyDescent="0.3">
      <c r="M142" s="2"/>
    </row>
    <row r="143" spans="13:13" x14ac:dyDescent="0.3">
      <c r="M143" s="2"/>
    </row>
    <row r="144" spans="13:13" x14ac:dyDescent="0.3">
      <c r="M144" s="2"/>
    </row>
    <row r="145" spans="13:13" x14ac:dyDescent="0.3">
      <c r="M145" s="2"/>
    </row>
    <row r="146" spans="13:13" x14ac:dyDescent="0.3">
      <c r="M146" s="2"/>
    </row>
    <row r="147" spans="13:13" x14ac:dyDescent="0.3">
      <c r="M147" s="2"/>
    </row>
    <row r="148" spans="13:13" x14ac:dyDescent="0.3">
      <c r="M148" s="2"/>
    </row>
    <row r="149" spans="13:13" x14ac:dyDescent="0.3">
      <c r="M149" s="2"/>
    </row>
    <row r="150" spans="13:13" x14ac:dyDescent="0.3">
      <c r="M150" s="2"/>
    </row>
    <row r="151" spans="13:13" x14ac:dyDescent="0.3">
      <c r="M151" s="2"/>
    </row>
    <row r="152" spans="13:13" x14ac:dyDescent="0.3">
      <c r="M152" s="2"/>
    </row>
    <row r="153" spans="13:13" x14ac:dyDescent="0.3">
      <c r="M153" s="2"/>
    </row>
    <row r="154" spans="13:13" x14ac:dyDescent="0.3">
      <c r="M154" s="2"/>
    </row>
    <row r="155" spans="13:13" x14ac:dyDescent="0.3">
      <c r="M155" s="2"/>
    </row>
    <row r="156" spans="13:13" x14ac:dyDescent="0.3">
      <c r="M156" s="2"/>
    </row>
    <row r="157" spans="13:13" x14ac:dyDescent="0.3">
      <c r="M157" s="2"/>
    </row>
    <row r="158" spans="13:13" x14ac:dyDescent="0.3">
      <c r="M158" s="2"/>
    </row>
    <row r="159" spans="13:13" x14ac:dyDescent="0.3">
      <c r="M159" s="2"/>
    </row>
    <row r="160" spans="13:13" x14ac:dyDescent="0.3">
      <c r="M160" s="2"/>
    </row>
    <row r="161" spans="13:13" x14ac:dyDescent="0.3">
      <c r="M161" s="2"/>
    </row>
    <row r="162" spans="13:13" x14ac:dyDescent="0.3">
      <c r="M162" s="2"/>
    </row>
    <row r="163" spans="13:13" x14ac:dyDescent="0.3">
      <c r="M163" s="2"/>
    </row>
    <row r="164" spans="13:13" x14ac:dyDescent="0.3">
      <c r="M164" s="2"/>
    </row>
    <row r="165" spans="13:13" x14ac:dyDescent="0.3">
      <c r="M165" s="2"/>
    </row>
    <row r="166" spans="13:13" x14ac:dyDescent="0.3">
      <c r="M166" s="2"/>
    </row>
    <row r="167" spans="13:13" x14ac:dyDescent="0.3">
      <c r="M167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OTOR model</vt:lpstr>
      <vt:lpstr>f(D)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Paul</cp:lastModifiedBy>
  <dcterms:created xsi:type="dcterms:W3CDTF">2020-08-20T12:08:27Z</dcterms:created>
  <dcterms:modified xsi:type="dcterms:W3CDTF">2021-07-26T10:59:58Z</dcterms:modified>
</cp:coreProperties>
</file>