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igma\OneDrive\Υπολογιστής\Dosimetry\Deconovolution\Decay\"/>
    </mc:Choice>
  </mc:AlternateContent>
  <xr:revisionPtr revIDLastSave="0" documentId="13_ncr:1_{CA855AF0-9A60-46E4-9554-F74F3A3B60E3}" xr6:coauthVersionLast="47" xr6:coauthVersionMax="47" xr10:uidLastSave="{00000000-0000-0000-0000-000000000000}"/>
  <bookViews>
    <workbookView xWindow="-110" yWindow="-110" windowWidth="25820" windowHeight="15500" xr2:uid="{00000000-000D-0000-FFFF-FFFF00000000}"/>
  </bookViews>
  <sheets>
    <sheet name="sheet 1" sheetId="2" r:id="rId1"/>
  </sheets>
  <functionGroups builtInGroupCount="19"/>
  <definedNames>
    <definedName name="solver_adj" localSheetId="0" hidden="1">'sheet 1'!$D$21:$D$23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'sheet 1'!$C$21:$G$21</definedName>
    <definedName name="solver_lhs10" localSheetId="0" hidden="1">'sheet 1'!$G$22</definedName>
    <definedName name="solver_lhs11" localSheetId="0" hidden="1">'sheet 1'!$F$22</definedName>
    <definedName name="solver_lhs12" localSheetId="0" hidden="1">'sheet 1'!$G$23</definedName>
    <definedName name="solver_lhs13" localSheetId="0" hidden="1">'sheet 1'!$E$21</definedName>
    <definedName name="solver_lhs14" localSheetId="0" hidden="1">'sheet 1'!$G$23</definedName>
    <definedName name="solver_lhs15" localSheetId="0" hidden="1">'sheet 1'!$F$23</definedName>
    <definedName name="solver_lhs16" localSheetId="0" hidden="1">'sheet 1'!$F$21</definedName>
    <definedName name="solver_lhs17" localSheetId="0" hidden="1">'sheet 1'!$G$21</definedName>
    <definedName name="solver_lhs18" localSheetId="0" hidden="1">'sheet 1'!$G$21</definedName>
    <definedName name="solver_lhs19" localSheetId="0" hidden="1">'sheet 1'!$G$21</definedName>
    <definedName name="solver_lhs2" localSheetId="0" hidden="1">'sheet 1'!$C$23:$G$23</definedName>
    <definedName name="solver_lhs20" localSheetId="0" hidden="1">'sheet 1'!$G$21</definedName>
    <definedName name="solver_lhs3" localSheetId="0" hidden="1">'sheet 1'!$C$23:$G$23</definedName>
    <definedName name="solver_lhs4" localSheetId="0" hidden="1">'sheet 1'!$D$23</definedName>
    <definedName name="solver_lhs5" localSheetId="0" hidden="1">'sheet 1'!$E$22</definedName>
    <definedName name="solver_lhs6" localSheetId="0" hidden="1">'sheet 1'!$E$23</definedName>
    <definedName name="solver_lhs7" localSheetId="0" hidden="1">'sheet 1'!$D$21</definedName>
    <definedName name="solver_lhs8" localSheetId="0" hidden="1">'sheet 1'!$F$23</definedName>
    <definedName name="solver_lhs9" localSheetId="0" hidden="1">'sheet 1'!$E$23</definedName>
    <definedName name="solver_lin" localSheetId="0" hidden="1">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2</definedName>
    <definedName name="solver_nwt" localSheetId="0" hidden="1">1</definedName>
    <definedName name="solver_opt" localSheetId="0" hidden="1">'sheet 1'!$C$35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10" localSheetId="0" hidden="1">3</definedName>
    <definedName name="solver_rel11" localSheetId="0" hidden="1">3</definedName>
    <definedName name="solver_rel12" localSheetId="0" hidden="1">1</definedName>
    <definedName name="solver_rel13" localSheetId="0" hidden="1">3</definedName>
    <definedName name="solver_rel14" localSheetId="0" hidden="1">3</definedName>
    <definedName name="solver_rel15" localSheetId="0" hidden="1">3</definedName>
    <definedName name="solver_rel16" localSheetId="0" hidden="1">3</definedName>
    <definedName name="solver_rel17" localSheetId="0" hidden="1">3</definedName>
    <definedName name="solver_rel18" localSheetId="0" hidden="1">3</definedName>
    <definedName name="solver_rel19" localSheetId="0" hidden="1">3</definedName>
    <definedName name="solver_rel2" localSheetId="0" hidden="1">3</definedName>
    <definedName name="solver_rel20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el6" localSheetId="0" hidden="1">1</definedName>
    <definedName name="solver_rel7" localSheetId="0" hidden="1">3</definedName>
    <definedName name="solver_rel8" localSheetId="0" hidden="1">1</definedName>
    <definedName name="solver_rel9" localSheetId="0" hidden="1">3</definedName>
    <definedName name="solver_rhs1" localSheetId="0" hidden="1">0</definedName>
    <definedName name="solver_rhs10" localSheetId="0" hidden="1">0</definedName>
    <definedName name="solver_rhs11" localSheetId="0" hidden="1">0</definedName>
    <definedName name="solver_rhs12" localSheetId="0" hidden="1">0.9</definedName>
    <definedName name="solver_rhs13" localSheetId="0" hidden="1">0</definedName>
    <definedName name="solver_rhs14" localSheetId="0" hidden="1">0.00001</definedName>
    <definedName name="solver_rhs15" localSheetId="0" hidden="1">0.00001</definedName>
    <definedName name="solver_rhs16" localSheetId="0" hidden="1">0</definedName>
    <definedName name="solver_rhs17" localSheetId="0" hidden="1">0</definedName>
    <definedName name="solver_rhs18" localSheetId="0" hidden="1">0</definedName>
    <definedName name="solver_rhs19" localSheetId="0" hidden="1">0</definedName>
    <definedName name="solver_rhs2" localSheetId="0" hidden="1">0.000000001</definedName>
    <definedName name="solver_rhs20" localSheetId="0" hidden="1">0</definedName>
    <definedName name="solver_rhs3" localSheetId="0" hidden="1">0.000000001</definedName>
    <definedName name="solver_rhs4" localSheetId="0" hidden="1">0.00001</definedName>
    <definedName name="solver_rhs5" localSheetId="0" hidden="1">0</definedName>
    <definedName name="solver_rhs6" localSheetId="0" hidden="1">0.9</definedName>
    <definedName name="solver_rhs7" localSheetId="0" hidden="1">0</definedName>
    <definedName name="solver_rhs8" localSheetId="0" hidden="1">0.9</definedName>
    <definedName name="solver_rhs9" localSheetId="0" hidden="1">0.00001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67" i="2" l="1"/>
  <c r="E167" i="2"/>
  <c r="F167" i="2"/>
  <c r="G167" i="2"/>
  <c r="H167" i="2"/>
  <c r="T167" i="2"/>
  <c r="D168" i="2"/>
  <c r="E168" i="2"/>
  <c r="F168" i="2"/>
  <c r="G168" i="2"/>
  <c r="H168" i="2"/>
  <c r="T168" i="2"/>
  <c r="D169" i="2"/>
  <c r="E169" i="2"/>
  <c r="F169" i="2"/>
  <c r="G169" i="2"/>
  <c r="H169" i="2"/>
  <c r="T169" i="2"/>
  <c r="T170" i="2" s="1"/>
  <c r="T171" i="2" s="1"/>
  <c r="D170" i="2"/>
  <c r="E170" i="2"/>
  <c r="F170" i="2"/>
  <c r="G170" i="2"/>
  <c r="H170" i="2"/>
  <c r="D171" i="2"/>
  <c r="E171" i="2"/>
  <c r="F171" i="2"/>
  <c r="G171" i="2"/>
  <c r="H171" i="2"/>
  <c r="T42" i="2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L170" i="2"/>
  <c r="M170" i="2"/>
  <c r="J171" i="2"/>
  <c r="L171" i="2"/>
  <c r="N170" i="2"/>
  <c r="K171" i="2"/>
  <c r="J167" i="2"/>
  <c r="N171" i="2"/>
  <c r="K167" i="2"/>
  <c r="L167" i="2"/>
  <c r="M167" i="2"/>
  <c r="J168" i="2"/>
  <c r="N167" i="2"/>
  <c r="K168" i="2"/>
  <c r="L168" i="2"/>
  <c r="M168" i="2"/>
  <c r="J169" i="2"/>
  <c r="N168" i="2"/>
  <c r="K169" i="2"/>
  <c r="N169" i="2"/>
  <c r="M171" i="2"/>
  <c r="L169" i="2"/>
  <c r="M169" i="2"/>
  <c r="J170" i="2"/>
  <c r="K170" i="2"/>
  <c r="Q170" i="2" l="1"/>
  <c r="P170" i="2"/>
  <c r="S169" i="2"/>
  <c r="R169" i="2"/>
  <c r="S171" i="2"/>
  <c r="Q169" i="2"/>
  <c r="P169" i="2"/>
  <c r="S168" i="2"/>
  <c r="R168" i="2"/>
  <c r="Q168" i="2"/>
  <c r="P168" i="2"/>
  <c r="S167" i="2"/>
  <c r="R167" i="2"/>
  <c r="Q167" i="2"/>
  <c r="P167" i="2"/>
  <c r="Q171" i="2"/>
  <c r="R171" i="2"/>
  <c r="P171" i="2"/>
  <c r="S170" i="2"/>
  <c r="R170" i="2"/>
  <c r="D27" i="2"/>
  <c r="V168" i="2" l="1"/>
  <c r="Y168" i="2" s="1"/>
  <c r="V171" i="2"/>
  <c r="X171" i="2" s="1"/>
  <c r="V170" i="2"/>
  <c r="V169" i="2"/>
  <c r="V167" i="2"/>
  <c r="D116" i="2"/>
  <c r="E116" i="2"/>
  <c r="F116" i="2"/>
  <c r="G116" i="2"/>
  <c r="H116" i="2"/>
  <c r="D117" i="2"/>
  <c r="E117" i="2"/>
  <c r="F117" i="2"/>
  <c r="G117" i="2"/>
  <c r="H117" i="2"/>
  <c r="D118" i="2"/>
  <c r="E118" i="2"/>
  <c r="F118" i="2"/>
  <c r="G118" i="2"/>
  <c r="H118" i="2"/>
  <c r="D119" i="2"/>
  <c r="E119" i="2"/>
  <c r="F119" i="2"/>
  <c r="G119" i="2"/>
  <c r="H119" i="2"/>
  <c r="D120" i="2"/>
  <c r="E120" i="2"/>
  <c r="F120" i="2"/>
  <c r="G120" i="2"/>
  <c r="H120" i="2"/>
  <c r="D121" i="2"/>
  <c r="E121" i="2"/>
  <c r="F121" i="2"/>
  <c r="G121" i="2"/>
  <c r="H121" i="2"/>
  <c r="D122" i="2"/>
  <c r="E122" i="2"/>
  <c r="F122" i="2"/>
  <c r="G122" i="2"/>
  <c r="H122" i="2"/>
  <c r="D123" i="2"/>
  <c r="E123" i="2"/>
  <c r="F123" i="2"/>
  <c r="G123" i="2"/>
  <c r="H123" i="2"/>
  <c r="D124" i="2"/>
  <c r="E124" i="2"/>
  <c r="F124" i="2"/>
  <c r="G124" i="2"/>
  <c r="H124" i="2"/>
  <c r="D125" i="2"/>
  <c r="E125" i="2"/>
  <c r="F125" i="2"/>
  <c r="G125" i="2"/>
  <c r="H125" i="2"/>
  <c r="D126" i="2"/>
  <c r="E126" i="2"/>
  <c r="F126" i="2"/>
  <c r="G126" i="2"/>
  <c r="H126" i="2"/>
  <c r="D127" i="2"/>
  <c r="E127" i="2"/>
  <c r="F127" i="2"/>
  <c r="G127" i="2"/>
  <c r="H127" i="2"/>
  <c r="D128" i="2"/>
  <c r="E128" i="2"/>
  <c r="F128" i="2"/>
  <c r="G128" i="2"/>
  <c r="H128" i="2"/>
  <c r="D129" i="2"/>
  <c r="E129" i="2"/>
  <c r="F129" i="2"/>
  <c r="G129" i="2"/>
  <c r="H129" i="2"/>
  <c r="D130" i="2"/>
  <c r="E130" i="2"/>
  <c r="F130" i="2"/>
  <c r="G130" i="2"/>
  <c r="H130" i="2"/>
  <c r="D131" i="2"/>
  <c r="E131" i="2"/>
  <c r="F131" i="2"/>
  <c r="G131" i="2"/>
  <c r="H131" i="2"/>
  <c r="D132" i="2"/>
  <c r="E132" i="2"/>
  <c r="F132" i="2"/>
  <c r="G132" i="2"/>
  <c r="H132" i="2"/>
  <c r="D133" i="2"/>
  <c r="E133" i="2"/>
  <c r="F133" i="2"/>
  <c r="G133" i="2"/>
  <c r="H133" i="2"/>
  <c r="D134" i="2"/>
  <c r="E134" i="2"/>
  <c r="F134" i="2"/>
  <c r="G134" i="2"/>
  <c r="H134" i="2"/>
  <c r="D135" i="2"/>
  <c r="E135" i="2"/>
  <c r="F135" i="2"/>
  <c r="G135" i="2"/>
  <c r="H135" i="2"/>
  <c r="D136" i="2"/>
  <c r="E136" i="2"/>
  <c r="F136" i="2"/>
  <c r="G136" i="2"/>
  <c r="H136" i="2"/>
  <c r="D137" i="2"/>
  <c r="E137" i="2"/>
  <c r="F137" i="2"/>
  <c r="G137" i="2"/>
  <c r="H137" i="2"/>
  <c r="D138" i="2"/>
  <c r="E138" i="2"/>
  <c r="F138" i="2"/>
  <c r="G138" i="2"/>
  <c r="H138" i="2"/>
  <c r="D139" i="2"/>
  <c r="E139" i="2"/>
  <c r="F139" i="2"/>
  <c r="G139" i="2"/>
  <c r="H139" i="2"/>
  <c r="D140" i="2"/>
  <c r="E140" i="2"/>
  <c r="F140" i="2"/>
  <c r="G140" i="2"/>
  <c r="H140" i="2"/>
  <c r="D141" i="2"/>
  <c r="E141" i="2"/>
  <c r="F141" i="2"/>
  <c r="G141" i="2"/>
  <c r="H141" i="2"/>
  <c r="D142" i="2"/>
  <c r="E142" i="2"/>
  <c r="F142" i="2"/>
  <c r="G142" i="2"/>
  <c r="H142" i="2"/>
  <c r="D143" i="2"/>
  <c r="E143" i="2"/>
  <c r="F143" i="2"/>
  <c r="G143" i="2"/>
  <c r="H143" i="2"/>
  <c r="D144" i="2"/>
  <c r="E144" i="2"/>
  <c r="F144" i="2"/>
  <c r="G144" i="2"/>
  <c r="H144" i="2"/>
  <c r="D145" i="2"/>
  <c r="E145" i="2"/>
  <c r="F145" i="2"/>
  <c r="G145" i="2"/>
  <c r="H145" i="2"/>
  <c r="D146" i="2"/>
  <c r="E146" i="2"/>
  <c r="F146" i="2"/>
  <c r="G146" i="2"/>
  <c r="H146" i="2"/>
  <c r="D147" i="2"/>
  <c r="E147" i="2"/>
  <c r="F147" i="2"/>
  <c r="G147" i="2"/>
  <c r="H147" i="2"/>
  <c r="D148" i="2"/>
  <c r="E148" i="2"/>
  <c r="F148" i="2"/>
  <c r="G148" i="2"/>
  <c r="H148" i="2"/>
  <c r="D149" i="2"/>
  <c r="E149" i="2"/>
  <c r="F149" i="2"/>
  <c r="G149" i="2"/>
  <c r="H149" i="2"/>
  <c r="D150" i="2"/>
  <c r="E150" i="2"/>
  <c r="F150" i="2"/>
  <c r="G150" i="2"/>
  <c r="H150" i="2"/>
  <c r="D151" i="2"/>
  <c r="E151" i="2"/>
  <c r="F151" i="2"/>
  <c r="G151" i="2"/>
  <c r="H151" i="2"/>
  <c r="D152" i="2"/>
  <c r="E152" i="2"/>
  <c r="F152" i="2"/>
  <c r="G152" i="2"/>
  <c r="H152" i="2"/>
  <c r="D153" i="2"/>
  <c r="E153" i="2"/>
  <c r="F153" i="2"/>
  <c r="G153" i="2"/>
  <c r="H153" i="2"/>
  <c r="D154" i="2"/>
  <c r="E154" i="2"/>
  <c r="F154" i="2"/>
  <c r="G154" i="2"/>
  <c r="H154" i="2"/>
  <c r="D155" i="2"/>
  <c r="E155" i="2"/>
  <c r="F155" i="2"/>
  <c r="G155" i="2"/>
  <c r="H155" i="2"/>
  <c r="D156" i="2"/>
  <c r="E156" i="2"/>
  <c r="F156" i="2"/>
  <c r="G156" i="2"/>
  <c r="H156" i="2"/>
  <c r="D157" i="2"/>
  <c r="E157" i="2"/>
  <c r="F157" i="2"/>
  <c r="G157" i="2"/>
  <c r="H157" i="2"/>
  <c r="D158" i="2"/>
  <c r="E158" i="2"/>
  <c r="F158" i="2"/>
  <c r="G158" i="2"/>
  <c r="H158" i="2"/>
  <c r="D159" i="2"/>
  <c r="E159" i="2"/>
  <c r="F159" i="2"/>
  <c r="G159" i="2"/>
  <c r="H159" i="2"/>
  <c r="D160" i="2"/>
  <c r="E160" i="2"/>
  <c r="F160" i="2"/>
  <c r="G160" i="2"/>
  <c r="H160" i="2"/>
  <c r="D161" i="2"/>
  <c r="E161" i="2"/>
  <c r="F161" i="2"/>
  <c r="G161" i="2"/>
  <c r="H161" i="2"/>
  <c r="D162" i="2"/>
  <c r="E162" i="2"/>
  <c r="F162" i="2"/>
  <c r="G162" i="2"/>
  <c r="H162" i="2"/>
  <c r="D163" i="2"/>
  <c r="E163" i="2"/>
  <c r="F163" i="2"/>
  <c r="G163" i="2"/>
  <c r="H163" i="2"/>
  <c r="D164" i="2"/>
  <c r="E164" i="2"/>
  <c r="F164" i="2"/>
  <c r="G164" i="2"/>
  <c r="H164" i="2"/>
  <c r="D165" i="2"/>
  <c r="E165" i="2"/>
  <c r="F165" i="2"/>
  <c r="G165" i="2"/>
  <c r="H165" i="2"/>
  <c r="D166" i="2"/>
  <c r="E166" i="2"/>
  <c r="F166" i="2"/>
  <c r="G166" i="2"/>
  <c r="H166" i="2"/>
  <c r="D25" i="2"/>
  <c r="K137" i="2"/>
  <c r="M154" i="2"/>
  <c r="N133" i="2"/>
  <c r="N122" i="2"/>
  <c r="J131" i="2"/>
  <c r="J125" i="2"/>
  <c r="K123" i="2"/>
  <c r="K163" i="2"/>
  <c r="L136" i="2"/>
  <c r="N162" i="2"/>
  <c r="J149" i="2"/>
  <c r="K154" i="2"/>
  <c r="N123" i="2"/>
  <c r="J152" i="2"/>
  <c r="J162" i="2"/>
  <c r="K142" i="2"/>
  <c r="M123" i="2"/>
  <c r="M150" i="2"/>
  <c r="N135" i="2"/>
  <c r="N148" i="2"/>
  <c r="M121" i="2"/>
  <c r="M164" i="2"/>
  <c r="K135" i="2"/>
  <c r="N144" i="2"/>
  <c r="M130" i="2"/>
  <c r="M133" i="2"/>
  <c r="N154" i="2"/>
  <c r="K152" i="2"/>
  <c r="M159" i="2"/>
  <c r="K146" i="2"/>
  <c r="J120" i="2"/>
  <c r="M161" i="2"/>
  <c r="L141" i="2"/>
  <c r="J134" i="2"/>
  <c r="J143" i="2"/>
  <c r="J156" i="2"/>
  <c r="J161" i="2"/>
  <c r="L121" i="2"/>
  <c r="K121" i="2"/>
  <c r="J117" i="2"/>
  <c r="N138" i="2"/>
  <c r="N131" i="2"/>
  <c r="J136" i="2"/>
  <c r="L147" i="2"/>
  <c r="L131" i="2"/>
  <c r="L160" i="2"/>
  <c r="J139" i="2"/>
  <c r="M155" i="2"/>
  <c r="K119" i="2"/>
  <c r="K159" i="2"/>
  <c r="M124" i="2"/>
  <c r="J144" i="2"/>
  <c r="N153" i="2"/>
  <c r="M118" i="2"/>
  <c r="K151" i="2"/>
  <c r="L148" i="2"/>
  <c r="J140" i="2"/>
  <c r="K141" i="2"/>
  <c r="L166" i="2"/>
  <c r="N151" i="2"/>
  <c r="J153" i="2"/>
  <c r="N128" i="2"/>
  <c r="N141" i="2"/>
  <c r="K118" i="2"/>
  <c r="L143" i="2"/>
  <c r="J132" i="2"/>
  <c r="L149" i="2"/>
  <c r="M117" i="2"/>
  <c r="N157" i="2"/>
  <c r="J151" i="2"/>
  <c r="L135" i="2"/>
  <c r="K148" i="2"/>
  <c r="J158" i="2"/>
  <c r="L159" i="2"/>
  <c r="M143" i="2"/>
  <c r="J128" i="2"/>
  <c r="M166" i="2"/>
  <c r="M165" i="2"/>
  <c r="K138" i="2"/>
  <c r="L162" i="2"/>
  <c r="M145" i="2"/>
  <c r="N127" i="2"/>
  <c r="K139" i="2"/>
  <c r="K143" i="2"/>
  <c r="K136" i="2"/>
  <c r="K124" i="2"/>
  <c r="M148" i="2"/>
  <c r="M147" i="2"/>
  <c r="M127" i="2"/>
  <c r="L127" i="2"/>
  <c r="K155" i="2"/>
  <c r="N146" i="2"/>
  <c r="J121" i="2"/>
  <c r="M132" i="2"/>
  <c r="N143" i="2"/>
  <c r="L133" i="2"/>
  <c r="M125" i="2"/>
  <c r="N129" i="2"/>
  <c r="L140" i="2"/>
  <c r="M134" i="2"/>
  <c r="N165" i="2"/>
  <c r="K149" i="2"/>
  <c r="L116" i="2"/>
  <c r="N161" i="2"/>
  <c r="M141" i="2"/>
  <c r="N142" i="2"/>
  <c r="L164" i="2"/>
  <c r="J137" i="2"/>
  <c r="M140" i="2"/>
  <c r="L124" i="2"/>
  <c r="L117" i="2"/>
  <c r="N163" i="2"/>
  <c r="N149" i="2"/>
  <c r="N137" i="2"/>
  <c r="N118" i="2"/>
  <c r="N126" i="2"/>
  <c r="K166" i="2"/>
  <c r="N152" i="2"/>
  <c r="J148" i="2"/>
  <c r="M116" i="2"/>
  <c r="J146" i="2"/>
  <c r="M149" i="2"/>
  <c r="N150" i="2"/>
  <c r="L128" i="2"/>
  <c r="J165" i="2"/>
  <c r="N125" i="2"/>
  <c r="L150" i="2"/>
  <c r="M142" i="2"/>
  <c r="J159" i="2"/>
  <c r="M120" i="2"/>
  <c r="K134" i="2"/>
  <c r="N166" i="2"/>
  <c r="L138" i="2"/>
  <c r="J130" i="2"/>
  <c r="L155" i="2"/>
  <c r="L145" i="2"/>
  <c r="L154" i="2"/>
  <c r="J133" i="2"/>
  <c r="M122" i="2"/>
  <c r="L123" i="2"/>
  <c r="K150" i="2"/>
  <c r="M151" i="2"/>
  <c r="K132" i="2"/>
  <c r="J163" i="2"/>
  <c r="L151" i="2"/>
  <c r="L137" i="2"/>
  <c r="J126" i="2"/>
  <c r="J135" i="2"/>
  <c r="K147" i="2"/>
  <c r="K156" i="2"/>
  <c r="M152" i="2"/>
  <c r="K117" i="2"/>
  <c r="J147" i="2"/>
  <c r="N147" i="2"/>
  <c r="M131" i="2"/>
  <c r="N139" i="2"/>
  <c r="N159" i="2"/>
  <c r="N160" i="2"/>
  <c r="L156" i="2"/>
  <c r="N120" i="2"/>
  <c r="N130" i="2"/>
  <c r="L134" i="2"/>
  <c r="K161" i="2"/>
  <c r="L163" i="2"/>
  <c r="K120" i="2"/>
  <c r="M163" i="2"/>
  <c r="N121" i="2"/>
  <c r="J138" i="2"/>
  <c r="K129" i="2"/>
  <c r="L130" i="2"/>
  <c r="L120" i="2"/>
  <c r="K160" i="2"/>
  <c r="M128" i="2"/>
  <c r="L132" i="2"/>
  <c r="N124" i="2"/>
  <c r="J145" i="2"/>
  <c r="K133" i="2"/>
  <c r="K131" i="2"/>
  <c r="K116" i="2"/>
  <c r="M119" i="2"/>
  <c r="M129" i="2"/>
  <c r="K125" i="2"/>
  <c r="N158" i="2"/>
  <c r="L157" i="2"/>
  <c r="N164" i="2"/>
  <c r="N136" i="2"/>
  <c r="M153" i="2"/>
  <c r="M144" i="2"/>
  <c r="K127" i="2"/>
  <c r="N132" i="2"/>
  <c r="J150" i="2"/>
  <c r="L158" i="2"/>
  <c r="K164" i="2"/>
  <c r="M138" i="2"/>
  <c r="L144" i="2"/>
  <c r="L118" i="2"/>
  <c r="M135" i="2"/>
  <c r="K140" i="2"/>
  <c r="J141" i="2"/>
  <c r="K162" i="2"/>
  <c r="K165" i="2"/>
  <c r="M158" i="2"/>
  <c r="J119" i="2"/>
  <c r="L142" i="2"/>
  <c r="K128" i="2"/>
  <c r="J157" i="2"/>
  <c r="K122" i="2"/>
  <c r="M139" i="2"/>
  <c r="L119" i="2"/>
  <c r="L146" i="2"/>
  <c r="K158" i="2"/>
  <c r="N140" i="2"/>
  <c r="J127" i="2"/>
  <c r="N156" i="2"/>
  <c r="L125" i="2"/>
  <c r="J154" i="2"/>
  <c r="J118" i="2"/>
  <c r="M126" i="2"/>
  <c r="K153" i="2"/>
  <c r="K126" i="2"/>
  <c r="J155" i="2"/>
  <c r="L139" i="2"/>
  <c r="N117" i="2"/>
  <c r="L129" i="2"/>
  <c r="N119" i="2"/>
  <c r="J122" i="2"/>
  <c r="L165" i="2"/>
  <c r="M157" i="2"/>
  <c r="K157" i="2"/>
  <c r="K145" i="2"/>
  <c r="L122" i="2"/>
  <c r="N145" i="2"/>
  <c r="J142" i="2"/>
  <c r="J164" i="2"/>
  <c r="L126" i="2"/>
  <c r="K144" i="2"/>
  <c r="M162" i="2"/>
  <c r="J129" i="2"/>
  <c r="M136" i="2"/>
  <c r="M137" i="2"/>
  <c r="J160" i="2"/>
  <c r="J123" i="2"/>
  <c r="N134" i="2"/>
  <c r="L161" i="2"/>
  <c r="M146" i="2"/>
  <c r="J124" i="2"/>
  <c r="J166" i="2"/>
  <c r="L152" i="2"/>
  <c r="J116" i="2"/>
  <c r="L153" i="2"/>
  <c r="N116" i="2"/>
  <c r="M160" i="2"/>
  <c r="N155" i="2"/>
  <c r="K130" i="2"/>
  <c r="M156" i="2"/>
  <c r="Y171" i="2" l="1"/>
  <c r="X168" i="2"/>
  <c r="X170" i="2"/>
  <c r="Y170" i="2"/>
  <c r="X167" i="2"/>
  <c r="Y167" i="2"/>
  <c r="X169" i="2"/>
  <c r="Y169" i="2"/>
  <c r="R152" i="2"/>
  <c r="P137" i="2"/>
  <c r="Q136" i="2"/>
  <c r="Q120" i="2"/>
  <c r="R151" i="2"/>
  <c r="P144" i="2"/>
  <c r="R135" i="2"/>
  <c r="P128" i="2"/>
  <c r="R127" i="2"/>
  <c r="R119" i="2"/>
  <c r="S166" i="2"/>
  <c r="Q159" i="2"/>
  <c r="S158" i="2"/>
  <c r="Q151" i="2"/>
  <c r="S150" i="2"/>
  <c r="Q143" i="2"/>
  <c r="S142" i="2"/>
  <c r="Q135" i="2"/>
  <c r="S134" i="2"/>
  <c r="Q127" i="2"/>
  <c r="S126" i="2"/>
  <c r="Q119" i="2"/>
  <c r="S118" i="2"/>
  <c r="S151" i="2"/>
  <c r="Q144" i="2"/>
  <c r="S135" i="2"/>
  <c r="P151" i="2"/>
  <c r="R150" i="2"/>
  <c r="P143" i="2"/>
  <c r="R142" i="2"/>
  <c r="P135" i="2"/>
  <c r="R134" i="2"/>
  <c r="P127" i="2"/>
  <c r="R126" i="2"/>
  <c r="P119" i="2"/>
  <c r="R118" i="2"/>
  <c r="R159" i="2"/>
  <c r="P136" i="2"/>
  <c r="P120" i="2"/>
  <c r="R166" i="2"/>
  <c r="Q166" i="2"/>
  <c r="S165" i="2"/>
  <c r="Q158" i="2"/>
  <c r="S157" i="2"/>
  <c r="Q150" i="2"/>
  <c r="S149" i="2"/>
  <c r="Q142" i="2"/>
  <c r="S141" i="2"/>
  <c r="Q134" i="2"/>
  <c r="S133" i="2"/>
  <c r="Q126" i="2"/>
  <c r="S125" i="2"/>
  <c r="Q118" i="2"/>
  <c r="S117" i="2"/>
  <c r="P153" i="2"/>
  <c r="S159" i="2"/>
  <c r="S119" i="2"/>
  <c r="P160" i="2"/>
  <c r="R143" i="2"/>
  <c r="P159" i="2"/>
  <c r="P166" i="2"/>
  <c r="R165" i="2"/>
  <c r="P158" i="2"/>
  <c r="R157" i="2"/>
  <c r="P150" i="2"/>
  <c r="R149" i="2"/>
  <c r="P142" i="2"/>
  <c r="R141" i="2"/>
  <c r="P134" i="2"/>
  <c r="R133" i="2"/>
  <c r="P126" i="2"/>
  <c r="R125" i="2"/>
  <c r="P118" i="2"/>
  <c r="R117" i="2"/>
  <c r="P145" i="2"/>
  <c r="Q160" i="2"/>
  <c r="S143" i="2"/>
  <c r="Q128" i="2"/>
  <c r="P152" i="2"/>
  <c r="R158" i="2"/>
  <c r="Q165" i="2"/>
  <c r="S164" i="2"/>
  <c r="Q157" i="2"/>
  <c r="S156" i="2"/>
  <c r="Q149" i="2"/>
  <c r="S148" i="2"/>
  <c r="Q141" i="2"/>
  <c r="S140" i="2"/>
  <c r="Q133" i="2"/>
  <c r="S132" i="2"/>
  <c r="Q125" i="2"/>
  <c r="S124" i="2"/>
  <c r="Q117" i="2"/>
  <c r="S116" i="2"/>
  <c r="P161" i="2"/>
  <c r="Q152" i="2"/>
  <c r="P165" i="2"/>
  <c r="R148" i="2"/>
  <c r="P141" i="2"/>
  <c r="P117" i="2"/>
  <c r="R160" i="2"/>
  <c r="R136" i="2"/>
  <c r="R128" i="2"/>
  <c r="S127" i="2"/>
  <c r="R164" i="2"/>
  <c r="P157" i="2"/>
  <c r="R156" i="2"/>
  <c r="P149" i="2"/>
  <c r="R140" i="2"/>
  <c r="P133" i="2"/>
  <c r="R132" i="2"/>
  <c r="P125" i="2"/>
  <c r="R124" i="2"/>
  <c r="R116" i="2"/>
  <c r="Q164" i="2"/>
  <c r="S163" i="2"/>
  <c r="Q156" i="2"/>
  <c r="S155" i="2"/>
  <c r="Q148" i="2"/>
  <c r="S147" i="2"/>
  <c r="Q140" i="2"/>
  <c r="S139" i="2"/>
  <c r="Q132" i="2"/>
  <c r="S131" i="2"/>
  <c r="Q124" i="2"/>
  <c r="S123" i="2"/>
  <c r="Q116" i="2"/>
  <c r="P129" i="2"/>
  <c r="P124" i="2"/>
  <c r="R123" i="2"/>
  <c r="P116" i="2"/>
  <c r="R144" i="2"/>
  <c r="P121" i="2"/>
  <c r="P156" i="2"/>
  <c r="R139" i="2"/>
  <c r="S154" i="2"/>
  <c r="R155" i="2"/>
  <c r="R131" i="2"/>
  <c r="Q163" i="2"/>
  <c r="Q155" i="2"/>
  <c r="S146" i="2"/>
  <c r="S138" i="2"/>
  <c r="S122" i="2"/>
  <c r="P163" i="2"/>
  <c r="R162" i="2"/>
  <c r="P155" i="2"/>
  <c r="R154" i="2"/>
  <c r="P147" i="2"/>
  <c r="R146" i="2"/>
  <c r="P139" i="2"/>
  <c r="R138" i="2"/>
  <c r="P131" i="2"/>
  <c r="R130" i="2"/>
  <c r="P123" i="2"/>
  <c r="R122" i="2"/>
  <c r="P164" i="2"/>
  <c r="P140" i="2"/>
  <c r="S162" i="2"/>
  <c r="Q139" i="2"/>
  <c r="S130" i="2"/>
  <c r="Q123" i="2"/>
  <c r="Q162" i="2"/>
  <c r="S161" i="2"/>
  <c r="Q154" i="2"/>
  <c r="S153" i="2"/>
  <c r="Q146" i="2"/>
  <c r="S145" i="2"/>
  <c r="Q138" i="2"/>
  <c r="S137" i="2"/>
  <c r="Q130" i="2"/>
  <c r="S129" i="2"/>
  <c r="Q122" i="2"/>
  <c r="S121" i="2"/>
  <c r="R120" i="2"/>
  <c r="R163" i="2"/>
  <c r="R147" i="2"/>
  <c r="P132" i="2"/>
  <c r="P162" i="2"/>
  <c r="P154" i="2"/>
  <c r="R153" i="2"/>
  <c r="R145" i="2"/>
  <c r="P138" i="2"/>
  <c r="R137" i="2"/>
  <c r="P130" i="2"/>
  <c r="R129" i="2"/>
  <c r="P122" i="2"/>
  <c r="R121" i="2"/>
  <c r="P148" i="2"/>
  <c r="Q147" i="2"/>
  <c r="Q131" i="2"/>
  <c r="R161" i="2"/>
  <c r="P146" i="2"/>
  <c r="Q161" i="2"/>
  <c r="S160" i="2"/>
  <c r="Q153" i="2"/>
  <c r="S152" i="2"/>
  <c r="Q145" i="2"/>
  <c r="S144" i="2"/>
  <c r="Q137" i="2"/>
  <c r="S136" i="2"/>
  <c r="Q129" i="2"/>
  <c r="S128" i="2"/>
  <c r="Q121" i="2"/>
  <c r="S120" i="2"/>
  <c r="D114" i="2"/>
  <c r="E114" i="2"/>
  <c r="F114" i="2"/>
  <c r="G114" i="2"/>
  <c r="H114" i="2"/>
  <c r="D115" i="2"/>
  <c r="E115" i="2"/>
  <c r="F115" i="2"/>
  <c r="G115" i="2"/>
  <c r="H115" i="2"/>
  <c r="D113" i="2"/>
  <c r="E113" i="2"/>
  <c r="F113" i="2"/>
  <c r="G113" i="2"/>
  <c r="H113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E41" i="2"/>
  <c r="F41" i="2"/>
  <c r="G41" i="2"/>
  <c r="H41" i="2"/>
  <c r="V165" i="2" l="1"/>
  <c r="X165" i="2" s="1"/>
  <c r="V154" i="2"/>
  <c r="X154" i="2" s="1"/>
  <c r="V135" i="2"/>
  <c r="X135" i="2" s="1"/>
  <c r="V126" i="2"/>
  <c r="Y126" i="2" s="1"/>
  <c r="V162" i="2"/>
  <c r="X162" i="2" s="1"/>
  <c r="V131" i="2"/>
  <c r="X131" i="2" s="1"/>
  <c r="V160" i="2"/>
  <c r="X160" i="2" s="1"/>
  <c r="V137" i="2"/>
  <c r="X137" i="2" s="1"/>
  <c r="V123" i="2"/>
  <c r="X123" i="2" s="1"/>
  <c r="V134" i="2"/>
  <c r="X134" i="2" s="1"/>
  <c r="V139" i="2"/>
  <c r="X139" i="2" s="1"/>
  <c r="V149" i="2"/>
  <c r="X149" i="2" s="1"/>
  <c r="V122" i="2"/>
  <c r="X122" i="2" s="1"/>
  <c r="V156" i="2"/>
  <c r="Y156" i="2" s="1"/>
  <c r="V143" i="2"/>
  <c r="V151" i="2"/>
  <c r="V120" i="2"/>
  <c r="V161" i="2"/>
  <c r="V147" i="2"/>
  <c r="V148" i="2"/>
  <c r="V157" i="2"/>
  <c r="V152" i="2"/>
  <c r="V150" i="2"/>
  <c r="V155" i="2"/>
  <c r="V121" i="2"/>
  <c r="V136" i="2"/>
  <c r="V166" i="2"/>
  <c r="V128" i="2"/>
  <c r="V132" i="2"/>
  <c r="V142" i="2"/>
  <c r="V116" i="2"/>
  <c r="V130" i="2"/>
  <c r="V140" i="2"/>
  <c r="V145" i="2"/>
  <c r="V144" i="2"/>
  <c r="V125" i="2"/>
  <c r="V133" i="2"/>
  <c r="V119" i="2"/>
  <c r="V138" i="2"/>
  <c r="V164" i="2"/>
  <c r="V129" i="2"/>
  <c r="V117" i="2"/>
  <c r="V159" i="2"/>
  <c r="V127" i="2"/>
  <c r="V146" i="2"/>
  <c r="V153" i="2"/>
  <c r="V158" i="2"/>
  <c r="V163" i="2"/>
  <c r="V124" i="2"/>
  <c r="V141" i="2"/>
  <c r="V118" i="2"/>
  <c r="E42" i="2"/>
  <c r="F42" i="2"/>
  <c r="G42" i="2"/>
  <c r="H42" i="2"/>
  <c r="L42" i="2"/>
  <c r="M115" i="2"/>
  <c r="J41" i="2"/>
  <c r="K42" i="2"/>
  <c r="N115" i="2"/>
  <c r="J113" i="2"/>
  <c r="K41" i="2"/>
  <c r="L114" i="2"/>
  <c r="J115" i="2"/>
  <c r="J42" i="2"/>
  <c r="N113" i="2"/>
  <c r="J114" i="2"/>
  <c r="K113" i="2"/>
  <c r="L113" i="2"/>
  <c r="L115" i="2"/>
  <c r="K114" i="2"/>
  <c r="K115" i="2"/>
  <c r="M41" i="2"/>
  <c r="N41" i="2"/>
  <c r="L41" i="2"/>
  <c r="N42" i="2"/>
  <c r="M42" i="2"/>
  <c r="M113" i="2"/>
  <c r="N114" i="2"/>
  <c r="M114" i="2"/>
  <c r="Y135" i="2" l="1"/>
  <c r="Y165" i="2"/>
  <c r="Y154" i="2"/>
  <c r="Y123" i="2"/>
  <c r="Y137" i="2"/>
  <c r="Y131" i="2"/>
  <c r="Y162" i="2"/>
  <c r="Y134" i="2"/>
  <c r="X126" i="2"/>
  <c r="X156" i="2"/>
  <c r="Y160" i="2"/>
  <c r="Y149" i="2"/>
  <c r="Y139" i="2"/>
  <c r="Y122" i="2"/>
  <c r="Y147" i="2"/>
  <c r="X147" i="2"/>
  <c r="X144" i="2"/>
  <c r="Y144" i="2"/>
  <c r="X118" i="2"/>
  <c r="Y118" i="2"/>
  <c r="Y140" i="2"/>
  <c r="X140" i="2"/>
  <c r="X133" i="2"/>
  <c r="Y133" i="2"/>
  <c r="X145" i="2"/>
  <c r="Y145" i="2"/>
  <c r="Y166" i="2"/>
  <c r="X166" i="2"/>
  <c r="X125" i="2"/>
  <c r="Y125" i="2"/>
  <c r="X161" i="2"/>
  <c r="Y161" i="2"/>
  <c r="X146" i="2"/>
  <c r="Y146" i="2"/>
  <c r="X127" i="2"/>
  <c r="Y127" i="2"/>
  <c r="X120" i="2"/>
  <c r="Y120" i="2"/>
  <c r="X129" i="2"/>
  <c r="Y129" i="2"/>
  <c r="X151" i="2"/>
  <c r="Y151" i="2"/>
  <c r="X163" i="2"/>
  <c r="Y163" i="2"/>
  <c r="Y164" i="2"/>
  <c r="X164" i="2"/>
  <c r="Y116" i="2"/>
  <c r="X116" i="2"/>
  <c r="X121" i="2"/>
  <c r="Y121" i="2"/>
  <c r="X143" i="2"/>
  <c r="Y143" i="2"/>
  <c r="X141" i="2"/>
  <c r="Y141" i="2"/>
  <c r="X159" i="2"/>
  <c r="Y159" i="2"/>
  <c r="X117" i="2"/>
  <c r="Y117" i="2"/>
  <c r="X136" i="2"/>
  <c r="Y136" i="2"/>
  <c r="Y124" i="2"/>
  <c r="X124" i="2"/>
  <c r="X130" i="2"/>
  <c r="Y130" i="2"/>
  <c r="X138" i="2"/>
  <c r="Y138" i="2"/>
  <c r="Y142" i="2"/>
  <c r="X142" i="2"/>
  <c r="Y155" i="2"/>
  <c r="X155" i="2"/>
  <c r="X119" i="2"/>
  <c r="Y119" i="2"/>
  <c r="Y132" i="2"/>
  <c r="X132" i="2"/>
  <c r="Y150" i="2"/>
  <c r="X150" i="2"/>
  <c r="Y158" i="2"/>
  <c r="X158" i="2"/>
  <c r="X152" i="2"/>
  <c r="Y152" i="2"/>
  <c r="X153" i="2"/>
  <c r="Y153" i="2"/>
  <c r="X157" i="2"/>
  <c r="Y157" i="2"/>
  <c r="X128" i="2"/>
  <c r="Y128" i="2"/>
  <c r="Y148" i="2"/>
  <c r="X148" i="2"/>
  <c r="R115" i="2"/>
  <c r="P41" i="2"/>
  <c r="Q114" i="2"/>
  <c r="Q113" i="2"/>
  <c r="S115" i="2"/>
  <c r="S113" i="2"/>
  <c r="Q41" i="2"/>
  <c r="P113" i="2"/>
  <c r="S114" i="2"/>
  <c r="R113" i="2"/>
  <c r="R41" i="2"/>
  <c r="P115" i="2"/>
  <c r="S41" i="2"/>
  <c r="R114" i="2"/>
  <c r="Q115" i="2"/>
  <c r="P114" i="2"/>
  <c r="P42" i="2"/>
  <c r="Q42" i="2"/>
  <c r="R42" i="2"/>
  <c r="S42" i="2"/>
  <c r="V41" i="2" l="1"/>
  <c r="Y41" i="2" s="1"/>
  <c r="V114" i="2"/>
  <c r="Y114" i="2" s="1"/>
  <c r="V115" i="2"/>
  <c r="X115" i="2" s="1"/>
  <c r="V113" i="2"/>
  <c r="Y113" i="2" s="1"/>
  <c r="V42" i="2"/>
  <c r="X42" i="2" s="1"/>
  <c r="E96" i="2"/>
  <c r="F96" i="2"/>
  <c r="G96" i="2"/>
  <c r="H96" i="2"/>
  <c r="E97" i="2"/>
  <c r="F97" i="2"/>
  <c r="G97" i="2"/>
  <c r="H97" i="2"/>
  <c r="E98" i="2"/>
  <c r="F98" i="2"/>
  <c r="G98" i="2"/>
  <c r="H98" i="2"/>
  <c r="E99" i="2"/>
  <c r="F99" i="2"/>
  <c r="G99" i="2"/>
  <c r="H99" i="2"/>
  <c r="E100" i="2"/>
  <c r="F100" i="2"/>
  <c r="G100" i="2"/>
  <c r="H100" i="2"/>
  <c r="E101" i="2"/>
  <c r="F101" i="2"/>
  <c r="G101" i="2"/>
  <c r="H101" i="2"/>
  <c r="E102" i="2"/>
  <c r="F102" i="2"/>
  <c r="G102" i="2"/>
  <c r="H102" i="2"/>
  <c r="E103" i="2"/>
  <c r="F103" i="2"/>
  <c r="G103" i="2"/>
  <c r="H103" i="2"/>
  <c r="E104" i="2"/>
  <c r="F104" i="2"/>
  <c r="G104" i="2"/>
  <c r="H104" i="2"/>
  <c r="E105" i="2"/>
  <c r="F105" i="2"/>
  <c r="G105" i="2"/>
  <c r="H105" i="2"/>
  <c r="E106" i="2"/>
  <c r="F106" i="2"/>
  <c r="G106" i="2"/>
  <c r="H106" i="2"/>
  <c r="E107" i="2"/>
  <c r="F107" i="2"/>
  <c r="G107" i="2"/>
  <c r="H107" i="2"/>
  <c r="E108" i="2"/>
  <c r="F108" i="2"/>
  <c r="G108" i="2"/>
  <c r="H108" i="2"/>
  <c r="E109" i="2"/>
  <c r="F109" i="2"/>
  <c r="G109" i="2"/>
  <c r="H109" i="2"/>
  <c r="E110" i="2"/>
  <c r="F110" i="2"/>
  <c r="G110" i="2"/>
  <c r="H110" i="2"/>
  <c r="E111" i="2"/>
  <c r="F111" i="2"/>
  <c r="G111" i="2"/>
  <c r="H111" i="2"/>
  <c r="E112" i="2"/>
  <c r="F112" i="2"/>
  <c r="G112" i="2"/>
  <c r="H112" i="2"/>
  <c r="J98" i="2"/>
  <c r="K105" i="2"/>
  <c r="K101" i="2"/>
  <c r="J103" i="2"/>
  <c r="K106" i="2"/>
  <c r="K96" i="2"/>
  <c r="L111" i="2"/>
  <c r="N104" i="2"/>
  <c r="N98" i="2"/>
  <c r="L112" i="2"/>
  <c r="K104" i="2"/>
  <c r="L103" i="2"/>
  <c r="M108" i="2"/>
  <c r="L107" i="2"/>
  <c r="K100" i="2"/>
  <c r="L108" i="2"/>
  <c r="N112" i="2"/>
  <c r="N96" i="2"/>
  <c r="K102" i="2"/>
  <c r="L104" i="2"/>
  <c r="K97" i="2"/>
  <c r="K110" i="2"/>
  <c r="J110" i="2"/>
  <c r="L100" i="2"/>
  <c r="K103" i="2"/>
  <c r="N111" i="2"/>
  <c r="L98" i="2"/>
  <c r="J105" i="2"/>
  <c r="N101" i="2"/>
  <c r="M109" i="2"/>
  <c r="L101" i="2"/>
  <c r="M99" i="2"/>
  <c r="L102" i="2"/>
  <c r="M110" i="2"/>
  <c r="J104" i="2"/>
  <c r="M103" i="2"/>
  <c r="J101" i="2"/>
  <c r="N100" i="2"/>
  <c r="L106" i="2"/>
  <c r="M100" i="2"/>
  <c r="M98" i="2"/>
  <c r="N107" i="2"/>
  <c r="N105" i="2"/>
  <c r="M104" i="2"/>
  <c r="K109" i="2"/>
  <c r="J108" i="2"/>
  <c r="M107" i="2"/>
  <c r="M105" i="2"/>
  <c r="K108" i="2"/>
  <c r="M112" i="2"/>
  <c r="L105" i="2"/>
  <c r="J111" i="2"/>
  <c r="N106" i="2"/>
  <c r="M96" i="2"/>
  <c r="J100" i="2"/>
  <c r="N99" i="2"/>
  <c r="J97" i="2"/>
  <c r="J112" i="2"/>
  <c r="K98" i="2"/>
  <c r="M111" i="2"/>
  <c r="N109" i="2"/>
  <c r="L110" i="2"/>
  <c r="K107" i="2"/>
  <c r="N110" i="2"/>
  <c r="J96" i="2"/>
  <c r="J109" i="2"/>
  <c r="M101" i="2"/>
  <c r="M106" i="2"/>
  <c r="M97" i="2"/>
  <c r="L97" i="2"/>
  <c r="J102" i="2"/>
  <c r="L99" i="2"/>
  <c r="N108" i="2"/>
  <c r="M102" i="2"/>
  <c r="K111" i="2"/>
  <c r="N97" i="2"/>
  <c r="K112" i="2"/>
  <c r="L96" i="2"/>
  <c r="J99" i="2"/>
  <c r="N102" i="2"/>
  <c r="N103" i="2"/>
  <c r="J107" i="2"/>
  <c r="L109" i="2"/>
  <c r="J106" i="2"/>
  <c r="K99" i="2"/>
  <c r="X41" i="2" l="1"/>
  <c r="Y115" i="2"/>
  <c r="X114" i="2"/>
  <c r="X113" i="2"/>
  <c r="Y42" i="2"/>
  <c r="P106" i="2"/>
  <c r="P105" i="2"/>
  <c r="P108" i="2"/>
  <c r="P107" i="2"/>
  <c r="P100" i="2"/>
  <c r="P110" i="2"/>
  <c r="P109" i="2"/>
  <c r="P112" i="2"/>
  <c r="P102" i="2"/>
  <c r="P101" i="2"/>
  <c r="P111" i="2"/>
  <c r="P104" i="2"/>
  <c r="P96" i="2"/>
  <c r="P103" i="2"/>
  <c r="P99" i="2"/>
  <c r="P98" i="2"/>
  <c r="P97" i="2"/>
  <c r="R108" i="2"/>
  <c r="R100" i="2"/>
  <c r="R102" i="2"/>
  <c r="Q108" i="2"/>
  <c r="S107" i="2"/>
  <c r="Q100" i="2"/>
  <c r="S99" i="2"/>
  <c r="R107" i="2"/>
  <c r="R99" i="2"/>
  <c r="Q107" i="2"/>
  <c r="S106" i="2"/>
  <c r="Q99" i="2"/>
  <c r="S98" i="2"/>
  <c r="R106" i="2"/>
  <c r="R98" i="2"/>
  <c r="Q102" i="2"/>
  <c r="Q106" i="2"/>
  <c r="S105" i="2"/>
  <c r="Q98" i="2"/>
  <c r="S97" i="2"/>
  <c r="R105" i="2"/>
  <c r="R97" i="2"/>
  <c r="S101" i="2"/>
  <c r="S112" i="2"/>
  <c r="Q105" i="2"/>
  <c r="S104" i="2"/>
  <c r="Q97" i="2"/>
  <c r="S96" i="2"/>
  <c r="S109" i="2"/>
  <c r="R112" i="2"/>
  <c r="R104" i="2"/>
  <c r="R96" i="2"/>
  <c r="Q112" i="2"/>
  <c r="S111" i="2"/>
  <c r="Q104" i="2"/>
  <c r="S103" i="2"/>
  <c r="Q96" i="2"/>
  <c r="Q110" i="2"/>
  <c r="R111" i="2"/>
  <c r="R103" i="2"/>
  <c r="Q111" i="2"/>
  <c r="S110" i="2"/>
  <c r="Q103" i="2"/>
  <c r="S102" i="2"/>
  <c r="R110" i="2"/>
  <c r="R109" i="2"/>
  <c r="R101" i="2"/>
  <c r="Q109" i="2"/>
  <c r="S108" i="2"/>
  <c r="Q101" i="2"/>
  <c r="S100" i="2"/>
  <c r="V97" i="2" l="1"/>
  <c r="V96" i="2"/>
  <c r="V105" i="2"/>
  <c r="V102" i="2"/>
  <c r="V98" i="2"/>
  <c r="V99" i="2"/>
  <c r="V110" i="2"/>
  <c r="V112" i="2"/>
  <c r="V106" i="2"/>
  <c r="V100" i="2"/>
  <c r="V107" i="2"/>
  <c r="V104" i="2"/>
  <c r="V111" i="2"/>
  <c r="V108" i="2"/>
  <c r="V101" i="2"/>
  <c r="V103" i="2"/>
  <c r="V109" i="2"/>
  <c r="X103" i="2" l="1"/>
  <c r="Y103" i="2"/>
  <c r="X111" i="2"/>
  <c r="Y111" i="2"/>
  <c r="X107" i="2"/>
  <c r="Y107" i="2"/>
  <c r="Y106" i="2"/>
  <c r="X106" i="2"/>
  <c r="Y112" i="2"/>
  <c r="X112" i="2"/>
  <c r="Y98" i="2"/>
  <c r="X98" i="2"/>
  <c r="X110" i="2"/>
  <c r="Y110" i="2"/>
  <c r="X105" i="2"/>
  <c r="Y105" i="2"/>
  <c r="X97" i="2"/>
  <c r="Y97" i="2"/>
  <c r="X101" i="2"/>
  <c r="Y101" i="2"/>
  <c r="X100" i="2"/>
  <c r="Y100" i="2"/>
  <c r="Y104" i="2"/>
  <c r="X104" i="2"/>
  <c r="X99" i="2"/>
  <c r="Y99" i="2"/>
  <c r="X109" i="2"/>
  <c r="Y109" i="2"/>
  <c r="X108" i="2"/>
  <c r="Y108" i="2"/>
  <c r="X102" i="2"/>
  <c r="Y102" i="2"/>
  <c r="Y96" i="2"/>
  <c r="X96" i="2"/>
  <c r="E25" i="2" l="1"/>
  <c r="E26" i="2" s="1"/>
  <c r="F25" i="2"/>
  <c r="F26" i="2" s="1"/>
  <c r="G25" i="2"/>
  <c r="G26" i="2" s="1"/>
  <c r="D26" i="2"/>
  <c r="C25" i="2"/>
  <c r="C26" i="2" s="1"/>
  <c r="E43" i="2"/>
  <c r="F43" i="2"/>
  <c r="G43" i="2"/>
  <c r="H43" i="2"/>
  <c r="E44" i="2"/>
  <c r="F44" i="2"/>
  <c r="G44" i="2"/>
  <c r="H44" i="2"/>
  <c r="E45" i="2"/>
  <c r="F45" i="2"/>
  <c r="G45" i="2"/>
  <c r="H45" i="2"/>
  <c r="E46" i="2"/>
  <c r="F46" i="2"/>
  <c r="G46" i="2"/>
  <c r="H46" i="2"/>
  <c r="E47" i="2"/>
  <c r="F47" i="2"/>
  <c r="G47" i="2"/>
  <c r="H47" i="2"/>
  <c r="E48" i="2"/>
  <c r="F48" i="2"/>
  <c r="G48" i="2"/>
  <c r="H48" i="2"/>
  <c r="E49" i="2"/>
  <c r="F49" i="2"/>
  <c r="G49" i="2"/>
  <c r="H49" i="2"/>
  <c r="E50" i="2"/>
  <c r="F50" i="2"/>
  <c r="G50" i="2"/>
  <c r="H50" i="2"/>
  <c r="E51" i="2"/>
  <c r="F51" i="2"/>
  <c r="G51" i="2"/>
  <c r="H51" i="2"/>
  <c r="E52" i="2"/>
  <c r="F52" i="2"/>
  <c r="G52" i="2"/>
  <c r="H52" i="2"/>
  <c r="E53" i="2"/>
  <c r="F53" i="2"/>
  <c r="G53" i="2"/>
  <c r="H53" i="2"/>
  <c r="E54" i="2"/>
  <c r="F54" i="2"/>
  <c r="G54" i="2"/>
  <c r="H54" i="2"/>
  <c r="E55" i="2"/>
  <c r="F55" i="2"/>
  <c r="G55" i="2"/>
  <c r="H55" i="2"/>
  <c r="E56" i="2"/>
  <c r="F56" i="2"/>
  <c r="G56" i="2"/>
  <c r="H56" i="2"/>
  <c r="E57" i="2"/>
  <c r="F57" i="2"/>
  <c r="G57" i="2"/>
  <c r="H57" i="2"/>
  <c r="E58" i="2"/>
  <c r="F58" i="2"/>
  <c r="G58" i="2"/>
  <c r="H58" i="2"/>
  <c r="E59" i="2"/>
  <c r="F59" i="2"/>
  <c r="G59" i="2"/>
  <c r="H59" i="2"/>
  <c r="E60" i="2"/>
  <c r="F60" i="2"/>
  <c r="G60" i="2"/>
  <c r="H60" i="2"/>
  <c r="E61" i="2"/>
  <c r="F61" i="2"/>
  <c r="G61" i="2"/>
  <c r="H61" i="2"/>
  <c r="E62" i="2"/>
  <c r="F62" i="2"/>
  <c r="G62" i="2"/>
  <c r="H62" i="2"/>
  <c r="E63" i="2"/>
  <c r="F63" i="2"/>
  <c r="G63" i="2"/>
  <c r="H63" i="2"/>
  <c r="E64" i="2"/>
  <c r="F64" i="2"/>
  <c r="G64" i="2"/>
  <c r="H64" i="2"/>
  <c r="E65" i="2"/>
  <c r="F65" i="2"/>
  <c r="G65" i="2"/>
  <c r="H65" i="2"/>
  <c r="E66" i="2"/>
  <c r="F66" i="2"/>
  <c r="G66" i="2"/>
  <c r="H66" i="2"/>
  <c r="E67" i="2"/>
  <c r="F67" i="2"/>
  <c r="G67" i="2"/>
  <c r="H67" i="2"/>
  <c r="E68" i="2"/>
  <c r="F68" i="2"/>
  <c r="G68" i="2"/>
  <c r="H68" i="2"/>
  <c r="E69" i="2"/>
  <c r="F69" i="2"/>
  <c r="G69" i="2"/>
  <c r="H69" i="2"/>
  <c r="E70" i="2"/>
  <c r="F70" i="2"/>
  <c r="G70" i="2"/>
  <c r="H70" i="2"/>
  <c r="E71" i="2"/>
  <c r="F71" i="2"/>
  <c r="G71" i="2"/>
  <c r="H71" i="2"/>
  <c r="E72" i="2"/>
  <c r="F72" i="2"/>
  <c r="G72" i="2"/>
  <c r="H72" i="2"/>
  <c r="E73" i="2"/>
  <c r="F73" i="2"/>
  <c r="G73" i="2"/>
  <c r="H73" i="2"/>
  <c r="E74" i="2"/>
  <c r="F74" i="2"/>
  <c r="G74" i="2"/>
  <c r="H74" i="2"/>
  <c r="E75" i="2"/>
  <c r="F75" i="2"/>
  <c r="G75" i="2"/>
  <c r="H75" i="2"/>
  <c r="E76" i="2"/>
  <c r="F76" i="2"/>
  <c r="G76" i="2"/>
  <c r="H76" i="2"/>
  <c r="E77" i="2"/>
  <c r="F77" i="2"/>
  <c r="G77" i="2"/>
  <c r="H77" i="2"/>
  <c r="E78" i="2"/>
  <c r="F78" i="2"/>
  <c r="G78" i="2"/>
  <c r="H78" i="2"/>
  <c r="E79" i="2"/>
  <c r="F79" i="2"/>
  <c r="G79" i="2"/>
  <c r="H79" i="2"/>
  <c r="E80" i="2"/>
  <c r="F80" i="2"/>
  <c r="G80" i="2"/>
  <c r="H80" i="2"/>
  <c r="E81" i="2"/>
  <c r="F81" i="2"/>
  <c r="G81" i="2"/>
  <c r="H81" i="2"/>
  <c r="E82" i="2"/>
  <c r="F82" i="2"/>
  <c r="G82" i="2"/>
  <c r="H82" i="2"/>
  <c r="E83" i="2"/>
  <c r="F83" i="2"/>
  <c r="G83" i="2"/>
  <c r="H83" i="2"/>
  <c r="E84" i="2"/>
  <c r="F84" i="2"/>
  <c r="G84" i="2"/>
  <c r="H84" i="2"/>
  <c r="E85" i="2"/>
  <c r="F85" i="2"/>
  <c r="G85" i="2"/>
  <c r="H85" i="2"/>
  <c r="E86" i="2"/>
  <c r="F86" i="2"/>
  <c r="G86" i="2"/>
  <c r="H86" i="2"/>
  <c r="E87" i="2"/>
  <c r="F87" i="2"/>
  <c r="G87" i="2"/>
  <c r="H87" i="2"/>
  <c r="E88" i="2"/>
  <c r="F88" i="2"/>
  <c r="G88" i="2"/>
  <c r="H88" i="2"/>
  <c r="E89" i="2"/>
  <c r="F89" i="2"/>
  <c r="G89" i="2"/>
  <c r="H89" i="2"/>
  <c r="E90" i="2"/>
  <c r="F90" i="2"/>
  <c r="G90" i="2"/>
  <c r="H90" i="2"/>
  <c r="E91" i="2"/>
  <c r="F91" i="2"/>
  <c r="G91" i="2"/>
  <c r="H91" i="2"/>
  <c r="E92" i="2"/>
  <c r="F92" i="2"/>
  <c r="G92" i="2"/>
  <c r="H92" i="2"/>
  <c r="E93" i="2"/>
  <c r="F93" i="2"/>
  <c r="G93" i="2"/>
  <c r="H93" i="2"/>
  <c r="E94" i="2"/>
  <c r="F94" i="2"/>
  <c r="G94" i="2"/>
  <c r="H94" i="2"/>
  <c r="E95" i="2"/>
  <c r="F95" i="2"/>
  <c r="G95" i="2"/>
  <c r="H95" i="2"/>
  <c r="J87" i="2"/>
  <c r="K93" i="2"/>
  <c r="L94" i="2"/>
  <c r="K88" i="2"/>
  <c r="M95" i="2"/>
  <c r="N95" i="2"/>
  <c r="L95" i="2"/>
  <c r="K91" i="2"/>
  <c r="M89" i="2"/>
  <c r="N91" i="2"/>
  <c r="J93" i="2"/>
  <c r="N90" i="2"/>
  <c r="L85" i="2"/>
  <c r="M85" i="2"/>
  <c r="K95" i="2"/>
  <c r="J95" i="2"/>
  <c r="L88" i="2"/>
  <c r="J86" i="2"/>
  <c r="L90" i="2"/>
  <c r="M87" i="2"/>
  <c r="N87" i="2"/>
  <c r="M88" i="2"/>
  <c r="L93" i="2"/>
  <c r="K90" i="2"/>
  <c r="J94" i="2"/>
  <c r="N89" i="2"/>
  <c r="K92" i="2"/>
  <c r="J85" i="2"/>
  <c r="K85" i="2"/>
  <c r="L92" i="2"/>
  <c r="N88" i="2"/>
  <c r="N94" i="2"/>
  <c r="N93" i="2"/>
  <c r="M94" i="2"/>
  <c r="K89" i="2"/>
  <c r="M90" i="2"/>
  <c r="J89" i="2"/>
  <c r="J91" i="2"/>
  <c r="M86" i="2"/>
  <c r="M93" i="2"/>
  <c r="K86" i="2"/>
  <c r="M92" i="2"/>
  <c r="K94" i="2"/>
  <c r="N92" i="2"/>
  <c r="L87" i="2"/>
  <c r="J90" i="2"/>
  <c r="M91" i="2"/>
  <c r="L91" i="2"/>
  <c r="N86" i="2"/>
  <c r="K87" i="2"/>
  <c r="J88" i="2"/>
  <c r="L86" i="2"/>
  <c r="N85" i="2"/>
  <c r="L89" i="2"/>
  <c r="J92" i="2"/>
  <c r="P86" i="2" l="1"/>
  <c r="P91" i="2"/>
  <c r="P94" i="2"/>
  <c r="P89" i="2"/>
  <c r="P93" i="2"/>
  <c r="P92" i="2"/>
  <c r="P90" i="2"/>
  <c r="P95" i="2"/>
  <c r="P85" i="2"/>
  <c r="P87" i="2"/>
  <c r="P88" i="2"/>
  <c r="Q95" i="2"/>
  <c r="R92" i="2"/>
  <c r="R94" i="2"/>
  <c r="Q94" i="2"/>
  <c r="Q92" i="2"/>
  <c r="S91" i="2"/>
  <c r="R91" i="2"/>
  <c r="Q91" i="2"/>
  <c r="S92" i="2"/>
  <c r="R93" i="2"/>
  <c r="Q93" i="2"/>
  <c r="S93" i="2"/>
  <c r="R95" i="2"/>
  <c r="S94" i="2"/>
  <c r="S95" i="2"/>
  <c r="S90" i="2"/>
  <c r="S89" i="2"/>
  <c r="Q90" i="2"/>
  <c r="R90" i="2"/>
  <c r="Q89" i="2"/>
  <c r="R89" i="2"/>
  <c r="R87" i="2"/>
  <c r="R85" i="2"/>
  <c r="S88" i="2"/>
  <c r="R88" i="2"/>
  <c r="Q88" i="2"/>
  <c r="Q87" i="2"/>
  <c r="Q85" i="2"/>
  <c r="R86" i="2"/>
  <c r="S85" i="2"/>
  <c r="S87" i="2"/>
  <c r="Q86" i="2"/>
  <c r="S86" i="2"/>
  <c r="V92" i="2" l="1"/>
  <c r="X92" i="2" s="1"/>
  <c r="V91" i="2"/>
  <c r="Y91" i="2" s="1"/>
  <c r="V95" i="2"/>
  <c r="X95" i="2" s="1"/>
  <c r="V94" i="2"/>
  <c r="V93" i="2"/>
  <c r="V90" i="2"/>
  <c r="V89" i="2"/>
  <c r="V88" i="2"/>
  <c r="X88" i="2" s="1"/>
  <c r="V86" i="2"/>
  <c r="Y86" i="2" s="1"/>
  <c r="V87" i="2"/>
  <c r="V85" i="2"/>
  <c r="X91" i="2" l="1"/>
  <c r="Y92" i="2"/>
  <c r="Y95" i="2"/>
  <c r="X93" i="2"/>
  <c r="Y93" i="2"/>
  <c r="Y94" i="2"/>
  <c r="X94" i="2"/>
  <c r="Y89" i="2"/>
  <c r="X89" i="2"/>
  <c r="Y90" i="2"/>
  <c r="X90" i="2"/>
  <c r="Y88" i="2"/>
  <c r="X86" i="2"/>
  <c r="Y85" i="2"/>
  <c r="X85" i="2"/>
  <c r="X87" i="2"/>
  <c r="Y87" i="2"/>
  <c r="D28" i="2" l="1"/>
  <c r="E28" i="2"/>
  <c r="F28" i="2"/>
  <c r="G28" i="2"/>
  <c r="C28" i="2"/>
  <c r="E27" i="2" l="1"/>
  <c r="F27" i="2"/>
  <c r="G27" i="2"/>
  <c r="C27" i="2"/>
  <c r="J57" i="2"/>
  <c r="K45" i="2"/>
  <c r="N78" i="2"/>
  <c r="L77" i="2"/>
  <c r="L49" i="2"/>
  <c r="J46" i="2"/>
  <c r="K63" i="2"/>
  <c r="K60" i="2"/>
  <c r="N80" i="2"/>
  <c r="J67" i="2"/>
  <c r="K62" i="2"/>
  <c r="L69" i="2"/>
  <c r="L79" i="2"/>
  <c r="J59" i="2"/>
  <c r="L71" i="2"/>
  <c r="K84" i="2"/>
  <c r="J65" i="2"/>
  <c r="N46" i="2"/>
  <c r="J70" i="2"/>
  <c r="L53" i="2"/>
  <c r="L44" i="2"/>
  <c r="M57" i="2"/>
  <c r="L84" i="2"/>
  <c r="K69" i="2"/>
  <c r="N82" i="2"/>
  <c r="N75" i="2"/>
  <c r="M48" i="2"/>
  <c r="M82" i="2"/>
  <c r="M69" i="2"/>
  <c r="N73" i="2"/>
  <c r="K74" i="2"/>
  <c r="K59" i="2"/>
  <c r="L58" i="2"/>
  <c r="J69" i="2"/>
  <c r="L70" i="2"/>
  <c r="K56" i="2"/>
  <c r="M71" i="2"/>
  <c r="J83" i="2"/>
  <c r="M78" i="2"/>
  <c r="K53" i="2"/>
  <c r="M54" i="2"/>
  <c r="L66" i="2"/>
  <c r="N47" i="2"/>
  <c r="J55" i="2"/>
  <c r="J63" i="2"/>
  <c r="L47" i="2"/>
  <c r="K68" i="2"/>
  <c r="K67" i="2"/>
  <c r="M68" i="2"/>
  <c r="M58" i="2"/>
  <c r="N67" i="2"/>
  <c r="L76" i="2"/>
  <c r="N79" i="2"/>
  <c r="N83" i="2"/>
  <c r="M50" i="2"/>
  <c r="M43" i="2"/>
  <c r="L75" i="2"/>
  <c r="K43" i="2"/>
  <c r="J62" i="2"/>
  <c r="L46" i="2"/>
  <c r="M46" i="2"/>
  <c r="M74" i="2"/>
  <c r="J52" i="2"/>
  <c r="N58" i="2"/>
  <c r="J82" i="2"/>
  <c r="K57" i="2"/>
  <c r="K47" i="2"/>
  <c r="K79" i="2"/>
  <c r="J80" i="2"/>
  <c r="M45" i="2"/>
  <c r="L43" i="2"/>
  <c r="M73" i="2"/>
  <c r="N56" i="2"/>
  <c r="L67" i="2"/>
  <c r="K83" i="2"/>
  <c r="K49" i="2"/>
  <c r="L78" i="2"/>
  <c r="L74" i="2"/>
  <c r="L57" i="2"/>
  <c r="J75" i="2"/>
  <c r="N64" i="2"/>
  <c r="L48" i="2"/>
  <c r="L82" i="2"/>
  <c r="L50" i="2"/>
  <c r="K78" i="2"/>
  <c r="K82" i="2"/>
  <c r="L60" i="2"/>
  <c r="L59" i="2"/>
  <c r="M70" i="2"/>
  <c r="J54" i="2"/>
  <c r="M84" i="2"/>
  <c r="L56" i="2"/>
  <c r="K72" i="2"/>
  <c r="J76" i="2"/>
  <c r="J78" i="2"/>
  <c r="M56" i="2"/>
  <c r="L81" i="2"/>
  <c r="K46" i="2"/>
  <c r="K65" i="2"/>
  <c r="N74" i="2"/>
  <c r="K64" i="2"/>
  <c r="J71" i="2"/>
  <c r="N70" i="2"/>
  <c r="L62" i="2"/>
  <c r="M52" i="2"/>
  <c r="M66" i="2"/>
  <c r="N72" i="2"/>
  <c r="M61" i="2"/>
  <c r="N62" i="2"/>
  <c r="N84" i="2"/>
  <c r="N48" i="2"/>
  <c r="K66" i="2"/>
  <c r="L63" i="2"/>
  <c r="K70" i="2"/>
  <c r="M60" i="2"/>
  <c r="K75" i="2"/>
  <c r="M77" i="2"/>
  <c r="M65" i="2"/>
  <c r="L51" i="2"/>
  <c r="M72" i="2"/>
  <c r="J77" i="2"/>
  <c r="K73" i="2"/>
  <c r="J49" i="2"/>
  <c r="K61" i="2"/>
  <c r="J58" i="2"/>
  <c r="M47" i="2"/>
  <c r="K48" i="2"/>
  <c r="K55" i="2"/>
  <c r="K81" i="2"/>
  <c r="N55" i="2"/>
  <c r="J68" i="2"/>
  <c r="M44" i="2"/>
  <c r="M83" i="2"/>
  <c r="M53" i="2"/>
  <c r="M76" i="2"/>
  <c r="N43" i="2"/>
  <c r="L80" i="2"/>
  <c r="N54" i="2"/>
  <c r="J79" i="2"/>
  <c r="J56" i="2"/>
  <c r="M64" i="2"/>
  <c r="N60" i="2"/>
  <c r="N66" i="2"/>
  <c r="M79" i="2"/>
  <c r="M55" i="2"/>
  <c r="J74" i="2"/>
  <c r="M49" i="2"/>
  <c r="L45" i="2"/>
  <c r="J72" i="2"/>
  <c r="N52" i="2"/>
  <c r="M81" i="2"/>
  <c r="M80" i="2"/>
  <c r="N63" i="2"/>
  <c r="M62" i="2"/>
  <c r="J53" i="2"/>
  <c r="J45" i="2"/>
  <c r="N49" i="2"/>
  <c r="K80" i="2"/>
  <c r="N61" i="2"/>
  <c r="K76" i="2"/>
  <c r="J73" i="2"/>
  <c r="M67" i="2"/>
  <c r="L54" i="2"/>
  <c r="L83" i="2"/>
  <c r="N45" i="2"/>
  <c r="N51" i="2"/>
  <c r="L72" i="2"/>
  <c r="M75" i="2"/>
  <c r="L64" i="2"/>
  <c r="N59" i="2"/>
  <c r="M63" i="2"/>
  <c r="N76" i="2"/>
  <c r="L73" i="2"/>
  <c r="K44" i="2"/>
  <c r="N57" i="2"/>
  <c r="N50" i="2"/>
  <c r="K77" i="2"/>
  <c r="K71" i="2"/>
  <c r="J64" i="2"/>
  <c r="J66" i="2"/>
  <c r="N71" i="2"/>
  <c r="J81" i="2"/>
  <c r="M51" i="2"/>
  <c r="N69" i="2"/>
  <c r="N77" i="2"/>
  <c r="J61" i="2"/>
  <c r="N53" i="2"/>
  <c r="N68" i="2"/>
  <c r="K54" i="2"/>
  <c r="K51" i="2"/>
  <c r="M59" i="2"/>
  <c r="K52" i="2"/>
  <c r="J43" i="2"/>
  <c r="K50" i="2"/>
  <c r="L65" i="2"/>
  <c r="L52" i="2"/>
  <c r="N65" i="2"/>
  <c r="L68" i="2"/>
  <c r="L55" i="2"/>
  <c r="N44" i="2"/>
  <c r="L61" i="2"/>
  <c r="J44" i="2"/>
  <c r="J60" i="2"/>
  <c r="K58" i="2"/>
  <c r="J84" i="2"/>
  <c r="N81" i="2"/>
  <c r="P74" i="2" l="1"/>
  <c r="P53" i="2"/>
  <c r="P71" i="2"/>
  <c r="P68" i="2"/>
  <c r="P70" i="2"/>
  <c r="P64" i="2"/>
  <c r="P69" i="2"/>
  <c r="P63" i="2"/>
  <c r="P61" i="2"/>
  <c r="P62" i="2"/>
  <c r="P75" i="2"/>
  <c r="P52" i="2"/>
  <c r="P67" i="2"/>
  <c r="P81" i="2"/>
  <c r="P57" i="2"/>
  <c r="P79" i="2"/>
  <c r="P46" i="2"/>
  <c r="P80" i="2"/>
  <c r="P72" i="2"/>
  <c r="P58" i="2"/>
  <c r="P73" i="2"/>
  <c r="P45" i="2"/>
  <c r="P78" i="2"/>
  <c r="P54" i="2"/>
  <c r="P56" i="2"/>
  <c r="P82" i="2"/>
  <c r="P44" i="2"/>
  <c r="P76" i="2"/>
  <c r="P60" i="2"/>
  <c r="P59" i="2"/>
  <c r="P43" i="2"/>
  <c r="P84" i="2"/>
  <c r="P83" i="2"/>
  <c r="P55" i="2"/>
  <c r="P77" i="2"/>
  <c r="P65" i="2"/>
  <c r="P49" i="2"/>
  <c r="P66" i="2"/>
  <c r="R81" i="2"/>
  <c r="S72" i="2"/>
  <c r="R84" i="2"/>
  <c r="R58" i="2"/>
  <c r="S66" i="2"/>
  <c r="R55" i="2"/>
  <c r="R65" i="2"/>
  <c r="S58" i="2"/>
  <c r="R54" i="2"/>
  <c r="R64" i="2"/>
  <c r="R74" i="2"/>
  <c r="S61" i="2"/>
  <c r="S48" i="2"/>
  <c r="R66" i="2"/>
  <c r="R67" i="2"/>
  <c r="R63" i="2"/>
  <c r="R78" i="2"/>
  <c r="S59" i="2"/>
  <c r="S57" i="2"/>
  <c r="R43" i="2"/>
  <c r="S81" i="2"/>
  <c r="S52" i="2"/>
  <c r="S44" i="2"/>
  <c r="S53" i="2"/>
  <c r="R52" i="2"/>
  <c r="S76" i="2"/>
  <c r="S47" i="2"/>
  <c r="S64" i="2"/>
  <c r="S75" i="2"/>
  <c r="S70" i="2"/>
  <c r="R77" i="2"/>
  <c r="S55" i="2"/>
  <c r="R46" i="2"/>
  <c r="R70" i="2"/>
  <c r="S73" i="2"/>
  <c r="R60" i="2"/>
  <c r="S54" i="2"/>
  <c r="S46" i="2"/>
  <c r="R45" i="2"/>
  <c r="R51" i="2"/>
  <c r="S80" i="2"/>
  <c r="R72" i="2"/>
  <c r="S71" i="2"/>
  <c r="R56" i="2"/>
  <c r="S79" i="2"/>
  <c r="R79" i="2"/>
  <c r="R53" i="2"/>
  <c r="S67" i="2"/>
  <c r="S65" i="2"/>
  <c r="R83" i="2"/>
  <c r="R47" i="2"/>
  <c r="S62" i="2"/>
  <c r="S49" i="2"/>
  <c r="S78" i="2"/>
  <c r="R50" i="2"/>
  <c r="R69" i="2"/>
  <c r="S77" i="2"/>
  <c r="R49" i="2"/>
  <c r="R80" i="2"/>
  <c r="R44" i="2"/>
  <c r="R75" i="2"/>
  <c r="S82" i="2"/>
  <c r="S63" i="2"/>
  <c r="R62" i="2"/>
  <c r="S68" i="2"/>
  <c r="R48" i="2"/>
  <c r="S50" i="2"/>
  <c r="S51" i="2"/>
  <c r="R76" i="2"/>
  <c r="S84" i="2"/>
  <c r="S60" i="2"/>
  <c r="S43" i="2"/>
  <c r="S74" i="2"/>
  <c r="R68" i="2"/>
  <c r="R73" i="2"/>
  <c r="R59" i="2"/>
  <c r="R61" i="2"/>
  <c r="R71" i="2"/>
  <c r="S83" i="2"/>
  <c r="R57" i="2"/>
  <c r="S69" i="2"/>
  <c r="R82" i="2"/>
  <c r="S56" i="2"/>
  <c r="S45" i="2"/>
  <c r="Q77" i="2"/>
  <c r="Q57" i="2"/>
  <c r="Q76" i="2"/>
  <c r="Q74" i="2"/>
  <c r="Q48" i="2"/>
  <c r="Q62" i="2"/>
  <c r="Q81" i="2"/>
  <c r="Q45" i="2"/>
  <c r="Q82" i="2"/>
  <c r="Q56" i="2"/>
  <c r="Q58" i="2"/>
  <c r="Q51" i="2"/>
  <c r="Q84" i="2"/>
  <c r="Q49" i="2"/>
  <c r="Q67" i="2"/>
  <c r="Q59" i="2"/>
  <c r="Q60" i="2"/>
  <c r="Q83" i="2"/>
  <c r="Q75" i="2"/>
  <c r="Q50" i="2"/>
  <c r="Q54" i="2"/>
  <c r="Q79" i="2"/>
  <c r="Q44" i="2"/>
  <c r="Q68" i="2"/>
  <c r="Q69" i="2"/>
  <c r="Q63" i="2"/>
  <c r="Q64" i="2"/>
  <c r="Q70" i="2"/>
  <c r="Q78" i="2"/>
  <c r="Q53" i="2"/>
  <c r="Q61" i="2"/>
  <c r="Q47" i="2"/>
  <c r="Q73" i="2"/>
  <c r="Q72" i="2"/>
  <c r="Q66" i="2"/>
  <c r="Q65" i="2"/>
  <c r="Q46" i="2"/>
  <c r="Q71" i="2"/>
  <c r="Q52" i="2"/>
  <c r="Q43" i="2"/>
  <c r="Q55" i="2"/>
  <c r="Q80" i="2"/>
  <c r="V66" i="2" l="1"/>
  <c r="Y66" i="2" s="1"/>
  <c r="V69" i="2"/>
  <c r="Y69" i="2" s="1"/>
  <c r="V63" i="2"/>
  <c r="X63" i="2" s="1"/>
  <c r="V78" i="2"/>
  <c r="Y78" i="2" s="1"/>
  <c r="V56" i="2"/>
  <c r="X56" i="2" s="1"/>
  <c r="V62" i="2"/>
  <c r="Y62" i="2" s="1"/>
  <c r="V75" i="2"/>
  <c r="V45" i="2"/>
  <c r="V73" i="2"/>
  <c r="V64" i="2"/>
  <c r="V84" i="2"/>
  <c r="V68" i="2"/>
  <c r="V53" i="2"/>
  <c r="V70" i="2"/>
  <c r="V65" i="2"/>
  <c r="V74" i="2"/>
  <c r="V49" i="2"/>
  <c r="V52" i="2"/>
  <c r="V46" i="2"/>
  <c r="V82" i="2"/>
  <c r="V72" i="2"/>
  <c r="V59" i="2"/>
  <c r="V57" i="2"/>
  <c r="V71" i="2"/>
  <c r="V54" i="2"/>
  <c r="V83" i="2"/>
  <c r="V61" i="2"/>
  <c r="V60" i="2"/>
  <c r="V81" i="2"/>
  <c r="V79" i="2"/>
  <c r="V80" i="2"/>
  <c r="V44" i="2"/>
  <c r="V55" i="2"/>
  <c r="V58" i="2"/>
  <c r="V43" i="2"/>
  <c r="V67" i="2"/>
  <c r="V77" i="2"/>
  <c r="V76" i="2"/>
  <c r="J47" i="2"/>
  <c r="P47" i="2" l="1"/>
  <c r="X66" i="2"/>
  <c r="X62" i="2"/>
  <c r="X78" i="2"/>
  <c r="Y56" i="2"/>
  <c r="Y63" i="2"/>
  <c r="X69" i="2"/>
  <c r="X54" i="2"/>
  <c r="Y54" i="2"/>
  <c r="X72" i="2"/>
  <c r="Y72" i="2"/>
  <c r="Y82" i="2"/>
  <c r="X82" i="2"/>
  <c r="Y68" i="2"/>
  <c r="X68" i="2"/>
  <c r="Y80" i="2"/>
  <c r="X80" i="2"/>
  <c r="X46" i="2"/>
  <c r="Y46" i="2"/>
  <c r="Y45" i="2"/>
  <c r="X45" i="2"/>
  <c r="Y83" i="2"/>
  <c r="X83" i="2"/>
  <c r="Y74" i="2"/>
  <c r="X74" i="2"/>
  <c r="X70" i="2"/>
  <c r="Y70" i="2"/>
  <c r="Y84" i="2"/>
  <c r="X84" i="2"/>
  <c r="X75" i="2"/>
  <c r="Y75" i="2"/>
  <c r="Y77" i="2"/>
  <c r="X77" i="2"/>
  <c r="Y43" i="2"/>
  <c r="X43" i="2"/>
  <c r="X55" i="2"/>
  <c r="Y55" i="2"/>
  <c r="X58" i="2"/>
  <c r="Y58" i="2"/>
  <c r="Y52" i="2"/>
  <c r="X52" i="2"/>
  <c r="Y44" i="2"/>
  <c r="X44" i="2"/>
  <c r="Y67" i="2"/>
  <c r="X67" i="2"/>
  <c r="Y61" i="2"/>
  <c r="X61" i="2"/>
  <c r="Y79" i="2"/>
  <c r="X79" i="2"/>
  <c r="Y53" i="2"/>
  <c r="X53" i="2"/>
  <c r="X73" i="2"/>
  <c r="Y73" i="2"/>
  <c r="X81" i="2"/>
  <c r="Y81" i="2"/>
  <c r="X60" i="2"/>
  <c r="Y60" i="2"/>
  <c r="Y71" i="2"/>
  <c r="X71" i="2"/>
  <c r="Y76" i="2"/>
  <c r="X76" i="2"/>
  <c r="Y57" i="2"/>
  <c r="X57" i="2"/>
  <c r="X59" i="2"/>
  <c r="Y59" i="2"/>
  <c r="X49" i="2"/>
  <c r="Y49" i="2"/>
  <c r="Y65" i="2"/>
  <c r="X65" i="2"/>
  <c r="X64" i="2"/>
  <c r="Y64" i="2"/>
  <c r="J48" i="2"/>
  <c r="P48" i="2" l="1"/>
  <c r="V48" i="2" s="1"/>
  <c r="V47" i="2"/>
  <c r="J50" i="2"/>
  <c r="P50" i="2" l="1"/>
  <c r="X47" i="2"/>
  <c r="Y47" i="2"/>
  <c r="X48" i="2"/>
  <c r="Y48" i="2"/>
  <c r="J51" i="2"/>
  <c r="P51" i="2" l="1"/>
  <c r="V51" i="2" s="1"/>
  <c r="V50" i="2"/>
  <c r="Z41" i="2" l="1"/>
  <c r="Y50" i="2"/>
  <c r="X50" i="2"/>
  <c r="Y51" i="2"/>
  <c r="X51" i="2"/>
  <c r="AA168" i="2" l="1"/>
  <c r="AA171" i="2"/>
  <c r="AA167" i="2"/>
  <c r="AA169" i="2"/>
  <c r="AA170" i="2"/>
  <c r="AA139" i="2"/>
  <c r="AA131" i="2"/>
  <c r="AA156" i="2"/>
  <c r="AA123" i="2"/>
  <c r="AA149" i="2"/>
  <c r="AA135" i="2"/>
  <c r="AA137" i="2"/>
  <c r="AA154" i="2"/>
  <c r="AA122" i="2"/>
  <c r="AA160" i="2"/>
  <c r="AA165" i="2"/>
  <c r="AA126" i="2"/>
  <c r="AA134" i="2"/>
  <c r="AA162" i="2"/>
  <c r="AA129" i="2"/>
  <c r="AA163" i="2"/>
  <c r="AA118" i="2"/>
  <c r="AA166" i="2"/>
  <c r="AA161" i="2"/>
  <c r="AA153" i="2"/>
  <c r="AA144" i="2"/>
  <c r="AA127" i="2"/>
  <c r="AA116" i="2"/>
  <c r="AA136" i="2"/>
  <c r="AA155" i="2"/>
  <c r="AA152" i="2"/>
  <c r="AA164" i="2"/>
  <c r="AA140" i="2"/>
  <c r="AA121" i="2"/>
  <c r="AA128" i="2"/>
  <c r="AA132" i="2"/>
  <c r="AA157" i="2"/>
  <c r="AA146" i="2"/>
  <c r="AA147" i="2"/>
  <c r="AA119" i="2"/>
  <c r="AA141" i="2"/>
  <c r="AA117" i="2"/>
  <c r="AA133" i="2"/>
  <c r="AA120" i="2"/>
  <c r="AA151" i="2"/>
  <c r="AA159" i="2"/>
  <c r="AA145" i="2"/>
  <c r="AA130" i="2"/>
  <c r="AA125" i="2"/>
  <c r="AA138" i="2"/>
  <c r="AA148" i="2"/>
  <c r="AA158" i="2"/>
  <c r="AA143" i="2"/>
  <c r="AA142" i="2"/>
  <c r="AA150" i="2"/>
  <c r="AA124" i="2"/>
  <c r="AA114" i="2"/>
  <c r="AA115" i="2"/>
  <c r="AA113" i="2"/>
  <c r="AA41" i="2"/>
  <c r="AA42" i="2"/>
  <c r="C34" i="2"/>
  <c r="AA105" i="2" l="1"/>
  <c r="AA104" i="2"/>
  <c r="AA110" i="2"/>
  <c r="AA102" i="2"/>
  <c r="AA100" i="2"/>
  <c r="AA107" i="2"/>
  <c r="AA97" i="2"/>
  <c r="AA103" i="2"/>
  <c r="AA111" i="2"/>
  <c r="AA101" i="2"/>
  <c r="AA108" i="2"/>
  <c r="AA106" i="2"/>
  <c r="AA112" i="2"/>
  <c r="AA96" i="2"/>
  <c r="AA98" i="2"/>
  <c r="AA99" i="2"/>
  <c r="AA109" i="2"/>
  <c r="AA91" i="2"/>
  <c r="AA92" i="2"/>
  <c r="AA95" i="2"/>
  <c r="AA93" i="2"/>
  <c r="AA94" i="2"/>
  <c r="AA90" i="2"/>
  <c r="AA89" i="2"/>
  <c r="AA88" i="2"/>
  <c r="AA86" i="2"/>
  <c r="AA87" i="2"/>
  <c r="AA85" i="2"/>
  <c r="E31" i="2"/>
  <c r="F31" i="2"/>
  <c r="G31" i="2"/>
  <c r="D31" i="2"/>
  <c r="C31" i="2" l="1"/>
  <c r="C32" i="2" s="1"/>
  <c r="E32" i="2" l="1"/>
  <c r="F32" i="2"/>
  <c r="G32" i="2"/>
  <c r="D32" i="2"/>
  <c r="AA51" i="2" l="1"/>
  <c r="AA57" i="2"/>
  <c r="AA71" i="2"/>
  <c r="AA68" i="2"/>
  <c r="AA73" i="2"/>
  <c r="AA66" i="2"/>
  <c r="AA50" i="2"/>
  <c r="AA76" i="2"/>
  <c r="AA67" i="2"/>
  <c r="AA52" i="2"/>
  <c r="AA82" i="2"/>
  <c r="AA81" i="2"/>
  <c r="AA83" i="2"/>
  <c r="AA44" i="2"/>
  <c r="AA64" i="2"/>
  <c r="AA65" i="2"/>
  <c r="AA49" i="2"/>
  <c r="AA72" i="2"/>
  <c r="AA77" i="2"/>
  <c r="AA58" i="2"/>
  <c r="AA78" i="2"/>
  <c r="AA55" i="2"/>
  <c r="AA46" i="2"/>
  <c r="AA53" i="2"/>
  <c r="AA54" i="2"/>
  <c r="AA69" i="2"/>
  <c r="AA62" i="2"/>
  <c r="AA75" i="2"/>
  <c r="AA48" i="2"/>
  <c r="AA80" i="2"/>
  <c r="AA45" i="2"/>
  <c r="AA70" i="2"/>
  <c r="AA59" i="2"/>
  <c r="AA63" i="2"/>
  <c r="AA74" i="2"/>
  <c r="AA84" i="2"/>
  <c r="AA61" i="2"/>
  <c r="AA56" i="2"/>
  <c r="AA60" i="2"/>
  <c r="AA47" i="2"/>
  <c r="AA79" i="2"/>
  <c r="AA43" i="2"/>
  <c r="C35" i="2" l="1"/>
</calcChain>
</file>

<file path=xl/sharedStrings.xml><?xml version="1.0" encoding="utf-8"?>
<sst xmlns="http://schemas.openxmlformats.org/spreadsheetml/2006/main" count="37" uniqueCount="37">
  <si>
    <t>λ</t>
  </si>
  <si>
    <t>EXPERIMENTAL</t>
  </si>
  <si>
    <t>time (t)</t>
  </si>
  <si>
    <t>I(t)</t>
  </si>
  <si>
    <t>z1</t>
  </si>
  <si>
    <t>z2</t>
  </si>
  <si>
    <t>z3</t>
  </si>
  <si>
    <t>z4</t>
  </si>
  <si>
    <t>z5</t>
  </si>
  <si>
    <t>W(e^z1)</t>
  </si>
  <si>
    <t>W(e^z2)</t>
  </si>
  <si>
    <t>W(e^z3)</t>
  </si>
  <si>
    <t>W(e^z4)</t>
  </si>
  <si>
    <t>W(e^z5)</t>
  </si>
  <si>
    <t>SUMS</t>
  </si>
  <si>
    <t>Least squares</t>
  </si>
  <si>
    <t>FOM(%)</t>
  </si>
  <si>
    <t>I1</t>
  </si>
  <si>
    <t>I2</t>
  </si>
  <si>
    <t>I3</t>
  </si>
  <si>
    <t>I4</t>
  </si>
  <si>
    <t>I5</t>
  </si>
  <si>
    <t>Itot</t>
  </si>
  <si>
    <t>Theoretical</t>
  </si>
  <si>
    <t>Afit</t>
  </si>
  <si>
    <t>FOM</t>
  </si>
  <si>
    <t>(EXPER. - THEOR.)^2</t>
  </si>
  <si>
    <t>ABS(EXPER. - THEOR)</t>
  </si>
  <si>
    <t>factor</t>
  </si>
  <si>
    <t>Components</t>
  </si>
  <si>
    <t>τ</t>
  </si>
  <si>
    <t>Contribution %</t>
  </si>
  <si>
    <t>σ</t>
  </si>
  <si>
    <t>C</t>
  </si>
  <si>
    <t>I0</t>
  </si>
  <si>
    <t>r</t>
  </si>
  <si>
    <t>n0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</si>
</sst>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b/>
      <sz val="11"/>
      <color theme="1"/>
      <name val="Calibri"/>
      <family val="2"/>
      <scheme val="minor"/>
    </font>
    <font>
      <b/>
      <u/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4"/>
      <name val="Times New Roman"/>
      <family val="1"/>
      <charset val="161"/>
    </font>
    <font>
      <sz val="11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0" fontId="1" fillId="0" borderId="0"/>
  </cellStyleXfs>
  <cellXfs count="24">
    <xf numFmtId="0" fontId="0" fillId="0" borderId="0" xfId="0"/>
    <xf numFmtId="0" fontId="0" fillId="35" borderId="0" xfId="0" applyFill="1" applyAlignment="1">
      <alignment horizontal="center"/>
    </xf>
    <xf numFmtId="0" fontId="18" fillId="34" borderId="0" xfId="0" applyFont="1" applyFill="1" applyAlignment="1">
      <alignment horizontal="center"/>
    </xf>
    <xf numFmtId="0" fontId="0" fillId="38" borderId="0" xfId="0" applyFill="1"/>
    <xf numFmtId="0" fontId="16" fillId="37" borderId="0" xfId="0" applyFont="1" applyFill="1" applyAlignment="1">
      <alignment horizontal="center"/>
    </xf>
    <xf numFmtId="0" fontId="16" fillId="0" borderId="10" xfId="0" applyFont="1" applyBorder="1"/>
    <xf numFmtId="0" fontId="14" fillId="35" borderId="0" xfId="0" applyFont="1" applyFill="1" applyAlignment="1">
      <alignment horizontal="center"/>
    </xf>
    <xf numFmtId="0" fontId="16" fillId="34" borderId="10" xfId="0" applyFont="1" applyFill="1" applyBorder="1"/>
    <xf numFmtId="0" fontId="0" fillId="35" borderId="0" xfId="0" applyFill="1"/>
    <xf numFmtId="0" fontId="16" fillId="36" borderId="0" xfId="0" applyFont="1" applyFill="1" applyAlignment="1">
      <alignment horizontal="center"/>
    </xf>
    <xf numFmtId="0" fontId="16" fillId="0" borderId="0" xfId="0" applyFont="1" applyAlignment="1">
      <alignment horizontal="center"/>
    </xf>
    <xf numFmtId="0" fontId="16" fillId="34" borderId="0" xfId="0" applyFont="1" applyFill="1" applyAlignment="1">
      <alignment horizontal="center"/>
    </xf>
    <xf numFmtId="0" fontId="16" fillId="33" borderId="0" xfId="0" applyFont="1" applyFill="1" applyAlignment="1">
      <alignment horizontal="center"/>
    </xf>
    <xf numFmtId="0" fontId="19" fillId="0" borderId="0" xfId="0" applyFont="1"/>
    <xf numFmtId="0" fontId="20" fillId="0" borderId="0" xfId="0" applyFont="1"/>
    <xf numFmtId="0" fontId="18" fillId="0" borderId="0" xfId="0" applyFont="1"/>
    <xf numFmtId="0" fontId="18" fillId="0" borderId="0" xfId="0" applyFont="1" applyAlignment="1">
      <alignment horizontal="center"/>
    </xf>
    <xf numFmtId="0" fontId="18" fillId="3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22" fillId="0" borderId="0" xfId="0" applyFont="1" applyAlignment="1">
      <alignment horizontal="center"/>
    </xf>
    <xf numFmtId="11" fontId="0" fillId="0" borderId="0" xfId="0" applyNumberFormat="1"/>
    <xf numFmtId="11" fontId="22" fillId="0" borderId="0" xfId="0" applyNumberFormat="1" applyFont="1" applyAlignment="1">
      <alignment horizontal="center"/>
    </xf>
    <xf numFmtId="0" fontId="0" fillId="0" borderId="11" xfId="0" applyBorder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3" xr:uid="{80AEE85D-C399-474A-951D-0EC5A3C06178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  <cellStyle name="Κανονικό 7" xfId="42" xr:uid="{6A6E8B7A-2BA3-4CC1-A3F3-B9E03E74A7D3}"/>
  </cellStyles>
  <dxfs count="5"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CW</a:t>
            </a:r>
            <a:r>
              <a:rPr lang="en-US" baseline="0"/>
              <a:t> </a:t>
            </a:r>
            <a:r>
              <a:rPr lang="en-US"/>
              <a:t>OSL </a:t>
            </a:r>
            <a:endParaRPr lang="el-GR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2932370694675005"/>
          <c:y val="9.52333147100589E-2"/>
          <c:w val="0.7125089565761501"/>
          <c:h val="0.76682558804651824"/>
        </c:manualLayout>
      </c:layout>
      <c:scatterChart>
        <c:scatterStyle val="lineMarker"/>
        <c:varyColors val="0"/>
        <c:ser>
          <c:idx val="0"/>
          <c:order val="0"/>
          <c:tx>
            <c:v>Experimental</c:v>
          </c:tx>
          <c:spPr>
            <a:ln w="28575">
              <a:noFill/>
            </a:ln>
          </c:spPr>
          <c:marker>
            <c:symbol val="diamond"/>
            <c:size val="4"/>
            <c:spPr>
              <a:noFill/>
              <a:ln>
                <a:solidFill>
                  <a:schemeClr val="tx1"/>
                </a:solidFill>
              </a:ln>
            </c:spPr>
          </c:marker>
          <c:xVal>
            <c:numRef>
              <c:f>'sheet 1'!$B$41:$B$790</c:f>
              <c:numCache>
                <c:formatCode>General</c:formatCode>
                <c:ptCount val="750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1'!$C$41:$C$790</c:f>
              <c:numCache>
                <c:formatCode>General</c:formatCode>
                <c:ptCount val="750"/>
                <c:pt idx="0">
                  <c:v>17294</c:v>
                </c:pt>
                <c:pt idx="1">
                  <c:v>17012</c:v>
                </c:pt>
                <c:pt idx="2">
                  <c:v>16700</c:v>
                </c:pt>
                <c:pt idx="3">
                  <c:v>16586</c:v>
                </c:pt>
                <c:pt idx="4">
                  <c:v>16048</c:v>
                </c:pt>
                <c:pt idx="5">
                  <c:v>15910</c:v>
                </c:pt>
                <c:pt idx="6">
                  <c:v>15342</c:v>
                </c:pt>
                <c:pt idx="7">
                  <c:v>15142</c:v>
                </c:pt>
                <c:pt idx="8">
                  <c:v>14648</c:v>
                </c:pt>
                <c:pt idx="9">
                  <c:v>14476</c:v>
                </c:pt>
                <c:pt idx="10">
                  <c:v>14350</c:v>
                </c:pt>
                <c:pt idx="11">
                  <c:v>13896</c:v>
                </c:pt>
                <c:pt idx="12">
                  <c:v>13720</c:v>
                </c:pt>
                <c:pt idx="13">
                  <c:v>13472</c:v>
                </c:pt>
                <c:pt idx="14">
                  <c:v>13322</c:v>
                </c:pt>
                <c:pt idx="15">
                  <c:v>13010</c:v>
                </c:pt>
                <c:pt idx="16">
                  <c:v>12664</c:v>
                </c:pt>
                <c:pt idx="17">
                  <c:v>12482</c:v>
                </c:pt>
                <c:pt idx="18">
                  <c:v>12260</c:v>
                </c:pt>
                <c:pt idx="19">
                  <c:v>12176</c:v>
                </c:pt>
                <c:pt idx="20">
                  <c:v>11798</c:v>
                </c:pt>
                <c:pt idx="21">
                  <c:v>11536</c:v>
                </c:pt>
                <c:pt idx="22">
                  <c:v>11480</c:v>
                </c:pt>
                <c:pt idx="23">
                  <c:v>11214</c:v>
                </c:pt>
                <c:pt idx="24">
                  <c:v>11056</c:v>
                </c:pt>
                <c:pt idx="25">
                  <c:v>10824</c:v>
                </c:pt>
                <c:pt idx="26">
                  <c:v>10788</c:v>
                </c:pt>
                <c:pt idx="27">
                  <c:v>10540</c:v>
                </c:pt>
                <c:pt idx="28">
                  <c:v>10366</c:v>
                </c:pt>
                <c:pt idx="29">
                  <c:v>10198</c:v>
                </c:pt>
                <c:pt idx="30">
                  <c:v>10066</c:v>
                </c:pt>
                <c:pt idx="31">
                  <c:v>9856</c:v>
                </c:pt>
                <c:pt idx="32">
                  <c:v>9648</c:v>
                </c:pt>
                <c:pt idx="33">
                  <c:v>9554</c:v>
                </c:pt>
                <c:pt idx="34">
                  <c:v>9326</c:v>
                </c:pt>
                <c:pt idx="35">
                  <c:v>9104</c:v>
                </c:pt>
                <c:pt idx="36">
                  <c:v>8980</c:v>
                </c:pt>
                <c:pt idx="37">
                  <c:v>8834</c:v>
                </c:pt>
                <c:pt idx="38">
                  <c:v>8674</c:v>
                </c:pt>
                <c:pt idx="39">
                  <c:v>8588</c:v>
                </c:pt>
                <c:pt idx="40">
                  <c:v>8488</c:v>
                </c:pt>
                <c:pt idx="41">
                  <c:v>8400</c:v>
                </c:pt>
                <c:pt idx="42">
                  <c:v>8214</c:v>
                </c:pt>
                <c:pt idx="43">
                  <c:v>8040</c:v>
                </c:pt>
                <c:pt idx="44">
                  <c:v>7914</c:v>
                </c:pt>
                <c:pt idx="45">
                  <c:v>7700</c:v>
                </c:pt>
                <c:pt idx="46">
                  <c:v>7616</c:v>
                </c:pt>
                <c:pt idx="47">
                  <c:v>7480</c:v>
                </c:pt>
                <c:pt idx="48">
                  <c:v>7352</c:v>
                </c:pt>
                <c:pt idx="49">
                  <c:v>7240</c:v>
                </c:pt>
                <c:pt idx="50">
                  <c:v>7140</c:v>
                </c:pt>
                <c:pt idx="51">
                  <c:v>6996</c:v>
                </c:pt>
                <c:pt idx="52">
                  <c:v>6882</c:v>
                </c:pt>
                <c:pt idx="53">
                  <c:v>6732</c:v>
                </c:pt>
                <c:pt idx="54">
                  <c:v>6626</c:v>
                </c:pt>
                <c:pt idx="55">
                  <c:v>6560</c:v>
                </c:pt>
                <c:pt idx="56">
                  <c:v>6500</c:v>
                </c:pt>
                <c:pt idx="57">
                  <c:v>6390</c:v>
                </c:pt>
                <c:pt idx="58">
                  <c:v>6260</c:v>
                </c:pt>
                <c:pt idx="59">
                  <c:v>6228</c:v>
                </c:pt>
                <c:pt idx="60">
                  <c:v>6032</c:v>
                </c:pt>
                <c:pt idx="61">
                  <c:v>5912</c:v>
                </c:pt>
                <c:pt idx="62">
                  <c:v>5810</c:v>
                </c:pt>
                <c:pt idx="63">
                  <c:v>5844</c:v>
                </c:pt>
                <c:pt idx="64">
                  <c:v>5814</c:v>
                </c:pt>
                <c:pt idx="65">
                  <c:v>5660</c:v>
                </c:pt>
                <c:pt idx="66">
                  <c:v>5594</c:v>
                </c:pt>
                <c:pt idx="67">
                  <c:v>5568</c:v>
                </c:pt>
                <c:pt idx="68">
                  <c:v>5382</c:v>
                </c:pt>
                <c:pt idx="69">
                  <c:v>5330</c:v>
                </c:pt>
                <c:pt idx="70">
                  <c:v>5180</c:v>
                </c:pt>
                <c:pt idx="71">
                  <c:v>5170</c:v>
                </c:pt>
                <c:pt idx="72">
                  <c:v>5064</c:v>
                </c:pt>
                <c:pt idx="73">
                  <c:v>5026</c:v>
                </c:pt>
                <c:pt idx="74">
                  <c:v>4878</c:v>
                </c:pt>
                <c:pt idx="75">
                  <c:v>4774</c:v>
                </c:pt>
                <c:pt idx="76">
                  <c:v>4762</c:v>
                </c:pt>
                <c:pt idx="77">
                  <c:v>4684</c:v>
                </c:pt>
                <c:pt idx="78">
                  <c:v>4664</c:v>
                </c:pt>
                <c:pt idx="79">
                  <c:v>4596</c:v>
                </c:pt>
                <c:pt idx="80">
                  <c:v>4532</c:v>
                </c:pt>
                <c:pt idx="81">
                  <c:v>4426</c:v>
                </c:pt>
                <c:pt idx="82">
                  <c:v>4358</c:v>
                </c:pt>
                <c:pt idx="83">
                  <c:v>4272</c:v>
                </c:pt>
                <c:pt idx="84">
                  <c:v>4254</c:v>
                </c:pt>
                <c:pt idx="85">
                  <c:v>4218</c:v>
                </c:pt>
                <c:pt idx="86">
                  <c:v>4182</c:v>
                </c:pt>
                <c:pt idx="87">
                  <c:v>4026</c:v>
                </c:pt>
                <c:pt idx="88">
                  <c:v>3948</c:v>
                </c:pt>
                <c:pt idx="89">
                  <c:v>3888</c:v>
                </c:pt>
                <c:pt idx="90">
                  <c:v>3910</c:v>
                </c:pt>
                <c:pt idx="91">
                  <c:v>3800</c:v>
                </c:pt>
                <c:pt idx="92">
                  <c:v>3736</c:v>
                </c:pt>
                <c:pt idx="93">
                  <c:v>3686</c:v>
                </c:pt>
                <c:pt idx="94">
                  <c:v>3620</c:v>
                </c:pt>
                <c:pt idx="95">
                  <c:v>3592</c:v>
                </c:pt>
                <c:pt idx="96">
                  <c:v>3470</c:v>
                </c:pt>
                <c:pt idx="97">
                  <c:v>3456</c:v>
                </c:pt>
                <c:pt idx="98">
                  <c:v>3424</c:v>
                </c:pt>
                <c:pt idx="99">
                  <c:v>3350</c:v>
                </c:pt>
                <c:pt idx="100">
                  <c:v>3364</c:v>
                </c:pt>
                <c:pt idx="101">
                  <c:v>3318</c:v>
                </c:pt>
                <c:pt idx="102">
                  <c:v>3250</c:v>
                </c:pt>
                <c:pt idx="103">
                  <c:v>3182</c:v>
                </c:pt>
                <c:pt idx="104">
                  <c:v>3204</c:v>
                </c:pt>
                <c:pt idx="105">
                  <c:v>3098</c:v>
                </c:pt>
                <c:pt idx="106">
                  <c:v>3060</c:v>
                </c:pt>
                <c:pt idx="107">
                  <c:v>2970</c:v>
                </c:pt>
                <c:pt idx="108">
                  <c:v>2944</c:v>
                </c:pt>
                <c:pt idx="109">
                  <c:v>2942</c:v>
                </c:pt>
                <c:pt idx="110">
                  <c:v>2894</c:v>
                </c:pt>
                <c:pt idx="111">
                  <c:v>2846</c:v>
                </c:pt>
                <c:pt idx="112">
                  <c:v>2796</c:v>
                </c:pt>
                <c:pt idx="113">
                  <c:v>2734</c:v>
                </c:pt>
                <c:pt idx="114">
                  <c:v>2706</c:v>
                </c:pt>
                <c:pt idx="115">
                  <c:v>2662</c:v>
                </c:pt>
                <c:pt idx="116">
                  <c:v>2682</c:v>
                </c:pt>
                <c:pt idx="117">
                  <c:v>2614</c:v>
                </c:pt>
                <c:pt idx="118">
                  <c:v>2590</c:v>
                </c:pt>
                <c:pt idx="119">
                  <c:v>2556</c:v>
                </c:pt>
                <c:pt idx="120">
                  <c:v>2476</c:v>
                </c:pt>
                <c:pt idx="121">
                  <c:v>2488</c:v>
                </c:pt>
                <c:pt idx="122">
                  <c:v>2444</c:v>
                </c:pt>
                <c:pt idx="123">
                  <c:v>2370</c:v>
                </c:pt>
                <c:pt idx="124">
                  <c:v>2352</c:v>
                </c:pt>
                <c:pt idx="125">
                  <c:v>2388</c:v>
                </c:pt>
                <c:pt idx="126">
                  <c:v>2308</c:v>
                </c:pt>
                <c:pt idx="127">
                  <c:v>2250</c:v>
                </c:pt>
                <c:pt idx="128">
                  <c:v>2252</c:v>
                </c:pt>
                <c:pt idx="129">
                  <c:v>2174</c:v>
                </c:pt>
                <c:pt idx="130">
                  <c:v>2172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21-4875-B88C-B488B95351CA}"/>
            </c:ext>
          </c:extLst>
        </c:ser>
        <c:ser>
          <c:idx val="1"/>
          <c:order val="1"/>
          <c:tx>
            <c:strRef>
              <c:f>'sheet 1'!$V$39</c:f>
              <c:strCache>
                <c:ptCount val="1"/>
                <c:pt idx="0">
                  <c:v>Theoretical</c:v>
                </c:pt>
              </c:strCache>
            </c:strRef>
          </c:tx>
          <c:spPr>
            <a:ln w="19050">
              <a:solidFill>
                <a:srgbClr val="C00000"/>
              </a:solidFill>
            </a:ln>
          </c:spPr>
          <c:marker>
            <c:symbol val="diamond"/>
            <c:size val="4"/>
          </c:marker>
          <c:xVal>
            <c:numRef>
              <c:f>'sheet 1'!$B$41:$B$842</c:f>
              <c:numCache>
                <c:formatCode>General</c:formatCode>
                <c:ptCount val="802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1'!$V$41:$V$842</c:f>
              <c:numCache>
                <c:formatCode>General</c:formatCode>
                <c:ptCount val="802"/>
                <c:pt idx="0">
                  <c:v>17216.311596847849</c:v>
                </c:pt>
                <c:pt idx="1">
                  <c:v>16898.196952675753</c:v>
                </c:pt>
                <c:pt idx="2">
                  <c:v>16586.682628837269</c:v>
                </c:pt>
                <c:pt idx="3">
                  <c:v>16281.615390210027</c:v>
                </c:pt>
                <c:pt idx="4">
                  <c:v>15982.846298747096</c:v>
                </c:pt>
                <c:pt idx="5">
                  <c:v>15690.230555925054</c:v>
                </c:pt>
                <c:pt idx="6">
                  <c:v>15403.627352712987</c:v>
                </c:pt>
                <c:pt idx="7">
                  <c:v>15122.899726623407</c:v>
                </c:pt>
                <c:pt idx="8">
                  <c:v>14847.914425435514</c:v>
                </c:pt>
                <c:pt idx="9">
                  <c:v>14578.541777208731</c:v>
                </c:pt>
                <c:pt idx="10">
                  <c:v>14314.655566229747</c:v>
                </c:pt>
                <c:pt idx="11">
                  <c:v>14056.132914559697</c:v>
                </c:pt>
                <c:pt idx="12">
                  <c:v>13802.854168870015</c:v>
                </c:pt>
                <c:pt idx="13">
                  <c:v>13554.702792275479</c:v>
                </c:pt>
                <c:pt idx="14">
                  <c:v>13311.565260891824</c:v>
                </c:pt>
                <c:pt idx="15">
                  <c:v>13073.330964862585</c:v>
                </c:pt>
                <c:pt idx="16">
                  <c:v>12839.892113616024</c:v>
                </c:pt>
                <c:pt idx="17">
                  <c:v>12611.143645127866</c:v>
                </c:pt>
                <c:pt idx="18">
                  <c:v>12386.983138979684</c:v>
                </c:pt>
                <c:pt idx="19">
                  <c:v>12167.310733015569</c:v>
                </c:pt>
                <c:pt idx="20">
                  <c:v>11952.029043411872</c:v>
                </c:pt>
                <c:pt idx="21">
                  <c:v>11741.043087986011</c:v>
                </c:pt>
                <c:pt idx="22">
                  <c:v>11534.260212580819</c:v>
                </c:pt>
                <c:pt idx="23">
                  <c:v>11331.590020370677</c:v>
                </c:pt>
                <c:pt idx="24">
                  <c:v>11132.944303944672</c:v>
                </c:pt>
                <c:pt idx="25">
                  <c:v>10938.23698003069</c:v>
                </c:pt>
                <c:pt idx="26">
                  <c:v>10747.384026732081</c:v>
                </c:pt>
                <c:pt idx="27">
                  <c:v>10560.303423156101</c:v>
                </c:pt>
                <c:pt idx="28">
                  <c:v>10376.915091320097</c:v>
                </c:pt>
                <c:pt idx="29">
                  <c:v>10197.140840228016</c:v>
                </c:pt>
                <c:pt idx="30">
                  <c:v>10020.904312015744</c:v>
                </c:pt>
                <c:pt idx="31">
                  <c:v>9848.1309300694793</c:v>
                </c:pt>
                <c:pt idx="32">
                  <c:v>9678.747849026664</c:v>
                </c:pt>
                <c:pt idx="33">
                  <c:v>9512.6839065739478</c:v>
                </c:pt>
                <c:pt idx="34">
                  <c:v>9349.8695769612277</c:v>
                </c:pt>
                <c:pt idx="35">
                  <c:v>9190.2369261553195</c:v>
                </c:pt>
                <c:pt idx="36">
                  <c:v>9033.719568560733</c:v>
                </c:pt>
                <c:pt idx="37">
                  <c:v>8880.2526252389853</c:v>
                </c:pt>
                <c:pt idx="38">
                  <c:v>8729.7726835614139</c:v>
                </c:pt>
                <c:pt idx="39">
                  <c:v>8582.2177582338409</c:v>
                </c:pt>
                <c:pt idx="40">
                  <c:v>8437.5272536347038</c:v>
                </c:pt>
                <c:pt idx="41">
                  <c:v>8295.6419274110485</c:v>
                </c:pt>
                <c:pt idx="42">
                  <c:v>8156.5038552798505</c:v>
                </c:pt>
                <c:pt idx="43">
                  <c:v>8020.0563969845552</c:v>
                </c:pt>
                <c:pt idx="44">
                  <c:v>7886.2441633593553</c:v>
                </c:pt>
                <c:pt idx="45">
                  <c:v>7755.0129844559688</c:v>
                </c:pt>
                <c:pt idx="46">
                  <c:v>7626.3098786899754</c:v>
                </c:pt>
                <c:pt idx="47">
                  <c:v>7500.0830229657849</c:v>
                </c:pt>
                <c:pt idx="48">
                  <c:v>7376.2817237412983</c:v>
                </c:pt>
                <c:pt idx="49">
                  <c:v>7254.8563889952084</c:v>
                </c:pt>
                <c:pt idx="50">
                  <c:v>7135.7585010615421</c:v>
                </c:pt>
                <c:pt idx="51">
                  <c:v>7018.9405902978242</c:v>
                </c:pt>
                <c:pt idx="52">
                  <c:v>6904.3562095547113</c:v>
                </c:pt>
                <c:pt idx="53">
                  <c:v>6791.9599094164378</c:v>
                </c:pt>
                <c:pt idx="54">
                  <c:v>6681.707214182843</c:v>
                </c:pt>
                <c:pt idx="55">
                  <c:v>6573.5545985650615</c:v>
                </c:pt>
                <c:pt idx="56">
                  <c:v>6467.4594650681738</c:v>
                </c:pt>
                <c:pt idx="57">
                  <c:v>6363.3801220353316</c:v>
                </c:pt>
                <c:pt idx="58">
                  <c:v>6261.2757623290427</c:v>
                </c:pt>
                <c:pt idx="59">
                  <c:v>6161.1064426262292</c:v>
                </c:pt>
                <c:pt idx="60">
                  <c:v>6062.8330633048581</c:v>
                </c:pt>
                <c:pt idx="61">
                  <c:v>5966.4173489007535</c:v>
                </c:pt>
                <c:pt idx="62">
                  <c:v>5871.821829114223</c:v>
                </c:pt>
                <c:pt idx="63">
                  <c:v>5779.0098203469133</c:v>
                </c:pt>
                <c:pt idx="64">
                  <c:v>5687.9454077501978</c:v>
                </c:pt>
                <c:pt idx="65">
                  <c:v>5598.5934277671513</c:v>
                </c:pt>
                <c:pt idx="66">
                  <c:v>5510.9194511509068</c:v>
                </c:pt>
                <c:pt idx="67">
                  <c:v>5424.8897664429278</c:v>
                </c:pt>
                <c:pt idx="68">
                  <c:v>5340.4713638953817</c:v>
                </c:pt>
                <c:pt idx="69">
                  <c:v>5257.6319198224573</c:v>
                </c:pt>
                <c:pt idx="70">
                  <c:v>5176.339781366074</c:v>
                </c:pt>
                <c:pt idx="71">
                  <c:v>5096.5639516620431</c:v>
                </c:pt>
                <c:pt idx="72">
                  <c:v>5018.2740753932549</c:v>
                </c:pt>
                <c:pt idx="73">
                  <c:v>4941.4404247170478</c:v>
                </c:pt>
                <c:pt idx="74">
                  <c:v>4866.0338855544069</c:v>
                </c:pt>
                <c:pt idx="75">
                  <c:v>4792.0259442291099</c:v>
                </c:pt>
                <c:pt idx="76">
                  <c:v>4719.3886744454412</c:v>
                </c:pt>
                <c:pt idx="77">
                  <c:v>4648.0947245935076</c:v>
                </c:pt>
                <c:pt idx="78">
                  <c:v>4578.1173053716393</c:v>
                </c:pt>
                <c:pt idx="79">
                  <c:v>4509.4301777157525</c:v>
                </c:pt>
                <c:pt idx="80">
                  <c:v>4442.0076410259471</c:v>
                </c:pt>
                <c:pt idx="81">
                  <c:v>4375.8245216810001</c:v>
                </c:pt>
                <c:pt idx="82">
                  <c:v>4310.8561618317399</c:v>
                </c:pt>
                <c:pt idx="83">
                  <c:v>4247.0784084646757</c:v>
                </c:pt>
                <c:pt idx="84">
                  <c:v>4184.4676027275354</c:v>
                </c:pt>
                <c:pt idx="85">
                  <c:v>4123.0005695087384</c:v>
                </c:pt>
                <c:pt idx="86">
                  <c:v>4062.6546072630736</c:v>
                </c:pt>
                <c:pt idx="87">
                  <c:v>4003.4074780761948</c:v>
                </c:pt>
                <c:pt idx="88">
                  <c:v>3945.2373979607651</c:v>
                </c:pt>
                <c:pt idx="89">
                  <c:v>3888.123027377439</c:v>
                </c:pt>
                <c:pt idx="90">
                  <c:v>3832.0434619740231</c:v>
                </c:pt>
                <c:pt idx="91">
                  <c:v>3776.9782235364632</c:v>
                </c:pt>
                <c:pt idx="92">
                  <c:v>3722.9072511455583</c:v>
                </c:pt>
                <c:pt idx="93">
                  <c:v>3669.8108925334618</c:v>
                </c:pt>
                <c:pt idx="94">
                  <c:v>3617.6698956343107</c:v>
                </c:pt>
                <c:pt idx="95">
                  <c:v>3566.4654003234982</c:v>
                </c:pt>
                <c:pt idx="96">
                  <c:v>3516.1789303403198</c:v>
                </c:pt>
                <c:pt idx="97">
                  <c:v>3466.7923853889033</c:v>
                </c:pt>
                <c:pt idx="98">
                  <c:v>3418.288033412538</c:v>
                </c:pt>
                <c:pt idx="99">
                  <c:v>3370.6485030366653</c:v>
                </c:pt>
                <c:pt idx="100">
                  <c:v>3323.8567761759923</c:v>
                </c:pt>
                <c:pt idx="101">
                  <c:v>3277.8961808013437</c:v>
                </c:pt>
                <c:pt idx="102">
                  <c:v>3232.7503838620032</c:v>
                </c:pt>
                <c:pt idx="103">
                  <c:v>3188.4033843594916</c:v>
                </c:pt>
                <c:pt idx="104">
                  <c:v>3144.8395065688173</c:v>
                </c:pt>
                <c:pt idx="105">
                  <c:v>3102.043393403429</c:v>
                </c:pt>
                <c:pt idx="106">
                  <c:v>3059.9999999201737</c:v>
                </c:pt>
                <c:pt idx="107">
                  <c:v>3018.6945869607689</c:v>
                </c:pt>
                <c:pt idx="108">
                  <c:v>2978.1127149263202</c:v>
                </c:pt>
                <c:pt idx="109">
                  <c:v>2938.2402376816317</c:v>
                </c:pt>
                <c:pt idx="110">
                  <c:v>2899.0632965860987</c:v>
                </c:pt>
                <c:pt idx="111">
                  <c:v>2860.5683146481242</c:v>
                </c:pt>
                <c:pt idx="112">
                  <c:v>2822.7419908000593</c:v>
                </c:pt>
                <c:pt idx="113">
                  <c:v>2785.5712942908294</c:v>
                </c:pt>
                <c:pt idx="114">
                  <c:v>2749.04345919343</c:v>
                </c:pt>
                <c:pt idx="115">
                  <c:v>2713.145979024639</c:v>
                </c:pt>
                <c:pt idx="116">
                  <c:v>2677.8666014743108</c:v>
                </c:pt>
                <c:pt idx="117">
                  <c:v>2643.1933232417723</c:v>
                </c:pt>
                <c:pt idx="118">
                  <c:v>2609.1143849768537</c:v>
                </c:pt>
                <c:pt idx="119">
                  <c:v>2575.6182663232021</c:v>
                </c:pt>
                <c:pt idx="120">
                  <c:v>2542.6936810616203</c:v>
                </c:pt>
                <c:pt idx="121">
                  <c:v>2510.3295723511646</c:v>
                </c:pt>
                <c:pt idx="122">
                  <c:v>2478.515108065902</c:v>
                </c:pt>
                <c:pt idx="123">
                  <c:v>2447.2396762252242</c:v>
                </c:pt>
                <c:pt idx="124">
                  <c:v>2416.4928805156928</c:v>
                </c:pt>
                <c:pt idx="125">
                  <c:v>2386.2645359024655</c:v>
                </c:pt>
                <c:pt idx="126">
                  <c:v>2356.5446643284026</c:v>
                </c:pt>
                <c:pt idx="127">
                  <c:v>2327.3234904989968</c:v>
                </c:pt>
                <c:pt idx="128">
                  <c:v>2298.5914377513272</c:v>
                </c:pt>
                <c:pt idx="129">
                  <c:v>2270.3391240053083</c:v>
                </c:pt>
                <c:pt idx="130">
                  <c:v>2242.5573577955211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621-4875-B88C-B488B95351CA}"/>
            </c:ext>
          </c:extLst>
        </c:ser>
        <c:ser>
          <c:idx val="2"/>
          <c:order val="2"/>
          <c:tx>
            <c:strRef>
              <c:f>'sheet 1'!$P$40</c:f>
              <c:strCache>
                <c:ptCount val="1"/>
                <c:pt idx="0">
                  <c:v>I1</c:v>
                </c:pt>
              </c:strCache>
            </c:strRef>
          </c:tx>
          <c:spPr>
            <a:ln w="19050">
              <a:solidFill>
                <a:srgbClr val="92D050"/>
              </a:solidFill>
            </a:ln>
          </c:spPr>
          <c:marker>
            <c:symbol val="none"/>
          </c:marker>
          <c:xVal>
            <c:numRef>
              <c:f>'sheet 1'!$B$41:$B$843</c:f>
              <c:numCache>
                <c:formatCode>General</c:formatCode>
                <c:ptCount val="803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1'!$P$41:$P$843</c:f>
              <c:numCache>
                <c:formatCode>General</c:formatCode>
                <c:ptCount val="803"/>
                <c:pt idx="0">
                  <c:v>12957.334708941553</c:v>
                </c:pt>
                <c:pt idx="1">
                  <c:v>12713.353913539226</c:v>
                </c:pt>
                <c:pt idx="2">
                  <c:v>12474.071721365206</c:v>
                </c:pt>
                <c:pt idx="3">
                  <c:v>12239.398389205371</c:v>
                </c:pt>
                <c:pt idx="4">
                  <c:v>12009.245876260975</c:v>
                </c:pt>
                <c:pt idx="5">
                  <c:v>11783.527811455266</c:v>
                </c:pt>
                <c:pt idx="6">
                  <c:v>11562.159461372117</c:v>
                </c:pt>
                <c:pt idx="7">
                  <c:v>11345.057698815046</c:v>
                </c:pt>
                <c:pt idx="8">
                  <c:v>11132.140971975057</c:v>
                </c:pt>
                <c:pt idx="9">
                  <c:v>10923.329274196065</c:v>
                </c:pt>
                <c:pt idx="10">
                  <c:v>10718.544114326845</c:v>
                </c:pt>
                <c:pt idx="11">
                  <c:v>10517.708487648617</c:v>
                </c:pt>
                <c:pt idx="12">
                  <c:v>10320.746847367634</c:v>
                </c:pt>
                <c:pt idx="13">
                  <c:v>10127.585076662257</c:v>
                </c:pt>
                <c:pt idx="14">
                  <c:v>9938.1504612742683</c:v>
                </c:pt>
                <c:pt idx="15">
                  <c:v>9752.3716626343012</c:v>
                </c:pt>
                <c:pt idx="16">
                  <c:v>9570.1786915115099</c:v>
                </c:pt>
                <c:pt idx="17">
                  <c:v>9391.5028821776359</c:v>
                </c:pt>
                <c:pt idx="18">
                  <c:v>9216.2768670760233</c:v>
                </c:pt>
                <c:pt idx="19">
                  <c:v>9044.4345519860781</c:v>
                </c:pt>
                <c:pt idx="20">
                  <c:v>8875.9110916739646</c:v>
                </c:pt>
                <c:pt idx="21">
                  <c:v>8710.6428660204565</c:v>
                </c:pt>
                <c:pt idx="22">
                  <c:v>8548.5674566169855</c:v>
                </c:pt>
                <c:pt idx="23">
                  <c:v>8389.6236238211623</c:v>
                </c:pt>
                <c:pt idx="24">
                  <c:v>8233.751284263044</c:v>
                </c:pt>
                <c:pt idx="25">
                  <c:v>8080.8914887937744</c:v>
                </c:pt>
                <c:pt idx="26">
                  <c:v>7930.9864008681488</c:v>
                </c:pt>
                <c:pt idx="27">
                  <c:v>7783.9792753529573</c:v>
                </c:pt>
                <c:pt idx="28">
                  <c:v>7639.8144377529943</c:v>
                </c:pt>
                <c:pt idx="29">
                  <c:v>7498.4372638468194</c:v>
                </c:pt>
                <c:pt idx="30">
                  <c:v>7359.7941597244417</c:v>
                </c:pt>
                <c:pt idx="31">
                  <c:v>7223.832542219212</c:v>
                </c:pt>
                <c:pt idx="32">
                  <c:v>7090.5008197264015</c:v>
                </c:pt>
                <c:pt idx="33">
                  <c:v>6959.7483734010011</c:v>
                </c:pt>
                <c:pt idx="34">
                  <c:v>6831.5255387273892</c:v>
                </c:pt>
                <c:pt idx="35">
                  <c:v>6705.7835874537059</c:v>
                </c:pt>
                <c:pt idx="36">
                  <c:v>6582.4747098837915</c:v>
                </c:pt>
                <c:pt idx="37">
                  <c:v>6461.551997519714</c:v>
                </c:pt>
                <c:pt idx="38">
                  <c:v>6342.9694260480328</c:v>
                </c:pt>
                <c:pt idx="39">
                  <c:v>6226.6818386629757</c:v>
                </c:pt>
                <c:pt idx="40">
                  <c:v>6112.6449297199588</c:v>
                </c:pt>
                <c:pt idx="41">
                  <c:v>6000.8152287127587</c:v>
                </c:pt>
                <c:pt idx="42">
                  <c:v>5891.1500845680221</c:v>
                </c:pt>
                <c:pt idx="43">
                  <c:v>5783.6076502506457</c:v>
                </c:pt>
                <c:pt idx="44">
                  <c:v>5678.1468676738477</c:v>
                </c:pt>
                <c:pt idx="45">
                  <c:v>5574.727452907734</c:v>
                </c:pt>
                <c:pt idx="46">
                  <c:v>5473.3098816803249</c:v>
                </c:pt>
                <c:pt idx="47">
                  <c:v>5373.8553751650679</c:v>
                </c:pt>
                <c:pt idx="48">
                  <c:v>5276.3258860489786</c:v>
                </c:pt>
                <c:pt idx="49">
                  <c:v>5180.6840848756601</c:v>
                </c:pt>
                <c:pt idx="50">
                  <c:v>5086.8933466574781</c:v>
                </c:pt>
                <c:pt idx="51">
                  <c:v>4994.9177377513597</c:v>
                </c:pt>
                <c:pt idx="52">
                  <c:v>4904.7220029927075</c:v>
                </c:pt>
                <c:pt idx="53">
                  <c:v>4816.2715530820233</c:v>
                </c:pt>
                <c:pt idx="54">
                  <c:v>4729.5324522189421</c:v>
                </c:pt>
                <c:pt idx="55">
                  <c:v>4644.4714059784837</c:v>
                </c:pt>
                <c:pt idx="56">
                  <c:v>4561.0557494243558</c:v>
                </c:pt>
                <c:pt idx="57">
                  <c:v>4479.2534354542986</c:v>
                </c:pt>
                <c:pt idx="58">
                  <c:v>4399.0330233725517</c:v>
                </c:pt>
                <c:pt idx="59">
                  <c:v>4320.3636676845126</c:v>
                </c:pt>
                <c:pt idx="60">
                  <c:v>4243.2151071089065</c:v>
                </c:pt>
                <c:pt idx="61">
                  <c:v>4167.5576538027199</c:v>
                </c:pt>
                <c:pt idx="62">
                  <c:v>4093.3621827943421</c:v>
                </c:pt>
                <c:pt idx="63">
                  <c:v>4020.6001216204004</c:v>
                </c:pt>
                <c:pt idx="64">
                  <c:v>3949.2434401618598</c:v>
                </c:pt>
                <c:pt idx="65">
                  <c:v>3879.2646406750769</c:v>
                </c:pt>
                <c:pt idx="66">
                  <c:v>3810.6367480135427</c:v>
                </c:pt>
                <c:pt idx="67">
                  <c:v>3743.3333000361613</c:v>
                </c:pt>
                <c:pt idx="68">
                  <c:v>3677.3283381979932</c:v>
                </c:pt>
                <c:pt idx="69">
                  <c:v>3612.5963983194629</c:v>
                </c:pt>
                <c:pt idx="70">
                  <c:v>3549.1125015301336</c:v>
                </c:pt>
                <c:pt idx="71">
                  <c:v>3486.8521453832195</c:v>
                </c:pt>
                <c:pt idx="72">
                  <c:v>3425.7912951371004</c:v>
                </c:pt>
                <c:pt idx="73">
                  <c:v>3365.9063752001666</c:v>
                </c:pt>
                <c:pt idx="74">
                  <c:v>3307.1742607354468</c:v>
                </c:pt>
                <c:pt idx="75">
                  <c:v>3249.5722694214915</c:v>
                </c:pt>
                <c:pt idx="76">
                  <c:v>3193.0781533661107</c:v>
                </c:pt>
                <c:pt idx="77">
                  <c:v>3137.6700911696425</c:v>
                </c:pt>
                <c:pt idx="78">
                  <c:v>3083.3266801344748</c:v>
                </c:pt>
                <c:pt idx="79">
                  <c:v>3030.0269286176481</c:v>
                </c:pt>
                <c:pt idx="80">
                  <c:v>2977.7502485234459</c:v>
                </c:pt>
                <c:pt idx="81">
                  <c:v>2926.4764479329392</c:v>
                </c:pt>
                <c:pt idx="82">
                  <c:v>2876.1857238675325</c:v>
                </c:pt>
                <c:pt idx="83">
                  <c:v>2826.8586551836429</c:v>
                </c:pt>
                <c:pt idx="84">
                  <c:v>2778.4761955956951</c:v>
                </c:pt>
                <c:pt idx="85">
                  <c:v>2731.0196668247158</c:v>
                </c:pt>
                <c:pt idx="86">
                  <c:v>2684.470751869856</c:v>
                </c:pt>
                <c:pt idx="87">
                  <c:v>2638.8114884002584</c:v>
                </c:pt>
                <c:pt idx="88">
                  <c:v>2594.0242622647243</c:v>
                </c:pt>
                <c:pt idx="89">
                  <c:v>2550.0918011167623</c:v>
                </c:pt>
                <c:pt idx="90">
                  <c:v>2506.9971681525994</c:v>
                </c:pt>
                <c:pt idx="91">
                  <c:v>2464.7237559598225</c:v>
                </c:pt>
                <c:pt idx="92">
                  <c:v>2423.2552804744291</c:v>
                </c:pt>
                <c:pt idx="93">
                  <c:v>2382.5757750440362</c:v>
                </c:pt>
                <c:pt idx="94">
                  <c:v>2342.6695845951454</c:v>
                </c:pt>
                <c:pt idx="95">
                  <c:v>2303.5213599023632</c:v>
                </c:pt>
                <c:pt idx="96">
                  <c:v>2265.1160519575619</c:v>
                </c:pt>
                <c:pt idx="97">
                  <c:v>2227.4389064370102</c:v>
                </c:pt>
                <c:pt idx="98">
                  <c:v>2190.4754582645678</c:v>
                </c:pt>
                <c:pt idx="99">
                  <c:v>2154.2115262690741</c:v>
                </c:pt>
                <c:pt idx="100">
                  <c:v>2118.6332079341382</c:v>
                </c:pt>
                <c:pt idx="101">
                  <c:v>2083.7268742385627</c:v>
                </c:pt>
                <c:pt idx="102">
                  <c:v>2049.4791645857026</c:v>
                </c:pt>
                <c:pt idx="103">
                  <c:v>2015.8769818200919</c:v>
                </c:pt>
                <c:pt idx="104">
                  <c:v>1982.9074873297316</c:v>
                </c:pt>
                <c:pt idx="105">
                  <c:v>1950.5580962324707</c:v>
                </c:pt>
                <c:pt idx="106">
                  <c:v>1918.8164726449397</c:v>
                </c:pt>
                <c:pt idx="107">
                  <c:v>1887.6705250325849</c:v>
                </c:pt>
                <c:pt idx="108">
                  <c:v>1857.1084016393213</c:v>
                </c:pt>
                <c:pt idx="109">
                  <c:v>1827.1184859954303</c:v>
                </c:pt>
                <c:pt idx="110">
                  <c:v>1797.6893925023221</c:v>
                </c:pt>
                <c:pt idx="111">
                  <c:v>1768.809962092839</c:v>
                </c:pt>
                <c:pt idx="112">
                  <c:v>1740.4692579657944</c:v>
                </c:pt>
                <c:pt idx="113">
                  <c:v>1712.6565613935038</c:v>
                </c:pt>
                <c:pt idx="114">
                  <c:v>1685.3613676010546</c:v>
                </c:pt>
                <c:pt idx="115">
                  <c:v>1658.5733817161488</c:v>
                </c:pt>
                <c:pt idx="116">
                  <c:v>1632.2825147883157</c:v>
                </c:pt>
                <c:pt idx="117">
                  <c:v>1606.4788798763861</c:v>
                </c:pt>
                <c:pt idx="118">
                  <c:v>1581.1527882031028</c:v>
                </c:pt>
                <c:pt idx="119">
                  <c:v>1556.2947453757699</c:v>
                </c:pt>
                <c:pt idx="120">
                  <c:v>1531.895447671923</c:v>
                </c:pt>
                <c:pt idx="121">
                  <c:v>1507.9457783889311</c:v>
                </c:pt>
                <c:pt idx="122">
                  <c:v>1484.4368042565625</c:v>
                </c:pt>
                <c:pt idx="123">
                  <c:v>1461.3597719115053</c:v>
                </c:pt>
                <c:pt idx="124">
                  <c:v>1438.7061044328791</c:v>
                </c:pt>
                <c:pt idx="125">
                  <c:v>1416.467397937784</c:v>
                </c:pt>
                <c:pt idx="126">
                  <c:v>1394.635418235976</c:v>
                </c:pt>
                <c:pt idx="127">
                  <c:v>1373.2020975427433</c:v>
                </c:pt>
                <c:pt idx="128">
                  <c:v>1352.1595312490949</c:v>
                </c:pt>
                <c:pt idx="129">
                  <c:v>1331.4999747483992</c:v>
                </c:pt>
                <c:pt idx="130">
                  <c:v>1311.2158403186029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621-4875-B88C-B488B95351CA}"/>
            </c:ext>
          </c:extLst>
        </c:ser>
        <c:ser>
          <c:idx val="3"/>
          <c:order val="3"/>
          <c:tx>
            <c:strRef>
              <c:f>'sheet 1'!$Q$40</c:f>
              <c:strCache>
                <c:ptCount val="1"/>
                <c:pt idx="0">
                  <c:v>I2</c:v>
                </c:pt>
              </c:strCache>
            </c:strRef>
          </c:tx>
          <c:spPr>
            <a:ln w="28575">
              <a:noFill/>
            </a:ln>
          </c:spPr>
          <c:marker>
            <c:symbol val="x"/>
            <c:size val="2"/>
            <c:spPr>
              <a:ln w="9525"/>
            </c:spPr>
          </c:marker>
          <c:xVal>
            <c:numRef>
              <c:f>'sheet 1'!$B$41:$B$843</c:f>
              <c:numCache>
                <c:formatCode>General</c:formatCode>
                <c:ptCount val="803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1'!$Q$41:$Q$843</c:f>
              <c:numCache>
                <c:formatCode>General</c:formatCode>
                <c:ptCount val="803"/>
                <c:pt idx="0">
                  <c:v>4208.9768879062958</c:v>
                </c:pt>
                <c:pt idx="1">
                  <c:v>4134.8430391365264</c:v>
                </c:pt>
                <c:pt idx="2">
                  <c:v>4062.6109074720621</c:v>
                </c:pt>
                <c:pt idx="3">
                  <c:v>3992.2170010046557</c:v>
                </c:pt>
                <c:pt idx="4">
                  <c:v>3923.6004224861208</c:v>
                </c:pt>
                <c:pt idx="5">
                  <c:v>3856.7027444697887</c:v>
                </c:pt>
                <c:pt idx="6">
                  <c:v>3791.4678913408698</c:v>
                </c:pt>
                <c:pt idx="7">
                  <c:v>3727.8420278083613</c:v>
                </c:pt>
                <c:pt idx="8">
                  <c:v>3665.7734534604569</c:v>
                </c:pt>
                <c:pt idx="9">
                  <c:v>3605.2125030126667</c:v>
                </c:pt>
                <c:pt idx="10">
                  <c:v>3546.1114519029024</c:v>
                </c:pt>
                <c:pt idx="11">
                  <c:v>3488.4244269110809</c:v>
                </c:pt>
                <c:pt idx="12">
                  <c:v>3432.1073215023803</c:v>
                </c:pt>
                <c:pt idx="13">
                  <c:v>3377.1177156132221</c:v>
                </c:pt>
                <c:pt idx="14">
                  <c:v>3323.4147996175552</c:v>
                </c:pt>
                <c:pt idx="15">
                  <c:v>3270.9593022282847</c:v>
                </c:pt>
                <c:pt idx="16">
                  <c:v>3219.7134221045144</c:v>
                </c:pt>
                <c:pt idx="17">
                  <c:v>3169.6407629502296</c:v>
                </c:pt>
                <c:pt idx="18">
                  <c:v>3120.7062719036608</c:v>
                </c:pt>
                <c:pt idx="19">
                  <c:v>3072.8761810294914</c:v>
                </c:pt>
                <c:pt idx="20">
                  <c:v>3026.1179517379082</c:v>
                </c:pt>
                <c:pt idx="21">
                  <c:v>2980.4002219655549</c:v>
                </c:pt>
                <c:pt idx="22">
                  <c:v>2935.6927559638339</c:v>
                </c:pt>
                <c:pt idx="23">
                  <c:v>2891.9663965495147</c:v>
                </c:pt>
                <c:pt idx="24">
                  <c:v>2849.1930196816284</c:v>
                </c:pt>
                <c:pt idx="25">
                  <c:v>2807.3454912369148</c:v>
                </c:pt>
                <c:pt idx="26">
                  <c:v>2766.3976258639318</c:v>
                </c:pt>
                <c:pt idx="27">
                  <c:v>2726.3241478031446</c:v>
                </c:pt>
                <c:pt idx="28">
                  <c:v>2687.100653567104</c:v>
                </c:pt>
                <c:pt idx="29">
                  <c:v>2648.7035763811969</c:v>
                </c:pt>
                <c:pt idx="30">
                  <c:v>2611.1101522913023</c:v>
                </c:pt>
                <c:pt idx="31">
                  <c:v>2574.2983878502669</c:v>
                </c:pt>
                <c:pt idx="32">
                  <c:v>2538.247029300263</c:v>
                </c:pt>
                <c:pt idx="33">
                  <c:v>2502.9355331729466</c:v>
                </c:pt>
                <c:pt idx="34">
                  <c:v>2468.344038233839</c:v>
                </c:pt>
                <c:pt idx="35">
                  <c:v>2434.4533387016131</c:v>
                </c:pt>
                <c:pt idx="36">
                  <c:v>2401.2448586769415</c:v>
                </c:pt>
                <c:pt idx="37">
                  <c:v>2368.7006277192718</c:v>
                </c:pt>
                <c:pt idx="38">
                  <c:v>2336.8032575133811</c:v>
                </c:pt>
                <c:pt idx="39">
                  <c:v>2305.5359195708643</c:v>
                </c:pt>
                <c:pt idx="40">
                  <c:v>2274.8823239147455</c:v>
                </c:pt>
                <c:pt idx="41">
                  <c:v>2244.8266986982894</c:v>
                </c:pt>
                <c:pt idx="42">
                  <c:v>2215.353770711828</c:v>
                </c:pt>
                <c:pt idx="43">
                  <c:v>2186.44874673391</c:v>
                </c:pt>
                <c:pt idx="44">
                  <c:v>2158.097295685508</c:v>
                </c:pt>
                <c:pt idx="45">
                  <c:v>2130.2855315482348</c:v>
                </c:pt>
                <c:pt idx="46">
                  <c:v>2102.9999970096505</c:v>
                </c:pt>
                <c:pt idx="47">
                  <c:v>2076.227647800717</c:v>
                </c:pt>
                <c:pt idx="48">
                  <c:v>2049.9558376923201</c:v>
                </c:pt>
                <c:pt idx="49">
                  <c:v>2024.172304119548</c:v>
                </c:pt>
                <c:pt idx="50">
                  <c:v>1998.8651544040638</c:v>
                </c:pt>
                <c:pt idx="51">
                  <c:v>1974.0228525464645</c:v>
                </c:pt>
                <c:pt idx="52">
                  <c:v>1949.6342065620033</c:v>
                </c:pt>
                <c:pt idx="53">
                  <c:v>1925.6883563344143</c:v>
                </c:pt>
                <c:pt idx="54">
                  <c:v>1902.1747619639009</c:v>
                </c:pt>
                <c:pt idx="55">
                  <c:v>1879.083192586578</c:v>
                </c:pt>
                <c:pt idx="56">
                  <c:v>1856.4037156438185</c:v>
                </c:pt>
                <c:pt idx="57">
                  <c:v>1834.1266865810328</c:v>
                </c:pt>
                <c:pt idx="58">
                  <c:v>1812.2427389564907</c:v>
                </c:pt>
                <c:pt idx="59">
                  <c:v>1790.742774941717</c:v>
                </c:pt>
                <c:pt idx="60">
                  <c:v>1769.6179561959516</c:v>
                </c:pt>
                <c:pt idx="61">
                  <c:v>1748.8596950980339</c:v>
                </c:pt>
                <c:pt idx="62">
                  <c:v>1728.4596463198809</c:v>
                </c:pt>
                <c:pt idx="63">
                  <c:v>1708.4096987265125</c:v>
                </c:pt>
                <c:pt idx="64">
                  <c:v>1688.701967588338</c:v>
                </c:pt>
                <c:pt idx="65">
                  <c:v>1669.3287870920744</c:v>
                </c:pt>
                <c:pt idx="66">
                  <c:v>1650.2827031373638</c:v>
                </c:pt>
                <c:pt idx="67">
                  <c:v>1631.556466406766</c:v>
                </c:pt>
                <c:pt idx="68">
                  <c:v>1613.1430256973888</c:v>
                </c:pt>
                <c:pt idx="69">
                  <c:v>1595.035521502994</c:v>
                </c:pt>
                <c:pt idx="70">
                  <c:v>1577.2272798359409</c:v>
                </c:pt>
                <c:pt idx="71">
                  <c:v>1559.7118062788236</c:v>
                </c:pt>
                <c:pt idx="72">
                  <c:v>1542.4827802561547</c:v>
                </c:pt>
                <c:pt idx="73">
                  <c:v>1525.5340495168809</c:v>
                </c:pt>
                <c:pt idx="74">
                  <c:v>1508.8596248189597</c:v>
                </c:pt>
                <c:pt idx="75">
                  <c:v>1492.4536748076187</c:v>
                </c:pt>
                <c:pt idx="76">
                  <c:v>1476.3105210793306</c:v>
                </c:pt>
                <c:pt idx="77">
                  <c:v>1460.4246334238646</c:v>
                </c:pt>
                <c:pt idx="78">
                  <c:v>1444.7906252371642</c:v>
                </c:pt>
                <c:pt idx="79">
                  <c:v>1429.4032490981044</c:v>
                </c:pt>
                <c:pt idx="80">
                  <c:v>1414.257392502501</c:v>
                </c:pt>
                <c:pt idx="81">
                  <c:v>1399.3480737480611</c:v>
                </c:pt>
                <c:pt idx="82">
                  <c:v>1384.6704379642078</c:v>
                </c:pt>
                <c:pt idx="83">
                  <c:v>1370.2197532810326</c:v>
                </c:pt>
                <c:pt idx="84">
                  <c:v>1355.9914071318403</c:v>
                </c:pt>
                <c:pt idx="85">
                  <c:v>1341.9809026840226</c:v>
                </c:pt>
                <c:pt idx="86">
                  <c:v>1328.1838553932173</c:v>
                </c:pt>
                <c:pt idx="87">
                  <c:v>1314.5959896759362</c:v>
                </c:pt>
                <c:pt idx="88">
                  <c:v>1301.2131356960408</c:v>
                </c:pt>
                <c:pt idx="89">
                  <c:v>1288.0312262606765</c:v>
                </c:pt>
                <c:pt idx="90">
                  <c:v>1275.0462938214237</c:v>
                </c:pt>
                <c:pt idx="91">
                  <c:v>1262.2544675766408</c:v>
                </c:pt>
                <c:pt idx="92">
                  <c:v>1249.6519706711292</c:v>
                </c:pt>
                <c:pt idx="93">
                  <c:v>1237.2351174894256</c:v>
                </c:pt>
                <c:pt idx="94">
                  <c:v>1225.0003110391656</c:v>
                </c:pt>
                <c:pt idx="95">
                  <c:v>1212.9440404211348</c:v>
                </c:pt>
                <c:pt idx="96">
                  <c:v>1201.0628783827578</c:v>
                </c:pt>
                <c:pt idx="97">
                  <c:v>1189.3534789518931</c:v>
                </c:pt>
                <c:pt idx="98">
                  <c:v>1177.8125751479702</c:v>
                </c:pt>
                <c:pt idx="99">
                  <c:v>1166.4369767675912</c:v>
                </c:pt>
                <c:pt idx="100">
                  <c:v>1155.2235682418543</c:v>
                </c:pt>
                <c:pt idx="101">
                  <c:v>1144.1693065627808</c:v>
                </c:pt>
                <c:pt idx="102">
                  <c:v>1133.2712192763008</c:v>
                </c:pt>
                <c:pt idx="103">
                  <c:v>1122.5264025393999</c:v>
                </c:pt>
                <c:pt idx="104">
                  <c:v>1111.9320192390858</c:v>
                </c:pt>
                <c:pt idx="105">
                  <c:v>1101.4852971709583</c:v>
                </c:pt>
                <c:pt idx="106">
                  <c:v>1091.1835272752342</c:v>
                </c:pt>
                <c:pt idx="107">
                  <c:v>1081.024061928184</c:v>
                </c:pt>
                <c:pt idx="108">
                  <c:v>1071.0043132869989</c:v>
                </c:pt>
                <c:pt idx="109">
                  <c:v>1061.1217516862012</c:v>
                </c:pt>
                <c:pt idx="110">
                  <c:v>1051.3739040837763</c:v>
                </c:pt>
                <c:pt idx="111">
                  <c:v>1041.758352555285</c:v>
                </c:pt>
                <c:pt idx="112">
                  <c:v>1032.2727328342646</c:v>
                </c:pt>
                <c:pt idx="113">
                  <c:v>1022.9147328973258</c:v>
                </c:pt>
                <c:pt idx="114">
                  <c:v>1013.6820915923755</c:v>
                </c:pt>
                <c:pt idx="115">
                  <c:v>1004.57259730849</c:v>
                </c:pt>
                <c:pt idx="116">
                  <c:v>995.5840866859952</c:v>
                </c:pt>
                <c:pt idx="117">
                  <c:v>986.71444336538627</c:v>
                </c:pt>
                <c:pt idx="118">
                  <c:v>977.96159677375101</c:v>
                </c:pt>
                <c:pt idx="119">
                  <c:v>969.32352094743237</c:v>
                </c:pt>
                <c:pt idx="120">
                  <c:v>960.7982333896972</c:v>
                </c:pt>
                <c:pt idx="121">
                  <c:v>952.38379396223354</c:v>
                </c:pt>
                <c:pt idx="122">
                  <c:v>944.07830380933956</c:v>
                </c:pt>
                <c:pt idx="123">
                  <c:v>935.87990431371884</c:v>
                </c:pt>
                <c:pt idx="124">
                  <c:v>927.78677608281362</c:v>
                </c:pt>
                <c:pt idx="125">
                  <c:v>919.79713796468127</c:v>
                </c:pt>
                <c:pt idx="126">
                  <c:v>911.90924609242677</c:v>
                </c:pt>
                <c:pt idx="127">
                  <c:v>904.12139295625366</c:v>
                </c:pt>
                <c:pt idx="128">
                  <c:v>896.43190650223232</c:v>
                </c:pt>
                <c:pt idx="129">
                  <c:v>888.83914925690908</c:v>
                </c:pt>
                <c:pt idx="130">
                  <c:v>881.34151747691794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621-4875-B88C-B488B95351CA}"/>
            </c:ext>
          </c:extLst>
        </c:ser>
        <c:ser>
          <c:idx val="4"/>
          <c:order val="4"/>
          <c:tx>
            <c:strRef>
              <c:f>'sheet 1'!$R$40</c:f>
              <c:strCache>
                <c:ptCount val="1"/>
                <c:pt idx="0">
                  <c:v>I3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1'!$B$41:$B$843</c:f>
              <c:numCache>
                <c:formatCode>General</c:formatCode>
                <c:ptCount val="803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1'!$R$41:$R$843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621-4875-B88C-B488B95351CA}"/>
            </c:ext>
          </c:extLst>
        </c:ser>
        <c:ser>
          <c:idx val="5"/>
          <c:order val="5"/>
          <c:tx>
            <c:strRef>
              <c:f>'sheet 1'!$S$40</c:f>
              <c:strCache>
                <c:ptCount val="1"/>
                <c:pt idx="0">
                  <c:v>I4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1'!$B$41:$B$843</c:f>
              <c:numCache>
                <c:formatCode>General</c:formatCode>
                <c:ptCount val="803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1'!$S$41:$S$843</c:f>
              <c:numCache>
                <c:formatCode>General</c:formatCode>
                <c:ptCount val="80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621-4875-B88C-B488B95351CA}"/>
            </c:ext>
          </c:extLst>
        </c:ser>
        <c:ser>
          <c:idx val="6"/>
          <c:order val="6"/>
          <c:tx>
            <c:strRef>
              <c:f>'sheet 1'!$T$40</c:f>
              <c:strCache>
                <c:ptCount val="1"/>
                <c:pt idx="0">
                  <c:v>I5</c:v>
                </c:pt>
              </c:strCache>
            </c:strRef>
          </c:tx>
          <c:spPr>
            <a:ln w="28575">
              <a:noFill/>
            </a:ln>
          </c:spPr>
          <c:xVal>
            <c:numRef>
              <c:f>'sheet 1'!$B$41:$B$843</c:f>
              <c:numCache>
                <c:formatCode>General</c:formatCode>
                <c:ptCount val="803"/>
                <c:pt idx="0">
                  <c:v>0</c:v>
                </c:pt>
                <c:pt idx="1">
                  <c:v>1.1363636363636362</c:v>
                </c:pt>
                <c:pt idx="2">
                  <c:v>2.2727272727272729</c:v>
                </c:pt>
                <c:pt idx="3">
                  <c:v>3.4090909090909087</c:v>
                </c:pt>
                <c:pt idx="4">
                  <c:v>4.545454545454545</c:v>
                </c:pt>
                <c:pt idx="5">
                  <c:v>5.6818181818181817</c:v>
                </c:pt>
                <c:pt idx="6">
                  <c:v>6.8181818181818183</c:v>
                </c:pt>
                <c:pt idx="7">
                  <c:v>7.9545454545454533</c:v>
                </c:pt>
                <c:pt idx="8">
                  <c:v>9.0909090909090899</c:v>
                </c:pt>
                <c:pt idx="9">
                  <c:v>10.227272727272727</c:v>
                </c:pt>
                <c:pt idx="10">
                  <c:v>11.363636363636363</c:v>
                </c:pt>
                <c:pt idx="11">
                  <c:v>12.499999999999998</c:v>
                </c:pt>
                <c:pt idx="12">
                  <c:v>13.636363636363637</c:v>
                </c:pt>
                <c:pt idx="13">
                  <c:v>14.77272727272727</c:v>
                </c:pt>
                <c:pt idx="14">
                  <c:v>15.90909090909091</c:v>
                </c:pt>
                <c:pt idx="15">
                  <c:v>17.045454545454543</c:v>
                </c:pt>
                <c:pt idx="16">
                  <c:v>18.18181818181818</c:v>
                </c:pt>
                <c:pt idx="17">
                  <c:v>19.31818181818182</c:v>
                </c:pt>
                <c:pt idx="18">
                  <c:v>20.454545454545453</c:v>
                </c:pt>
                <c:pt idx="19">
                  <c:v>21.59090909090909</c:v>
                </c:pt>
                <c:pt idx="20">
                  <c:v>22.727272727272727</c:v>
                </c:pt>
                <c:pt idx="21">
                  <c:v>23.863636363636363</c:v>
                </c:pt>
                <c:pt idx="22">
                  <c:v>25</c:v>
                </c:pt>
                <c:pt idx="23">
                  <c:v>26.136363636363637</c:v>
                </c:pt>
                <c:pt idx="24">
                  <c:v>27.27272727272727</c:v>
                </c:pt>
                <c:pt idx="25">
                  <c:v>28.40909090909091</c:v>
                </c:pt>
                <c:pt idx="26">
                  <c:v>29.545454545454547</c:v>
                </c:pt>
                <c:pt idx="27">
                  <c:v>30.68181818181818</c:v>
                </c:pt>
                <c:pt idx="28">
                  <c:v>31.818181818181813</c:v>
                </c:pt>
                <c:pt idx="29">
                  <c:v>32.954545454545453</c:v>
                </c:pt>
                <c:pt idx="30">
                  <c:v>34.090909090909093</c:v>
                </c:pt>
                <c:pt idx="31">
                  <c:v>35.227272727272727</c:v>
                </c:pt>
                <c:pt idx="32">
                  <c:v>36.36363636363636</c:v>
                </c:pt>
                <c:pt idx="33">
                  <c:v>37.5</c:v>
                </c:pt>
                <c:pt idx="34">
                  <c:v>38.636363636363633</c:v>
                </c:pt>
                <c:pt idx="35">
                  <c:v>39.772727272727266</c:v>
                </c:pt>
                <c:pt idx="36">
                  <c:v>40.909090909090914</c:v>
                </c:pt>
                <c:pt idx="37">
                  <c:v>42.045454545454547</c:v>
                </c:pt>
                <c:pt idx="38">
                  <c:v>43.18181818181818</c:v>
                </c:pt>
                <c:pt idx="39">
                  <c:v>44.31818181818182</c:v>
                </c:pt>
                <c:pt idx="40">
                  <c:v>45.454545454545453</c:v>
                </c:pt>
                <c:pt idx="41">
                  <c:v>46.590909090909086</c:v>
                </c:pt>
                <c:pt idx="42">
                  <c:v>47.727272727272727</c:v>
                </c:pt>
                <c:pt idx="43">
                  <c:v>48.86363636363636</c:v>
                </c:pt>
                <c:pt idx="44">
                  <c:v>50</c:v>
                </c:pt>
                <c:pt idx="45">
                  <c:v>51.13636363636364</c:v>
                </c:pt>
                <c:pt idx="46">
                  <c:v>52.272727272727273</c:v>
                </c:pt>
                <c:pt idx="47">
                  <c:v>53.409090909090907</c:v>
                </c:pt>
                <c:pt idx="48">
                  <c:v>54.545454545454547</c:v>
                </c:pt>
                <c:pt idx="49">
                  <c:v>55.68181818181818</c:v>
                </c:pt>
                <c:pt idx="50">
                  <c:v>56.818181818181813</c:v>
                </c:pt>
                <c:pt idx="51">
                  <c:v>57.954545454545453</c:v>
                </c:pt>
                <c:pt idx="52">
                  <c:v>59.090909090909093</c:v>
                </c:pt>
                <c:pt idx="53">
                  <c:v>60.227272727272727</c:v>
                </c:pt>
                <c:pt idx="54">
                  <c:v>61.363636363636367</c:v>
                </c:pt>
                <c:pt idx="55">
                  <c:v>62.500000000000007</c:v>
                </c:pt>
                <c:pt idx="56">
                  <c:v>63.636363636363633</c:v>
                </c:pt>
                <c:pt idx="57">
                  <c:v>64.77272727272728</c:v>
                </c:pt>
                <c:pt idx="58">
                  <c:v>65.909090909090907</c:v>
                </c:pt>
                <c:pt idx="59">
                  <c:v>67.045454545454547</c:v>
                </c:pt>
                <c:pt idx="60">
                  <c:v>68.181818181818187</c:v>
                </c:pt>
                <c:pt idx="61">
                  <c:v>69.318181818181827</c:v>
                </c:pt>
                <c:pt idx="62">
                  <c:v>70.454545454545467</c:v>
                </c:pt>
                <c:pt idx="63">
                  <c:v>71.590909090909093</c:v>
                </c:pt>
                <c:pt idx="64">
                  <c:v>72.727272727272734</c:v>
                </c:pt>
                <c:pt idx="65">
                  <c:v>73.863636363636374</c:v>
                </c:pt>
                <c:pt idx="66">
                  <c:v>75</c:v>
                </c:pt>
                <c:pt idx="67">
                  <c:v>76.13636363636364</c:v>
                </c:pt>
                <c:pt idx="68">
                  <c:v>77.27272727272728</c:v>
                </c:pt>
                <c:pt idx="69">
                  <c:v>78.409090909090907</c:v>
                </c:pt>
                <c:pt idx="70">
                  <c:v>79.545454545454547</c:v>
                </c:pt>
                <c:pt idx="71">
                  <c:v>80.681818181818187</c:v>
                </c:pt>
                <c:pt idx="72">
                  <c:v>81.818181818181813</c:v>
                </c:pt>
                <c:pt idx="73">
                  <c:v>82.954545454545467</c:v>
                </c:pt>
                <c:pt idx="74">
                  <c:v>84.090909090909108</c:v>
                </c:pt>
                <c:pt idx="75">
                  <c:v>85.227272727272734</c:v>
                </c:pt>
                <c:pt idx="76">
                  <c:v>86.363636363636374</c:v>
                </c:pt>
                <c:pt idx="77">
                  <c:v>87.500000000000014</c:v>
                </c:pt>
                <c:pt idx="78">
                  <c:v>88.63636363636364</c:v>
                </c:pt>
                <c:pt idx="79">
                  <c:v>89.77272727272728</c:v>
                </c:pt>
                <c:pt idx="80">
                  <c:v>90.909090909090921</c:v>
                </c:pt>
                <c:pt idx="81">
                  <c:v>92.045454545454547</c:v>
                </c:pt>
                <c:pt idx="82">
                  <c:v>93.181818181818187</c:v>
                </c:pt>
                <c:pt idx="83">
                  <c:v>94.318181818181827</c:v>
                </c:pt>
                <c:pt idx="84">
                  <c:v>95.454545454545453</c:v>
                </c:pt>
                <c:pt idx="85">
                  <c:v>96.590909090909093</c:v>
                </c:pt>
                <c:pt idx="86">
                  <c:v>97.727272727272734</c:v>
                </c:pt>
                <c:pt idx="87">
                  <c:v>98.86363636363636</c:v>
                </c:pt>
                <c:pt idx="88">
                  <c:v>100</c:v>
                </c:pt>
                <c:pt idx="89">
                  <c:v>101.13636363636365</c:v>
                </c:pt>
                <c:pt idx="90">
                  <c:v>102.27272727272728</c:v>
                </c:pt>
                <c:pt idx="91">
                  <c:v>103.40909090909092</c:v>
                </c:pt>
                <c:pt idx="92">
                  <c:v>104.54545454545456</c:v>
                </c:pt>
                <c:pt idx="93">
                  <c:v>105.68181818181819</c:v>
                </c:pt>
                <c:pt idx="94">
                  <c:v>106.81818181818183</c:v>
                </c:pt>
                <c:pt idx="95">
                  <c:v>107.95454545454547</c:v>
                </c:pt>
                <c:pt idx="96">
                  <c:v>109.09090909090909</c:v>
                </c:pt>
                <c:pt idx="97">
                  <c:v>110.22727272727273</c:v>
                </c:pt>
                <c:pt idx="98">
                  <c:v>111.36363636363637</c:v>
                </c:pt>
                <c:pt idx="99">
                  <c:v>112.5</c:v>
                </c:pt>
                <c:pt idx="100">
                  <c:v>113.63636363636364</c:v>
                </c:pt>
                <c:pt idx="101">
                  <c:v>114.77272727272728</c:v>
                </c:pt>
                <c:pt idx="102">
                  <c:v>115.90909090909091</c:v>
                </c:pt>
                <c:pt idx="103">
                  <c:v>117.04545454545455</c:v>
                </c:pt>
                <c:pt idx="104">
                  <c:v>118.18181818181819</c:v>
                </c:pt>
                <c:pt idx="105">
                  <c:v>119.31818181818181</c:v>
                </c:pt>
                <c:pt idx="106">
                  <c:v>120.45454545454547</c:v>
                </c:pt>
                <c:pt idx="107">
                  <c:v>121.59090909090911</c:v>
                </c:pt>
                <c:pt idx="108">
                  <c:v>122.72727272727273</c:v>
                </c:pt>
                <c:pt idx="109">
                  <c:v>123.86363636363637</c:v>
                </c:pt>
                <c:pt idx="110">
                  <c:v>125.00000000000001</c:v>
                </c:pt>
                <c:pt idx="111">
                  <c:v>126.13636363636364</c:v>
                </c:pt>
                <c:pt idx="112">
                  <c:v>127.27272727272729</c:v>
                </c:pt>
                <c:pt idx="113">
                  <c:v>128.40909090909091</c:v>
                </c:pt>
                <c:pt idx="114">
                  <c:v>129.54545454545453</c:v>
                </c:pt>
                <c:pt idx="115">
                  <c:v>130.68181818181816</c:v>
                </c:pt>
                <c:pt idx="116">
                  <c:v>131.81818181818181</c:v>
                </c:pt>
                <c:pt idx="117">
                  <c:v>132.95454545454544</c:v>
                </c:pt>
                <c:pt idx="118">
                  <c:v>134.09090909090907</c:v>
                </c:pt>
                <c:pt idx="119">
                  <c:v>135.22727272727272</c:v>
                </c:pt>
                <c:pt idx="120">
                  <c:v>136.36363636363635</c:v>
                </c:pt>
                <c:pt idx="121">
                  <c:v>137.49999999999997</c:v>
                </c:pt>
                <c:pt idx="122">
                  <c:v>138.63636363636363</c:v>
                </c:pt>
                <c:pt idx="123">
                  <c:v>139.77272727272728</c:v>
                </c:pt>
                <c:pt idx="124">
                  <c:v>140.90909090909091</c:v>
                </c:pt>
                <c:pt idx="125">
                  <c:v>142.04545454545453</c:v>
                </c:pt>
                <c:pt idx="126">
                  <c:v>143.18181818181819</c:v>
                </c:pt>
                <c:pt idx="127">
                  <c:v>144.31818181818181</c:v>
                </c:pt>
                <c:pt idx="128">
                  <c:v>145.45454545454544</c:v>
                </c:pt>
                <c:pt idx="129">
                  <c:v>146.59090909090909</c:v>
                </c:pt>
                <c:pt idx="130">
                  <c:v>147.72727272727272</c:v>
                </c:pt>
              </c:numCache>
            </c:numRef>
          </c:xVal>
          <c:yVal>
            <c:numRef>
              <c:f>'sheet 1'!$T$41:$T$843</c:f>
              <c:numCache>
                <c:formatCode>General</c:formatCode>
                <c:ptCount val="803"/>
                <c:pt idx="0">
                  <c:v>50</c:v>
                </c:pt>
                <c:pt idx="1">
                  <c:v>50</c:v>
                </c:pt>
                <c:pt idx="2">
                  <c:v>50</c:v>
                </c:pt>
                <c:pt idx="3">
                  <c:v>50</c:v>
                </c:pt>
                <c:pt idx="4">
                  <c:v>50</c:v>
                </c:pt>
                <c:pt idx="5">
                  <c:v>50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50</c:v>
                </c:pt>
                <c:pt idx="10">
                  <c:v>50</c:v>
                </c:pt>
                <c:pt idx="11">
                  <c:v>50</c:v>
                </c:pt>
                <c:pt idx="12">
                  <c:v>50</c:v>
                </c:pt>
                <c:pt idx="13">
                  <c:v>50</c:v>
                </c:pt>
                <c:pt idx="14">
                  <c:v>50</c:v>
                </c:pt>
                <c:pt idx="15">
                  <c:v>50</c:v>
                </c:pt>
                <c:pt idx="16">
                  <c:v>50</c:v>
                </c:pt>
                <c:pt idx="17">
                  <c:v>50</c:v>
                </c:pt>
                <c:pt idx="18">
                  <c:v>50</c:v>
                </c:pt>
                <c:pt idx="19">
                  <c:v>50</c:v>
                </c:pt>
                <c:pt idx="20">
                  <c:v>50</c:v>
                </c:pt>
                <c:pt idx="21">
                  <c:v>50</c:v>
                </c:pt>
                <c:pt idx="22">
                  <c:v>50</c:v>
                </c:pt>
                <c:pt idx="23">
                  <c:v>50</c:v>
                </c:pt>
                <c:pt idx="24">
                  <c:v>50</c:v>
                </c:pt>
                <c:pt idx="25">
                  <c:v>50</c:v>
                </c:pt>
                <c:pt idx="26">
                  <c:v>50</c:v>
                </c:pt>
                <c:pt idx="27">
                  <c:v>50</c:v>
                </c:pt>
                <c:pt idx="28">
                  <c:v>50</c:v>
                </c:pt>
                <c:pt idx="29">
                  <c:v>50</c:v>
                </c:pt>
                <c:pt idx="30">
                  <c:v>50</c:v>
                </c:pt>
                <c:pt idx="31">
                  <c:v>50</c:v>
                </c:pt>
                <c:pt idx="32">
                  <c:v>50</c:v>
                </c:pt>
                <c:pt idx="33">
                  <c:v>50</c:v>
                </c:pt>
                <c:pt idx="34">
                  <c:v>50</c:v>
                </c:pt>
                <c:pt idx="35">
                  <c:v>50</c:v>
                </c:pt>
                <c:pt idx="36">
                  <c:v>50</c:v>
                </c:pt>
                <c:pt idx="37">
                  <c:v>50</c:v>
                </c:pt>
                <c:pt idx="38">
                  <c:v>50</c:v>
                </c:pt>
                <c:pt idx="39">
                  <c:v>50</c:v>
                </c:pt>
                <c:pt idx="40">
                  <c:v>50</c:v>
                </c:pt>
                <c:pt idx="41">
                  <c:v>50</c:v>
                </c:pt>
                <c:pt idx="42">
                  <c:v>50</c:v>
                </c:pt>
                <c:pt idx="43">
                  <c:v>50</c:v>
                </c:pt>
                <c:pt idx="44">
                  <c:v>50</c:v>
                </c:pt>
                <c:pt idx="45">
                  <c:v>50</c:v>
                </c:pt>
                <c:pt idx="46">
                  <c:v>50</c:v>
                </c:pt>
                <c:pt idx="47">
                  <c:v>50</c:v>
                </c:pt>
                <c:pt idx="48">
                  <c:v>50</c:v>
                </c:pt>
                <c:pt idx="49">
                  <c:v>50</c:v>
                </c:pt>
                <c:pt idx="50">
                  <c:v>50</c:v>
                </c:pt>
                <c:pt idx="51">
                  <c:v>50</c:v>
                </c:pt>
                <c:pt idx="52">
                  <c:v>50</c:v>
                </c:pt>
                <c:pt idx="53">
                  <c:v>50</c:v>
                </c:pt>
                <c:pt idx="54">
                  <c:v>50</c:v>
                </c:pt>
                <c:pt idx="55">
                  <c:v>50</c:v>
                </c:pt>
                <c:pt idx="56">
                  <c:v>50</c:v>
                </c:pt>
                <c:pt idx="57">
                  <c:v>50</c:v>
                </c:pt>
                <c:pt idx="58">
                  <c:v>50</c:v>
                </c:pt>
                <c:pt idx="59">
                  <c:v>50</c:v>
                </c:pt>
                <c:pt idx="60">
                  <c:v>50</c:v>
                </c:pt>
                <c:pt idx="61">
                  <c:v>50</c:v>
                </c:pt>
                <c:pt idx="62">
                  <c:v>50</c:v>
                </c:pt>
                <c:pt idx="63">
                  <c:v>50</c:v>
                </c:pt>
                <c:pt idx="64">
                  <c:v>50</c:v>
                </c:pt>
                <c:pt idx="65">
                  <c:v>50</c:v>
                </c:pt>
                <c:pt idx="66">
                  <c:v>50</c:v>
                </c:pt>
                <c:pt idx="67">
                  <c:v>50</c:v>
                </c:pt>
                <c:pt idx="68">
                  <c:v>50</c:v>
                </c:pt>
                <c:pt idx="69">
                  <c:v>50</c:v>
                </c:pt>
                <c:pt idx="70">
                  <c:v>50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50</c:v>
                </c:pt>
                <c:pt idx="77">
                  <c:v>50</c:v>
                </c:pt>
                <c:pt idx="78">
                  <c:v>50</c:v>
                </c:pt>
                <c:pt idx="79">
                  <c:v>50</c:v>
                </c:pt>
                <c:pt idx="80">
                  <c:v>50</c:v>
                </c:pt>
                <c:pt idx="81">
                  <c:v>50</c:v>
                </c:pt>
                <c:pt idx="82">
                  <c:v>50</c:v>
                </c:pt>
                <c:pt idx="83">
                  <c:v>50</c:v>
                </c:pt>
                <c:pt idx="84">
                  <c:v>50</c:v>
                </c:pt>
                <c:pt idx="85">
                  <c:v>50</c:v>
                </c:pt>
                <c:pt idx="86">
                  <c:v>50</c:v>
                </c:pt>
                <c:pt idx="87">
                  <c:v>50</c:v>
                </c:pt>
                <c:pt idx="88">
                  <c:v>50</c:v>
                </c:pt>
                <c:pt idx="89">
                  <c:v>50</c:v>
                </c:pt>
                <c:pt idx="90">
                  <c:v>50</c:v>
                </c:pt>
                <c:pt idx="91">
                  <c:v>50</c:v>
                </c:pt>
                <c:pt idx="92">
                  <c:v>50</c:v>
                </c:pt>
                <c:pt idx="93">
                  <c:v>50</c:v>
                </c:pt>
                <c:pt idx="94">
                  <c:v>50</c:v>
                </c:pt>
                <c:pt idx="95">
                  <c:v>50</c:v>
                </c:pt>
                <c:pt idx="96">
                  <c:v>50</c:v>
                </c:pt>
                <c:pt idx="97">
                  <c:v>50</c:v>
                </c:pt>
                <c:pt idx="98">
                  <c:v>50</c:v>
                </c:pt>
                <c:pt idx="99">
                  <c:v>50</c:v>
                </c:pt>
                <c:pt idx="100">
                  <c:v>50</c:v>
                </c:pt>
                <c:pt idx="101">
                  <c:v>50</c:v>
                </c:pt>
                <c:pt idx="102">
                  <c:v>50</c:v>
                </c:pt>
                <c:pt idx="103">
                  <c:v>50</c:v>
                </c:pt>
                <c:pt idx="104">
                  <c:v>50</c:v>
                </c:pt>
                <c:pt idx="105">
                  <c:v>50</c:v>
                </c:pt>
                <c:pt idx="106">
                  <c:v>50</c:v>
                </c:pt>
                <c:pt idx="107">
                  <c:v>50</c:v>
                </c:pt>
                <c:pt idx="108">
                  <c:v>50</c:v>
                </c:pt>
                <c:pt idx="109">
                  <c:v>50</c:v>
                </c:pt>
                <c:pt idx="110">
                  <c:v>50</c:v>
                </c:pt>
                <c:pt idx="111">
                  <c:v>50</c:v>
                </c:pt>
                <c:pt idx="112">
                  <c:v>50</c:v>
                </c:pt>
                <c:pt idx="113">
                  <c:v>50</c:v>
                </c:pt>
                <c:pt idx="114">
                  <c:v>50</c:v>
                </c:pt>
                <c:pt idx="115">
                  <c:v>50</c:v>
                </c:pt>
                <c:pt idx="116">
                  <c:v>50</c:v>
                </c:pt>
                <c:pt idx="117">
                  <c:v>50</c:v>
                </c:pt>
                <c:pt idx="118">
                  <c:v>50</c:v>
                </c:pt>
                <c:pt idx="119">
                  <c:v>50</c:v>
                </c:pt>
                <c:pt idx="120">
                  <c:v>50</c:v>
                </c:pt>
                <c:pt idx="121">
                  <c:v>50</c:v>
                </c:pt>
                <c:pt idx="122">
                  <c:v>50</c:v>
                </c:pt>
                <c:pt idx="123">
                  <c:v>50</c:v>
                </c:pt>
                <c:pt idx="124">
                  <c:v>50</c:v>
                </c:pt>
                <c:pt idx="125">
                  <c:v>50</c:v>
                </c:pt>
                <c:pt idx="126">
                  <c:v>50</c:v>
                </c:pt>
                <c:pt idx="127">
                  <c:v>50</c:v>
                </c:pt>
                <c:pt idx="128">
                  <c:v>50</c:v>
                </c:pt>
                <c:pt idx="129">
                  <c:v>50</c:v>
                </c:pt>
                <c:pt idx="130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0621-4875-B88C-B488B9535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29312"/>
        <c:axId val="90530176"/>
      </c:scatterChart>
      <c:valAx>
        <c:axId val="868293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Τ(</a:t>
                </a:r>
                <a:r>
                  <a:rPr lang="en-US"/>
                  <a:t>s)</a:t>
                </a:r>
                <a:endParaRPr lang="el-GR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crossAx val="90530176"/>
        <c:crosses val="autoZero"/>
        <c:crossBetween val="midCat"/>
      </c:valAx>
      <c:valAx>
        <c:axId val="9053017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CW OSL Intensity (au)</a:t>
                </a:r>
                <a:endParaRPr lang="el-GR"/>
              </a:p>
            </c:rich>
          </c:tx>
          <c:layout>
            <c:manualLayout>
              <c:xMode val="edge"/>
              <c:yMode val="edge"/>
              <c:x val="4.3158727241506517E-2"/>
              <c:y val="0.34912898595704095"/>
            </c:manualLayout>
          </c:layout>
          <c:overlay val="0"/>
        </c:title>
        <c:numFmt formatCode="General" sourceLinked="1"/>
        <c:majorTickMark val="none"/>
        <c:minorTickMark val="none"/>
        <c:tickLblPos val="nextTo"/>
        <c:crossAx val="868293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142874</xdr:colOff>
      <xdr:row>2</xdr:row>
      <xdr:rowOff>33867</xdr:rowOff>
    </xdr:from>
    <xdr:to>
      <xdr:col>5</xdr:col>
      <xdr:colOff>585612</xdr:colOff>
      <xdr:row>13</xdr:row>
      <xdr:rowOff>70555</xdr:rowOff>
    </xdr:to>
    <xdr:sp macro="" textlink="">
      <xdr:nvSpPr>
        <xdr:cNvPr id="2" name="1 - TextBox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49652" y="400756"/>
          <a:ext cx="3935238" cy="2054577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rtlCol="0" anchor="t"/>
        <a:lstStyle/>
        <a:p>
          <a:r>
            <a:rPr lang="en-US" sz="1100" b="1" u="sng"/>
            <a:t>CW - OSL fitting</a:t>
          </a:r>
          <a:r>
            <a:rPr lang="en-US" sz="1100" b="1" u="sng" baseline="0"/>
            <a:t> with Lambert W0 function:</a:t>
          </a:r>
        </a:p>
        <a:p>
          <a:endParaRPr lang="en-US" sz="1100" b="1" baseline="0"/>
        </a:p>
        <a:p>
          <a:r>
            <a:rPr lang="en-US" sz="1100" b="1" baseline="0"/>
            <a:t>r=AD/am</a:t>
          </a:r>
        </a:p>
        <a:p>
          <a:endParaRPr lang="en-US" sz="1100" b="1" baseline="0"/>
        </a:p>
        <a:p>
          <a:r>
            <a:rPr lang="en-US" sz="1100" b="1" baseline="0"/>
            <a:t>zi=r/n0-ln[n0/r]+</a:t>
          </a:r>
          <a:r>
            <a:rPr lang="el-GR" sz="1100" b="1" baseline="0"/>
            <a:t>λ</a:t>
          </a:r>
          <a:r>
            <a:rPr lang="en-US" sz="1100" b="1" baseline="0"/>
            <a:t>t </a:t>
          </a:r>
        </a:p>
        <a:p>
          <a:endParaRPr lang="en-US" sz="1100" b="1" baseline="0"/>
        </a:p>
        <a:p>
          <a:r>
            <a:rPr lang="en-US" sz="1100" b="1" baseline="0"/>
            <a:t>C=r/n0</a:t>
          </a:r>
        </a:p>
        <a:p>
          <a:endParaRPr lang="en-US" sz="1100" b="1" baseline="0"/>
        </a:p>
        <a:p>
          <a:r>
            <a:rPr lang="en-US" sz="1100" b="1" baseline="0"/>
            <a:t>I0=</a:t>
          </a:r>
          <a:r>
            <a:rPr lang="el-GR" sz="1100" b="1" baseline="0"/>
            <a:t>λ*</a:t>
          </a:r>
          <a:r>
            <a:rPr lang="en-US" sz="1100" b="1" baseline="0"/>
            <a:t>r</a:t>
          </a:r>
        </a:p>
        <a:p>
          <a:endParaRPr lang="en-US" sz="1100" b="1" baseline="0"/>
        </a:p>
        <a:p>
          <a:r>
            <a:rPr lang="en-US" sz="1100" b="1" baseline="0"/>
            <a:t>Itot= </a:t>
          </a:r>
          <a:r>
            <a:rPr lang="el-GR" sz="1100" b="1" baseline="0"/>
            <a:t>Σ</a:t>
          </a:r>
          <a:r>
            <a:rPr lang="en-US" sz="1100" b="1" baseline="0"/>
            <a:t>(Ii)=[I01</a:t>
          </a:r>
          <a:r>
            <a:rPr lang="el-GR" sz="1100" b="1" baseline="0"/>
            <a:t>/</a:t>
          </a:r>
          <a:r>
            <a:rPr lang="en-US" sz="1100" b="1" baseline="0"/>
            <a:t>(W(e^z1)+W(e^z1)^2)+ I02</a:t>
          </a:r>
          <a:r>
            <a:rPr lang="el-GR" sz="1100" b="1" baseline="0"/>
            <a:t>/(</a:t>
          </a:r>
          <a:r>
            <a:rPr lang="en-US" sz="1100" b="1" baseline="0"/>
            <a:t>W(e^z2)+W(e^z2)+...</a:t>
          </a:r>
          <a:endParaRPr lang="el-GR" sz="1100" b="1"/>
        </a:p>
      </xdr:txBody>
    </xdr:sp>
    <xdr:clientData/>
  </xdr:twoCellAnchor>
  <xdr:twoCellAnchor>
    <xdr:from>
      <xdr:col>8</xdr:col>
      <xdr:colOff>61740</xdr:colOff>
      <xdr:row>2</xdr:row>
      <xdr:rowOff>178503</xdr:rowOff>
    </xdr:from>
    <xdr:to>
      <xdr:col>19</xdr:col>
      <xdr:colOff>214495</xdr:colOff>
      <xdr:row>32</xdr:row>
      <xdr:rowOff>39509</xdr:rowOff>
    </xdr:to>
    <xdr:graphicFrame macro="">
      <xdr:nvGraphicFramePr>
        <xdr:cNvPr id="4" name="3 - Γράφημα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____2"/>
  <dimension ref="A2:AB840"/>
  <sheetViews>
    <sheetView tabSelected="1" zoomScale="90" zoomScaleNormal="90" workbookViewId="0">
      <selection activeCell="D21" sqref="D21:D23"/>
    </sheetView>
  </sheetViews>
  <sheetFormatPr defaultRowHeight="14.5" x14ac:dyDescent="0.35"/>
  <cols>
    <col min="1" max="1" width="11" bestFit="1" customWidth="1"/>
    <col min="2" max="3" width="14.453125" customWidth="1"/>
    <col min="4" max="4" width="12" bestFit="1" customWidth="1"/>
    <col min="5" max="5" width="11.08984375" customWidth="1"/>
    <col min="9" max="9" width="5.90625" customWidth="1"/>
    <col min="10" max="10" width="12" customWidth="1"/>
    <col min="11" max="11" width="13" customWidth="1"/>
    <col min="12" max="12" width="14.08984375" customWidth="1"/>
    <col min="13" max="13" width="15.54296875" customWidth="1"/>
    <col min="14" max="14" width="14" customWidth="1"/>
    <col min="15" max="15" width="5.90625" customWidth="1"/>
    <col min="16" max="16" width="12" bestFit="1" customWidth="1"/>
    <col min="21" max="21" width="4.6328125" customWidth="1"/>
    <col min="22" max="22" width="15.453125" customWidth="1"/>
    <col min="23" max="23" width="6.08984375" customWidth="1"/>
    <col min="24" max="24" width="23.36328125" customWidth="1"/>
    <col min="25" max="25" width="19.54296875" customWidth="1"/>
    <col min="26" max="26" width="12.1796875" bestFit="1" customWidth="1"/>
  </cols>
  <sheetData>
    <row r="2" spans="3:11" x14ac:dyDescent="0.35">
      <c r="K2" s="13"/>
    </row>
    <row r="3" spans="3:11" x14ac:dyDescent="0.35">
      <c r="K3" s="14"/>
    </row>
    <row r="4" spans="3:11" x14ac:dyDescent="0.35">
      <c r="K4" s="14"/>
    </row>
    <row r="5" spans="3:11" x14ac:dyDescent="0.35">
      <c r="K5" s="14"/>
    </row>
    <row r="6" spans="3:11" x14ac:dyDescent="0.35">
      <c r="K6" s="14"/>
    </row>
    <row r="16" spans="3:11" x14ac:dyDescent="0.35">
      <c r="C16" s="21"/>
    </row>
    <row r="17" spans="1:7" ht="15" customHeight="1" x14ac:dyDescent="0.35">
      <c r="D17" s="18"/>
    </row>
    <row r="19" spans="1:7" x14ac:dyDescent="0.35">
      <c r="E19" s="17" t="s">
        <v>29</v>
      </c>
    </row>
    <row r="20" spans="1:7" x14ac:dyDescent="0.35">
      <c r="A20" s="16" t="s">
        <v>28</v>
      </c>
      <c r="B20" s="8"/>
      <c r="C20" s="1">
        <v>1</v>
      </c>
      <c r="D20" s="1">
        <v>2</v>
      </c>
      <c r="E20" s="1">
        <v>3</v>
      </c>
      <c r="F20" s="1">
        <v>4</v>
      </c>
      <c r="G20" s="1">
        <v>5</v>
      </c>
    </row>
    <row r="21" spans="1:7" x14ac:dyDescent="0.35">
      <c r="A21" s="18">
        <v>1000000</v>
      </c>
      <c r="B21" s="6" t="s">
        <v>34</v>
      </c>
      <c r="C21">
        <v>1.9850840141346707E-3</v>
      </c>
      <c r="D21">
        <v>1.0048249013078865</v>
      </c>
      <c r="E21">
        <v>0</v>
      </c>
      <c r="F21">
        <v>0</v>
      </c>
      <c r="G21">
        <v>0</v>
      </c>
    </row>
    <row r="22" spans="1:7" x14ac:dyDescent="0.35">
      <c r="B22" s="6" t="s">
        <v>0</v>
      </c>
      <c r="C22">
        <v>1.6971665893003765E-2</v>
      </c>
      <c r="D22" s="19">
        <v>0.12935597858036893</v>
      </c>
      <c r="E22">
        <v>0.1</v>
      </c>
      <c r="F22">
        <v>0.1</v>
      </c>
      <c r="G22">
        <v>0.1</v>
      </c>
    </row>
    <row r="23" spans="1:7" x14ac:dyDescent="0.35">
      <c r="A23" s="18">
        <v>1</v>
      </c>
      <c r="B23" s="6" t="s">
        <v>33</v>
      </c>
      <c r="C23">
        <v>0.13498155053080804</v>
      </c>
      <c r="D23" s="19">
        <v>14.959099763228068</v>
      </c>
      <c r="E23">
        <v>0.1</v>
      </c>
      <c r="F23">
        <v>0.1</v>
      </c>
      <c r="G23">
        <v>0.1</v>
      </c>
    </row>
    <row r="24" spans="1:7" x14ac:dyDescent="0.35">
      <c r="C24" s="20"/>
      <c r="G24" s="15"/>
    </row>
    <row r="25" spans="1:7" x14ac:dyDescent="0.35">
      <c r="B25" s="6" t="s">
        <v>35</v>
      </c>
      <c r="C25" s="22">
        <f>(C21*$A$21)/C22</f>
        <v>116964.59420362397</v>
      </c>
      <c r="D25" s="22">
        <f>(D21*$A$21)/D22</f>
        <v>7767904.6019785497</v>
      </c>
      <c r="E25" s="22">
        <f t="shared" ref="E25:G25" si="0">(E21*$A$21)/E22</f>
        <v>0</v>
      </c>
      <c r="F25" s="22">
        <f t="shared" si="0"/>
        <v>0</v>
      </c>
      <c r="G25" s="22">
        <f t="shared" si="0"/>
        <v>0</v>
      </c>
    </row>
    <row r="26" spans="1:7" x14ac:dyDescent="0.35">
      <c r="B26" s="6" t="s">
        <v>36</v>
      </c>
      <c r="C26" s="22">
        <f>C25/(C23*$A$23)</f>
        <v>866522.82288702927</v>
      </c>
      <c r="D26" s="22">
        <f>D25/(D23*$A$23)</f>
        <v>519276.20812272001</v>
      </c>
      <c r="E26" s="22">
        <f t="shared" ref="E26:G26" si="1">E25/(E23*$A$23)</f>
        <v>0</v>
      </c>
      <c r="F26" s="22">
        <f t="shared" si="1"/>
        <v>0</v>
      </c>
      <c r="G26" s="22">
        <f t="shared" si="1"/>
        <v>0</v>
      </c>
    </row>
    <row r="27" spans="1:7" x14ac:dyDescent="0.35">
      <c r="B27" s="6" t="s">
        <v>30</v>
      </c>
      <c r="C27">
        <f>1/C22</f>
        <v>58.921734984909776</v>
      </c>
      <c r="D27">
        <f t="shared" ref="D27:G27" si="2">1/D22</f>
        <v>7.7306051948631005</v>
      </c>
      <c r="E27" s="18">
        <f t="shared" si="2"/>
        <v>10</v>
      </c>
      <c r="F27" s="18">
        <f t="shared" si="2"/>
        <v>10</v>
      </c>
      <c r="G27" s="18">
        <f t="shared" si="2"/>
        <v>10</v>
      </c>
    </row>
    <row r="28" spans="1:7" x14ac:dyDescent="0.35">
      <c r="B28" s="6" t="s">
        <v>32</v>
      </c>
      <c r="C28">
        <f>10^(-17)*C22/1.13</f>
        <v>1.5019173356640502E-19</v>
      </c>
      <c r="D28">
        <f t="shared" ref="D28:G28" si="3">10^(-17)*D22/1.13</f>
        <v>1.1447431732776013E-18</v>
      </c>
      <c r="E28">
        <f t="shared" si="3"/>
        <v>8.8495575221238944E-19</v>
      </c>
      <c r="F28">
        <f t="shared" si="3"/>
        <v>8.8495575221238944E-19</v>
      </c>
      <c r="G28">
        <f t="shared" si="3"/>
        <v>8.8495575221238944E-19</v>
      </c>
    </row>
    <row r="30" spans="1:7" x14ac:dyDescent="0.35">
      <c r="C30" s="1">
        <v>1</v>
      </c>
      <c r="D30" s="1">
        <v>2</v>
      </c>
      <c r="E30" s="1">
        <v>3</v>
      </c>
      <c r="F30" s="1">
        <v>4</v>
      </c>
      <c r="G30" s="1">
        <v>5</v>
      </c>
    </row>
    <row r="31" spans="1:7" x14ac:dyDescent="0.35">
      <c r="B31" s="10" t="s">
        <v>14</v>
      </c>
      <c r="C31">
        <f>SUM(P41:P840)</f>
        <v>645402.35692411195</v>
      </c>
      <c r="D31">
        <f t="shared" ref="D31:G31" si="4">SUM(Q41:Q840)</f>
        <v>254045.81899686099</v>
      </c>
      <c r="E31">
        <f t="shared" si="4"/>
        <v>0</v>
      </c>
      <c r="F31">
        <f t="shared" si="4"/>
        <v>0</v>
      </c>
      <c r="G31">
        <f t="shared" si="4"/>
        <v>6550</v>
      </c>
    </row>
    <row r="32" spans="1:7" x14ac:dyDescent="0.35">
      <c r="B32" s="10" t="s">
        <v>31</v>
      </c>
      <c r="C32">
        <f>100*C31/SUM($C$31:$G$31)</f>
        <v>71.236606659615191</v>
      </c>
      <c r="D32">
        <f t="shared" ref="D32:G32" si="5">100*D31/SUM($C$31:$G$31)</f>
        <v>28.040433827431954</v>
      </c>
      <c r="E32">
        <f t="shared" si="5"/>
        <v>0</v>
      </c>
      <c r="F32">
        <f t="shared" si="5"/>
        <v>0</v>
      </c>
      <c r="G32">
        <f t="shared" si="5"/>
        <v>0.72295951295285321</v>
      </c>
    </row>
    <row r="33" spans="2:28" x14ac:dyDescent="0.35">
      <c r="B33" s="10"/>
    </row>
    <row r="34" spans="2:28" x14ac:dyDescent="0.35">
      <c r="B34" s="10" t="s">
        <v>15</v>
      </c>
      <c r="C34">
        <f>SUM(X41:X140)</f>
        <v>652780.93233785674</v>
      </c>
      <c r="L34">
        <v>7767904.6019785497</v>
      </c>
    </row>
    <row r="35" spans="2:28" x14ac:dyDescent="0.35">
      <c r="B35" s="10" t="s">
        <v>16</v>
      </c>
      <c r="C35">
        <f>SUM(AA41:AA852)*100</f>
        <v>0.78920190276401769</v>
      </c>
      <c r="L35">
        <v>519276.20812272001</v>
      </c>
    </row>
    <row r="39" spans="2:28" x14ac:dyDescent="0.35">
      <c r="B39" s="5"/>
      <c r="C39" s="7" t="s">
        <v>1</v>
      </c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2" t="s">
        <v>23</v>
      </c>
      <c r="W39" s="3"/>
      <c r="X39" s="3"/>
      <c r="Y39" s="3"/>
      <c r="Z39" s="3"/>
      <c r="AA39" s="3"/>
      <c r="AB39" s="3"/>
    </row>
    <row r="40" spans="2:28" x14ac:dyDescent="0.35">
      <c r="B40" s="10" t="s">
        <v>2</v>
      </c>
      <c r="C40" s="11" t="s">
        <v>3</v>
      </c>
      <c r="D40" s="9" t="s">
        <v>4</v>
      </c>
      <c r="E40" s="9" t="s">
        <v>5</v>
      </c>
      <c r="F40" s="9" t="s">
        <v>6</v>
      </c>
      <c r="G40" s="9" t="s">
        <v>7</v>
      </c>
      <c r="H40" s="9" t="s">
        <v>8</v>
      </c>
      <c r="I40" s="3"/>
      <c r="J40" s="12" t="s">
        <v>9</v>
      </c>
      <c r="K40" s="12" t="s">
        <v>10</v>
      </c>
      <c r="L40" s="12" t="s">
        <v>11</v>
      </c>
      <c r="M40" s="12" t="s">
        <v>12</v>
      </c>
      <c r="N40" s="12" t="s">
        <v>13</v>
      </c>
      <c r="O40" s="3"/>
      <c r="P40" s="4" t="s">
        <v>17</v>
      </c>
      <c r="Q40" s="4" t="s">
        <v>18</v>
      </c>
      <c r="R40" s="4" t="s">
        <v>19</v>
      </c>
      <c r="S40" s="4" t="s">
        <v>20</v>
      </c>
      <c r="T40" s="4" t="s">
        <v>21</v>
      </c>
      <c r="U40" s="3"/>
      <c r="V40" s="11" t="s">
        <v>22</v>
      </c>
      <c r="W40" s="3"/>
      <c r="X40" s="10" t="s">
        <v>26</v>
      </c>
      <c r="Y40" s="10" t="s">
        <v>27</v>
      </c>
      <c r="Z40" s="10" t="s">
        <v>24</v>
      </c>
      <c r="AA40" s="10" t="s">
        <v>25</v>
      </c>
      <c r="AB40" s="3"/>
    </row>
    <row r="41" spans="2:28" x14ac:dyDescent="0.35">
      <c r="B41" s="19">
        <v>0</v>
      </c>
      <c r="C41" s="19">
        <v>17294</v>
      </c>
      <c r="D41">
        <f>$A$23*C$23-LN(1/($A$23*C$23))+$B41*C$22</f>
        <v>-1.8676356220868573</v>
      </c>
      <c r="E41">
        <f t="shared" ref="E41:H41" si="6">$A$23*D$23-LN(1/($A$23*D$23))+$B41*D$22</f>
        <v>17.664419557708925</v>
      </c>
      <c r="F41">
        <f t="shared" si="6"/>
        <v>-2.2025850929940458</v>
      </c>
      <c r="G41">
        <f t="shared" si="6"/>
        <v>-2.2025850929940458</v>
      </c>
      <c r="H41">
        <f t="shared" si="6"/>
        <v>-2.2025850929940458</v>
      </c>
      <c r="I41" s="3"/>
      <c r="J41">
        <f>lmb_2(D41)</f>
        <v>0.13498155053080801</v>
      </c>
      <c r="K41">
        <f>lmb_2(E41)</f>
        <v>14.959099763228066</v>
      </c>
      <c r="L41">
        <f t="shared" ref="L41:N41" si="7">lmb_2(F41)</f>
        <v>9.9999999999999978E-2</v>
      </c>
      <c r="M41">
        <f t="shared" si="7"/>
        <v>9.9999999999999978E-2</v>
      </c>
      <c r="N41">
        <f t="shared" si="7"/>
        <v>9.9999999999999978E-2</v>
      </c>
      <c r="O41" s="3"/>
      <c r="P41">
        <f>(C$21*$A$21)/(J41+J41^2)</f>
        <v>12957.334708941553</v>
      </c>
      <c r="Q41">
        <f t="shared" ref="Q41:S56" si="8">(D$21*$A$21)/(K41+K41^2)</f>
        <v>4208.9768879062958</v>
      </c>
      <c r="R41">
        <f t="shared" si="8"/>
        <v>0</v>
      </c>
      <c r="S41">
        <f t="shared" si="8"/>
        <v>0</v>
      </c>
      <c r="T41">
        <v>50</v>
      </c>
      <c r="U41" s="3"/>
      <c r="V41">
        <f>SUM(P41:T41)</f>
        <v>17216.311596847849</v>
      </c>
      <c r="W41" s="3"/>
      <c r="X41">
        <f>(V41-C41)^2</f>
        <v>6035.487984331191</v>
      </c>
      <c r="Y41">
        <f>ABS(V41-C41)</f>
        <v>77.688403152151295</v>
      </c>
      <c r="Z41">
        <f>SUM(V41:V840)</f>
        <v>905998.17592097307</v>
      </c>
      <c r="AA41">
        <f>Y41/$Z$41</f>
        <v>8.5748961992311758E-5</v>
      </c>
      <c r="AB41" s="3"/>
    </row>
    <row r="42" spans="2:28" x14ac:dyDescent="0.35">
      <c r="B42" s="19">
        <v>1.1363636363636362</v>
      </c>
      <c r="C42" s="19">
        <v>17012</v>
      </c>
      <c r="D42">
        <f t="shared" ref="D42:H95" si="9">$A$23*C$23-LN(1/($A$23*C$23))+$B42*C$22</f>
        <v>-1.8483496381175348</v>
      </c>
      <c r="E42">
        <f t="shared" si="9"/>
        <v>17.811414987913889</v>
      </c>
      <c r="F42">
        <f t="shared" si="9"/>
        <v>-2.0889487293576821</v>
      </c>
      <c r="G42">
        <f t="shared" si="9"/>
        <v>-2.0889487293576821</v>
      </c>
      <c r="H42">
        <f t="shared" si="9"/>
        <v>-2.0889487293576821</v>
      </c>
      <c r="I42" s="3"/>
      <c r="J42">
        <f t="shared" ref="J42:J84" si="10">lmb_2(D42)</f>
        <v>0.13729243414693926</v>
      </c>
      <c r="K42">
        <f t="shared" ref="K42:K84" si="11">lmb_2(E42)</f>
        <v>15.096923975102852</v>
      </c>
      <c r="L42">
        <f t="shared" ref="L42:L84" si="12">lmb_2(F42)</f>
        <v>0.11082791017207511</v>
      </c>
      <c r="M42">
        <f t="shared" ref="M42:M84" si="13">lmb_2(G42)</f>
        <v>0.11082791017207511</v>
      </c>
      <c r="N42">
        <f t="shared" ref="N42:N84" si="14">lmb_2(H42)</f>
        <v>0.11082791017207511</v>
      </c>
      <c r="O42" s="3"/>
      <c r="P42">
        <f t="shared" ref="P42:P105" si="15">(C$21*$A$21)/(J42+J42^2)</f>
        <v>12713.353913539226</v>
      </c>
      <c r="Q42">
        <f t="shared" si="8"/>
        <v>4134.8430391365264</v>
      </c>
      <c r="R42">
        <f t="shared" si="8"/>
        <v>0</v>
      </c>
      <c r="S42">
        <f t="shared" si="8"/>
        <v>0</v>
      </c>
      <c r="T42">
        <f>T41</f>
        <v>50</v>
      </c>
      <c r="U42" s="3"/>
      <c r="V42">
        <f t="shared" ref="V42:V84" si="16">SUM(P42:T42)</f>
        <v>16898.196952675753</v>
      </c>
      <c r="W42" s="3"/>
      <c r="X42">
        <f t="shared" ref="X42:X84" si="17">(V42-C42)^2</f>
        <v>12951.133580284806</v>
      </c>
      <c r="Y42">
        <f t="shared" ref="Y42:Y84" si="18">ABS(V42-C42)</f>
        <v>113.80304732424702</v>
      </c>
      <c r="AA42">
        <f t="shared" ref="AA42:AA84" si="19">Y42/$Z$41</f>
        <v>1.256106804062414E-4</v>
      </c>
      <c r="AB42" s="3"/>
    </row>
    <row r="43" spans="2:28" x14ac:dyDescent="0.35">
      <c r="B43" s="19">
        <v>2.2727272727272729</v>
      </c>
      <c r="C43" s="19">
        <v>16700</v>
      </c>
      <c r="D43">
        <f t="shared" si="9"/>
        <v>-1.8290636541482124</v>
      </c>
      <c r="E43">
        <f t="shared" si="9"/>
        <v>17.958410418118856</v>
      </c>
      <c r="F43">
        <f t="shared" si="9"/>
        <v>-1.9753123657213185</v>
      </c>
      <c r="G43">
        <f t="shared" si="9"/>
        <v>-1.9753123657213185</v>
      </c>
      <c r="H43">
        <f t="shared" si="9"/>
        <v>-1.9753123657213185</v>
      </c>
      <c r="I43" s="3"/>
      <c r="J43">
        <f t="shared" si="10"/>
        <v>0.13963803249984078</v>
      </c>
      <c r="K43">
        <f t="shared" si="11"/>
        <v>15.23482640052614</v>
      </c>
      <c r="L43">
        <f t="shared" si="12"/>
        <v>0.12270006137121078</v>
      </c>
      <c r="M43">
        <f t="shared" si="13"/>
        <v>0.12270006137121078</v>
      </c>
      <c r="N43">
        <f t="shared" si="14"/>
        <v>0.12270006137121078</v>
      </c>
      <c r="O43" s="3"/>
      <c r="P43">
        <f t="shared" si="15"/>
        <v>12474.071721365206</v>
      </c>
      <c r="Q43">
        <f t="shared" si="8"/>
        <v>4062.6109074720621</v>
      </c>
      <c r="R43">
        <f t="shared" si="8"/>
        <v>0</v>
      </c>
      <c r="S43">
        <f t="shared" si="8"/>
        <v>0</v>
      </c>
      <c r="T43">
        <f t="shared" ref="T43:T106" si="20">T42</f>
        <v>50</v>
      </c>
      <c r="U43" s="3"/>
      <c r="V43">
        <f t="shared" si="16"/>
        <v>16586.682628837269</v>
      </c>
      <c r="W43" s="3"/>
      <c r="X43">
        <f t="shared" si="17"/>
        <v>12840.826607232237</v>
      </c>
      <c r="Y43">
        <f t="shared" si="18"/>
        <v>113.31737116273143</v>
      </c>
      <c r="AA43">
        <f t="shared" si="19"/>
        <v>1.2507461292352061E-4</v>
      </c>
      <c r="AB43" s="3"/>
    </row>
    <row r="44" spans="2:28" x14ac:dyDescent="0.35">
      <c r="B44" s="19">
        <v>3.4090909090909087</v>
      </c>
      <c r="C44" s="19">
        <v>16586</v>
      </c>
      <c r="D44">
        <f t="shared" si="9"/>
        <v>-1.8097776701788899</v>
      </c>
      <c r="E44">
        <f t="shared" si="9"/>
        <v>18.105405848323819</v>
      </c>
      <c r="F44">
        <f t="shared" si="9"/>
        <v>-1.861676002084955</v>
      </c>
      <c r="G44">
        <f t="shared" si="9"/>
        <v>-1.861676002084955</v>
      </c>
      <c r="H44">
        <f t="shared" si="9"/>
        <v>-1.861676002084955</v>
      </c>
      <c r="I44" s="3"/>
      <c r="J44">
        <f t="shared" si="10"/>
        <v>0.14201872110740599</v>
      </c>
      <c r="K44">
        <f t="shared" si="11"/>
        <v>15.372805759636366</v>
      </c>
      <c r="L44">
        <f t="shared" si="12"/>
        <v>0.1356919600183451</v>
      </c>
      <c r="M44">
        <f t="shared" si="13"/>
        <v>0.1356919600183451</v>
      </c>
      <c r="N44">
        <f t="shared" si="14"/>
        <v>0.1356919600183451</v>
      </c>
      <c r="O44" s="3"/>
      <c r="P44">
        <f t="shared" si="15"/>
        <v>12239.398389205371</v>
      </c>
      <c r="Q44">
        <f t="shared" si="8"/>
        <v>3992.2170010046557</v>
      </c>
      <c r="R44">
        <f t="shared" si="8"/>
        <v>0</v>
      </c>
      <c r="S44">
        <f t="shared" si="8"/>
        <v>0</v>
      </c>
      <c r="T44">
        <f t="shared" si="20"/>
        <v>50</v>
      </c>
      <c r="U44" s="3"/>
      <c r="V44">
        <f t="shared" si="16"/>
        <v>16281.615390210027</v>
      </c>
      <c r="W44" s="3"/>
      <c r="X44">
        <f t="shared" si="17"/>
        <v>92649.990676994232</v>
      </c>
      <c r="Y44">
        <f t="shared" si="18"/>
        <v>304.38460978997318</v>
      </c>
      <c r="AA44">
        <f t="shared" si="19"/>
        <v>3.3596602938031029E-4</v>
      </c>
      <c r="AB44" s="3"/>
    </row>
    <row r="45" spans="2:28" x14ac:dyDescent="0.35">
      <c r="B45" s="19">
        <v>4.545454545454545</v>
      </c>
      <c r="C45" s="19">
        <v>16048</v>
      </c>
      <c r="D45">
        <f t="shared" si="9"/>
        <v>-1.7904916862095674</v>
      </c>
      <c r="E45">
        <f t="shared" si="9"/>
        <v>18.252401278528783</v>
      </c>
      <c r="F45">
        <f t="shared" si="9"/>
        <v>-1.7480396384485912</v>
      </c>
      <c r="G45">
        <f t="shared" si="9"/>
        <v>-1.7480396384485912</v>
      </c>
      <c r="H45">
        <f t="shared" si="9"/>
        <v>-1.7480396384485912</v>
      </c>
      <c r="I45" s="3"/>
      <c r="J45">
        <f t="shared" si="10"/>
        <v>0.1444348754863724</v>
      </c>
      <c r="K45">
        <f t="shared" si="11"/>
        <v>15.51086080300878</v>
      </c>
      <c r="L45">
        <f t="shared" si="12"/>
        <v>0.14988008688840671</v>
      </c>
      <c r="M45">
        <f t="shared" si="13"/>
        <v>0.14988008688840671</v>
      </c>
      <c r="N45">
        <f t="shared" si="14"/>
        <v>0.14988008688840671</v>
      </c>
      <c r="O45" s="3"/>
      <c r="P45">
        <f t="shared" si="15"/>
        <v>12009.245876260975</v>
      </c>
      <c r="Q45">
        <f t="shared" si="8"/>
        <v>3923.6004224861208</v>
      </c>
      <c r="R45">
        <f t="shared" si="8"/>
        <v>0</v>
      </c>
      <c r="S45">
        <f t="shared" si="8"/>
        <v>0</v>
      </c>
      <c r="T45">
        <f t="shared" si="20"/>
        <v>50</v>
      </c>
      <c r="U45" s="3"/>
      <c r="V45">
        <f t="shared" si="16"/>
        <v>15982.846298747096</v>
      </c>
      <c r="W45" s="3"/>
      <c r="X45">
        <f t="shared" si="17"/>
        <v>4245.0047869527016</v>
      </c>
      <c r="Y45">
        <f t="shared" si="18"/>
        <v>65.153701252904284</v>
      </c>
      <c r="AA45">
        <f t="shared" si="19"/>
        <v>7.1913722328054006E-5</v>
      </c>
      <c r="AB45" s="3"/>
    </row>
    <row r="46" spans="2:28" x14ac:dyDescent="0.35">
      <c r="B46" s="19">
        <v>5.6818181818181817</v>
      </c>
      <c r="C46" s="19">
        <v>15910</v>
      </c>
      <c r="D46">
        <f t="shared" si="9"/>
        <v>-1.771205702240245</v>
      </c>
      <c r="E46">
        <f t="shared" si="9"/>
        <v>18.399396708733747</v>
      </c>
      <c r="F46">
        <f t="shared" si="9"/>
        <v>-1.6344032748122275</v>
      </c>
      <c r="G46">
        <f t="shared" si="9"/>
        <v>-1.6344032748122275</v>
      </c>
      <c r="H46">
        <f t="shared" si="9"/>
        <v>-1.6344032748122275</v>
      </c>
      <c r="I46" s="3"/>
      <c r="J46">
        <f t="shared" si="10"/>
        <v>0.14688687103582895</v>
      </c>
      <c r="K46">
        <f t="shared" si="11"/>
        <v>15.648990310716043</v>
      </c>
      <c r="L46">
        <f t="shared" si="12"/>
        <v>0.16534114134587716</v>
      </c>
      <c r="M46">
        <f t="shared" si="13"/>
        <v>0.16534114134587716</v>
      </c>
      <c r="N46">
        <f t="shared" si="14"/>
        <v>0.16534114134587716</v>
      </c>
      <c r="O46" s="3"/>
      <c r="P46">
        <f t="shared" si="15"/>
        <v>11783.527811455266</v>
      </c>
      <c r="Q46">
        <f t="shared" si="8"/>
        <v>3856.7027444697887</v>
      </c>
      <c r="R46">
        <f t="shared" si="8"/>
        <v>0</v>
      </c>
      <c r="S46">
        <f t="shared" si="8"/>
        <v>0</v>
      </c>
      <c r="T46">
        <f t="shared" si="20"/>
        <v>50</v>
      </c>
      <c r="U46" s="3"/>
      <c r="V46">
        <f t="shared" si="16"/>
        <v>15690.230555925054</v>
      </c>
      <c r="W46" s="3"/>
      <c r="X46">
        <f t="shared" si="17"/>
        <v>48298.608549010627</v>
      </c>
      <c r="Y46">
        <f t="shared" si="18"/>
        <v>219.76944407494557</v>
      </c>
      <c r="AA46">
        <f t="shared" si="19"/>
        <v>2.4257161870281212E-4</v>
      </c>
      <c r="AB46" s="3"/>
    </row>
    <row r="47" spans="2:28" x14ac:dyDescent="0.35">
      <c r="B47" s="19">
        <v>6.8181818181818183</v>
      </c>
      <c r="C47" s="19">
        <v>15342</v>
      </c>
      <c r="D47">
        <f t="shared" si="9"/>
        <v>-1.7519197182709225</v>
      </c>
      <c r="E47">
        <f t="shared" si="9"/>
        <v>18.546392138938714</v>
      </c>
      <c r="F47">
        <f t="shared" si="9"/>
        <v>-1.5207669111758639</v>
      </c>
      <c r="G47">
        <f t="shared" si="9"/>
        <v>-1.5207669111758639</v>
      </c>
      <c r="H47">
        <f t="shared" si="9"/>
        <v>-1.5207669111758639</v>
      </c>
      <c r="I47" s="3"/>
      <c r="J47">
        <f t="shared" si="10"/>
        <v>0.14937508291904122</v>
      </c>
      <c r="K47">
        <f t="shared" si="11"/>
        <v>15.787193091424195</v>
      </c>
      <c r="L47">
        <f t="shared" si="12"/>
        <v>0.18215120868982146</v>
      </c>
      <c r="M47">
        <f t="shared" si="13"/>
        <v>0.18215120868982146</v>
      </c>
      <c r="N47">
        <f t="shared" si="14"/>
        <v>0.18215120868982146</v>
      </c>
      <c r="O47" s="3"/>
      <c r="P47">
        <f t="shared" si="15"/>
        <v>11562.159461372117</v>
      </c>
      <c r="Q47">
        <f t="shared" si="8"/>
        <v>3791.4678913408698</v>
      </c>
      <c r="R47">
        <f t="shared" si="8"/>
        <v>0</v>
      </c>
      <c r="S47">
        <f t="shared" si="8"/>
        <v>0</v>
      </c>
      <c r="T47">
        <f t="shared" si="20"/>
        <v>50</v>
      </c>
      <c r="U47" s="3"/>
      <c r="V47">
        <f t="shared" si="16"/>
        <v>15403.627352712987</v>
      </c>
      <c r="W47" s="3"/>
      <c r="X47">
        <f t="shared" si="17"/>
        <v>3797.9306024109032</v>
      </c>
      <c r="Y47">
        <f t="shared" si="18"/>
        <v>61.627352712986976</v>
      </c>
      <c r="AA47">
        <f t="shared" si="19"/>
        <v>6.8021497560236263E-5</v>
      </c>
      <c r="AB47" s="3"/>
    </row>
    <row r="48" spans="2:28" x14ac:dyDescent="0.35">
      <c r="B48" s="19">
        <v>7.9545454545454533</v>
      </c>
      <c r="C48" s="19">
        <v>15142</v>
      </c>
      <c r="D48">
        <f t="shared" si="9"/>
        <v>-1.7326337343016001</v>
      </c>
      <c r="E48">
        <f t="shared" si="9"/>
        <v>18.693387569143677</v>
      </c>
      <c r="F48">
        <f t="shared" si="9"/>
        <v>-1.4071305475395004</v>
      </c>
      <c r="G48">
        <f t="shared" si="9"/>
        <v>-1.4071305475395004</v>
      </c>
      <c r="H48">
        <f t="shared" si="9"/>
        <v>-1.4071305475395004</v>
      </c>
      <c r="I48" s="3"/>
      <c r="J48">
        <f t="shared" si="10"/>
        <v>0.15189988594367049</v>
      </c>
      <c r="K48">
        <f t="shared" si="11"/>
        <v>15.925467981522413</v>
      </c>
      <c r="L48">
        <f t="shared" si="12"/>
        <v>0.20038486901243871</v>
      </c>
      <c r="M48">
        <f t="shared" si="13"/>
        <v>0.20038486901243871</v>
      </c>
      <c r="N48">
        <f t="shared" si="14"/>
        <v>0.20038486901243871</v>
      </c>
      <c r="O48" s="3"/>
      <c r="P48">
        <f t="shared" si="15"/>
        <v>11345.057698815046</v>
      </c>
      <c r="Q48">
        <f t="shared" si="8"/>
        <v>3727.8420278083613</v>
      </c>
      <c r="R48">
        <f t="shared" si="8"/>
        <v>0</v>
      </c>
      <c r="S48">
        <f t="shared" si="8"/>
        <v>0</v>
      </c>
      <c r="T48">
        <f t="shared" si="20"/>
        <v>50</v>
      </c>
      <c r="U48" s="3"/>
      <c r="V48">
        <f t="shared" si="16"/>
        <v>15122.899726623407</v>
      </c>
      <c r="W48" s="3"/>
      <c r="X48">
        <f t="shared" si="17"/>
        <v>364.82044306057469</v>
      </c>
      <c r="Y48">
        <f t="shared" si="18"/>
        <v>19.100273376592668</v>
      </c>
      <c r="AA48">
        <f t="shared" si="19"/>
        <v>2.1082021889477531E-5</v>
      </c>
      <c r="AB48" s="3"/>
    </row>
    <row r="49" spans="2:28" x14ac:dyDescent="0.35">
      <c r="B49" s="19">
        <v>9.0909090909090899</v>
      </c>
      <c r="C49" s="19">
        <v>14648</v>
      </c>
      <c r="D49">
        <f t="shared" si="9"/>
        <v>-1.7133477503322776</v>
      </c>
      <c r="E49">
        <f t="shared" si="9"/>
        <v>18.840382999348641</v>
      </c>
      <c r="F49">
        <f t="shared" si="9"/>
        <v>-1.2934941839031366</v>
      </c>
      <c r="G49">
        <f t="shared" si="9"/>
        <v>-1.2934941839031366</v>
      </c>
      <c r="H49">
        <f t="shared" si="9"/>
        <v>-1.2934941839031366</v>
      </c>
      <c r="I49" s="3"/>
      <c r="J49">
        <f t="shared" si="10"/>
        <v>0.15446165444046622</v>
      </c>
      <c r="K49">
        <f t="shared" si="11"/>
        <v>16.063813844285132</v>
      </c>
      <c r="L49">
        <f t="shared" si="12"/>
        <v>0.22011427080856277</v>
      </c>
      <c r="M49">
        <f t="shared" si="13"/>
        <v>0.22011427080856277</v>
      </c>
      <c r="N49">
        <f t="shared" si="14"/>
        <v>0.22011427080856277</v>
      </c>
      <c r="O49" s="3"/>
      <c r="P49">
        <f t="shared" si="15"/>
        <v>11132.140971975057</v>
      </c>
      <c r="Q49">
        <f t="shared" si="8"/>
        <v>3665.7734534604569</v>
      </c>
      <c r="R49">
        <f t="shared" si="8"/>
        <v>0</v>
      </c>
      <c r="S49">
        <f t="shared" si="8"/>
        <v>0</v>
      </c>
      <c r="T49">
        <f t="shared" si="20"/>
        <v>50</v>
      </c>
      <c r="U49" s="3"/>
      <c r="V49">
        <f t="shared" si="16"/>
        <v>14847.914425435514</v>
      </c>
      <c r="W49" s="3"/>
      <c r="X49">
        <f t="shared" si="17"/>
        <v>39965.77749721177</v>
      </c>
      <c r="Y49">
        <f t="shared" si="18"/>
        <v>199.9144254355142</v>
      </c>
      <c r="AA49">
        <f t="shared" si="19"/>
        <v>2.2065654296963178E-4</v>
      </c>
      <c r="AB49" s="3"/>
    </row>
    <row r="50" spans="2:28" x14ac:dyDescent="0.35">
      <c r="B50" s="19">
        <v>10.227272727272727</v>
      </c>
      <c r="C50" s="19">
        <v>14476</v>
      </c>
      <c r="D50">
        <f t="shared" si="9"/>
        <v>-1.6940617663629551</v>
      </c>
      <c r="E50">
        <f t="shared" si="9"/>
        <v>18.987378429553608</v>
      </c>
      <c r="F50">
        <f t="shared" si="9"/>
        <v>-1.1798578202667731</v>
      </c>
      <c r="G50">
        <f t="shared" si="9"/>
        <v>-1.1798578202667731</v>
      </c>
      <c r="H50">
        <f t="shared" si="9"/>
        <v>-1.1798578202667731</v>
      </c>
      <c r="I50" s="3"/>
      <c r="J50">
        <f t="shared" si="10"/>
        <v>0.15706076214051534</v>
      </c>
      <c r="K50">
        <f t="shared" si="11"/>
        <v>16.202229569065032</v>
      </c>
      <c r="L50">
        <f t="shared" si="12"/>
        <v>0.24140819652141632</v>
      </c>
      <c r="M50">
        <f t="shared" si="13"/>
        <v>0.24140819652141632</v>
      </c>
      <c r="N50">
        <f t="shared" si="14"/>
        <v>0.24140819652141632</v>
      </c>
      <c r="O50" s="3"/>
      <c r="P50">
        <f t="shared" si="15"/>
        <v>10923.329274196065</v>
      </c>
      <c r="Q50">
        <f t="shared" si="8"/>
        <v>3605.2125030126667</v>
      </c>
      <c r="R50">
        <f t="shared" si="8"/>
        <v>0</v>
      </c>
      <c r="S50">
        <f t="shared" si="8"/>
        <v>0</v>
      </c>
      <c r="T50">
        <f t="shared" si="20"/>
        <v>50</v>
      </c>
      <c r="U50" s="3"/>
      <c r="V50">
        <f t="shared" si="16"/>
        <v>14578.541777208731</v>
      </c>
      <c r="W50" s="3"/>
      <c r="X50">
        <f t="shared" si="17"/>
        <v>10514.81607312507</v>
      </c>
      <c r="Y50">
        <f t="shared" si="18"/>
        <v>102.54177720873122</v>
      </c>
      <c r="AA50">
        <f t="shared" si="19"/>
        <v>1.1318099741701419E-4</v>
      </c>
      <c r="AB50" s="3"/>
    </row>
    <row r="51" spans="2:28" x14ac:dyDescent="0.35">
      <c r="B51" s="19">
        <v>11.363636363636363</v>
      </c>
      <c r="C51" s="19">
        <v>14350</v>
      </c>
      <c r="D51">
        <f t="shared" si="9"/>
        <v>-1.6747757823936327</v>
      </c>
      <c r="E51">
        <f t="shared" si="9"/>
        <v>19.134373859758572</v>
      </c>
      <c r="F51">
        <f t="shared" si="9"/>
        <v>-1.0662214566304093</v>
      </c>
      <c r="G51">
        <f t="shared" si="9"/>
        <v>-1.0662214566304093</v>
      </c>
      <c r="H51">
        <f t="shared" si="9"/>
        <v>-1.0662214566304093</v>
      </c>
      <c r="I51" s="3"/>
      <c r="J51">
        <f t="shared" si="10"/>
        <v>0.15969758205113432</v>
      </c>
      <c r="K51">
        <f t="shared" si="11"/>
        <v>16.340714070515617</v>
      </c>
      <c r="L51">
        <f t="shared" si="12"/>
        <v>0.26433114983109718</v>
      </c>
      <c r="M51">
        <f t="shared" si="13"/>
        <v>0.26433114983109718</v>
      </c>
      <c r="N51">
        <f t="shared" si="14"/>
        <v>0.26433114983109718</v>
      </c>
      <c r="O51" s="3"/>
      <c r="P51">
        <f t="shared" si="15"/>
        <v>10718.544114326845</v>
      </c>
      <c r="Q51">
        <f t="shared" si="8"/>
        <v>3546.1114519029024</v>
      </c>
      <c r="R51">
        <f t="shared" si="8"/>
        <v>0</v>
      </c>
      <c r="S51">
        <f t="shared" si="8"/>
        <v>0</v>
      </c>
      <c r="T51">
        <f t="shared" si="20"/>
        <v>50</v>
      </c>
      <c r="U51" s="3"/>
      <c r="V51">
        <f t="shared" si="16"/>
        <v>14314.655566229747</v>
      </c>
      <c r="W51" s="3"/>
      <c r="X51">
        <f t="shared" si="17"/>
        <v>1249.228998539807</v>
      </c>
      <c r="Y51">
        <f t="shared" si="18"/>
        <v>35.34443377025309</v>
      </c>
      <c r="AA51">
        <f t="shared" si="19"/>
        <v>3.9011594846009997E-5</v>
      </c>
      <c r="AB51" s="3"/>
    </row>
    <row r="52" spans="2:28" x14ac:dyDescent="0.35">
      <c r="B52" s="19">
        <v>12.499999999999998</v>
      </c>
      <c r="C52" s="19">
        <v>13896</v>
      </c>
      <c r="D52">
        <f t="shared" si="9"/>
        <v>-1.6554897984243102</v>
      </c>
      <c r="E52">
        <f t="shared" si="9"/>
        <v>19.281369289963536</v>
      </c>
      <c r="F52">
        <f t="shared" si="9"/>
        <v>-0.95258509299404581</v>
      </c>
      <c r="G52">
        <f t="shared" si="9"/>
        <v>-0.95258509299404581</v>
      </c>
      <c r="H52">
        <f t="shared" si="9"/>
        <v>-0.95258509299404581</v>
      </c>
      <c r="I52" s="3"/>
      <c r="J52">
        <f t="shared" si="10"/>
        <v>0.16237248633049464</v>
      </c>
      <c r="K52">
        <f t="shared" si="11"/>
        <v>16.479266287842119</v>
      </c>
      <c r="L52">
        <f t="shared" si="12"/>
        <v>0.28894249542892919</v>
      </c>
      <c r="M52">
        <f t="shared" si="13"/>
        <v>0.28894249542892919</v>
      </c>
      <c r="N52">
        <f t="shared" si="14"/>
        <v>0.28894249542892919</v>
      </c>
      <c r="O52" s="3"/>
      <c r="P52">
        <f t="shared" si="15"/>
        <v>10517.708487648617</v>
      </c>
      <c r="Q52">
        <f t="shared" si="8"/>
        <v>3488.4244269110809</v>
      </c>
      <c r="R52">
        <f t="shared" si="8"/>
        <v>0</v>
      </c>
      <c r="S52">
        <f t="shared" si="8"/>
        <v>0</v>
      </c>
      <c r="T52">
        <f t="shared" si="20"/>
        <v>50</v>
      </c>
      <c r="U52" s="3"/>
      <c r="V52">
        <f t="shared" si="16"/>
        <v>14056.132914559697</v>
      </c>
      <c r="W52" s="3"/>
      <c r="X52">
        <f t="shared" si="17"/>
        <v>25642.550325383341</v>
      </c>
      <c r="Y52">
        <f t="shared" si="18"/>
        <v>160.13291455969738</v>
      </c>
      <c r="AA52">
        <f t="shared" si="19"/>
        <v>1.7674750216457963E-4</v>
      </c>
      <c r="AB52" s="3"/>
    </row>
    <row r="53" spans="2:28" x14ac:dyDescent="0.35">
      <c r="B53" s="19">
        <v>13.636363636363637</v>
      </c>
      <c r="C53" s="19">
        <v>13720</v>
      </c>
      <c r="D53">
        <f t="shared" si="9"/>
        <v>-1.6362038144549877</v>
      </c>
      <c r="E53">
        <f t="shared" si="9"/>
        <v>19.428364720168503</v>
      </c>
      <c r="F53">
        <f t="shared" si="9"/>
        <v>-0.83894872935768205</v>
      </c>
      <c r="G53">
        <f t="shared" si="9"/>
        <v>-0.83894872935768205</v>
      </c>
      <c r="H53">
        <f t="shared" si="9"/>
        <v>-0.83894872935768205</v>
      </c>
      <c r="I53" s="3"/>
      <c r="J53">
        <f t="shared" si="10"/>
        <v>0.16508584616107394</v>
      </c>
      <c r="K53">
        <f t="shared" si="11"/>
        <v>16.617885184079473</v>
      </c>
      <c r="L53">
        <f t="shared" si="12"/>
        <v>0.31529568105575617</v>
      </c>
      <c r="M53">
        <f t="shared" si="13"/>
        <v>0.31529568105575617</v>
      </c>
      <c r="N53">
        <f t="shared" si="14"/>
        <v>0.31529568105575617</v>
      </c>
      <c r="O53" s="3"/>
      <c r="P53">
        <f t="shared" si="15"/>
        <v>10320.746847367634</v>
      </c>
      <c r="Q53">
        <f t="shared" si="8"/>
        <v>3432.1073215023803</v>
      </c>
      <c r="R53">
        <f t="shared" si="8"/>
        <v>0</v>
      </c>
      <c r="S53">
        <f t="shared" si="8"/>
        <v>0</v>
      </c>
      <c r="T53">
        <f t="shared" si="20"/>
        <v>50</v>
      </c>
      <c r="U53" s="3"/>
      <c r="V53">
        <f t="shared" si="16"/>
        <v>13802.854168870015</v>
      </c>
      <c r="W53" s="3"/>
      <c r="X53">
        <f t="shared" si="17"/>
        <v>6864.8132991409957</v>
      </c>
      <c r="Y53">
        <f t="shared" si="18"/>
        <v>82.854168870015201</v>
      </c>
      <c r="AA53">
        <f t="shared" si="19"/>
        <v>9.1450701637220817E-5</v>
      </c>
      <c r="AB53" s="3"/>
    </row>
    <row r="54" spans="2:28" x14ac:dyDescent="0.35">
      <c r="B54" s="19">
        <v>14.77272727272727</v>
      </c>
      <c r="C54" s="19">
        <v>13472</v>
      </c>
      <c r="D54">
        <f t="shared" si="9"/>
        <v>-1.6169178304856653</v>
      </c>
      <c r="E54">
        <f t="shared" si="9"/>
        <v>19.575360150373466</v>
      </c>
      <c r="F54">
        <f t="shared" si="9"/>
        <v>-0.72531236572131874</v>
      </c>
      <c r="G54">
        <f t="shared" si="9"/>
        <v>-0.72531236572131874</v>
      </c>
      <c r="H54">
        <f t="shared" si="9"/>
        <v>-0.72531236572131874</v>
      </c>
      <c r="I54" s="3"/>
      <c r="J54">
        <f t="shared" si="10"/>
        <v>0.16783803162203048</v>
      </c>
      <c r="K54">
        <f t="shared" si="11"/>
        <v>16.756569745396217</v>
      </c>
      <c r="L54">
        <f t="shared" si="12"/>
        <v>0.34343756868121067</v>
      </c>
      <c r="M54">
        <f t="shared" si="13"/>
        <v>0.34343756868121067</v>
      </c>
      <c r="N54">
        <f t="shared" si="14"/>
        <v>0.34343756868121067</v>
      </c>
      <c r="O54" s="3"/>
      <c r="P54">
        <f t="shared" si="15"/>
        <v>10127.585076662257</v>
      </c>
      <c r="Q54">
        <f t="shared" si="8"/>
        <v>3377.1177156132221</v>
      </c>
      <c r="R54">
        <f t="shared" si="8"/>
        <v>0</v>
      </c>
      <c r="S54">
        <f t="shared" si="8"/>
        <v>0</v>
      </c>
      <c r="T54">
        <f t="shared" si="20"/>
        <v>50</v>
      </c>
      <c r="U54" s="3"/>
      <c r="V54">
        <f t="shared" si="16"/>
        <v>13554.702792275479</v>
      </c>
      <c r="W54" s="3"/>
      <c r="X54">
        <f t="shared" si="17"/>
        <v>6839.751850160982</v>
      </c>
      <c r="Y54">
        <f t="shared" si="18"/>
        <v>82.702792275478714</v>
      </c>
      <c r="AA54">
        <f t="shared" si="19"/>
        <v>9.1283618966902404E-5</v>
      </c>
      <c r="AB54" s="3"/>
    </row>
    <row r="55" spans="2:28" x14ac:dyDescent="0.35">
      <c r="B55" s="19">
        <v>15.90909090909091</v>
      </c>
      <c r="C55" s="19">
        <v>13322</v>
      </c>
      <c r="D55">
        <f t="shared" si="9"/>
        <v>-1.5976318465163428</v>
      </c>
      <c r="E55">
        <f t="shared" si="9"/>
        <v>19.72235558057843</v>
      </c>
      <c r="F55">
        <f t="shared" si="9"/>
        <v>-0.61167600208495476</v>
      </c>
      <c r="G55">
        <f t="shared" si="9"/>
        <v>-0.61167600208495476</v>
      </c>
      <c r="H55">
        <f t="shared" si="9"/>
        <v>-0.61167600208495476</v>
      </c>
      <c r="I55" s="3"/>
      <c r="J55">
        <f t="shared" si="10"/>
        <v>0.17062941156059894</v>
      </c>
      <c r="K55">
        <f t="shared" si="11"/>
        <v>16.895318980423298</v>
      </c>
      <c r="L55">
        <f t="shared" si="12"/>
        <v>0.37340789703023708</v>
      </c>
      <c r="M55">
        <f t="shared" si="13"/>
        <v>0.37340789703023708</v>
      </c>
      <c r="N55">
        <f t="shared" si="14"/>
        <v>0.37340789703023708</v>
      </c>
      <c r="O55" s="3"/>
      <c r="P55">
        <f t="shared" si="15"/>
        <v>9938.1504612742683</v>
      </c>
      <c r="Q55">
        <f t="shared" si="8"/>
        <v>3323.4147996175552</v>
      </c>
      <c r="R55">
        <f t="shared" si="8"/>
        <v>0</v>
      </c>
      <c r="S55">
        <f t="shared" si="8"/>
        <v>0</v>
      </c>
      <c r="T55">
        <f t="shared" si="20"/>
        <v>50</v>
      </c>
      <c r="U55" s="3"/>
      <c r="V55">
        <f t="shared" si="16"/>
        <v>13311.565260891824</v>
      </c>
      <c r="W55" s="3"/>
      <c r="X55">
        <f t="shared" si="17"/>
        <v>108.88378025568855</v>
      </c>
      <c r="Y55">
        <f t="shared" si="18"/>
        <v>10.434739108175563</v>
      </c>
      <c r="AA55">
        <f t="shared" si="19"/>
        <v>1.1517395272422434E-5</v>
      </c>
      <c r="AB55" s="3"/>
    </row>
    <row r="56" spans="2:28" x14ac:dyDescent="0.35">
      <c r="B56" s="19">
        <v>17.045454545454543</v>
      </c>
      <c r="C56" s="19">
        <v>13010</v>
      </c>
      <c r="D56">
        <f t="shared" si="9"/>
        <v>-1.5783458625470204</v>
      </c>
      <c r="E56">
        <f t="shared" si="9"/>
        <v>19.869351010783394</v>
      </c>
      <c r="F56">
        <f t="shared" si="9"/>
        <v>-0.49803963844859145</v>
      </c>
      <c r="G56">
        <f t="shared" si="9"/>
        <v>-0.49803963844859145</v>
      </c>
      <c r="H56">
        <f t="shared" si="9"/>
        <v>-0.49803963844859145</v>
      </c>
      <c r="I56" s="3"/>
      <c r="J56">
        <f t="shared" si="10"/>
        <v>0.17346035346261143</v>
      </c>
      <c r="K56">
        <f t="shared" si="11"/>
        <v>17.034131919606608</v>
      </c>
      <c r="L56">
        <f t="shared" si="12"/>
        <v>0.40523889157724469</v>
      </c>
      <c r="M56">
        <f t="shared" si="13"/>
        <v>0.40523889157724469</v>
      </c>
      <c r="N56">
        <f t="shared" si="14"/>
        <v>0.40523889157724469</v>
      </c>
      <c r="O56" s="3"/>
      <c r="P56">
        <f t="shared" si="15"/>
        <v>9752.3716626343012</v>
      </c>
      <c r="Q56">
        <f t="shared" si="8"/>
        <v>3270.9593022282847</v>
      </c>
      <c r="R56">
        <f t="shared" si="8"/>
        <v>0</v>
      </c>
      <c r="S56">
        <f t="shared" si="8"/>
        <v>0</v>
      </c>
      <c r="T56">
        <f t="shared" si="20"/>
        <v>50</v>
      </c>
      <c r="U56" s="3"/>
      <c r="V56">
        <f t="shared" si="16"/>
        <v>13073.330964862585</v>
      </c>
      <c r="W56" s="3"/>
      <c r="X56">
        <f t="shared" si="17"/>
        <v>4010.8111104260342</v>
      </c>
      <c r="Y56">
        <f t="shared" si="18"/>
        <v>63.330964862585461</v>
      </c>
      <c r="AA56">
        <f t="shared" si="19"/>
        <v>6.9901867957082502E-5</v>
      </c>
      <c r="AB56" s="3"/>
    </row>
    <row r="57" spans="2:28" x14ac:dyDescent="0.35">
      <c r="B57" s="19">
        <v>18.18181818181818</v>
      </c>
      <c r="C57" s="19">
        <v>12664</v>
      </c>
      <c r="D57">
        <f t="shared" si="9"/>
        <v>-1.5590598785776979</v>
      </c>
      <c r="E57">
        <f t="shared" si="9"/>
        <v>20.016346440988361</v>
      </c>
      <c r="F57">
        <f t="shared" si="9"/>
        <v>-0.38440327481222769</v>
      </c>
      <c r="G57">
        <f t="shared" si="9"/>
        <v>-0.38440327481222769</v>
      </c>
      <c r="H57">
        <f t="shared" si="9"/>
        <v>-0.38440327481222769</v>
      </c>
      <c r="I57" s="3"/>
      <c r="J57">
        <f t="shared" si="10"/>
        <v>0.17633122332224735</v>
      </c>
      <c r="K57">
        <f t="shared" si="11"/>
        <v>17.173007614582414</v>
      </c>
      <c r="L57">
        <f t="shared" si="12"/>
        <v>0.4389550311285168</v>
      </c>
      <c r="M57">
        <f t="shared" si="13"/>
        <v>0.4389550311285168</v>
      </c>
      <c r="N57">
        <f t="shared" si="14"/>
        <v>0.4389550311285168</v>
      </c>
      <c r="O57" s="3"/>
      <c r="P57">
        <f t="shared" si="15"/>
        <v>9570.1786915115099</v>
      </c>
      <c r="Q57">
        <f t="shared" ref="Q57:Q84" si="21">(D$21*$A$21)/(K57+K57^2)</f>
        <v>3219.7134221045144</v>
      </c>
      <c r="R57">
        <f t="shared" ref="R57:R84" si="22">(E$21*$A$21)/(L57+L57^2)</f>
        <v>0</v>
      </c>
      <c r="S57">
        <f t="shared" ref="S57:S84" si="23">(F$21*$A$21)/(M57+M57^2)</f>
        <v>0</v>
      </c>
      <c r="T57">
        <f t="shared" si="20"/>
        <v>50</v>
      </c>
      <c r="U57" s="3"/>
      <c r="V57">
        <f t="shared" si="16"/>
        <v>12839.892113616024</v>
      </c>
      <c r="W57" s="3"/>
      <c r="X57">
        <f t="shared" si="17"/>
        <v>30938.035632312396</v>
      </c>
      <c r="Y57">
        <f t="shared" si="18"/>
        <v>175.89211361602429</v>
      </c>
      <c r="AA57">
        <f t="shared" si="19"/>
        <v>1.9414179662914324E-4</v>
      </c>
      <c r="AB57" s="3"/>
    </row>
    <row r="58" spans="2:28" x14ac:dyDescent="0.35">
      <c r="B58" s="19">
        <v>19.31818181818182</v>
      </c>
      <c r="C58" s="19">
        <v>12482</v>
      </c>
      <c r="D58">
        <f t="shared" si="9"/>
        <v>-1.5397738946083754</v>
      </c>
      <c r="E58">
        <f t="shared" si="9"/>
        <v>20.163341871193325</v>
      </c>
      <c r="F58">
        <f t="shared" si="9"/>
        <v>-0.27076691117586371</v>
      </c>
      <c r="G58">
        <f t="shared" si="9"/>
        <v>-0.27076691117586371</v>
      </c>
      <c r="H58">
        <f t="shared" si="9"/>
        <v>-0.27076691117586371</v>
      </c>
      <c r="I58" s="3"/>
      <c r="J58">
        <f t="shared" si="10"/>
        <v>0.17924238551112184</v>
      </c>
      <c r="K58">
        <f t="shared" si="11"/>
        <v>17.311945137574561</v>
      </c>
      <c r="L58">
        <f t="shared" si="12"/>
        <v>0.47457297278398303</v>
      </c>
      <c r="M58">
        <f t="shared" si="13"/>
        <v>0.47457297278398303</v>
      </c>
      <c r="N58">
        <f t="shared" si="14"/>
        <v>0.47457297278398303</v>
      </c>
      <c r="O58" s="3"/>
      <c r="P58">
        <f t="shared" si="15"/>
        <v>9391.5028821776359</v>
      </c>
      <c r="Q58">
        <f t="shared" si="21"/>
        <v>3169.6407629502296</v>
      </c>
      <c r="R58">
        <f t="shared" si="22"/>
        <v>0</v>
      </c>
      <c r="S58">
        <f t="shared" si="23"/>
        <v>0</v>
      </c>
      <c r="T58">
        <f t="shared" si="20"/>
        <v>50</v>
      </c>
      <c r="U58" s="3"/>
      <c r="V58">
        <f t="shared" si="16"/>
        <v>12611.143645127866</v>
      </c>
      <c r="W58" s="3"/>
      <c r="X58">
        <f t="shared" si="17"/>
        <v>16678.081076912178</v>
      </c>
      <c r="Y58">
        <f t="shared" si="18"/>
        <v>129.14364512786597</v>
      </c>
      <c r="AA58">
        <f t="shared" si="19"/>
        <v>1.4254294165282151E-4</v>
      </c>
      <c r="AB58" s="3"/>
    </row>
    <row r="59" spans="2:28" x14ac:dyDescent="0.35">
      <c r="B59" s="19">
        <v>20.454545454545453</v>
      </c>
      <c r="C59" s="19">
        <v>12260</v>
      </c>
      <c r="D59">
        <f t="shared" si="9"/>
        <v>-1.520487910639053</v>
      </c>
      <c r="E59">
        <f t="shared" si="9"/>
        <v>20.310337301398288</v>
      </c>
      <c r="F59">
        <f t="shared" si="9"/>
        <v>-0.1571305475395004</v>
      </c>
      <c r="G59">
        <f t="shared" si="9"/>
        <v>-0.1571305475395004</v>
      </c>
      <c r="H59">
        <f t="shared" si="9"/>
        <v>-0.1571305475395004</v>
      </c>
      <c r="I59" s="3"/>
      <c r="J59">
        <f t="shared" si="10"/>
        <v>0.18219420264682157</v>
      </c>
      <c r="K59">
        <f t="shared" si="11"/>
        <v>17.450943580812755</v>
      </c>
      <c r="L59">
        <f t="shared" si="12"/>
        <v>0.51210163000241204</v>
      </c>
      <c r="M59">
        <f t="shared" si="13"/>
        <v>0.51210163000241204</v>
      </c>
      <c r="N59">
        <f t="shared" si="14"/>
        <v>0.51210163000241204</v>
      </c>
      <c r="O59" s="3"/>
      <c r="P59">
        <f t="shared" si="15"/>
        <v>9216.2768670760233</v>
      </c>
      <c r="Q59">
        <f t="shared" si="21"/>
        <v>3120.7062719036608</v>
      </c>
      <c r="R59">
        <f t="shared" si="22"/>
        <v>0</v>
      </c>
      <c r="S59">
        <f t="shared" si="23"/>
        <v>0</v>
      </c>
      <c r="T59">
        <f t="shared" si="20"/>
        <v>50</v>
      </c>
      <c r="U59" s="3"/>
      <c r="V59">
        <f t="shared" si="16"/>
        <v>12386.983138979684</v>
      </c>
      <c r="W59" s="3"/>
      <c r="X59">
        <f t="shared" si="17"/>
        <v>16124.717585133652</v>
      </c>
      <c r="Y59">
        <f t="shared" si="18"/>
        <v>126.98313897968364</v>
      </c>
      <c r="AA59">
        <f t="shared" si="19"/>
        <v>1.4015827222897182E-4</v>
      </c>
      <c r="AB59" s="3"/>
    </row>
    <row r="60" spans="2:28" x14ac:dyDescent="0.35">
      <c r="B60" s="19">
        <v>21.59090909090909</v>
      </c>
      <c r="C60" s="19">
        <v>12176</v>
      </c>
      <c r="D60">
        <f t="shared" si="9"/>
        <v>-1.5012019266697305</v>
      </c>
      <c r="E60">
        <f t="shared" si="9"/>
        <v>20.457332731603255</v>
      </c>
      <c r="F60">
        <f t="shared" si="9"/>
        <v>-4.3494183903136641E-2</v>
      </c>
      <c r="G60">
        <f t="shared" si="9"/>
        <v>-4.3494183903136641E-2</v>
      </c>
      <c r="H60">
        <f t="shared" si="9"/>
        <v>-4.3494183903136641E-2</v>
      </c>
      <c r="I60" s="3"/>
      <c r="J60">
        <f t="shared" si="10"/>
        <v>0.18518703546100201</v>
      </c>
      <c r="K60">
        <f t="shared" si="11"/>
        <v>17.59000205597086</v>
      </c>
      <c r="L60">
        <f t="shared" si="12"/>
        <v>0.55154239221770696</v>
      </c>
      <c r="M60">
        <f t="shared" si="13"/>
        <v>0.55154239221770696</v>
      </c>
      <c r="N60">
        <f t="shared" si="14"/>
        <v>0.55154239221770696</v>
      </c>
      <c r="O60" s="3"/>
      <c r="P60">
        <f t="shared" si="15"/>
        <v>9044.4345519860781</v>
      </c>
      <c r="Q60">
        <f t="shared" si="21"/>
        <v>3072.8761810294914</v>
      </c>
      <c r="R60">
        <f t="shared" si="22"/>
        <v>0</v>
      </c>
      <c r="S60">
        <f t="shared" si="23"/>
        <v>0</v>
      </c>
      <c r="T60">
        <f t="shared" si="20"/>
        <v>50</v>
      </c>
      <c r="U60" s="3"/>
      <c r="V60">
        <f t="shared" si="16"/>
        <v>12167.310733015569</v>
      </c>
      <c r="W60" s="3"/>
      <c r="X60">
        <f t="shared" si="17"/>
        <v>75.50336072672286</v>
      </c>
      <c r="Y60">
        <f t="shared" si="18"/>
        <v>8.6892669844310149</v>
      </c>
      <c r="AA60">
        <f t="shared" si="19"/>
        <v>9.5908217205825229E-6</v>
      </c>
      <c r="AB60" s="3"/>
    </row>
    <row r="61" spans="2:28" x14ac:dyDescent="0.35">
      <c r="B61" s="19">
        <v>22.727272727272727</v>
      </c>
      <c r="C61" s="19">
        <v>11798</v>
      </c>
      <c r="D61">
        <f t="shared" si="9"/>
        <v>-1.4819159427004081</v>
      </c>
      <c r="E61">
        <f t="shared" si="9"/>
        <v>20.604328161808219</v>
      </c>
      <c r="F61">
        <f t="shared" si="9"/>
        <v>7.0142179733227117E-2</v>
      </c>
      <c r="G61">
        <f t="shared" si="9"/>
        <v>7.0142179733227117E-2</v>
      </c>
      <c r="H61">
        <f t="shared" si="9"/>
        <v>7.0142179733227117E-2</v>
      </c>
      <c r="I61" s="3"/>
      <c r="J61">
        <f t="shared" si="10"/>
        <v>0.18822124266716081</v>
      </c>
      <c r="K61">
        <f t="shared" si="11"/>
        <v>17.729119693624533</v>
      </c>
      <c r="L61">
        <f t="shared" si="12"/>
        <v>0.59288946937530929</v>
      </c>
      <c r="M61">
        <f t="shared" si="13"/>
        <v>0.59288946937530929</v>
      </c>
      <c r="N61">
        <f t="shared" si="14"/>
        <v>0.59288946937530929</v>
      </c>
      <c r="O61" s="3"/>
      <c r="P61">
        <f t="shared" si="15"/>
        <v>8875.9110916739646</v>
      </c>
      <c r="Q61">
        <f t="shared" si="21"/>
        <v>3026.1179517379082</v>
      </c>
      <c r="R61">
        <f t="shared" si="22"/>
        <v>0</v>
      </c>
      <c r="S61">
        <f t="shared" si="23"/>
        <v>0</v>
      </c>
      <c r="T61">
        <f t="shared" si="20"/>
        <v>50</v>
      </c>
      <c r="U61" s="3"/>
      <c r="V61">
        <f t="shared" si="16"/>
        <v>11952.029043411872</v>
      </c>
      <c r="W61" s="3"/>
      <c r="X61">
        <f t="shared" si="17"/>
        <v>23724.946214376476</v>
      </c>
      <c r="Y61">
        <f t="shared" si="18"/>
        <v>154.02904341187241</v>
      </c>
      <c r="AA61">
        <f t="shared" si="19"/>
        <v>1.7001032397807807E-4</v>
      </c>
      <c r="AB61" s="3"/>
    </row>
    <row r="62" spans="2:28" x14ac:dyDescent="0.35">
      <c r="B62" s="19">
        <v>23.863636363636363</v>
      </c>
      <c r="C62" s="19">
        <v>11536</v>
      </c>
      <c r="D62">
        <f t="shared" si="9"/>
        <v>-1.4626299587310856</v>
      </c>
      <c r="E62">
        <f t="shared" si="9"/>
        <v>20.751323592013183</v>
      </c>
      <c r="F62">
        <f t="shared" si="9"/>
        <v>0.18377854336959043</v>
      </c>
      <c r="G62">
        <f t="shared" si="9"/>
        <v>0.18377854336959043</v>
      </c>
      <c r="H62">
        <f t="shared" si="9"/>
        <v>0.18377854336959043</v>
      </c>
      <c r="I62" s="3"/>
      <c r="J62">
        <f t="shared" si="10"/>
        <v>0.19129718082820435</v>
      </c>
      <c r="K62">
        <f t="shared" si="11"/>
        <v>17.868295642727386</v>
      </c>
      <c r="L62">
        <f t="shared" si="12"/>
        <v>0.63613034112808009</v>
      </c>
      <c r="M62">
        <f t="shared" si="13"/>
        <v>0.63613034112808009</v>
      </c>
      <c r="N62">
        <f t="shared" si="14"/>
        <v>0.63613034112808009</v>
      </c>
      <c r="O62" s="3"/>
      <c r="P62">
        <f t="shared" si="15"/>
        <v>8710.6428660204565</v>
      </c>
      <c r="Q62">
        <f t="shared" si="21"/>
        <v>2980.4002219655549</v>
      </c>
      <c r="R62">
        <f t="shared" si="22"/>
        <v>0</v>
      </c>
      <c r="S62">
        <f t="shared" si="23"/>
        <v>0</v>
      </c>
      <c r="T62">
        <f t="shared" si="20"/>
        <v>50</v>
      </c>
      <c r="U62" s="3"/>
      <c r="V62">
        <f t="shared" si="16"/>
        <v>11741.043087986011</v>
      </c>
      <c r="W62" s="3"/>
      <c r="X62">
        <f t="shared" si="17"/>
        <v>42042.667930838848</v>
      </c>
      <c r="Y62">
        <f t="shared" si="18"/>
        <v>205.04308798601051</v>
      </c>
      <c r="AA62">
        <f t="shared" si="19"/>
        <v>2.2631732980872544E-4</v>
      </c>
      <c r="AB62" s="3"/>
    </row>
    <row r="63" spans="2:28" x14ac:dyDescent="0.35">
      <c r="B63" s="19">
        <v>25</v>
      </c>
      <c r="C63" s="19">
        <v>11480</v>
      </c>
      <c r="D63">
        <f t="shared" si="9"/>
        <v>-1.4433439747617631</v>
      </c>
      <c r="E63">
        <f t="shared" si="9"/>
        <v>20.898319022218146</v>
      </c>
      <c r="F63">
        <f t="shared" si="9"/>
        <v>0.29741490700595419</v>
      </c>
      <c r="G63">
        <f t="shared" si="9"/>
        <v>0.29741490700595419</v>
      </c>
      <c r="H63">
        <f t="shared" si="9"/>
        <v>0.29741490700595419</v>
      </c>
      <c r="I63" s="3"/>
      <c r="J63">
        <f t="shared" si="10"/>
        <v>0.19441520422392705</v>
      </c>
      <c r="K63">
        <f t="shared" si="11"/>
        <v>18.00752907010488</v>
      </c>
      <c r="L63">
        <f t="shared" si="12"/>
        <v>0.68124628833746192</v>
      </c>
      <c r="M63">
        <f t="shared" si="13"/>
        <v>0.68124628833746192</v>
      </c>
      <c r="N63">
        <f t="shared" si="14"/>
        <v>0.68124628833746192</v>
      </c>
      <c r="O63" s="3"/>
      <c r="P63">
        <f t="shared" si="15"/>
        <v>8548.5674566169855</v>
      </c>
      <c r="Q63">
        <f t="shared" si="21"/>
        <v>2935.6927559638339</v>
      </c>
      <c r="R63">
        <f t="shared" si="22"/>
        <v>0</v>
      </c>
      <c r="S63">
        <f t="shared" si="23"/>
        <v>0</v>
      </c>
      <c r="T63">
        <f t="shared" si="20"/>
        <v>50</v>
      </c>
      <c r="U63" s="3"/>
      <c r="V63">
        <f t="shared" si="16"/>
        <v>11534.260212580819</v>
      </c>
      <c r="W63" s="3"/>
      <c r="X63">
        <f t="shared" si="17"/>
        <v>2944.1706693156593</v>
      </c>
      <c r="Y63">
        <f t="shared" si="18"/>
        <v>54.260212580818916</v>
      </c>
      <c r="AA63">
        <f t="shared" si="19"/>
        <v>5.9889979939155898E-5</v>
      </c>
      <c r="AB63" s="3"/>
    </row>
    <row r="64" spans="2:28" x14ac:dyDescent="0.35">
      <c r="B64" s="19">
        <v>26.136363636363637</v>
      </c>
      <c r="C64" s="19">
        <v>11214</v>
      </c>
      <c r="D64">
        <f t="shared" si="9"/>
        <v>-1.4240579907924407</v>
      </c>
      <c r="E64">
        <f t="shared" si="9"/>
        <v>21.045314452423113</v>
      </c>
      <c r="F64">
        <f t="shared" si="9"/>
        <v>0.41105127064231795</v>
      </c>
      <c r="G64">
        <f t="shared" si="9"/>
        <v>0.41105127064231795</v>
      </c>
      <c r="H64">
        <f t="shared" si="9"/>
        <v>0.41105127064231795</v>
      </c>
      <c r="I64" s="3"/>
      <c r="J64">
        <f t="shared" si="10"/>
        <v>0.19757566471852317</v>
      </c>
      <c r="K64">
        <f t="shared" si="11"/>
        <v>18.146819159965311</v>
      </c>
      <c r="L64">
        <f t="shared" si="12"/>
        <v>0.72821298390547406</v>
      </c>
      <c r="M64">
        <f t="shared" si="13"/>
        <v>0.72821298390547406</v>
      </c>
      <c r="N64">
        <f t="shared" si="14"/>
        <v>0.72821298390547406</v>
      </c>
      <c r="O64" s="3"/>
      <c r="P64">
        <f t="shared" si="15"/>
        <v>8389.6236238211623</v>
      </c>
      <c r="Q64">
        <f t="shared" si="21"/>
        <v>2891.9663965495147</v>
      </c>
      <c r="R64">
        <f t="shared" si="22"/>
        <v>0</v>
      </c>
      <c r="S64">
        <f t="shared" si="23"/>
        <v>0</v>
      </c>
      <c r="T64">
        <f t="shared" si="20"/>
        <v>50</v>
      </c>
      <c r="U64" s="3"/>
      <c r="V64">
        <f t="shared" si="16"/>
        <v>11331.590020370677</v>
      </c>
      <c r="W64" s="3"/>
      <c r="X64">
        <f t="shared" si="17"/>
        <v>13827.412890776217</v>
      </c>
      <c r="Y64">
        <f t="shared" si="18"/>
        <v>117.59002037067694</v>
      </c>
      <c r="AA64">
        <f t="shared" si="19"/>
        <v>1.2979057077145141E-4</v>
      </c>
      <c r="AB64" s="3"/>
    </row>
    <row r="65" spans="2:28" x14ac:dyDescent="0.35">
      <c r="B65" s="19">
        <v>27.27272727272727</v>
      </c>
      <c r="C65" s="19">
        <v>11056</v>
      </c>
      <c r="D65">
        <f t="shared" si="9"/>
        <v>-1.4047720068231184</v>
      </c>
      <c r="E65">
        <f t="shared" si="9"/>
        <v>21.192309882628077</v>
      </c>
      <c r="F65">
        <f t="shared" si="9"/>
        <v>0.52468763427868126</v>
      </c>
      <c r="G65">
        <f t="shared" si="9"/>
        <v>0.52468763427868126</v>
      </c>
      <c r="H65">
        <f t="shared" si="9"/>
        <v>0.52468763427868126</v>
      </c>
      <c r="I65" s="3"/>
      <c r="J65">
        <f t="shared" si="10"/>
        <v>0.20077891162825506</v>
      </c>
      <c r="K65">
        <f t="shared" si="11"/>
        <v>18.286165113427145</v>
      </c>
      <c r="L65">
        <f t="shared" si="12"/>
        <v>0.77700112063522908</v>
      </c>
      <c r="M65">
        <f t="shared" si="13"/>
        <v>0.77700112063522908</v>
      </c>
      <c r="N65">
        <f t="shared" si="14"/>
        <v>0.77700112063522908</v>
      </c>
      <c r="O65" s="3"/>
      <c r="P65">
        <f t="shared" si="15"/>
        <v>8233.751284263044</v>
      </c>
      <c r="Q65">
        <f t="shared" si="21"/>
        <v>2849.1930196816284</v>
      </c>
      <c r="R65">
        <f t="shared" si="22"/>
        <v>0</v>
      </c>
      <c r="S65">
        <f t="shared" si="23"/>
        <v>0</v>
      </c>
      <c r="T65">
        <f t="shared" si="20"/>
        <v>50</v>
      </c>
      <c r="U65" s="3"/>
      <c r="V65">
        <f t="shared" si="16"/>
        <v>11132.944303944672</v>
      </c>
      <c r="W65" s="3"/>
      <c r="X65">
        <f t="shared" si="17"/>
        <v>5920.4259095301222</v>
      </c>
      <c r="Y65">
        <f t="shared" si="18"/>
        <v>76.944303944672356</v>
      </c>
      <c r="AA65">
        <f t="shared" si="19"/>
        <v>8.4927658785246741E-5</v>
      </c>
      <c r="AB65" s="3"/>
    </row>
    <row r="66" spans="2:28" x14ac:dyDescent="0.35">
      <c r="B66" s="19">
        <v>28.40909090909091</v>
      </c>
      <c r="C66" s="19">
        <v>10824</v>
      </c>
      <c r="D66">
        <f t="shared" si="9"/>
        <v>-1.3854860228537957</v>
      </c>
      <c r="E66">
        <f t="shared" si="9"/>
        <v>21.339305312833041</v>
      </c>
      <c r="F66">
        <f t="shared" si="9"/>
        <v>0.63832399791504546</v>
      </c>
      <c r="G66">
        <f t="shared" si="9"/>
        <v>0.63832399791504546</v>
      </c>
      <c r="H66">
        <f t="shared" si="9"/>
        <v>0.63832399791504546</v>
      </c>
      <c r="I66" s="3"/>
      <c r="J66">
        <f t="shared" si="10"/>
        <v>0.20402529158939953</v>
      </c>
      <c r="K66">
        <f t="shared" si="11"/>
        <v>18.425566148062156</v>
      </c>
      <c r="L66">
        <f t="shared" si="12"/>
        <v>0.82757705552364358</v>
      </c>
      <c r="M66">
        <f t="shared" si="13"/>
        <v>0.82757705552364358</v>
      </c>
      <c r="N66">
        <f t="shared" si="14"/>
        <v>0.82757705552364358</v>
      </c>
      <c r="O66" s="3"/>
      <c r="P66">
        <f t="shared" si="15"/>
        <v>8080.8914887937744</v>
      </c>
      <c r="Q66">
        <f t="shared" si="21"/>
        <v>2807.3454912369148</v>
      </c>
      <c r="R66">
        <f t="shared" si="22"/>
        <v>0</v>
      </c>
      <c r="S66">
        <f t="shared" si="23"/>
        <v>0</v>
      </c>
      <c r="T66">
        <f t="shared" si="20"/>
        <v>50</v>
      </c>
      <c r="U66" s="3"/>
      <c r="V66">
        <f t="shared" si="16"/>
        <v>10938.23698003069</v>
      </c>
      <c r="W66" s="3"/>
      <c r="X66">
        <f t="shared" si="17"/>
        <v>13050.08760653219</v>
      </c>
      <c r="Y66">
        <f t="shared" si="18"/>
        <v>114.23698003068966</v>
      </c>
      <c r="AA66">
        <f t="shared" si="19"/>
        <v>1.2608963579265986E-4</v>
      </c>
      <c r="AB66" s="3"/>
    </row>
    <row r="67" spans="2:28" x14ac:dyDescent="0.35">
      <c r="B67" s="19">
        <v>29.545454545454547</v>
      </c>
      <c r="C67" s="19">
        <v>10788</v>
      </c>
      <c r="D67">
        <f t="shared" si="9"/>
        <v>-1.3662000388844733</v>
      </c>
      <c r="E67">
        <f t="shared" si="9"/>
        <v>21.486300743038008</v>
      </c>
      <c r="F67">
        <f t="shared" si="9"/>
        <v>0.75196036155140922</v>
      </c>
      <c r="G67">
        <f t="shared" si="9"/>
        <v>0.75196036155140922</v>
      </c>
      <c r="H67">
        <f t="shared" si="9"/>
        <v>0.75196036155140922</v>
      </c>
      <c r="I67" s="3"/>
      <c r="J67">
        <f t="shared" si="10"/>
        <v>0.20731514842659834</v>
      </c>
      <c r="K67">
        <f t="shared" si="11"/>
        <v>18.565021497453611</v>
      </c>
      <c r="L67">
        <f t="shared" si="12"/>
        <v>0.87990345233542855</v>
      </c>
      <c r="M67">
        <f t="shared" si="13"/>
        <v>0.87990345233542855</v>
      </c>
      <c r="N67">
        <f t="shared" si="14"/>
        <v>0.87990345233542855</v>
      </c>
      <c r="O67" s="3"/>
      <c r="P67">
        <f t="shared" si="15"/>
        <v>7930.9864008681488</v>
      </c>
      <c r="Q67">
        <f t="shared" si="21"/>
        <v>2766.3976258639318</v>
      </c>
      <c r="R67">
        <f t="shared" si="22"/>
        <v>0</v>
      </c>
      <c r="S67">
        <f t="shared" si="23"/>
        <v>0</v>
      </c>
      <c r="T67">
        <f t="shared" si="20"/>
        <v>50</v>
      </c>
      <c r="U67" s="3"/>
      <c r="V67">
        <f t="shared" si="16"/>
        <v>10747.384026732081</v>
      </c>
      <c r="W67" s="3"/>
      <c r="X67">
        <f t="shared" si="17"/>
        <v>1649.6572845003018</v>
      </c>
      <c r="Y67">
        <f t="shared" si="18"/>
        <v>40.615973267918889</v>
      </c>
      <c r="AA67">
        <f t="shared" si="19"/>
        <v>4.4830082827298842E-5</v>
      </c>
      <c r="AB67" s="3"/>
    </row>
    <row r="68" spans="2:28" x14ac:dyDescent="0.35">
      <c r="B68" s="19">
        <v>30.68181818181818</v>
      </c>
      <c r="C68" s="19">
        <v>10540</v>
      </c>
      <c r="D68">
        <f t="shared" si="9"/>
        <v>-1.346914054915151</v>
      </c>
      <c r="E68">
        <f t="shared" si="9"/>
        <v>21.633296173242972</v>
      </c>
      <c r="F68">
        <f t="shared" si="9"/>
        <v>0.86559672518777253</v>
      </c>
      <c r="G68">
        <f t="shared" si="9"/>
        <v>0.86559672518777253</v>
      </c>
      <c r="H68">
        <f t="shared" si="9"/>
        <v>0.86559672518777253</v>
      </c>
      <c r="I68" s="3"/>
      <c r="J68">
        <f t="shared" si="10"/>
        <v>0.21064882302173799</v>
      </c>
      <c r="K68">
        <f t="shared" si="11"/>
        <v>18.70453041076901</v>
      </c>
      <c r="L68">
        <f t="shared" si="12"/>
        <v>0.93393990719865583</v>
      </c>
      <c r="M68">
        <f t="shared" si="13"/>
        <v>0.93393990719865583</v>
      </c>
      <c r="N68">
        <f t="shared" si="14"/>
        <v>0.93393990719865583</v>
      </c>
      <c r="O68" s="3"/>
      <c r="P68">
        <f t="shared" si="15"/>
        <v>7783.9792753529573</v>
      </c>
      <c r="Q68">
        <f t="shared" si="21"/>
        <v>2726.3241478031446</v>
      </c>
      <c r="R68">
        <f t="shared" si="22"/>
        <v>0</v>
      </c>
      <c r="S68">
        <f t="shared" si="23"/>
        <v>0</v>
      </c>
      <c r="T68">
        <f t="shared" si="20"/>
        <v>50</v>
      </c>
      <c r="U68" s="3"/>
      <c r="V68">
        <f t="shared" si="16"/>
        <v>10560.303423156101</v>
      </c>
      <c r="W68" s="3"/>
      <c r="X68">
        <f t="shared" si="17"/>
        <v>412.22899185571521</v>
      </c>
      <c r="Y68">
        <f t="shared" si="18"/>
        <v>20.303423156101417</v>
      </c>
      <c r="AA68">
        <f t="shared" si="19"/>
        <v>2.2410004452230167E-5</v>
      </c>
      <c r="AB68" s="3"/>
    </row>
    <row r="69" spans="2:28" x14ac:dyDescent="0.35">
      <c r="B69" s="19">
        <v>31.818181818181813</v>
      </c>
      <c r="C69" s="19">
        <v>10366</v>
      </c>
      <c r="D69">
        <f t="shared" si="9"/>
        <v>-1.3276280709458286</v>
      </c>
      <c r="E69">
        <f t="shared" si="9"/>
        <v>21.780291603447935</v>
      </c>
      <c r="F69">
        <f t="shared" si="9"/>
        <v>0.97923308882413584</v>
      </c>
      <c r="G69">
        <f t="shared" si="9"/>
        <v>0.97923308882413584</v>
      </c>
      <c r="H69">
        <f t="shared" si="9"/>
        <v>0.97923308882413584</v>
      </c>
      <c r="I69" s="3"/>
      <c r="J69">
        <f t="shared" si="10"/>
        <v>0.21402665318348502</v>
      </c>
      <c r="K69">
        <f t="shared" si="11"/>
        <v>18.844092152346846</v>
      </c>
      <c r="L69">
        <f t="shared" si="12"/>
        <v>0.98964354503419993</v>
      </c>
      <c r="M69">
        <f t="shared" si="13"/>
        <v>0.98964354503419993</v>
      </c>
      <c r="N69">
        <f t="shared" si="14"/>
        <v>0.98964354503419993</v>
      </c>
      <c r="O69" s="3"/>
      <c r="P69">
        <f t="shared" si="15"/>
        <v>7639.8144377529943</v>
      </c>
      <c r="Q69">
        <f t="shared" si="21"/>
        <v>2687.100653567104</v>
      </c>
      <c r="R69">
        <f t="shared" si="22"/>
        <v>0</v>
      </c>
      <c r="S69">
        <f t="shared" si="23"/>
        <v>0</v>
      </c>
      <c r="T69">
        <f t="shared" si="20"/>
        <v>50</v>
      </c>
      <c r="U69" s="3"/>
      <c r="V69">
        <f t="shared" si="16"/>
        <v>10376.915091320097</v>
      </c>
      <c r="W69" s="3"/>
      <c r="X69">
        <f t="shared" si="17"/>
        <v>119.13921852606597</v>
      </c>
      <c r="Y69">
        <f t="shared" si="18"/>
        <v>10.915091320097417</v>
      </c>
      <c r="AA69">
        <f t="shared" si="19"/>
        <v>1.2047586419257317E-5</v>
      </c>
      <c r="AB69" s="3"/>
    </row>
    <row r="70" spans="2:28" x14ac:dyDescent="0.35">
      <c r="B70" s="19">
        <v>32.954545454545453</v>
      </c>
      <c r="C70" s="19">
        <v>10198</v>
      </c>
      <c r="D70">
        <f t="shared" si="9"/>
        <v>-1.3083420869765061</v>
      </c>
      <c r="E70">
        <f t="shared" si="9"/>
        <v>21.927287033652902</v>
      </c>
      <c r="F70">
        <f t="shared" si="9"/>
        <v>1.0928694524604996</v>
      </c>
      <c r="G70">
        <f t="shared" si="9"/>
        <v>1.0928694524604996</v>
      </c>
      <c r="H70">
        <f t="shared" si="9"/>
        <v>1.0928694524604996</v>
      </c>
      <c r="I70" s="3"/>
      <c r="J70">
        <f t="shared" si="10"/>
        <v>0.21744897351760331</v>
      </c>
      <c r="K70">
        <f t="shared" si="11"/>
        <v>18.983706001296717</v>
      </c>
      <c r="L70">
        <f t="shared" si="12"/>
        <v>1.0469695776653556</v>
      </c>
      <c r="M70">
        <f t="shared" si="13"/>
        <v>1.0469695776653556</v>
      </c>
      <c r="N70">
        <f t="shared" si="14"/>
        <v>1.0469695776653556</v>
      </c>
      <c r="O70" s="3"/>
      <c r="P70">
        <f t="shared" si="15"/>
        <v>7498.4372638468194</v>
      </c>
      <c r="Q70">
        <f t="shared" si="21"/>
        <v>2648.7035763811969</v>
      </c>
      <c r="R70">
        <f t="shared" si="22"/>
        <v>0</v>
      </c>
      <c r="S70">
        <f t="shared" si="23"/>
        <v>0</v>
      </c>
      <c r="T70">
        <f t="shared" si="20"/>
        <v>50</v>
      </c>
      <c r="U70" s="3"/>
      <c r="V70">
        <f t="shared" si="16"/>
        <v>10197.140840228016</v>
      </c>
      <c r="W70" s="3"/>
      <c r="X70">
        <f t="shared" si="17"/>
        <v>0.73815551379593514</v>
      </c>
      <c r="Y70">
        <f t="shared" si="18"/>
        <v>0.85915977198419569</v>
      </c>
      <c r="AA70">
        <f t="shared" si="19"/>
        <v>9.4830187832424191E-7</v>
      </c>
      <c r="AB70" s="3"/>
    </row>
    <row r="71" spans="2:28" x14ac:dyDescent="0.35">
      <c r="B71" s="19">
        <v>34.090909090909093</v>
      </c>
      <c r="C71" s="19">
        <v>10066</v>
      </c>
      <c r="D71">
        <f t="shared" si="9"/>
        <v>-1.2890561030071834</v>
      </c>
      <c r="E71">
        <f t="shared" si="9"/>
        <v>22.074282463857866</v>
      </c>
      <c r="F71">
        <f t="shared" si="9"/>
        <v>1.2065058160968638</v>
      </c>
      <c r="G71">
        <f t="shared" si="9"/>
        <v>1.2065058160968638</v>
      </c>
      <c r="H71">
        <f t="shared" si="9"/>
        <v>1.2065058160968638</v>
      </c>
      <c r="I71" s="3"/>
      <c r="J71">
        <f t="shared" si="10"/>
        <v>0.22091611529818037</v>
      </c>
      <c r="K71">
        <f t="shared" si="11"/>
        <v>19.123371251112399</v>
      </c>
      <c r="L71">
        <f t="shared" si="12"/>
        <v>1.1058718172853654</v>
      </c>
      <c r="M71">
        <f t="shared" si="13"/>
        <v>1.1058718172853654</v>
      </c>
      <c r="N71">
        <f t="shared" si="14"/>
        <v>1.1058718172853654</v>
      </c>
      <c r="O71" s="3"/>
      <c r="P71">
        <f t="shared" si="15"/>
        <v>7359.7941597244417</v>
      </c>
      <c r="Q71">
        <f t="shared" si="21"/>
        <v>2611.1101522913023</v>
      </c>
      <c r="R71">
        <f t="shared" si="22"/>
        <v>0</v>
      </c>
      <c r="S71">
        <f t="shared" si="23"/>
        <v>0</v>
      </c>
      <c r="T71">
        <f t="shared" si="20"/>
        <v>50</v>
      </c>
      <c r="U71" s="3"/>
      <c r="V71">
        <f t="shared" si="16"/>
        <v>10020.904312015744</v>
      </c>
      <c r="W71" s="3"/>
      <c r="X71">
        <f t="shared" si="17"/>
        <v>2033.6210747733776</v>
      </c>
      <c r="Y71">
        <f t="shared" si="18"/>
        <v>45.095687984256074</v>
      </c>
      <c r="AA71">
        <f t="shared" si="19"/>
        <v>4.9774590261636032E-5</v>
      </c>
      <c r="AB71" s="3"/>
    </row>
    <row r="72" spans="2:28" x14ac:dyDescent="0.35">
      <c r="B72" s="19">
        <v>35.227272727272727</v>
      </c>
      <c r="C72" s="19">
        <v>9856</v>
      </c>
      <c r="D72">
        <f t="shared" si="9"/>
        <v>-1.2697701190378612</v>
      </c>
      <c r="E72">
        <f t="shared" si="9"/>
        <v>22.22127789406283</v>
      </c>
      <c r="F72">
        <f t="shared" si="9"/>
        <v>1.3201421797332271</v>
      </c>
      <c r="G72">
        <f t="shared" si="9"/>
        <v>1.3201421797332271</v>
      </c>
      <c r="H72">
        <f t="shared" si="9"/>
        <v>1.3201421797332271</v>
      </c>
      <c r="I72" s="3"/>
      <c r="J72">
        <f t="shared" si="10"/>
        <v>0.2244284063398902</v>
      </c>
      <c r="K72">
        <f t="shared" si="11"/>
        <v>19.263087209297343</v>
      </c>
      <c r="L72">
        <f t="shared" si="12"/>
        <v>1.1663031414790861</v>
      </c>
      <c r="M72">
        <f t="shared" si="13"/>
        <v>1.1663031414790861</v>
      </c>
      <c r="N72">
        <f t="shared" si="14"/>
        <v>1.1663031414790861</v>
      </c>
      <c r="O72" s="3"/>
      <c r="P72">
        <f t="shared" si="15"/>
        <v>7223.832542219212</v>
      </c>
      <c r="Q72">
        <f t="shared" si="21"/>
        <v>2574.2983878502669</v>
      </c>
      <c r="R72">
        <f t="shared" si="22"/>
        <v>0</v>
      </c>
      <c r="S72">
        <f t="shared" si="23"/>
        <v>0</v>
      </c>
      <c r="T72">
        <f t="shared" si="20"/>
        <v>50</v>
      </c>
      <c r="U72" s="3"/>
      <c r="V72">
        <f t="shared" si="16"/>
        <v>9848.1309300694793</v>
      </c>
      <c r="W72" s="3"/>
      <c r="X72">
        <f t="shared" si="17"/>
        <v>61.922261571425196</v>
      </c>
      <c r="Y72">
        <f t="shared" si="18"/>
        <v>7.869069930520709</v>
      </c>
      <c r="AA72">
        <f t="shared" si="19"/>
        <v>8.6855251364293032E-6</v>
      </c>
      <c r="AB72" s="3"/>
    </row>
    <row r="73" spans="2:28" x14ac:dyDescent="0.35">
      <c r="B73" s="19">
        <v>36.36363636363636</v>
      </c>
      <c r="C73" s="19">
        <v>9648</v>
      </c>
      <c r="D73">
        <f t="shared" si="9"/>
        <v>-1.2504841350685387</v>
      </c>
      <c r="E73">
        <f t="shared" si="9"/>
        <v>22.368273324267793</v>
      </c>
      <c r="F73">
        <f t="shared" si="9"/>
        <v>1.4337785433695904</v>
      </c>
      <c r="G73">
        <f t="shared" si="9"/>
        <v>1.4337785433695904</v>
      </c>
      <c r="H73">
        <f t="shared" si="9"/>
        <v>1.4337785433695904</v>
      </c>
      <c r="I73" s="3"/>
      <c r="J73">
        <f t="shared" si="10"/>
        <v>0.22798617087141806</v>
      </c>
      <c r="K73">
        <f t="shared" si="11"/>
        <v>19.40285319700212</v>
      </c>
      <c r="L73">
        <f t="shared" si="12"/>
        <v>1.2282159081391297</v>
      </c>
      <c r="M73">
        <f t="shared" si="13"/>
        <v>1.2282159081391297</v>
      </c>
      <c r="N73">
        <f t="shared" si="14"/>
        <v>1.2282159081391297</v>
      </c>
      <c r="O73" s="3"/>
      <c r="P73">
        <f t="shared" si="15"/>
        <v>7090.5008197264015</v>
      </c>
      <c r="Q73">
        <f t="shared" si="21"/>
        <v>2538.247029300263</v>
      </c>
      <c r="R73">
        <f t="shared" si="22"/>
        <v>0</v>
      </c>
      <c r="S73">
        <f t="shared" si="23"/>
        <v>0</v>
      </c>
      <c r="T73">
        <f t="shared" si="20"/>
        <v>50</v>
      </c>
      <c r="U73" s="3"/>
      <c r="V73">
        <f t="shared" si="16"/>
        <v>9678.747849026664</v>
      </c>
      <c r="W73" s="3"/>
      <c r="X73">
        <f t="shared" si="17"/>
        <v>945.43021976652051</v>
      </c>
      <c r="Y73">
        <f t="shared" si="18"/>
        <v>30.747849026663971</v>
      </c>
      <c r="AA73">
        <f t="shared" si="19"/>
        <v>3.3938091536892892E-5</v>
      </c>
      <c r="AB73" s="3"/>
    </row>
    <row r="74" spans="2:28" x14ac:dyDescent="0.35">
      <c r="B74" s="19">
        <v>37.5</v>
      </c>
      <c r="C74" s="19">
        <v>9554</v>
      </c>
      <c r="D74">
        <f t="shared" si="9"/>
        <v>-1.2311981510992163</v>
      </c>
      <c r="E74">
        <f t="shared" si="9"/>
        <v>22.515268754472761</v>
      </c>
      <c r="F74">
        <f t="shared" si="9"/>
        <v>1.5474149070059542</v>
      </c>
      <c r="G74">
        <f t="shared" si="9"/>
        <v>1.5474149070059542</v>
      </c>
      <c r="H74">
        <f t="shared" si="9"/>
        <v>1.5474149070059542</v>
      </c>
      <c r="I74" s="3"/>
      <c r="J74">
        <f t="shared" si="10"/>
        <v>0.23158972941017442</v>
      </c>
      <c r="K74">
        <f t="shared" si="11"/>
        <v>19.542668548673369</v>
      </c>
      <c r="L74">
        <f t="shared" si="12"/>
        <v>1.2915623203652953</v>
      </c>
      <c r="M74">
        <f t="shared" si="13"/>
        <v>1.2915623203652953</v>
      </c>
      <c r="N74">
        <f t="shared" si="14"/>
        <v>1.2915623203652953</v>
      </c>
      <c r="O74" s="3"/>
      <c r="P74">
        <f t="shared" si="15"/>
        <v>6959.7483734010011</v>
      </c>
      <c r="Q74">
        <f t="shared" si="21"/>
        <v>2502.9355331729466</v>
      </c>
      <c r="R74">
        <f t="shared" si="22"/>
        <v>0</v>
      </c>
      <c r="S74">
        <f t="shared" si="23"/>
        <v>0</v>
      </c>
      <c r="T74">
        <f t="shared" si="20"/>
        <v>50</v>
      </c>
      <c r="U74" s="3"/>
      <c r="V74">
        <f t="shared" si="16"/>
        <v>9512.6839065739478</v>
      </c>
      <c r="W74" s="3"/>
      <c r="X74">
        <f t="shared" si="17"/>
        <v>1707.0195759902779</v>
      </c>
      <c r="Y74">
        <f t="shared" si="18"/>
        <v>41.316093426052248</v>
      </c>
      <c r="AA74">
        <f t="shared" si="19"/>
        <v>4.5602843939562305E-5</v>
      </c>
      <c r="AB74" s="3"/>
    </row>
    <row r="75" spans="2:28" x14ac:dyDescent="0.35">
      <c r="B75" s="19">
        <v>38.636363636363633</v>
      </c>
      <c r="C75" s="19">
        <v>9326</v>
      </c>
      <c r="D75">
        <f t="shared" si="9"/>
        <v>-1.2119121671298938</v>
      </c>
      <c r="E75">
        <f t="shared" si="9"/>
        <v>22.662264184677724</v>
      </c>
      <c r="F75">
        <f t="shared" si="9"/>
        <v>1.6610512706423175</v>
      </c>
      <c r="G75">
        <f t="shared" si="9"/>
        <v>1.6610512706423175</v>
      </c>
      <c r="H75">
        <f t="shared" si="9"/>
        <v>1.6610512706423175</v>
      </c>
      <c r="I75" s="3"/>
      <c r="J75">
        <f t="shared" si="10"/>
        <v>0.23523939863842316</v>
      </c>
      <c r="K75">
        <f t="shared" si="11"/>
        <v>19.68253261171381</v>
      </c>
      <c r="L75">
        <f t="shared" si="12"/>
        <v>1.3562947427982135</v>
      </c>
      <c r="M75">
        <f t="shared" si="13"/>
        <v>1.3562947427982135</v>
      </c>
      <c r="N75">
        <f t="shared" si="14"/>
        <v>1.3562947427982135</v>
      </c>
      <c r="O75" s="3"/>
      <c r="P75">
        <f t="shared" si="15"/>
        <v>6831.5255387273892</v>
      </c>
      <c r="Q75">
        <f t="shared" si="21"/>
        <v>2468.344038233839</v>
      </c>
      <c r="R75">
        <f t="shared" si="22"/>
        <v>0</v>
      </c>
      <c r="S75">
        <f t="shared" si="23"/>
        <v>0</v>
      </c>
      <c r="T75">
        <f t="shared" si="20"/>
        <v>50</v>
      </c>
      <c r="U75" s="3"/>
      <c r="V75">
        <f t="shared" si="16"/>
        <v>9349.8695769612277</v>
      </c>
      <c r="W75" s="3"/>
      <c r="X75">
        <f t="shared" si="17"/>
        <v>569.75670430797322</v>
      </c>
      <c r="Y75">
        <f t="shared" si="18"/>
        <v>23.869576961227722</v>
      </c>
      <c r="AA75">
        <f t="shared" si="19"/>
        <v>2.6346164479816545E-5</v>
      </c>
      <c r="AB75" s="3"/>
    </row>
    <row r="76" spans="2:28" x14ac:dyDescent="0.35">
      <c r="B76" s="19">
        <v>39.772727272727266</v>
      </c>
      <c r="C76" s="19">
        <v>9104</v>
      </c>
      <c r="D76">
        <f t="shared" si="9"/>
        <v>-1.1926261831605713</v>
      </c>
      <c r="E76">
        <f t="shared" si="9"/>
        <v>22.809259614882688</v>
      </c>
      <c r="F76">
        <f t="shared" si="9"/>
        <v>1.7746876342786808</v>
      </c>
      <c r="G76">
        <f t="shared" si="9"/>
        <v>1.7746876342786808</v>
      </c>
      <c r="H76">
        <f t="shared" si="9"/>
        <v>1.7746876342786808</v>
      </c>
      <c r="I76" s="3"/>
      <c r="J76">
        <f t="shared" si="10"/>
        <v>0.23893549128094843</v>
      </c>
      <c r="K76">
        <f t="shared" si="11"/>
        <v>19.822444746152957</v>
      </c>
      <c r="L76">
        <f t="shared" si="12"/>
        <v>1.4223659718440844</v>
      </c>
      <c r="M76">
        <f t="shared" si="13"/>
        <v>1.4223659718440844</v>
      </c>
      <c r="N76">
        <f t="shared" si="14"/>
        <v>1.4223659718440844</v>
      </c>
      <c r="O76" s="3"/>
      <c r="P76">
        <f t="shared" si="15"/>
        <v>6705.7835874537059</v>
      </c>
      <c r="Q76">
        <f t="shared" si="21"/>
        <v>2434.4533387016131</v>
      </c>
      <c r="R76">
        <f t="shared" si="22"/>
        <v>0</v>
      </c>
      <c r="S76">
        <f t="shared" si="23"/>
        <v>0</v>
      </c>
      <c r="T76">
        <f t="shared" si="20"/>
        <v>50</v>
      </c>
      <c r="U76" s="3"/>
      <c r="V76">
        <f t="shared" si="16"/>
        <v>9190.2369261553195</v>
      </c>
      <c r="W76" s="3"/>
      <c r="X76">
        <f t="shared" si="17"/>
        <v>7436.8074327180202</v>
      </c>
      <c r="Y76">
        <f t="shared" si="18"/>
        <v>86.236926155319452</v>
      </c>
      <c r="AA76">
        <f t="shared" si="19"/>
        <v>9.5184436842444138E-5</v>
      </c>
      <c r="AB76" s="3"/>
    </row>
    <row r="77" spans="2:28" x14ac:dyDescent="0.35">
      <c r="B77" s="19">
        <v>40.909090909090914</v>
      </c>
      <c r="C77" s="19">
        <v>8980</v>
      </c>
      <c r="D77">
        <f t="shared" si="9"/>
        <v>-1.1733401991912487</v>
      </c>
      <c r="E77">
        <f t="shared" si="9"/>
        <v>22.956255045087655</v>
      </c>
      <c r="F77">
        <f t="shared" si="9"/>
        <v>1.8883239979150459</v>
      </c>
      <c r="G77">
        <f t="shared" si="9"/>
        <v>1.8883239979150459</v>
      </c>
      <c r="H77">
        <f t="shared" si="9"/>
        <v>1.8883239979150459</v>
      </c>
      <c r="I77" s="3"/>
      <c r="J77">
        <f t="shared" si="10"/>
        <v>0.24267831598438364</v>
      </c>
      <c r="K77">
        <f t="shared" si="11"/>
        <v>19.962404324328052</v>
      </c>
      <c r="L77">
        <f t="shared" si="12"/>
        <v>1.4897294629399267</v>
      </c>
      <c r="M77">
        <f t="shared" si="13"/>
        <v>1.4897294629399267</v>
      </c>
      <c r="N77">
        <f t="shared" si="14"/>
        <v>1.4897294629399267</v>
      </c>
      <c r="O77" s="3"/>
      <c r="P77">
        <f t="shared" si="15"/>
        <v>6582.4747098837915</v>
      </c>
      <c r="Q77">
        <f t="shared" si="21"/>
        <v>2401.2448586769415</v>
      </c>
      <c r="R77">
        <f t="shared" si="22"/>
        <v>0</v>
      </c>
      <c r="S77">
        <f t="shared" si="23"/>
        <v>0</v>
      </c>
      <c r="T77">
        <f t="shared" si="20"/>
        <v>50</v>
      </c>
      <c r="U77" s="3"/>
      <c r="V77">
        <f t="shared" si="16"/>
        <v>9033.719568560733</v>
      </c>
      <c r="W77" s="3"/>
      <c r="X77">
        <f t="shared" si="17"/>
        <v>2885.792046351296</v>
      </c>
      <c r="Y77">
        <f t="shared" si="18"/>
        <v>53.719568560733023</v>
      </c>
      <c r="AA77">
        <f t="shared" si="19"/>
        <v>5.9293241408709839E-5</v>
      </c>
      <c r="AB77" s="3"/>
    </row>
    <row r="78" spans="2:28" x14ac:dyDescent="0.35">
      <c r="B78" s="19">
        <v>42.045454545454547</v>
      </c>
      <c r="C78" s="19">
        <v>8834</v>
      </c>
      <c r="D78">
        <f t="shared" si="9"/>
        <v>-1.1540542152219262</v>
      </c>
      <c r="E78">
        <f t="shared" si="9"/>
        <v>23.103250475292619</v>
      </c>
      <c r="F78">
        <f t="shared" si="9"/>
        <v>2.0019603615514092</v>
      </c>
      <c r="G78">
        <f t="shared" si="9"/>
        <v>2.0019603615514092</v>
      </c>
      <c r="H78">
        <f t="shared" si="9"/>
        <v>2.0019603615514092</v>
      </c>
      <c r="I78" s="3"/>
      <c r="J78">
        <f t="shared" si="10"/>
        <v>0.24646817719832456</v>
      </c>
      <c r="K78">
        <f t="shared" si="11"/>
        <v>20.102410730574913</v>
      </c>
      <c r="L78">
        <f t="shared" si="12"/>
        <v>1.5583395184365516</v>
      </c>
      <c r="M78">
        <f t="shared" si="13"/>
        <v>1.5583395184365516</v>
      </c>
      <c r="N78">
        <f t="shared" si="14"/>
        <v>1.5583395184365516</v>
      </c>
      <c r="O78" s="3"/>
      <c r="P78">
        <f t="shared" si="15"/>
        <v>6461.551997519714</v>
      </c>
      <c r="Q78">
        <f t="shared" si="21"/>
        <v>2368.7006277192718</v>
      </c>
      <c r="R78">
        <f t="shared" si="22"/>
        <v>0</v>
      </c>
      <c r="S78">
        <f t="shared" si="23"/>
        <v>0</v>
      </c>
      <c r="T78">
        <f t="shared" si="20"/>
        <v>50</v>
      </c>
      <c r="U78" s="3"/>
      <c r="V78">
        <f t="shared" si="16"/>
        <v>8880.2526252389853</v>
      </c>
      <c r="W78" s="3"/>
      <c r="X78">
        <f t="shared" si="17"/>
        <v>2139.3053414980177</v>
      </c>
      <c r="Y78">
        <f t="shared" si="18"/>
        <v>46.252625238985274</v>
      </c>
      <c r="AA78">
        <f t="shared" si="19"/>
        <v>5.1051565519950587E-5</v>
      </c>
      <c r="AB78" s="3"/>
    </row>
    <row r="79" spans="2:28" x14ac:dyDescent="0.35">
      <c r="B79" s="19">
        <v>43.18181818181818</v>
      </c>
      <c r="C79" s="19">
        <v>8674</v>
      </c>
      <c r="D79">
        <f t="shared" si="9"/>
        <v>-1.134768231252604</v>
      </c>
      <c r="E79">
        <f t="shared" si="9"/>
        <v>23.250245905497582</v>
      </c>
      <c r="F79">
        <f t="shared" si="9"/>
        <v>2.1155967251877725</v>
      </c>
      <c r="G79">
        <f t="shared" si="9"/>
        <v>2.1155967251877725</v>
      </c>
      <c r="H79">
        <f t="shared" si="9"/>
        <v>2.1155967251877725</v>
      </c>
      <c r="I79" s="3"/>
      <c r="J79">
        <f t="shared" si="10"/>
        <v>0.25030537505834682</v>
      </c>
      <c r="K79">
        <f t="shared" si="11"/>
        <v>20.242463360928333</v>
      </c>
      <c r="L79">
        <f t="shared" si="12"/>
        <v>1.6281514398889168</v>
      </c>
      <c r="M79">
        <f t="shared" si="13"/>
        <v>1.6281514398889168</v>
      </c>
      <c r="N79">
        <f t="shared" si="14"/>
        <v>1.6281514398889168</v>
      </c>
      <c r="O79" s="3"/>
      <c r="P79">
        <f t="shared" si="15"/>
        <v>6342.9694260480328</v>
      </c>
      <c r="Q79">
        <f t="shared" si="21"/>
        <v>2336.8032575133811</v>
      </c>
      <c r="R79">
        <f t="shared" si="22"/>
        <v>0</v>
      </c>
      <c r="S79">
        <f t="shared" si="23"/>
        <v>0</v>
      </c>
      <c r="T79">
        <f t="shared" si="20"/>
        <v>50</v>
      </c>
      <c r="U79" s="3"/>
      <c r="V79">
        <f t="shared" si="16"/>
        <v>8729.7726835614139</v>
      </c>
      <c r="W79" s="3"/>
      <c r="X79">
        <f t="shared" si="17"/>
        <v>3110.5922316416131</v>
      </c>
      <c r="Y79">
        <f t="shared" si="18"/>
        <v>55.772683561413942</v>
      </c>
      <c r="AA79">
        <f t="shared" si="19"/>
        <v>6.155937731852431E-5</v>
      </c>
      <c r="AB79" s="3"/>
    </row>
    <row r="80" spans="2:28" x14ac:dyDescent="0.35">
      <c r="B80" s="19">
        <v>44.31818181818182</v>
      </c>
      <c r="C80" s="19">
        <v>8588</v>
      </c>
      <c r="D80">
        <f t="shared" si="9"/>
        <v>-1.1154822472832813</v>
      </c>
      <c r="E80">
        <f t="shared" si="9"/>
        <v>23.397241335702549</v>
      </c>
      <c r="F80">
        <f t="shared" si="9"/>
        <v>2.2292330888241367</v>
      </c>
      <c r="G80">
        <f t="shared" si="9"/>
        <v>2.2292330888241367</v>
      </c>
      <c r="H80">
        <f t="shared" si="9"/>
        <v>2.2292330888241367</v>
      </c>
      <c r="I80" s="3"/>
      <c r="J80">
        <f t="shared" si="10"/>
        <v>0.2541902052710463</v>
      </c>
      <c r="K80">
        <f t="shared" si="11"/>
        <v>20.382561622831616</v>
      </c>
      <c r="L80">
        <f t="shared" si="12"/>
        <v>1.6991216485872787</v>
      </c>
      <c r="M80">
        <f t="shared" si="13"/>
        <v>1.6991216485872787</v>
      </c>
      <c r="N80">
        <f t="shared" si="14"/>
        <v>1.6991216485872787</v>
      </c>
      <c r="O80" s="3"/>
      <c r="P80">
        <f t="shared" si="15"/>
        <v>6226.6818386629757</v>
      </c>
      <c r="Q80">
        <f t="shared" si="21"/>
        <v>2305.5359195708643</v>
      </c>
      <c r="R80">
        <f t="shared" si="22"/>
        <v>0</v>
      </c>
      <c r="S80">
        <f t="shared" si="23"/>
        <v>0</v>
      </c>
      <c r="T80">
        <f t="shared" si="20"/>
        <v>50</v>
      </c>
      <c r="U80" s="3"/>
      <c r="V80">
        <f t="shared" si="16"/>
        <v>8582.2177582338409</v>
      </c>
      <c r="W80" s="3"/>
      <c r="X80">
        <f t="shared" si="17"/>
        <v>33.434319842315077</v>
      </c>
      <c r="Y80">
        <f t="shared" si="18"/>
        <v>5.7822417661591317</v>
      </c>
      <c r="AA80">
        <f t="shared" si="19"/>
        <v>6.3821781542565661E-6</v>
      </c>
      <c r="AB80" s="3"/>
    </row>
    <row r="81" spans="2:28" x14ac:dyDescent="0.35">
      <c r="B81" s="19">
        <v>45.454545454545453</v>
      </c>
      <c r="C81" s="19">
        <v>8488</v>
      </c>
      <c r="D81">
        <f t="shared" si="9"/>
        <v>-1.096196263313959</v>
      </c>
      <c r="E81">
        <f t="shared" si="9"/>
        <v>23.544236765907513</v>
      </c>
      <c r="F81">
        <f t="shared" si="9"/>
        <v>2.3428694524605</v>
      </c>
      <c r="G81">
        <f t="shared" si="9"/>
        <v>2.3428694524605</v>
      </c>
      <c r="H81">
        <f t="shared" si="9"/>
        <v>2.3428694524605</v>
      </c>
      <c r="I81" s="3"/>
      <c r="J81">
        <f t="shared" si="10"/>
        <v>0.25812295900121729</v>
      </c>
      <c r="K81">
        <f t="shared" si="11"/>
        <v>20.522704934854985</v>
      </c>
      <c r="L81">
        <f t="shared" si="12"/>
        <v>1.7712077780797824</v>
      </c>
      <c r="M81">
        <f t="shared" si="13"/>
        <v>1.7712077780797824</v>
      </c>
      <c r="N81">
        <f t="shared" si="14"/>
        <v>1.7712077780797824</v>
      </c>
      <c r="O81" s="3"/>
      <c r="P81">
        <f t="shared" si="15"/>
        <v>6112.6449297199588</v>
      </c>
      <c r="Q81">
        <f t="shared" si="21"/>
        <v>2274.8823239147455</v>
      </c>
      <c r="R81">
        <f t="shared" si="22"/>
        <v>0</v>
      </c>
      <c r="S81">
        <f t="shared" si="23"/>
        <v>0</v>
      </c>
      <c r="T81">
        <f t="shared" si="20"/>
        <v>50</v>
      </c>
      <c r="U81" s="3"/>
      <c r="V81">
        <f t="shared" si="16"/>
        <v>8437.5272536347038</v>
      </c>
      <c r="W81" s="3"/>
      <c r="X81">
        <f t="shared" si="17"/>
        <v>2547.4981256555197</v>
      </c>
      <c r="Y81">
        <f t="shared" si="18"/>
        <v>50.472746365296189</v>
      </c>
      <c r="AA81">
        <f t="shared" si="19"/>
        <v>5.5709545236102928E-5</v>
      </c>
      <c r="AB81" s="3"/>
    </row>
    <row r="82" spans="2:28" x14ac:dyDescent="0.35">
      <c r="B82" s="19">
        <v>46.590909090909086</v>
      </c>
      <c r="C82" s="19">
        <v>8400</v>
      </c>
      <c r="D82">
        <f t="shared" si="9"/>
        <v>-1.0769102793446366</v>
      </c>
      <c r="E82">
        <f t="shared" si="9"/>
        <v>23.691232196112477</v>
      </c>
      <c r="F82">
        <f t="shared" si="9"/>
        <v>2.4565058160968634</v>
      </c>
      <c r="G82">
        <f t="shared" si="9"/>
        <v>2.4565058160968634</v>
      </c>
      <c r="H82">
        <f t="shared" si="9"/>
        <v>2.4565058160968634</v>
      </c>
      <c r="I82" s="3"/>
      <c r="J82">
        <f t="shared" si="10"/>
        <v>0.26210392276128552</v>
      </c>
      <c r="K82">
        <f t="shared" si="11"/>
        <v>20.662892726422545</v>
      </c>
      <c r="L82">
        <f t="shared" si="12"/>
        <v>1.8443687422638249</v>
      </c>
      <c r="M82">
        <f t="shared" si="13"/>
        <v>1.8443687422638249</v>
      </c>
      <c r="N82">
        <f t="shared" si="14"/>
        <v>1.8443687422638249</v>
      </c>
      <c r="O82" s="3"/>
      <c r="P82">
        <f t="shared" si="15"/>
        <v>6000.8152287127587</v>
      </c>
      <c r="Q82">
        <f t="shared" si="21"/>
        <v>2244.8266986982894</v>
      </c>
      <c r="R82">
        <f t="shared" si="22"/>
        <v>0</v>
      </c>
      <c r="S82">
        <f t="shared" si="23"/>
        <v>0</v>
      </c>
      <c r="T82">
        <f t="shared" si="20"/>
        <v>50</v>
      </c>
      <c r="U82" s="3"/>
      <c r="V82">
        <f t="shared" si="16"/>
        <v>8295.6419274110485</v>
      </c>
      <c r="W82" s="3"/>
      <c r="X82">
        <f t="shared" si="17"/>
        <v>10890.607314480865</v>
      </c>
      <c r="Y82">
        <f t="shared" si="18"/>
        <v>104.35807258895147</v>
      </c>
      <c r="AA82">
        <f t="shared" si="19"/>
        <v>1.1518574249100282E-4</v>
      </c>
      <c r="AB82" s="3"/>
    </row>
    <row r="83" spans="2:28" x14ac:dyDescent="0.35">
      <c r="B83" s="19">
        <v>47.727272727272727</v>
      </c>
      <c r="C83" s="19">
        <v>8214</v>
      </c>
      <c r="D83">
        <f t="shared" si="9"/>
        <v>-1.0576242953753141</v>
      </c>
      <c r="E83">
        <f t="shared" si="9"/>
        <v>23.83822762631744</v>
      </c>
      <c r="F83">
        <f t="shared" si="9"/>
        <v>2.5701421797332267</v>
      </c>
      <c r="G83">
        <f t="shared" si="9"/>
        <v>2.5701421797332267</v>
      </c>
      <c r="H83">
        <f t="shared" si="9"/>
        <v>2.5701421797332267</v>
      </c>
      <c r="I83" s="3"/>
      <c r="J83">
        <f t="shared" si="10"/>
        <v>0.26613337830310391</v>
      </c>
      <c r="K83">
        <f t="shared" si="11"/>
        <v>20.803124437547435</v>
      </c>
      <c r="L83">
        <f t="shared" si="12"/>
        <v>1.9185647823898022</v>
      </c>
      <c r="M83">
        <f t="shared" si="13"/>
        <v>1.9185647823898022</v>
      </c>
      <c r="N83">
        <f t="shared" si="14"/>
        <v>1.9185647823898022</v>
      </c>
      <c r="O83" s="3"/>
      <c r="P83">
        <f t="shared" si="15"/>
        <v>5891.1500845680221</v>
      </c>
      <c r="Q83">
        <f t="shared" si="21"/>
        <v>2215.353770711828</v>
      </c>
      <c r="R83">
        <f t="shared" si="22"/>
        <v>0</v>
      </c>
      <c r="S83">
        <f t="shared" si="23"/>
        <v>0</v>
      </c>
      <c r="T83">
        <f t="shared" si="20"/>
        <v>50</v>
      </c>
      <c r="U83" s="3"/>
      <c r="V83">
        <f t="shared" si="16"/>
        <v>8156.5038552798505</v>
      </c>
      <c r="W83" s="3"/>
      <c r="X83">
        <f t="shared" si="17"/>
        <v>3305.8066576803703</v>
      </c>
      <c r="Y83">
        <f t="shared" si="18"/>
        <v>57.496144720149459</v>
      </c>
      <c r="AA83">
        <f t="shared" si="19"/>
        <v>6.3461656158085515E-5</v>
      </c>
      <c r="AB83" s="3"/>
    </row>
    <row r="84" spans="2:28" x14ac:dyDescent="0.35">
      <c r="B84" s="19">
        <v>48.86363636363636</v>
      </c>
      <c r="C84" s="19">
        <v>8040</v>
      </c>
      <c r="D84">
        <f t="shared" si="9"/>
        <v>-1.0383383114059916</v>
      </c>
      <c r="E84">
        <f t="shared" si="9"/>
        <v>23.985223056522408</v>
      </c>
      <c r="F84">
        <f t="shared" si="9"/>
        <v>2.6837785433695909</v>
      </c>
      <c r="G84">
        <f t="shared" si="9"/>
        <v>2.6837785433695909</v>
      </c>
      <c r="H84">
        <f t="shared" si="9"/>
        <v>2.6837785433695909</v>
      </c>
      <c r="I84" s="3"/>
      <c r="J84">
        <f t="shared" si="10"/>
        <v>0.27021160251222182</v>
      </c>
      <c r="K84">
        <f t="shared" si="11"/>
        <v>20.943399518574942</v>
      </c>
      <c r="L84">
        <f t="shared" si="12"/>
        <v>1.9937574960508968</v>
      </c>
      <c r="M84">
        <f t="shared" si="13"/>
        <v>1.9937574960508968</v>
      </c>
      <c r="N84">
        <f t="shared" si="14"/>
        <v>1.9937574960508968</v>
      </c>
      <c r="O84" s="3"/>
      <c r="P84">
        <f t="shared" si="15"/>
        <v>5783.6076502506457</v>
      </c>
      <c r="Q84">
        <f t="shared" si="21"/>
        <v>2186.44874673391</v>
      </c>
      <c r="R84">
        <f t="shared" si="22"/>
        <v>0</v>
      </c>
      <c r="S84">
        <f t="shared" si="23"/>
        <v>0</v>
      </c>
      <c r="T84">
        <f t="shared" si="20"/>
        <v>50</v>
      </c>
      <c r="U84" s="3"/>
      <c r="V84">
        <f t="shared" si="16"/>
        <v>8020.0563969845552</v>
      </c>
      <c r="W84" s="3"/>
      <c r="X84">
        <f t="shared" si="17"/>
        <v>397.74730123765698</v>
      </c>
      <c r="Y84">
        <f t="shared" si="18"/>
        <v>19.943603015444751</v>
      </c>
      <c r="AA84">
        <f t="shared" si="19"/>
        <v>2.2012851179497693E-5</v>
      </c>
      <c r="AB84" s="3"/>
    </row>
    <row r="85" spans="2:28" x14ac:dyDescent="0.35">
      <c r="B85" s="19">
        <v>50</v>
      </c>
      <c r="C85" s="19">
        <v>7914</v>
      </c>
      <c r="D85">
        <f t="shared" si="9"/>
        <v>-1.0190523274366692</v>
      </c>
      <c r="E85">
        <f t="shared" si="9"/>
        <v>24.132218486727371</v>
      </c>
      <c r="F85">
        <f t="shared" si="9"/>
        <v>2.7974149070059542</v>
      </c>
      <c r="G85">
        <f t="shared" si="9"/>
        <v>2.7974149070059542</v>
      </c>
      <c r="H85">
        <f t="shared" si="9"/>
        <v>2.7974149070059542</v>
      </c>
      <c r="I85" s="3"/>
      <c r="J85">
        <f t="shared" ref="J85:J88" si="24">lmb_2(D85)</f>
        <v>0.274338867304733</v>
      </c>
      <c r="K85">
        <f t="shared" ref="K85:K88" si="25">lmb_2(E85)</f>
        <v>21.083717429933248</v>
      </c>
      <c r="L85">
        <f t="shared" ref="L85:L88" si="26">lmb_2(F85)</f>
        <v>2.0699098509450895</v>
      </c>
      <c r="M85">
        <f t="shared" ref="M85:M88" si="27">lmb_2(G85)</f>
        <v>2.0699098509450895</v>
      </c>
      <c r="N85">
        <f t="shared" ref="N85:N88" si="28">lmb_2(H85)</f>
        <v>2.0699098509450895</v>
      </c>
      <c r="O85" s="3"/>
      <c r="P85">
        <f t="shared" si="15"/>
        <v>5678.1468676738477</v>
      </c>
      <c r="Q85">
        <f t="shared" ref="Q85:Q88" si="29">(D$21*$A$21)/(K85+K85^2)</f>
        <v>2158.097295685508</v>
      </c>
      <c r="R85">
        <f t="shared" ref="R85:R88" si="30">(E$21*$A$21)/(L85+L85^2)</f>
        <v>0</v>
      </c>
      <c r="S85">
        <f t="shared" ref="S85:S88" si="31">(F$21*$A$21)/(M85+M85^2)</f>
        <v>0</v>
      </c>
      <c r="T85">
        <f t="shared" si="20"/>
        <v>50</v>
      </c>
      <c r="U85" s="3"/>
      <c r="V85">
        <f t="shared" ref="V85:V88" si="32">SUM(P85:T85)</f>
        <v>7886.2441633593553</v>
      </c>
      <c r="W85" s="3"/>
      <c r="X85">
        <f t="shared" ref="X85:X88" si="33">(V85-C85)^2</f>
        <v>770.38646762215501</v>
      </c>
      <c r="Y85">
        <f t="shared" ref="Y85:Y88" si="34">ABS(V85-C85)</f>
        <v>27.755836640644702</v>
      </c>
      <c r="AA85">
        <f t="shared" ref="AA85:AA88" si="35">Y85/$Z$41</f>
        <v>3.0635642960793053E-5</v>
      </c>
      <c r="AB85" s="3"/>
    </row>
    <row r="86" spans="2:28" x14ac:dyDescent="0.35">
      <c r="B86" s="19">
        <v>51.13636363636364</v>
      </c>
      <c r="C86" s="19">
        <v>7700</v>
      </c>
      <c r="D86">
        <f t="shared" si="9"/>
        <v>-0.9997663434673465</v>
      </c>
      <c r="E86">
        <f t="shared" si="9"/>
        <v>24.279213916932335</v>
      </c>
      <c r="F86">
        <f t="shared" si="9"/>
        <v>2.9110512706423184</v>
      </c>
      <c r="G86">
        <f t="shared" si="9"/>
        <v>2.9110512706423184</v>
      </c>
      <c r="H86">
        <f t="shared" si="9"/>
        <v>2.9110512706423184</v>
      </c>
      <c r="I86" s="3"/>
      <c r="J86">
        <f t="shared" si="24"/>
        <v>0.27851543952680408</v>
      </c>
      <c r="K86">
        <f t="shared" si="25"/>
        <v>21.224077641891583</v>
      </c>
      <c r="L86">
        <f t="shared" si="26"/>
        <v>2.1469861859047996</v>
      </c>
      <c r="M86">
        <f t="shared" si="27"/>
        <v>2.1469861859047996</v>
      </c>
      <c r="N86">
        <f t="shared" si="28"/>
        <v>2.1469861859047996</v>
      </c>
      <c r="O86" s="3"/>
      <c r="P86">
        <f t="shared" si="15"/>
        <v>5574.727452907734</v>
      </c>
      <c r="Q86">
        <f t="shared" si="29"/>
        <v>2130.2855315482348</v>
      </c>
      <c r="R86">
        <f t="shared" si="30"/>
        <v>0</v>
      </c>
      <c r="S86">
        <f t="shared" si="31"/>
        <v>0</v>
      </c>
      <c r="T86">
        <f t="shared" si="20"/>
        <v>50</v>
      </c>
      <c r="U86" s="3"/>
      <c r="V86">
        <f t="shared" si="32"/>
        <v>7755.0129844559688</v>
      </c>
      <c r="W86" s="3"/>
      <c r="X86">
        <f t="shared" si="33"/>
        <v>3026.4284587526608</v>
      </c>
      <c r="Y86">
        <f t="shared" si="34"/>
        <v>55.012984455968763</v>
      </c>
      <c r="AA86">
        <f t="shared" si="35"/>
        <v>6.0720855646366492E-5</v>
      </c>
      <c r="AB86" s="3"/>
    </row>
    <row r="87" spans="2:28" x14ac:dyDescent="0.35">
      <c r="B87" s="19">
        <v>52.272727272727273</v>
      </c>
      <c r="C87" s="19">
        <v>7616</v>
      </c>
      <c r="D87">
        <f t="shared" si="9"/>
        <v>-0.98048035949802415</v>
      </c>
      <c r="E87">
        <f t="shared" si="9"/>
        <v>24.426209347137302</v>
      </c>
      <c r="F87">
        <f t="shared" si="9"/>
        <v>3.0246876342786817</v>
      </c>
      <c r="G87">
        <f t="shared" si="9"/>
        <v>3.0246876342786817</v>
      </c>
      <c r="H87">
        <f t="shared" si="9"/>
        <v>3.0246876342786817</v>
      </c>
      <c r="I87" s="3"/>
      <c r="J87">
        <f t="shared" si="24"/>
        <v>0.28274158085698331</v>
      </c>
      <c r="K87">
        <f t="shared" si="25"/>
        <v>21.364479634325498</v>
      </c>
      <c r="L87">
        <f t="shared" si="26"/>
        <v>2.224952201405578</v>
      </c>
      <c r="M87">
        <f t="shared" si="27"/>
        <v>2.224952201405578</v>
      </c>
      <c r="N87">
        <f t="shared" si="28"/>
        <v>2.224952201405578</v>
      </c>
      <c r="O87" s="3"/>
      <c r="P87">
        <f t="shared" si="15"/>
        <v>5473.3098816803249</v>
      </c>
      <c r="Q87">
        <f t="shared" si="29"/>
        <v>2102.9999970096505</v>
      </c>
      <c r="R87">
        <f t="shared" si="30"/>
        <v>0</v>
      </c>
      <c r="S87">
        <f t="shared" si="31"/>
        <v>0</v>
      </c>
      <c r="T87">
        <f t="shared" si="20"/>
        <v>50</v>
      </c>
      <c r="U87" s="3"/>
      <c r="V87">
        <f t="shared" si="32"/>
        <v>7626.3098786899754</v>
      </c>
      <c r="W87" s="3"/>
      <c r="X87">
        <f t="shared" si="33"/>
        <v>106.29359860200988</v>
      </c>
      <c r="Y87">
        <f t="shared" si="34"/>
        <v>10.309878689975449</v>
      </c>
      <c r="AA87">
        <f t="shared" si="35"/>
        <v>1.1379579963828472E-5</v>
      </c>
      <c r="AB87" s="3"/>
    </row>
    <row r="88" spans="2:28" x14ac:dyDescent="0.35">
      <c r="B88" s="19">
        <v>53.409090909090907</v>
      </c>
      <c r="C88" s="19">
        <v>7480</v>
      </c>
      <c r="D88">
        <f t="shared" si="9"/>
        <v>-0.96119437552870168</v>
      </c>
      <c r="E88">
        <f t="shared" si="9"/>
        <v>24.573204777342266</v>
      </c>
      <c r="F88">
        <f t="shared" si="9"/>
        <v>3.138323997915045</v>
      </c>
      <c r="G88">
        <f t="shared" si="9"/>
        <v>3.138323997915045</v>
      </c>
      <c r="H88">
        <f t="shared" si="9"/>
        <v>3.138323997915045</v>
      </c>
      <c r="I88" s="3"/>
      <c r="J88">
        <f t="shared" si="24"/>
        <v>0.28701754771138505</v>
      </c>
      <c r="K88">
        <f t="shared" si="25"/>
        <v>21.504922896488999</v>
      </c>
      <c r="L88">
        <f t="shared" si="26"/>
        <v>2.3037749414952495</v>
      </c>
      <c r="M88">
        <f t="shared" si="27"/>
        <v>2.3037749414952495</v>
      </c>
      <c r="N88">
        <f t="shared" si="28"/>
        <v>2.3037749414952495</v>
      </c>
      <c r="O88" s="3"/>
      <c r="P88">
        <f t="shared" si="15"/>
        <v>5373.8553751650679</v>
      </c>
      <c r="Q88">
        <f t="shared" si="29"/>
        <v>2076.227647800717</v>
      </c>
      <c r="R88">
        <f t="shared" si="30"/>
        <v>0</v>
      </c>
      <c r="S88">
        <f t="shared" si="31"/>
        <v>0</v>
      </c>
      <c r="T88">
        <f t="shared" si="20"/>
        <v>50</v>
      </c>
      <c r="U88" s="3"/>
      <c r="V88">
        <f t="shared" si="32"/>
        <v>7500.0830229657849</v>
      </c>
      <c r="W88" s="3"/>
      <c r="X88">
        <f t="shared" si="33"/>
        <v>403.3278114442457</v>
      </c>
      <c r="Y88">
        <f t="shared" si="34"/>
        <v>20.083022965784949</v>
      </c>
      <c r="AA88">
        <f t="shared" si="35"/>
        <v>2.2166736644221144E-5</v>
      </c>
      <c r="AB88" s="3"/>
    </row>
    <row r="89" spans="2:28" x14ac:dyDescent="0.35">
      <c r="B89" s="19">
        <v>54.545454545454547</v>
      </c>
      <c r="C89" s="19">
        <v>7352</v>
      </c>
      <c r="D89">
        <f t="shared" si="9"/>
        <v>-0.94190839155937922</v>
      </c>
      <c r="E89">
        <f t="shared" si="9"/>
        <v>24.720200207547229</v>
      </c>
      <c r="F89">
        <f t="shared" si="9"/>
        <v>3.2519603615514092</v>
      </c>
      <c r="G89">
        <f t="shared" si="9"/>
        <v>3.2519603615514092</v>
      </c>
      <c r="H89">
        <f t="shared" si="9"/>
        <v>3.2519603615514092</v>
      </c>
      <c r="I89" s="3"/>
      <c r="J89">
        <f t="shared" ref="J89:J90" si="36">lmb_2(D89)</f>
        <v>0.29134359115184116</v>
      </c>
      <c r="K89">
        <f t="shared" ref="K89:K90" si="37">lmb_2(E89)</f>
        <v>21.645406926793353</v>
      </c>
      <c r="L89">
        <f t="shared" ref="L89:L90" si="38">lmb_2(F89)</f>
        <v>2.3834227688331313</v>
      </c>
      <c r="M89">
        <f t="shared" ref="M89:M90" si="39">lmb_2(G89)</f>
        <v>2.3834227688331313</v>
      </c>
      <c r="N89">
        <f t="shared" ref="N89:N90" si="40">lmb_2(H89)</f>
        <v>2.3834227688331313</v>
      </c>
      <c r="O89" s="3"/>
      <c r="P89">
        <f t="shared" si="15"/>
        <v>5276.3258860489786</v>
      </c>
      <c r="Q89">
        <f t="shared" ref="Q89:Q90" si="41">(D$21*$A$21)/(K89+K89^2)</f>
        <v>2049.9558376923201</v>
      </c>
      <c r="R89">
        <f t="shared" ref="R89:R90" si="42">(E$21*$A$21)/(L89+L89^2)</f>
        <v>0</v>
      </c>
      <c r="S89">
        <f t="shared" ref="S89:S90" si="43">(F$21*$A$21)/(M89+M89^2)</f>
        <v>0</v>
      </c>
      <c r="T89">
        <f t="shared" si="20"/>
        <v>50</v>
      </c>
      <c r="U89" s="3"/>
      <c r="V89">
        <f t="shared" ref="V89:V90" si="44">SUM(P89:T89)</f>
        <v>7376.2817237412983</v>
      </c>
      <c r="W89" s="3"/>
      <c r="X89">
        <f t="shared" ref="X89:X90" si="45">(V89-C89)^2</f>
        <v>589.60210784872777</v>
      </c>
      <c r="Y89">
        <f t="shared" ref="Y89:Y90" si="46">ABS(V89-C89)</f>
        <v>24.281723741298265</v>
      </c>
      <c r="AA89">
        <f t="shared" ref="AA89:AA90" si="47">Y89/$Z$41</f>
        <v>2.6801073541472862E-5</v>
      </c>
      <c r="AB89" s="3"/>
    </row>
    <row r="90" spans="2:28" x14ac:dyDescent="0.35">
      <c r="B90" s="19">
        <v>55.68181818181818</v>
      </c>
      <c r="C90" s="19">
        <v>7240</v>
      </c>
      <c r="D90">
        <f t="shared" si="9"/>
        <v>-0.92262240759005676</v>
      </c>
      <c r="E90">
        <f t="shared" si="9"/>
        <v>24.867195637752197</v>
      </c>
      <c r="F90">
        <f t="shared" si="9"/>
        <v>3.3655967251877725</v>
      </c>
      <c r="G90">
        <f t="shared" si="9"/>
        <v>3.3655967251877725</v>
      </c>
      <c r="H90">
        <f t="shared" si="9"/>
        <v>3.3655967251877725</v>
      </c>
      <c r="I90" s="3"/>
      <c r="J90">
        <f t="shared" si="36"/>
        <v>0.29571995679710728</v>
      </c>
      <c r="K90">
        <f t="shared" si="37"/>
        <v>21.785931232592276</v>
      </c>
      <c r="L90">
        <f t="shared" si="38"/>
        <v>2.4638653342981378</v>
      </c>
      <c r="M90">
        <f t="shared" si="39"/>
        <v>2.4638653342981378</v>
      </c>
      <c r="N90">
        <f t="shared" si="40"/>
        <v>2.4638653342981378</v>
      </c>
      <c r="O90" s="3"/>
      <c r="P90">
        <f t="shared" si="15"/>
        <v>5180.6840848756601</v>
      </c>
      <c r="Q90">
        <f t="shared" si="41"/>
        <v>2024.172304119548</v>
      </c>
      <c r="R90">
        <f t="shared" si="42"/>
        <v>0</v>
      </c>
      <c r="S90">
        <f t="shared" si="43"/>
        <v>0</v>
      </c>
      <c r="T90">
        <f t="shared" si="20"/>
        <v>50</v>
      </c>
      <c r="U90" s="3"/>
      <c r="V90">
        <f t="shared" si="44"/>
        <v>7254.8563889952084</v>
      </c>
      <c r="W90" s="3"/>
      <c r="X90">
        <f t="shared" si="45"/>
        <v>220.71229397694816</v>
      </c>
      <c r="Y90">
        <f t="shared" si="46"/>
        <v>14.856388995208363</v>
      </c>
      <c r="AA90">
        <f t="shared" si="47"/>
        <v>1.6397813362158725E-5</v>
      </c>
      <c r="AB90" s="3"/>
    </row>
    <row r="91" spans="2:28" x14ac:dyDescent="0.35">
      <c r="B91" s="19">
        <v>56.818181818181813</v>
      </c>
      <c r="C91" s="19">
        <v>7140</v>
      </c>
      <c r="D91">
        <f t="shared" si="9"/>
        <v>-0.90333642362073441</v>
      </c>
      <c r="E91">
        <f t="shared" si="9"/>
        <v>25.01419106795716</v>
      </c>
      <c r="F91">
        <f t="shared" si="9"/>
        <v>3.4792330888241358</v>
      </c>
      <c r="G91">
        <f t="shared" si="9"/>
        <v>3.4792330888241358</v>
      </c>
      <c r="H91">
        <f t="shared" si="9"/>
        <v>3.4792330888241358</v>
      </c>
      <c r="I91" s="3"/>
      <c r="J91">
        <f t="shared" ref="J91:J95" si="48">lmb_2(D91)</f>
        <v>0.30014688473720835</v>
      </c>
      <c r="K91">
        <f t="shared" ref="K91:K95" si="49">lmb_2(E91)</f>
        <v>21.926495329973331</v>
      </c>
      <c r="L91">
        <f t="shared" ref="L91:L95" si="50">lmb_2(F91)</f>
        <v>2.5450735424156981</v>
      </c>
      <c r="M91">
        <f t="shared" ref="M91:M95" si="51">lmb_2(G91)</f>
        <v>2.5450735424156981</v>
      </c>
      <c r="N91">
        <f t="shared" ref="N91:N95" si="52">lmb_2(H91)</f>
        <v>2.5450735424156981</v>
      </c>
      <c r="O91" s="3"/>
      <c r="P91">
        <f t="shared" si="15"/>
        <v>5086.8933466574781</v>
      </c>
      <c r="Q91">
        <f t="shared" ref="Q91:Q95" si="53">(D$21*$A$21)/(K91+K91^2)</f>
        <v>1998.8651544040638</v>
      </c>
      <c r="R91">
        <f t="shared" ref="R91:R95" si="54">(E$21*$A$21)/(L91+L91^2)</f>
        <v>0</v>
      </c>
      <c r="S91">
        <f t="shared" ref="S91:S95" si="55">(F$21*$A$21)/(M91+M91^2)</f>
        <v>0</v>
      </c>
      <c r="T91">
        <f t="shared" si="20"/>
        <v>50</v>
      </c>
      <c r="U91" s="3"/>
      <c r="V91">
        <f t="shared" ref="V91:V95" si="56">SUM(P91:T91)</f>
        <v>7135.7585010615421</v>
      </c>
      <c r="W91" s="3"/>
      <c r="X91">
        <f t="shared" ref="X91:X95" si="57">(V91-C91)^2</f>
        <v>17.990313244939326</v>
      </c>
      <c r="Y91">
        <f t="shared" ref="Y91:Y95" si="58">ABS(V91-C91)</f>
        <v>4.2414989384578803</v>
      </c>
      <c r="AA91">
        <f t="shared" ref="AA91:AA95" si="59">Y91/$Z$41</f>
        <v>4.6815755828054241E-6</v>
      </c>
      <c r="AB91" s="3"/>
    </row>
    <row r="92" spans="2:28" x14ac:dyDescent="0.35">
      <c r="B92" s="19">
        <v>57.954545454545453</v>
      </c>
      <c r="C92" s="19">
        <v>6996</v>
      </c>
      <c r="D92">
        <f t="shared" si="9"/>
        <v>-0.88405043965141183</v>
      </c>
      <c r="E92">
        <f t="shared" si="9"/>
        <v>25.161186498162124</v>
      </c>
      <c r="F92">
        <f t="shared" ref="E92:H95" si="60">$A$23*E$23-LN(1/($A$23*E$23))+$B92*E$22</f>
        <v>3.5928694524605</v>
      </c>
      <c r="G92">
        <f t="shared" si="60"/>
        <v>3.5928694524605</v>
      </c>
      <c r="H92">
        <f t="shared" si="60"/>
        <v>3.5928694524605</v>
      </c>
      <c r="I92" s="3"/>
      <c r="J92">
        <f t="shared" si="48"/>
        <v>0.30462460945100245</v>
      </c>
      <c r="K92">
        <f t="shared" si="49"/>
        <v>22.067098743555313</v>
      </c>
      <c r="L92">
        <f t="shared" si="50"/>
        <v>2.6270195136664927</v>
      </c>
      <c r="M92">
        <f t="shared" si="51"/>
        <v>2.6270195136664927</v>
      </c>
      <c r="N92">
        <f t="shared" si="52"/>
        <v>2.6270195136664927</v>
      </c>
      <c r="O92" s="3"/>
      <c r="P92">
        <f t="shared" si="15"/>
        <v>4994.9177377513597</v>
      </c>
      <c r="Q92">
        <f t="shared" si="53"/>
        <v>1974.0228525464645</v>
      </c>
      <c r="R92">
        <f t="shared" si="54"/>
        <v>0</v>
      </c>
      <c r="S92">
        <f t="shared" si="55"/>
        <v>0</v>
      </c>
      <c r="T92">
        <f t="shared" si="20"/>
        <v>50</v>
      </c>
      <c r="U92" s="3"/>
      <c r="V92">
        <f t="shared" si="56"/>
        <v>7018.9405902978242</v>
      </c>
      <c r="W92" s="3"/>
      <c r="X92">
        <f t="shared" si="57"/>
        <v>526.27068321262584</v>
      </c>
      <c r="Y92">
        <f t="shared" si="58"/>
        <v>22.940590297824201</v>
      </c>
      <c r="AA92">
        <f t="shared" si="59"/>
        <v>2.5320790822238063E-5</v>
      </c>
      <c r="AB92" s="3"/>
    </row>
    <row r="93" spans="2:28" x14ac:dyDescent="0.35">
      <c r="B93" s="19">
        <v>59.090909090909093</v>
      </c>
      <c r="C93" s="19">
        <v>6882</v>
      </c>
      <c r="D93">
        <f t="shared" si="9"/>
        <v>-0.86476445568208926</v>
      </c>
      <c r="E93">
        <f t="shared" si="60"/>
        <v>25.308181928367091</v>
      </c>
      <c r="F93">
        <f t="shared" si="60"/>
        <v>3.7065058160968642</v>
      </c>
      <c r="G93">
        <f t="shared" si="60"/>
        <v>3.7065058160968642</v>
      </c>
      <c r="H93">
        <f t="shared" si="60"/>
        <v>3.7065058160968642</v>
      </c>
      <c r="I93" s="3"/>
      <c r="J93">
        <f t="shared" si="48"/>
        <v>0.30915335972703706</v>
      </c>
      <c r="K93">
        <f t="shared" si="49"/>
        <v>22.207741006291386</v>
      </c>
      <c r="L93">
        <f t="shared" si="50"/>
        <v>2.7096765445743904</v>
      </c>
      <c r="M93">
        <f t="shared" si="51"/>
        <v>2.7096765445743904</v>
      </c>
      <c r="N93">
        <f t="shared" si="52"/>
        <v>2.7096765445743904</v>
      </c>
      <c r="O93" s="3"/>
      <c r="P93">
        <f t="shared" si="15"/>
        <v>4904.7220029927075</v>
      </c>
      <c r="Q93">
        <f t="shared" si="53"/>
        <v>1949.6342065620033</v>
      </c>
      <c r="R93">
        <f t="shared" si="54"/>
        <v>0</v>
      </c>
      <c r="S93">
        <f t="shared" si="55"/>
        <v>0</v>
      </c>
      <c r="T93">
        <f t="shared" si="20"/>
        <v>50</v>
      </c>
      <c r="U93" s="3"/>
      <c r="V93">
        <f t="shared" si="56"/>
        <v>6904.3562095547113</v>
      </c>
      <c r="W93" s="3"/>
      <c r="X93">
        <f t="shared" si="57"/>
        <v>499.80010565416541</v>
      </c>
      <c r="Y93">
        <f t="shared" si="58"/>
        <v>22.356209554711313</v>
      </c>
      <c r="AA93">
        <f t="shared" si="59"/>
        <v>2.4675777665871772E-5</v>
      </c>
      <c r="AB93" s="3"/>
    </row>
    <row r="94" spans="2:28" x14ac:dyDescent="0.35">
      <c r="B94" s="19">
        <v>60.227272727272727</v>
      </c>
      <c r="C94" s="19">
        <v>6732</v>
      </c>
      <c r="D94">
        <f t="shared" si="9"/>
        <v>-0.84547847171276702</v>
      </c>
      <c r="E94">
        <f t="shared" si="60"/>
        <v>25.455177358572055</v>
      </c>
      <c r="F94">
        <f t="shared" si="60"/>
        <v>3.8201421797332276</v>
      </c>
      <c r="G94">
        <f t="shared" si="60"/>
        <v>3.8201421797332276</v>
      </c>
      <c r="H94">
        <f t="shared" si="60"/>
        <v>3.8201421797332276</v>
      </c>
      <c r="I94" s="3"/>
      <c r="J94">
        <f t="shared" si="48"/>
        <v>0.31373335858777024</v>
      </c>
      <c r="K94">
        <f t="shared" si="49"/>
        <v>22.348421659277822</v>
      </c>
      <c r="L94">
        <f t="shared" si="50"/>
        <v>2.793019066325392</v>
      </c>
      <c r="M94">
        <f t="shared" si="51"/>
        <v>2.793019066325392</v>
      </c>
      <c r="N94">
        <f t="shared" si="52"/>
        <v>2.793019066325392</v>
      </c>
      <c r="O94" s="3"/>
      <c r="P94">
        <f t="shared" si="15"/>
        <v>4816.2715530820233</v>
      </c>
      <c r="Q94">
        <f t="shared" si="53"/>
        <v>1925.6883563344143</v>
      </c>
      <c r="R94">
        <f t="shared" si="54"/>
        <v>0</v>
      </c>
      <c r="S94">
        <f t="shared" si="55"/>
        <v>0</v>
      </c>
      <c r="T94">
        <f t="shared" si="20"/>
        <v>50</v>
      </c>
      <c r="U94" s="3"/>
      <c r="V94">
        <f t="shared" si="56"/>
        <v>6791.9599094164378</v>
      </c>
      <c r="W94" s="3"/>
      <c r="X94">
        <f t="shared" si="57"/>
        <v>3595.1907372274227</v>
      </c>
      <c r="Y94">
        <f t="shared" si="58"/>
        <v>59.959909416437768</v>
      </c>
      <c r="AA94">
        <f t="shared" si="59"/>
        <v>6.6181048715122196E-5</v>
      </c>
      <c r="AB94" s="3"/>
    </row>
    <row r="95" spans="2:28" x14ac:dyDescent="0.35">
      <c r="B95" s="19">
        <v>61.363636363636367</v>
      </c>
      <c r="C95" s="19">
        <v>6626</v>
      </c>
      <c r="D95">
        <f t="shared" si="9"/>
        <v>-0.82619248774344434</v>
      </c>
      <c r="E95">
        <f t="shared" si="60"/>
        <v>25.602172788777018</v>
      </c>
      <c r="F95">
        <f t="shared" si="60"/>
        <v>3.9337785433695909</v>
      </c>
      <c r="G95">
        <f t="shared" si="60"/>
        <v>3.9337785433695909</v>
      </c>
      <c r="H95">
        <f t="shared" si="60"/>
        <v>3.9337785433695909</v>
      </c>
      <c r="I95" s="3"/>
      <c r="J95">
        <f t="shared" si="48"/>
        <v>0.3183648232172217</v>
      </c>
      <c r="K95">
        <f t="shared" si="49"/>
        <v>22.489140251568156</v>
      </c>
      <c r="L95">
        <f t="shared" si="50"/>
        <v>2.877022602542405</v>
      </c>
      <c r="M95">
        <f t="shared" si="51"/>
        <v>2.877022602542405</v>
      </c>
      <c r="N95">
        <f t="shared" si="52"/>
        <v>2.877022602542405</v>
      </c>
      <c r="O95" s="3"/>
      <c r="P95">
        <f t="shared" si="15"/>
        <v>4729.5324522189421</v>
      </c>
      <c r="Q95">
        <f t="shared" si="53"/>
        <v>1902.1747619639009</v>
      </c>
      <c r="R95">
        <f t="shared" si="54"/>
        <v>0</v>
      </c>
      <c r="S95">
        <f t="shared" si="55"/>
        <v>0</v>
      </c>
      <c r="T95">
        <f t="shared" si="20"/>
        <v>50</v>
      </c>
      <c r="U95" s="3"/>
      <c r="V95">
        <f t="shared" si="56"/>
        <v>6681.707214182843</v>
      </c>
      <c r="W95" s="3"/>
      <c r="X95">
        <f t="shared" si="57"/>
        <v>3103.2937120131464</v>
      </c>
      <c r="Y95">
        <f t="shared" si="58"/>
        <v>55.707214182843018</v>
      </c>
      <c r="AA95">
        <f t="shared" si="59"/>
        <v>6.1487115165783908E-5</v>
      </c>
    </row>
    <row r="96" spans="2:28" x14ac:dyDescent="0.35">
      <c r="B96" s="19">
        <v>62.500000000000007</v>
      </c>
      <c r="C96" s="19">
        <v>6560</v>
      </c>
      <c r="D96">
        <f t="shared" ref="D96:H111" si="61">$A$23*C$23-LN(1/($A$23*C$23))+$B96*C$22</f>
        <v>-0.80690650377412187</v>
      </c>
      <c r="E96">
        <f t="shared" si="61"/>
        <v>25.749168218981985</v>
      </c>
      <c r="F96">
        <f t="shared" si="61"/>
        <v>4.0474149070059546</v>
      </c>
      <c r="G96">
        <f t="shared" si="61"/>
        <v>4.0474149070059546</v>
      </c>
      <c r="H96">
        <f t="shared" si="61"/>
        <v>4.0474149070059546</v>
      </c>
      <c r="I96" s="3"/>
      <c r="J96">
        <f t="shared" ref="J96:J112" si="62">lmb_2(D96)</f>
        <v>0.32304796489211374</v>
      </c>
      <c r="K96">
        <f t="shared" ref="K96:K112" si="63">lmb_2(E96)</f>
        <v>22.629896339992523</v>
      </c>
      <c r="L96">
        <f t="shared" ref="L96:L112" si="64">lmb_2(F96)</f>
        <v>2.9616637267306407</v>
      </c>
      <c r="M96">
        <f t="shared" ref="M96:M112" si="65">lmb_2(G96)</f>
        <v>2.9616637267306407</v>
      </c>
      <c r="N96">
        <f t="shared" ref="N96:N112" si="66">lmb_2(H96)</f>
        <v>2.9616637267306407</v>
      </c>
      <c r="O96" s="3"/>
      <c r="P96">
        <f t="shared" si="15"/>
        <v>4644.4714059784837</v>
      </c>
      <c r="Q96">
        <f t="shared" ref="Q96:Q112" si="67">(D$21*$A$21)/(K96+K96^2)</f>
        <v>1879.083192586578</v>
      </c>
      <c r="R96">
        <f t="shared" ref="R96:R112" si="68">(E$21*$A$21)/(L96+L96^2)</f>
        <v>0</v>
      </c>
      <c r="S96">
        <f t="shared" ref="S96:S112" si="69">(F$21*$A$21)/(M96+M96^2)</f>
        <v>0</v>
      </c>
      <c r="T96">
        <f t="shared" si="20"/>
        <v>50</v>
      </c>
      <c r="U96" s="3"/>
      <c r="V96">
        <f t="shared" ref="V96:V112" si="70">SUM(P96:T96)</f>
        <v>6573.5545985650615</v>
      </c>
      <c r="W96" s="3"/>
      <c r="X96">
        <f t="shared" ref="X96:X112" si="71">(V96-C96)^2</f>
        <v>183.7271422599672</v>
      </c>
      <c r="Y96">
        <f t="shared" ref="Y96:Y112" si="72">ABS(V96-C96)</f>
        <v>13.554598565061497</v>
      </c>
      <c r="AA96">
        <f t="shared" ref="AA96:AA112" si="73">Y96/$Z$41</f>
        <v>1.4960955689875269E-5</v>
      </c>
      <c r="AB96" s="3"/>
    </row>
    <row r="97" spans="2:28" x14ac:dyDescent="0.35">
      <c r="B97" s="19">
        <v>63.636363636363633</v>
      </c>
      <c r="C97" s="19">
        <v>6500</v>
      </c>
      <c r="D97">
        <f t="shared" si="61"/>
        <v>-0.78762051980479963</v>
      </c>
      <c r="E97">
        <f t="shared" si="61"/>
        <v>25.896163649186946</v>
      </c>
      <c r="F97">
        <f t="shared" si="61"/>
        <v>4.1610512706423179</v>
      </c>
      <c r="G97">
        <f t="shared" si="61"/>
        <v>4.1610512706423179</v>
      </c>
      <c r="H97">
        <f t="shared" si="61"/>
        <v>4.1610512706423179</v>
      </c>
      <c r="I97" s="3"/>
      <c r="J97">
        <f t="shared" si="62"/>
        <v>0.32778298891656105</v>
      </c>
      <c r="K97">
        <f t="shared" si="63"/>
        <v>22.77068948898204</v>
      </c>
      <c r="L97">
        <f t="shared" si="64"/>
        <v>3.0469200198136819</v>
      </c>
      <c r="M97">
        <f t="shared" si="65"/>
        <v>3.0469200198136819</v>
      </c>
      <c r="N97">
        <f t="shared" si="66"/>
        <v>3.0469200198136819</v>
      </c>
      <c r="O97" s="3"/>
      <c r="P97">
        <f t="shared" si="15"/>
        <v>4561.0557494243558</v>
      </c>
      <c r="Q97">
        <f t="shared" si="67"/>
        <v>1856.4037156438185</v>
      </c>
      <c r="R97">
        <f t="shared" si="68"/>
        <v>0</v>
      </c>
      <c r="S97">
        <f t="shared" si="69"/>
        <v>0</v>
      </c>
      <c r="T97">
        <f t="shared" si="20"/>
        <v>50</v>
      </c>
      <c r="U97" s="3"/>
      <c r="V97">
        <f t="shared" si="70"/>
        <v>6467.4594650681738</v>
      </c>
      <c r="W97" s="3"/>
      <c r="X97">
        <f t="shared" si="71"/>
        <v>1058.8864136494003</v>
      </c>
      <c r="Y97">
        <f t="shared" si="72"/>
        <v>32.540534931826187</v>
      </c>
      <c r="AA97">
        <f t="shared" si="73"/>
        <v>3.5916777535173073E-5</v>
      </c>
      <c r="AB97" s="3"/>
    </row>
    <row r="98" spans="2:28" x14ac:dyDescent="0.35">
      <c r="B98" s="19">
        <v>64.77272727272728</v>
      </c>
      <c r="C98" s="19">
        <v>6390</v>
      </c>
      <c r="D98">
        <f t="shared" si="61"/>
        <v>-0.76833453583547695</v>
      </c>
      <c r="E98">
        <f t="shared" si="61"/>
        <v>26.043159079391913</v>
      </c>
      <c r="F98">
        <f t="shared" si="61"/>
        <v>4.274687634278683</v>
      </c>
      <c r="G98">
        <f t="shared" si="61"/>
        <v>4.274687634278683</v>
      </c>
      <c r="H98">
        <f t="shared" si="61"/>
        <v>4.274687634278683</v>
      </c>
      <c r="I98" s="3"/>
      <c r="J98">
        <f t="shared" si="62"/>
        <v>0.33257009456035913</v>
      </c>
      <c r="K98">
        <f t="shared" si="63"/>
        <v>22.91151927039812</v>
      </c>
      <c r="L98">
        <f t="shared" si="64"/>
        <v>3.1327700280991215</v>
      </c>
      <c r="M98">
        <f t="shared" si="65"/>
        <v>3.1327700280991215</v>
      </c>
      <c r="N98">
        <f t="shared" si="66"/>
        <v>3.1327700280991215</v>
      </c>
      <c r="O98" s="3"/>
      <c r="P98">
        <f t="shared" si="15"/>
        <v>4479.2534354542986</v>
      </c>
      <c r="Q98">
        <f t="shared" si="67"/>
        <v>1834.1266865810328</v>
      </c>
      <c r="R98">
        <f t="shared" si="68"/>
        <v>0</v>
      </c>
      <c r="S98">
        <f t="shared" si="69"/>
        <v>0</v>
      </c>
      <c r="T98">
        <f t="shared" si="20"/>
        <v>50</v>
      </c>
      <c r="U98" s="3"/>
      <c r="V98">
        <f t="shared" si="70"/>
        <v>6363.3801220353316</v>
      </c>
      <c r="W98" s="3"/>
      <c r="X98">
        <f t="shared" si="71"/>
        <v>708.61790285383699</v>
      </c>
      <c r="Y98">
        <f t="shared" si="72"/>
        <v>26.619877964668376</v>
      </c>
      <c r="AA98">
        <f t="shared" si="73"/>
        <v>2.9381822913284023E-5</v>
      </c>
      <c r="AB98" s="3"/>
    </row>
    <row r="99" spans="2:28" x14ac:dyDescent="0.35">
      <c r="B99" s="19">
        <v>65.909090909090907</v>
      </c>
      <c r="C99" s="19">
        <v>6260</v>
      </c>
      <c r="D99">
        <f t="shared" si="61"/>
        <v>-0.74904855186615471</v>
      </c>
      <c r="E99">
        <f t="shared" si="61"/>
        <v>26.190154509596876</v>
      </c>
      <c r="F99">
        <f t="shared" si="61"/>
        <v>4.3883239979150446</v>
      </c>
      <c r="G99">
        <f t="shared" si="61"/>
        <v>4.3883239979150446</v>
      </c>
      <c r="H99">
        <f t="shared" si="61"/>
        <v>4.3883239979150446</v>
      </c>
      <c r="I99" s="3"/>
      <c r="J99">
        <f t="shared" si="62"/>
        <v>0.33740947500091678</v>
      </c>
      <c r="K99">
        <f t="shared" si="63"/>
        <v>23.052385263366418</v>
      </c>
      <c r="L99">
        <f t="shared" si="64"/>
        <v>3.2191932219436001</v>
      </c>
      <c r="M99">
        <f t="shared" si="65"/>
        <v>3.2191932219436001</v>
      </c>
      <c r="N99">
        <f t="shared" si="66"/>
        <v>3.2191932219436001</v>
      </c>
      <c r="O99" s="3"/>
      <c r="P99">
        <f t="shared" si="15"/>
        <v>4399.0330233725517</v>
      </c>
      <c r="Q99">
        <f t="shared" si="67"/>
        <v>1812.2427389564907</v>
      </c>
      <c r="R99">
        <f t="shared" si="68"/>
        <v>0</v>
      </c>
      <c r="S99">
        <f t="shared" si="69"/>
        <v>0</v>
      </c>
      <c r="T99">
        <f t="shared" si="20"/>
        <v>50</v>
      </c>
      <c r="U99" s="3"/>
      <c r="V99">
        <f t="shared" si="70"/>
        <v>6261.2757623290427</v>
      </c>
      <c r="W99" s="3"/>
      <c r="X99">
        <f t="shared" si="71"/>
        <v>1.6275695202043616</v>
      </c>
      <c r="Y99">
        <f t="shared" si="72"/>
        <v>1.2757623290426636</v>
      </c>
      <c r="AA99">
        <f t="shared" si="73"/>
        <v>1.4081290260279108E-6</v>
      </c>
      <c r="AB99" s="3"/>
    </row>
    <row r="100" spans="2:28" x14ac:dyDescent="0.35">
      <c r="B100" s="19">
        <v>67.045454545454547</v>
      </c>
      <c r="C100" s="19">
        <v>6228</v>
      </c>
      <c r="D100">
        <f t="shared" si="61"/>
        <v>-0.72976256789683203</v>
      </c>
      <c r="E100">
        <f t="shared" si="61"/>
        <v>26.33714993980184</v>
      </c>
      <c r="F100">
        <f t="shared" si="61"/>
        <v>4.5019603615514097</v>
      </c>
      <c r="G100">
        <f t="shared" si="61"/>
        <v>4.5019603615514097</v>
      </c>
      <c r="H100">
        <f t="shared" si="61"/>
        <v>4.5019603615514097</v>
      </c>
      <c r="I100" s="3"/>
      <c r="J100">
        <f t="shared" si="62"/>
        <v>0.34230131726887725</v>
      </c>
      <c r="K100">
        <f t="shared" si="63"/>
        <v>23.193287054115402</v>
      </c>
      <c r="L100">
        <f t="shared" si="64"/>
        <v>3.3061699553285684</v>
      </c>
      <c r="M100">
        <f t="shared" si="65"/>
        <v>3.3061699553285684</v>
      </c>
      <c r="N100">
        <f t="shared" si="66"/>
        <v>3.3061699553285684</v>
      </c>
      <c r="O100" s="3"/>
      <c r="P100">
        <f t="shared" si="15"/>
        <v>4320.3636676845126</v>
      </c>
      <c r="Q100">
        <f t="shared" si="67"/>
        <v>1790.742774941717</v>
      </c>
      <c r="R100">
        <f t="shared" si="68"/>
        <v>0</v>
      </c>
      <c r="S100">
        <f t="shared" si="69"/>
        <v>0</v>
      </c>
      <c r="T100">
        <f t="shared" si="20"/>
        <v>50</v>
      </c>
      <c r="U100" s="3"/>
      <c r="V100">
        <f t="shared" si="70"/>
        <v>6161.1064426262292</v>
      </c>
      <c r="W100" s="3"/>
      <c r="X100">
        <f t="shared" si="71"/>
        <v>4474.7480181179681</v>
      </c>
      <c r="Y100">
        <f t="shared" si="72"/>
        <v>66.893557373770818</v>
      </c>
      <c r="AA100">
        <f t="shared" si="73"/>
        <v>7.3834097188740588E-5</v>
      </c>
      <c r="AB100" s="3"/>
    </row>
    <row r="101" spans="2:28" x14ac:dyDescent="0.35">
      <c r="B101" s="19">
        <v>68.181818181818187</v>
      </c>
      <c r="C101" s="19">
        <v>6032</v>
      </c>
      <c r="D101">
        <f t="shared" si="61"/>
        <v>-0.71047658392750956</v>
      </c>
      <c r="E101">
        <f t="shared" si="61"/>
        <v>26.484145370006807</v>
      </c>
      <c r="F101">
        <f t="shared" si="61"/>
        <v>4.615596725187773</v>
      </c>
      <c r="G101">
        <f t="shared" si="61"/>
        <v>4.615596725187773</v>
      </c>
      <c r="H101">
        <f t="shared" si="61"/>
        <v>4.615596725187773</v>
      </c>
      <c r="I101" s="3"/>
      <c r="J101">
        <f t="shared" si="62"/>
        <v>0.3472458021974606</v>
      </c>
      <c r="K101">
        <f t="shared" si="63"/>
        <v>23.334224235819338</v>
      </c>
      <c r="L101">
        <f t="shared" si="64"/>
        <v>3.3936814265087483</v>
      </c>
      <c r="M101">
        <f t="shared" si="65"/>
        <v>3.3936814265087483</v>
      </c>
      <c r="N101">
        <f t="shared" si="66"/>
        <v>3.3936814265087483</v>
      </c>
      <c r="O101" s="3"/>
      <c r="P101">
        <f t="shared" si="15"/>
        <v>4243.2151071089065</v>
      </c>
      <c r="Q101">
        <f t="shared" si="67"/>
        <v>1769.6179561959516</v>
      </c>
      <c r="R101">
        <f t="shared" si="68"/>
        <v>0</v>
      </c>
      <c r="S101">
        <f t="shared" si="69"/>
        <v>0</v>
      </c>
      <c r="T101">
        <f t="shared" si="20"/>
        <v>50</v>
      </c>
      <c r="U101" s="3"/>
      <c r="V101">
        <f t="shared" si="70"/>
        <v>6062.8330633048581</v>
      </c>
      <c r="W101" s="3"/>
      <c r="X101">
        <f t="shared" si="71"/>
        <v>950.67779276138799</v>
      </c>
      <c r="Y101">
        <f t="shared" si="72"/>
        <v>30.833063304858115</v>
      </c>
      <c r="AA101">
        <f t="shared" si="73"/>
        <v>3.4032147220953753E-5</v>
      </c>
      <c r="AB101" s="3"/>
    </row>
    <row r="102" spans="2:28" x14ac:dyDescent="0.35">
      <c r="B102" s="19">
        <v>69.318181818181827</v>
      </c>
      <c r="C102" s="19">
        <v>5912</v>
      </c>
      <c r="D102">
        <f t="shared" si="61"/>
        <v>-0.6911905999581871</v>
      </c>
      <c r="E102">
        <f t="shared" si="61"/>
        <v>26.631140800211774</v>
      </c>
      <c r="F102">
        <f t="shared" si="61"/>
        <v>4.7292330888241381</v>
      </c>
      <c r="G102">
        <f t="shared" si="61"/>
        <v>4.7292330888241381</v>
      </c>
      <c r="H102">
        <f t="shared" si="61"/>
        <v>4.7292330888241381</v>
      </c>
      <c r="I102" s="3"/>
      <c r="J102">
        <f t="shared" si="62"/>
        <v>0.35224310437556133</v>
      </c>
      <c r="K102">
        <f t="shared" si="63"/>
        <v>23.475196408445505</v>
      </c>
      <c r="L102">
        <f t="shared" si="64"/>
        <v>3.4817096398540754</v>
      </c>
      <c r="M102">
        <f t="shared" si="65"/>
        <v>3.4817096398540754</v>
      </c>
      <c r="N102">
        <f t="shared" si="66"/>
        <v>3.4817096398540754</v>
      </c>
      <c r="O102" s="3"/>
      <c r="P102">
        <f t="shared" si="15"/>
        <v>4167.5576538027199</v>
      </c>
      <c r="Q102">
        <f t="shared" si="67"/>
        <v>1748.8596950980339</v>
      </c>
      <c r="R102">
        <f t="shared" si="68"/>
        <v>0</v>
      </c>
      <c r="S102">
        <f t="shared" si="69"/>
        <v>0</v>
      </c>
      <c r="T102">
        <f t="shared" si="20"/>
        <v>50</v>
      </c>
      <c r="U102" s="3"/>
      <c r="V102">
        <f t="shared" si="70"/>
        <v>5966.4173489007535</v>
      </c>
      <c r="W102" s="3"/>
      <c r="X102">
        <f t="shared" si="71"/>
        <v>2961.2478613863377</v>
      </c>
      <c r="Y102">
        <f t="shared" si="72"/>
        <v>54.417348900753495</v>
      </c>
      <c r="AA102">
        <f t="shared" si="73"/>
        <v>6.0063419935075148E-5</v>
      </c>
      <c r="AB102" s="3"/>
    </row>
    <row r="103" spans="2:28" x14ac:dyDescent="0.35">
      <c r="B103" s="19">
        <v>70.454545454545467</v>
      </c>
      <c r="C103" s="19">
        <v>5810</v>
      </c>
      <c r="D103">
        <f t="shared" si="61"/>
        <v>-0.67190461598886464</v>
      </c>
      <c r="E103">
        <f t="shared" si="61"/>
        <v>26.778136230416738</v>
      </c>
      <c r="F103">
        <f t="shared" si="61"/>
        <v>4.8428694524605014</v>
      </c>
      <c r="G103">
        <f t="shared" si="61"/>
        <v>4.8428694524605014</v>
      </c>
      <c r="H103">
        <f t="shared" si="61"/>
        <v>4.8428694524605014</v>
      </c>
      <c r="I103" s="3"/>
      <c r="J103">
        <f t="shared" si="62"/>
        <v>0.35729339210462563</v>
      </c>
      <c r="K103">
        <f t="shared" si="63"/>
        <v>23.61620317860557</v>
      </c>
      <c r="L103">
        <f t="shared" si="64"/>
        <v>3.5702373689713642</v>
      </c>
      <c r="M103">
        <f t="shared" si="65"/>
        <v>3.5702373689713642</v>
      </c>
      <c r="N103">
        <f t="shared" si="66"/>
        <v>3.5702373689713642</v>
      </c>
      <c r="O103" s="3"/>
      <c r="P103">
        <f t="shared" si="15"/>
        <v>4093.3621827943421</v>
      </c>
      <c r="Q103">
        <f t="shared" si="67"/>
        <v>1728.4596463198809</v>
      </c>
      <c r="R103">
        <f t="shared" si="68"/>
        <v>0</v>
      </c>
      <c r="S103">
        <f t="shared" si="69"/>
        <v>0</v>
      </c>
      <c r="T103">
        <f t="shared" si="20"/>
        <v>50</v>
      </c>
      <c r="U103" s="3"/>
      <c r="V103">
        <f t="shared" si="70"/>
        <v>5871.821829114223</v>
      </c>
      <c r="W103" s="3"/>
      <c r="X103">
        <f t="shared" si="71"/>
        <v>3821.9385550281863</v>
      </c>
      <c r="Y103">
        <f t="shared" si="72"/>
        <v>61.821829114222965</v>
      </c>
      <c r="AA103">
        <f t="shared" si="73"/>
        <v>6.8236151856905565E-5</v>
      </c>
      <c r="AB103" s="3"/>
    </row>
    <row r="104" spans="2:28" x14ac:dyDescent="0.35">
      <c r="B104" s="19">
        <v>71.590909090909093</v>
      </c>
      <c r="C104" s="19">
        <v>5844</v>
      </c>
      <c r="D104">
        <f t="shared" si="61"/>
        <v>-0.65261863201954218</v>
      </c>
      <c r="E104">
        <f t="shared" si="61"/>
        <v>26.925131660621702</v>
      </c>
      <c r="F104">
        <f t="shared" si="61"/>
        <v>4.9565058160968647</v>
      </c>
      <c r="G104">
        <f t="shared" si="61"/>
        <v>4.9565058160968647</v>
      </c>
      <c r="H104">
        <f t="shared" si="61"/>
        <v>4.9565058160968647</v>
      </c>
      <c r="I104" s="3"/>
      <c r="J104">
        <f t="shared" si="62"/>
        <v>0.36239682735932915</v>
      </c>
      <c r="K104">
        <f t="shared" si="63"/>
        <v>23.757244159410995</v>
      </c>
      <c r="L104">
        <f t="shared" si="64"/>
        <v>3.6592481211635772</v>
      </c>
      <c r="M104">
        <f t="shared" si="65"/>
        <v>3.6592481211635772</v>
      </c>
      <c r="N104">
        <f t="shared" si="66"/>
        <v>3.6592481211635772</v>
      </c>
      <c r="O104" s="3"/>
      <c r="P104">
        <f t="shared" si="15"/>
        <v>4020.6001216204004</v>
      </c>
      <c r="Q104">
        <f t="shared" si="67"/>
        <v>1708.4096987265125</v>
      </c>
      <c r="R104">
        <f t="shared" si="68"/>
        <v>0</v>
      </c>
      <c r="S104">
        <f t="shared" si="69"/>
        <v>0</v>
      </c>
      <c r="T104">
        <f t="shared" si="20"/>
        <v>50</v>
      </c>
      <c r="U104" s="3"/>
      <c r="V104">
        <f t="shared" si="70"/>
        <v>5779.0098203469133</v>
      </c>
      <c r="W104" s="3"/>
      <c r="X104">
        <f t="shared" si="71"/>
        <v>4223.723451340481</v>
      </c>
      <c r="Y104">
        <f t="shared" si="72"/>
        <v>64.99017965308667</v>
      </c>
      <c r="AA104">
        <f t="shared" si="73"/>
        <v>7.1733234547654898E-5</v>
      </c>
      <c r="AB104" s="3"/>
    </row>
    <row r="105" spans="2:28" x14ac:dyDescent="0.35">
      <c r="B105" s="19">
        <v>72.727272727272734</v>
      </c>
      <c r="C105" s="19">
        <v>5814</v>
      </c>
      <c r="D105">
        <f t="shared" si="61"/>
        <v>-0.63333264805021972</v>
      </c>
      <c r="E105">
        <f t="shared" si="61"/>
        <v>27.072127090826665</v>
      </c>
      <c r="F105">
        <f t="shared" si="61"/>
        <v>5.070142179733228</v>
      </c>
      <c r="G105">
        <f t="shared" si="61"/>
        <v>5.070142179733228</v>
      </c>
      <c r="H105">
        <f t="shared" si="61"/>
        <v>5.070142179733228</v>
      </c>
      <c r="I105" s="3"/>
      <c r="J105">
        <f t="shared" si="62"/>
        <v>0.36755356575207193</v>
      </c>
      <c r="K105">
        <f t="shared" si="63"/>
        <v>23.898318970332252</v>
      </c>
      <c r="L105">
        <f t="shared" si="64"/>
        <v>3.7487261032610477</v>
      </c>
      <c r="M105">
        <f t="shared" si="65"/>
        <v>3.7487261032610477</v>
      </c>
      <c r="N105">
        <f t="shared" si="66"/>
        <v>3.7487261032610477</v>
      </c>
      <c r="O105" s="3"/>
      <c r="P105">
        <f t="shared" si="15"/>
        <v>3949.2434401618598</v>
      </c>
      <c r="Q105">
        <f t="shared" si="67"/>
        <v>1688.701967588338</v>
      </c>
      <c r="R105">
        <f t="shared" si="68"/>
        <v>0</v>
      </c>
      <c r="S105">
        <f t="shared" si="69"/>
        <v>0</v>
      </c>
      <c r="T105">
        <f t="shared" si="20"/>
        <v>50</v>
      </c>
      <c r="U105" s="3"/>
      <c r="V105">
        <f t="shared" si="70"/>
        <v>5687.9454077501978</v>
      </c>
      <c r="W105" s="3"/>
      <c r="X105">
        <f t="shared" si="71"/>
        <v>15889.7602272639</v>
      </c>
      <c r="Y105">
        <f t="shared" si="72"/>
        <v>126.05459224980223</v>
      </c>
      <c r="AA105">
        <f t="shared" si="73"/>
        <v>1.3913338415020993E-4</v>
      </c>
      <c r="AB105" s="3"/>
    </row>
    <row r="106" spans="2:28" x14ac:dyDescent="0.35">
      <c r="B106" s="19">
        <v>73.863636363636374</v>
      </c>
      <c r="C106" s="19">
        <v>5660</v>
      </c>
      <c r="D106">
        <f t="shared" si="61"/>
        <v>-0.61404666408089725</v>
      </c>
      <c r="E106">
        <f t="shared" si="61"/>
        <v>27.219122521031629</v>
      </c>
      <c r="F106">
        <f t="shared" si="61"/>
        <v>5.1837785433695913</v>
      </c>
      <c r="G106">
        <f t="shared" si="61"/>
        <v>5.1837785433695913</v>
      </c>
      <c r="H106">
        <f t="shared" si="61"/>
        <v>5.1837785433695913</v>
      </c>
      <c r="I106" s="3"/>
      <c r="J106">
        <f t="shared" si="62"/>
        <v>0.37276375650129939</v>
      </c>
      <c r="K106">
        <f t="shared" si="63"/>
        <v>24.039427237061851</v>
      </c>
      <c r="L106">
        <f t="shared" si="64"/>
        <v>3.8386561888399613</v>
      </c>
      <c r="M106">
        <f t="shared" si="65"/>
        <v>3.8386561888399613</v>
      </c>
      <c r="N106">
        <f t="shared" si="66"/>
        <v>3.8386561888399613</v>
      </c>
      <c r="O106" s="3"/>
      <c r="P106">
        <f t="shared" ref="P106:P112" si="74">(C$21*$A$21)/(J106+J106^2)</f>
        <v>3879.2646406750769</v>
      </c>
      <c r="Q106">
        <f t="shared" si="67"/>
        <v>1669.3287870920744</v>
      </c>
      <c r="R106">
        <f t="shared" si="68"/>
        <v>0</v>
      </c>
      <c r="S106">
        <f t="shared" si="69"/>
        <v>0</v>
      </c>
      <c r="T106">
        <f t="shared" si="20"/>
        <v>50</v>
      </c>
      <c r="U106" s="3"/>
      <c r="V106">
        <f t="shared" si="70"/>
        <v>5598.5934277671513</v>
      </c>
      <c r="W106" s="3"/>
      <c r="X106">
        <f t="shared" si="71"/>
        <v>3770.7671133880654</v>
      </c>
      <c r="Y106">
        <f t="shared" si="72"/>
        <v>61.406572232848703</v>
      </c>
      <c r="AA106">
        <f t="shared" si="73"/>
        <v>6.7777810005441964E-5</v>
      </c>
      <c r="AB106" s="3"/>
    </row>
    <row r="107" spans="2:28" x14ac:dyDescent="0.35">
      <c r="B107" s="19">
        <v>75</v>
      </c>
      <c r="C107" s="19">
        <v>5594</v>
      </c>
      <c r="D107">
        <f t="shared" si="61"/>
        <v>-0.59476068011157501</v>
      </c>
      <c r="E107">
        <f t="shared" si="61"/>
        <v>27.366117951236596</v>
      </c>
      <c r="F107">
        <f t="shared" si="61"/>
        <v>5.2974149070059546</v>
      </c>
      <c r="G107">
        <f t="shared" si="61"/>
        <v>5.2974149070059546</v>
      </c>
      <c r="H107">
        <f t="shared" si="61"/>
        <v>5.2974149070059546</v>
      </c>
      <c r="I107" s="3"/>
      <c r="J107">
        <f t="shared" si="62"/>
        <v>0.37802754240365571</v>
      </c>
      <c r="K107">
        <f t="shared" si="63"/>
        <v>24.180568591380972</v>
      </c>
      <c r="L107">
        <f t="shared" si="64"/>
        <v>3.9290238868278831</v>
      </c>
      <c r="M107">
        <f t="shared" si="65"/>
        <v>3.9290238868278831</v>
      </c>
      <c r="N107">
        <f t="shared" si="66"/>
        <v>3.9290238868278831</v>
      </c>
      <c r="O107" s="3"/>
      <c r="P107">
        <f t="shared" si="74"/>
        <v>3810.6367480135427</v>
      </c>
      <c r="Q107">
        <f t="shared" si="67"/>
        <v>1650.2827031373638</v>
      </c>
      <c r="R107">
        <f t="shared" si="68"/>
        <v>0</v>
      </c>
      <c r="S107">
        <f t="shared" si="69"/>
        <v>0</v>
      </c>
      <c r="T107">
        <f t="shared" ref="T107:T170" si="75">T106</f>
        <v>50</v>
      </c>
      <c r="U107" s="3"/>
      <c r="V107">
        <f t="shared" si="70"/>
        <v>5510.9194511509068</v>
      </c>
      <c r="W107" s="3"/>
      <c r="X107">
        <f t="shared" si="71"/>
        <v>6902.3775970665693</v>
      </c>
      <c r="Y107">
        <f t="shared" si="72"/>
        <v>83.080548849093248</v>
      </c>
      <c r="AA107">
        <f t="shared" si="73"/>
        <v>9.1700569666864387E-5</v>
      </c>
      <c r="AB107" s="3"/>
    </row>
    <row r="108" spans="2:28" x14ac:dyDescent="0.35">
      <c r="B108" s="19">
        <v>76.13636363636364</v>
      </c>
      <c r="C108" s="19">
        <v>5568</v>
      </c>
      <c r="D108">
        <f t="shared" si="61"/>
        <v>-0.57547469614225233</v>
      </c>
      <c r="E108">
        <f t="shared" si="61"/>
        <v>27.51311338144156</v>
      </c>
      <c r="F108">
        <f t="shared" si="61"/>
        <v>5.4110512706423179</v>
      </c>
      <c r="G108">
        <f t="shared" si="61"/>
        <v>5.4110512706423179</v>
      </c>
      <c r="H108">
        <f t="shared" si="61"/>
        <v>5.4110512706423179</v>
      </c>
      <c r="I108" s="3"/>
      <c r="J108">
        <f t="shared" si="62"/>
        <v>0.38334505980997013</v>
      </c>
      <c r="K108">
        <f t="shared" si="63"/>
        <v>24.321742671029604</v>
      </c>
      <c r="L108">
        <f t="shared" si="64"/>
        <v>4.0198153114837512</v>
      </c>
      <c r="M108">
        <f t="shared" si="65"/>
        <v>4.0198153114837512</v>
      </c>
      <c r="N108">
        <f t="shared" si="66"/>
        <v>4.0198153114837512</v>
      </c>
      <c r="O108" s="3"/>
      <c r="P108">
        <f t="shared" si="74"/>
        <v>3743.3333000361613</v>
      </c>
      <c r="Q108">
        <f t="shared" si="67"/>
        <v>1631.556466406766</v>
      </c>
      <c r="R108">
        <f t="shared" si="68"/>
        <v>0</v>
      </c>
      <c r="S108">
        <f t="shared" si="69"/>
        <v>0</v>
      </c>
      <c r="T108">
        <f t="shared" si="75"/>
        <v>50</v>
      </c>
      <c r="U108" s="3"/>
      <c r="V108">
        <f t="shared" si="70"/>
        <v>5424.8897664429278</v>
      </c>
      <c r="W108" s="3"/>
      <c r="X108">
        <f t="shared" si="71"/>
        <v>20480.538948759757</v>
      </c>
      <c r="Y108">
        <f t="shared" si="72"/>
        <v>143.11023355707221</v>
      </c>
      <c r="AA108">
        <f t="shared" si="73"/>
        <v>1.5795863320761829E-4</v>
      </c>
      <c r="AB108" s="3"/>
    </row>
    <row r="109" spans="2:28" x14ac:dyDescent="0.35">
      <c r="B109" s="19">
        <v>77.27272727272728</v>
      </c>
      <c r="C109" s="19">
        <v>5382</v>
      </c>
      <c r="D109">
        <f t="shared" si="61"/>
        <v>-0.55618871217292987</v>
      </c>
      <c r="E109">
        <f t="shared" si="61"/>
        <v>27.660108811646523</v>
      </c>
      <c r="F109">
        <f t="shared" si="61"/>
        <v>5.524687634278683</v>
      </c>
      <c r="G109">
        <f t="shared" si="61"/>
        <v>5.524687634278683</v>
      </c>
      <c r="H109">
        <f t="shared" si="61"/>
        <v>5.524687634278683</v>
      </c>
      <c r="I109" s="3"/>
      <c r="J109">
        <f t="shared" si="62"/>
        <v>0.38871643860506944</v>
      </c>
      <c r="K109">
        <f t="shared" si="63"/>
        <v>24.462949119580134</v>
      </c>
      <c r="L109">
        <f t="shared" si="64"/>
        <v>4.1110171537299633</v>
      </c>
      <c r="M109">
        <f t="shared" si="65"/>
        <v>4.1110171537299633</v>
      </c>
      <c r="N109">
        <f t="shared" si="66"/>
        <v>4.1110171537299633</v>
      </c>
      <c r="O109" s="3"/>
      <c r="P109">
        <f t="shared" si="74"/>
        <v>3677.3283381979932</v>
      </c>
      <c r="Q109">
        <f t="shared" si="67"/>
        <v>1613.1430256973888</v>
      </c>
      <c r="R109">
        <f t="shared" si="68"/>
        <v>0</v>
      </c>
      <c r="S109">
        <f t="shared" si="69"/>
        <v>0</v>
      </c>
      <c r="T109">
        <f t="shared" si="75"/>
        <v>50</v>
      </c>
      <c r="U109" s="3"/>
      <c r="V109">
        <f t="shared" si="70"/>
        <v>5340.4713638953817</v>
      </c>
      <c r="W109" s="3"/>
      <c r="X109">
        <f t="shared" si="71"/>
        <v>1724.6276167098042</v>
      </c>
      <c r="Y109">
        <f t="shared" si="72"/>
        <v>41.528636104618272</v>
      </c>
      <c r="AA109">
        <f t="shared" si="73"/>
        <v>4.5837438979833734E-5</v>
      </c>
      <c r="AB109" s="3"/>
    </row>
    <row r="110" spans="2:28" ht="13.5" customHeight="1" x14ac:dyDescent="0.35">
      <c r="B110" s="19">
        <v>78.409090909090907</v>
      </c>
      <c r="C110" s="19">
        <v>5330</v>
      </c>
      <c r="D110">
        <f t="shared" si="61"/>
        <v>-0.53690272820360763</v>
      </c>
      <c r="E110">
        <f t="shared" si="61"/>
        <v>27.807104241851491</v>
      </c>
      <c r="F110">
        <f t="shared" si="61"/>
        <v>5.6383239979150446</v>
      </c>
      <c r="G110">
        <f t="shared" si="61"/>
        <v>5.6383239979150446</v>
      </c>
      <c r="H110">
        <f t="shared" si="61"/>
        <v>5.6383239979150446</v>
      </c>
      <c r="I110" s="3"/>
      <c r="J110">
        <f t="shared" si="62"/>
        <v>0.39414180219140921</v>
      </c>
      <c r="K110">
        <f t="shared" si="63"/>
        <v>24.604187586314215</v>
      </c>
      <c r="L110">
        <f t="shared" si="64"/>
        <v>4.202616653806551</v>
      </c>
      <c r="M110">
        <f t="shared" si="65"/>
        <v>4.202616653806551</v>
      </c>
      <c r="N110">
        <f t="shared" si="66"/>
        <v>4.202616653806551</v>
      </c>
      <c r="O110" s="3"/>
      <c r="P110">
        <f t="shared" si="74"/>
        <v>3612.5963983194629</v>
      </c>
      <c r="Q110">
        <f t="shared" si="67"/>
        <v>1595.035521502994</v>
      </c>
      <c r="R110">
        <f t="shared" si="68"/>
        <v>0</v>
      </c>
      <c r="S110">
        <f t="shared" si="69"/>
        <v>0</v>
      </c>
      <c r="T110">
        <f t="shared" si="75"/>
        <v>50</v>
      </c>
      <c r="U110" s="3"/>
      <c r="V110">
        <f t="shared" si="70"/>
        <v>5257.6319198224573</v>
      </c>
      <c r="W110" s="3"/>
      <c r="X110">
        <f t="shared" si="71"/>
        <v>5237.1390285832413</v>
      </c>
      <c r="Y110">
        <f t="shared" si="72"/>
        <v>72.368080177542652</v>
      </c>
      <c r="AA110">
        <f t="shared" si="73"/>
        <v>7.9876629005327105E-5</v>
      </c>
      <c r="AB110" s="3"/>
    </row>
    <row r="111" spans="2:28" ht="15.5" customHeight="1" x14ac:dyDescent="0.35">
      <c r="B111" s="19">
        <v>79.545454545454547</v>
      </c>
      <c r="C111" s="19">
        <v>5180</v>
      </c>
      <c r="D111">
        <f t="shared" si="61"/>
        <v>-0.51761674423428494</v>
      </c>
      <c r="E111">
        <f t="shared" si="61"/>
        <v>27.954099672056454</v>
      </c>
      <c r="F111">
        <f t="shared" si="61"/>
        <v>5.7519603615514097</v>
      </c>
      <c r="G111">
        <f t="shared" si="61"/>
        <v>5.7519603615514097</v>
      </c>
      <c r="H111">
        <f t="shared" si="61"/>
        <v>5.7519603615514097</v>
      </c>
      <c r="I111" s="3"/>
      <c r="J111">
        <f t="shared" si="62"/>
        <v>0.39962126747650745</v>
      </c>
      <c r="K111">
        <f t="shared" si="63"/>
        <v>24.745457726102821</v>
      </c>
      <c r="L111">
        <f t="shared" si="64"/>
        <v>4.2946015752116686</v>
      </c>
      <c r="M111">
        <f t="shared" si="65"/>
        <v>4.2946015752116686</v>
      </c>
      <c r="N111">
        <f t="shared" si="66"/>
        <v>4.2946015752116686</v>
      </c>
      <c r="O111" s="3"/>
      <c r="P111">
        <f t="shared" si="74"/>
        <v>3549.1125015301336</v>
      </c>
      <c r="Q111">
        <f t="shared" si="67"/>
        <v>1577.2272798359409</v>
      </c>
      <c r="R111">
        <f t="shared" si="68"/>
        <v>0</v>
      </c>
      <c r="S111">
        <f t="shared" si="69"/>
        <v>0</v>
      </c>
      <c r="T111">
        <f t="shared" si="75"/>
        <v>50</v>
      </c>
      <c r="U111" s="3"/>
      <c r="V111">
        <f t="shared" si="70"/>
        <v>5176.339781366074</v>
      </c>
      <c r="W111" s="3"/>
      <c r="X111">
        <f t="shared" si="71"/>
        <v>13.397200448138959</v>
      </c>
      <c r="Y111">
        <f t="shared" si="72"/>
        <v>3.6602186339259788</v>
      </c>
      <c r="AA111">
        <f t="shared" si="73"/>
        <v>4.0399845509680658E-6</v>
      </c>
      <c r="AB111" s="3"/>
    </row>
    <row r="112" spans="2:28" x14ac:dyDescent="0.35">
      <c r="B112" s="19">
        <v>80.681818181818187</v>
      </c>
      <c r="C112" s="19">
        <v>5170</v>
      </c>
      <c r="D112">
        <f t="shared" ref="D112:H112" si="76">$A$23*C$23-LN(1/($A$23*C$23))+$B112*C$22</f>
        <v>-0.49833076026496248</v>
      </c>
      <c r="E112">
        <f t="shared" si="76"/>
        <v>28.101095102261418</v>
      </c>
      <c r="F112">
        <f t="shared" si="76"/>
        <v>5.865596725187773</v>
      </c>
      <c r="G112">
        <f t="shared" si="76"/>
        <v>5.865596725187773</v>
      </c>
      <c r="H112">
        <f t="shared" si="76"/>
        <v>5.865596725187773</v>
      </c>
      <c r="I112" s="3"/>
      <c r="J112">
        <f t="shared" si="62"/>
        <v>0.40515494486416093</v>
      </c>
      <c r="K112">
        <f t="shared" si="63"/>
        <v>24.886759199289429</v>
      </c>
      <c r="L112">
        <f t="shared" si="64"/>
        <v>4.3869601798882378</v>
      </c>
      <c r="M112">
        <f t="shared" si="65"/>
        <v>4.3869601798882378</v>
      </c>
      <c r="N112">
        <f t="shared" si="66"/>
        <v>4.3869601798882378</v>
      </c>
      <c r="O112" s="3"/>
      <c r="P112">
        <f t="shared" si="74"/>
        <v>3486.8521453832195</v>
      </c>
      <c r="Q112">
        <f t="shared" si="67"/>
        <v>1559.7118062788236</v>
      </c>
      <c r="R112">
        <f t="shared" si="68"/>
        <v>0</v>
      </c>
      <c r="S112">
        <f t="shared" si="69"/>
        <v>0</v>
      </c>
      <c r="T112">
        <f t="shared" si="75"/>
        <v>50</v>
      </c>
      <c r="U112" s="3"/>
      <c r="V112">
        <f t="shared" si="70"/>
        <v>5096.5639516620431</v>
      </c>
      <c r="W112" s="3"/>
      <c r="X112">
        <f t="shared" si="71"/>
        <v>5392.8531954947412</v>
      </c>
      <c r="Y112">
        <f t="shared" si="72"/>
        <v>73.43604833795689</v>
      </c>
      <c r="AA112">
        <f t="shared" si="73"/>
        <v>8.1055404182582425E-5</v>
      </c>
      <c r="AB112" s="3"/>
    </row>
    <row r="113" spans="2:28" x14ac:dyDescent="0.35">
      <c r="B113" s="19">
        <v>81.818181818181813</v>
      </c>
      <c r="C113" s="19">
        <v>5064</v>
      </c>
      <c r="D113">
        <f t="shared" ref="D113" si="77">$A$23*C$23-LN(1/($A$23*C$23))+$B113*C$22</f>
        <v>-0.47904477629564024</v>
      </c>
      <c r="E113">
        <f t="shared" ref="E113" si="78">$A$23*D$23-LN(1/($A$23*D$23))+$B113*D$22</f>
        <v>28.248090532466382</v>
      </c>
      <c r="F113">
        <f t="shared" ref="F113" si="79">$A$23*E$23-LN(1/($A$23*E$23))+$B113*E$22</f>
        <v>5.9792330888241363</v>
      </c>
      <c r="G113">
        <f t="shared" ref="G113" si="80">$A$23*F$23-LN(1/($A$23*F$23))+$B113*F$22</f>
        <v>5.9792330888241363</v>
      </c>
      <c r="H113">
        <f t="shared" ref="H113" si="81">$A$23*G$23-LN(1/($A$23*G$23))+$B113*G$22</f>
        <v>5.9792330888241363</v>
      </c>
      <c r="I113" s="3"/>
      <c r="J113">
        <f t="shared" ref="J113" si="82">lmb_2(D113)</f>
        <v>0.41074293824942087</v>
      </c>
      <c r="K113">
        <f t="shared" ref="K113" si="83">lmb_2(E113)</f>
        <v>25.028091671576217</v>
      </c>
      <c r="L113">
        <f t="shared" ref="L113" si="84">lmb_2(F113)</f>
        <v>4.4796812046136631</v>
      </c>
      <c r="M113">
        <f t="shared" ref="M113" si="85">lmb_2(G113)</f>
        <v>4.4796812046136631</v>
      </c>
      <c r="N113">
        <f t="shared" ref="N113" si="86">lmb_2(H113)</f>
        <v>4.4796812046136631</v>
      </c>
      <c r="O113" s="3"/>
      <c r="P113">
        <f t="shared" ref="P113" si="87">(C$21*$A$21)/(J113+J113^2)</f>
        <v>3425.7912951371004</v>
      </c>
      <c r="Q113">
        <f t="shared" ref="Q113" si="88">(D$21*$A$21)/(K113+K113^2)</f>
        <v>1542.4827802561547</v>
      </c>
      <c r="R113">
        <f t="shared" ref="R113" si="89">(E$21*$A$21)/(L113+L113^2)</f>
        <v>0</v>
      </c>
      <c r="S113">
        <f t="shared" ref="S113" si="90">(F$21*$A$21)/(M113+M113^2)</f>
        <v>0</v>
      </c>
      <c r="T113">
        <f t="shared" si="75"/>
        <v>50</v>
      </c>
      <c r="U113" s="3"/>
      <c r="V113">
        <f t="shared" ref="V113" si="91">SUM(P113:T113)</f>
        <v>5018.2740753932549</v>
      </c>
      <c r="W113" s="3"/>
      <c r="X113">
        <f t="shared" ref="X113" si="92">(V113-C113)^2</f>
        <v>2090.8601811417407</v>
      </c>
      <c r="Y113">
        <f t="shared" ref="Y113" si="93">ABS(V113-C113)</f>
        <v>45.725924606745139</v>
      </c>
      <c r="AA113">
        <f t="shared" ref="AA113" si="94">Y113/$Z$41</f>
        <v>5.0470217073299768E-5</v>
      </c>
      <c r="AB113" s="3"/>
    </row>
    <row r="114" spans="2:28" x14ac:dyDescent="0.35">
      <c r="B114" s="19">
        <v>82.954545454545467</v>
      </c>
      <c r="C114" s="19">
        <v>5026</v>
      </c>
      <c r="D114">
        <f t="shared" ref="D114:D115" si="95">$A$23*C$23-LN(1/($A$23*C$23))+$B114*C$22</f>
        <v>-0.45975879232631756</v>
      </c>
      <c r="E114">
        <f t="shared" ref="E114:E115" si="96">$A$23*D$23-LN(1/($A$23*D$23))+$B114*D$22</f>
        <v>28.395085962671349</v>
      </c>
      <c r="F114">
        <f t="shared" ref="F114:F115" si="97">$A$23*E$23-LN(1/($A$23*E$23))+$B114*E$22</f>
        <v>6.0928694524605014</v>
      </c>
      <c r="G114">
        <f t="shared" ref="G114:G115" si="98">$A$23*F$23-LN(1/($A$23*F$23))+$B114*F$22</f>
        <v>6.0928694524605014</v>
      </c>
      <c r="H114">
        <f t="shared" ref="H114:H115" si="99">$A$23*G$23-LN(1/($A$23*G$23))+$B114*G$22</f>
        <v>6.0928694524605014</v>
      </c>
      <c r="I114" s="3"/>
      <c r="J114">
        <f t="shared" ref="J114:J115" si="100">lmb_2(D114)</f>
        <v>0.41638534501729857</v>
      </c>
      <c r="K114">
        <f t="shared" ref="K114:K115" si="101">lmb_2(E114)</f>
        <v>25.169454813913134</v>
      </c>
      <c r="L114">
        <f t="shared" ref="L114:L115" si="102">lmb_2(F114)</f>
        <v>4.5727538385473689</v>
      </c>
      <c r="M114">
        <f t="shared" ref="M114:M115" si="103">lmb_2(G114)</f>
        <v>4.5727538385473689</v>
      </c>
      <c r="N114">
        <f t="shared" ref="N114:N115" si="104">lmb_2(H114)</f>
        <v>4.5727538385473689</v>
      </c>
      <c r="O114" s="3"/>
      <c r="P114">
        <f t="shared" ref="P114:P115" si="105">(C$21*$A$21)/(J114+J114^2)</f>
        <v>3365.9063752001666</v>
      </c>
      <c r="Q114">
        <f t="shared" ref="Q114:Q115" si="106">(D$21*$A$21)/(K114+K114^2)</f>
        <v>1525.5340495168809</v>
      </c>
      <c r="R114">
        <f t="shared" ref="R114:R115" si="107">(E$21*$A$21)/(L114+L114^2)</f>
        <v>0</v>
      </c>
      <c r="S114">
        <f t="shared" ref="S114:S115" si="108">(F$21*$A$21)/(M114+M114^2)</f>
        <v>0</v>
      </c>
      <c r="T114">
        <f t="shared" si="75"/>
        <v>50</v>
      </c>
      <c r="U114" s="3"/>
      <c r="V114">
        <f t="shared" ref="V114:V115" si="109">SUM(P114:T114)</f>
        <v>4941.4404247170478</v>
      </c>
      <c r="W114" s="3"/>
      <c r="X114">
        <f t="shared" ref="X114:X115" si="110">(V114-C114)^2</f>
        <v>7150.3217720332623</v>
      </c>
      <c r="Y114">
        <f t="shared" ref="Y114:Y115" si="111">ABS(V114-C114)</f>
        <v>84.55957528295221</v>
      </c>
      <c r="AA114">
        <f t="shared" ref="AA114:AA115" si="112">Y114/$Z$41</f>
        <v>9.3333052461165263E-5</v>
      </c>
      <c r="AB114" s="3"/>
    </row>
    <row r="115" spans="2:28" x14ac:dyDescent="0.35">
      <c r="B115" s="19">
        <v>84.090909090909108</v>
      </c>
      <c r="C115" s="19">
        <v>4878</v>
      </c>
      <c r="D115">
        <f t="shared" si="95"/>
        <v>-0.44047280835699487</v>
      </c>
      <c r="E115">
        <f t="shared" si="96"/>
        <v>28.542081392876312</v>
      </c>
      <c r="F115">
        <f t="shared" si="97"/>
        <v>6.2065058160968665</v>
      </c>
      <c r="G115">
        <f t="shared" si="98"/>
        <v>6.2065058160968665</v>
      </c>
      <c r="H115">
        <f t="shared" si="99"/>
        <v>6.2065058160968665</v>
      </c>
      <c r="I115" s="3"/>
      <c r="J115">
        <f t="shared" si="100"/>
        <v>0.42208225604516636</v>
      </c>
      <c r="K115">
        <f t="shared" si="101"/>
        <v>25.310848302389839</v>
      </c>
      <c r="L115">
        <f t="shared" si="102"/>
        <v>4.6661677018897931</v>
      </c>
      <c r="M115">
        <f t="shared" si="103"/>
        <v>4.6661677018897931</v>
      </c>
      <c r="N115">
        <f t="shared" si="104"/>
        <v>4.6661677018897931</v>
      </c>
      <c r="O115" s="3"/>
      <c r="P115">
        <f t="shared" si="105"/>
        <v>3307.1742607354468</v>
      </c>
      <c r="Q115">
        <f t="shared" si="106"/>
        <v>1508.8596248189597</v>
      </c>
      <c r="R115">
        <f t="shared" si="107"/>
        <v>0</v>
      </c>
      <c r="S115">
        <f t="shared" si="108"/>
        <v>0</v>
      </c>
      <c r="T115">
        <f t="shared" si="75"/>
        <v>50</v>
      </c>
      <c r="U115" s="3"/>
      <c r="V115">
        <f t="shared" si="109"/>
        <v>4866.0338855544069</v>
      </c>
      <c r="W115" s="3"/>
      <c r="X115">
        <f t="shared" si="110"/>
        <v>143.18789492503237</v>
      </c>
      <c r="Y115">
        <f t="shared" si="111"/>
        <v>11.966114445593121</v>
      </c>
      <c r="AA115">
        <f t="shared" si="112"/>
        <v>1.320765842980779E-5</v>
      </c>
      <c r="AB115" s="3"/>
    </row>
    <row r="116" spans="2:28" x14ac:dyDescent="0.35">
      <c r="B116" s="19">
        <v>85.227272727272734</v>
      </c>
      <c r="C116" s="19">
        <v>4774</v>
      </c>
      <c r="D116">
        <f t="shared" ref="D116:D166" si="113">$A$23*C$23-LN(1/($A$23*C$23))+$B116*C$22</f>
        <v>-0.42118682438767263</v>
      </c>
      <c r="E116">
        <f t="shared" ref="E116:E166" si="114">$A$23*D$23-LN(1/($A$23*D$23))+$B116*D$22</f>
        <v>28.68907682308128</v>
      </c>
      <c r="F116">
        <f t="shared" ref="F116:F166" si="115">$A$23*E$23-LN(1/($A$23*E$23))+$B116*E$22</f>
        <v>6.320142179733228</v>
      </c>
      <c r="G116">
        <f t="shared" ref="G116:G166" si="116">$A$23*F$23-LN(1/($A$23*F$23))+$B116*F$22</f>
        <v>6.320142179733228</v>
      </c>
      <c r="H116">
        <f t="shared" ref="H116:H166" si="117">$A$23*G$23-LN(1/($A$23*G$23))+$B116*G$22</f>
        <v>6.320142179733228</v>
      </c>
      <c r="I116" s="3"/>
      <c r="J116">
        <f t="shared" ref="J116:J166" si="118">lmb_2(D116)</f>
        <v>0.4278337557088176</v>
      </c>
      <c r="K116">
        <f t="shared" ref="K116:K166" si="119">lmb_2(E116)</f>
        <v>25.452271818130388</v>
      </c>
      <c r="L116">
        <f t="shared" ref="L116:L166" si="120">lmb_2(F116)</f>
        <v>4.7599128256059346</v>
      </c>
      <c r="M116">
        <f t="shared" ref="M116:M166" si="121">lmb_2(G116)</f>
        <v>4.7599128256059346</v>
      </c>
      <c r="N116">
        <f t="shared" ref="N116:N166" si="122">lmb_2(H116)</f>
        <v>4.7599128256059346</v>
      </c>
      <c r="O116" s="3"/>
      <c r="P116">
        <f t="shared" ref="P116:P166" si="123">(C$21*$A$21)/(J116+J116^2)</f>
        <v>3249.5722694214915</v>
      </c>
      <c r="Q116">
        <f t="shared" ref="Q116:Q166" si="124">(D$21*$A$21)/(K116+K116^2)</f>
        <v>1492.4536748076187</v>
      </c>
      <c r="R116">
        <f t="shared" ref="R116:R166" si="125">(E$21*$A$21)/(L116+L116^2)</f>
        <v>0</v>
      </c>
      <c r="S116">
        <f t="shared" ref="S116:S166" si="126">(F$21*$A$21)/(M116+M116^2)</f>
        <v>0</v>
      </c>
      <c r="T116">
        <f t="shared" si="75"/>
        <v>50</v>
      </c>
      <c r="U116" s="3"/>
      <c r="V116">
        <f t="shared" ref="V116:V166" si="127">SUM(P116:T116)</f>
        <v>4792.0259442291099</v>
      </c>
      <c r="W116" s="3"/>
      <c r="X116">
        <f t="shared" ref="X116:X166" si="128">(V116-C116)^2</f>
        <v>324.93466535097986</v>
      </c>
      <c r="Y116">
        <f t="shared" ref="Y116:Y166" si="129">ABS(V116-C116)</f>
        <v>18.025944229109882</v>
      </c>
      <c r="AA116">
        <f t="shared" ref="AA116:AA166" si="130">Y116/$Z$41</f>
        <v>1.9896225741057365E-5</v>
      </c>
      <c r="AB116" s="3"/>
    </row>
    <row r="117" spans="2:28" x14ac:dyDescent="0.35">
      <c r="B117" s="19">
        <v>86.363636363636374</v>
      </c>
      <c r="C117" s="19">
        <v>4762</v>
      </c>
      <c r="D117">
        <f t="shared" si="113"/>
        <v>-0.40190084041835017</v>
      </c>
      <c r="E117">
        <f t="shared" si="114"/>
        <v>28.836072253286243</v>
      </c>
      <c r="F117">
        <f t="shared" si="115"/>
        <v>6.4337785433695931</v>
      </c>
      <c r="G117">
        <f t="shared" si="116"/>
        <v>6.4337785433695931</v>
      </c>
      <c r="H117">
        <f t="shared" si="117"/>
        <v>6.4337785433695931</v>
      </c>
      <c r="I117" s="3"/>
      <c r="J117">
        <f t="shared" si="118"/>
        <v>0.43363992189214279</v>
      </c>
      <c r="K117">
        <f t="shared" si="119"/>
        <v>25.593725047190521</v>
      </c>
      <c r="L117">
        <f t="shared" si="120"/>
        <v>4.8539796321665758</v>
      </c>
      <c r="M117">
        <f t="shared" si="121"/>
        <v>4.8539796321665758</v>
      </c>
      <c r="N117">
        <f t="shared" si="122"/>
        <v>4.8539796321665758</v>
      </c>
      <c r="O117" s="3"/>
      <c r="P117">
        <f t="shared" si="123"/>
        <v>3193.0781533661107</v>
      </c>
      <c r="Q117">
        <f t="shared" si="124"/>
        <v>1476.3105210793306</v>
      </c>
      <c r="R117">
        <f t="shared" si="125"/>
        <v>0</v>
      </c>
      <c r="S117">
        <f t="shared" si="126"/>
        <v>0</v>
      </c>
      <c r="T117">
        <f t="shared" si="75"/>
        <v>50</v>
      </c>
      <c r="U117" s="3"/>
      <c r="V117">
        <f t="shared" si="127"/>
        <v>4719.3886744454412</v>
      </c>
      <c r="W117" s="3"/>
      <c r="X117">
        <f t="shared" si="128"/>
        <v>1815.7250655165949</v>
      </c>
      <c r="Y117">
        <f t="shared" si="129"/>
        <v>42.611325554558789</v>
      </c>
      <c r="AA117">
        <f t="shared" si="130"/>
        <v>4.7032462853739365E-5</v>
      </c>
      <c r="AB117" s="3"/>
    </row>
    <row r="118" spans="2:28" x14ac:dyDescent="0.35">
      <c r="B118" s="19">
        <v>87.500000000000014</v>
      </c>
      <c r="C118" s="19">
        <v>4684</v>
      </c>
      <c r="D118">
        <f t="shared" si="113"/>
        <v>-0.38261485644902771</v>
      </c>
      <c r="E118">
        <f t="shared" si="114"/>
        <v>28.983067683491207</v>
      </c>
      <c r="F118">
        <f t="shared" si="115"/>
        <v>6.5474149070059564</v>
      </c>
      <c r="G118">
        <f t="shared" si="116"/>
        <v>6.5474149070059564</v>
      </c>
      <c r="H118">
        <f t="shared" si="117"/>
        <v>6.5474149070059564</v>
      </c>
      <c r="I118" s="3"/>
      <c r="J118">
        <f t="shared" si="118"/>
        <v>0.43950082600037405</v>
      </c>
      <c r="K118">
        <f t="shared" si="119"/>
        <v>25.735207680457613</v>
      </c>
      <c r="L118">
        <f t="shared" si="120"/>
        <v>4.9483589172607179</v>
      </c>
      <c r="M118">
        <f t="shared" si="121"/>
        <v>4.9483589172607179</v>
      </c>
      <c r="N118">
        <f t="shared" si="122"/>
        <v>4.9483589172607179</v>
      </c>
      <c r="O118" s="3"/>
      <c r="P118">
        <f t="shared" si="123"/>
        <v>3137.6700911696425</v>
      </c>
      <c r="Q118">
        <f t="shared" si="124"/>
        <v>1460.4246334238646</v>
      </c>
      <c r="R118">
        <f t="shared" si="125"/>
        <v>0</v>
      </c>
      <c r="S118">
        <f t="shared" si="126"/>
        <v>0</v>
      </c>
      <c r="T118">
        <f t="shared" si="75"/>
        <v>50</v>
      </c>
      <c r="U118" s="3"/>
      <c r="V118">
        <f t="shared" si="127"/>
        <v>4648.0947245935076</v>
      </c>
      <c r="W118" s="3"/>
      <c r="X118">
        <f t="shared" si="128"/>
        <v>1289.1888020160654</v>
      </c>
      <c r="Y118">
        <f t="shared" si="129"/>
        <v>35.905275406492365</v>
      </c>
      <c r="AA118">
        <f t="shared" si="130"/>
        <v>3.9630626595901947E-5</v>
      </c>
      <c r="AB118" s="3"/>
    </row>
    <row r="119" spans="2:28" x14ac:dyDescent="0.35">
      <c r="B119" s="19">
        <v>88.63636363636364</v>
      </c>
      <c r="C119" s="19">
        <v>4664</v>
      </c>
      <c r="D119">
        <f t="shared" si="113"/>
        <v>-0.36332887247970524</v>
      </c>
      <c r="E119">
        <f t="shared" si="114"/>
        <v>29.130063113696174</v>
      </c>
      <c r="F119">
        <f t="shared" si="115"/>
        <v>6.6610512706423197</v>
      </c>
      <c r="G119">
        <f t="shared" si="116"/>
        <v>6.6610512706423197</v>
      </c>
      <c r="H119">
        <f t="shared" si="117"/>
        <v>6.6610512706423197</v>
      </c>
      <c r="I119" s="3"/>
      <c r="J119">
        <f t="shared" si="118"/>
        <v>0.44541653297685024</v>
      </c>
      <c r="K119">
        <f t="shared" si="119"/>
        <v>25.876719413553058</v>
      </c>
      <c r="L119">
        <f t="shared" si="120"/>
        <v>5.0430418324336772</v>
      </c>
      <c r="M119">
        <f t="shared" si="121"/>
        <v>5.0430418324336772</v>
      </c>
      <c r="N119">
        <f t="shared" si="122"/>
        <v>5.0430418324336772</v>
      </c>
      <c r="O119" s="3"/>
      <c r="P119">
        <f t="shared" si="123"/>
        <v>3083.3266801344748</v>
      </c>
      <c r="Q119">
        <f t="shared" si="124"/>
        <v>1444.7906252371642</v>
      </c>
      <c r="R119">
        <f t="shared" si="125"/>
        <v>0</v>
      </c>
      <c r="S119">
        <f t="shared" si="126"/>
        <v>0</v>
      </c>
      <c r="T119">
        <f t="shared" si="75"/>
        <v>50</v>
      </c>
      <c r="U119" s="3"/>
      <c r="V119">
        <f t="shared" si="127"/>
        <v>4578.1173053716393</v>
      </c>
      <c r="W119" s="3"/>
      <c r="X119">
        <f t="shared" si="128"/>
        <v>7375.8372366282547</v>
      </c>
      <c r="Y119">
        <f t="shared" si="129"/>
        <v>85.882694628360696</v>
      </c>
      <c r="AA119">
        <f t="shared" si="130"/>
        <v>9.4793452029921007E-5</v>
      </c>
      <c r="AB119" s="3"/>
    </row>
    <row r="120" spans="2:28" ht="13" customHeight="1" x14ac:dyDescent="0.35">
      <c r="B120" s="19">
        <v>89.77272727272728</v>
      </c>
      <c r="C120" s="19">
        <v>4596</v>
      </c>
      <c r="D120">
        <f t="shared" si="113"/>
        <v>-0.34404288851038278</v>
      </c>
      <c r="E120">
        <f t="shared" si="114"/>
        <v>29.277058543901134</v>
      </c>
      <c r="F120">
        <f t="shared" si="115"/>
        <v>6.774687634278683</v>
      </c>
      <c r="G120">
        <f t="shared" si="116"/>
        <v>6.774687634278683</v>
      </c>
      <c r="H120">
        <f t="shared" si="117"/>
        <v>6.774687634278683</v>
      </c>
      <c r="I120" s="3"/>
      <c r="J120">
        <f t="shared" si="118"/>
        <v>0.45138710132324605</v>
      </c>
      <c r="K120">
        <f t="shared" si="119"/>
        <v>26.018259946737118</v>
      </c>
      <c r="L120">
        <f t="shared" si="120"/>
        <v>5.1380198686062117</v>
      </c>
      <c r="M120">
        <f t="shared" si="121"/>
        <v>5.1380198686062117</v>
      </c>
      <c r="N120">
        <f t="shared" si="122"/>
        <v>5.1380198686062117</v>
      </c>
      <c r="O120" s="3"/>
      <c r="P120">
        <f t="shared" si="123"/>
        <v>3030.0269286176481</v>
      </c>
      <c r="Q120">
        <f t="shared" si="124"/>
        <v>1429.4032490981044</v>
      </c>
      <c r="R120">
        <f t="shared" si="125"/>
        <v>0</v>
      </c>
      <c r="S120">
        <f t="shared" si="126"/>
        <v>0</v>
      </c>
      <c r="T120">
        <f t="shared" si="75"/>
        <v>50</v>
      </c>
      <c r="U120" s="3"/>
      <c r="V120">
        <f t="shared" si="127"/>
        <v>4509.4301777157525</v>
      </c>
      <c r="W120" s="3"/>
      <c r="X120">
        <f t="shared" si="128"/>
        <v>7494.3341303261941</v>
      </c>
      <c r="Y120">
        <f t="shared" si="129"/>
        <v>86.569822284247493</v>
      </c>
      <c r="AA120">
        <f t="shared" si="130"/>
        <v>9.5551872603106289E-5</v>
      </c>
      <c r="AB120" s="3"/>
    </row>
    <row r="121" spans="2:28" x14ac:dyDescent="0.35">
      <c r="B121" s="19">
        <v>90.909090909090921</v>
      </c>
      <c r="C121" s="19">
        <v>4532</v>
      </c>
      <c r="D121">
        <f t="shared" si="113"/>
        <v>-0.32475690454106032</v>
      </c>
      <c r="E121">
        <f t="shared" si="114"/>
        <v>29.424053974106101</v>
      </c>
      <c r="F121">
        <f t="shared" si="115"/>
        <v>6.8883239979150463</v>
      </c>
      <c r="G121">
        <f t="shared" si="116"/>
        <v>6.8883239979150463</v>
      </c>
      <c r="H121">
        <f t="shared" si="117"/>
        <v>6.8883239979150463</v>
      </c>
      <c r="I121" s="3"/>
      <c r="J121">
        <f t="shared" si="118"/>
        <v>0.45741258312320865</v>
      </c>
      <c r="K121">
        <f t="shared" si="119"/>
        <v>26.159828984816141</v>
      </c>
      <c r="L121">
        <f t="shared" si="120"/>
        <v>5.2332848404314252</v>
      </c>
      <c r="M121">
        <f t="shared" si="121"/>
        <v>5.2332848404314252</v>
      </c>
      <c r="N121">
        <f t="shared" si="122"/>
        <v>5.2332848404314252</v>
      </c>
      <c r="O121" s="3"/>
      <c r="P121">
        <f t="shared" si="123"/>
        <v>2977.7502485234459</v>
      </c>
      <c r="Q121">
        <f t="shared" si="124"/>
        <v>1414.257392502501</v>
      </c>
      <c r="R121">
        <f t="shared" si="125"/>
        <v>0</v>
      </c>
      <c r="S121">
        <f t="shared" si="126"/>
        <v>0</v>
      </c>
      <c r="T121">
        <f t="shared" si="75"/>
        <v>50</v>
      </c>
      <c r="U121" s="3"/>
      <c r="V121">
        <f t="shared" si="127"/>
        <v>4442.0076410259471</v>
      </c>
      <c r="W121" s="3"/>
      <c r="X121">
        <f t="shared" si="128"/>
        <v>8098.6246737147958</v>
      </c>
      <c r="Y121">
        <f t="shared" si="129"/>
        <v>89.992358974052877</v>
      </c>
      <c r="AA121">
        <f t="shared" si="130"/>
        <v>9.9329514524213109E-5</v>
      </c>
      <c r="AB121" s="3"/>
    </row>
    <row r="122" spans="2:28" x14ac:dyDescent="0.35">
      <c r="B122" s="19">
        <v>92.045454545454547</v>
      </c>
      <c r="C122" s="19">
        <v>4426</v>
      </c>
      <c r="D122">
        <f t="shared" si="113"/>
        <v>-0.30547092057173808</v>
      </c>
      <c r="E122">
        <f t="shared" si="114"/>
        <v>29.571049404311065</v>
      </c>
      <c r="F122">
        <f t="shared" si="115"/>
        <v>7.0019603615514097</v>
      </c>
      <c r="G122">
        <f t="shared" si="116"/>
        <v>7.0019603615514097</v>
      </c>
      <c r="H122">
        <f t="shared" si="117"/>
        <v>7.0019603615514097</v>
      </c>
      <c r="I122" s="3"/>
      <c r="J122">
        <f t="shared" si="118"/>
        <v>0.46349302406933862</v>
      </c>
      <c r="K122">
        <f t="shared" si="119"/>
        <v>26.301426237052009</v>
      </c>
      <c r="L122">
        <f t="shared" si="120"/>
        <v>5.3288288714475396</v>
      </c>
      <c r="M122">
        <f t="shared" si="121"/>
        <v>5.3288288714475396</v>
      </c>
      <c r="N122">
        <f t="shared" si="122"/>
        <v>5.3288288714475396</v>
      </c>
      <c r="O122" s="3"/>
      <c r="P122">
        <f t="shared" si="123"/>
        <v>2926.4764479329392</v>
      </c>
      <c r="Q122">
        <f t="shared" si="124"/>
        <v>1399.3480737480611</v>
      </c>
      <c r="R122">
        <f t="shared" si="125"/>
        <v>0</v>
      </c>
      <c r="S122">
        <f t="shared" si="126"/>
        <v>0</v>
      </c>
      <c r="T122">
        <f t="shared" si="75"/>
        <v>50</v>
      </c>
      <c r="U122" s="3"/>
      <c r="V122">
        <f t="shared" si="127"/>
        <v>4375.8245216810001</v>
      </c>
      <c r="W122" s="3"/>
      <c r="X122">
        <f t="shared" si="128"/>
        <v>2517.5786245404311</v>
      </c>
      <c r="Y122">
        <f t="shared" si="129"/>
        <v>50.175478318999922</v>
      </c>
      <c r="AA122">
        <f t="shared" si="130"/>
        <v>5.5381434149130726E-5</v>
      </c>
      <c r="AB122" s="3"/>
    </row>
    <row r="123" spans="2:28" x14ac:dyDescent="0.35">
      <c r="B123" s="19">
        <v>93.181818181818187</v>
      </c>
      <c r="C123" s="19">
        <v>4358</v>
      </c>
      <c r="D123">
        <f t="shared" si="113"/>
        <v>-0.2861849366024154</v>
      </c>
      <c r="E123">
        <f t="shared" si="114"/>
        <v>29.718044834516029</v>
      </c>
      <c r="F123">
        <f t="shared" si="115"/>
        <v>7.115596725187773</v>
      </c>
      <c r="G123">
        <f t="shared" si="116"/>
        <v>7.115596725187773</v>
      </c>
      <c r="H123">
        <f t="shared" si="117"/>
        <v>7.115596725187773</v>
      </c>
      <c r="I123" s="3"/>
      <c r="J123">
        <f t="shared" si="118"/>
        <v>0.46962846349345327</v>
      </c>
      <c r="K123">
        <f t="shared" si="119"/>
        <v>26.443051417073892</v>
      </c>
      <c r="L123">
        <f t="shared" si="120"/>
        <v>5.4246443799861641</v>
      </c>
      <c r="M123">
        <f t="shared" si="121"/>
        <v>5.4246443799861641</v>
      </c>
      <c r="N123">
        <f t="shared" si="122"/>
        <v>5.4246443799861641</v>
      </c>
      <c r="O123" s="3"/>
      <c r="P123">
        <f t="shared" si="123"/>
        <v>2876.1857238675325</v>
      </c>
      <c r="Q123">
        <f t="shared" si="124"/>
        <v>1384.6704379642078</v>
      </c>
      <c r="R123">
        <f t="shared" si="125"/>
        <v>0</v>
      </c>
      <c r="S123">
        <f t="shared" si="126"/>
        <v>0</v>
      </c>
      <c r="T123">
        <f t="shared" si="75"/>
        <v>50</v>
      </c>
      <c r="U123" s="3"/>
      <c r="V123">
        <f t="shared" si="127"/>
        <v>4310.8561618317399</v>
      </c>
      <c r="W123" s="3"/>
      <c r="X123">
        <f t="shared" si="128"/>
        <v>2222.5414772350996</v>
      </c>
      <c r="Y123">
        <f t="shared" si="129"/>
        <v>47.143838168260118</v>
      </c>
      <c r="AA123">
        <f t="shared" si="130"/>
        <v>5.2035246230310629E-5</v>
      </c>
      <c r="AB123" s="3"/>
    </row>
    <row r="124" spans="2:28" x14ac:dyDescent="0.35">
      <c r="B124" s="19">
        <v>94.318181818181827</v>
      </c>
      <c r="C124" s="19">
        <v>4272</v>
      </c>
      <c r="D124">
        <f t="shared" si="113"/>
        <v>-0.26689895263309293</v>
      </c>
      <c r="E124">
        <f t="shared" si="114"/>
        <v>29.865040264720996</v>
      </c>
      <c r="F124">
        <f t="shared" si="115"/>
        <v>7.2292330888241381</v>
      </c>
      <c r="G124">
        <f t="shared" si="116"/>
        <v>7.2292330888241381</v>
      </c>
      <c r="H124">
        <f t="shared" si="117"/>
        <v>7.2292330888241381</v>
      </c>
      <c r="I124" s="3"/>
      <c r="J124">
        <f t="shared" si="118"/>
        <v>0.47581893440006023</v>
      </c>
      <c r="K124">
        <f t="shared" si="119"/>
        <v>26.584704242792082</v>
      </c>
      <c r="L124">
        <f t="shared" si="120"/>
        <v>5.5207240657972587</v>
      </c>
      <c r="M124">
        <f t="shared" si="121"/>
        <v>5.5207240657972587</v>
      </c>
      <c r="N124">
        <f t="shared" si="122"/>
        <v>5.5207240657972587</v>
      </c>
      <c r="O124" s="3"/>
      <c r="P124">
        <f t="shared" si="123"/>
        <v>2826.8586551836429</v>
      </c>
      <c r="Q124">
        <f t="shared" si="124"/>
        <v>1370.2197532810326</v>
      </c>
      <c r="R124">
        <f t="shared" si="125"/>
        <v>0</v>
      </c>
      <c r="S124">
        <f t="shared" si="126"/>
        <v>0</v>
      </c>
      <c r="T124">
        <f t="shared" si="75"/>
        <v>50</v>
      </c>
      <c r="U124" s="3"/>
      <c r="V124">
        <f t="shared" si="127"/>
        <v>4247.0784084646757</v>
      </c>
      <c r="W124" s="3"/>
      <c r="X124">
        <f t="shared" si="128"/>
        <v>621.08572465354757</v>
      </c>
      <c r="Y124">
        <f t="shared" si="129"/>
        <v>24.921591535324296</v>
      </c>
      <c r="AA124">
        <f t="shared" si="130"/>
        <v>2.7507330806699236E-5</v>
      </c>
      <c r="AB124" s="3"/>
    </row>
    <row r="125" spans="2:28" x14ac:dyDescent="0.35">
      <c r="B125" s="19">
        <v>95.454545454545453</v>
      </c>
      <c r="C125" s="19">
        <v>4254</v>
      </c>
      <c r="D125">
        <f t="shared" si="113"/>
        <v>-0.24761296866377069</v>
      </c>
      <c r="E125">
        <f t="shared" si="114"/>
        <v>30.012035694925959</v>
      </c>
      <c r="F125">
        <f t="shared" si="115"/>
        <v>7.3428694524604996</v>
      </c>
      <c r="G125">
        <f t="shared" si="116"/>
        <v>7.3428694524604996</v>
      </c>
      <c r="H125">
        <f t="shared" si="117"/>
        <v>7.3428694524604996</v>
      </c>
      <c r="I125" s="3"/>
      <c r="J125">
        <f t="shared" si="118"/>
        <v>0.48206446350297461</v>
      </c>
      <c r="K125">
        <f t="shared" si="119"/>
        <v>26.726384436313964</v>
      </c>
      <c r="L125">
        <f t="shared" si="120"/>
        <v>5.6170608973535936</v>
      </c>
      <c r="M125">
        <f t="shared" si="121"/>
        <v>5.6170608973535936</v>
      </c>
      <c r="N125">
        <f t="shared" si="122"/>
        <v>5.6170608973535936</v>
      </c>
      <c r="O125" s="3"/>
      <c r="P125">
        <f t="shared" si="123"/>
        <v>2778.4761955956951</v>
      </c>
      <c r="Q125">
        <f t="shared" si="124"/>
        <v>1355.9914071318403</v>
      </c>
      <c r="R125">
        <f t="shared" si="125"/>
        <v>0</v>
      </c>
      <c r="S125">
        <f t="shared" si="126"/>
        <v>0</v>
      </c>
      <c r="T125">
        <f t="shared" si="75"/>
        <v>50</v>
      </c>
      <c r="U125" s="3"/>
      <c r="V125">
        <f t="shared" si="127"/>
        <v>4184.4676027275354</v>
      </c>
      <c r="W125" s="3"/>
      <c r="X125">
        <f t="shared" si="128"/>
        <v>4834.7542704558355</v>
      </c>
      <c r="Y125">
        <f t="shared" si="129"/>
        <v>69.53239727246455</v>
      </c>
      <c r="AA125">
        <f t="shared" si="130"/>
        <v>7.674672987258819E-5</v>
      </c>
      <c r="AB125" s="3"/>
    </row>
    <row r="126" spans="2:28" x14ac:dyDescent="0.35">
      <c r="B126" s="19">
        <v>96.590909090909093</v>
      </c>
      <c r="C126" s="19">
        <v>4218</v>
      </c>
      <c r="D126">
        <f t="shared" si="113"/>
        <v>-0.22832698469444823</v>
      </c>
      <c r="E126">
        <f t="shared" si="114"/>
        <v>30.159031125130923</v>
      </c>
      <c r="F126">
        <f t="shared" si="115"/>
        <v>7.4565058160968647</v>
      </c>
      <c r="G126">
        <f t="shared" si="116"/>
        <v>7.4565058160968647</v>
      </c>
      <c r="H126">
        <f t="shared" si="117"/>
        <v>7.4565058160968647</v>
      </c>
      <c r="I126" s="3"/>
      <c r="J126">
        <f t="shared" si="118"/>
        <v>0.48836507126500212</v>
      </c>
      <c r="K126">
        <f t="shared" si="119"/>
        <v>26.868091723862026</v>
      </c>
      <c r="L126">
        <f t="shared" si="120"/>
        <v>5.7136480997991796</v>
      </c>
      <c r="M126">
        <f t="shared" si="121"/>
        <v>5.7136480997991796</v>
      </c>
      <c r="N126">
        <f t="shared" si="122"/>
        <v>5.7136480997991796</v>
      </c>
      <c r="O126" s="3"/>
      <c r="P126">
        <f t="shared" si="123"/>
        <v>2731.0196668247158</v>
      </c>
      <c r="Q126">
        <f t="shared" si="124"/>
        <v>1341.9809026840226</v>
      </c>
      <c r="R126">
        <f t="shared" si="125"/>
        <v>0</v>
      </c>
      <c r="S126">
        <f t="shared" si="126"/>
        <v>0</v>
      </c>
      <c r="T126">
        <f t="shared" si="75"/>
        <v>50</v>
      </c>
      <c r="U126" s="3"/>
      <c r="V126">
        <f t="shared" si="127"/>
        <v>4123.0005695087384</v>
      </c>
      <c r="W126" s="3"/>
      <c r="X126">
        <f t="shared" si="128"/>
        <v>9024.8917936640428</v>
      </c>
      <c r="Y126">
        <f t="shared" si="129"/>
        <v>94.999430491261592</v>
      </c>
      <c r="AA126">
        <f t="shared" si="130"/>
        <v>1.048560946545968E-4</v>
      </c>
      <c r="AB126" s="3"/>
    </row>
    <row r="127" spans="2:28" x14ac:dyDescent="0.35">
      <c r="B127" s="19">
        <v>97.727272727272734</v>
      </c>
      <c r="C127" s="19">
        <v>4182</v>
      </c>
      <c r="D127">
        <f t="shared" si="113"/>
        <v>-0.20904100072512555</v>
      </c>
      <c r="E127">
        <f t="shared" si="114"/>
        <v>30.30602655533589</v>
      </c>
      <c r="F127">
        <f t="shared" si="115"/>
        <v>7.570142179733228</v>
      </c>
      <c r="G127">
        <f t="shared" si="116"/>
        <v>7.570142179733228</v>
      </c>
      <c r="H127">
        <f t="shared" si="117"/>
        <v>7.570142179733228</v>
      </c>
      <c r="I127" s="3"/>
      <c r="J127">
        <f t="shared" si="118"/>
        <v>0.4947207719406132</v>
      </c>
      <c r="K127">
        <f t="shared" si="119"/>
        <v>27.009825835693814</v>
      </c>
      <c r="L127">
        <f t="shared" si="120"/>
        <v>5.8104791435076892</v>
      </c>
      <c r="M127">
        <f t="shared" si="121"/>
        <v>5.8104791435076892</v>
      </c>
      <c r="N127">
        <f t="shared" si="122"/>
        <v>5.8104791435076892</v>
      </c>
      <c r="O127" s="3"/>
      <c r="P127">
        <f t="shared" si="123"/>
        <v>2684.470751869856</v>
      </c>
      <c r="Q127">
        <f t="shared" si="124"/>
        <v>1328.1838553932173</v>
      </c>
      <c r="R127">
        <f t="shared" si="125"/>
        <v>0</v>
      </c>
      <c r="S127">
        <f t="shared" si="126"/>
        <v>0</v>
      </c>
      <c r="T127">
        <f t="shared" si="75"/>
        <v>50</v>
      </c>
      <c r="U127" s="3"/>
      <c r="V127">
        <f t="shared" si="127"/>
        <v>4062.6546072630736</v>
      </c>
      <c r="W127" s="3"/>
      <c r="X127">
        <f t="shared" si="128"/>
        <v>14243.322767531216</v>
      </c>
      <c r="Y127">
        <f t="shared" si="129"/>
        <v>119.34539273692644</v>
      </c>
      <c r="AA127">
        <f t="shared" si="130"/>
        <v>1.3172807176527529E-4</v>
      </c>
      <c r="AB127" s="3"/>
    </row>
    <row r="128" spans="2:28" x14ac:dyDescent="0.35">
      <c r="B128" s="19">
        <v>98.86363636363636</v>
      </c>
      <c r="C128" s="19">
        <v>4026</v>
      </c>
      <c r="D128">
        <f t="shared" si="113"/>
        <v>-0.18975501675580331</v>
      </c>
      <c r="E128">
        <f t="shared" si="114"/>
        <v>30.45302198554085</v>
      </c>
      <c r="F128">
        <f t="shared" si="115"/>
        <v>7.6837785433695913</v>
      </c>
      <c r="G128">
        <f t="shared" si="116"/>
        <v>7.6837785433695913</v>
      </c>
      <c r="H128">
        <f t="shared" si="117"/>
        <v>7.6837785433695913</v>
      </c>
      <c r="I128" s="3"/>
      <c r="J128">
        <f t="shared" si="118"/>
        <v>0.50113157362152927</v>
      </c>
      <c r="K128">
        <f t="shared" si="119"/>
        <v>27.151586506023815</v>
      </c>
      <c r="L128">
        <f t="shared" si="120"/>
        <v>5.9075477332185953</v>
      </c>
      <c r="M128">
        <f t="shared" si="121"/>
        <v>5.9075477332185953</v>
      </c>
      <c r="N128">
        <f t="shared" si="122"/>
        <v>5.9075477332185953</v>
      </c>
      <c r="O128" s="3"/>
      <c r="P128">
        <f t="shared" si="123"/>
        <v>2638.8114884002584</v>
      </c>
      <c r="Q128">
        <f t="shared" si="124"/>
        <v>1314.5959896759362</v>
      </c>
      <c r="R128">
        <f t="shared" si="125"/>
        <v>0</v>
      </c>
      <c r="S128">
        <f t="shared" si="126"/>
        <v>0</v>
      </c>
      <c r="T128">
        <f t="shared" si="75"/>
        <v>50</v>
      </c>
      <c r="U128" s="3"/>
      <c r="V128">
        <f t="shared" si="127"/>
        <v>4003.4074780761948</v>
      </c>
      <c r="W128" s="3"/>
      <c r="X128">
        <f t="shared" si="128"/>
        <v>510.42204687761767</v>
      </c>
      <c r="Y128">
        <f t="shared" si="129"/>
        <v>22.59252192380518</v>
      </c>
      <c r="AA128">
        <f t="shared" si="130"/>
        <v>2.4936608620474578E-5</v>
      </c>
      <c r="AB128" s="3"/>
    </row>
    <row r="129" spans="2:28" x14ac:dyDescent="0.35">
      <c r="B129" s="19">
        <v>100</v>
      </c>
      <c r="C129" s="19">
        <v>3948</v>
      </c>
      <c r="D129">
        <f t="shared" si="113"/>
        <v>-0.17046903278648085</v>
      </c>
      <c r="E129">
        <f t="shared" si="114"/>
        <v>30.600017415745818</v>
      </c>
      <c r="F129">
        <f t="shared" si="115"/>
        <v>7.7974149070059546</v>
      </c>
      <c r="G129">
        <f t="shared" si="116"/>
        <v>7.7974149070059546</v>
      </c>
      <c r="H129">
        <f t="shared" si="117"/>
        <v>7.7974149070059546</v>
      </c>
      <c r="I129" s="3"/>
      <c r="J129">
        <f t="shared" si="118"/>
        <v>0.5075974782851399</v>
      </c>
      <c r="K129">
        <f t="shared" si="119"/>
        <v>27.293373472947252</v>
      </c>
      <c r="L129">
        <f t="shared" si="120"/>
        <v>6.0048477977202435</v>
      </c>
      <c r="M129">
        <f t="shared" si="121"/>
        <v>6.0048477977202435</v>
      </c>
      <c r="N129">
        <f t="shared" si="122"/>
        <v>6.0048477977202435</v>
      </c>
      <c r="O129" s="3"/>
      <c r="P129">
        <f t="shared" si="123"/>
        <v>2594.0242622647243</v>
      </c>
      <c r="Q129">
        <f t="shared" si="124"/>
        <v>1301.2131356960408</v>
      </c>
      <c r="R129">
        <f t="shared" si="125"/>
        <v>0</v>
      </c>
      <c r="S129">
        <f t="shared" si="126"/>
        <v>0</v>
      </c>
      <c r="T129">
        <f t="shared" si="75"/>
        <v>50</v>
      </c>
      <c r="U129" s="3"/>
      <c r="V129">
        <f t="shared" si="127"/>
        <v>3945.2373979607651</v>
      </c>
      <c r="W129" s="3"/>
      <c r="X129">
        <f t="shared" si="128"/>
        <v>7.6319700271850195</v>
      </c>
      <c r="Y129">
        <f t="shared" si="129"/>
        <v>2.7626020392349346</v>
      </c>
      <c r="AA129">
        <f t="shared" si="130"/>
        <v>3.0492357630043468E-6</v>
      </c>
      <c r="AB129" s="3"/>
    </row>
    <row r="130" spans="2:28" x14ac:dyDescent="0.35">
      <c r="B130" s="19">
        <v>101.13636363636365</v>
      </c>
      <c r="C130" s="19">
        <v>3888</v>
      </c>
      <c r="D130">
        <f t="shared" si="113"/>
        <v>-0.15118304881715794</v>
      </c>
      <c r="E130">
        <f t="shared" si="114"/>
        <v>30.747012845950785</v>
      </c>
      <c r="F130">
        <f t="shared" si="115"/>
        <v>7.9110512706423215</v>
      </c>
      <c r="G130">
        <f t="shared" si="116"/>
        <v>7.9110512706423215</v>
      </c>
      <c r="H130">
        <f t="shared" si="117"/>
        <v>7.9110512706423215</v>
      </c>
      <c r="I130" s="3"/>
      <c r="J130">
        <f t="shared" si="118"/>
        <v>0.51411848184566544</v>
      </c>
      <c r="K130">
        <f t="shared" si="119"/>
        <v>27.435186478365605</v>
      </c>
      <c r="L130">
        <f t="shared" si="120"/>
        <v>6.1023734800506499</v>
      </c>
      <c r="M130">
        <f t="shared" si="121"/>
        <v>6.1023734800506499</v>
      </c>
      <c r="N130">
        <f t="shared" si="122"/>
        <v>6.1023734800506499</v>
      </c>
      <c r="O130" s="3"/>
      <c r="P130">
        <f t="shared" si="123"/>
        <v>2550.0918011167623</v>
      </c>
      <c r="Q130">
        <f t="shared" si="124"/>
        <v>1288.0312262606765</v>
      </c>
      <c r="R130">
        <f t="shared" si="125"/>
        <v>0</v>
      </c>
      <c r="S130">
        <f t="shared" si="126"/>
        <v>0</v>
      </c>
      <c r="T130">
        <f t="shared" si="75"/>
        <v>50</v>
      </c>
      <c r="U130" s="3"/>
      <c r="V130">
        <f t="shared" si="127"/>
        <v>3888.123027377439</v>
      </c>
      <c r="W130" s="3"/>
      <c r="X130">
        <f t="shared" si="128"/>
        <v>1.51357355995255E-2</v>
      </c>
      <c r="Y130">
        <f t="shared" si="129"/>
        <v>0.12302737743902981</v>
      </c>
      <c r="AA130">
        <f t="shared" si="130"/>
        <v>1.3579208072242413E-7</v>
      </c>
      <c r="AB130" s="3"/>
    </row>
    <row r="131" spans="2:28" x14ac:dyDescent="0.35">
      <c r="B131" s="19">
        <v>102.27272727272728</v>
      </c>
      <c r="C131" s="19">
        <v>3910</v>
      </c>
      <c r="D131">
        <f t="shared" si="113"/>
        <v>-0.1318970648478357</v>
      </c>
      <c r="E131">
        <f t="shared" si="114"/>
        <v>30.894008276155748</v>
      </c>
      <c r="F131">
        <f t="shared" si="115"/>
        <v>8.024687634278683</v>
      </c>
      <c r="G131">
        <f t="shared" si="116"/>
        <v>8.024687634278683</v>
      </c>
      <c r="H131">
        <f t="shared" si="117"/>
        <v>8.024687634278683</v>
      </c>
      <c r="I131" s="3"/>
      <c r="J131">
        <f t="shared" si="118"/>
        <v>0.52069457420798171</v>
      </c>
      <c r="K131">
        <f t="shared" si="119"/>
        <v>27.577025267913957</v>
      </c>
      <c r="L131">
        <f t="shared" si="120"/>
        <v>6.2001191281883079</v>
      </c>
      <c r="M131">
        <f t="shared" si="121"/>
        <v>6.2001191281883079</v>
      </c>
      <c r="N131">
        <f t="shared" si="122"/>
        <v>6.2001191281883079</v>
      </c>
      <c r="O131" s="3"/>
      <c r="P131">
        <f t="shared" si="123"/>
        <v>2506.9971681525994</v>
      </c>
      <c r="Q131">
        <f t="shared" si="124"/>
        <v>1275.0462938214237</v>
      </c>
      <c r="R131">
        <f t="shared" si="125"/>
        <v>0</v>
      </c>
      <c r="S131">
        <f t="shared" si="126"/>
        <v>0</v>
      </c>
      <c r="T131">
        <f t="shared" si="75"/>
        <v>50</v>
      </c>
      <c r="U131" s="3"/>
      <c r="V131">
        <f t="shared" si="127"/>
        <v>3832.0434619740231</v>
      </c>
      <c r="W131" s="3"/>
      <c r="X131">
        <f t="shared" si="128"/>
        <v>6077.2218209955818</v>
      </c>
      <c r="Y131">
        <f t="shared" si="129"/>
        <v>77.956538025976897</v>
      </c>
      <c r="AA131">
        <f t="shared" si="130"/>
        <v>8.6044917195039433E-5</v>
      </c>
      <c r="AB131" s="3"/>
    </row>
    <row r="132" spans="2:28" x14ac:dyDescent="0.35">
      <c r="B132" s="19">
        <v>103.40909090909092</v>
      </c>
      <c r="C132" s="19">
        <v>3800</v>
      </c>
      <c r="D132">
        <f t="shared" si="113"/>
        <v>-0.11261108087851324</v>
      </c>
      <c r="E132">
        <f t="shared" si="114"/>
        <v>31.041003706360712</v>
      </c>
      <c r="F132">
        <f t="shared" si="115"/>
        <v>8.1383239979150481</v>
      </c>
      <c r="G132">
        <f t="shared" si="116"/>
        <v>8.1383239979150481</v>
      </c>
      <c r="H132">
        <f t="shared" si="117"/>
        <v>8.1383239979150481</v>
      </c>
      <c r="I132" s="3"/>
      <c r="J132">
        <f t="shared" si="118"/>
        <v>0.52732573932402038</v>
      </c>
      <c r="K132">
        <f t="shared" si="119"/>
        <v>27.718889590890054</v>
      </c>
      <c r="L132">
        <f t="shared" si="120"/>
        <v>6.2980792862067352</v>
      </c>
      <c r="M132">
        <f t="shared" si="121"/>
        <v>6.2980792862067352</v>
      </c>
      <c r="N132">
        <f t="shared" si="122"/>
        <v>6.2980792862067352</v>
      </c>
      <c r="O132" s="3"/>
      <c r="P132">
        <f t="shared" si="123"/>
        <v>2464.7237559598225</v>
      </c>
      <c r="Q132">
        <f t="shared" si="124"/>
        <v>1262.2544675766408</v>
      </c>
      <c r="R132">
        <f t="shared" si="125"/>
        <v>0</v>
      </c>
      <c r="S132">
        <f t="shared" si="126"/>
        <v>0</v>
      </c>
      <c r="T132">
        <f t="shared" si="75"/>
        <v>50</v>
      </c>
      <c r="U132" s="3"/>
      <c r="V132">
        <f t="shared" si="127"/>
        <v>3776.9782235364632</v>
      </c>
      <c r="W132" s="3"/>
      <c r="X132">
        <f t="shared" si="128"/>
        <v>530.00219153705484</v>
      </c>
      <c r="Y132">
        <f t="shared" si="129"/>
        <v>23.021776463536753</v>
      </c>
      <c r="AA132">
        <f t="shared" si="130"/>
        <v>2.5410400457080896E-5</v>
      </c>
      <c r="AB132" s="3"/>
    </row>
    <row r="133" spans="2:28" ht="18.5" customHeight="1" x14ac:dyDescent="0.35">
      <c r="B133" s="23">
        <v>104.54545454545456</v>
      </c>
      <c r="C133" s="23">
        <v>3736</v>
      </c>
      <c r="D133">
        <f t="shared" si="113"/>
        <v>-9.3325096909190774E-2</v>
      </c>
      <c r="E133">
        <f t="shared" si="114"/>
        <v>31.187999136565679</v>
      </c>
      <c r="F133">
        <f t="shared" si="115"/>
        <v>8.2519603615514114</v>
      </c>
      <c r="G133">
        <f t="shared" si="116"/>
        <v>8.2519603615514114</v>
      </c>
      <c r="H133">
        <f t="shared" si="117"/>
        <v>8.2519603615514114</v>
      </c>
      <c r="I133" s="3"/>
      <c r="J133">
        <f t="shared" si="118"/>
        <v>0.53401195525165257</v>
      </c>
      <c r="K133">
        <f t="shared" si="119"/>
        <v>27.860779200184993</v>
      </c>
      <c r="L133">
        <f t="shared" si="120"/>
        <v>6.396248685867806</v>
      </c>
      <c r="M133">
        <f t="shared" si="121"/>
        <v>6.396248685867806</v>
      </c>
      <c r="N133">
        <f t="shared" si="122"/>
        <v>6.396248685867806</v>
      </c>
      <c r="O133" s="3"/>
      <c r="P133">
        <f t="shared" si="123"/>
        <v>2423.2552804744291</v>
      </c>
      <c r="Q133">
        <f t="shared" si="124"/>
        <v>1249.6519706711292</v>
      </c>
      <c r="R133">
        <f t="shared" si="125"/>
        <v>0</v>
      </c>
      <c r="S133">
        <f t="shared" si="126"/>
        <v>0</v>
      </c>
      <c r="T133">
        <f t="shared" si="75"/>
        <v>50</v>
      </c>
      <c r="U133" s="3"/>
      <c r="V133">
        <f t="shared" si="127"/>
        <v>3722.9072511455583</v>
      </c>
      <c r="W133" s="3"/>
      <c r="X133">
        <f t="shared" si="128"/>
        <v>171.4200725654832</v>
      </c>
      <c r="Y133">
        <f t="shared" si="129"/>
        <v>13.092748854441652</v>
      </c>
      <c r="AA133">
        <f t="shared" si="130"/>
        <v>1.4451186771024674E-5</v>
      </c>
      <c r="AB133" s="3"/>
    </row>
    <row r="134" spans="2:28" x14ac:dyDescent="0.35">
      <c r="B134" s="23">
        <v>105.68181818181819</v>
      </c>
      <c r="C134" s="23">
        <v>3686</v>
      </c>
      <c r="D134">
        <f t="shared" si="113"/>
        <v>-7.4039112939868312E-2</v>
      </c>
      <c r="E134">
        <f t="shared" si="114"/>
        <v>31.334994566770643</v>
      </c>
      <c r="F134">
        <f t="shared" si="115"/>
        <v>8.3655967251877748</v>
      </c>
      <c r="G134">
        <f t="shared" si="116"/>
        <v>8.3655967251877748</v>
      </c>
      <c r="H134">
        <f t="shared" si="117"/>
        <v>8.3655967251877748</v>
      </c>
      <c r="I134" s="3"/>
      <c r="J134">
        <f t="shared" si="118"/>
        <v>0.54075319421596968</v>
      </c>
      <c r="K134">
        <f t="shared" si="119"/>
        <v>28.002693852215533</v>
      </c>
      <c r="L134">
        <f t="shared" si="120"/>
        <v>6.4946222386303711</v>
      </c>
      <c r="M134">
        <f t="shared" si="121"/>
        <v>6.4946222386303711</v>
      </c>
      <c r="N134">
        <f t="shared" si="122"/>
        <v>6.4946222386303711</v>
      </c>
      <c r="O134" s="3"/>
      <c r="P134">
        <f t="shared" si="123"/>
        <v>2382.5757750440362</v>
      </c>
      <c r="Q134">
        <f t="shared" si="124"/>
        <v>1237.2351174894256</v>
      </c>
      <c r="R134">
        <f t="shared" si="125"/>
        <v>0</v>
      </c>
      <c r="S134">
        <f t="shared" si="126"/>
        <v>0</v>
      </c>
      <c r="T134">
        <f t="shared" si="75"/>
        <v>50</v>
      </c>
      <c r="U134" s="3"/>
      <c r="V134">
        <f t="shared" si="127"/>
        <v>3669.8108925334618</v>
      </c>
      <c r="W134" s="3"/>
      <c r="X134">
        <f t="shared" si="128"/>
        <v>262.08720056312256</v>
      </c>
      <c r="Y134">
        <f t="shared" si="129"/>
        <v>16.189107466538189</v>
      </c>
      <c r="AA134">
        <f t="shared" si="130"/>
        <v>1.7868808013969233E-5</v>
      </c>
      <c r="AB134" s="3"/>
    </row>
    <row r="135" spans="2:28" x14ac:dyDescent="0.35">
      <c r="B135" s="23">
        <v>106.81818181818183</v>
      </c>
      <c r="C135" s="23">
        <v>3620</v>
      </c>
      <c r="D135">
        <f t="shared" si="113"/>
        <v>-5.475312897054585E-2</v>
      </c>
      <c r="E135">
        <f t="shared" si="114"/>
        <v>31.481989996975607</v>
      </c>
      <c r="F135">
        <f t="shared" si="115"/>
        <v>8.4792330888241381</v>
      </c>
      <c r="G135">
        <f t="shared" si="116"/>
        <v>8.4792330888241381</v>
      </c>
      <c r="H135">
        <f t="shared" si="117"/>
        <v>8.4792330888241381</v>
      </c>
      <c r="I135" s="3"/>
      <c r="J135">
        <f t="shared" si="118"/>
        <v>0.5475494226728681</v>
      </c>
      <c r="K135">
        <f t="shared" si="119"/>
        <v>28.144633306858008</v>
      </c>
      <c r="L135">
        <f t="shared" si="120"/>
        <v>6.5931950280517979</v>
      </c>
      <c r="M135">
        <f t="shared" si="121"/>
        <v>6.5931950280517979</v>
      </c>
      <c r="N135">
        <f t="shared" si="122"/>
        <v>6.5931950280517979</v>
      </c>
      <c r="O135" s="3"/>
      <c r="P135">
        <f t="shared" si="123"/>
        <v>2342.6695845951454</v>
      </c>
      <c r="Q135">
        <f t="shared" si="124"/>
        <v>1225.0003110391656</v>
      </c>
      <c r="R135">
        <f t="shared" si="125"/>
        <v>0</v>
      </c>
      <c r="S135">
        <f t="shared" si="126"/>
        <v>0</v>
      </c>
      <c r="T135">
        <f t="shared" si="75"/>
        <v>50</v>
      </c>
      <c r="U135" s="3"/>
      <c r="V135">
        <f t="shared" si="127"/>
        <v>3617.6698956343107</v>
      </c>
      <c r="W135" s="3"/>
      <c r="X135">
        <f t="shared" si="128"/>
        <v>5.4293863550043087</v>
      </c>
      <c r="Y135">
        <f t="shared" si="129"/>
        <v>2.3301043656892944</v>
      </c>
      <c r="AA135">
        <f t="shared" si="130"/>
        <v>2.5718643012947313E-6</v>
      </c>
      <c r="AB135" s="3"/>
    </row>
    <row r="136" spans="2:28" x14ac:dyDescent="0.35">
      <c r="B136" s="23">
        <v>107.95454545454547</v>
      </c>
      <c r="C136" s="23">
        <v>3592</v>
      </c>
      <c r="D136">
        <f t="shared" si="113"/>
        <v>-3.5467145001223388E-2</v>
      </c>
      <c r="E136">
        <f t="shared" si="114"/>
        <v>31.628985427180574</v>
      </c>
      <c r="F136">
        <f t="shared" si="115"/>
        <v>8.5928694524605014</v>
      </c>
      <c r="G136">
        <f t="shared" si="116"/>
        <v>8.5928694524605014</v>
      </c>
      <c r="H136">
        <f t="shared" si="117"/>
        <v>8.5928694524605014</v>
      </c>
      <c r="I136" s="3"/>
      <c r="J136">
        <f t="shared" si="118"/>
        <v>0.5544006013748457</v>
      </c>
      <c r="K136">
        <f t="shared" si="119"/>
        <v>28.286597327383763</v>
      </c>
      <c r="L136">
        <f t="shared" si="120"/>
        <v>6.6919623025613859</v>
      </c>
      <c r="M136">
        <f t="shared" si="121"/>
        <v>6.6919623025613859</v>
      </c>
      <c r="N136">
        <f t="shared" si="122"/>
        <v>6.6919623025613859</v>
      </c>
      <c r="O136" s="3"/>
      <c r="P136">
        <f t="shared" si="123"/>
        <v>2303.5213599023632</v>
      </c>
      <c r="Q136">
        <f t="shared" si="124"/>
        <v>1212.9440404211348</v>
      </c>
      <c r="R136">
        <f t="shared" si="125"/>
        <v>0</v>
      </c>
      <c r="S136">
        <f t="shared" si="126"/>
        <v>0</v>
      </c>
      <c r="T136">
        <f t="shared" si="75"/>
        <v>50</v>
      </c>
      <c r="U136" s="3"/>
      <c r="V136">
        <f t="shared" si="127"/>
        <v>3566.4654003234982</v>
      </c>
      <c r="W136" s="3"/>
      <c r="X136">
        <f t="shared" si="128"/>
        <v>652.01578063920499</v>
      </c>
      <c r="Y136">
        <f t="shared" si="129"/>
        <v>25.534599676501784</v>
      </c>
      <c r="AA136">
        <f t="shared" si="130"/>
        <v>2.8183941596289787E-5</v>
      </c>
      <c r="AB136" s="3"/>
    </row>
    <row r="137" spans="2:28" x14ac:dyDescent="0.35">
      <c r="B137" s="23">
        <v>109.09090909090909</v>
      </c>
      <c r="C137" s="23">
        <v>3470</v>
      </c>
      <c r="D137">
        <f t="shared" si="113"/>
        <v>-1.6181161031901148E-2</v>
      </c>
      <c r="E137">
        <f t="shared" si="114"/>
        <v>31.775980857385534</v>
      </c>
      <c r="F137">
        <f t="shared" si="115"/>
        <v>8.7065058160968647</v>
      </c>
      <c r="G137">
        <f t="shared" si="116"/>
        <v>8.7065058160968647</v>
      </c>
      <c r="H137">
        <f t="shared" si="117"/>
        <v>8.7065058160968647</v>
      </c>
      <c r="I137" s="3"/>
      <c r="J137">
        <f t="shared" si="118"/>
        <v>0.56130668543891782</v>
      </c>
      <c r="K137">
        <f t="shared" si="119"/>
        <v>28.428585680396019</v>
      </c>
      <c r="L137">
        <f t="shared" si="120"/>
        <v>6.7909194685857068</v>
      </c>
      <c r="M137">
        <f t="shared" si="121"/>
        <v>6.7909194685857068</v>
      </c>
      <c r="N137">
        <f t="shared" si="122"/>
        <v>6.7909194685857068</v>
      </c>
      <c r="O137" s="3"/>
      <c r="P137">
        <f t="shared" si="123"/>
        <v>2265.1160519575619</v>
      </c>
      <c r="Q137">
        <f t="shared" si="124"/>
        <v>1201.0628783827578</v>
      </c>
      <c r="R137">
        <f t="shared" si="125"/>
        <v>0</v>
      </c>
      <c r="S137">
        <f t="shared" si="126"/>
        <v>0</v>
      </c>
      <c r="T137">
        <f t="shared" si="75"/>
        <v>50</v>
      </c>
      <c r="U137" s="3"/>
      <c r="V137">
        <f t="shared" si="127"/>
        <v>3516.1789303403198</v>
      </c>
      <c r="W137" s="3"/>
      <c r="X137">
        <f t="shared" si="128"/>
        <v>2132.4936073761055</v>
      </c>
      <c r="Y137">
        <f t="shared" si="129"/>
        <v>46.178930340319766</v>
      </c>
      <c r="AA137">
        <f t="shared" si="130"/>
        <v>5.0970224408429476E-5</v>
      </c>
      <c r="AB137" s="3"/>
    </row>
    <row r="138" spans="2:28" x14ac:dyDescent="0.35">
      <c r="B138" s="23">
        <v>110.22727272727273</v>
      </c>
      <c r="C138" s="23">
        <v>3456</v>
      </c>
      <c r="D138">
        <f t="shared" si="113"/>
        <v>3.1048229374215364E-3</v>
      </c>
      <c r="E138">
        <f t="shared" si="114"/>
        <v>31.922976287590501</v>
      </c>
      <c r="F138">
        <f t="shared" si="115"/>
        <v>8.820142179733228</v>
      </c>
      <c r="G138">
        <f t="shared" si="116"/>
        <v>8.820142179733228</v>
      </c>
      <c r="H138">
        <f t="shared" si="117"/>
        <v>8.820142179733228</v>
      </c>
      <c r="I138" s="3"/>
      <c r="J138">
        <f t="shared" si="118"/>
        <v>0.56826762441655765</v>
      </c>
      <c r="K138">
        <f t="shared" si="119"/>
        <v>28.570598135768289</v>
      </c>
      <c r="L138">
        <f t="shared" si="120"/>
        <v>6.8900620840070328</v>
      </c>
      <c r="M138">
        <f t="shared" si="121"/>
        <v>6.8900620840070328</v>
      </c>
      <c r="N138">
        <f t="shared" si="122"/>
        <v>6.8900620840070328</v>
      </c>
      <c r="O138" s="3"/>
      <c r="P138">
        <f t="shared" si="123"/>
        <v>2227.4389064370102</v>
      </c>
      <c r="Q138">
        <f t="shared" si="124"/>
        <v>1189.3534789518931</v>
      </c>
      <c r="R138">
        <f t="shared" si="125"/>
        <v>0</v>
      </c>
      <c r="S138">
        <f t="shared" si="126"/>
        <v>0</v>
      </c>
      <c r="T138">
        <f t="shared" si="75"/>
        <v>50</v>
      </c>
      <c r="U138" s="3"/>
      <c r="V138">
        <f t="shared" si="127"/>
        <v>3466.7923853889033</v>
      </c>
      <c r="W138" s="3"/>
      <c r="X138">
        <f t="shared" si="128"/>
        <v>116.47558238261371</v>
      </c>
      <c r="Y138">
        <f t="shared" si="129"/>
        <v>10.792385388903313</v>
      </c>
      <c r="AA138">
        <f t="shared" si="130"/>
        <v>1.1912149136429049E-5</v>
      </c>
      <c r="AB138" s="3"/>
    </row>
    <row r="139" spans="2:28" x14ac:dyDescent="0.35">
      <c r="B139" s="23">
        <v>111.36363636363637</v>
      </c>
      <c r="C139" s="23">
        <v>3424</v>
      </c>
      <c r="D139">
        <f t="shared" si="113"/>
        <v>2.2390806906743999E-2</v>
      </c>
      <c r="E139">
        <f t="shared" si="114"/>
        <v>32.069971717795468</v>
      </c>
      <c r="F139">
        <f t="shared" si="115"/>
        <v>8.9337785433695931</v>
      </c>
      <c r="G139">
        <f t="shared" si="116"/>
        <v>8.9337785433695931</v>
      </c>
      <c r="H139">
        <f t="shared" si="117"/>
        <v>8.9337785433695931</v>
      </c>
      <c r="I139" s="3"/>
      <c r="J139">
        <f t="shared" si="118"/>
        <v>0.57528336236556799</v>
      </c>
      <c r="K139">
        <f t="shared" si="119"/>
        <v>28.71263446658411</v>
      </c>
      <c r="L139">
        <f t="shared" si="120"/>
        <v>6.9893858519370813</v>
      </c>
      <c r="M139">
        <f t="shared" si="121"/>
        <v>6.9893858519370813</v>
      </c>
      <c r="N139">
        <f t="shared" si="122"/>
        <v>6.9893858519370813</v>
      </c>
      <c r="O139" s="3"/>
      <c r="P139">
        <f t="shared" si="123"/>
        <v>2190.4754582645678</v>
      </c>
      <c r="Q139">
        <f t="shared" si="124"/>
        <v>1177.8125751479702</v>
      </c>
      <c r="R139">
        <f t="shared" si="125"/>
        <v>0</v>
      </c>
      <c r="S139">
        <f t="shared" si="126"/>
        <v>0</v>
      </c>
      <c r="T139">
        <f t="shared" si="75"/>
        <v>50</v>
      </c>
      <c r="U139" s="3"/>
      <c r="V139">
        <f t="shared" si="127"/>
        <v>3418.288033412538</v>
      </c>
      <c r="W139" s="3"/>
      <c r="X139">
        <f t="shared" si="128"/>
        <v>32.626562296282621</v>
      </c>
      <c r="Y139">
        <f t="shared" si="129"/>
        <v>5.7119665874620296</v>
      </c>
      <c r="AA139">
        <f t="shared" si="130"/>
        <v>6.3046115756862889E-6</v>
      </c>
      <c r="AB139" s="3"/>
    </row>
    <row r="140" spans="2:28" ht="15.5" customHeight="1" x14ac:dyDescent="0.35">
      <c r="B140" s="23">
        <v>112.5</v>
      </c>
      <c r="C140" s="23">
        <v>3350</v>
      </c>
      <c r="D140">
        <f t="shared" si="113"/>
        <v>4.1676790876066239E-2</v>
      </c>
      <c r="E140">
        <f t="shared" si="114"/>
        <v>32.216967148000428</v>
      </c>
      <c r="F140">
        <f t="shared" si="115"/>
        <v>9.0474149070059546</v>
      </c>
      <c r="G140">
        <f t="shared" si="116"/>
        <v>9.0474149070059546</v>
      </c>
      <c r="H140">
        <f t="shared" si="117"/>
        <v>9.0474149070059546</v>
      </c>
      <c r="I140" s="3"/>
      <c r="J140">
        <f t="shared" si="118"/>
        <v>0.58235383792378981</v>
      </c>
      <c r="K140">
        <f t="shared" si="119"/>
        <v>28.85469444907817</v>
      </c>
      <c r="L140">
        <f t="shared" si="120"/>
        <v>7.0888866147892378</v>
      </c>
      <c r="M140">
        <f t="shared" si="121"/>
        <v>7.0888866147892378</v>
      </c>
      <c r="N140">
        <f t="shared" si="122"/>
        <v>7.0888866147892378</v>
      </c>
      <c r="O140" s="3"/>
      <c r="P140">
        <f t="shared" si="123"/>
        <v>2154.2115262690741</v>
      </c>
      <c r="Q140">
        <f t="shared" si="124"/>
        <v>1166.4369767675912</v>
      </c>
      <c r="R140">
        <f t="shared" si="125"/>
        <v>0</v>
      </c>
      <c r="S140">
        <f t="shared" si="126"/>
        <v>0</v>
      </c>
      <c r="T140">
        <f t="shared" si="75"/>
        <v>50</v>
      </c>
      <c r="U140" s="3"/>
      <c r="V140">
        <f t="shared" si="127"/>
        <v>3370.6485030366653</v>
      </c>
      <c r="W140" s="3"/>
      <c r="X140">
        <f t="shared" si="128"/>
        <v>426.36067765517453</v>
      </c>
      <c r="Y140">
        <f t="shared" si="129"/>
        <v>20.648503036665261</v>
      </c>
      <c r="AA140">
        <f t="shared" si="130"/>
        <v>2.2790888089455E-5</v>
      </c>
      <c r="AB140" s="3"/>
    </row>
    <row r="141" spans="2:28" x14ac:dyDescent="0.35">
      <c r="B141" s="23">
        <v>113.63636363636364</v>
      </c>
      <c r="C141" s="23">
        <v>3364</v>
      </c>
      <c r="D141">
        <f t="shared" si="113"/>
        <v>6.0962774845388701E-2</v>
      </c>
      <c r="E141">
        <f t="shared" si="114"/>
        <v>32.363962578205395</v>
      </c>
      <c r="F141">
        <f t="shared" si="115"/>
        <v>9.1610512706423197</v>
      </c>
      <c r="G141">
        <f t="shared" si="116"/>
        <v>9.1610512706423197</v>
      </c>
      <c r="H141">
        <f t="shared" si="117"/>
        <v>9.1610512706423197</v>
      </c>
      <c r="I141" s="3"/>
      <c r="J141">
        <f t="shared" si="118"/>
        <v>0.58947898438455193</v>
      </c>
      <c r="K141">
        <f t="shared" si="119"/>
        <v>28.996777862578831</v>
      </c>
      <c r="L141">
        <f t="shared" si="120"/>
        <v>7.1885603486334597</v>
      </c>
      <c r="M141">
        <f t="shared" si="121"/>
        <v>7.1885603486334597</v>
      </c>
      <c r="N141">
        <f t="shared" si="122"/>
        <v>7.1885603486334597</v>
      </c>
      <c r="O141" s="3"/>
      <c r="P141">
        <f t="shared" si="123"/>
        <v>2118.6332079341382</v>
      </c>
      <c r="Q141">
        <f t="shared" si="124"/>
        <v>1155.2235682418543</v>
      </c>
      <c r="R141">
        <f t="shared" si="125"/>
        <v>0</v>
      </c>
      <c r="S141">
        <f t="shared" si="126"/>
        <v>0</v>
      </c>
      <c r="T141">
        <f t="shared" si="75"/>
        <v>50</v>
      </c>
      <c r="U141" s="3"/>
      <c r="V141">
        <f t="shared" si="127"/>
        <v>3323.8567761759923</v>
      </c>
      <c r="W141" s="3"/>
      <c r="X141">
        <f t="shared" si="128"/>
        <v>1611.4784189843788</v>
      </c>
      <c r="Y141">
        <f t="shared" si="129"/>
        <v>40.143223824007691</v>
      </c>
      <c r="AA141">
        <f t="shared" si="130"/>
        <v>4.4308283273529725E-5</v>
      </c>
    </row>
    <row r="142" spans="2:28" x14ac:dyDescent="0.35">
      <c r="B142" s="23">
        <v>114.77272727272728</v>
      </c>
      <c r="C142" s="23">
        <v>3318</v>
      </c>
      <c r="D142">
        <f t="shared" si="113"/>
        <v>8.0248758814711385E-2</v>
      </c>
      <c r="E142">
        <f t="shared" si="114"/>
        <v>32.510958008410356</v>
      </c>
      <c r="F142">
        <f t="shared" si="115"/>
        <v>9.274687634278683</v>
      </c>
      <c r="G142">
        <f t="shared" si="116"/>
        <v>9.274687634278683</v>
      </c>
      <c r="H142">
        <f t="shared" si="117"/>
        <v>9.274687634278683</v>
      </c>
      <c r="I142" s="3"/>
      <c r="J142">
        <f t="shared" si="118"/>
        <v>0.59665872977376799</v>
      </c>
      <c r="K142">
        <f t="shared" si="119"/>
        <v>29.138884489451815</v>
      </c>
      <c r="L142">
        <f t="shared" si="120"/>
        <v>7.2884031578187951</v>
      </c>
      <c r="M142">
        <f t="shared" si="121"/>
        <v>7.2884031578187951</v>
      </c>
      <c r="N142">
        <f t="shared" si="122"/>
        <v>7.2884031578187951</v>
      </c>
      <c r="O142" s="3"/>
      <c r="P142">
        <f t="shared" si="123"/>
        <v>2083.7268742385627</v>
      </c>
      <c r="Q142">
        <f t="shared" si="124"/>
        <v>1144.1693065627808</v>
      </c>
      <c r="R142">
        <f t="shared" si="125"/>
        <v>0</v>
      </c>
      <c r="S142">
        <f t="shared" si="126"/>
        <v>0</v>
      </c>
      <c r="T142">
        <f t="shared" si="75"/>
        <v>50</v>
      </c>
      <c r="U142" s="3"/>
      <c r="V142">
        <f t="shared" si="127"/>
        <v>3277.8961808013437</v>
      </c>
      <c r="W142" s="3"/>
      <c r="X142">
        <f t="shared" si="128"/>
        <v>1608.3163143185145</v>
      </c>
      <c r="Y142">
        <f t="shared" si="129"/>
        <v>40.103819198656311</v>
      </c>
      <c r="AA142">
        <f t="shared" si="130"/>
        <v>4.4264790221999762E-5</v>
      </c>
    </row>
    <row r="143" spans="2:28" x14ac:dyDescent="0.35">
      <c r="B143" s="23">
        <v>115.90909090909091</v>
      </c>
      <c r="C143" s="23">
        <v>3250</v>
      </c>
      <c r="D143">
        <f t="shared" si="113"/>
        <v>9.9534742784033625E-2</v>
      </c>
      <c r="E143">
        <f t="shared" si="114"/>
        <v>32.657953438615323</v>
      </c>
      <c r="F143">
        <f t="shared" si="115"/>
        <v>9.3883239979150463</v>
      </c>
      <c r="G143">
        <f t="shared" si="116"/>
        <v>9.3883239979150463</v>
      </c>
      <c r="H143">
        <f t="shared" si="117"/>
        <v>9.3883239979150463</v>
      </c>
      <c r="I143" s="3"/>
      <c r="J143">
        <f t="shared" si="118"/>
        <v>0.60389299692858578</v>
      </c>
      <c r="K143">
        <f t="shared" si="119"/>
        <v>29.281014115045309</v>
      </c>
      <c r="L143">
        <f t="shared" si="120"/>
        <v>7.3884112698494713</v>
      </c>
      <c r="M143">
        <f t="shared" si="121"/>
        <v>7.3884112698494713</v>
      </c>
      <c r="N143">
        <f t="shared" si="122"/>
        <v>7.3884112698494713</v>
      </c>
      <c r="O143" s="3"/>
      <c r="P143">
        <f t="shared" si="123"/>
        <v>2049.4791645857026</v>
      </c>
      <c r="Q143">
        <f t="shared" si="124"/>
        <v>1133.2712192763008</v>
      </c>
      <c r="R143">
        <f t="shared" si="125"/>
        <v>0</v>
      </c>
      <c r="S143">
        <f t="shared" si="126"/>
        <v>0</v>
      </c>
      <c r="T143">
        <f t="shared" si="75"/>
        <v>50</v>
      </c>
      <c r="U143" s="3"/>
      <c r="V143">
        <f t="shared" si="127"/>
        <v>3232.7503838620032</v>
      </c>
      <c r="W143" s="3"/>
      <c r="X143">
        <f t="shared" si="128"/>
        <v>297.54925690823899</v>
      </c>
      <c r="Y143">
        <f t="shared" si="129"/>
        <v>17.249616137996782</v>
      </c>
      <c r="AA143">
        <f t="shared" si="130"/>
        <v>1.9039349743129509E-5</v>
      </c>
    </row>
    <row r="144" spans="2:28" x14ac:dyDescent="0.35">
      <c r="B144" s="23">
        <v>117.04545454545455</v>
      </c>
      <c r="C144" s="23">
        <v>3182</v>
      </c>
      <c r="D144">
        <f t="shared" si="113"/>
        <v>0.11882072675335609</v>
      </c>
      <c r="E144">
        <f t="shared" si="114"/>
        <v>32.80494886882029</v>
      </c>
      <c r="F144">
        <f t="shared" si="115"/>
        <v>9.5019603615514097</v>
      </c>
      <c r="G144">
        <f t="shared" si="116"/>
        <v>9.5019603615514097</v>
      </c>
      <c r="H144">
        <f t="shared" si="117"/>
        <v>9.5019603615514097</v>
      </c>
      <c r="I144" s="3"/>
      <c r="J144">
        <f t="shared" si="118"/>
        <v>0.61118170357749535</v>
      </c>
      <c r="K144">
        <f t="shared" si="119"/>
        <v>29.423166527636159</v>
      </c>
      <c r="L144">
        <f t="shared" si="120"/>
        <v>7.4885810305011438</v>
      </c>
      <c r="M144">
        <f t="shared" si="121"/>
        <v>7.4885810305011438</v>
      </c>
      <c r="N144">
        <f t="shared" si="122"/>
        <v>7.4885810305011438</v>
      </c>
      <c r="O144" s="3"/>
      <c r="P144">
        <f t="shared" si="123"/>
        <v>2015.8769818200919</v>
      </c>
      <c r="Q144">
        <f t="shared" si="124"/>
        <v>1122.5264025393999</v>
      </c>
      <c r="R144">
        <f t="shared" si="125"/>
        <v>0</v>
      </c>
      <c r="S144">
        <f t="shared" si="126"/>
        <v>0</v>
      </c>
      <c r="T144">
        <f t="shared" si="75"/>
        <v>50</v>
      </c>
      <c r="U144" s="3"/>
      <c r="V144">
        <f t="shared" si="127"/>
        <v>3188.4033843594916</v>
      </c>
      <c r="W144" s="3"/>
      <c r="X144">
        <f t="shared" si="128"/>
        <v>41.003331255381788</v>
      </c>
      <c r="Y144">
        <f t="shared" si="129"/>
        <v>6.4033843594916107</v>
      </c>
      <c r="AA144">
        <f t="shared" si="130"/>
        <v>7.0677673859358351E-6</v>
      </c>
    </row>
    <row r="145" spans="2:27" ht="14" customHeight="1" x14ac:dyDescent="0.35">
      <c r="B145" s="23">
        <v>118.18181818181819</v>
      </c>
      <c r="C145" s="23">
        <v>3204</v>
      </c>
      <c r="D145">
        <f t="shared" si="113"/>
        <v>0.13810671072267877</v>
      </c>
      <c r="E145">
        <f t="shared" si="114"/>
        <v>32.951944299025257</v>
      </c>
      <c r="F145">
        <f t="shared" si="115"/>
        <v>9.6155967251877748</v>
      </c>
      <c r="G145">
        <f t="shared" si="116"/>
        <v>9.6155967251877748</v>
      </c>
      <c r="H145">
        <f t="shared" si="117"/>
        <v>9.6155967251877748</v>
      </c>
      <c r="I145" s="3"/>
      <c r="J145">
        <f t="shared" si="118"/>
        <v>0.6185247624218011</v>
      </c>
      <c r="K145">
        <f t="shared" si="119"/>
        <v>29.565341518377362</v>
      </c>
      <c r="L145">
        <f t="shared" si="120"/>
        <v>7.5889088991647426</v>
      </c>
      <c r="M145">
        <f t="shared" si="121"/>
        <v>7.5889088991647426</v>
      </c>
      <c r="N145">
        <f t="shared" si="122"/>
        <v>7.5889088991647426</v>
      </c>
      <c r="O145" s="3"/>
      <c r="P145">
        <f t="shared" si="123"/>
        <v>1982.9074873297316</v>
      </c>
      <c r="Q145">
        <f t="shared" si="124"/>
        <v>1111.9320192390858</v>
      </c>
      <c r="R145">
        <f t="shared" si="125"/>
        <v>0</v>
      </c>
      <c r="S145">
        <f t="shared" si="126"/>
        <v>0</v>
      </c>
      <c r="T145">
        <f t="shared" si="75"/>
        <v>50</v>
      </c>
      <c r="U145" s="3"/>
      <c r="V145">
        <f t="shared" si="127"/>
        <v>3144.8395065688173</v>
      </c>
      <c r="W145" s="3"/>
      <c r="X145">
        <f t="shared" si="128"/>
        <v>3499.9639830210062</v>
      </c>
      <c r="Y145">
        <f t="shared" si="129"/>
        <v>59.160493431182658</v>
      </c>
      <c r="AA145">
        <f t="shared" si="130"/>
        <v>6.529868933902027E-5</v>
      </c>
    </row>
    <row r="146" spans="2:27" x14ac:dyDescent="0.35">
      <c r="B146" s="23">
        <v>119.31818181818181</v>
      </c>
      <c r="C146" s="23">
        <v>3098</v>
      </c>
      <c r="D146">
        <f t="shared" si="113"/>
        <v>0.15739269469200079</v>
      </c>
      <c r="E146">
        <f t="shared" si="114"/>
        <v>33.098939729230217</v>
      </c>
      <c r="F146">
        <f t="shared" si="115"/>
        <v>9.7292330888241363</v>
      </c>
      <c r="G146">
        <f t="shared" si="116"/>
        <v>9.7292330888241363</v>
      </c>
      <c r="H146">
        <f t="shared" si="117"/>
        <v>9.7292330888241363</v>
      </c>
      <c r="I146" s="3"/>
      <c r="J146">
        <f t="shared" si="118"/>
        <v>0.6259220812183649</v>
      </c>
      <c r="K146">
        <f t="shared" si="119"/>
        <v>29.707538881246652</v>
      </c>
      <c r="L146">
        <f t="shared" si="120"/>
        <v>7.6893914444060085</v>
      </c>
      <c r="M146">
        <f t="shared" si="121"/>
        <v>7.6893914444060085</v>
      </c>
      <c r="N146">
        <f t="shared" si="122"/>
        <v>7.6893914444060085</v>
      </c>
      <c r="O146" s="3"/>
      <c r="P146">
        <f t="shared" si="123"/>
        <v>1950.5580962324707</v>
      </c>
      <c r="Q146">
        <f t="shared" si="124"/>
        <v>1101.4852971709583</v>
      </c>
      <c r="R146">
        <f t="shared" si="125"/>
        <v>0</v>
      </c>
      <c r="S146">
        <f t="shared" si="126"/>
        <v>0</v>
      </c>
      <c r="T146">
        <f t="shared" si="75"/>
        <v>50</v>
      </c>
      <c r="U146" s="3"/>
      <c r="V146">
        <f t="shared" si="127"/>
        <v>3102.043393403429</v>
      </c>
      <c r="W146" s="3"/>
      <c r="X146">
        <f t="shared" si="128"/>
        <v>16.349030214893443</v>
      </c>
      <c r="Y146">
        <f t="shared" si="129"/>
        <v>4.043393403429036</v>
      </c>
      <c r="AA146">
        <f t="shared" si="130"/>
        <v>4.4629156116333359E-6</v>
      </c>
    </row>
    <row r="147" spans="2:27" x14ac:dyDescent="0.35">
      <c r="B147" s="23">
        <v>120.45454545454547</v>
      </c>
      <c r="C147" s="23">
        <v>3060</v>
      </c>
      <c r="D147">
        <f t="shared" si="113"/>
        <v>0.1766786786613237</v>
      </c>
      <c r="E147">
        <f t="shared" si="114"/>
        <v>33.245935159435184</v>
      </c>
      <c r="F147">
        <f t="shared" si="115"/>
        <v>9.8428694524605014</v>
      </c>
      <c r="G147">
        <f t="shared" si="116"/>
        <v>9.8428694524605014</v>
      </c>
      <c r="H147">
        <f t="shared" si="117"/>
        <v>9.8428694524605014</v>
      </c>
      <c r="I147" s="3"/>
      <c r="J147">
        <f t="shared" si="118"/>
        <v>0.63337356286353053</v>
      </c>
      <c r="K147">
        <f t="shared" si="119"/>
        <v>29.849758412996284</v>
      </c>
      <c r="L147">
        <f t="shared" si="120"/>
        <v>7.790025339729536</v>
      </c>
      <c r="M147">
        <f t="shared" si="121"/>
        <v>7.790025339729536</v>
      </c>
      <c r="N147">
        <f t="shared" si="122"/>
        <v>7.790025339729536</v>
      </c>
      <c r="O147" s="3"/>
      <c r="P147">
        <f t="shared" si="123"/>
        <v>1918.8164726449397</v>
      </c>
      <c r="Q147">
        <f t="shared" si="124"/>
        <v>1091.1835272752342</v>
      </c>
      <c r="R147">
        <f t="shared" si="125"/>
        <v>0</v>
      </c>
      <c r="S147">
        <f t="shared" si="126"/>
        <v>0</v>
      </c>
      <c r="T147">
        <f t="shared" si="75"/>
        <v>50</v>
      </c>
      <c r="U147" s="3"/>
      <c r="V147">
        <f t="shared" si="127"/>
        <v>3059.9999999201737</v>
      </c>
      <c r="W147" s="3"/>
      <c r="X147">
        <f t="shared" si="128"/>
        <v>6.3722461502689038E-15</v>
      </c>
      <c r="Y147">
        <f t="shared" si="129"/>
        <v>7.9826349974609911E-8</v>
      </c>
      <c r="AA147">
        <f t="shared" si="130"/>
        <v>8.810873144801218E-14</v>
      </c>
    </row>
    <row r="148" spans="2:27" x14ac:dyDescent="0.35">
      <c r="B148" s="23">
        <v>121.59090909090911</v>
      </c>
      <c r="C148" s="23">
        <v>2970</v>
      </c>
      <c r="D148">
        <f t="shared" si="113"/>
        <v>0.19596466263064616</v>
      </c>
      <c r="E148">
        <f t="shared" si="114"/>
        <v>33.392930589640152</v>
      </c>
      <c r="F148">
        <f t="shared" si="115"/>
        <v>9.9565058160968665</v>
      </c>
      <c r="G148">
        <f t="shared" si="116"/>
        <v>9.9565058160968665</v>
      </c>
      <c r="H148">
        <f t="shared" si="117"/>
        <v>9.9565058160968665</v>
      </c>
      <c r="I148" s="3"/>
      <c r="J148">
        <f t="shared" si="118"/>
        <v>0.64087910547813098</v>
      </c>
      <c r="K148">
        <f t="shared" si="119"/>
        <v>29.99199991310385</v>
      </c>
      <c r="L148">
        <f t="shared" si="120"/>
        <v>7.8908073595366552</v>
      </c>
      <c r="M148">
        <f t="shared" si="121"/>
        <v>7.8908073595366552</v>
      </c>
      <c r="N148">
        <f t="shared" si="122"/>
        <v>7.8908073595366552</v>
      </c>
      <c r="O148" s="3"/>
      <c r="P148">
        <f t="shared" si="123"/>
        <v>1887.6705250325849</v>
      </c>
      <c r="Q148">
        <f t="shared" si="124"/>
        <v>1081.024061928184</v>
      </c>
      <c r="R148">
        <f t="shared" si="125"/>
        <v>0</v>
      </c>
      <c r="S148">
        <f t="shared" si="126"/>
        <v>0</v>
      </c>
      <c r="T148">
        <f t="shared" si="75"/>
        <v>50</v>
      </c>
      <c r="U148" s="3"/>
      <c r="V148">
        <f t="shared" si="127"/>
        <v>3018.6945869607689</v>
      </c>
      <c r="W148" s="3"/>
      <c r="X148">
        <f t="shared" si="128"/>
        <v>2371.1627992798849</v>
      </c>
      <c r="Y148">
        <f t="shared" si="129"/>
        <v>48.694586960768902</v>
      </c>
      <c r="AA148">
        <f t="shared" si="130"/>
        <v>5.3746892935263873E-5</v>
      </c>
    </row>
    <row r="149" spans="2:27" x14ac:dyDescent="0.35">
      <c r="B149" s="23">
        <v>122.72727272727273</v>
      </c>
      <c r="C149" s="23">
        <v>2944</v>
      </c>
      <c r="D149">
        <f t="shared" si="113"/>
        <v>0.21525064659996862</v>
      </c>
      <c r="E149">
        <f t="shared" si="114"/>
        <v>33.539926019845112</v>
      </c>
      <c r="F149">
        <f t="shared" si="115"/>
        <v>10.070142179733228</v>
      </c>
      <c r="G149">
        <f t="shared" si="116"/>
        <v>10.070142179733228</v>
      </c>
      <c r="H149">
        <f t="shared" si="117"/>
        <v>10.070142179733228</v>
      </c>
      <c r="I149" s="3"/>
      <c r="J149">
        <f t="shared" si="118"/>
        <v>0.6484386024934975</v>
      </c>
      <c r="K149">
        <f t="shared" si="119"/>
        <v>30.134263183724229</v>
      </c>
      <c r="L149">
        <f t="shared" si="120"/>
        <v>7.9917343752672378</v>
      </c>
      <c r="M149">
        <f t="shared" si="121"/>
        <v>7.9917343752672378</v>
      </c>
      <c r="N149">
        <f t="shared" si="122"/>
        <v>7.9917343752672378</v>
      </c>
      <c r="O149" s="3"/>
      <c r="P149">
        <f t="shared" si="123"/>
        <v>1857.1084016393213</v>
      </c>
      <c r="Q149">
        <f t="shared" si="124"/>
        <v>1071.0043132869989</v>
      </c>
      <c r="R149">
        <f t="shared" si="125"/>
        <v>0</v>
      </c>
      <c r="S149">
        <f t="shared" si="126"/>
        <v>0</v>
      </c>
      <c r="T149">
        <f t="shared" si="75"/>
        <v>50</v>
      </c>
      <c r="U149" s="3"/>
      <c r="V149">
        <f t="shared" si="127"/>
        <v>2978.1127149263202</v>
      </c>
      <c r="W149" s="3"/>
      <c r="X149">
        <f t="shared" si="128"/>
        <v>1163.6773196443905</v>
      </c>
      <c r="Y149">
        <f t="shared" si="129"/>
        <v>34.112714926320223</v>
      </c>
      <c r="AA149">
        <f t="shared" si="130"/>
        <v>3.7652079036079376E-5</v>
      </c>
    </row>
    <row r="150" spans="2:27" ht="13.5" customHeight="1" x14ac:dyDescent="0.35">
      <c r="B150" s="23">
        <v>123.86363636363637</v>
      </c>
      <c r="C150" s="23">
        <v>2942</v>
      </c>
      <c r="D150">
        <f t="shared" si="113"/>
        <v>0.23453663056929108</v>
      </c>
      <c r="E150">
        <f t="shared" si="114"/>
        <v>33.686921450050079</v>
      </c>
      <c r="F150">
        <f t="shared" si="115"/>
        <v>10.183778543369593</v>
      </c>
      <c r="G150">
        <f t="shared" si="116"/>
        <v>10.183778543369593</v>
      </c>
      <c r="H150">
        <f t="shared" si="117"/>
        <v>10.183778543369593</v>
      </c>
      <c r="I150" s="3"/>
      <c r="J150">
        <f t="shared" si="118"/>
        <v>0.65605194273837253</v>
      </c>
      <c r="K150">
        <f t="shared" si="119"/>
        <v>30.276548029642573</v>
      </c>
      <c r="L150">
        <f t="shared" si="120"/>
        <v>8.0928033517159363</v>
      </c>
      <c r="M150">
        <f t="shared" si="121"/>
        <v>8.0928033517159363</v>
      </c>
      <c r="N150">
        <f t="shared" si="122"/>
        <v>8.0928033517159363</v>
      </c>
      <c r="O150" s="3"/>
      <c r="P150">
        <f t="shared" si="123"/>
        <v>1827.1184859954303</v>
      </c>
      <c r="Q150">
        <f t="shared" si="124"/>
        <v>1061.1217516862012</v>
      </c>
      <c r="R150">
        <f t="shared" si="125"/>
        <v>0</v>
      </c>
      <c r="S150">
        <f t="shared" si="126"/>
        <v>0</v>
      </c>
      <c r="T150">
        <f t="shared" si="75"/>
        <v>50</v>
      </c>
      <c r="U150" s="3"/>
      <c r="V150">
        <f t="shared" si="127"/>
        <v>2938.2402376816317</v>
      </c>
      <c r="W150" s="3"/>
      <c r="X150">
        <f t="shared" si="128"/>
        <v>14.135812690622194</v>
      </c>
      <c r="Y150">
        <f t="shared" si="129"/>
        <v>3.7597623183683027</v>
      </c>
      <c r="AA150">
        <f t="shared" si="130"/>
        <v>4.1498563885588364E-6</v>
      </c>
    </row>
    <row r="151" spans="2:27" x14ac:dyDescent="0.35">
      <c r="B151" s="23">
        <v>125.00000000000001</v>
      </c>
      <c r="C151" s="23">
        <v>2894</v>
      </c>
      <c r="D151">
        <f t="shared" si="113"/>
        <v>0.25382261453861354</v>
      </c>
      <c r="E151">
        <f t="shared" si="114"/>
        <v>33.833916880255046</v>
      </c>
      <c r="F151">
        <f t="shared" si="115"/>
        <v>10.297414907005956</v>
      </c>
      <c r="G151">
        <f t="shared" si="116"/>
        <v>10.297414907005956</v>
      </c>
      <c r="H151">
        <f t="shared" si="117"/>
        <v>10.297414907005956</v>
      </c>
      <c r="I151" s="3"/>
      <c r="J151">
        <f t="shared" si="118"/>
        <v>0.66371901052664328</v>
      </c>
      <c r="K151">
        <f t="shared" si="119"/>
        <v>30.418854258228269</v>
      </c>
      <c r="L151">
        <f t="shared" si="120"/>
        <v>8.1940113435139263</v>
      </c>
      <c r="M151">
        <f t="shared" si="121"/>
        <v>8.1940113435139263</v>
      </c>
      <c r="N151">
        <f t="shared" si="122"/>
        <v>8.1940113435139263</v>
      </c>
      <c r="O151" s="3"/>
      <c r="P151">
        <f t="shared" si="123"/>
        <v>1797.6893925023221</v>
      </c>
      <c r="Q151">
        <f t="shared" si="124"/>
        <v>1051.3739040837763</v>
      </c>
      <c r="R151">
        <f t="shared" si="125"/>
        <v>0</v>
      </c>
      <c r="S151">
        <f t="shared" si="126"/>
        <v>0</v>
      </c>
      <c r="T151">
        <f t="shared" si="75"/>
        <v>50</v>
      </c>
      <c r="U151" s="3"/>
      <c r="V151">
        <f t="shared" si="127"/>
        <v>2899.0632965860987</v>
      </c>
      <c r="W151" s="3"/>
      <c r="X151">
        <f t="shared" si="128"/>
        <v>25.636972318798332</v>
      </c>
      <c r="Y151">
        <f t="shared" si="129"/>
        <v>5.0632965860986587</v>
      </c>
      <c r="AA151">
        <f t="shared" si="130"/>
        <v>5.5886388302621836E-6</v>
      </c>
    </row>
    <row r="152" spans="2:27" x14ac:dyDescent="0.35">
      <c r="B152" s="23">
        <v>126.13636363636364</v>
      </c>
      <c r="C152" s="23">
        <v>2846</v>
      </c>
      <c r="D152">
        <f t="shared" si="113"/>
        <v>0.27310859850793601</v>
      </c>
      <c r="E152">
        <f t="shared" si="114"/>
        <v>33.980912310460006</v>
      </c>
      <c r="F152">
        <f t="shared" si="115"/>
        <v>10.41105127064232</v>
      </c>
      <c r="G152">
        <f t="shared" si="116"/>
        <v>10.41105127064232</v>
      </c>
      <c r="H152">
        <f t="shared" si="117"/>
        <v>10.41105127064232</v>
      </c>
      <c r="I152" s="3"/>
      <c r="J152">
        <f t="shared" si="118"/>
        <v>0.6714396857458057</v>
      </c>
      <c r="K152">
        <f t="shared" si="119"/>
        <v>30.56118167938995</v>
      </c>
      <c r="L152">
        <f t="shared" si="120"/>
        <v>8.2953554917677845</v>
      </c>
      <c r="M152">
        <f t="shared" si="121"/>
        <v>8.2953554917677845</v>
      </c>
      <c r="N152">
        <f t="shared" si="122"/>
        <v>8.2953554917677845</v>
      </c>
      <c r="O152" s="3"/>
      <c r="P152">
        <f t="shared" si="123"/>
        <v>1768.809962092839</v>
      </c>
      <c r="Q152">
        <f t="shared" si="124"/>
        <v>1041.758352555285</v>
      </c>
      <c r="R152">
        <f t="shared" si="125"/>
        <v>0</v>
      </c>
      <c r="S152">
        <f t="shared" si="126"/>
        <v>0</v>
      </c>
      <c r="T152">
        <f t="shared" si="75"/>
        <v>50</v>
      </c>
      <c r="U152" s="3"/>
      <c r="V152">
        <f t="shared" si="127"/>
        <v>2860.5683146481242</v>
      </c>
      <c r="W152" s="3"/>
      <c r="X152">
        <f t="shared" si="128"/>
        <v>212.23579168675056</v>
      </c>
      <c r="Y152">
        <f t="shared" si="129"/>
        <v>14.568314648124215</v>
      </c>
      <c r="AA152">
        <f t="shared" si="130"/>
        <v>1.6079849866491295E-5</v>
      </c>
    </row>
    <row r="153" spans="2:27" x14ac:dyDescent="0.35">
      <c r="B153" s="23">
        <v>127.27272727272729</v>
      </c>
      <c r="C153" s="23">
        <v>2796</v>
      </c>
      <c r="D153">
        <f t="shared" si="113"/>
        <v>0.29239458247725847</v>
      </c>
      <c r="E153">
        <f t="shared" si="114"/>
        <v>34.127907740664973</v>
      </c>
      <c r="F153">
        <f t="shared" si="115"/>
        <v>10.524687634278685</v>
      </c>
      <c r="G153">
        <f t="shared" si="116"/>
        <v>10.524687634278685</v>
      </c>
      <c r="H153">
        <f t="shared" si="117"/>
        <v>10.524687634278685</v>
      </c>
      <c r="I153" s="3"/>
      <c r="J153">
        <f t="shared" si="118"/>
        <v>0.67921384394607698</v>
      </c>
      <c r="K153">
        <f t="shared" si="119"/>
        <v>30.703530105531474</v>
      </c>
      <c r="L153">
        <f t="shared" si="120"/>
        <v>8.3968330208475042</v>
      </c>
      <c r="M153">
        <f t="shared" si="121"/>
        <v>8.3968330208475042</v>
      </c>
      <c r="N153">
        <f t="shared" si="122"/>
        <v>8.3968330208475042</v>
      </c>
      <c r="O153" s="3"/>
      <c r="P153">
        <f t="shared" si="123"/>
        <v>1740.4692579657944</v>
      </c>
      <c r="Q153">
        <f t="shared" si="124"/>
        <v>1032.2727328342646</v>
      </c>
      <c r="R153">
        <f t="shared" si="125"/>
        <v>0</v>
      </c>
      <c r="S153">
        <f t="shared" si="126"/>
        <v>0</v>
      </c>
      <c r="T153">
        <f t="shared" si="75"/>
        <v>50</v>
      </c>
      <c r="U153" s="3"/>
      <c r="V153">
        <f t="shared" si="127"/>
        <v>2822.7419908000593</v>
      </c>
      <c r="W153" s="3"/>
      <c r="X153">
        <f t="shared" si="128"/>
        <v>715.13407195045534</v>
      </c>
      <c r="Y153">
        <f t="shared" si="129"/>
        <v>26.741990800059284</v>
      </c>
      <c r="AA153">
        <f t="shared" si="130"/>
        <v>2.9516605563664944E-5</v>
      </c>
    </row>
    <row r="154" spans="2:27" x14ac:dyDescent="0.35">
      <c r="B154" s="23">
        <v>128.40909090909091</v>
      </c>
      <c r="C154" s="23">
        <v>2734</v>
      </c>
      <c r="D154">
        <f t="shared" si="113"/>
        <v>0.31168056644658049</v>
      </c>
      <c r="E154">
        <f t="shared" si="114"/>
        <v>34.274903170869933</v>
      </c>
      <c r="F154">
        <f t="shared" si="115"/>
        <v>10.638323997915046</v>
      </c>
      <c r="G154">
        <f t="shared" si="116"/>
        <v>10.638323997915046</v>
      </c>
      <c r="H154">
        <f t="shared" si="117"/>
        <v>10.638323997915046</v>
      </c>
      <c r="I154" s="3"/>
      <c r="J154">
        <f t="shared" si="118"/>
        <v>0.68704135643006781</v>
      </c>
      <c r="K154">
        <f t="shared" si="119"/>
        <v>30.845899351508777</v>
      </c>
      <c r="L154">
        <f t="shared" si="120"/>
        <v>8.4984412353161449</v>
      </c>
      <c r="M154">
        <f t="shared" si="121"/>
        <v>8.4984412353161449</v>
      </c>
      <c r="N154">
        <f t="shared" si="122"/>
        <v>8.4984412353161449</v>
      </c>
      <c r="O154" s="3"/>
      <c r="P154">
        <f t="shared" si="123"/>
        <v>1712.6565613935038</v>
      </c>
      <c r="Q154">
        <f t="shared" si="124"/>
        <v>1022.9147328973258</v>
      </c>
      <c r="R154">
        <f t="shared" si="125"/>
        <v>0</v>
      </c>
      <c r="S154">
        <f t="shared" si="126"/>
        <v>0</v>
      </c>
      <c r="T154">
        <f t="shared" si="75"/>
        <v>50</v>
      </c>
      <c r="U154" s="3"/>
      <c r="V154">
        <f t="shared" si="127"/>
        <v>2785.5712942908294</v>
      </c>
      <c r="W154" s="3"/>
      <c r="X154">
        <f t="shared" si="128"/>
        <v>2659.598394831336</v>
      </c>
      <c r="Y154">
        <f t="shared" si="129"/>
        <v>51.571294290829428</v>
      </c>
      <c r="AA154">
        <f t="shared" si="130"/>
        <v>5.6922072981444728E-5</v>
      </c>
    </row>
    <row r="155" spans="2:27" x14ac:dyDescent="0.35">
      <c r="B155" s="23">
        <v>129.54545454545453</v>
      </c>
      <c r="C155" s="23">
        <v>2706</v>
      </c>
      <c r="D155">
        <f t="shared" si="113"/>
        <v>0.33096655041590295</v>
      </c>
      <c r="E155">
        <f t="shared" si="114"/>
        <v>34.421898601074901</v>
      </c>
      <c r="F155">
        <f t="shared" si="115"/>
        <v>10.751960361551408</v>
      </c>
      <c r="G155">
        <f t="shared" si="116"/>
        <v>10.751960361551408</v>
      </c>
      <c r="H155">
        <f t="shared" si="117"/>
        <v>10.751960361551408</v>
      </c>
      <c r="I155" s="3"/>
      <c r="J155">
        <f t="shared" si="118"/>
        <v>0.69492209034293739</v>
      </c>
      <c r="K155">
        <f t="shared" si="119"/>
        <v>30.988289234587743</v>
      </c>
      <c r="L155">
        <f t="shared" si="120"/>
        <v>8.6001775169940444</v>
      </c>
      <c r="M155">
        <f t="shared" si="121"/>
        <v>8.6001775169940444</v>
      </c>
      <c r="N155">
        <f t="shared" si="122"/>
        <v>8.6001775169940444</v>
      </c>
      <c r="O155" s="3"/>
      <c r="P155">
        <f t="shared" si="123"/>
        <v>1685.3613676010546</v>
      </c>
      <c r="Q155">
        <f t="shared" si="124"/>
        <v>1013.6820915923755</v>
      </c>
      <c r="R155">
        <f t="shared" si="125"/>
        <v>0</v>
      </c>
      <c r="S155">
        <f t="shared" si="126"/>
        <v>0</v>
      </c>
      <c r="T155">
        <f t="shared" si="75"/>
        <v>50</v>
      </c>
      <c r="U155" s="3"/>
      <c r="V155">
        <f t="shared" si="127"/>
        <v>2749.04345919343</v>
      </c>
      <c r="W155" s="3"/>
      <c r="X155">
        <f t="shared" si="128"/>
        <v>1852.7393793364695</v>
      </c>
      <c r="Y155">
        <f t="shared" si="129"/>
        <v>43.043459193429953</v>
      </c>
      <c r="AA155">
        <f t="shared" si="130"/>
        <v>4.7509432510363552E-5</v>
      </c>
    </row>
    <row r="156" spans="2:27" x14ac:dyDescent="0.35">
      <c r="B156" s="23">
        <v>130.68181818181816</v>
      </c>
      <c r="C156" s="23">
        <v>2662</v>
      </c>
      <c r="D156">
        <f t="shared" si="113"/>
        <v>0.35025253438522541</v>
      </c>
      <c r="E156">
        <f t="shared" si="114"/>
        <v>34.568894031279861</v>
      </c>
      <c r="F156">
        <f t="shared" si="115"/>
        <v>10.865596725187771</v>
      </c>
      <c r="G156">
        <f t="shared" si="116"/>
        <v>10.865596725187771</v>
      </c>
      <c r="H156">
        <f t="shared" si="117"/>
        <v>10.865596725187771</v>
      </c>
      <c r="I156" s="3"/>
      <c r="J156">
        <f t="shared" si="118"/>
        <v>0.70285590876294357</v>
      </c>
      <c r="K156">
        <f t="shared" si="119"/>
        <v>31.130699574402882</v>
      </c>
      <c r="L156">
        <f t="shared" si="120"/>
        <v>8.7020393221508332</v>
      </c>
      <c r="M156">
        <f t="shared" si="121"/>
        <v>8.7020393221508332</v>
      </c>
      <c r="N156">
        <f t="shared" si="122"/>
        <v>8.7020393221508332</v>
      </c>
      <c r="O156" s="3"/>
      <c r="P156">
        <f t="shared" si="123"/>
        <v>1658.5733817161488</v>
      </c>
      <c r="Q156">
        <f t="shared" si="124"/>
        <v>1004.57259730849</v>
      </c>
      <c r="R156">
        <f t="shared" si="125"/>
        <v>0</v>
      </c>
      <c r="S156">
        <f t="shared" si="126"/>
        <v>0</v>
      </c>
      <c r="T156">
        <f t="shared" si="75"/>
        <v>50</v>
      </c>
      <c r="U156" s="3"/>
      <c r="V156">
        <f t="shared" si="127"/>
        <v>2713.145979024639</v>
      </c>
      <c r="W156" s="3"/>
      <c r="X156">
        <f t="shared" si="128"/>
        <v>2615.9111703888143</v>
      </c>
      <c r="Y156">
        <f t="shared" si="129"/>
        <v>51.145979024639018</v>
      </c>
      <c r="AA156">
        <f t="shared" si="130"/>
        <v>5.6452629137633382E-5</v>
      </c>
    </row>
    <row r="157" spans="2:27" x14ac:dyDescent="0.35">
      <c r="B157" s="23">
        <v>131.81818181818181</v>
      </c>
      <c r="C157" s="23">
        <v>2682</v>
      </c>
      <c r="D157">
        <f t="shared" si="113"/>
        <v>0.36953851835454787</v>
      </c>
      <c r="E157">
        <f t="shared" si="114"/>
        <v>34.715889461484828</v>
      </c>
      <c r="F157">
        <f t="shared" si="115"/>
        <v>10.979233088824136</v>
      </c>
      <c r="G157">
        <f t="shared" si="116"/>
        <v>10.979233088824136</v>
      </c>
      <c r="H157">
        <f t="shared" si="117"/>
        <v>10.979233088824136</v>
      </c>
      <c r="I157" s="3"/>
      <c r="J157">
        <f t="shared" si="118"/>
        <v>0.71084267079231667</v>
      </c>
      <c r="K157">
        <f t="shared" si="119"/>
        <v>31.273130192916966</v>
      </c>
      <c r="L157">
        <f t="shared" si="120"/>
        <v>8.8040241788189668</v>
      </c>
      <c r="M157">
        <f t="shared" si="121"/>
        <v>8.8040241788189668</v>
      </c>
      <c r="N157">
        <f t="shared" si="122"/>
        <v>8.8040241788189668</v>
      </c>
      <c r="O157" s="3"/>
      <c r="P157">
        <f t="shared" si="123"/>
        <v>1632.2825147883157</v>
      </c>
      <c r="Q157">
        <f t="shared" si="124"/>
        <v>995.5840866859952</v>
      </c>
      <c r="R157">
        <f t="shared" si="125"/>
        <v>0</v>
      </c>
      <c r="S157">
        <f t="shared" si="126"/>
        <v>0</v>
      </c>
      <c r="T157">
        <f t="shared" si="75"/>
        <v>50</v>
      </c>
      <c r="U157" s="3"/>
      <c r="V157">
        <f t="shared" si="127"/>
        <v>2677.8666014743108</v>
      </c>
      <c r="W157" s="3"/>
      <c r="X157">
        <f t="shared" si="128"/>
        <v>17.084983372170022</v>
      </c>
      <c r="Y157">
        <f t="shared" si="129"/>
        <v>4.1333985256892447</v>
      </c>
      <c r="AA157">
        <f t="shared" si="130"/>
        <v>4.562259213698225E-6</v>
      </c>
    </row>
    <row r="158" spans="2:27" x14ac:dyDescent="0.35">
      <c r="B158" s="23">
        <v>132.95454545454544</v>
      </c>
      <c r="C158" s="23">
        <v>2614</v>
      </c>
      <c r="D158">
        <f t="shared" si="113"/>
        <v>0.38882450232387034</v>
      </c>
      <c r="E158">
        <f t="shared" si="114"/>
        <v>34.862884891689788</v>
      </c>
      <c r="F158">
        <f t="shared" si="115"/>
        <v>11.0928694524605</v>
      </c>
      <c r="G158">
        <f t="shared" si="116"/>
        <v>11.0928694524605</v>
      </c>
      <c r="H158">
        <f t="shared" si="117"/>
        <v>11.0928694524605</v>
      </c>
      <c r="I158" s="3"/>
      <c r="J158">
        <f t="shared" si="118"/>
        <v>0.71888223164837295</v>
      </c>
      <c r="K158">
        <f t="shared" si="119"/>
        <v>31.415580914381419</v>
      </c>
      <c r="L158">
        <f t="shared" si="120"/>
        <v>8.9061296842227282</v>
      </c>
      <c r="M158">
        <f t="shared" si="121"/>
        <v>8.9061296842227282</v>
      </c>
      <c r="N158">
        <f t="shared" si="122"/>
        <v>8.9061296842227282</v>
      </c>
      <c r="O158" s="3"/>
      <c r="P158">
        <f t="shared" si="123"/>
        <v>1606.4788798763861</v>
      </c>
      <c r="Q158">
        <f t="shared" si="124"/>
        <v>986.71444336538627</v>
      </c>
      <c r="R158">
        <f t="shared" si="125"/>
        <v>0</v>
      </c>
      <c r="S158">
        <f t="shared" si="126"/>
        <v>0</v>
      </c>
      <c r="T158">
        <f t="shared" si="75"/>
        <v>50</v>
      </c>
      <c r="U158" s="3"/>
      <c r="V158">
        <f t="shared" si="127"/>
        <v>2643.1933232417723</v>
      </c>
      <c r="W158" s="3"/>
      <c r="X158">
        <f t="shared" si="128"/>
        <v>852.25012189860308</v>
      </c>
      <c r="Y158">
        <f t="shared" si="129"/>
        <v>29.193323241772305</v>
      </c>
      <c r="AA158">
        <f t="shared" si="130"/>
        <v>3.2222275957781546E-5</v>
      </c>
    </row>
    <row r="159" spans="2:27" ht="14" customHeight="1" x14ac:dyDescent="0.35">
      <c r="B159">
        <v>134.09090909090907</v>
      </c>
      <c r="C159">
        <v>2590</v>
      </c>
      <c r="D159">
        <f t="shared" si="113"/>
        <v>0.4081104862931928</v>
      </c>
      <c r="E159">
        <f t="shared" si="114"/>
        <v>35.009880321894755</v>
      </c>
      <c r="F159">
        <f t="shared" si="115"/>
        <v>11.206505816096861</v>
      </c>
      <c r="G159">
        <f t="shared" si="116"/>
        <v>11.206505816096861</v>
      </c>
      <c r="H159">
        <f t="shared" si="117"/>
        <v>11.206505816096861</v>
      </c>
      <c r="I159" s="3"/>
      <c r="J159">
        <f t="shared" si="118"/>
        <v>0.72697444275479517</v>
      </c>
      <c r="K159">
        <f t="shared" si="119"/>
        <v>31.558051565297646</v>
      </c>
      <c r="L159">
        <f t="shared" si="120"/>
        <v>9.0083535023170889</v>
      </c>
      <c r="M159">
        <f t="shared" si="121"/>
        <v>9.0083535023170889</v>
      </c>
      <c r="N159">
        <f t="shared" si="122"/>
        <v>9.0083535023170889</v>
      </c>
      <c r="O159" s="3"/>
      <c r="P159">
        <f t="shared" si="123"/>
        <v>1581.1527882031028</v>
      </c>
      <c r="Q159">
        <f t="shared" si="124"/>
        <v>977.96159677375101</v>
      </c>
      <c r="R159">
        <f t="shared" si="125"/>
        <v>0</v>
      </c>
      <c r="S159">
        <f t="shared" si="126"/>
        <v>0</v>
      </c>
      <c r="T159">
        <f t="shared" si="75"/>
        <v>50</v>
      </c>
      <c r="U159" s="3"/>
      <c r="V159">
        <f t="shared" si="127"/>
        <v>2609.1143849768537</v>
      </c>
      <c r="W159" s="3"/>
      <c r="X159">
        <f t="shared" si="128"/>
        <v>365.35971304336931</v>
      </c>
      <c r="Y159">
        <f t="shared" si="129"/>
        <v>19.114384976853671</v>
      </c>
      <c r="AA159">
        <f t="shared" si="130"/>
        <v>2.1097597638564066E-5</v>
      </c>
    </row>
    <row r="160" spans="2:27" x14ac:dyDescent="0.35">
      <c r="B160">
        <v>135.22727272727272</v>
      </c>
      <c r="C160">
        <v>2556</v>
      </c>
      <c r="D160">
        <f t="shared" si="113"/>
        <v>0.42739647026251526</v>
      </c>
      <c r="E160">
        <f t="shared" si="114"/>
        <v>35.156875752099722</v>
      </c>
      <c r="F160">
        <f t="shared" si="115"/>
        <v>11.320142179733228</v>
      </c>
      <c r="G160">
        <f t="shared" si="116"/>
        <v>11.320142179733228</v>
      </c>
      <c r="H160">
        <f t="shared" si="117"/>
        <v>11.320142179733228</v>
      </c>
      <c r="I160" s="3"/>
      <c r="J160">
        <f t="shared" si="118"/>
        <v>0.73511915183301002</v>
      </c>
      <c r="K160">
        <f t="shared" si="119"/>
        <v>31.700541974379071</v>
      </c>
      <c r="L160">
        <f t="shared" si="120"/>
        <v>9.1106933614310091</v>
      </c>
      <c r="M160">
        <f t="shared" si="121"/>
        <v>9.1106933614310091</v>
      </c>
      <c r="N160">
        <f t="shared" si="122"/>
        <v>9.1106933614310091</v>
      </c>
      <c r="O160" s="3"/>
      <c r="P160">
        <f t="shared" si="123"/>
        <v>1556.2947453757699</v>
      </c>
      <c r="Q160">
        <f t="shared" si="124"/>
        <v>969.32352094743237</v>
      </c>
      <c r="R160">
        <f t="shared" si="125"/>
        <v>0</v>
      </c>
      <c r="S160">
        <f t="shared" si="126"/>
        <v>0</v>
      </c>
      <c r="T160">
        <f t="shared" si="75"/>
        <v>50</v>
      </c>
      <c r="U160" s="3"/>
      <c r="V160">
        <f t="shared" si="127"/>
        <v>2575.6182663232021</v>
      </c>
      <c r="W160" s="3"/>
      <c r="X160">
        <f t="shared" si="128"/>
        <v>384.8763735280848</v>
      </c>
      <c r="Y160">
        <f t="shared" si="129"/>
        <v>19.618266323202079</v>
      </c>
      <c r="AA160">
        <f t="shared" si="130"/>
        <v>2.1653759184735169E-5</v>
      </c>
    </row>
    <row r="161" spans="2:27" x14ac:dyDescent="0.35">
      <c r="B161">
        <v>136.36363636363635</v>
      </c>
      <c r="C161">
        <v>2476</v>
      </c>
      <c r="D161">
        <f t="shared" si="113"/>
        <v>0.44668245423183772</v>
      </c>
      <c r="E161">
        <f t="shared" si="114"/>
        <v>35.30387118230469</v>
      </c>
      <c r="F161">
        <f t="shared" si="115"/>
        <v>11.43377854336959</v>
      </c>
      <c r="G161">
        <f t="shared" si="116"/>
        <v>11.43377854336959</v>
      </c>
      <c r="H161">
        <f t="shared" si="117"/>
        <v>11.43377854336959</v>
      </c>
      <c r="I161" s="3"/>
      <c r="J161">
        <f t="shared" si="118"/>
        <v>0.74331620299358159</v>
      </c>
      <c r="K161">
        <f t="shared" si="119"/>
        <v>31.843051972514047</v>
      </c>
      <c r="L161">
        <f t="shared" si="120"/>
        <v>9.2131470520101271</v>
      </c>
      <c r="M161">
        <f t="shared" si="121"/>
        <v>9.2131470520101271</v>
      </c>
      <c r="N161">
        <f t="shared" si="122"/>
        <v>9.2131470520101271</v>
      </c>
      <c r="O161" s="3"/>
      <c r="P161">
        <f t="shared" si="123"/>
        <v>1531.895447671923</v>
      </c>
      <c r="Q161">
        <f t="shared" si="124"/>
        <v>960.7982333896972</v>
      </c>
      <c r="R161">
        <f t="shared" si="125"/>
        <v>0</v>
      </c>
      <c r="S161">
        <f t="shared" si="126"/>
        <v>0</v>
      </c>
      <c r="T161">
        <f t="shared" si="75"/>
        <v>50</v>
      </c>
      <c r="U161" s="3"/>
      <c r="V161">
        <f t="shared" si="127"/>
        <v>2542.6936810616203</v>
      </c>
      <c r="W161" s="3"/>
      <c r="X161">
        <f t="shared" si="128"/>
        <v>4448.0470935491276</v>
      </c>
      <c r="Y161">
        <f t="shared" si="129"/>
        <v>66.693681061620282</v>
      </c>
      <c r="AA161">
        <f t="shared" si="130"/>
        <v>7.3613482713499111E-5</v>
      </c>
    </row>
    <row r="162" spans="2:27" x14ac:dyDescent="0.35">
      <c r="B162">
        <v>137.49999999999997</v>
      </c>
      <c r="C162">
        <v>2488</v>
      </c>
      <c r="D162">
        <f t="shared" si="113"/>
        <v>0.46596843820115974</v>
      </c>
      <c r="E162">
        <f t="shared" si="114"/>
        <v>35.45086661250965</v>
      </c>
      <c r="F162">
        <f t="shared" si="115"/>
        <v>11.547414907005953</v>
      </c>
      <c r="G162">
        <f t="shared" si="116"/>
        <v>11.547414907005953</v>
      </c>
      <c r="H162">
        <f t="shared" si="117"/>
        <v>11.547414907005953</v>
      </c>
      <c r="I162" s="3"/>
      <c r="J162">
        <f t="shared" si="118"/>
        <v>0.75156543682756216</v>
      </c>
      <c r="K162">
        <f t="shared" si="119"/>
        <v>31.985581392729465</v>
      </c>
      <c r="L162">
        <f t="shared" si="120"/>
        <v>9.3157124244540803</v>
      </c>
      <c r="M162">
        <f t="shared" si="121"/>
        <v>9.3157124244540803</v>
      </c>
      <c r="N162">
        <f t="shared" si="122"/>
        <v>9.3157124244540803</v>
      </c>
      <c r="O162" s="3"/>
      <c r="P162">
        <f t="shared" si="123"/>
        <v>1507.9457783889311</v>
      </c>
      <c r="Q162">
        <f t="shared" si="124"/>
        <v>952.38379396223354</v>
      </c>
      <c r="R162">
        <f t="shared" si="125"/>
        <v>0</v>
      </c>
      <c r="S162">
        <f t="shared" si="126"/>
        <v>0</v>
      </c>
      <c r="T162">
        <f t="shared" si="75"/>
        <v>50</v>
      </c>
      <c r="U162" s="3"/>
      <c r="V162">
        <f t="shared" si="127"/>
        <v>2510.3295723511646</v>
      </c>
      <c r="W162" s="3"/>
      <c r="X162">
        <f t="shared" si="128"/>
        <v>498.6098013858965</v>
      </c>
      <c r="Y162">
        <f t="shared" si="129"/>
        <v>22.329572351164643</v>
      </c>
      <c r="AA162">
        <f t="shared" si="130"/>
        <v>2.4646376719761046E-5</v>
      </c>
    </row>
    <row r="163" spans="2:27" x14ac:dyDescent="0.35">
      <c r="B163">
        <v>138.63636363636363</v>
      </c>
      <c r="C163">
        <v>2444</v>
      </c>
      <c r="D163">
        <f t="shared" si="113"/>
        <v>0.48525442217048265</v>
      </c>
      <c r="E163">
        <f t="shared" si="114"/>
        <v>35.597862042714617</v>
      </c>
      <c r="F163">
        <f t="shared" si="115"/>
        <v>11.661051270642318</v>
      </c>
      <c r="G163">
        <f t="shared" si="116"/>
        <v>11.661051270642318</v>
      </c>
      <c r="H163">
        <f t="shared" si="117"/>
        <v>11.661051270642318</v>
      </c>
      <c r="I163" s="3"/>
      <c r="J163">
        <f t="shared" si="118"/>
        <v>0.75986669049772604</v>
      </c>
      <c r="K163">
        <f t="shared" si="119"/>
        <v>32.128130070155194</v>
      </c>
      <c r="L163">
        <f t="shared" si="120"/>
        <v>9.4183873870438344</v>
      </c>
      <c r="M163">
        <f t="shared" si="121"/>
        <v>9.4183873870438344</v>
      </c>
      <c r="N163">
        <f t="shared" si="122"/>
        <v>9.4183873870438344</v>
      </c>
      <c r="O163" s="3"/>
      <c r="P163">
        <f t="shared" si="123"/>
        <v>1484.4368042565625</v>
      </c>
      <c r="Q163">
        <f t="shared" si="124"/>
        <v>944.07830380933956</v>
      </c>
      <c r="R163">
        <f t="shared" si="125"/>
        <v>0</v>
      </c>
      <c r="S163">
        <f t="shared" si="126"/>
        <v>0</v>
      </c>
      <c r="T163">
        <f t="shared" si="75"/>
        <v>50</v>
      </c>
      <c r="U163" s="3"/>
      <c r="V163">
        <f t="shared" si="127"/>
        <v>2478.515108065902</v>
      </c>
      <c r="W163" s="3"/>
      <c r="X163">
        <f t="shared" si="128"/>
        <v>1191.292684800896</v>
      </c>
      <c r="Y163">
        <f t="shared" si="129"/>
        <v>34.515108065902041</v>
      </c>
      <c r="AA163">
        <f t="shared" si="130"/>
        <v>3.809622246845745E-5</v>
      </c>
    </row>
    <row r="164" spans="2:27" x14ac:dyDescent="0.35">
      <c r="B164">
        <v>139.77272727272728</v>
      </c>
      <c r="C164">
        <v>2370</v>
      </c>
      <c r="D164">
        <f t="shared" si="113"/>
        <v>0.50454040613980555</v>
      </c>
      <c r="E164">
        <f t="shared" si="114"/>
        <v>35.744857472919584</v>
      </c>
      <c r="F164">
        <f t="shared" si="115"/>
        <v>11.774687634278683</v>
      </c>
      <c r="G164">
        <f t="shared" si="116"/>
        <v>11.774687634278683</v>
      </c>
      <c r="H164">
        <f t="shared" si="117"/>
        <v>11.774687634278683</v>
      </c>
      <c r="I164" s="3"/>
      <c r="J164">
        <f t="shared" si="118"/>
        <v>0.76821979782962091</v>
      </c>
      <c r="K164">
        <f t="shared" si="119"/>
        <v>32.270697841989154</v>
      </c>
      <c r="L164">
        <f t="shared" si="120"/>
        <v>9.5211699039547728</v>
      </c>
      <c r="M164">
        <f t="shared" si="121"/>
        <v>9.5211699039547728</v>
      </c>
      <c r="N164">
        <f t="shared" si="122"/>
        <v>9.5211699039547728</v>
      </c>
      <c r="O164" s="3"/>
      <c r="P164">
        <f t="shared" si="123"/>
        <v>1461.3597719115053</v>
      </c>
      <c r="Q164">
        <f t="shared" si="124"/>
        <v>935.87990431371884</v>
      </c>
      <c r="R164">
        <f t="shared" si="125"/>
        <v>0</v>
      </c>
      <c r="S164">
        <f t="shared" si="126"/>
        <v>0</v>
      </c>
      <c r="T164">
        <f t="shared" si="75"/>
        <v>50</v>
      </c>
      <c r="U164" s="3"/>
      <c r="V164">
        <f t="shared" si="127"/>
        <v>2447.2396762252242</v>
      </c>
      <c r="W164" s="3"/>
      <c r="X164">
        <f t="shared" si="128"/>
        <v>5965.9675833774691</v>
      </c>
      <c r="Y164">
        <f t="shared" si="129"/>
        <v>77.23967622522423</v>
      </c>
      <c r="AA164">
        <f t="shared" si="130"/>
        <v>8.5253677411334619E-5</v>
      </c>
    </row>
    <row r="165" spans="2:27" x14ac:dyDescent="0.35">
      <c r="B165">
        <v>140.90909090909091</v>
      </c>
      <c r="C165">
        <v>2352</v>
      </c>
      <c r="D165">
        <f t="shared" si="113"/>
        <v>0.52382639010912757</v>
      </c>
      <c r="E165">
        <f t="shared" si="114"/>
        <v>35.891852903124544</v>
      </c>
      <c r="F165">
        <f t="shared" si="115"/>
        <v>11.888323997915046</v>
      </c>
      <c r="G165">
        <f t="shared" si="116"/>
        <v>11.888323997915046</v>
      </c>
      <c r="H165">
        <f t="shared" si="117"/>
        <v>11.888323997915046</v>
      </c>
      <c r="I165" s="3"/>
      <c r="J165">
        <f t="shared" si="118"/>
        <v>0.77662458940237711</v>
      </c>
      <c r="K165">
        <f t="shared" si="119"/>
        <v>32.413284547463206</v>
      </c>
      <c r="L165">
        <f t="shared" si="120"/>
        <v>9.6240579933514852</v>
      </c>
      <c r="M165">
        <f t="shared" si="121"/>
        <v>9.6240579933514852</v>
      </c>
      <c r="N165">
        <f t="shared" si="122"/>
        <v>9.6240579933514852</v>
      </c>
      <c r="O165" s="3"/>
      <c r="P165">
        <f t="shared" si="123"/>
        <v>1438.7061044328791</v>
      </c>
      <c r="Q165">
        <f t="shared" si="124"/>
        <v>927.78677608281362</v>
      </c>
      <c r="R165">
        <f t="shared" si="125"/>
        <v>0</v>
      </c>
      <c r="S165">
        <f t="shared" si="126"/>
        <v>0</v>
      </c>
      <c r="T165">
        <f t="shared" si="75"/>
        <v>50</v>
      </c>
      <c r="U165" s="3"/>
      <c r="V165">
        <f t="shared" si="127"/>
        <v>2416.4928805156928</v>
      </c>
      <c r="W165" s="3"/>
      <c r="X165">
        <f t="shared" si="128"/>
        <v>4159.3316372114323</v>
      </c>
      <c r="Y165">
        <f t="shared" si="129"/>
        <v>64.492880515692832</v>
      </c>
      <c r="AA165">
        <f t="shared" si="130"/>
        <v>7.1184338147407388E-5</v>
      </c>
    </row>
    <row r="166" spans="2:27" x14ac:dyDescent="0.35">
      <c r="B166">
        <v>142.04545454545453</v>
      </c>
      <c r="C166">
        <v>2388</v>
      </c>
      <c r="D166">
        <f t="shared" si="113"/>
        <v>0.54311237407845003</v>
      </c>
      <c r="E166">
        <f t="shared" si="114"/>
        <v>36.038848333329511</v>
      </c>
      <c r="F166">
        <f t="shared" si="115"/>
        <v>12.001960361551408</v>
      </c>
      <c r="G166">
        <f t="shared" si="116"/>
        <v>12.001960361551408</v>
      </c>
      <c r="H166">
        <f t="shared" si="117"/>
        <v>12.001960361551408</v>
      </c>
      <c r="I166" s="3"/>
      <c r="J166">
        <f t="shared" si="118"/>
        <v>0.78508089263921244</v>
      </c>
      <c r="K166">
        <f t="shared" si="119"/>
        <v>32.555890027809674</v>
      </c>
      <c r="L166">
        <f t="shared" si="120"/>
        <v>9.727049725560347</v>
      </c>
      <c r="M166">
        <f t="shared" si="121"/>
        <v>9.727049725560347</v>
      </c>
      <c r="N166">
        <f t="shared" si="122"/>
        <v>9.727049725560347</v>
      </c>
      <c r="O166" s="3"/>
      <c r="P166">
        <f t="shared" si="123"/>
        <v>1416.467397937784</v>
      </c>
      <c r="Q166">
        <f t="shared" si="124"/>
        <v>919.79713796468127</v>
      </c>
      <c r="R166">
        <f t="shared" si="125"/>
        <v>0</v>
      </c>
      <c r="S166">
        <f t="shared" si="126"/>
        <v>0</v>
      </c>
      <c r="T166">
        <f t="shared" si="75"/>
        <v>50</v>
      </c>
      <c r="U166" s="3"/>
      <c r="V166">
        <f t="shared" si="127"/>
        <v>2386.2645359024655</v>
      </c>
      <c r="W166" s="3"/>
      <c r="X166">
        <f t="shared" si="128"/>
        <v>3.0118356338313474</v>
      </c>
      <c r="Y166">
        <f t="shared" si="129"/>
        <v>1.7354640975345319</v>
      </c>
      <c r="AA166">
        <f t="shared" si="130"/>
        <v>1.9155271430545464E-6</v>
      </c>
    </row>
    <row r="167" spans="2:27" x14ac:dyDescent="0.35">
      <c r="B167">
        <v>143.18181818181819</v>
      </c>
      <c r="C167">
        <v>2308</v>
      </c>
      <c r="D167">
        <f t="shared" ref="D167:D188" si="131">$A$23*C$23-LN(1/($A$23*C$23))+$B167*C$22</f>
        <v>0.56239835804777294</v>
      </c>
      <c r="E167">
        <f t="shared" ref="E167:E188" si="132">$A$23*D$23-LN(1/($A$23*D$23))+$B167*D$22</f>
        <v>36.185843763534479</v>
      </c>
      <c r="F167">
        <f t="shared" ref="F167:F188" si="133">$A$23*E$23-LN(1/($A$23*E$23))+$B167*E$22</f>
        <v>12.115596725187775</v>
      </c>
      <c r="G167">
        <f t="shared" ref="G167:G188" si="134">$A$23*F$23-LN(1/($A$23*F$23))+$B167*F$22</f>
        <v>12.115596725187775</v>
      </c>
      <c r="H167">
        <f t="shared" ref="H167:H188" si="135">$A$23*G$23-LN(1/($A$23*G$23))+$B167*G$22</f>
        <v>12.115596725187775</v>
      </c>
      <c r="I167" s="3"/>
      <c r="J167">
        <f t="shared" ref="J167:J188" si="136">lmb_2(D167)</f>
        <v>0.79358853189756939</v>
      </c>
      <c r="K167">
        <f t="shared" ref="K167:K188" si="137">lmb_2(E167)</f>
        <v>32.698514126228552</v>
      </c>
      <c r="L167">
        <f t="shared" ref="L167:L188" si="138">lmb_2(F167)</f>
        <v>9.8301432213162929</v>
      </c>
      <c r="M167">
        <f t="shared" ref="M167:M188" si="139">lmb_2(G167)</f>
        <v>9.8301432213162929</v>
      </c>
      <c r="N167">
        <f t="shared" ref="N167:N188" si="140">lmb_2(H167)</f>
        <v>9.8301432213162929</v>
      </c>
      <c r="O167" s="3"/>
      <c r="P167">
        <f t="shared" ref="P167:P188" si="141">(C$21*$A$21)/(J167+J167^2)</f>
        <v>1394.635418235976</v>
      </c>
      <c r="Q167">
        <f t="shared" ref="Q167:Q188" si="142">(D$21*$A$21)/(K167+K167^2)</f>
        <v>911.90924609242677</v>
      </c>
      <c r="R167">
        <f t="shared" ref="R167:R188" si="143">(E$21*$A$21)/(L167+L167^2)</f>
        <v>0</v>
      </c>
      <c r="S167">
        <f t="shared" ref="S167:S188" si="144">(F$21*$A$21)/(M167+M167^2)</f>
        <v>0</v>
      </c>
      <c r="T167">
        <f t="shared" si="75"/>
        <v>50</v>
      </c>
      <c r="U167" s="3"/>
      <c r="V167">
        <f t="shared" ref="V167:V188" si="145">SUM(P167:T167)</f>
        <v>2356.5446643284026</v>
      </c>
      <c r="W167" s="3"/>
      <c r="X167">
        <f t="shared" ref="X167:X188" si="146">(V167-C167)^2</f>
        <v>2356.584434757287</v>
      </c>
      <c r="Y167">
        <f t="shared" ref="Y167:Y188" si="147">ABS(V167-C167)</f>
        <v>48.544664328402632</v>
      </c>
      <c r="AA167">
        <f t="shared" ref="AA167:AA188" si="148">Y167/$Z$41</f>
        <v>5.3581415082933907E-5</v>
      </c>
    </row>
    <row r="168" spans="2:27" x14ac:dyDescent="0.35">
      <c r="B168">
        <v>144.31818181818181</v>
      </c>
      <c r="C168">
        <v>2250</v>
      </c>
      <c r="D168">
        <f t="shared" si="131"/>
        <v>0.58168434201709496</v>
      </c>
      <c r="E168">
        <f t="shared" si="132"/>
        <v>36.332839193739439</v>
      </c>
      <c r="F168">
        <f t="shared" si="133"/>
        <v>12.229233088824136</v>
      </c>
      <c r="G168">
        <f t="shared" si="134"/>
        <v>12.229233088824136</v>
      </c>
      <c r="H168">
        <f t="shared" si="135"/>
        <v>12.229233088824136</v>
      </c>
      <c r="I168" s="3"/>
      <c r="J168">
        <f t="shared" si="136"/>
        <v>0.80214732855883297</v>
      </c>
      <c r="K168">
        <f t="shared" si="137"/>
        <v>32.84115668785541</v>
      </c>
      <c r="L168">
        <f t="shared" si="138"/>
        <v>9.9333366500802462</v>
      </c>
      <c r="M168">
        <f t="shared" si="139"/>
        <v>9.9333366500802462</v>
      </c>
      <c r="N168">
        <f t="shared" si="140"/>
        <v>9.9333366500802462</v>
      </c>
      <c r="O168" s="3"/>
      <c r="P168">
        <f t="shared" si="141"/>
        <v>1373.2020975427433</v>
      </c>
      <c r="Q168">
        <f t="shared" si="142"/>
        <v>904.12139295625366</v>
      </c>
      <c r="R168">
        <f t="shared" si="143"/>
        <v>0</v>
      </c>
      <c r="S168">
        <f t="shared" si="144"/>
        <v>0</v>
      </c>
      <c r="T168">
        <f t="shared" si="75"/>
        <v>50</v>
      </c>
      <c r="U168" s="3"/>
      <c r="V168">
        <f t="shared" si="145"/>
        <v>2327.3234904989968</v>
      </c>
      <c r="W168" s="3"/>
      <c r="X168">
        <f t="shared" si="146"/>
        <v>5978.9221829484422</v>
      </c>
      <c r="Y168">
        <f t="shared" si="147"/>
        <v>77.323490498996762</v>
      </c>
      <c r="AA168">
        <f t="shared" si="148"/>
        <v>8.5346187833540855E-5</v>
      </c>
    </row>
    <row r="169" spans="2:27" x14ac:dyDescent="0.35">
      <c r="B169">
        <v>145.45454545454544</v>
      </c>
      <c r="C169">
        <v>2252</v>
      </c>
      <c r="D169">
        <f t="shared" si="131"/>
        <v>0.60097032598641742</v>
      </c>
      <c r="E169">
        <f t="shared" si="132"/>
        <v>36.479834623944399</v>
      </c>
      <c r="F169">
        <f t="shared" si="133"/>
        <v>12.3428694524605</v>
      </c>
      <c r="G169">
        <f t="shared" si="134"/>
        <v>12.3428694524605</v>
      </c>
      <c r="H169">
        <f t="shared" si="135"/>
        <v>12.3428694524605</v>
      </c>
      <c r="I169" s="3"/>
      <c r="J169">
        <f t="shared" si="136"/>
        <v>0.81075710111757393</v>
      </c>
      <c r="K169">
        <f t="shared" si="137"/>
        <v>32.983817559729914</v>
      </c>
      <c r="L169">
        <f t="shared" si="138"/>
        <v>10.03662822842403</v>
      </c>
      <c r="M169">
        <f t="shared" si="139"/>
        <v>10.03662822842403</v>
      </c>
      <c r="N169">
        <f t="shared" si="140"/>
        <v>10.03662822842403</v>
      </c>
      <c r="O169" s="3"/>
      <c r="P169">
        <f t="shared" si="141"/>
        <v>1352.1595312490949</v>
      </c>
      <c r="Q169">
        <f t="shared" si="142"/>
        <v>896.43190650223232</v>
      </c>
      <c r="R169">
        <f t="shared" si="143"/>
        <v>0</v>
      </c>
      <c r="S169">
        <f t="shared" si="144"/>
        <v>0</v>
      </c>
      <c r="T169">
        <f t="shared" si="75"/>
        <v>50</v>
      </c>
      <c r="U169" s="3"/>
      <c r="V169">
        <f t="shared" si="145"/>
        <v>2298.5914377513272</v>
      </c>
      <c r="W169" s="3"/>
      <c r="X169">
        <f t="shared" si="146"/>
        <v>2170.7620717358018</v>
      </c>
      <c r="Y169">
        <f t="shared" si="147"/>
        <v>46.591437751327248</v>
      </c>
      <c r="AA169">
        <f t="shared" si="148"/>
        <v>5.1425531518278965E-5</v>
      </c>
    </row>
    <row r="170" spans="2:27" x14ac:dyDescent="0.35">
      <c r="B170">
        <v>146.59090909090909</v>
      </c>
      <c r="C170">
        <v>2174</v>
      </c>
      <c r="D170">
        <f t="shared" si="131"/>
        <v>0.62025630995574033</v>
      </c>
      <c r="E170">
        <f t="shared" si="132"/>
        <v>36.626830054149366</v>
      </c>
      <c r="F170">
        <f t="shared" si="133"/>
        <v>12.456505816096865</v>
      </c>
      <c r="G170">
        <f t="shared" si="134"/>
        <v>12.456505816096865</v>
      </c>
      <c r="H170">
        <f t="shared" si="135"/>
        <v>12.456505816096865</v>
      </c>
      <c r="I170" s="3"/>
      <c r="J170">
        <f t="shared" si="136"/>
        <v>0.81941766527025972</v>
      </c>
      <c r="K170">
        <f t="shared" si="137"/>
        <v>33.126496590765001</v>
      </c>
      <c r="L170">
        <f t="shared" si="138"/>
        <v>10.140016218479532</v>
      </c>
      <c r="M170">
        <f t="shared" si="139"/>
        <v>10.140016218479532</v>
      </c>
      <c r="N170">
        <f t="shared" si="140"/>
        <v>10.140016218479532</v>
      </c>
      <c r="O170" s="3"/>
      <c r="P170">
        <f t="shared" si="141"/>
        <v>1331.4999747483992</v>
      </c>
      <c r="Q170">
        <f t="shared" si="142"/>
        <v>888.83914925690908</v>
      </c>
      <c r="R170">
        <f t="shared" si="143"/>
        <v>0</v>
      </c>
      <c r="S170">
        <f t="shared" si="144"/>
        <v>0</v>
      </c>
      <c r="T170">
        <f t="shared" si="75"/>
        <v>50</v>
      </c>
      <c r="U170" s="3"/>
      <c r="V170">
        <f t="shared" si="145"/>
        <v>2270.3391240053083</v>
      </c>
      <c r="W170" s="3"/>
      <c r="X170">
        <f t="shared" si="146"/>
        <v>9281.2268141101795</v>
      </c>
      <c r="Y170">
        <f t="shared" si="147"/>
        <v>96.339124005308349</v>
      </c>
      <c r="AA170">
        <f t="shared" si="148"/>
        <v>1.0633478804455304E-4</v>
      </c>
    </row>
    <row r="171" spans="2:27" x14ac:dyDescent="0.35">
      <c r="B171">
        <v>147.72727272727272</v>
      </c>
      <c r="C171">
        <v>2172</v>
      </c>
      <c r="D171">
        <f t="shared" si="131"/>
        <v>0.63954229392506234</v>
      </c>
      <c r="E171">
        <f t="shared" si="132"/>
        <v>36.773825484354333</v>
      </c>
      <c r="F171">
        <f t="shared" si="133"/>
        <v>12.570142179733228</v>
      </c>
      <c r="G171">
        <f t="shared" si="134"/>
        <v>12.570142179733228</v>
      </c>
      <c r="H171">
        <f t="shared" si="135"/>
        <v>12.570142179733228</v>
      </c>
      <c r="I171" s="3"/>
      <c r="J171">
        <f t="shared" si="136"/>
        <v>0.82812883400338855</v>
      </c>
      <c r="K171">
        <f t="shared" si="137"/>
        <v>33.269193631716661</v>
      </c>
      <c r="L171">
        <f t="shared" si="138"/>
        <v>10.243498926449238</v>
      </c>
      <c r="M171">
        <f t="shared" si="139"/>
        <v>10.243498926449238</v>
      </c>
      <c r="N171">
        <f t="shared" si="140"/>
        <v>10.243498926449238</v>
      </c>
      <c r="O171" s="3"/>
      <c r="P171">
        <f t="shared" si="141"/>
        <v>1311.2158403186029</v>
      </c>
      <c r="Q171">
        <f t="shared" si="142"/>
        <v>881.34151747691794</v>
      </c>
      <c r="R171">
        <f t="shared" si="143"/>
        <v>0</v>
      </c>
      <c r="S171">
        <f t="shared" si="144"/>
        <v>0</v>
      </c>
      <c r="T171">
        <f t="shared" ref="T171:T188" si="149">T170</f>
        <v>50</v>
      </c>
      <c r="U171" s="3"/>
      <c r="V171">
        <f t="shared" si="145"/>
        <v>2242.5573577955211</v>
      </c>
      <c r="W171" s="3"/>
      <c r="X171">
        <f t="shared" si="146"/>
        <v>4978.3407390851762</v>
      </c>
      <c r="Y171">
        <f t="shared" si="147"/>
        <v>70.557357795521057</v>
      </c>
      <c r="AA171">
        <f t="shared" si="148"/>
        <v>7.7878035155862747E-5</v>
      </c>
    </row>
    <row r="172" spans="2:27" x14ac:dyDescent="0.35">
      <c r="I172" s="3"/>
      <c r="O172" s="3"/>
      <c r="U172" s="3"/>
      <c r="W172" s="3"/>
    </row>
    <row r="173" spans="2:27" x14ac:dyDescent="0.35">
      <c r="I173" s="3"/>
      <c r="O173" s="3"/>
      <c r="U173" s="3"/>
      <c r="W173" s="3"/>
    </row>
    <row r="174" spans="2:27" x14ac:dyDescent="0.35">
      <c r="I174" s="3"/>
      <c r="O174" s="3"/>
      <c r="U174" s="3"/>
      <c r="W174" s="3"/>
    </row>
    <row r="175" spans="2:27" x14ac:dyDescent="0.35">
      <c r="I175" s="3"/>
      <c r="O175" s="3"/>
      <c r="U175" s="3"/>
      <c r="W175" s="3"/>
    </row>
    <row r="176" spans="2:27" x14ac:dyDescent="0.35">
      <c r="I176" s="3"/>
      <c r="O176" s="3"/>
      <c r="U176" s="3"/>
      <c r="W176" s="3"/>
    </row>
    <row r="177" spans="9:23" x14ac:dyDescent="0.35">
      <c r="I177" s="3"/>
      <c r="O177" s="3"/>
      <c r="U177" s="3"/>
      <c r="W177" s="3"/>
    </row>
    <row r="178" spans="9:23" x14ac:dyDescent="0.35">
      <c r="I178" s="3"/>
      <c r="O178" s="3"/>
      <c r="U178" s="3"/>
      <c r="W178" s="3"/>
    </row>
    <row r="179" spans="9:23" x14ac:dyDescent="0.35">
      <c r="I179" s="3"/>
      <c r="O179" s="3"/>
      <c r="U179" s="3"/>
      <c r="W179" s="3"/>
    </row>
    <row r="180" spans="9:23" x14ac:dyDescent="0.35">
      <c r="I180" s="3"/>
      <c r="O180" s="3"/>
      <c r="U180" s="3"/>
      <c r="W180" s="3"/>
    </row>
    <row r="181" spans="9:23" x14ac:dyDescent="0.35">
      <c r="I181" s="3"/>
      <c r="O181" s="3"/>
      <c r="U181" s="3"/>
      <c r="W181" s="3"/>
    </row>
    <row r="182" spans="9:23" x14ac:dyDescent="0.35">
      <c r="I182" s="3"/>
      <c r="O182" s="3"/>
      <c r="U182" s="3"/>
      <c r="W182" s="3"/>
    </row>
    <row r="183" spans="9:23" x14ac:dyDescent="0.35">
      <c r="I183" s="3"/>
      <c r="O183" s="3"/>
      <c r="U183" s="3"/>
      <c r="W183" s="3"/>
    </row>
    <row r="184" spans="9:23" x14ac:dyDescent="0.35">
      <c r="I184" s="3"/>
      <c r="O184" s="3"/>
      <c r="U184" s="3"/>
      <c r="W184" s="3"/>
    </row>
    <row r="185" spans="9:23" x14ac:dyDescent="0.35">
      <c r="I185" s="3"/>
      <c r="O185" s="3"/>
      <c r="U185" s="3"/>
      <c r="W185" s="3"/>
    </row>
    <row r="186" spans="9:23" x14ac:dyDescent="0.35">
      <c r="I186" s="3"/>
      <c r="O186" s="3"/>
      <c r="U186" s="3"/>
      <c r="W186" s="3"/>
    </row>
    <row r="187" spans="9:23" x14ac:dyDescent="0.35">
      <c r="I187" s="3"/>
      <c r="O187" s="3"/>
      <c r="U187" s="3"/>
      <c r="W187" s="3"/>
    </row>
    <row r="188" spans="9:23" x14ac:dyDescent="0.35">
      <c r="I188" s="3"/>
      <c r="O188" s="3"/>
      <c r="U188" s="3"/>
      <c r="W188" s="3"/>
    </row>
    <row r="189" spans="9:23" x14ac:dyDescent="0.35">
      <c r="I189" s="3"/>
      <c r="O189" s="3"/>
      <c r="U189" s="3"/>
      <c r="W189" s="3"/>
    </row>
    <row r="190" spans="9:23" x14ac:dyDescent="0.35">
      <c r="I190" s="3"/>
      <c r="O190" s="3"/>
      <c r="U190" s="3"/>
      <c r="W190" s="3"/>
    </row>
    <row r="191" spans="9:23" x14ac:dyDescent="0.35">
      <c r="I191" s="3"/>
      <c r="O191" s="3"/>
      <c r="U191" s="3"/>
      <c r="W191" s="3"/>
    </row>
    <row r="192" spans="9:23" x14ac:dyDescent="0.35">
      <c r="I192" s="3"/>
      <c r="O192" s="3"/>
      <c r="U192" s="3"/>
      <c r="W192" s="3"/>
    </row>
    <row r="193" spans="9:23" x14ac:dyDescent="0.35">
      <c r="I193" s="3"/>
      <c r="O193" s="3"/>
      <c r="U193" s="3"/>
      <c r="W193" s="3"/>
    </row>
    <row r="194" spans="9:23" x14ac:dyDescent="0.35">
      <c r="I194" s="3"/>
      <c r="O194" s="3"/>
      <c r="U194" s="3"/>
      <c r="W194" s="3"/>
    </row>
    <row r="195" spans="9:23" x14ac:dyDescent="0.35">
      <c r="I195" s="3"/>
      <c r="O195" s="3"/>
      <c r="U195" s="3"/>
      <c r="W195" s="3"/>
    </row>
    <row r="196" spans="9:23" x14ac:dyDescent="0.35">
      <c r="I196" s="3"/>
      <c r="O196" s="3"/>
      <c r="U196" s="3"/>
      <c r="W196" s="3"/>
    </row>
    <row r="197" spans="9:23" x14ac:dyDescent="0.35">
      <c r="I197" s="3"/>
      <c r="O197" s="3"/>
      <c r="U197" s="3"/>
      <c r="W197" s="3"/>
    </row>
    <row r="198" spans="9:23" x14ac:dyDescent="0.35">
      <c r="I198" s="3"/>
      <c r="O198" s="3"/>
      <c r="U198" s="3"/>
      <c r="W198" s="3"/>
    </row>
    <row r="199" spans="9:23" x14ac:dyDescent="0.35">
      <c r="I199" s="3"/>
      <c r="O199" s="3"/>
      <c r="U199" s="3"/>
      <c r="W199" s="3"/>
    </row>
    <row r="200" spans="9:23" x14ac:dyDescent="0.35">
      <c r="I200" s="3"/>
      <c r="O200" s="3"/>
      <c r="U200" s="3"/>
      <c r="W200" s="3"/>
    </row>
    <row r="201" spans="9:23" x14ac:dyDescent="0.35">
      <c r="I201" s="3"/>
      <c r="O201" s="3"/>
      <c r="U201" s="3"/>
      <c r="W201" s="3"/>
    </row>
    <row r="202" spans="9:23" x14ac:dyDescent="0.35">
      <c r="I202" s="3"/>
      <c r="O202" s="3"/>
      <c r="U202" s="3"/>
      <c r="W202" s="3"/>
    </row>
    <row r="203" spans="9:23" x14ac:dyDescent="0.35">
      <c r="I203" s="3"/>
      <c r="O203" s="3"/>
      <c r="U203" s="3"/>
      <c r="W203" s="3"/>
    </row>
    <row r="204" spans="9:23" x14ac:dyDescent="0.35">
      <c r="I204" s="3"/>
      <c r="O204" s="3"/>
      <c r="U204" s="3"/>
      <c r="W204" s="3"/>
    </row>
    <row r="205" spans="9:23" x14ac:dyDescent="0.35">
      <c r="I205" s="3"/>
      <c r="O205" s="3"/>
      <c r="U205" s="3"/>
      <c r="W205" s="3"/>
    </row>
    <row r="206" spans="9:23" x14ac:dyDescent="0.35">
      <c r="I206" s="3"/>
      <c r="O206" s="3"/>
      <c r="U206" s="3"/>
      <c r="W206" s="3"/>
    </row>
    <row r="207" spans="9:23" x14ac:dyDescent="0.35">
      <c r="I207" s="3"/>
      <c r="O207" s="3"/>
      <c r="U207" s="3"/>
      <c r="W207" s="3"/>
    </row>
    <row r="208" spans="9:23" x14ac:dyDescent="0.35">
      <c r="I208" s="3"/>
      <c r="O208" s="3"/>
      <c r="U208" s="3"/>
      <c r="W208" s="3"/>
    </row>
    <row r="209" spans="2:23" x14ac:dyDescent="0.35">
      <c r="B209" s="18"/>
      <c r="C209" s="18"/>
      <c r="I209" s="3"/>
      <c r="O209" s="3"/>
      <c r="U209" s="3"/>
      <c r="W209" s="3"/>
    </row>
    <row r="210" spans="2:23" x14ac:dyDescent="0.35">
      <c r="B210" s="18"/>
      <c r="C210" s="18"/>
      <c r="I210" s="3"/>
      <c r="O210" s="3"/>
      <c r="U210" s="3"/>
      <c r="W210" s="3"/>
    </row>
    <row r="211" spans="2:23" x14ac:dyDescent="0.35">
      <c r="B211" s="18"/>
      <c r="C211" s="18"/>
      <c r="I211" s="3"/>
      <c r="O211" s="3"/>
      <c r="U211" s="3"/>
      <c r="W211" s="3"/>
    </row>
    <row r="212" spans="2:23" x14ac:dyDescent="0.35">
      <c r="B212" s="18"/>
      <c r="C212" s="18"/>
      <c r="I212" s="3"/>
      <c r="O212" s="3"/>
      <c r="U212" s="3"/>
      <c r="W212" s="3"/>
    </row>
    <row r="213" spans="2:23" x14ac:dyDescent="0.35">
      <c r="B213" s="18"/>
      <c r="C213" s="18"/>
      <c r="I213" s="3"/>
      <c r="O213" s="3"/>
      <c r="U213" s="3"/>
      <c r="W213" s="3"/>
    </row>
    <row r="214" spans="2:23" x14ac:dyDescent="0.35">
      <c r="B214" s="18"/>
      <c r="C214" s="18"/>
      <c r="I214" s="3"/>
      <c r="O214" s="3"/>
      <c r="U214" s="3"/>
      <c r="W214" s="3"/>
    </row>
    <row r="215" spans="2:23" x14ac:dyDescent="0.35">
      <c r="B215" s="18"/>
      <c r="C215" s="18"/>
      <c r="I215" s="3"/>
      <c r="O215" s="3"/>
      <c r="U215" s="3"/>
      <c r="W215" s="3"/>
    </row>
    <row r="216" spans="2:23" x14ac:dyDescent="0.35">
      <c r="B216" s="18"/>
      <c r="C216" s="18"/>
      <c r="I216" s="3"/>
      <c r="O216" s="3"/>
      <c r="U216" s="3"/>
      <c r="W216" s="3"/>
    </row>
    <row r="217" spans="2:23" x14ac:dyDescent="0.35">
      <c r="B217" s="18"/>
      <c r="C217" s="18"/>
      <c r="I217" s="3"/>
      <c r="O217" s="3"/>
      <c r="U217" s="3"/>
      <c r="W217" s="3"/>
    </row>
    <row r="218" spans="2:23" x14ac:dyDescent="0.35">
      <c r="B218" s="18"/>
      <c r="C218" s="18"/>
      <c r="I218" s="3"/>
      <c r="O218" s="3"/>
      <c r="U218" s="3"/>
      <c r="W218" s="3"/>
    </row>
    <row r="219" spans="2:23" x14ac:dyDescent="0.35">
      <c r="B219" s="18"/>
      <c r="C219" s="18"/>
      <c r="I219" s="3"/>
      <c r="O219" s="3"/>
      <c r="U219" s="3"/>
      <c r="W219" s="3"/>
    </row>
    <row r="220" spans="2:23" x14ac:dyDescent="0.35">
      <c r="B220" s="18"/>
      <c r="C220" s="18"/>
      <c r="I220" s="3"/>
      <c r="O220" s="3"/>
      <c r="U220" s="3"/>
      <c r="W220" s="3"/>
    </row>
    <row r="221" spans="2:23" x14ac:dyDescent="0.35">
      <c r="B221" s="18"/>
      <c r="C221" s="18"/>
      <c r="I221" s="3"/>
      <c r="O221" s="3"/>
      <c r="U221" s="3"/>
      <c r="W221" s="3"/>
    </row>
    <row r="222" spans="2:23" x14ac:dyDescent="0.35">
      <c r="B222" s="18"/>
      <c r="C222" s="18"/>
      <c r="I222" s="3"/>
      <c r="O222" s="3"/>
      <c r="U222" s="3"/>
      <c r="W222" s="3"/>
    </row>
    <row r="223" spans="2:23" x14ac:dyDescent="0.35">
      <c r="B223" s="18"/>
      <c r="C223" s="18"/>
      <c r="I223" s="3"/>
      <c r="O223" s="3"/>
      <c r="U223" s="3"/>
      <c r="W223" s="3"/>
    </row>
    <row r="224" spans="2:23" x14ac:dyDescent="0.35">
      <c r="B224" s="18"/>
      <c r="C224" s="18"/>
      <c r="I224" s="3"/>
      <c r="O224" s="3"/>
      <c r="U224" s="3"/>
      <c r="W224" s="3"/>
    </row>
    <row r="225" spans="2:23" x14ac:dyDescent="0.35">
      <c r="B225" s="18"/>
      <c r="C225" s="18"/>
      <c r="I225" s="3"/>
      <c r="O225" s="3"/>
      <c r="U225" s="3"/>
      <c r="W225" s="3"/>
    </row>
    <row r="226" spans="2:23" x14ac:dyDescent="0.35">
      <c r="B226" s="18"/>
      <c r="C226" s="18"/>
      <c r="I226" s="3"/>
      <c r="O226" s="3"/>
      <c r="U226" s="3"/>
      <c r="W226" s="3"/>
    </row>
    <row r="227" spans="2:23" x14ac:dyDescent="0.35">
      <c r="B227" s="18"/>
      <c r="C227" s="18"/>
      <c r="I227" s="3"/>
      <c r="O227" s="3"/>
      <c r="U227" s="3"/>
      <c r="W227" s="3"/>
    </row>
    <row r="228" spans="2:23" x14ac:dyDescent="0.35">
      <c r="B228" s="18"/>
      <c r="C228" s="18"/>
      <c r="I228" s="3"/>
      <c r="O228" s="3"/>
      <c r="U228" s="3"/>
      <c r="W228" s="3"/>
    </row>
    <row r="229" spans="2:23" x14ac:dyDescent="0.35">
      <c r="B229" s="18"/>
      <c r="C229" s="18"/>
      <c r="I229" s="3"/>
      <c r="O229" s="3"/>
      <c r="U229" s="3"/>
      <c r="W229" s="3"/>
    </row>
    <row r="230" spans="2:23" x14ac:dyDescent="0.35">
      <c r="B230" s="18"/>
      <c r="C230" s="18"/>
      <c r="I230" s="3"/>
      <c r="O230" s="3"/>
      <c r="U230" s="3"/>
      <c r="W230" s="3"/>
    </row>
    <row r="231" spans="2:23" x14ac:dyDescent="0.35">
      <c r="B231" s="18"/>
      <c r="C231" s="18"/>
      <c r="I231" s="3"/>
      <c r="O231" s="3"/>
      <c r="U231" s="3"/>
      <c r="W231" s="3"/>
    </row>
    <row r="232" spans="2:23" x14ac:dyDescent="0.35">
      <c r="B232" s="18"/>
      <c r="C232" s="18"/>
      <c r="I232" s="3"/>
      <c r="O232" s="3"/>
      <c r="U232" s="3"/>
      <c r="W232" s="3"/>
    </row>
    <row r="233" spans="2:23" x14ac:dyDescent="0.35">
      <c r="B233" s="18"/>
      <c r="C233" s="18"/>
      <c r="I233" s="3"/>
      <c r="O233" s="3"/>
      <c r="U233" s="3"/>
      <c r="W233" s="3"/>
    </row>
    <row r="234" spans="2:23" x14ac:dyDescent="0.35">
      <c r="B234" s="18"/>
      <c r="C234" s="18"/>
      <c r="I234" s="3"/>
      <c r="O234" s="3"/>
      <c r="U234" s="3"/>
      <c r="W234" s="3"/>
    </row>
    <row r="235" spans="2:23" x14ac:dyDescent="0.35">
      <c r="B235" s="18"/>
      <c r="C235" s="18"/>
      <c r="I235" s="3"/>
      <c r="O235" s="3"/>
      <c r="U235" s="3"/>
      <c r="W235" s="3"/>
    </row>
    <row r="236" spans="2:23" x14ac:dyDescent="0.35">
      <c r="B236" s="18"/>
      <c r="C236" s="18"/>
      <c r="I236" s="3"/>
      <c r="O236" s="3"/>
      <c r="U236" s="3"/>
      <c r="W236" s="3"/>
    </row>
    <row r="237" spans="2:23" x14ac:dyDescent="0.35">
      <c r="B237" s="18"/>
      <c r="C237" s="18"/>
      <c r="I237" s="3"/>
      <c r="O237" s="3"/>
      <c r="U237" s="3"/>
      <c r="W237" s="3"/>
    </row>
    <row r="238" spans="2:23" x14ac:dyDescent="0.35">
      <c r="B238" s="18"/>
      <c r="C238" s="18"/>
      <c r="I238" s="3"/>
      <c r="O238" s="3"/>
      <c r="U238" s="3"/>
      <c r="W238" s="3"/>
    </row>
    <row r="239" spans="2:23" x14ac:dyDescent="0.35">
      <c r="B239" s="18"/>
      <c r="C239" s="18"/>
      <c r="I239" s="3"/>
      <c r="O239" s="3"/>
      <c r="U239" s="3"/>
      <c r="W239" s="3"/>
    </row>
    <row r="240" spans="2:23" x14ac:dyDescent="0.35">
      <c r="B240" s="18"/>
      <c r="C240" s="18"/>
      <c r="I240" s="3"/>
      <c r="O240" s="3"/>
      <c r="U240" s="3"/>
      <c r="W240" s="3"/>
    </row>
    <row r="241" spans="2:23" x14ac:dyDescent="0.35">
      <c r="B241" s="18"/>
      <c r="C241" s="18"/>
      <c r="I241" s="3"/>
      <c r="O241" s="3"/>
      <c r="U241" s="3"/>
      <c r="W241" s="3"/>
    </row>
    <row r="242" spans="2:23" x14ac:dyDescent="0.35">
      <c r="B242" s="18"/>
      <c r="C242" s="18"/>
      <c r="I242" s="3"/>
      <c r="O242" s="3"/>
      <c r="U242" s="3"/>
      <c r="W242" s="3"/>
    </row>
    <row r="243" spans="2:23" x14ac:dyDescent="0.35">
      <c r="B243" s="18"/>
      <c r="C243" s="18"/>
      <c r="I243" s="3"/>
      <c r="O243" s="3"/>
      <c r="U243" s="3"/>
      <c r="W243" s="3"/>
    </row>
    <row r="244" spans="2:23" x14ac:dyDescent="0.35">
      <c r="B244" s="18"/>
      <c r="C244" s="18"/>
      <c r="I244" s="3"/>
      <c r="O244" s="3"/>
      <c r="U244" s="3"/>
      <c r="W244" s="3"/>
    </row>
    <row r="245" spans="2:23" x14ac:dyDescent="0.35">
      <c r="B245" s="18"/>
      <c r="C245" s="18"/>
      <c r="I245" s="3"/>
      <c r="O245" s="3"/>
      <c r="U245" s="3"/>
      <c r="W245" s="3"/>
    </row>
    <row r="246" spans="2:23" x14ac:dyDescent="0.35">
      <c r="B246" s="18"/>
      <c r="C246" s="18"/>
      <c r="I246" s="3"/>
      <c r="O246" s="3"/>
      <c r="U246" s="3"/>
      <c r="W246" s="3"/>
    </row>
    <row r="247" spans="2:23" x14ac:dyDescent="0.35">
      <c r="B247" s="18"/>
      <c r="C247" s="18"/>
      <c r="I247" s="3"/>
      <c r="O247" s="3"/>
      <c r="U247" s="3"/>
      <c r="W247" s="3"/>
    </row>
    <row r="248" spans="2:23" x14ac:dyDescent="0.35">
      <c r="B248" s="18"/>
      <c r="C248" s="18"/>
      <c r="I248" s="3"/>
      <c r="O248" s="3"/>
      <c r="U248" s="3"/>
      <c r="W248" s="3"/>
    </row>
    <row r="249" spans="2:23" x14ac:dyDescent="0.35">
      <c r="B249" s="18"/>
      <c r="C249" s="18"/>
      <c r="I249" s="3"/>
      <c r="O249" s="3"/>
      <c r="U249" s="3"/>
      <c r="W249" s="3"/>
    </row>
    <row r="250" spans="2:23" x14ac:dyDescent="0.35">
      <c r="B250" s="18"/>
      <c r="C250" s="18"/>
      <c r="I250" s="3"/>
      <c r="O250" s="3"/>
      <c r="U250" s="3"/>
      <c r="W250" s="3"/>
    </row>
    <row r="251" spans="2:23" x14ac:dyDescent="0.35">
      <c r="B251" s="18"/>
      <c r="C251" s="18"/>
      <c r="I251" s="3"/>
      <c r="O251" s="3"/>
      <c r="U251" s="3"/>
      <c r="W251" s="3"/>
    </row>
    <row r="252" spans="2:23" x14ac:dyDescent="0.35">
      <c r="B252" s="18"/>
      <c r="C252" s="18"/>
      <c r="I252" s="3"/>
      <c r="O252" s="3"/>
      <c r="U252" s="3"/>
      <c r="W252" s="3"/>
    </row>
    <row r="253" spans="2:23" x14ac:dyDescent="0.35">
      <c r="B253" s="18"/>
      <c r="C253" s="18"/>
      <c r="I253" s="3"/>
      <c r="O253" s="3"/>
      <c r="U253" s="3"/>
      <c r="W253" s="3"/>
    </row>
    <row r="254" spans="2:23" x14ac:dyDescent="0.35">
      <c r="B254" s="18"/>
      <c r="C254" s="18"/>
      <c r="I254" s="3"/>
      <c r="O254" s="3"/>
      <c r="U254" s="3"/>
      <c r="W254" s="3"/>
    </row>
    <row r="255" spans="2:23" x14ac:dyDescent="0.35">
      <c r="B255" s="18"/>
      <c r="C255" s="18"/>
      <c r="I255" s="3"/>
      <c r="O255" s="3"/>
      <c r="U255" s="3"/>
      <c r="W255" s="3"/>
    </row>
    <row r="256" spans="2:23" x14ac:dyDescent="0.35">
      <c r="B256" s="18"/>
      <c r="C256" s="18"/>
      <c r="I256" s="3"/>
      <c r="O256" s="3"/>
      <c r="U256" s="3"/>
      <c r="W256" s="3"/>
    </row>
    <row r="257" spans="2:23" x14ac:dyDescent="0.35">
      <c r="B257" s="18"/>
      <c r="C257" s="18"/>
      <c r="I257" s="3"/>
      <c r="O257" s="3"/>
      <c r="U257" s="3"/>
      <c r="W257" s="3"/>
    </row>
    <row r="258" spans="2:23" x14ac:dyDescent="0.35">
      <c r="B258" s="18"/>
      <c r="C258" s="18"/>
      <c r="I258" s="3"/>
      <c r="O258" s="3"/>
      <c r="U258" s="3"/>
      <c r="W258" s="3"/>
    </row>
    <row r="259" spans="2:23" x14ac:dyDescent="0.35">
      <c r="B259" s="18"/>
      <c r="C259" s="18"/>
      <c r="I259" s="3"/>
      <c r="O259" s="3"/>
      <c r="U259" s="3"/>
      <c r="W259" s="3"/>
    </row>
    <row r="260" spans="2:23" x14ac:dyDescent="0.35">
      <c r="B260" s="18"/>
      <c r="C260" s="18"/>
      <c r="I260" s="3"/>
      <c r="O260" s="3"/>
      <c r="U260" s="3"/>
      <c r="W260" s="3"/>
    </row>
    <row r="261" spans="2:23" x14ac:dyDescent="0.35">
      <c r="B261" s="18"/>
      <c r="C261" s="18"/>
      <c r="I261" s="3"/>
      <c r="O261" s="3"/>
      <c r="U261" s="3"/>
      <c r="W261" s="3"/>
    </row>
    <row r="262" spans="2:23" x14ac:dyDescent="0.35">
      <c r="B262" s="18"/>
      <c r="C262" s="18"/>
      <c r="I262" s="3"/>
      <c r="O262" s="3"/>
      <c r="U262" s="3"/>
      <c r="W262" s="3"/>
    </row>
    <row r="263" spans="2:23" x14ac:dyDescent="0.35">
      <c r="B263" s="18"/>
      <c r="C263" s="18"/>
      <c r="I263" s="3"/>
      <c r="O263" s="3"/>
      <c r="U263" s="3"/>
      <c r="W263" s="3"/>
    </row>
    <row r="264" spans="2:23" x14ac:dyDescent="0.35">
      <c r="B264" s="18"/>
      <c r="C264" s="18"/>
      <c r="I264" s="3"/>
      <c r="O264" s="3"/>
      <c r="U264" s="3"/>
      <c r="W264" s="3"/>
    </row>
    <row r="265" spans="2:23" x14ac:dyDescent="0.35">
      <c r="B265" s="18"/>
      <c r="C265" s="18"/>
      <c r="I265" s="3"/>
      <c r="O265" s="3"/>
      <c r="U265" s="3"/>
      <c r="W265" s="3"/>
    </row>
    <row r="266" spans="2:23" x14ac:dyDescent="0.35">
      <c r="B266" s="18"/>
      <c r="C266" s="18"/>
      <c r="I266" s="3"/>
      <c r="O266" s="3"/>
      <c r="U266" s="3"/>
      <c r="W266" s="3"/>
    </row>
    <row r="267" spans="2:23" x14ac:dyDescent="0.35">
      <c r="B267" s="18"/>
      <c r="C267" s="18"/>
      <c r="I267" s="3"/>
      <c r="O267" s="3"/>
      <c r="U267" s="3"/>
      <c r="W267" s="3"/>
    </row>
    <row r="268" spans="2:23" x14ac:dyDescent="0.35">
      <c r="B268" s="18"/>
      <c r="C268" s="18"/>
      <c r="I268" s="3"/>
      <c r="O268" s="3"/>
      <c r="U268" s="3"/>
      <c r="W268" s="3"/>
    </row>
    <row r="269" spans="2:23" x14ac:dyDescent="0.35">
      <c r="B269" s="18"/>
      <c r="C269" s="18"/>
      <c r="I269" s="3"/>
      <c r="O269" s="3"/>
      <c r="U269" s="3"/>
      <c r="W269" s="3"/>
    </row>
    <row r="270" spans="2:23" x14ac:dyDescent="0.35">
      <c r="B270" s="18"/>
      <c r="C270" s="18"/>
      <c r="I270" s="3"/>
      <c r="O270" s="3"/>
      <c r="U270" s="3"/>
      <c r="W270" s="3"/>
    </row>
    <row r="271" spans="2:23" x14ac:dyDescent="0.35">
      <c r="B271" s="18"/>
      <c r="C271" s="18"/>
      <c r="I271" s="3"/>
      <c r="O271" s="3"/>
      <c r="U271" s="3"/>
      <c r="W271" s="3"/>
    </row>
    <row r="272" spans="2:23" x14ac:dyDescent="0.35">
      <c r="B272" s="18"/>
      <c r="C272" s="18"/>
      <c r="I272" s="3"/>
      <c r="O272" s="3"/>
      <c r="U272" s="3"/>
      <c r="W272" s="3"/>
    </row>
    <row r="273" spans="2:23" x14ac:dyDescent="0.35">
      <c r="B273" s="18"/>
      <c r="C273" s="18"/>
      <c r="I273" s="3"/>
      <c r="O273" s="3"/>
      <c r="U273" s="3"/>
      <c r="W273" s="3"/>
    </row>
    <row r="274" spans="2:23" x14ac:dyDescent="0.35">
      <c r="B274" s="18"/>
      <c r="C274" s="18"/>
      <c r="I274" s="3"/>
      <c r="O274" s="3"/>
      <c r="U274" s="3"/>
      <c r="W274" s="3"/>
    </row>
    <row r="275" spans="2:23" x14ac:dyDescent="0.35">
      <c r="B275" s="18"/>
      <c r="C275" s="18"/>
      <c r="I275" s="3"/>
      <c r="O275" s="3"/>
      <c r="U275" s="3"/>
      <c r="W275" s="3"/>
    </row>
    <row r="276" spans="2:23" x14ac:dyDescent="0.35">
      <c r="B276" s="18"/>
      <c r="C276" s="18"/>
      <c r="I276" s="3"/>
      <c r="O276" s="3"/>
      <c r="U276" s="3"/>
      <c r="W276" s="3"/>
    </row>
    <row r="277" spans="2:23" x14ac:dyDescent="0.35">
      <c r="B277" s="18"/>
      <c r="C277" s="18"/>
      <c r="I277" s="3"/>
      <c r="O277" s="3"/>
      <c r="U277" s="3"/>
      <c r="W277" s="3"/>
    </row>
    <row r="278" spans="2:23" x14ac:dyDescent="0.35">
      <c r="B278" s="18"/>
      <c r="C278" s="18"/>
      <c r="I278" s="3"/>
      <c r="O278" s="3"/>
      <c r="U278" s="3"/>
      <c r="W278" s="3"/>
    </row>
    <row r="279" spans="2:23" x14ac:dyDescent="0.35">
      <c r="B279" s="18"/>
      <c r="C279" s="18"/>
      <c r="I279" s="3"/>
      <c r="O279" s="3"/>
      <c r="U279" s="3"/>
      <c r="W279" s="3"/>
    </row>
    <row r="280" spans="2:23" x14ac:dyDescent="0.35">
      <c r="B280" s="18"/>
      <c r="C280" s="18"/>
      <c r="I280" s="3"/>
      <c r="O280" s="3"/>
      <c r="U280" s="3"/>
      <c r="W280" s="3"/>
    </row>
    <row r="281" spans="2:23" x14ac:dyDescent="0.35">
      <c r="B281" s="18"/>
      <c r="C281" s="18"/>
      <c r="I281" s="3"/>
      <c r="O281" s="3"/>
      <c r="U281" s="3"/>
      <c r="W281" s="3"/>
    </row>
    <row r="282" spans="2:23" x14ac:dyDescent="0.35">
      <c r="B282" s="18"/>
      <c r="C282" s="18"/>
      <c r="I282" s="3"/>
      <c r="O282" s="3"/>
      <c r="U282" s="3"/>
      <c r="W282" s="3"/>
    </row>
    <row r="283" spans="2:23" x14ac:dyDescent="0.35">
      <c r="B283" s="18"/>
      <c r="C283" s="18"/>
      <c r="I283" s="3"/>
      <c r="O283" s="3"/>
      <c r="U283" s="3"/>
      <c r="W283" s="3"/>
    </row>
    <row r="284" spans="2:23" x14ac:dyDescent="0.35">
      <c r="B284" s="18"/>
      <c r="C284" s="18"/>
      <c r="I284" s="3"/>
      <c r="O284" s="3"/>
      <c r="U284" s="3"/>
      <c r="W284" s="3"/>
    </row>
    <row r="285" spans="2:23" x14ac:dyDescent="0.35">
      <c r="B285" s="18"/>
      <c r="C285" s="18"/>
      <c r="I285" s="3"/>
      <c r="O285" s="3"/>
      <c r="U285" s="3"/>
      <c r="W285" s="3"/>
    </row>
    <row r="286" spans="2:23" x14ac:dyDescent="0.35">
      <c r="B286" s="18"/>
      <c r="C286" s="18"/>
      <c r="I286" s="3"/>
      <c r="O286" s="3"/>
      <c r="U286" s="3"/>
      <c r="W286" s="3"/>
    </row>
    <row r="287" spans="2:23" x14ac:dyDescent="0.35">
      <c r="B287" s="18"/>
      <c r="C287" s="18"/>
      <c r="I287" s="3"/>
      <c r="O287" s="3"/>
      <c r="U287" s="3"/>
      <c r="W287" s="3"/>
    </row>
    <row r="288" spans="2:23" x14ac:dyDescent="0.35">
      <c r="B288" s="18"/>
      <c r="C288" s="18"/>
      <c r="I288" s="3"/>
      <c r="O288" s="3"/>
      <c r="U288" s="3"/>
      <c r="W288" s="3"/>
    </row>
    <row r="289" spans="2:23" x14ac:dyDescent="0.35">
      <c r="B289" s="18"/>
      <c r="C289" s="18"/>
      <c r="I289" s="3"/>
      <c r="O289" s="3"/>
      <c r="U289" s="3"/>
      <c r="W289" s="3"/>
    </row>
    <row r="290" spans="2:23" x14ac:dyDescent="0.35">
      <c r="B290" s="18"/>
      <c r="C290" s="18"/>
      <c r="I290" s="3"/>
      <c r="O290" s="3"/>
      <c r="U290" s="3"/>
      <c r="W290" s="3"/>
    </row>
    <row r="291" spans="2:23" x14ac:dyDescent="0.35">
      <c r="B291" s="18"/>
      <c r="C291" s="18"/>
      <c r="I291" s="3"/>
      <c r="O291" s="3"/>
      <c r="U291" s="3"/>
      <c r="W291" s="3"/>
    </row>
    <row r="292" spans="2:23" x14ac:dyDescent="0.35">
      <c r="B292" s="18"/>
      <c r="C292" s="18"/>
      <c r="I292" s="3"/>
      <c r="O292" s="3"/>
      <c r="U292" s="3"/>
      <c r="W292" s="3"/>
    </row>
    <row r="293" spans="2:23" x14ac:dyDescent="0.35">
      <c r="B293" s="18"/>
      <c r="C293" s="18"/>
      <c r="I293" s="3"/>
      <c r="O293" s="3"/>
      <c r="U293" s="3"/>
      <c r="W293" s="3"/>
    </row>
    <row r="294" spans="2:23" x14ac:dyDescent="0.35">
      <c r="B294" s="18"/>
      <c r="C294" s="18"/>
      <c r="I294" s="3"/>
      <c r="O294" s="3"/>
      <c r="U294" s="3"/>
      <c r="W294" s="3"/>
    </row>
    <row r="295" spans="2:23" x14ac:dyDescent="0.35">
      <c r="B295" s="18"/>
      <c r="C295" s="18"/>
      <c r="I295" s="3"/>
      <c r="O295" s="3"/>
      <c r="U295" s="3"/>
      <c r="W295" s="3"/>
    </row>
    <row r="296" spans="2:23" x14ac:dyDescent="0.35">
      <c r="B296" s="18"/>
      <c r="C296" s="18"/>
      <c r="I296" s="3"/>
      <c r="O296" s="3"/>
      <c r="U296" s="3"/>
      <c r="W296" s="3"/>
    </row>
    <row r="297" spans="2:23" x14ac:dyDescent="0.35">
      <c r="B297" s="18"/>
      <c r="C297" s="18"/>
      <c r="I297" s="3"/>
      <c r="O297" s="3"/>
      <c r="U297" s="3"/>
      <c r="W297" s="3"/>
    </row>
    <row r="298" spans="2:23" x14ac:dyDescent="0.35">
      <c r="B298" s="18"/>
      <c r="C298" s="18"/>
      <c r="I298" s="3"/>
      <c r="O298" s="3"/>
      <c r="U298" s="3"/>
      <c r="W298" s="3"/>
    </row>
    <row r="299" spans="2:23" x14ac:dyDescent="0.35">
      <c r="B299" s="18"/>
      <c r="C299" s="18"/>
      <c r="I299" s="3"/>
      <c r="O299" s="3"/>
      <c r="U299" s="3"/>
      <c r="W299" s="3"/>
    </row>
    <row r="300" spans="2:23" x14ac:dyDescent="0.35">
      <c r="B300" s="18"/>
      <c r="C300" s="18"/>
      <c r="I300" s="3"/>
      <c r="O300" s="3"/>
      <c r="U300" s="3"/>
      <c r="W300" s="3"/>
    </row>
    <row r="301" spans="2:23" x14ac:dyDescent="0.35">
      <c r="B301" s="18"/>
      <c r="C301" s="18"/>
      <c r="I301" s="3"/>
      <c r="O301" s="3"/>
      <c r="U301" s="3"/>
      <c r="W301" s="3"/>
    </row>
    <row r="302" spans="2:23" x14ac:dyDescent="0.35">
      <c r="B302" s="18"/>
      <c r="C302" s="18"/>
      <c r="I302" s="3"/>
      <c r="O302" s="3"/>
      <c r="U302" s="3"/>
      <c r="W302" s="3"/>
    </row>
    <row r="303" spans="2:23" x14ac:dyDescent="0.35">
      <c r="B303" s="18"/>
      <c r="C303" s="18"/>
      <c r="I303" s="3"/>
      <c r="O303" s="3"/>
      <c r="U303" s="3"/>
      <c r="W303" s="3"/>
    </row>
    <row r="304" spans="2:23" x14ac:dyDescent="0.35">
      <c r="B304" s="18"/>
      <c r="C304" s="18"/>
      <c r="I304" s="3"/>
      <c r="O304" s="3"/>
      <c r="U304" s="3"/>
      <c r="W304" s="3"/>
    </row>
    <row r="305" spans="2:23" x14ac:dyDescent="0.35">
      <c r="B305" s="18"/>
      <c r="C305" s="18"/>
      <c r="I305" s="3"/>
      <c r="O305" s="3"/>
      <c r="U305" s="3"/>
      <c r="W305" s="3"/>
    </row>
    <row r="306" spans="2:23" x14ac:dyDescent="0.35">
      <c r="B306" s="18"/>
      <c r="C306" s="18"/>
      <c r="I306" s="3"/>
      <c r="O306" s="3"/>
      <c r="U306" s="3"/>
      <c r="W306" s="3"/>
    </row>
    <row r="307" spans="2:23" x14ac:dyDescent="0.35">
      <c r="B307" s="18"/>
      <c r="C307" s="18"/>
      <c r="I307" s="3"/>
      <c r="O307" s="3"/>
      <c r="U307" s="3"/>
      <c r="W307" s="3"/>
    </row>
    <row r="308" spans="2:23" x14ac:dyDescent="0.35">
      <c r="B308" s="18"/>
      <c r="C308" s="18"/>
      <c r="I308" s="3"/>
      <c r="O308" s="3"/>
      <c r="U308" s="3"/>
      <c r="W308" s="3"/>
    </row>
    <row r="309" spans="2:23" x14ac:dyDescent="0.35">
      <c r="B309" s="18"/>
      <c r="C309" s="18"/>
      <c r="I309" s="3"/>
      <c r="O309" s="3"/>
      <c r="U309" s="3"/>
      <c r="W309" s="3"/>
    </row>
    <row r="310" spans="2:23" x14ac:dyDescent="0.35">
      <c r="B310" s="18"/>
      <c r="C310" s="18"/>
      <c r="I310" s="3"/>
      <c r="O310" s="3"/>
      <c r="U310" s="3"/>
      <c r="W310" s="3"/>
    </row>
    <row r="311" spans="2:23" x14ac:dyDescent="0.35">
      <c r="B311" s="18"/>
      <c r="C311" s="18"/>
      <c r="I311" s="3"/>
      <c r="O311" s="3"/>
      <c r="U311" s="3"/>
      <c r="W311" s="3"/>
    </row>
    <row r="312" spans="2:23" x14ac:dyDescent="0.35">
      <c r="B312" s="18"/>
      <c r="C312" s="18"/>
      <c r="I312" s="3"/>
      <c r="O312" s="3"/>
      <c r="U312" s="3"/>
      <c r="W312" s="3"/>
    </row>
    <row r="313" spans="2:23" x14ac:dyDescent="0.35">
      <c r="B313" s="18"/>
      <c r="C313" s="18"/>
      <c r="I313" s="3"/>
      <c r="O313" s="3"/>
      <c r="U313" s="3"/>
      <c r="W313" s="3"/>
    </row>
    <row r="314" spans="2:23" x14ac:dyDescent="0.35">
      <c r="B314" s="18"/>
      <c r="C314" s="18"/>
      <c r="I314" s="3"/>
      <c r="O314" s="3"/>
      <c r="U314" s="3"/>
      <c r="W314" s="3"/>
    </row>
    <row r="315" spans="2:23" x14ac:dyDescent="0.35">
      <c r="B315" s="18"/>
      <c r="C315" s="18"/>
      <c r="I315" s="3"/>
      <c r="O315" s="3"/>
      <c r="U315" s="3"/>
      <c r="W315" s="3"/>
    </row>
    <row r="316" spans="2:23" x14ac:dyDescent="0.35">
      <c r="B316" s="18"/>
      <c r="C316" s="18"/>
      <c r="I316" s="3"/>
      <c r="O316" s="3"/>
      <c r="U316" s="3"/>
      <c r="W316" s="3"/>
    </row>
    <row r="317" spans="2:23" x14ac:dyDescent="0.35">
      <c r="B317" s="18"/>
      <c r="C317" s="18"/>
      <c r="I317" s="3"/>
      <c r="O317" s="3"/>
      <c r="U317" s="3"/>
      <c r="W317" s="3"/>
    </row>
    <row r="318" spans="2:23" x14ac:dyDescent="0.35">
      <c r="B318" s="18"/>
      <c r="C318" s="18"/>
      <c r="I318" s="3"/>
      <c r="O318" s="3"/>
      <c r="U318" s="3"/>
      <c r="W318" s="3"/>
    </row>
    <row r="319" spans="2:23" x14ac:dyDescent="0.35">
      <c r="B319" s="18"/>
      <c r="C319" s="18"/>
      <c r="I319" s="3"/>
      <c r="O319" s="3"/>
      <c r="U319" s="3"/>
      <c r="W319" s="3"/>
    </row>
    <row r="320" spans="2:23" x14ac:dyDescent="0.35">
      <c r="B320" s="18"/>
      <c r="C320" s="18"/>
      <c r="I320" s="3"/>
      <c r="O320" s="3"/>
      <c r="U320" s="3"/>
      <c r="W320" s="3"/>
    </row>
    <row r="321" spans="2:23" x14ac:dyDescent="0.35">
      <c r="B321" s="18"/>
      <c r="C321" s="18"/>
      <c r="I321" s="3"/>
      <c r="O321" s="3"/>
      <c r="U321" s="3"/>
      <c r="W321" s="3"/>
    </row>
    <row r="322" spans="2:23" x14ac:dyDescent="0.35">
      <c r="B322" s="18"/>
      <c r="C322" s="18"/>
      <c r="I322" s="3"/>
      <c r="O322" s="3"/>
      <c r="U322" s="3"/>
      <c r="W322" s="3"/>
    </row>
    <row r="323" spans="2:23" x14ac:dyDescent="0.35">
      <c r="B323" s="18"/>
      <c r="C323" s="18"/>
      <c r="I323" s="3"/>
      <c r="O323" s="3"/>
      <c r="U323" s="3"/>
      <c r="W323" s="3"/>
    </row>
    <row r="324" spans="2:23" x14ac:dyDescent="0.35">
      <c r="B324" s="18"/>
      <c r="C324" s="18"/>
      <c r="I324" s="3"/>
      <c r="O324" s="3"/>
      <c r="U324" s="3"/>
      <c r="W324" s="3"/>
    </row>
    <row r="325" spans="2:23" x14ac:dyDescent="0.35">
      <c r="B325" s="18"/>
      <c r="C325" s="18"/>
      <c r="I325" s="3"/>
      <c r="O325" s="3"/>
      <c r="U325" s="3"/>
      <c r="W325" s="3"/>
    </row>
    <row r="326" spans="2:23" x14ac:dyDescent="0.35">
      <c r="B326" s="18"/>
      <c r="C326" s="18"/>
      <c r="I326" s="3"/>
      <c r="O326" s="3"/>
      <c r="U326" s="3"/>
      <c r="W326" s="3"/>
    </row>
    <row r="327" spans="2:23" x14ac:dyDescent="0.35">
      <c r="B327" s="18"/>
      <c r="C327" s="18"/>
      <c r="I327" s="3"/>
      <c r="O327" s="3"/>
      <c r="U327" s="3"/>
      <c r="W327" s="3"/>
    </row>
    <row r="328" spans="2:23" x14ac:dyDescent="0.35">
      <c r="B328" s="18"/>
      <c r="C328" s="18"/>
      <c r="I328" s="3"/>
      <c r="O328" s="3"/>
      <c r="U328" s="3"/>
      <c r="W328" s="3"/>
    </row>
    <row r="329" spans="2:23" x14ac:dyDescent="0.35">
      <c r="B329" s="18"/>
      <c r="C329" s="18"/>
      <c r="I329" s="3"/>
      <c r="O329" s="3"/>
      <c r="U329" s="3"/>
      <c r="W329" s="3"/>
    </row>
    <row r="330" spans="2:23" x14ac:dyDescent="0.35">
      <c r="B330" s="18"/>
      <c r="C330" s="18"/>
      <c r="I330" s="3"/>
      <c r="O330" s="3"/>
      <c r="U330" s="3"/>
      <c r="W330" s="3"/>
    </row>
    <row r="331" spans="2:23" x14ac:dyDescent="0.35">
      <c r="B331" s="18"/>
      <c r="C331" s="18"/>
      <c r="I331" s="3"/>
      <c r="O331" s="3"/>
      <c r="U331" s="3"/>
      <c r="W331" s="3"/>
    </row>
    <row r="332" spans="2:23" x14ac:dyDescent="0.35">
      <c r="B332" s="18"/>
      <c r="C332" s="18"/>
      <c r="I332" s="3"/>
      <c r="O332" s="3"/>
      <c r="U332" s="3"/>
      <c r="W332" s="3"/>
    </row>
    <row r="333" spans="2:23" x14ac:dyDescent="0.35">
      <c r="B333" s="18"/>
      <c r="C333" s="18"/>
      <c r="I333" s="3"/>
      <c r="O333" s="3"/>
      <c r="U333" s="3"/>
      <c r="W333" s="3"/>
    </row>
    <row r="334" spans="2:23" x14ac:dyDescent="0.35">
      <c r="B334" s="18"/>
      <c r="C334" s="18"/>
      <c r="I334" s="3"/>
      <c r="O334" s="3"/>
      <c r="U334" s="3"/>
      <c r="W334" s="3"/>
    </row>
    <row r="335" spans="2:23" x14ac:dyDescent="0.35">
      <c r="B335" s="18"/>
      <c r="C335" s="18"/>
      <c r="I335" s="3"/>
      <c r="O335" s="3"/>
      <c r="U335" s="3"/>
      <c r="W335" s="3"/>
    </row>
    <row r="336" spans="2:23" x14ac:dyDescent="0.35">
      <c r="B336" s="18"/>
      <c r="C336" s="18"/>
      <c r="I336" s="3"/>
      <c r="O336" s="3"/>
      <c r="U336" s="3"/>
      <c r="W336" s="3"/>
    </row>
    <row r="337" spans="2:23" x14ac:dyDescent="0.35">
      <c r="B337" s="18"/>
      <c r="C337" s="18"/>
      <c r="I337" s="3"/>
      <c r="O337" s="3"/>
      <c r="U337" s="3"/>
      <c r="W337" s="3"/>
    </row>
    <row r="338" spans="2:23" x14ac:dyDescent="0.35">
      <c r="B338" s="18"/>
      <c r="C338" s="18"/>
      <c r="I338" s="3"/>
      <c r="O338" s="3"/>
      <c r="U338" s="3"/>
      <c r="W338" s="3"/>
    </row>
    <row r="339" spans="2:23" x14ac:dyDescent="0.35">
      <c r="B339" s="18"/>
      <c r="C339" s="18"/>
      <c r="I339" s="3"/>
      <c r="O339" s="3"/>
      <c r="U339" s="3"/>
      <c r="W339" s="3"/>
    </row>
    <row r="340" spans="2:23" x14ac:dyDescent="0.35">
      <c r="B340" s="18"/>
      <c r="C340" s="18"/>
      <c r="I340" s="3"/>
      <c r="O340" s="3"/>
      <c r="U340" s="3"/>
      <c r="W340" s="3"/>
    </row>
    <row r="341" spans="2:23" x14ac:dyDescent="0.35">
      <c r="B341" s="18"/>
      <c r="C341" s="18"/>
      <c r="I341" s="3"/>
      <c r="O341" s="3"/>
      <c r="U341" s="3"/>
      <c r="W341" s="3"/>
    </row>
    <row r="342" spans="2:23" x14ac:dyDescent="0.35">
      <c r="B342" s="18"/>
      <c r="C342" s="18"/>
      <c r="I342" s="3"/>
      <c r="O342" s="3"/>
      <c r="U342" s="3"/>
      <c r="W342" s="3"/>
    </row>
    <row r="343" spans="2:23" x14ac:dyDescent="0.35">
      <c r="B343" s="18"/>
      <c r="C343" s="18"/>
      <c r="I343" s="3"/>
      <c r="O343" s="3"/>
      <c r="U343" s="3"/>
      <c r="W343" s="3"/>
    </row>
    <row r="344" spans="2:23" x14ac:dyDescent="0.35">
      <c r="B344" s="18"/>
      <c r="C344" s="18"/>
      <c r="I344" s="3"/>
      <c r="O344" s="3"/>
      <c r="U344" s="3"/>
      <c r="W344" s="3"/>
    </row>
    <row r="345" spans="2:23" x14ac:dyDescent="0.35">
      <c r="B345" s="18"/>
      <c r="C345" s="18"/>
      <c r="I345" s="3"/>
      <c r="O345" s="3"/>
      <c r="U345" s="3"/>
      <c r="W345" s="3"/>
    </row>
    <row r="346" spans="2:23" x14ac:dyDescent="0.35">
      <c r="B346" s="18"/>
      <c r="C346" s="18"/>
      <c r="I346" s="3"/>
      <c r="O346" s="3"/>
      <c r="U346" s="3"/>
      <c r="W346" s="3"/>
    </row>
    <row r="347" spans="2:23" x14ac:dyDescent="0.35">
      <c r="B347" s="18"/>
      <c r="C347" s="18"/>
      <c r="I347" s="3"/>
      <c r="O347" s="3"/>
      <c r="U347" s="3"/>
      <c r="W347" s="3"/>
    </row>
    <row r="348" spans="2:23" x14ac:dyDescent="0.35">
      <c r="B348" s="18"/>
      <c r="C348" s="18"/>
      <c r="I348" s="3"/>
      <c r="O348" s="3"/>
      <c r="U348" s="3"/>
      <c r="W348" s="3"/>
    </row>
    <row r="349" spans="2:23" x14ac:dyDescent="0.35">
      <c r="B349" s="18"/>
      <c r="C349" s="18"/>
      <c r="I349" s="3"/>
      <c r="O349" s="3"/>
      <c r="U349" s="3"/>
      <c r="W349" s="3"/>
    </row>
    <row r="350" spans="2:23" x14ac:dyDescent="0.35">
      <c r="B350" s="18"/>
      <c r="C350" s="18"/>
      <c r="I350" s="3"/>
      <c r="O350" s="3"/>
      <c r="U350" s="3"/>
      <c r="W350" s="3"/>
    </row>
    <row r="351" spans="2:23" x14ac:dyDescent="0.35">
      <c r="B351" s="18"/>
      <c r="C351" s="18"/>
      <c r="I351" s="3"/>
      <c r="O351" s="3"/>
      <c r="U351" s="3"/>
      <c r="W351" s="3"/>
    </row>
    <row r="352" spans="2:23" x14ac:dyDescent="0.35">
      <c r="B352" s="18"/>
      <c r="C352" s="18"/>
      <c r="I352" s="3"/>
      <c r="O352" s="3"/>
      <c r="U352" s="3"/>
      <c r="W352" s="3"/>
    </row>
    <row r="353" spans="2:23" x14ac:dyDescent="0.35">
      <c r="B353" s="18"/>
      <c r="C353" s="18"/>
      <c r="I353" s="3"/>
      <c r="O353" s="3"/>
      <c r="U353" s="3"/>
      <c r="W353" s="3"/>
    </row>
    <row r="354" spans="2:23" x14ac:dyDescent="0.35">
      <c r="B354" s="18"/>
      <c r="C354" s="18"/>
      <c r="I354" s="3"/>
      <c r="O354" s="3"/>
      <c r="U354" s="3"/>
      <c r="W354" s="3"/>
    </row>
    <row r="355" spans="2:23" x14ac:dyDescent="0.35">
      <c r="B355" s="18"/>
      <c r="C355" s="18"/>
      <c r="I355" s="3"/>
      <c r="O355" s="3"/>
      <c r="U355" s="3"/>
      <c r="W355" s="3"/>
    </row>
    <row r="356" spans="2:23" x14ac:dyDescent="0.35">
      <c r="B356" s="18"/>
      <c r="C356" s="18"/>
      <c r="I356" s="3"/>
      <c r="O356" s="3"/>
      <c r="U356" s="3"/>
      <c r="W356" s="3"/>
    </row>
    <row r="357" spans="2:23" x14ac:dyDescent="0.35">
      <c r="B357" s="18"/>
      <c r="C357" s="18"/>
      <c r="I357" s="3"/>
      <c r="O357" s="3"/>
      <c r="U357" s="3"/>
      <c r="W357" s="3"/>
    </row>
    <row r="358" spans="2:23" x14ac:dyDescent="0.35">
      <c r="B358" s="18"/>
      <c r="C358" s="18"/>
      <c r="I358" s="3"/>
      <c r="O358" s="3"/>
      <c r="U358" s="3"/>
      <c r="W358" s="3"/>
    </row>
    <row r="359" spans="2:23" x14ac:dyDescent="0.35">
      <c r="B359" s="18"/>
      <c r="C359" s="18"/>
      <c r="I359" s="3"/>
      <c r="O359" s="3"/>
      <c r="U359" s="3"/>
      <c r="W359" s="3"/>
    </row>
    <row r="360" spans="2:23" x14ac:dyDescent="0.35">
      <c r="B360" s="18"/>
      <c r="C360" s="18"/>
      <c r="I360" s="3"/>
      <c r="O360" s="3"/>
      <c r="U360" s="3"/>
      <c r="W360" s="3"/>
    </row>
    <row r="361" spans="2:23" x14ac:dyDescent="0.35">
      <c r="B361" s="18"/>
      <c r="C361" s="18"/>
      <c r="I361" s="3"/>
      <c r="O361" s="3"/>
      <c r="U361" s="3"/>
      <c r="W361" s="3"/>
    </row>
    <row r="362" spans="2:23" x14ac:dyDescent="0.35">
      <c r="B362" s="18"/>
      <c r="C362" s="18"/>
      <c r="I362" s="3"/>
      <c r="O362" s="3"/>
      <c r="U362" s="3"/>
      <c r="W362" s="3"/>
    </row>
    <row r="363" spans="2:23" x14ac:dyDescent="0.35">
      <c r="B363" s="18"/>
      <c r="C363" s="18"/>
      <c r="I363" s="3"/>
      <c r="O363" s="3"/>
      <c r="U363" s="3"/>
      <c r="W363" s="3"/>
    </row>
    <row r="364" spans="2:23" x14ac:dyDescent="0.35">
      <c r="B364" s="18"/>
      <c r="C364" s="18"/>
      <c r="I364" s="3"/>
      <c r="O364" s="3"/>
      <c r="U364" s="3"/>
      <c r="W364" s="3"/>
    </row>
    <row r="365" spans="2:23" x14ac:dyDescent="0.35">
      <c r="B365" s="18"/>
      <c r="C365" s="18"/>
      <c r="I365" s="3"/>
      <c r="O365" s="3"/>
      <c r="U365" s="3"/>
      <c r="W365" s="3"/>
    </row>
    <row r="366" spans="2:23" x14ac:dyDescent="0.35">
      <c r="B366" s="18"/>
      <c r="C366" s="18"/>
      <c r="I366" s="3"/>
      <c r="O366" s="3"/>
      <c r="U366" s="3"/>
      <c r="W366" s="3"/>
    </row>
    <row r="367" spans="2:23" x14ac:dyDescent="0.35">
      <c r="B367" s="18"/>
      <c r="C367" s="18"/>
      <c r="I367" s="3"/>
      <c r="O367" s="3"/>
      <c r="U367" s="3"/>
      <c r="W367" s="3"/>
    </row>
    <row r="368" spans="2:23" x14ac:dyDescent="0.35">
      <c r="B368" s="18"/>
      <c r="C368" s="18"/>
      <c r="I368" s="3"/>
      <c r="O368" s="3"/>
      <c r="U368" s="3"/>
      <c r="W368" s="3"/>
    </row>
    <row r="369" spans="2:23" x14ac:dyDescent="0.35">
      <c r="B369" s="18"/>
      <c r="C369" s="18"/>
      <c r="I369" s="3"/>
      <c r="O369" s="3"/>
      <c r="U369" s="3"/>
      <c r="W369" s="3"/>
    </row>
    <row r="370" spans="2:23" x14ac:dyDescent="0.35">
      <c r="B370" s="18"/>
      <c r="C370" s="18"/>
      <c r="I370" s="3"/>
      <c r="O370" s="3"/>
      <c r="U370" s="3"/>
      <c r="W370" s="3"/>
    </row>
    <row r="371" spans="2:23" x14ac:dyDescent="0.35">
      <c r="B371" s="18"/>
      <c r="C371" s="18"/>
      <c r="I371" s="3"/>
      <c r="O371" s="3"/>
      <c r="U371" s="3"/>
      <c r="W371" s="3"/>
    </row>
    <row r="372" spans="2:23" x14ac:dyDescent="0.35">
      <c r="B372" s="18"/>
      <c r="C372" s="18"/>
      <c r="I372" s="3"/>
      <c r="O372" s="3"/>
      <c r="U372" s="3"/>
      <c r="W372" s="3"/>
    </row>
    <row r="373" spans="2:23" x14ac:dyDescent="0.35">
      <c r="B373" s="18"/>
      <c r="C373" s="18"/>
      <c r="I373" s="3"/>
      <c r="O373" s="3"/>
      <c r="U373" s="3"/>
      <c r="W373" s="3"/>
    </row>
    <row r="374" spans="2:23" x14ac:dyDescent="0.35">
      <c r="B374" s="18"/>
      <c r="C374" s="18"/>
      <c r="I374" s="3"/>
      <c r="O374" s="3"/>
      <c r="U374" s="3"/>
      <c r="W374" s="3"/>
    </row>
    <row r="375" spans="2:23" x14ac:dyDescent="0.35">
      <c r="B375" s="18"/>
      <c r="C375" s="18"/>
      <c r="I375" s="3"/>
      <c r="O375" s="3"/>
      <c r="U375" s="3"/>
      <c r="W375" s="3"/>
    </row>
    <row r="376" spans="2:23" x14ac:dyDescent="0.35">
      <c r="B376" s="18"/>
      <c r="C376" s="18"/>
      <c r="I376" s="3"/>
      <c r="O376" s="3"/>
      <c r="U376" s="3"/>
      <c r="W376" s="3"/>
    </row>
    <row r="377" spans="2:23" x14ac:dyDescent="0.35">
      <c r="B377" s="18"/>
      <c r="C377" s="18"/>
      <c r="I377" s="3"/>
      <c r="O377" s="3"/>
      <c r="U377" s="3"/>
      <c r="W377" s="3"/>
    </row>
    <row r="378" spans="2:23" x14ac:dyDescent="0.35">
      <c r="B378" s="18"/>
      <c r="C378" s="18"/>
      <c r="I378" s="3"/>
      <c r="O378" s="3"/>
      <c r="U378" s="3"/>
      <c r="W378" s="3"/>
    </row>
    <row r="379" spans="2:23" x14ac:dyDescent="0.35">
      <c r="B379" s="18"/>
      <c r="C379" s="18"/>
      <c r="I379" s="3"/>
      <c r="O379" s="3"/>
      <c r="U379" s="3"/>
      <c r="W379" s="3"/>
    </row>
    <row r="380" spans="2:23" x14ac:dyDescent="0.35">
      <c r="B380" s="18"/>
      <c r="C380" s="18"/>
      <c r="I380" s="3"/>
      <c r="O380" s="3"/>
      <c r="U380" s="3"/>
      <c r="W380" s="3"/>
    </row>
    <row r="381" spans="2:23" x14ac:dyDescent="0.35">
      <c r="B381" s="18"/>
      <c r="C381" s="18"/>
      <c r="I381" s="3"/>
      <c r="O381" s="3"/>
      <c r="U381" s="3"/>
      <c r="W381" s="3"/>
    </row>
    <row r="382" spans="2:23" x14ac:dyDescent="0.35">
      <c r="B382" s="18"/>
      <c r="C382" s="18"/>
      <c r="I382" s="3"/>
      <c r="O382" s="3"/>
      <c r="U382" s="3"/>
      <c r="W382" s="3"/>
    </row>
    <row r="383" spans="2:23" x14ac:dyDescent="0.35">
      <c r="B383" s="18"/>
      <c r="C383" s="18"/>
      <c r="I383" s="3"/>
      <c r="O383" s="3"/>
      <c r="U383" s="3"/>
      <c r="W383" s="3"/>
    </row>
    <row r="384" spans="2:23" x14ac:dyDescent="0.35">
      <c r="B384" s="18"/>
      <c r="C384" s="18"/>
      <c r="I384" s="3"/>
      <c r="O384" s="3"/>
      <c r="U384" s="3"/>
      <c r="W384" s="3"/>
    </row>
    <row r="385" spans="2:23" x14ac:dyDescent="0.35">
      <c r="B385" s="18"/>
      <c r="C385" s="18"/>
      <c r="I385" s="3"/>
      <c r="O385" s="3"/>
      <c r="U385" s="3"/>
      <c r="W385" s="3"/>
    </row>
    <row r="386" spans="2:23" x14ac:dyDescent="0.35">
      <c r="B386" s="18"/>
      <c r="C386" s="18"/>
      <c r="I386" s="3"/>
      <c r="O386" s="3"/>
      <c r="U386" s="3"/>
      <c r="W386" s="3"/>
    </row>
    <row r="387" spans="2:23" x14ac:dyDescent="0.35">
      <c r="B387" s="18"/>
      <c r="C387" s="18"/>
      <c r="I387" s="3"/>
      <c r="O387" s="3"/>
      <c r="U387" s="3"/>
      <c r="W387" s="3"/>
    </row>
    <row r="388" spans="2:23" x14ac:dyDescent="0.35">
      <c r="B388" s="18"/>
      <c r="C388" s="18"/>
      <c r="I388" s="3"/>
      <c r="O388" s="3"/>
      <c r="U388" s="3"/>
      <c r="W388" s="3"/>
    </row>
    <row r="389" spans="2:23" x14ac:dyDescent="0.35">
      <c r="B389" s="18"/>
      <c r="C389" s="18"/>
      <c r="I389" s="3"/>
      <c r="O389" s="3"/>
      <c r="U389" s="3"/>
      <c r="W389" s="3"/>
    </row>
    <row r="390" spans="2:23" x14ac:dyDescent="0.35">
      <c r="B390" s="18"/>
      <c r="C390" s="18"/>
      <c r="I390" s="3"/>
      <c r="O390" s="3"/>
      <c r="U390" s="3"/>
      <c r="W390" s="3"/>
    </row>
    <row r="391" spans="2:23" x14ac:dyDescent="0.35">
      <c r="B391" s="18"/>
      <c r="C391" s="18"/>
      <c r="I391" s="3"/>
      <c r="O391" s="3"/>
      <c r="U391" s="3"/>
      <c r="W391" s="3"/>
    </row>
    <row r="392" spans="2:23" x14ac:dyDescent="0.35">
      <c r="B392" s="18"/>
      <c r="C392" s="18"/>
      <c r="I392" s="3"/>
      <c r="O392" s="3"/>
      <c r="U392" s="3"/>
      <c r="W392" s="3"/>
    </row>
    <row r="393" spans="2:23" x14ac:dyDescent="0.35">
      <c r="B393" s="18"/>
      <c r="C393" s="18"/>
      <c r="I393" s="3"/>
      <c r="O393" s="3"/>
      <c r="U393" s="3"/>
      <c r="W393" s="3"/>
    </row>
    <row r="394" spans="2:23" x14ac:dyDescent="0.35">
      <c r="B394" s="18"/>
      <c r="C394" s="18"/>
      <c r="I394" s="3"/>
      <c r="O394" s="3"/>
      <c r="U394" s="3"/>
      <c r="W394" s="3"/>
    </row>
    <row r="395" spans="2:23" x14ac:dyDescent="0.35">
      <c r="B395" s="18"/>
      <c r="C395" s="18"/>
      <c r="I395" s="3"/>
      <c r="O395" s="3"/>
      <c r="U395" s="3"/>
      <c r="W395" s="3"/>
    </row>
    <row r="396" spans="2:23" x14ac:dyDescent="0.35">
      <c r="B396" s="18"/>
      <c r="C396" s="18"/>
      <c r="I396" s="3"/>
      <c r="O396" s="3"/>
      <c r="U396" s="3"/>
      <c r="W396" s="3"/>
    </row>
    <row r="397" spans="2:23" x14ac:dyDescent="0.35">
      <c r="B397" s="18"/>
      <c r="C397" s="18"/>
      <c r="I397" s="3"/>
      <c r="O397" s="3"/>
      <c r="U397" s="3"/>
      <c r="W397" s="3"/>
    </row>
    <row r="398" spans="2:23" x14ac:dyDescent="0.35">
      <c r="B398" s="18"/>
      <c r="C398" s="18"/>
      <c r="I398" s="3"/>
      <c r="O398" s="3"/>
      <c r="U398" s="3"/>
      <c r="W398" s="3"/>
    </row>
    <row r="399" spans="2:23" x14ac:dyDescent="0.35">
      <c r="B399" s="18"/>
      <c r="C399" s="18"/>
      <c r="I399" s="3"/>
      <c r="O399" s="3"/>
      <c r="U399" s="3"/>
      <c r="W399" s="3"/>
    </row>
    <row r="400" spans="2:23" x14ac:dyDescent="0.35">
      <c r="B400" s="18"/>
      <c r="C400" s="18"/>
      <c r="I400" s="3"/>
      <c r="O400" s="3"/>
      <c r="U400" s="3"/>
      <c r="W400" s="3"/>
    </row>
    <row r="401" spans="2:23" x14ac:dyDescent="0.35">
      <c r="B401" s="18"/>
      <c r="C401" s="18"/>
      <c r="I401" s="3"/>
      <c r="O401" s="3"/>
      <c r="U401" s="3"/>
      <c r="W401" s="3"/>
    </row>
    <row r="402" spans="2:23" x14ac:dyDescent="0.35">
      <c r="B402" s="18"/>
      <c r="C402" s="18"/>
      <c r="I402" s="3"/>
      <c r="O402" s="3"/>
      <c r="U402" s="3"/>
      <c r="W402" s="3"/>
    </row>
    <row r="403" spans="2:23" x14ac:dyDescent="0.35">
      <c r="B403" s="18"/>
      <c r="C403" s="18"/>
      <c r="I403" s="3"/>
      <c r="O403" s="3"/>
      <c r="U403" s="3"/>
      <c r="W403" s="3"/>
    </row>
    <row r="404" spans="2:23" x14ac:dyDescent="0.35">
      <c r="B404" s="18"/>
      <c r="C404" s="18"/>
      <c r="I404" s="3"/>
      <c r="O404" s="3"/>
      <c r="U404" s="3"/>
      <c r="W404" s="3"/>
    </row>
    <row r="405" spans="2:23" x14ac:dyDescent="0.35">
      <c r="B405" s="18"/>
      <c r="C405" s="18"/>
      <c r="I405" s="3"/>
      <c r="O405" s="3"/>
      <c r="U405" s="3"/>
      <c r="W405" s="3"/>
    </row>
    <row r="406" spans="2:23" x14ac:dyDescent="0.35">
      <c r="B406" s="18"/>
      <c r="C406" s="18"/>
      <c r="I406" s="3"/>
      <c r="O406" s="3"/>
      <c r="U406" s="3"/>
      <c r="W406" s="3"/>
    </row>
    <row r="407" spans="2:23" x14ac:dyDescent="0.35">
      <c r="B407" s="18"/>
      <c r="C407" s="18"/>
      <c r="I407" s="3"/>
      <c r="O407" s="3"/>
      <c r="U407" s="3"/>
      <c r="W407" s="3"/>
    </row>
    <row r="408" spans="2:23" x14ac:dyDescent="0.35">
      <c r="B408" s="18"/>
      <c r="C408" s="18"/>
      <c r="I408" s="3"/>
      <c r="O408" s="3"/>
      <c r="U408" s="3"/>
      <c r="W408" s="3"/>
    </row>
    <row r="409" spans="2:23" x14ac:dyDescent="0.35">
      <c r="B409" s="18"/>
      <c r="C409" s="18"/>
      <c r="I409" s="3"/>
      <c r="O409" s="3"/>
      <c r="U409" s="3"/>
      <c r="W409" s="3"/>
    </row>
    <row r="410" spans="2:23" x14ac:dyDescent="0.35">
      <c r="B410" s="18"/>
      <c r="C410" s="18"/>
      <c r="I410" s="3"/>
      <c r="O410" s="3"/>
      <c r="U410" s="3"/>
      <c r="W410" s="3"/>
    </row>
    <row r="411" spans="2:23" x14ac:dyDescent="0.35">
      <c r="B411" s="18"/>
      <c r="C411" s="18"/>
      <c r="I411" s="3"/>
      <c r="O411" s="3"/>
      <c r="U411" s="3"/>
      <c r="W411" s="3"/>
    </row>
    <row r="412" spans="2:23" x14ac:dyDescent="0.35">
      <c r="B412" s="18"/>
      <c r="C412" s="18"/>
      <c r="I412" s="3"/>
      <c r="O412" s="3"/>
      <c r="U412" s="3"/>
      <c r="W412" s="3"/>
    </row>
    <row r="413" spans="2:23" x14ac:dyDescent="0.35">
      <c r="B413" s="18"/>
      <c r="C413" s="18"/>
      <c r="I413" s="3"/>
      <c r="O413" s="3"/>
      <c r="U413" s="3"/>
      <c r="W413" s="3"/>
    </row>
    <row r="414" spans="2:23" x14ac:dyDescent="0.35">
      <c r="B414" s="18"/>
      <c r="C414" s="18"/>
      <c r="I414" s="3"/>
      <c r="O414" s="3"/>
      <c r="U414" s="3"/>
      <c r="W414" s="3"/>
    </row>
    <row r="415" spans="2:23" x14ac:dyDescent="0.35">
      <c r="B415" s="18"/>
      <c r="C415" s="18"/>
      <c r="I415" s="3"/>
      <c r="O415" s="3"/>
      <c r="U415" s="3"/>
      <c r="W415" s="3"/>
    </row>
    <row r="416" spans="2:23" x14ac:dyDescent="0.35">
      <c r="B416" s="18"/>
      <c r="C416" s="18"/>
      <c r="I416" s="3"/>
      <c r="O416" s="3"/>
      <c r="U416" s="3"/>
      <c r="W416" s="3"/>
    </row>
    <row r="417" spans="2:23" x14ac:dyDescent="0.35">
      <c r="B417" s="18"/>
      <c r="C417" s="18"/>
      <c r="I417" s="3"/>
      <c r="O417" s="3"/>
      <c r="U417" s="3"/>
      <c r="W417" s="3"/>
    </row>
    <row r="418" spans="2:23" x14ac:dyDescent="0.35">
      <c r="B418" s="18"/>
      <c r="C418" s="18"/>
      <c r="I418" s="3"/>
      <c r="O418" s="3"/>
      <c r="U418" s="3"/>
      <c r="W418" s="3"/>
    </row>
    <row r="419" spans="2:23" x14ac:dyDescent="0.35">
      <c r="B419" s="18"/>
      <c r="C419" s="18"/>
      <c r="I419" s="3"/>
      <c r="O419" s="3"/>
      <c r="U419" s="3"/>
      <c r="W419" s="3"/>
    </row>
    <row r="420" spans="2:23" x14ac:dyDescent="0.35">
      <c r="B420" s="18"/>
      <c r="C420" s="18"/>
      <c r="I420" s="3"/>
      <c r="O420" s="3"/>
      <c r="U420" s="3"/>
      <c r="W420" s="3"/>
    </row>
    <row r="421" spans="2:23" x14ac:dyDescent="0.35">
      <c r="B421" s="18"/>
      <c r="C421" s="18"/>
      <c r="I421" s="3"/>
      <c r="O421" s="3"/>
      <c r="U421" s="3"/>
      <c r="W421" s="3"/>
    </row>
    <row r="422" spans="2:23" x14ac:dyDescent="0.35">
      <c r="B422" s="18"/>
      <c r="C422" s="18"/>
      <c r="I422" s="3"/>
      <c r="O422" s="3"/>
      <c r="U422" s="3"/>
      <c r="W422" s="3"/>
    </row>
    <row r="423" spans="2:23" x14ac:dyDescent="0.35">
      <c r="B423" s="18"/>
      <c r="C423" s="18"/>
      <c r="I423" s="3"/>
      <c r="O423" s="3"/>
      <c r="U423" s="3"/>
      <c r="W423" s="3"/>
    </row>
    <row r="424" spans="2:23" x14ac:dyDescent="0.35">
      <c r="B424" s="18"/>
      <c r="C424" s="18"/>
      <c r="I424" s="3"/>
      <c r="O424" s="3"/>
      <c r="U424" s="3"/>
      <c r="W424" s="3"/>
    </row>
    <row r="425" spans="2:23" x14ac:dyDescent="0.35">
      <c r="B425" s="18"/>
      <c r="C425" s="18"/>
      <c r="I425" s="3"/>
      <c r="O425" s="3"/>
      <c r="U425" s="3"/>
      <c r="W425" s="3"/>
    </row>
    <row r="426" spans="2:23" x14ac:dyDescent="0.35">
      <c r="B426" s="18"/>
      <c r="C426" s="18"/>
      <c r="I426" s="3"/>
      <c r="O426" s="3"/>
      <c r="U426" s="3"/>
      <c r="W426" s="3"/>
    </row>
    <row r="427" spans="2:23" x14ac:dyDescent="0.35">
      <c r="B427" s="18"/>
      <c r="C427" s="18"/>
      <c r="I427" s="3"/>
      <c r="O427" s="3"/>
      <c r="U427" s="3"/>
      <c r="W427" s="3"/>
    </row>
    <row r="428" spans="2:23" x14ac:dyDescent="0.35">
      <c r="B428" s="18"/>
      <c r="C428" s="18"/>
      <c r="I428" s="3"/>
      <c r="O428" s="3"/>
      <c r="U428" s="3"/>
      <c r="W428" s="3"/>
    </row>
    <row r="429" spans="2:23" x14ac:dyDescent="0.35">
      <c r="B429" s="18"/>
      <c r="C429" s="18"/>
      <c r="I429" s="3"/>
      <c r="O429" s="3"/>
      <c r="U429" s="3"/>
      <c r="W429" s="3"/>
    </row>
    <row r="430" spans="2:23" x14ac:dyDescent="0.35">
      <c r="B430" s="18"/>
      <c r="C430" s="18"/>
      <c r="I430" s="3"/>
      <c r="O430" s="3"/>
      <c r="U430" s="3"/>
      <c r="W430" s="3"/>
    </row>
    <row r="431" spans="2:23" x14ac:dyDescent="0.35">
      <c r="B431" s="18"/>
      <c r="C431" s="18"/>
      <c r="I431" s="3"/>
      <c r="O431" s="3"/>
      <c r="U431" s="3"/>
      <c r="W431" s="3"/>
    </row>
    <row r="432" spans="2:23" x14ac:dyDescent="0.35">
      <c r="B432" s="18"/>
      <c r="C432" s="18"/>
      <c r="I432" s="3"/>
      <c r="O432" s="3"/>
      <c r="U432" s="3"/>
      <c r="W432" s="3"/>
    </row>
    <row r="433" spans="2:23" x14ac:dyDescent="0.35">
      <c r="B433" s="18"/>
      <c r="C433" s="18"/>
      <c r="I433" s="3"/>
      <c r="O433" s="3"/>
      <c r="U433" s="3"/>
      <c r="W433" s="3"/>
    </row>
    <row r="434" spans="2:23" x14ac:dyDescent="0.35">
      <c r="B434" s="18"/>
      <c r="C434" s="18"/>
      <c r="I434" s="3"/>
      <c r="O434" s="3"/>
      <c r="U434" s="3"/>
      <c r="W434" s="3"/>
    </row>
    <row r="435" spans="2:23" x14ac:dyDescent="0.35">
      <c r="B435" s="18"/>
      <c r="C435" s="18"/>
      <c r="I435" s="3"/>
      <c r="O435" s="3"/>
      <c r="U435" s="3"/>
      <c r="W435" s="3"/>
    </row>
    <row r="436" spans="2:23" x14ac:dyDescent="0.35">
      <c r="B436" s="18"/>
      <c r="C436" s="18"/>
      <c r="I436" s="3"/>
      <c r="O436" s="3"/>
      <c r="U436" s="3"/>
      <c r="W436" s="3"/>
    </row>
    <row r="437" spans="2:23" x14ac:dyDescent="0.35">
      <c r="B437" s="18"/>
      <c r="C437" s="18"/>
      <c r="I437" s="3"/>
      <c r="O437" s="3"/>
      <c r="U437" s="3"/>
      <c r="W437" s="3"/>
    </row>
    <row r="438" spans="2:23" x14ac:dyDescent="0.35">
      <c r="B438" s="18"/>
      <c r="C438" s="18"/>
      <c r="I438" s="3"/>
      <c r="O438" s="3"/>
      <c r="U438" s="3"/>
      <c r="W438" s="3"/>
    </row>
    <row r="439" spans="2:23" x14ac:dyDescent="0.35">
      <c r="B439" s="18"/>
      <c r="C439" s="18"/>
      <c r="I439" s="3"/>
      <c r="O439" s="3"/>
      <c r="U439" s="3"/>
      <c r="W439" s="3"/>
    </row>
    <row r="440" spans="2:23" x14ac:dyDescent="0.35">
      <c r="B440" s="18"/>
      <c r="C440" s="18"/>
      <c r="I440" s="3"/>
      <c r="O440" s="3"/>
      <c r="U440" s="3"/>
      <c r="W440" s="3"/>
    </row>
    <row r="441" spans="2:23" x14ac:dyDescent="0.35">
      <c r="B441" s="18"/>
      <c r="C441" s="18"/>
      <c r="I441" s="3"/>
      <c r="O441" s="3"/>
      <c r="U441" s="3"/>
      <c r="W441" s="3"/>
    </row>
    <row r="442" spans="2:23" x14ac:dyDescent="0.35">
      <c r="B442" s="18"/>
      <c r="C442" s="18"/>
      <c r="I442" s="3"/>
      <c r="O442" s="3"/>
      <c r="U442" s="3"/>
      <c r="W442" s="3"/>
    </row>
    <row r="443" spans="2:23" x14ac:dyDescent="0.35">
      <c r="B443" s="18"/>
      <c r="C443" s="18"/>
      <c r="I443" s="3"/>
      <c r="O443" s="3"/>
      <c r="U443" s="3"/>
      <c r="W443" s="3"/>
    </row>
    <row r="444" spans="2:23" x14ac:dyDescent="0.35">
      <c r="B444" s="18"/>
      <c r="C444" s="18"/>
      <c r="I444" s="3"/>
      <c r="O444" s="3"/>
      <c r="U444" s="3"/>
      <c r="W444" s="3"/>
    </row>
    <row r="445" spans="2:23" x14ac:dyDescent="0.35">
      <c r="B445" s="18"/>
      <c r="C445" s="18"/>
      <c r="I445" s="3"/>
      <c r="O445" s="3"/>
      <c r="U445" s="3"/>
      <c r="W445" s="3"/>
    </row>
    <row r="446" spans="2:23" x14ac:dyDescent="0.35">
      <c r="B446" s="18"/>
      <c r="C446" s="18"/>
      <c r="I446" s="3"/>
      <c r="O446" s="3"/>
      <c r="U446" s="3"/>
      <c r="W446" s="3"/>
    </row>
    <row r="447" spans="2:23" x14ac:dyDescent="0.35">
      <c r="B447" s="18"/>
      <c r="C447" s="18"/>
      <c r="I447" s="3"/>
      <c r="O447" s="3"/>
      <c r="U447" s="3"/>
      <c r="W447" s="3"/>
    </row>
    <row r="448" spans="2:23" x14ac:dyDescent="0.35">
      <c r="B448" s="18"/>
      <c r="C448" s="18"/>
      <c r="I448" s="3"/>
      <c r="O448" s="3"/>
      <c r="U448" s="3"/>
      <c r="W448" s="3"/>
    </row>
    <row r="449" spans="2:23" x14ac:dyDescent="0.35">
      <c r="B449" s="18"/>
      <c r="C449" s="18"/>
      <c r="I449" s="3"/>
      <c r="O449" s="3"/>
      <c r="U449" s="3"/>
      <c r="W449" s="3"/>
    </row>
    <row r="450" spans="2:23" x14ac:dyDescent="0.35">
      <c r="B450" s="18"/>
      <c r="C450" s="18"/>
      <c r="I450" s="3"/>
      <c r="O450" s="3"/>
      <c r="U450" s="3"/>
      <c r="W450" s="3"/>
    </row>
    <row r="451" spans="2:23" x14ac:dyDescent="0.35">
      <c r="B451" s="18"/>
      <c r="C451" s="18"/>
      <c r="I451" s="3"/>
      <c r="O451" s="3"/>
      <c r="U451" s="3"/>
      <c r="W451" s="3"/>
    </row>
    <row r="452" spans="2:23" x14ac:dyDescent="0.35">
      <c r="B452" s="18"/>
      <c r="C452" s="18"/>
      <c r="I452" s="3"/>
      <c r="O452" s="3"/>
      <c r="U452" s="3"/>
      <c r="W452" s="3"/>
    </row>
    <row r="453" spans="2:23" x14ac:dyDescent="0.35">
      <c r="B453" s="18"/>
      <c r="C453" s="18"/>
      <c r="I453" s="3"/>
      <c r="O453" s="3"/>
      <c r="U453" s="3"/>
      <c r="W453" s="3"/>
    </row>
    <row r="454" spans="2:23" x14ac:dyDescent="0.35">
      <c r="B454" s="18"/>
      <c r="C454" s="18"/>
      <c r="I454" s="3"/>
      <c r="O454" s="3"/>
      <c r="U454" s="3"/>
      <c r="W454" s="3"/>
    </row>
    <row r="455" spans="2:23" x14ac:dyDescent="0.35">
      <c r="B455" s="18"/>
      <c r="C455" s="18"/>
      <c r="I455" s="3"/>
      <c r="O455" s="3"/>
      <c r="U455" s="3"/>
      <c r="W455" s="3"/>
    </row>
    <row r="456" spans="2:23" x14ac:dyDescent="0.35">
      <c r="B456" s="18"/>
      <c r="C456" s="18"/>
      <c r="I456" s="3"/>
      <c r="O456" s="3"/>
      <c r="U456" s="3"/>
      <c r="W456" s="3"/>
    </row>
    <row r="457" spans="2:23" x14ac:dyDescent="0.35">
      <c r="B457" s="18"/>
      <c r="C457" s="18"/>
      <c r="I457" s="3"/>
      <c r="O457" s="3"/>
      <c r="U457" s="3"/>
      <c r="W457" s="3"/>
    </row>
    <row r="458" spans="2:23" x14ac:dyDescent="0.35">
      <c r="B458" s="18"/>
      <c r="C458" s="18"/>
      <c r="I458" s="3"/>
      <c r="O458" s="3"/>
      <c r="U458" s="3"/>
      <c r="W458" s="3"/>
    </row>
    <row r="459" spans="2:23" x14ac:dyDescent="0.35">
      <c r="B459" s="18"/>
      <c r="C459" s="18"/>
      <c r="I459" s="3"/>
      <c r="O459" s="3"/>
      <c r="U459" s="3"/>
      <c r="W459" s="3"/>
    </row>
    <row r="460" spans="2:23" x14ac:dyDescent="0.35">
      <c r="B460" s="18"/>
      <c r="C460" s="18"/>
      <c r="I460" s="3"/>
      <c r="O460" s="3"/>
      <c r="U460" s="3"/>
      <c r="W460" s="3"/>
    </row>
    <row r="461" spans="2:23" x14ac:dyDescent="0.35">
      <c r="B461" s="18"/>
      <c r="C461" s="18"/>
      <c r="I461" s="3"/>
      <c r="O461" s="3"/>
      <c r="U461" s="3"/>
      <c r="W461" s="3"/>
    </row>
    <row r="462" spans="2:23" x14ac:dyDescent="0.35">
      <c r="B462" s="18"/>
      <c r="C462" s="18"/>
      <c r="I462" s="3"/>
      <c r="O462" s="3"/>
      <c r="U462" s="3"/>
      <c r="W462" s="3"/>
    </row>
    <row r="463" spans="2:23" x14ac:dyDescent="0.35">
      <c r="B463" s="18"/>
      <c r="C463" s="18"/>
      <c r="I463" s="3"/>
      <c r="O463" s="3"/>
      <c r="U463" s="3"/>
      <c r="W463" s="3"/>
    </row>
    <row r="464" spans="2:23" x14ac:dyDescent="0.35">
      <c r="B464" s="18"/>
      <c r="C464" s="18"/>
      <c r="I464" s="3"/>
      <c r="O464" s="3"/>
      <c r="U464" s="3"/>
      <c r="W464" s="3"/>
    </row>
    <row r="465" spans="2:23" x14ac:dyDescent="0.35">
      <c r="B465" s="18"/>
      <c r="C465" s="18"/>
      <c r="I465" s="3"/>
      <c r="O465" s="3"/>
      <c r="U465" s="3"/>
      <c r="W465" s="3"/>
    </row>
    <row r="466" spans="2:23" x14ac:dyDescent="0.35">
      <c r="B466" s="18"/>
      <c r="C466" s="18"/>
      <c r="I466" s="3"/>
      <c r="O466" s="3"/>
      <c r="U466" s="3"/>
      <c r="W466" s="3"/>
    </row>
    <row r="467" spans="2:23" x14ac:dyDescent="0.35">
      <c r="B467" s="18"/>
      <c r="C467" s="18"/>
      <c r="I467" s="3"/>
      <c r="O467" s="3"/>
      <c r="U467" s="3"/>
      <c r="W467" s="3"/>
    </row>
    <row r="468" spans="2:23" x14ac:dyDescent="0.35">
      <c r="B468" s="18"/>
      <c r="C468" s="18"/>
      <c r="I468" s="3"/>
      <c r="O468" s="3"/>
      <c r="U468" s="3"/>
      <c r="W468" s="3"/>
    </row>
    <row r="469" spans="2:23" x14ac:dyDescent="0.35">
      <c r="B469" s="18"/>
      <c r="C469" s="18"/>
      <c r="I469" s="3"/>
      <c r="O469" s="3"/>
      <c r="U469" s="3"/>
      <c r="W469" s="3"/>
    </row>
    <row r="470" spans="2:23" x14ac:dyDescent="0.35">
      <c r="B470" s="18"/>
      <c r="C470" s="18"/>
      <c r="I470" s="3"/>
      <c r="O470" s="3"/>
      <c r="U470" s="3"/>
      <c r="W470" s="3"/>
    </row>
    <row r="471" spans="2:23" x14ac:dyDescent="0.35">
      <c r="B471" s="18"/>
      <c r="C471" s="18"/>
      <c r="I471" s="3"/>
      <c r="O471" s="3"/>
      <c r="U471" s="3"/>
      <c r="W471" s="3"/>
    </row>
    <row r="472" spans="2:23" x14ac:dyDescent="0.35">
      <c r="B472" s="18"/>
      <c r="C472" s="18"/>
      <c r="I472" s="3"/>
      <c r="O472" s="3"/>
      <c r="U472" s="3"/>
      <c r="W472" s="3"/>
    </row>
    <row r="473" spans="2:23" x14ac:dyDescent="0.35">
      <c r="B473" s="18"/>
      <c r="C473" s="18"/>
      <c r="I473" s="3"/>
      <c r="O473" s="3"/>
      <c r="U473" s="3"/>
      <c r="W473" s="3"/>
    </row>
    <row r="474" spans="2:23" x14ac:dyDescent="0.35">
      <c r="B474" s="18"/>
      <c r="C474" s="18"/>
      <c r="I474" s="3"/>
      <c r="O474" s="3"/>
      <c r="U474" s="3"/>
      <c r="W474" s="3"/>
    </row>
    <row r="475" spans="2:23" x14ac:dyDescent="0.35">
      <c r="B475" s="18"/>
      <c r="C475" s="18"/>
      <c r="I475" s="3"/>
      <c r="O475" s="3"/>
      <c r="U475" s="3"/>
      <c r="W475" s="3"/>
    </row>
    <row r="476" spans="2:23" x14ac:dyDescent="0.35">
      <c r="B476" s="18"/>
      <c r="C476" s="18"/>
      <c r="I476" s="3"/>
      <c r="O476" s="3"/>
      <c r="U476" s="3"/>
      <c r="W476" s="3"/>
    </row>
    <row r="477" spans="2:23" x14ac:dyDescent="0.35">
      <c r="B477" s="18"/>
      <c r="C477" s="18"/>
      <c r="I477" s="3"/>
      <c r="O477" s="3"/>
      <c r="U477" s="3"/>
      <c r="W477" s="3"/>
    </row>
    <row r="478" spans="2:23" x14ac:dyDescent="0.35">
      <c r="B478" s="18"/>
      <c r="C478" s="18"/>
      <c r="I478" s="3"/>
      <c r="O478" s="3"/>
      <c r="U478" s="3"/>
      <c r="W478" s="3"/>
    </row>
    <row r="479" spans="2:23" x14ac:dyDescent="0.35">
      <c r="B479" s="18"/>
      <c r="C479" s="18"/>
      <c r="I479" s="3"/>
      <c r="O479" s="3"/>
      <c r="U479" s="3"/>
      <c r="W479" s="3"/>
    </row>
    <row r="480" spans="2:23" x14ac:dyDescent="0.35">
      <c r="B480" s="18"/>
      <c r="C480" s="18"/>
      <c r="I480" s="3"/>
      <c r="O480" s="3"/>
      <c r="U480" s="3"/>
      <c r="W480" s="3"/>
    </row>
    <row r="481" spans="2:23" x14ac:dyDescent="0.35">
      <c r="B481" s="18"/>
      <c r="C481" s="18"/>
      <c r="I481" s="3"/>
      <c r="O481" s="3"/>
      <c r="U481" s="3"/>
      <c r="W481" s="3"/>
    </row>
    <row r="482" spans="2:23" x14ac:dyDescent="0.35">
      <c r="B482" s="18"/>
      <c r="C482" s="18"/>
      <c r="I482" s="3"/>
      <c r="O482" s="3"/>
      <c r="U482" s="3"/>
      <c r="W482" s="3"/>
    </row>
    <row r="483" spans="2:23" x14ac:dyDescent="0.35">
      <c r="B483" s="18"/>
      <c r="C483" s="18"/>
      <c r="I483" s="3"/>
      <c r="O483" s="3"/>
      <c r="U483" s="3"/>
      <c r="W483" s="3"/>
    </row>
    <row r="484" spans="2:23" x14ac:dyDescent="0.35">
      <c r="B484" s="18"/>
      <c r="C484" s="18"/>
      <c r="I484" s="3"/>
      <c r="O484" s="3"/>
      <c r="U484" s="3"/>
      <c r="W484" s="3"/>
    </row>
    <row r="485" spans="2:23" x14ac:dyDescent="0.35">
      <c r="B485" s="18"/>
      <c r="C485" s="18"/>
      <c r="I485" s="3"/>
      <c r="O485" s="3"/>
      <c r="U485" s="3"/>
      <c r="W485" s="3"/>
    </row>
    <row r="486" spans="2:23" x14ac:dyDescent="0.35">
      <c r="B486" s="18"/>
      <c r="C486" s="18"/>
      <c r="I486" s="3"/>
      <c r="O486" s="3"/>
      <c r="U486" s="3"/>
      <c r="W486" s="3"/>
    </row>
    <row r="487" spans="2:23" x14ac:dyDescent="0.35">
      <c r="B487" s="18"/>
      <c r="C487" s="18"/>
      <c r="I487" s="3"/>
      <c r="O487" s="3"/>
      <c r="U487" s="3"/>
      <c r="W487" s="3"/>
    </row>
    <row r="488" spans="2:23" x14ac:dyDescent="0.35">
      <c r="B488" s="18"/>
      <c r="C488" s="18"/>
      <c r="I488" s="3"/>
      <c r="O488" s="3"/>
      <c r="U488" s="3"/>
      <c r="W488" s="3"/>
    </row>
    <row r="489" spans="2:23" x14ac:dyDescent="0.35">
      <c r="B489" s="18"/>
      <c r="C489" s="18"/>
      <c r="I489" s="3"/>
      <c r="O489" s="3"/>
      <c r="U489" s="3"/>
      <c r="W489" s="3"/>
    </row>
    <row r="490" spans="2:23" x14ac:dyDescent="0.35">
      <c r="B490" s="18"/>
      <c r="C490" s="18"/>
      <c r="I490" s="3"/>
      <c r="O490" s="3"/>
      <c r="U490" s="3"/>
      <c r="W490" s="3"/>
    </row>
    <row r="491" spans="2:23" x14ac:dyDescent="0.35">
      <c r="B491" s="18"/>
      <c r="C491" s="18"/>
      <c r="I491" s="3"/>
      <c r="O491" s="3"/>
      <c r="U491" s="3"/>
      <c r="W491" s="3"/>
    </row>
    <row r="492" spans="2:23" x14ac:dyDescent="0.35">
      <c r="B492" s="18"/>
      <c r="C492" s="18"/>
      <c r="I492" s="3"/>
      <c r="O492" s="3"/>
      <c r="U492" s="3"/>
      <c r="W492" s="3"/>
    </row>
    <row r="493" spans="2:23" x14ac:dyDescent="0.35">
      <c r="B493" s="18"/>
      <c r="C493" s="18"/>
      <c r="I493" s="3"/>
      <c r="O493" s="3"/>
      <c r="U493" s="3"/>
      <c r="W493" s="3"/>
    </row>
    <row r="494" spans="2:23" x14ac:dyDescent="0.35">
      <c r="B494" s="18"/>
      <c r="C494" s="18"/>
      <c r="I494" s="3"/>
      <c r="O494" s="3"/>
      <c r="U494" s="3"/>
      <c r="W494" s="3"/>
    </row>
    <row r="495" spans="2:23" x14ac:dyDescent="0.35">
      <c r="B495" s="18"/>
      <c r="C495" s="18"/>
      <c r="I495" s="3"/>
      <c r="O495" s="3"/>
      <c r="U495" s="3"/>
      <c r="W495" s="3"/>
    </row>
    <row r="496" spans="2:23" x14ac:dyDescent="0.35">
      <c r="B496" s="18"/>
      <c r="C496" s="18"/>
      <c r="I496" s="3"/>
      <c r="O496" s="3"/>
      <c r="U496" s="3"/>
      <c r="W496" s="3"/>
    </row>
    <row r="497" spans="2:23" x14ac:dyDescent="0.35">
      <c r="B497" s="18"/>
      <c r="C497" s="18"/>
      <c r="I497" s="3"/>
      <c r="O497" s="3"/>
      <c r="U497" s="3"/>
      <c r="W497" s="3"/>
    </row>
    <row r="498" spans="2:23" x14ac:dyDescent="0.35">
      <c r="B498" s="18"/>
      <c r="C498" s="18"/>
      <c r="I498" s="3"/>
      <c r="O498" s="3"/>
      <c r="U498" s="3"/>
      <c r="W498" s="3"/>
    </row>
    <row r="499" spans="2:23" x14ac:dyDescent="0.35">
      <c r="B499" s="18"/>
      <c r="C499" s="18"/>
      <c r="I499" s="3"/>
      <c r="O499" s="3"/>
      <c r="U499" s="3"/>
      <c r="W499" s="3"/>
    </row>
    <row r="500" spans="2:23" x14ac:dyDescent="0.35">
      <c r="B500" s="18"/>
      <c r="C500" s="18"/>
      <c r="I500" s="3"/>
      <c r="O500" s="3"/>
      <c r="U500" s="3"/>
      <c r="W500" s="3"/>
    </row>
    <row r="501" spans="2:23" x14ac:dyDescent="0.35">
      <c r="B501" s="18"/>
      <c r="C501" s="18"/>
      <c r="I501" s="3"/>
      <c r="O501" s="3"/>
      <c r="U501" s="3"/>
      <c r="W501" s="3"/>
    </row>
    <row r="502" spans="2:23" x14ac:dyDescent="0.35">
      <c r="B502" s="18"/>
      <c r="C502" s="18"/>
      <c r="I502" s="3"/>
      <c r="O502" s="3"/>
      <c r="U502" s="3"/>
      <c r="W502" s="3"/>
    </row>
    <row r="503" spans="2:23" x14ac:dyDescent="0.35">
      <c r="B503" s="18"/>
      <c r="C503" s="18"/>
      <c r="I503" s="3"/>
      <c r="O503" s="3"/>
      <c r="U503" s="3"/>
      <c r="W503" s="3"/>
    </row>
    <row r="504" spans="2:23" x14ac:dyDescent="0.35">
      <c r="B504" s="18"/>
      <c r="C504" s="18"/>
      <c r="I504" s="3"/>
      <c r="O504" s="3"/>
      <c r="U504" s="3"/>
      <c r="W504" s="3"/>
    </row>
    <row r="505" spans="2:23" x14ac:dyDescent="0.35">
      <c r="B505" s="18"/>
      <c r="C505" s="18"/>
      <c r="I505" s="3"/>
      <c r="O505" s="3"/>
      <c r="U505" s="3"/>
      <c r="W505" s="3"/>
    </row>
    <row r="506" spans="2:23" x14ac:dyDescent="0.35">
      <c r="B506" s="18"/>
      <c r="C506" s="18"/>
      <c r="I506" s="3"/>
      <c r="O506" s="3"/>
      <c r="U506" s="3"/>
      <c r="W506" s="3"/>
    </row>
    <row r="507" spans="2:23" x14ac:dyDescent="0.35">
      <c r="B507" s="18"/>
      <c r="C507" s="18"/>
      <c r="I507" s="3"/>
      <c r="O507" s="3"/>
      <c r="U507" s="3"/>
      <c r="W507" s="3"/>
    </row>
    <row r="508" spans="2:23" x14ac:dyDescent="0.35">
      <c r="B508" s="18"/>
      <c r="C508" s="18"/>
      <c r="I508" s="3"/>
      <c r="O508" s="3"/>
      <c r="U508" s="3"/>
      <c r="W508" s="3"/>
    </row>
    <row r="509" spans="2:23" x14ac:dyDescent="0.35">
      <c r="B509" s="18"/>
      <c r="C509" s="18"/>
      <c r="I509" s="3"/>
      <c r="O509" s="3"/>
      <c r="U509" s="3"/>
      <c r="W509" s="3"/>
    </row>
    <row r="510" spans="2:23" x14ac:dyDescent="0.35">
      <c r="B510" s="18"/>
      <c r="C510" s="18"/>
      <c r="I510" s="3"/>
      <c r="O510" s="3"/>
      <c r="U510" s="3"/>
      <c r="W510" s="3"/>
    </row>
    <row r="511" spans="2:23" x14ac:dyDescent="0.35">
      <c r="B511" s="18"/>
      <c r="C511" s="18"/>
      <c r="I511" s="3"/>
      <c r="O511" s="3"/>
      <c r="U511" s="3"/>
      <c r="W511" s="3"/>
    </row>
    <row r="512" spans="2:23" x14ac:dyDescent="0.35">
      <c r="B512" s="18"/>
      <c r="C512" s="18"/>
      <c r="I512" s="3"/>
      <c r="O512" s="3"/>
      <c r="U512" s="3"/>
      <c r="W512" s="3"/>
    </row>
    <row r="513" spans="2:23" x14ac:dyDescent="0.35">
      <c r="B513" s="18"/>
      <c r="C513" s="18"/>
      <c r="I513" s="3"/>
      <c r="O513" s="3"/>
      <c r="U513" s="3"/>
      <c r="W513" s="3"/>
    </row>
    <row r="514" spans="2:23" x14ac:dyDescent="0.35">
      <c r="B514" s="18"/>
      <c r="C514" s="18"/>
      <c r="I514" s="3"/>
      <c r="O514" s="3"/>
      <c r="U514" s="3"/>
      <c r="W514" s="3"/>
    </row>
    <row r="515" spans="2:23" x14ac:dyDescent="0.35">
      <c r="B515" s="18"/>
      <c r="C515" s="18"/>
      <c r="I515" s="3"/>
      <c r="O515" s="3"/>
      <c r="U515" s="3"/>
      <c r="W515" s="3"/>
    </row>
    <row r="516" spans="2:23" x14ac:dyDescent="0.35">
      <c r="B516" s="18"/>
      <c r="C516" s="18"/>
      <c r="I516" s="3"/>
      <c r="O516" s="3"/>
      <c r="U516" s="3"/>
      <c r="W516" s="3"/>
    </row>
    <row r="517" spans="2:23" x14ac:dyDescent="0.35">
      <c r="B517" s="18"/>
      <c r="C517" s="18"/>
      <c r="I517" s="3"/>
      <c r="O517" s="3"/>
      <c r="U517" s="3"/>
      <c r="W517" s="3"/>
    </row>
    <row r="518" spans="2:23" x14ac:dyDescent="0.35">
      <c r="B518" s="18"/>
      <c r="C518" s="18"/>
      <c r="I518" s="3"/>
      <c r="O518" s="3"/>
      <c r="U518" s="3"/>
      <c r="W518" s="3"/>
    </row>
    <row r="519" spans="2:23" x14ac:dyDescent="0.35">
      <c r="B519" s="18"/>
      <c r="C519" s="18"/>
      <c r="I519" s="3"/>
      <c r="O519" s="3"/>
      <c r="U519" s="3"/>
      <c r="W519" s="3"/>
    </row>
    <row r="520" spans="2:23" x14ac:dyDescent="0.35">
      <c r="B520" s="18"/>
      <c r="C520" s="18"/>
      <c r="I520" s="3"/>
      <c r="O520" s="3"/>
      <c r="U520" s="3"/>
      <c r="W520" s="3"/>
    </row>
    <row r="521" spans="2:23" x14ac:dyDescent="0.35">
      <c r="B521" s="18"/>
      <c r="C521" s="18"/>
      <c r="I521" s="3"/>
      <c r="O521" s="3"/>
      <c r="U521" s="3"/>
      <c r="W521" s="3"/>
    </row>
    <row r="522" spans="2:23" x14ac:dyDescent="0.35">
      <c r="B522" s="18"/>
      <c r="C522" s="18"/>
      <c r="I522" s="3"/>
      <c r="O522" s="3"/>
      <c r="U522" s="3"/>
      <c r="W522" s="3"/>
    </row>
    <row r="523" spans="2:23" x14ac:dyDescent="0.35">
      <c r="B523" s="18"/>
      <c r="C523" s="18"/>
      <c r="I523" s="3"/>
      <c r="O523" s="3"/>
      <c r="U523" s="3"/>
      <c r="W523" s="3"/>
    </row>
    <row r="524" spans="2:23" x14ac:dyDescent="0.35">
      <c r="B524" s="18"/>
      <c r="C524" s="18"/>
      <c r="I524" s="3"/>
      <c r="O524" s="3"/>
      <c r="U524" s="3"/>
      <c r="W524" s="3"/>
    </row>
    <row r="525" spans="2:23" x14ac:dyDescent="0.35">
      <c r="B525" s="18"/>
      <c r="C525" s="18"/>
      <c r="I525" s="3"/>
      <c r="O525" s="3"/>
      <c r="U525" s="3"/>
      <c r="W525" s="3"/>
    </row>
    <row r="526" spans="2:23" x14ac:dyDescent="0.35">
      <c r="B526" s="18"/>
      <c r="C526" s="18"/>
      <c r="I526" s="3"/>
      <c r="O526" s="3"/>
      <c r="U526" s="3"/>
      <c r="W526" s="3"/>
    </row>
    <row r="527" spans="2:23" x14ac:dyDescent="0.35">
      <c r="B527" s="18"/>
      <c r="C527" s="18"/>
      <c r="I527" s="3"/>
      <c r="O527" s="3"/>
      <c r="U527" s="3"/>
      <c r="W527" s="3"/>
    </row>
    <row r="528" spans="2:23" x14ac:dyDescent="0.35">
      <c r="B528" s="18"/>
      <c r="C528" s="18"/>
      <c r="I528" s="3"/>
      <c r="O528" s="3"/>
      <c r="U528" s="3"/>
      <c r="W528" s="3"/>
    </row>
    <row r="529" spans="2:23" x14ac:dyDescent="0.35">
      <c r="B529" s="18"/>
      <c r="C529" s="18"/>
      <c r="I529" s="3"/>
      <c r="O529" s="3"/>
      <c r="U529" s="3"/>
      <c r="W529" s="3"/>
    </row>
    <row r="530" spans="2:23" x14ac:dyDescent="0.35">
      <c r="B530" s="18"/>
      <c r="C530" s="18"/>
      <c r="I530" s="3"/>
      <c r="O530" s="3"/>
      <c r="U530" s="3"/>
      <c r="W530" s="3"/>
    </row>
    <row r="531" spans="2:23" x14ac:dyDescent="0.35">
      <c r="B531" s="18"/>
      <c r="C531" s="18"/>
      <c r="I531" s="3"/>
      <c r="O531" s="3"/>
      <c r="U531" s="3"/>
      <c r="W531" s="3"/>
    </row>
    <row r="532" spans="2:23" x14ac:dyDescent="0.35">
      <c r="B532" s="18"/>
      <c r="C532" s="18"/>
      <c r="I532" s="3"/>
      <c r="O532" s="3"/>
      <c r="U532" s="3"/>
      <c r="W532" s="3"/>
    </row>
    <row r="533" spans="2:23" ht="15" customHeight="1" x14ac:dyDescent="0.35">
      <c r="B533" s="18"/>
      <c r="C533" s="18"/>
      <c r="I533" s="3"/>
      <c r="O533" s="3"/>
      <c r="U533" s="3"/>
      <c r="W533" s="3"/>
    </row>
    <row r="534" spans="2:23" x14ac:dyDescent="0.35">
      <c r="B534" s="18"/>
      <c r="C534" s="18"/>
      <c r="I534" s="3"/>
      <c r="O534" s="3"/>
      <c r="U534" s="3"/>
      <c r="W534" s="3"/>
    </row>
    <row r="535" spans="2:23" x14ac:dyDescent="0.35">
      <c r="B535" s="18"/>
      <c r="C535" s="18"/>
      <c r="I535" s="3"/>
      <c r="O535" s="3"/>
      <c r="U535" s="3"/>
      <c r="W535" s="3"/>
    </row>
    <row r="536" spans="2:23" x14ac:dyDescent="0.35">
      <c r="B536" s="18"/>
      <c r="C536" s="18"/>
      <c r="I536" s="3"/>
      <c r="O536" s="3"/>
      <c r="U536" s="3"/>
      <c r="W536" s="3"/>
    </row>
    <row r="537" spans="2:23" x14ac:dyDescent="0.35">
      <c r="B537" s="18"/>
      <c r="C537" s="18"/>
      <c r="I537" s="3"/>
      <c r="O537" s="3"/>
      <c r="U537" s="3"/>
      <c r="W537" s="3"/>
    </row>
    <row r="538" spans="2:23" x14ac:dyDescent="0.35">
      <c r="B538" s="18"/>
      <c r="C538" s="18"/>
      <c r="I538" s="3"/>
      <c r="O538" s="3"/>
      <c r="U538" s="3"/>
      <c r="W538" s="3"/>
    </row>
    <row r="539" spans="2:23" x14ac:dyDescent="0.35">
      <c r="B539" s="18"/>
      <c r="C539" s="18"/>
      <c r="I539" s="3"/>
      <c r="O539" s="3"/>
      <c r="U539" s="3"/>
      <c r="W539" s="3"/>
    </row>
    <row r="540" spans="2:23" x14ac:dyDescent="0.35">
      <c r="B540" s="18"/>
      <c r="C540" s="18"/>
      <c r="I540" s="3"/>
      <c r="O540" s="3"/>
      <c r="U540" s="3"/>
      <c r="W540" s="3"/>
    </row>
    <row r="541" spans="2:23" ht="17" customHeight="1" x14ac:dyDescent="0.35">
      <c r="B541" s="18"/>
      <c r="C541" s="18"/>
      <c r="I541" s="3"/>
      <c r="O541" s="3"/>
      <c r="U541" s="3"/>
      <c r="W541" s="3"/>
    </row>
    <row r="542" spans="2:23" x14ac:dyDescent="0.35">
      <c r="B542" s="18"/>
      <c r="C542" s="18"/>
      <c r="I542" s="3"/>
      <c r="O542" s="3"/>
      <c r="U542" s="3"/>
      <c r="W542" s="3"/>
    </row>
    <row r="543" spans="2:23" x14ac:dyDescent="0.35">
      <c r="B543" s="18"/>
      <c r="C543" s="18"/>
      <c r="I543" s="3"/>
      <c r="O543" s="3"/>
      <c r="U543" s="3"/>
      <c r="W543" s="3"/>
    </row>
    <row r="544" spans="2:23" x14ac:dyDescent="0.35">
      <c r="B544" s="18"/>
      <c r="C544" s="18"/>
      <c r="I544" s="3"/>
      <c r="O544" s="3"/>
      <c r="U544" s="3"/>
      <c r="W544" s="3"/>
    </row>
    <row r="545" spans="2:23" x14ac:dyDescent="0.35">
      <c r="B545" s="18"/>
      <c r="C545" s="18"/>
      <c r="I545" s="3"/>
      <c r="O545" s="3"/>
      <c r="U545" s="3"/>
      <c r="W545" s="3"/>
    </row>
    <row r="546" spans="2:23" x14ac:dyDescent="0.35">
      <c r="B546" s="18"/>
      <c r="C546" s="18"/>
      <c r="I546" s="3"/>
      <c r="O546" s="3"/>
      <c r="U546" s="3"/>
      <c r="W546" s="3"/>
    </row>
    <row r="547" spans="2:23" x14ac:dyDescent="0.35">
      <c r="B547" s="18"/>
      <c r="C547" s="18"/>
      <c r="I547" s="3"/>
      <c r="O547" s="3"/>
      <c r="U547" s="3"/>
      <c r="W547" s="3"/>
    </row>
    <row r="548" spans="2:23" x14ac:dyDescent="0.35">
      <c r="B548" s="18"/>
      <c r="I548" s="3"/>
      <c r="O548" s="3"/>
      <c r="U548" s="3"/>
      <c r="W548" s="3"/>
    </row>
    <row r="549" spans="2:23" x14ac:dyDescent="0.35">
      <c r="B549" s="18"/>
      <c r="I549" s="3"/>
      <c r="O549" s="3"/>
      <c r="U549" s="3"/>
      <c r="W549" s="3"/>
    </row>
    <row r="550" spans="2:23" x14ac:dyDescent="0.35">
      <c r="B550" s="18"/>
      <c r="I550" s="3"/>
      <c r="O550" s="3"/>
      <c r="U550" s="3"/>
      <c r="W550" s="3"/>
    </row>
    <row r="551" spans="2:23" x14ac:dyDescent="0.35">
      <c r="B551" s="18"/>
      <c r="I551" s="3"/>
      <c r="O551" s="3"/>
      <c r="U551" s="3"/>
      <c r="W551" s="3"/>
    </row>
    <row r="552" spans="2:23" x14ac:dyDescent="0.35">
      <c r="B552" s="18"/>
      <c r="I552" s="3"/>
      <c r="O552" s="3"/>
      <c r="U552" s="3"/>
      <c r="W552" s="3"/>
    </row>
    <row r="553" spans="2:23" x14ac:dyDescent="0.35">
      <c r="I553" s="3"/>
      <c r="O553" s="3"/>
      <c r="U553" s="3"/>
      <c r="W553" s="3"/>
    </row>
    <row r="554" spans="2:23" x14ac:dyDescent="0.35">
      <c r="I554" s="3"/>
      <c r="O554" s="3"/>
      <c r="U554" s="3"/>
      <c r="W554" s="3"/>
    </row>
    <row r="555" spans="2:23" x14ac:dyDescent="0.35">
      <c r="I555" s="3"/>
      <c r="O555" s="3"/>
      <c r="U555" s="3"/>
      <c r="W555" s="3"/>
    </row>
    <row r="556" spans="2:23" x14ac:dyDescent="0.35">
      <c r="I556" s="3"/>
      <c r="O556" s="3"/>
      <c r="U556" s="3"/>
      <c r="W556" s="3"/>
    </row>
    <row r="557" spans="2:23" x14ac:dyDescent="0.35">
      <c r="I557" s="3"/>
      <c r="O557" s="3"/>
      <c r="U557" s="3"/>
      <c r="W557" s="3"/>
    </row>
    <row r="558" spans="2:23" x14ac:dyDescent="0.35">
      <c r="I558" s="3"/>
      <c r="O558" s="3"/>
      <c r="U558" s="3"/>
      <c r="W558" s="3"/>
    </row>
    <row r="559" spans="2:23" x14ac:dyDescent="0.35">
      <c r="I559" s="3"/>
      <c r="O559" s="3"/>
      <c r="U559" s="3"/>
      <c r="W559" s="3"/>
    </row>
    <row r="560" spans="2:23" x14ac:dyDescent="0.35">
      <c r="I560" s="3"/>
      <c r="O560" s="3"/>
      <c r="U560" s="3"/>
      <c r="W560" s="3"/>
    </row>
    <row r="561" spans="9:23" x14ac:dyDescent="0.35">
      <c r="I561" s="3"/>
      <c r="O561" s="3"/>
      <c r="U561" s="3"/>
      <c r="W561" s="3"/>
    </row>
    <row r="562" spans="9:23" x14ac:dyDescent="0.35">
      <c r="I562" s="3"/>
      <c r="O562" s="3"/>
      <c r="U562" s="3"/>
      <c r="W562" s="3"/>
    </row>
    <row r="563" spans="9:23" x14ac:dyDescent="0.35">
      <c r="I563" s="3"/>
      <c r="O563" s="3"/>
      <c r="U563" s="3"/>
      <c r="W563" s="3"/>
    </row>
    <row r="564" spans="9:23" x14ac:dyDescent="0.35">
      <c r="I564" s="3"/>
      <c r="O564" s="3"/>
      <c r="U564" s="3"/>
      <c r="W564" s="3"/>
    </row>
    <row r="565" spans="9:23" x14ac:dyDescent="0.35">
      <c r="I565" s="3"/>
      <c r="O565" s="3"/>
      <c r="U565" s="3"/>
      <c r="W565" s="3"/>
    </row>
    <row r="566" spans="9:23" x14ac:dyDescent="0.35">
      <c r="I566" s="3"/>
      <c r="O566" s="3"/>
      <c r="U566" s="3"/>
      <c r="W566" s="3"/>
    </row>
    <row r="567" spans="9:23" x14ac:dyDescent="0.35">
      <c r="I567" s="3"/>
      <c r="O567" s="3"/>
      <c r="U567" s="3"/>
      <c r="W567" s="3"/>
    </row>
    <row r="568" spans="9:23" x14ac:dyDescent="0.35">
      <c r="I568" s="3"/>
      <c r="O568" s="3"/>
      <c r="U568" s="3"/>
      <c r="W568" s="3"/>
    </row>
    <row r="569" spans="9:23" x14ac:dyDescent="0.35">
      <c r="I569" s="3"/>
      <c r="O569" s="3"/>
      <c r="U569" s="3"/>
      <c r="W569" s="3"/>
    </row>
    <row r="570" spans="9:23" x14ac:dyDescent="0.35">
      <c r="I570" s="3"/>
      <c r="O570" s="3"/>
      <c r="U570" s="3"/>
      <c r="W570" s="3"/>
    </row>
    <row r="571" spans="9:23" x14ac:dyDescent="0.35">
      <c r="I571" s="3"/>
      <c r="O571" s="3"/>
      <c r="U571" s="3"/>
      <c r="W571" s="3"/>
    </row>
    <row r="572" spans="9:23" x14ac:dyDescent="0.35">
      <c r="I572" s="3"/>
      <c r="O572" s="3"/>
      <c r="U572" s="3"/>
      <c r="W572" s="3"/>
    </row>
    <row r="573" spans="9:23" x14ac:dyDescent="0.35">
      <c r="I573" s="3"/>
      <c r="O573" s="3"/>
      <c r="U573" s="3"/>
      <c r="W573" s="3"/>
    </row>
    <row r="574" spans="9:23" x14ac:dyDescent="0.35">
      <c r="I574" s="3"/>
      <c r="O574" s="3"/>
      <c r="U574" s="3"/>
      <c r="W574" s="3"/>
    </row>
    <row r="575" spans="9:23" x14ac:dyDescent="0.35">
      <c r="I575" s="3"/>
      <c r="O575" s="3"/>
      <c r="U575" s="3"/>
      <c r="W575" s="3"/>
    </row>
    <row r="576" spans="9:23" x14ac:dyDescent="0.35">
      <c r="I576" s="3"/>
      <c r="O576" s="3"/>
      <c r="U576" s="3"/>
      <c r="W576" s="3"/>
    </row>
    <row r="577" spans="9:23" x14ac:dyDescent="0.35">
      <c r="I577" s="3"/>
      <c r="O577" s="3"/>
      <c r="U577" s="3"/>
      <c r="W577" s="3"/>
    </row>
    <row r="578" spans="9:23" x14ac:dyDescent="0.35">
      <c r="I578" s="3"/>
      <c r="O578" s="3"/>
      <c r="U578" s="3"/>
      <c r="W578" s="3"/>
    </row>
    <row r="579" spans="9:23" x14ac:dyDescent="0.35">
      <c r="I579" s="3"/>
      <c r="O579" s="3"/>
      <c r="U579" s="3"/>
      <c r="W579" s="3"/>
    </row>
    <row r="580" spans="9:23" x14ac:dyDescent="0.35">
      <c r="I580" s="3"/>
      <c r="O580" s="3"/>
      <c r="U580" s="3"/>
      <c r="W580" s="3"/>
    </row>
    <row r="581" spans="9:23" x14ac:dyDescent="0.35">
      <c r="I581" s="3"/>
      <c r="O581" s="3"/>
      <c r="U581" s="3"/>
      <c r="W581" s="3"/>
    </row>
    <row r="582" spans="9:23" x14ac:dyDescent="0.35">
      <c r="I582" s="3"/>
      <c r="O582" s="3"/>
      <c r="U582" s="3"/>
      <c r="W582" s="3"/>
    </row>
    <row r="583" spans="9:23" x14ac:dyDescent="0.35">
      <c r="I583" s="3"/>
      <c r="O583" s="3"/>
      <c r="U583" s="3"/>
      <c r="W583" s="3"/>
    </row>
    <row r="584" spans="9:23" x14ac:dyDescent="0.35">
      <c r="I584" s="3"/>
      <c r="O584" s="3"/>
      <c r="U584" s="3"/>
      <c r="W584" s="3"/>
    </row>
    <row r="585" spans="9:23" x14ac:dyDescent="0.35">
      <c r="I585" s="3"/>
      <c r="O585" s="3"/>
      <c r="U585" s="3"/>
      <c r="W585" s="3"/>
    </row>
    <row r="586" spans="9:23" x14ac:dyDescent="0.35">
      <c r="I586" s="3"/>
      <c r="O586" s="3"/>
      <c r="U586" s="3"/>
      <c r="W586" s="3"/>
    </row>
    <row r="587" spans="9:23" x14ac:dyDescent="0.35">
      <c r="I587" s="3"/>
      <c r="O587" s="3"/>
      <c r="U587" s="3"/>
      <c r="W587" s="3"/>
    </row>
    <row r="588" spans="9:23" x14ac:dyDescent="0.35">
      <c r="I588" s="3"/>
      <c r="O588" s="3"/>
      <c r="U588" s="3"/>
      <c r="W588" s="3"/>
    </row>
    <row r="589" spans="9:23" x14ac:dyDescent="0.35">
      <c r="I589" s="3"/>
      <c r="O589" s="3"/>
      <c r="U589" s="3"/>
      <c r="W589" s="3"/>
    </row>
    <row r="590" spans="9:23" x14ac:dyDescent="0.35">
      <c r="I590" s="3"/>
      <c r="O590" s="3"/>
      <c r="U590" s="3"/>
      <c r="W590" s="3"/>
    </row>
    <row r="591" spans="9:23" x14ac:dyDescent="0.35">
      <c r="I591" s="3"/>
      <c r="O591" s="3"/>
      <c r="U591" s="3"/>
      <c r="W591" s="3"/>
    </row>
    <row r="592" spans="9:23" x14ac:dyDescent="0.35">
      <c r="I592" s="3"/>
      <c r="O592" s="3"/>
      <c r="U592" s="3"/>
      <c r="W592" s="3"/>
    </row>
    <row r="593" spans="9:23" x14ac:dyDescent="0.35">
      <c r="I593" s="3"/>
      <c r="O593" s="3"/>
      <c r="U593" s="3"/>
      <c r="W593" s="3"/>
    </row>
    <row r="594" spans="9:23" x14ac:dyDescent="0.35">
      <c r="I594" s="3"/>
      <c r="O594" s="3"/>
      <c r="U594" s="3"/>
      <c r="W594" s="3"/>
    </row>
    <row r="595" spans="9:23" x14ac:dyDescent="0.35">
      <c r="I595" s="3"/>
      <c r="O595" s="3"/>
      <c r="U595" s="3"/>
      <c r="W595" s="3"/>
    </row>
    <row r="596" spans="9:23" x14ac:dyDescent="0.35">
      <c r="I596" s="3"/>
      <c r="O596" s="3"/>
      <c r="U596" s="3"/>
      <c r="W596" s="3"/>
    </row>
    <row r="597" spans="9:23" x14ac:dyDescent="0.35">
      <c r="I597" s="3"/>
      <c r="O597" s="3"/>
      <c r="U597" s="3"/>
      <c r="W597" s="3"/>
    </row>
    <row r="598" spans="9:23" x14ac:dyDescent="0.35">
      <c r="I598" s="3"/>
      <c r="O598" s="3"/>
      <c r="U598" s="3"/>
      <c r="W598" s="3"/>
    </row>
    <row r="599" spans="9:23" x14ac:dyDescent="0.35">
      <c r="I599" s="3"/>
      <c r="O599" s="3"/>
      <c r="U599" s="3"/>
      <c r="W599" s="3"/>
    </row>
    <row r="600" spans="9:23" x14ac:dyDescent="0.35">
      <c r="I600" s="3"/>
      <c r="O600" s="3"/>
      <c r="U600" s="3"/>
      <c r="W600" s="3"/>
    </row>
    <row r="601" spans="9:23" x14ac:dyDescent="0.35">
      <c r="I601" s="3"/>
      <c r="O601" s="3"/>
      <c r="U601" s="3"/>
      <c r="W601" s="3"/>
    </row>
    <row r="602" spans="9:23" x14ac:dyDescent="0.35">
      <c r="I602" s="3"/>
      <c r="O602" s="3"/>
      <c r="U602" s="3"/>
      <c r="W602" s="3"/>
    </row>
    <row r="603" spans="9:23" x14ac:dyDescent="0.35">
      <c r="I603" s="3"/>
      <c r="O603" s="3"/>
      <c r="U603" s="3"/>
      <c r="W603" s="3"/>
    </row>
    <row r="604" spans="9:23" x14ac:dyDescent="0.35">
      <c r="I604" s="3"/>
      <c r="O604" s="3"/>
      <c r="U604" s="3"/>
      <c r="W604" s="3"/>
    </row>
    <row r="605" spans="9:23" x14ac:dyDescent="0.35">
      <c r="I605" s="3"/>
      <c r="O605" s="3"/>
      <c r="U605" s="3"/>
      <c r="W605" s="3"/>
    </row>
    <row r="606" spans="9:23" x14ac:dyDescent="0.35">
      <c r="I606" s="3"/>
      <c r="O606" s="3"/>
      <c r="U606" s="3"/>
      <c r="W606" s="3"/>
    </row>
    <row r="607" spans="9:23" x14ac:dyDescent="0.35">
      <c r="I607" s="3"/>
      <c r="O607" s="3"/>
      <c r="U607" s="3"/>
      <c r="W607" s="3"/>
    </row>
    <row r="608" spans="9:23" x14ac:dyDescent="0.35">
      <c r="I608" s="3"/>
      <c r="O608" s="3"/>
      <c r="U608" s="3"/>
      <c r="W608" s="3"/>
    </row>
    <row r="609" spans="9:23" x14ac:dyDescent="0.35">
      <c r="I609" s="3"/>
      <c r="O609" s="3"/>
      <c r="U609" s="3"/>
      <c r="W609" s="3"/>
    </row>
    <row r="610" spans="9:23" x14ac:dyDescent="0.35">
      <c r="I610" s="3"/>
      <c r="O610" s="3"/>
      <c r="U610" s="3"/>
      <c r="W610" s="3"/>
    </row>
    <row r="611" spans="9:23" x14ac:dyDescent="0.35">
      <c r="I611" s="3"/>
      <c r="O611" s="3"/>
      <c r="U611" s="3"/>
      <c r="W611" s="3"/>
    </row>
    <row r="612" spans="9:23" x14ac:dyDescent="0.35">
      <c r="I612" s="3"/>
      <c r="O612" s="3"/>
      <c r="U612" s="3"/>
      <c r="W612" s="3"/>
    </row>
    <row r="613" spans="9:23" x14ac:dyDescent="0.35">
      <c r="I613" s="3"/>
      <c r="O613" s="3"/>
      <c r="U613" s="3"/>
      <c r="W613" s="3"/>
    </row>
    <row r="614" spans="9:23" x14ac:dyDescent="0.35">
      <c r="I614" s="3"/>
      <c r="O614" s="3"/>
      <c r="U614" s="3"/>
      <c r="W614" s="3"/>
    </row>
    <row r="615" spans="9:23" x14ac:dyDescent="0.35">
      <c r="I615" s="3"/>
      <c r="O615" s="3"/>
      <c r="U615" s="3"/>
      <c r="W615" s="3"/>
    </row>
    <row r="616" spans="9:23" x14ac:dyDescent="0.35">
      <c r="I616" s="3"/>
      <c r="O616" s="3"/>
      <c r="U616" s="3"/>
      <c r="W616" s="3"/>
    </row>
    <row r="617" spans="9:23" x14ac:dyDescent="0.35">
      <c r="I617" s="3"/>
      <c r="O617" s="3"/>
      <c r="U617" s="3"/>
      <c r="W617" s="3"/>
    </row>
    <row r="618" spans="9:23" x14ac:dyDescent="0.35">
      <c r="I618" s="3"/>
      <c r="O618" s="3"/>
      <c r="U618" s="3"/>
      <c r="W618" s="3"/>
    </row>
    <row r="619" spans="9:23" x14ac:dyDescent="0.35">
      <c r="I619" s="3"/>
      <c r="O619" s="3"/>
      <c r="U619" s="3"/>
      <c r="W619" s="3"/>
    </row>
    <row r="620" spans="9:23" x14ac:dyDescent="0.35">
      <c r="I620" s="3"/>
      <c r="O620" s="3"/>
      <c r="U620" s="3"/>
      <c r="W620" s="3"/>
    </row>
    <row r="621" spans="9:23" x14ac:dyDescent="0.35">
      <c r="I621" s="3"/>
      <c r="O621" s="3"/>
      <c r="U621" s="3"/>
      <c r="W621" s="3"/>
    </row>
    <row r="622" spans="9:23" x14ac:dyDescent="0.35">
      <c r="I622" s="3"/>
      <c r="O622" s="3"/>
      <c r="U622" s="3"/>
      <c r="W622" s="3"/>
    </row>
    <row r="623" spans="9:23" x14ac:dyDescent="0.35">
      <c r="I623" s="3"/>
      <c r="O623" s="3"/>
      <c r="U623" s="3"/>
      <c r="W623" s="3"/>
    </row>
    <row r="624" spans="9:23" x14ac:dyDescent="0.35">
      <c r="I624" s="3"/>
      <c r="O624" s="3"/>
      <c r="U624" s="3"/>
      <c r="W624" s="3"/>
    </row>
    <row r="625" spans="9:23" x14ac:dyDescent="0.35">
      <c r="I625" s="3"/>
      <c r="O625" s="3"/>
      <c r="U625" s="3"/>
      <c r="W625" s="3"/>
    </row>
    <row r="626" spans="9:23" x14ac:dyDescent="0.35">
      <c r="I626" s="3"/>
      <c r="O626" s="3"/>
      <c r="U626" s="3"/>
      <c r="W626" s="3"/>
    </row>
    <row r="627" spans="9:23" x14ac:dyDescent="0.35">
      <c r="I627" s="3"/>
      <c r="O627" s="3"/>
      <c r="U627" s="3"/>
      <c r="W627" s="3"/>
    </row>
    <row r="628" spans="9:23" x14ac:dyDescent="0.35">
      <c r="I628" s="3"/>
      <c r="O628" s="3"/>
      <c r="U628" s="3"/>
      <c r="W628" s="3"/>
    </row>
    <row r="629" spans="9:23" x14ac:dyDescent="0.35">
      <c r="I629" s="3"/>
      <c r="O629" s="3"/>
      <c r="U629" s="3"/>
      <c r="W629" s="3"/>
    </row>
    <row r="630" spans="9:23" x14ac:dyDescent="0.35">
      <c r="I630" s="3"/>
      <c r="O630" s="3"/>
      <c r="U630" s="3"/>
      <c r="W630" s="3"/>
    </row>
    <row r="631" spans="9:23" x14ac:dyDescent="0.35">
      <c r="I631" s="3"/>
      <c r="O631" s="3"/>
      <c r="U631" s="3"/>
      <c r="W631" s="3"/>
    </row>
    <row r="632" spans="9:23" x14ac:dyDescent="0.35">
      <c r="I632" s="3"/>
      <c r="O632" s="3"/>
      <c r="U632" s="3"/>
      <c r="W632" s="3"/>
    </row>
    <row r="633" spans="9:23" x14ac:dyDescent="0.35">
      <c r="I633" s="3"/>
      <c r="O633" s="3"/>
      <c r="U633" s="3"/>
      <c r="W633" s="3"/>
    </row>
    <row r="634" spans="9:23" x14ac:dyDescent="0.35">
      <c r="I634" s="3"/>
      <c r="O634" s="3"/>
      <c r="U634" s="3"/>
      <c r="W634" s="3"/>
    </row>
    <row r="635" spans="9:23" x14ac:dyDescent="0.35">
      <c r="I635" s="3"/>
      <c r="O635" s="3"/>
      <c r="U635" s="3"/>
      <c r="W635" s="3"/>
    </row>
    <row r="636" spans="9:23" x14ac:dyDescent="0.35">
      <c r="I636" s="3"/>
      <c r="O636" s="3"/>
      <c r="U636" s="3"/>
      <c r="W636" s="3"/>
    </row>
    <row r="637" spans="9:23" x14ac:dyDescent="0.35">
      <c r="I637" s="3"/>
      <c r="O637" s="3"/>
      <c r="U637" s="3"/>
      <c r="W637" s="3"/>
    </row>
    <row r="638" spans="9:23" x14ac:dyDescent="0.35">
      <c r="I638" s="3"/>
      <c r="O638" s="3"/>
      <c r="U638" s="3"/>
      <c r="W638" s="3"/>
    </row>
    <row r="639" spans="9:23" x14ac:dyDescent="0.35">
      <c r="I639" s="3"/>
      <c r="O639" s="3"/>
      <c r="U639" s="3"/>
      <c r="W639" s="3"/>
    </row>
    <row r="640" spans="9:23" x14ac:dyDescent="0.35">
      <c r="I640" s="3"/>
      <c r="O640" s="3"/>
      <c r="U640" s="3"/>
      <c r="W640" s="3"/>
    </row>
    <row r="641" spans="9:23" x14ac:dyDescent="0.35">
      <c r="I641" s="3"/>
      <c r="O641" s="3"/>
      <c r="U641" s="3"/>
      <c r="W641" s="3"/>
    </row>
    <row r="642" spans="9:23" x14ac:dyDescent="0.35">
      <c r="I642" s="3"/>
      <c r="O642" s="3"/>
      <c r="U642" s="3"/>
      <c r="W642" s="3"/>
    </row>
    <row r="643" spans="9:23" x14ac:dyDescent="0.35">
      <c r="I643" s="3"/>
      <c r="O643" s="3"/>
      <c r="U643" s="3"/>
      <c r="W643" s="3"/>
    </row>
    <row r="644" spans="9:23" x14ac:dyDescent="0.35">
      <c r="I644" s="3"/>
      <c r="O644" s="3"/>
      <c r="U644" s="3"/>
      <c r="W644" s="3"/>
    </row>
    <row r="645" spans="9:23" x14ac:dyDescent="0.35">
      <c r="I645" s="3"/>
      <c r="O645" s="3"/>
      <c r="U645" s="3"/>
      <c r="W645" s="3"/>
    </row>
    <row r="646" spans="9:23" x14ac:dyDescent="0.35">
      <c r="I646" s="3"/>
      <c r="O646" s="3"/>
      <c r="U646" s="3"/>
      <c r="W646" s="3"/>
    </row>
    <row r="647" spans="9:23" x14ac:dyDescent="0.35">
      <c r="I647" s="3"/>
      <c r="O647" s="3"/>
      <c r="U647" s="3"/>
      <c r="W647" s="3"/>
    </row>
    <row r="648" spans="9:23" x14ac:dyDescent="0.35">
      <c r="I648" s="3"/>
      <c r="O648" s="3"/>
      <c r="U648" s="3"/>
      <c r="W648" s="3"/>
    </row>
    <row r="649" spans="9:23" x14ac:dyDescent="0.35">
      <c r="I649" s="3"/>
      <c r="O649" s="3"/>
      <c r="U649" s="3"/>
      <c r="W649" s="3"/>
    </row>
    <row r="650" spans="9:23" x14ac:dyDescent="0.35">
      <c r="I650" s="3"/>
      <c r="O650" s="3"/>
      <c r="U650" s="3"/>
      <c r="W650" s="3"/>
    </row>
    <row r="651" spans="9:23" x14ac:dyDescent="0.35">
      <c r="I651" s="3"/>
      <c r="O651" s="3"/>
      <c r="U651" s="3"/>
      <c r="W651" s="3"/>
    </row>
    <row r="652" spans="9:23" x14ac:dyDescent="0.35">
      <c r="I652" s="3"/>
      <c r="O652" s="3"/>
      <c r="U652" s="3"/>
      <c r="W652" s="3"/>
    </row>
    <row r="653" spans="9:23" x14ac:dyDescent="0.35">
      <c r="I653" s="3"/>
      <c r="O653" s="3"/>
      <c r="U653" s="3"/>
      <c r="W653" s="3"/>
    </row>
    <row r="654" spans="9:23" x14ac:dyDescent="0.35">
      <c r="I654" s="3"/>
      <c r="O654" s="3"/>
      <c r="U654" s="3"/>
      <c r="W654" s="3"/>
    </row>
    <row r="655" spans="9:23" x14ac:dyDescent="0.35">
      <c r="I655" s="3"/>
      <c r="O655" s="3"/>
      <c r="U655" s="3"/>
      <c r="W655" s="3"/>
    </row>
    <row r="656" spans="9:23" x14ac:dyDescent="0.35">
      <c r="I656" s="3"/>
      <c r="O656" s="3"/>
      <c r="U656" s="3"/>
      <c r="W656" s="3"/>
    </row>
    <row r="657" spans="9:23" x14ac:dyDescent="0.35">
      <c r="I657" s="3"/>
      <c r="O657" s="3"/>
      <c r="U657" s="3"/>
      <c r="W657" s="3"/>
    </row>
    <row r="658" spans="9:23" x14ac:dyDescent="0.35">
      <c r="I658" s="3"/>
      <c r="O658" s="3"/>
      <c r="U658" s="3"/>
      <c r="W658" s="3"/>
    </row>
    <row r="659" spans="9:23" x14ac:dyDescent="0.35">
      <c r="I659" s="3"/>
      <c r="O659" s="3"/>
      <c r="U659" s="3"/>
      <c r="W659" s="3"/>
    </row>
    <row r="660" spans="9:23" x14ac:dyDescent="0.35">
      <c r="I660" s="3"/>
      <c r="O660" s="3"/>
      <c r="U660" s="3"/>
      <c r="W660" s="3"/>
    </row>
    <row r="661" spans="9:23" x14ac:dyDescent="0.35">
      <c r="I661" s="3"/>
      <c r="O661" s="3"/>
      <c r="U661" s="3"/>
      <c r="W661" s="3"/>
    </row>
    <row r="662" spans="9:23" x14ac:dyDescent="0.35">
      <c r="I662" s="3"/>
      <c r="O662" s="3"/>
      <c r="U662" s="3"/>
      <c r="W662" s="3"/>
    </row>
    <row r="663" spans="9:23" x14ac:dyDescent="0.35">
      <c r="I663" s="3"/>
      <c r="O663" s="3"/>
      <c r="U663" s="3"/>
      <c r="W663" s="3"/>
    </row>
    <row r="664" spans="9:23" x14ac:dyDescent="0.35">
      <c r="I664" s="3"/>
      <c r="O664" s="3"/>
      <c r="U664" s="3"/>
      <c r="W664" s="3"/>
    </row>
    <row r="665" spans="9:23" x14ac:dyDescent="0.35">
      <c r="I665" s="3"/>
      <c r="O665" s="3"/>
      <c r="U665" s="3"/>
      <c r="W665" s="3"/>
    </row>
    <row r="666" spans="9:23" x14ac:dyDescent="0.35">
      <c r="I666" s="3"/>
      <c r="O666" s="3"/>
      <c r="U666" s="3"/>
      <c r="W666" s="3"/>
    </row>
    <row r="667" spans="9:23" x14ac:dyDescent="0.35">
      <c r="I667" s="3"/>
      <c r="O667" s="3"/>
      <c r="U667" s="3"/>
      <c r="W667" s="3"/>
    </row>
    <row r="668" spans="9:23" x14ac:dyDescent="0.35">
      <c r="I668" s="3"/>
      <c r="O668" s="3"/>
      <c r="U668" s="3"/>
      <c r="W668" s="3"/>
    </row>
    <row r="669" spans="9:23" x14ac:dyDescent="0.35">
      <c r="I669" s="3"/>
      <c r="O669" s="3"/>
      <c r="U669" s="3"/>
      <c r="W669" s="3"/>
    </row>
    <row r="670" spans="9:23" x14ac:dyDescent="0.35">
      <c r="I670" s="3"/>
      <c r="O670" s="3"/>
      <c r="U670" s="3"/>
      <c r="W670" s="3"/>
    </row>
    <row r="671" spans="9:23" x14ac:dyDescent="0.35">
      <c r="I671" s="3"/>
      <c r="O671" s="3"/>
      <c r="U671" s="3"/>
      <c r="W671" s="3"/>
    </row>
    <row r="672" spans="9:23" x14ac:dyDescent="0.35">
      <c r="I672" s="3"/>
      <c r="O672" s="3"/>
      <c r="U672" s="3"/>
      <c r="W672" s="3"/>
    </row>
    <row r="673" spans="9:23" x14ac:dyDescent="0.35">
      <c r="I673" s="3"/>
      <c r="O673" s="3"/>
      <c r="U673" s="3"/>
      <c r="W673" s="3"/>
    </row>
    <row r="674" spans="9:23" x14ac:dyDescent="0.35">
      <c r="I674" s="3"/>
      <c r="O674" s="3"/>
      <c r="U674" s="3"/>
      <c r="W674" s="3"/>
    </row>
    <row r="675" spans="9:23" x14ac:dyDescent="0.35">
      <c r="I675" s="3"/>
      <c r="O675" s="3"/>
      <c r="U675" s="3"/>
      <c r="W675" s="3"/>
    </row>
    <row r="676" spans="9:23" x14ac:dyDescent="0.35">
      <c r="I676" s="3"/>
      <c r="O676" s="3"/>
      <c r="U676" s="3"/>
      <c r="W676" s="3"/>
    </row>
    <row r="677" spans="9:23" x14ac:dyDescent="0.35">
      <c r="I677" s="3"/>
      <c r="O677" s="3"/>
      <c r="U677" s="3"/>
      <c r="W677" s="3"/>
    </row>
    <row r="678" spans="9:23" x14ac:dyDescent="0.35">
      <c r="I678" s="3"/>
      <c r="O678" s="3"/>
      <c r="U678" s="3"/>
      <c r="W678" s="3"/>
    </row>
    <row r="679" spans="9:23" x14ac:dyDescent="0.35">
      <c r="I679" s="3"/>
      <c r="O679" s="3"/>
      <c r="U679" s="3"/>
      <c r="W679" s="3"/>
    </row>
    <row r="680" spans="9:23" x14ac:dyDescent="0.35">
      <c r="I680" s="3"/>
      <c r="O680" s="3"/>
      <c r="U680" s="3"/>
      <c r="W680" s="3"/>
    </row>
    <row r="681" spans="9:23" x14ac:dyDescent="0.35">
      <c r="I681" s="3"/>
      <c r="O681" s="3"/>
      <c r="U681" s="3"/>
      <c r="W681" s="3"/>
    </row>
    <row r="682" spans="9:23" x14ac:dyDescent="0.35">
      <c r="I682" s="3"/>
      <c r="O682" s="3"/>
      <c r="U682" s="3"/>
      <c r="W682" s="3"/>
    </row>
    <row r="683" spans="9:23" x14ac:dyDescent="0.35">
      <c r="I683" s="3"/>
      <c r="O683" s="3"/>
      <c r="U683" s="3"/>
      <c r="W683" s="3"/>
    </row>
    <row r="684" spans="9:23" x14ac:dyDescent="0.35">
      <c r="I684" s="3"/>
      <c r="O684" s="3"/>
      <c r="U684" s="3"/>
      <c r="W684" s="3"/>
    </row>
    <row r="685" spans="9:23" x14ac:dyDescent="0.35">
      <c r="I685" s="3"/>
      <c r="O685" s="3"/>
      <c r="U685" s="3"/>
      <c r="W685" s="3"/>
    </row>
    <row r="686" spans="9:23" x14ac:dyDescent="0.35">
      <c r="I686" s="3"/>
      <c r="O686" s="3"/>
      <c r="U686" s="3"/>
      <c r="W686" s="3"/>
    </row>
    <row r="687" spans="9:23" x14ac:dyDescent="0.35">
      <c r="I687" s="3"/>
      <c r="O687" s="3"/>
      <c r="U687" s="3"/>
      <c r="W687" s="3"/>
    </row>
    <row r="688" spans="9:23" x14ac:dyDescent="0.35">
      <c r="I688" s="3"/>
      <c r="O688" s="3"/>
      <c r="U688" s="3"/>
      <c r="W688" s="3"/>
    </row>
    <row r="689" spans="9:23" x14ac:dyDescent="0.35">
      <c r="I689" s="3"/>
      <c r="O689" s="3"/>
      <c r="U689" s="3"/>
      <c r="W689" s="3"/>
    </row>
    <row r="690" spans="9:23" x14ac:dyDescent="0.35">
      <c r="I690" s="3"/>
      <c r="O690" s="3"/>
      <c r="U690" s="3"/>
      <c r="W690" s="3"/>
    </row>
    <row r="691" spans="9:23" x14ac:dyDescent="0.35">
      <c r="I691" s="3"/>
      <c r="O691" s="3"/>
      <c r="U691" s="3"/>
      <c r="W691" s="3"/>
    </row>
    <row r="692" spans="9:23" x14ac:dyDescent="0.35">
      <c r="I692" s="3"/>
      <c r="O692" s="3"/>
      <c r="U692" s="3"/>
      <c r="W692" s="3"/>
    </row>
    <row r="693" spans="9:23" x14ac:dyDescent="0.35">
      <c r="I693" s="3"/>
      <c r="O693" s="3"/>
      <c r="U693" s="3"/>
      <c r="W693" s="3"/>
    </row>
    <row r="694" spans="9:23" x14ac:dyDescent="0.35">
      <c r="I694" s="3"/>
      <c r="O694" s="3"/>
      <c r="U694" s="3"/>
      <c r="W694" s="3"/>
    </row>
    <row r="695" spans="9:23" x14ac:dyDescent="0.35">
      <c r="I695" s="3"/>
      <c r="O695" s="3"/>
      <c r="U695" s="3"/>
      <c r="W695" s="3"/>
    </row>
    <row r="696" spans="9:23" x14ac:dyDescent="0.35">
      <c r="I696" s="3"/>
      <c r="O696" s="3"/>
      <c r="U696" s="3"/>
      <c r="W696" s="3"/>
    </row>
    <row r="697" spans="9:23" x14ac:dyDescent="0.35">
      <c r="I697" s="3"/>
      <c r="O697" s="3"/>
      <c r="U697" s="3"/>
      <c r="W697" s="3"/>
    </row>
    <row r="698" spans="9:23" x14ac:dyDescent="0.35">
      <c r="I698" s="3"/>
      <c r="O698" s="3"/>
      <c r="U698" s="3"/>
      <c r="W698" s="3"/>
    </row>
    <row r="699" spans="9:23" x14ac:dyDescent="0.35">
      <c r="I699" s="3"/>
      <c r="O699" s="3"/>
      <c r="U699" s="3"/>
      <c r="W699" s="3"/>
    </row>
    <row r="700" spans="9:23" x14ac:dyDescent="0.35">
      <c r="I700" s="3"/>
      <c r="O700" s="3"/>
      <c r="U700" s="3"/>
      <c r="W700" s="3"/>
    </row>
    <row r="701" spans="9:23" x14ac:dyDescent="0.35">
      <c r="I701" s="3"/>
      <c r="O701" s="3"/>
      <c r="U701" s="3"/>
      <c r="W701" s="3"/>
    </row>
    <row r="702" spans="9:23" x14ac:dyDescent="0.35">
      <c r="I702" s="3"/>
      <c r="O702" s="3"/>
      <c r="U702" s="3"/>
      <c r="W702" s="3"/>
    </row>
    <row r="703" spans="9:23" x14ac:dyDescent="0.35">
      <c r="I703" s="3"/>
      <c r="O703" s="3"/>
      <c r="U703" s="3"/>
      <c r="W703" s="3"/>
    </row>
    <row r="704" spans="9:23" x14ac:dyDescent="0.35">
      <c r="I704" s="3"/>
      <c r="O704" s="3"/>
      <c r="U704" s="3"/>
      <c r="W704" s="3"/>
    </row>
    <row r="705" spans="9:23" x14ac:dyDescent="0.35">
      <c r="I705" s="3"/>
      <c r="O705" s="3"/>
      <c r="U705" s="3"/>
      <c r="W705" s="3"/>
    </row>
    <row r="706" spans="9:23" x14ac:dyDescent="0.35">
      <c r="I706" s="3"/>
      <c r="O706" s="3"/>
      <c r="U706" s="3"/>
      <c r="W706" s="3"/>
    </row>
    <row r="707" spans="9:23" x14ac:dyDescent="0.35">
      <c r="I707" s="3"/>
      <c r="O707" s="3"/>
      <c r="U707" s="3"/>
      <c r="W707" s="3"/>
    </row>
    <row r="708" spans="9:23" x14ac:dyDescent="0.35">
      <c r="I708" s="3"/>
      <c r="O708" s="3"/>
      <c r="U708" s="3"/>
      <c r="W708" s="3"/>
    </row>
    <row r="709" spans="9:23" x14ac:dyDescent="0.35">
      <c r="I709" s="3"/>
      <c r="O709" s="3"/>
      <c r="U709" s="3"/>
      <c r="W709" s="3"/>
    </row>
    <row r="710" spans="9:23" x14ac:dyDescent="0.35">
      <c r="I710" s="3"/>
      <c r="O710" s="3"/>
      <c r="U710" s="3"/>
      <c r="W710" s="3"/>
    </row>
    <row r="711" spans="9:23" x14ac:dyDescent="0.35">
      <c r="I711" s="3"/>
      <c r="O711" s="3"/>
      <c r="U711" s="3"/>
      <c r="W711" s="3"/>
    </row>
    <row r="712" spans="9:23" x14ac:dyDescent="0.35">
      <c r="I712" s="3"/>
      <c r="O712" s="3"/>
      <c r="U712" s="3"/>
      <c r="W712" s="3"/>
    </row>
    <row r="713" spans="9:23" x14ac:dyDescent="0.35">
      <c r="I713" s="3"/>
      <c r="O713" s="3"/>
      <c r="U713" s="3"/>
      <c r="W713" s="3"/>
    </row>
    <row r="714" spans="9:23" x14ac:dyDescent="0.35">
      <c r="I714" s="3"/>
      <c r="O714" s="3"/>
      <c r="U714" s="3"/>
      <c r="W714" s="3"/>
    </row>
    <row r="715" spans="9:23" x14ac:dyDescent="0.35">
      <c r="I715" s="3"/>
      <c r="O715" s="3"/>
      <c r="U715" s="3"/>
      <c r="W715" s="3"/>
    </row>
    <row r="716" spans="9:23" x14ac:dyDescent="0.35">
      <c r="I716" s="3"/>
      <c r="O716" s="3"/>
      <c r="U716" s="3"/>
      <c r="W716" s="3"/>
    </row>
    <row r="717" spans="9:23" x14ac:dyDescent="0.35">
      <c r="I717" s="3"/>
      <c r="O717" s="3"/>
      <c r="U717" s="3"/>
      <c r="W717" s="3"/>
    </row>
    <row r="718" spans="9:23" x14ac:dyDescent="0.35">
      <c r="I718" s="3"/>
      <c r="O718" s="3"/>
      <c r="U718" s="3"/>
      <c r="W718" s="3"/>
    </row>
    <row r="719" spans="9:23" x14ac:dyDescent="0.35">
      <c r="I719" s="3"/>
      <c r="O719" s="3"/>
      <c r="U719" s="3"/>
      <c r="W719" s="3"/>
    </row>
    <row r="720" spans="9:23" x14ac:dyDescent="0.35">
      <c r="I720" s="3"/>
      <c r="O720" s="3"/>
      <c r="U720" s="3"/>
      <c r="W720" s="3"/>
    </row>
    <row r="721" spans="9:23" x14ac:dyDescent="0.35">
      <c r="I721" s="3"/>
      <c r="O721" s="3"/>
      <c r="U721" s="3"/>
      <c r="W721" s="3"/>
    </row>
    <row r="722" spans="9:23" x14ac:dyDescent="0.35">
      <c r="I722" s="3"/>
      <c r="O722" s="3"/>
      <c r="U722" s="3"/>
      <c r="W722" s="3"/>
    </row>
    <row r="723" spans="9:23" x14ac:dyDescent="0.35">
      <c r="I723" s="3"/>
      <c r="O723" s="3"/>
      <c r="U723" s="3"/>
      <c r="W723" s="3"/>
    </row>
    <row r="724" spans="9:23" x14ac:dyDescent="0.35">
      <c r="I724" s="3"/>
      <c r="O724" s="3"/>
      <c r="U724" s="3"/>
      <c r="W724" s="3"/>
    </row>
    <row r="725" spans="9:23" x14ac:dyDescent="0.35">
      <c r="I725" s="3"/>
      <c r="O725" s="3"/>
      <c r="U725" s="3"/>
      <c r="W725" s="3"/>
    </row>
    <row r="726" spans="9:23" x14ac:dyDescent="0.35">
      <c r="I726" s="3"/>
      <c r="O726" s="3"/>
      <c r="U726" s="3"/>
      <c r="W726" s="3"/>
    </row>
    <row r="727" spans="9:23" x14ac:dyDescent="0.35">
      <c r="I727" s="3"/>
      <c r="O727" s="3"/>
      <c r="U727" s="3"/>
      <c r="W727" s="3"/>
    </row>
    <row r="728" spans="9:23" x14ac:dyDescent="0.35">
      <c r="I728" s="3"/>
      <c r="O728" s="3"/>
      <c r="U728" s="3"/>
      <c r="W728" s="3"/>
    </row>
    <row r="729" spans="9:23" x14ac:dyDescent="0.35">
      <c r="I729" s="3"/>
      <c r="O729" s="3"/>
      <c r="U729" s="3"/>
      <c r="W729" s="3"/>
    </row>
    <row r="730" spans="9:23" x14ac:dyDescent="0.35">
      <c r="I730" s="3"/>
      <c r="O730" s="3"/>
      <c r="U730" s="3"/>
      <c r="W730" s="3"/>
    </row>
    <row r="731" spans="9:23" x14ac:dyDescent="0.35">
      <c r="I731" s="3"/>
      <c r="O731" s="3"/>
      <c r="U731" s="3"/>
      <c r="W731" s="3"/>
    </row>
    <row r="732" spans="9:23" x14ac:dyDescent="0.35">
      <c r="I732" s="3"/>
      <c r="O732" s="3"/>
      <c r="U732" s="3"/>
      <c r="W732" s="3"/>
    </row>
    <row r="733" spans="9:23" x14ac:dyDescent="0.35">
      <c r="I733" s="3"/>
      <c r="O733" s="3"/>
      <c r="U733" s="3"/>
      <c r="W733" s="3"/>
    </row>
    <row r="734" spans="9:23" x14ac:dyDescent="0.35">
      <c r="I734" s="3"/>
      <c r="O734" s="3"/>
      <c r="U734" s="3"/>
      <c r="W734" s="3"/>
    </row>
    <row r="735" spans="9:23" x14ac:dyDescent="0.35">
      <c r="I735" s="3"/>
      <c r="O735" s="3"/>
      <c r="U735" s="3"/>
      <c r="W735" s="3"/>
    </row>
    <row r="736" spans="9:23" x14ac:dyDescent="0.35">
      <c r="I736" s="3"/>
      <c r="O736" s="3"/>
      <c r="U736" s="3"/>
      <c r="W736" s="3"/>
    </row>
    <row r="737" spans="9:23" x14ac:dyDescent="0.35">
      <c r="I737" s="3"/>
      <c r="O737" s="3"/>
      <c r="U737" s="3"/>
      <c r="W737" s="3"/>
    </row>
    <row r="738" spans="9:23" x14ac:dyDescent="0.35">
      <c r="I738" s="3"/>
      <c r="O738" s="3"/>
      <c r="U738" s="3"/>
      <c r="W738" s="3"/>
    </row>
    <row r="739" spans="9:23" x14ac:dyDescent="0.35">
      <c r="I739" s="3"/>
      <c r="O739" s="3"/>
      <c r="U739" s="3"/>
      <c r="W739" s="3"/>
    </row>
    <row r="740" spans="9:23" x14ac:dyDescent="0.35">
      <c r="I740" s="3"/>
      <c r="O740" s="3"/>
      <c r="U740" s="3"/>
      <c r="W740" s="3"/>
    </row>
    <row r="741" spans="9:23" x14ac:dyDescent="0.35">
      <c r="I741" s="3"/>
      <c r="O741" s="3"/>
      <c r="U741" s="3"/>
      <c r="W741" s="3"/>
    </row>
    <row r="742" spans="9:23" x14ac:dyDescent="0.35">
      <c r="I742" s="3"/>
      <c r="O742" s="3"/>
      <c r="U742" s="3"/>
      <c r="W742" s="3"/>
    </row>
    <row r="743" spans="9:23" x14ac:dyDescent="0.35">
      <c r="I743" s="3"/>
      <c r="O743" s="3"/>
      <c r="U743" s="3"/>
      <c r="W743" s="3"/>
    </row>
    <row r="744" spans="9:23" x14ac:dyDescent="0.35">
      <c r="I744" s="3"/>
      <c r="O744" s="3"/>
      <c r="U744" s="3"/>
      <c r="W744" s="3"/>
    </row>
    <row r="745" spans="9:23" x14ac:dyDescent="0.35">
      <c r="I745" s="3"/>
      <c r="O745" s="3"/>
      <c r="U745" s="3"/>
      <c r="W745" s="3"/>
    </row>
    <row r="746" spans="9:23" x14ac:dyDescent="0.35">
      <c r="I746" s="3"/>
      <c r="O746" s="3"/>
      <c r="U746" s="3"/>
      <c r="W746" s="3"/>
    </row>
    <row r="747" spans="9:23" x14ac:dyDescent="0.35">
      <c r="I747" s="3"/>
      <c r="O747" s="3"/>
      <c r="U747" s="3"/>
      <c r="W747" s="3"/>
    </row>
    <row r="748" spans="9:23" x14ac:dyDescent="0.35">
      <c r="I748" s="3"/>
      <c r="O748" s="3"/>
      <c r="U748" s="3"/>
      <c r="W748" s="3"/>
    </row>
    <row r="749" spans="9:23" x14ac:dyDescent="0.35">
      <c r="I749" s="3"/>
      <c r="O749" s="3"/>
      <c r="U749" s="3"/>
      <c r="W749" s="3"/>
    </row>
    <row r="750" spans="9:23" x14ac:dyDescent="0.35">
      <c r="I750" s="3"/>
      <c r="O750" s="3"/>
      <c r="U750" s="3"/>
      <c r="W750" s="3"/>
    </row>
    <row r="751" spans="9:23" x14ac:dyDescent="0.35">
      <c r="I751" s="3"/>
      <c r="O751" s="3"/>
      <c r="U751" s="3"/>
      <c r="W751" s="3"/>
    </row>
    <row r="752" spans="9:23" x14ac:dyDescent="0.35">
      <c r="I752" s="3"/>
      <c r="O752" s="3"/>
      <c r="U752" s="3"/>
      <c r="W752" s="3"/>
    </row>
    <row r="753" spans="9:23" x14ac:dyDescent="0.35">
      <c r="I753" s="3"/>
      <c r="O753" s="3"/>
      <c r="U753" s="3"/>
      <c r="W753" s="3"/>
    </row>
    <row r="754" spans="9:23" x14ac:dyDescent="0.35">
      <c r="I754" s="3"/>
      <c r="O754" s="3"/>
      <c r="U754" s="3"/>
      <c r="W754" s="3"/>
    </row>
    <row r="755" spans="9:23" x14ac:dyDescent="0.35">
      <c r="I755" s="3"/>
      <c r="O755" s="3"/>
      <c r="U755" s="3"/>
      <c r="W755" s="3"/>
    </row>
    <row r="756" spans="9:23" x14ac:dyDescent="0.35">
      <c r="I756" s="3"/>
      <c r="O756" s="3"/>
      <c r="U756" s="3"/>
      <c r="W756" s="3"/>
    </row>
    <row r="757" spans="9:23" x14ac:dyDescent="0.35">
      <c r="I757" s="3"/>
      <c r="O757" s="3"/>
      <c r="U757" s="3"/>
      <c r="W757" s="3"/>
    </row>
    <row r="758" spans="9:23" x14ac:dyDescent="0.35">
      <c r="I758" s="3"/>
      <c r="O758" s="3"/>
      <c r="U758" s="3"/>
      <c r="W758" s="3"/>
    </row>
    <row r="759" spans="9:23" x14ac:dyDescent="0.35">
      <c r="I759" s="3"/>
      <c r="O759" s="3"/>
      <c r="U759" s="3"/>
      <c r="W759" s="3"/>
    </row>
    <row r="760" spans="9:23" x14ac:dyDescent="0.35">
      <c r="I760" s="3"/>
      <c r="O760" s="3"/>
      <c r="U760" s="3"/>
      <c r="W760" s="3"/>
    </row>
    <row r="761" spans="9:23" x14ac:dyDescent="0.35">
      <c r="I761" s="3"/>
      <c r="O761" s="3"/>
      <c r="U761" s="3"/>
      <c r="W761" s="3"/>
    </row>
    <row r="762" spans="9:23" x14ac:dyDescent="0.35">
      <c r="I762" s="3"/>
      <c r="O762" s="3"/>
      <c r="U762" s="3"/>
      <c r="W762" s="3"/>
    </row>
    <row r="763" spans="9:23" x14ac:dyDescent="0.35">
      <c r="I763" s="3"/>
      <c r="O763" s="3"/>
      <c r="U763" s="3"/>
      <c r="W763" s="3"/>
    </row>
    <row r="764" spans="9:23" x14ac:dyDescent="0.35">
      <c r="I764" s="3"/>
      <c r="O764" s="3"/>
      <c r="U764" s="3"/>
      <c r="W764" s="3"/>
    </row>
    <row r="765" spans="9:23" x14ac:dyDescent="0.35">
      <c r="I765" s="3"/>
      <c r="O765" s="3"/>
      <c r="U765" s="3"/>
      <c r="W765" s="3"/>
    </row>
    <row r="766" spans="9:23" x14ac:dyDescent="0.35">
      <c r="I766" s="3"/>
      <c r="O766" s="3"/>
      <c r="U766" s="3"/>
      <c r="W766" s="3"/>
    </row>
    <row r="767" spans="9:23" x14ac:dyDescent="0.35">
      <c r="I767" s="3"/>
      <c r="O767" s="3"/>
      <c r="U767" s="3"/>
      <c r="W767" s="3"/>
    </row>
    <row r="768" spans="9:23" x14ac:dyDescent="0.35">
      <c r="I768" s="3"/>
      <c r="O768" s="3"/>
      <c r="U768" s="3"/>
      <c r="W768" s="3"/>
    </row>
    <row r="769" spans="9:23" x14ac:dyDescent="0.35">
      <c r="I769" s="3"/>
      <c r="O769" s="3"/>
      <c r="U769" s="3"/>
      <c r="W769" s="3"/>
    </row>
    <row r="770" spans="9:23" x14ac:dyDescent="0.35">
      <c r="I770" s="3"/>
      <c r="O770" s="3"/>
      <c r="U770" s="3"/>
      <c r="W770" s="3"/>
    </row>
    <row r="771" spans="9:23" x14ac:dyDescent="0.35">
      <c r="I771" s="3"/>
      <c r="O771" s="3"/>
      <c r="U771" s="3"/>
      <c r="W771" s="3"/>
    </row>
    <row r="772" spans="9:23" x14ac:dyDescent="0.35">
      <c r="I772" s="3"/>
      <c r="O772" s="3"/>
      <c r="U772" s="3"/>
      <c r="W772" s="3"/>
    </row>
    <row r="773" spans="9:23" x14ac:dyDescent="0.35">
      <c r="I773" s="3"/>
      <c r="O773" s="3"/>
      <c r="U773" s="3"/>
      <c r="W773" s="3"/>
    </row>
    <row r="774" spans="9:23" x14ac:dyDescent="0.35">
      <c r="I774" s="3"/>
      <c r="O774" s="3"/>
      <c r="U774" s="3"/>
      <c r="W774" s="3"/>
    </row>
    <row r="775" spans="9:23" x14ac:dyDescent="0.35">
      <c r="I775" s="3"/>
      <c r="O775" s="3"/>
      <c r="U775" s="3"/>
      <c r="W775" s="3"/>
    </row>
    <row r="776" spans="9:23" x14ac:dyDescent="0.35">
      <c r="I776" s="3"/>
      <c r="O776" s="3"/>
      <c r="U776" s="3"/>
      <c r="W776" s="3"/>
    </row>
    <row r="777" spans="9:23" x14ac:dyDescent="0.35">
      <c r="I777" s="3"/>
      <c r="O777" s="3"/>
      <c r="U777" s="3"/>
      <c r="W777" s="3"/>
    </row>
    <row r="778" spans="9:23" x14ac:dyDescent="0.35">
      <c r="I778" s="3"/>
      <c r="O778" s="3"/>
      <c r="U778" s="3"/>
      <c r="W778" s="3"/>
    </row>
    <row r="779" spans="9:23" x14ac:dyDescent="0.35">
      <c r="I779" s="3"/>
      <c r="O779" s="3"/>
      <c r="U779" s="3"/>
      <c r="W779" s="3"/>
    </row>
    <row r="780" spans="9:23" x14ac:dyDescent="0.35">
      <c r="I780" s="3"/>
      <c r="O780" s="3"/>
      <c r="U780" s="3"/>
      <c r="W780" s="3"/>
    </row>
    <row r="781" spans="9:23" x14ac:dyDescent="0.35">
      <c r="I781" s="3"/>
      <c r="O781" s="3"/>
      <c r="U781" s="3"/>
      <c r="W781" s="3"/>
    </row>
    <row r="782" spans="9:23" x14ac:dyDescent="0.35">
      <c r="I782" s="3"/>
      <c r="O782" s="3"/>
      <c r="U782" s="3"/>
      <c r="W782" s="3"/>
    </row>
    <row r="783" spans="9:23" x14ac:dyDescent="0.35">
      <c r="I783" s="3"/>
      <c r="O783" s="3"/>
      <c r="U783" s="3"/>
      <c r="W783" s="3"/>
    </row>
    <row r="784" spans="9:23" x14ac:dyDescent="0.35">
      <c r="I784" s="3"/>
      <c r="O784" s="3"/>
      <c r="U784" s="3"/>
      <c r="W784" s="3"/>
    </row>
    <row r="785" spans="9:23" x14ac:dyDescent="0.35">
      <c r="I785" s="3"/>
      <c r="O785" s="3"/>
      <c r="U785" s="3"/>
      <c r="W785" s="3"/>
    </row>
    <row r="786" spans="9:23" x14ac:dyDescent="0.35">
      <c r="I786" s="3"/>
      <c r="O786" s="3"/>
      <c r="U786" s="3"/>
      <c r="W786" s="3"/>
    </row>
    <row r="787" spans="9:23" x14ac:dyDescent="0.35">
      <c r="I787" s="3"/>
      <c r="O787" s="3"/>
      <c r="U787" s="3"/>
      <c r="W787" s="3"/>
    </row>
    <row r="788" spans="9:23" x14ac:dyDescent="0.35">
      <c r="I788" s="3"/>
      <c r="O788" s="3"/>
      <c r="U788" s="3"/>
      <c r="W788" s="3"/>
    </row>
    <row r="789" spans="9:23" x14ac:dyDescent="0.35">
      <c r="I789" s="3"/>
      <c r="O789" s="3"/>
      <c r="U789" s="3"/>
      <c r="W789" s="3"/>
    </row>
    <row r="790" spans="9:23" x14ac:dyDescent="0.35">
      <c r="I790" s="3"/>
      <c r="O790" s="3"/>
      <c r="U790" s="3"/>
      <c r="W790" s="3"/>
    </row>
    <row r="791" spans="9:23" x14ac:dyDescent="0.35">
      <c r="I791" s="3"/>
      <c r="O791" s="3"/>
      <c r="U791" s="3"/>
      <c r="W791" s="3"/>
    </row>
    <row r="792" spans="9:23" x14ac:dyDescent="0.35">
      <c r="I792" s="3"/>
      <c r="O792" s="3"/>
      <c r="U792" s="3"/>
      <c r="W792" s="3"/>
    </row>
    <row r="793" spans="9:23" x14ac:dyDescent="0.35">
      <c r="I793" s="3"/>
      <c r="O793" s="3"/>
      <c r="U793" s="3"/>
      <c r="W793" s="3"/>
    </row>
    <row r="794" spans="9:23" x14ac:dyDescent="0.35">
      <c r="I794" s="3"/>
      <c r="O794" s="3"/>
      <c r="U794" s="3"/>
      <c r="W794" s="3"/>
    </row>
    <row r="795" spans="9:23" x14ac:dyDescent="0.35">
      <c r="I795" s="3"/>
      <c r="O795" s="3"/>
      <c r="U795" s="3"/>
      <c r="W795" s="3"/>
    </row>
    <row r="796" spans="9:23" x14ac:dyDescent="0.35">
      <c r="I796" s="3"/>
      <c r="O796" s="3"/>
      <c r="U796" s="3"/>
      <c r="W796" s="3"/>
    </row>
    <row r="797" spans="9:23" x14ac:dyDescent="0.35">
      <c r="I797" s="3"/>
      <c r="O797" s="3"/>
      <c r="U797" s="3"/>
      <c r="W797" s="3"/>
    </row>
    <row r="798" spans="9:23" x14ac:dyDescent="0.35">
      <c r="I798" s="3"/>
      <c r="O798" s="3"/>
      <c r="U798" s="3"/>
      <c r="W798" s="3"/>
    </row>
    <row r="799" spans="9:23" x14ac:dyDescent="0.35">
      <c r="I799" s="3"/>
      <c r="O799" s="3"/>
      <c r="U799" s="3"/>
      <c r="W799" s="3"/>
    </row>
    <row r="800" spans="9:23" x14ac:dyDescent="0.35">
      <c r="I800" s="3"/>
      <c r="O800" s="3"/>
      <c r="U800" s="3"/>
      <c r="W800" s="3"/>
    </row>
    <row r="801" spans="9:23" x14ac:dyDescent="0.35">
      <c r="I801" s="3"/>
      <c r="O801" s="3"/>
      <c r="U801" s="3"/>
      <c r="W801" s="3"/>
    </row>
    <row r="802" spans="9:23" x14ac:dyDescent="0.35">
      <c r="I802" s="3"/>
      <c r="O802" s="3"/>
      <c r="U802" s="3"/>
      <c r="W802" s="3"/>
    </row>
    <row r="803" spans="9:23" x14ac:dyDescent="0.35">
      <c r="I803" s="3"/>
      <c r="O803" s="3"/>
      <c r="U803" s="3"/>
      <c r="W803" s="3"/>
    </row>
    <row r="804" spans="9:23" x14ac:dyDescent="0.35">
      <c r="I804" s="3"/>
      <c r="O804" s="3"/>
      <c r="U804" s="3"/>
      <c r="W804" s="3"/>
    </row>
    <row r="805" spans="9:23" x14ac:dyDescent="0.35">
      <c r="I805" s="3"/>
      <c r="O805" s="3"/>
      <c r="U805" s="3"/>
      <c r="W805" s="3"/>
    </row>
    <row r="806" spans="9:23" x14ac:dyDescent="0.35">
      <c r="I806" s="3"/>
      <c r="O806" s="3"/>
      <c r="U806" s="3"/>
      <c r="W806" s="3"/>
    </row>
    <row r="807" spans="9:23" x14ac:dyDescent="0.35">
      <c r="I807" s="3"/>
      <c r="O807" s="3"/>
      <c r="U807" s="3"/>
      <c r="W807" s="3"/>
    </row>
    <row r="808" spans="9:23" x14ac:dyDescent="0.35">
      <c r="I808" s="3"/>
      <c r="O808" s="3"/>
      <c r="U808" s="3"/>
      <c r="W808" s="3"/>
    </row>
    <row r="809" spans="9:23" x14ac:dyDescent="0.35">
      <c r="I809" s="3"/>
      <c r="O809" s="3"/>
      <c r="U809" s="3"/>
      <c r="W809" s="3"/>
    </row>
    <row r="810" spans="9:23" x14ac:dyDescent="0.35">
      <c r="I810" s="3"/>
      <c r="O810" s="3"/>
      <c r="U810" s="3"/>
      <c r="W810" s="3"/>
    </row>
    <row r="811" spans="9:23" x14ac:dyDescent="0.35">
      <c r="I811" s="3"/>
      <c r="O811" s="3"/>
      <c r="U811" s="3"/>
      <c r="W811" s="3"/>
    </row>
    <row r="812" spans="9:23" x14ac:dyDescent="0.35">
      <c r="I812" s="3"/>
      <c r="O812" s="3"/>
      <c r="U812" s="3"/>
      <c r="W812" s="3"/>
    </row>
    <row r="813" spans="9:23" x14ac:dyDescent="0.35">
      <c r="I813" s="3"/>
      <c r="O813" s="3"/>
      <c r="U813" s="3"/>
      <c r="W813" s="3"/>
    </row>
    <row r="814" spans="9:23" x14ac:dyDescent="0.35">
      <c r="I814" s="3"/>
      <c r="O814" s="3"/>
      <c r="U814" s="3"/>
      <c r="W814" s="3"/>
    </row>
    <row r="815" spans="9:23" x14ac:dyDescent="0.35">
      <c r="I815" s="3"/>
      <c r="O815" s="3"/>
      <c r="U815" s="3"/>
      <c r="W815" s="3"/>
    </row>
    <row r="816" spans="9:23" x14ac:dyDescent="0.35">
      <c r="I816" s="3"/>
      <c r="O816" s="3"/>
      <c r="U816" s="3"/>
      <c r="W816" s="3"/>
    </row>
    <row r="817" spans="9:23" x14ac:dyDescent="0.35">
      <c r="I817" s="3"/>
      <c r="O817" s="3"/>
      <c r="U817" s="3"/>
      <c r="W817" s="3"/>
    </row>
    <row r="818" spans="9:23" x14ac:dyDescent="0.35">
      <c r="I818" s="3"/>
      <c r="O818" s="3"/>
      <c r="U818" s="3"/>
      <c r="W818" s="3"/>
    </row>
    <row r="819" spans="9:23" x14ac:dyDescent="0.35">
      <c r="I819" s="3"/>
      <c r="O819" s="3"/>
      <c r="U819" s="3"/>
      <c r="W819" s="3"/>
    </row>
    <row r="820" spans="9:23" x14ac:dyDescent="0.35">
      <c r="I820" s="3"/>
      <c r="O820" s="3"/>
      <c r="U820" s="3"/>
      <c r="W820" s="3"/>
    </row>
    <row r="821" spans="9:23" x14ac:dyDescent="0.35">
      <c r="I821" s="3"/>
      <c r="O821" s="3"/>
      <c r="U821" s="3"/>
      <c r="W821" s="3"/>
    </row>
    <row r="822" spans="9:23" x14ac:dyDescent="0.35">
      <c r="I822" s="3"/>
      <c r="O822" s="3"/>
      <c r="U822" s="3"/>
      <c r="W822" s="3"/>
    </row>
    <row r="823" spans="9:23" x14ac:dyDescent="0.35">
      <c r="I823" s="3"/>
      <c r="O823" s="3"/>
      <c r="U823" s="3"/>
      <c r="W823" s="3"/>
    </row>
    <row r="824" spans="9:23" x14ac:dyDescent="0.35">
      <c r="I824" s="3"/>
      <c r="O824" s="3"/>
      <c r="U824" s="3"/>
      <c r="W824" s="3"/>
    </row>
    <row r="825" spans="9:23" x14ac:dyDescent="0.35">
      <c r="I825" s="3"/>
      <c r="O825" s="3"/>
      <c r="U825" s="3"/>
      <c r="W825" s="3"/>
    </row>
    <row r="826" spans="9:23" x14ac:dyDescent="0.35">
      <c r="I826" s="3"/>
      <c r="O826" s="3"/>
      <c r="U826" s="3"/>
      <c r="W826" s="3"/>
    </row>
    <row r="827" spans="9:23" x14ac:dyDescent="0.35">
      <c r="I827" s="3"/>
      <c r="O827" s="3"/>
      <c r="U827" s="3"/>
      <c r="W827" s="3"/>
    </row>
    <row r="828" spans="9:23" x14ac:dyDescent="0.35">
      <c r="I828" s="3"/>
      <c r="O828" s="3"/>
      <c r="U828" s="3"/>
      <c r="W828" s="3"/>
    </row>
    <row r="829" spans="9:23" x14ac:dyDescent="0.35">
      <c r="I829" s="3"/>
      <c r="O829" s="3"/>
      <c r="U829" s="3"/>
      <c r="W829" s="3"/>
    </row>
    <row r="830" spans="9:23" x14ac:dyDescent="0.35">
      <c r="I830" s="3"/>
      <c r="O830" s="3"/>
      <c r="U830" s="3"/>
      <c r="W830" s="3"/>
    </row>
    <row r="831" spans="9:23" x14ac:dyDescent="0.35">
      <c r="I831" s="3"/>
      <c r="O831" s="3"/>
      <c r="U831" s="3"/>
      <c r="W831" s="3"/>
    </row>
    <row r="832" spans="9:23" x14ac:dyDescent="0.35">
      <c r="I832" s="3"/>
      <c r="O832" s="3"/>
      <c r="U832" s="3"/>
      <c r="W832" s="3"/>
    </row>
    <row r="833" spans="9:23" x14ac:dyDescent="0.35">
      <c r="I833" s="3"/>
      <c r="O833" s="3"/>
      <c r="U833" s="3"/>
      <c r="W833" s="3"/>
    </row>
    <row r="834" spans="9:23" x14ac:dyDescent="0.35">
      <c r="I834" s="3"/>
      <c r="O834" s="3"/>
      <c r="U834" s="3"/>
      <c r="W834" s="3"/>
    </row>
    <row r="835" spans="9:23" x14ac:dyDescent="0.35">
      <c r="I835" s="3"/>
      <c r="O835" s="3"/>
      <c r="U835" s="3"/>
      <c r="W835" s="3"/>
    </row>
    <row r="836" spans="9:23" x14ac:dyDescent="0.35">
      <c r="I836" s="3"/>
      <c r="O836" s="3"/>
      <c r="U836" s="3"/>
      <c r="W836" s="3"/>
    </row>
    <row r="837" spans="9:23" x14ac:dyDescent="0.35">
      <c r="I837" s="3"/>
      <c r="O837" s="3"/>
      <c r="U837" s="3"/>
      <c r="W837" s="3"/>
    </row>
    <row r="838" spans="9:23" x14ac:dyDescent="0.35">
      <c r="I838" s="3"/>
      <c r="O838" s="3"/>
      <c r="U838" s="3"/>
      <c r="W838" s="3"/>
    </row>
    <row r="839" spans="9:23" x14ac:dyDescent="0.35">
      <c r="I839" s="3"/>
      <c r="O839" s="3"/>
      <c r="U839" s="3"/>
      <c r="W839" s="3"/>
    </row>
    <row r="840" spans="9:23" x14ac:dyDescent="0.35">
      <c r="I840" s="3"/>
      <c r="O840" s="3"/>
      <c r="U840" s="3"/>
      <c r="W840" s="3"/>
    </row>
  </sheetData>
  <conditionalFormatting sqref="C543:C547">
    <cfRule type="top10" dxfId="4" priority="35" rank="1"/>
  </conditionalFormatting>
  <conditionalFormatting sqref="C542">
    <cfRule type="top10" dxfId="3" priority="12" rank="1"/>
  </conditionalFormatting>
  <conditionalFormatting sqref="C536:C541">
    <cfRule type="top10" dxfId="2" priority="11" rank="1"/>
  </conditionalFormatting>
  <conditionalFormatting sqref="C535">
    <cfRule type="top10" dxfId="1" priority="3" rank="1"/>
    <cfRule type="top10" priority="4" rank="1"/>
  </conditionalFormatting>
  <conditionalFormatting sqref="C185:C534">
    <cfRule type="top10" dxfId="0" priority="1" rank="1"/>
    <cfRule type="top10" priority="2" rank="1"/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Γιάννης Μάντσιος</dc:creator>
  <cp:lastModifiedBy>Pavlos Konstantinidis</cp:lastModifiedBy>
  <dcterms:created xsi:type="dcterms:W3CDTF">2020-06-24T18:30:36Z</dcterms:created>
  <dcterms:modified xsi:type="dcterms:W3CDTF">2022-09-19T06:33:28Z</dcterms:modified>
</cp:coreProperties>
</file>