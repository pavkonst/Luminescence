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13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ul\Desktop\Dosimetry\Deconovolution\Decay\"/>
    </mc:Choice>
  </mc:AlternateContent>
  <xr:revisionPtr revIDLastSave="0" documentId="13_ncr:1_{16082C27-7AB8-4252-93D3-9CBAC80C0D0E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 1" sheetId="2" r:id="rId1"/>
  </sheets>
  <functionGroups builtInGroupCount="19"/>
  <definedNames>
    <definedName name="solver_adj" localSheetId="0" hidden="1">'sheet 1'!$C$21:$D$23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'sheet 1'!$C$21:$D$23</definedName>
    <definedName name="solver_lhs10" localSheetId="0" hidden="1">'sheet 1'!$G$22</definedName>
    <definedName name="solver_lhs11" localSheetId="0" hidden="1">'sheet 1'!$F$22</definedName>
    <definedName name="solver_lhs12" localSheetId="0" hidden="1">'sheet 1'!$G$23</definedName>
    <definedName name="solver_lhs13" localSheetId="0" hidden="1">'sheet 1'!$E$21</definedName>
    <definedName name="solver_lhs14" localSheetId="0" hidden="1">'sheet 1'!$G$23</definedName>
    <definedName name="solver_lhs15" localSheetId="0" hidden="1">'sheet 1'!$F$23</definedName>
    <definedName name="solver_lhs16" localSheetId="0" hidden="1">'sheet 1'!$F$21</definedName>
    <definedName name="solver_lhs17" localSheetId="0" hidden="1">'sheet 1'!$G$21</definedName>
    <definedName name="solver_lhs18" localSheetId="0" hidden="1">'sheet 1'!$G$21</definedName>
    <definedName name="solver_lhs19" localSheetId="0" hidden="1">'sheet 1'!$G$21</definedName>
    <definedName name="solver_lhs2" localSheetId="0" hidden="1">'sheet 1'!$D$23</definedName>
    <definedName name="solver_lhs20" localSheetId="0" hidden="1">'sheet 1'!$G$21</definedName>
    <definedName name="solver_lhs3" localSheetId="0" hidden="1">'sheet 1'!$C$21</definedName>
    <definedName name="solver_lhs4" localSheetId="0" hidden="1">'sheet 1'!$D$23</definedName>
    <definedName name="solver_lhs5" localSheetId="0" hidden="1">'sheet 1'!$E$22</definedName>
    <definedName name="solver_lhs6" localSheetId="0" hidden="1">'sheet 1'!$E$23</definedName>
    <definedName name="solver_lhs7" localSheetId="0" hidden="1">'sheet 1'!$D$21</definedName>
    <definedName name="solver_lhs8" localSheetId="0" hidden="1">'sheet 1'!$F$23</definedName>
    <definedName name="solver_lhs9" localSheetId="0" hidden="1">'sheet 1'!$E$23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'sheet 1'!$C$33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10" localSheetId="0" hidden="1">3</definedName>
    <definedName name="solver_rel11" localSheetId="0" hidden="1">3</definedName>
    <definedName name="solver_rel12" localSheetId="0" hidden="1">1</definedName>
    <definedName name="solver_rel13" localSheetId="0" hidden="1">3</definedName>
    <definedName name="solver_rel14" localSheetId="0" hidden="1">3</definedName>
    <definedName name="solver_rel15" localSheetId="0" hidden="1">3</definedName>
    <definedName name="solver_rel16" localSheetId="0" hidden="1">3</definedName>
    <definedName name="solver_rel17" localSheetId="0" hidden="1">3</definedName>
    <definedName name="solver_rel18" localSheetId="0" hidden="1">3</definedName>
    <definedName name="solver_rel19" localSheetId="0" hidden="1">3</definedName>
    <definedName name="solver_rel2" localSheetId="0" hidden="1">1</definedName>
    <definedName name="solver_rel20" localSheetId="0" hidden="1">3</definedName>
    <definedName name="solver_rel3" localSheetId="0" hidden="1">3</definedName>
    <definedName name="solver_rel4" localSheetId="0" hidden="1">3</definedName>
    <definedName name="solver_rel5" localSheetId="0" hidden="1">3</definedName>
    <definedName name="solver_rel6" localSheetId="0" hidden="1">1</definedName>
    <definedName name="solver_rel7" localSheetId="0" hidden="1">3</definedName>
    <definedName name="solver_rel8" localSheetId="0" hidden="1">1</definedName>
    <definedName name="solver_rel9" localSheetId="0" hidden="1">3</definedName>
    <definedName name="solver_rhs1" localSheetId="0" hidden="1">0.00001</definedName>
    <definedName name="solver_rhs10" localSheetId="0" hidden="1">0</definedName>
    <definedName name="solver_rhs11" localSheetId="0" hidden="1">0</definedName>
    <definedName name="solver_rhs12" localSheetId="0" hidden="1">0.9</definedName>
    <definedName name="solver_rhs13" localSheetId="0" hidden="1">0</definedName>
    <definedName name="solver_rhs14" localSheetId="0" hidden="1">0.00001</definedName>
    <definedName name="solver_rhs15" localSheetId="0" hidden="1">0.00001</definedName>
    <definedName name="solver_rhs16" localSheetId="0" hidden="1">0</definedName>
    <definedName name="solver_rhs17" localSheetId="0" hidden="1">0</definedName>
    <definedName name="solver_rhs18" localSheetId="0" hidden="1">0</definedName>
    <definedName name="solver_rhs19" localSheetId="0" hidden="1">0</definedName>
    <definedName name="solver_rhs2" localSheetId="0" hidden="1">0.9</definedName>
    <definedName name="solver_rhs20" localSheetId="0" hidden="1">0</definedName>
    <definedName name="solver_rhs3" localSheetId="0" hidden="1">0</definedName>
    <definedName name="solver_rhs4" localSheetId="0" hidden="1">0.00001</definedName>
    <definedName name="solver_rhs5" localSheetId="0" hidden="1">0</definedName>
    <definedName name="solver_rhs6" localSheetId="0" hidden="1">0.9</definedName>
    <definedName name="solver_rhs7" localSheetId="0" hidden="1">0</definedName>
    <definedName name="solver_rhs8" localSheetId="0" hidden="1">0.9</definedName>
    <definedName name="solver_rhs9" localSheetId="0" hidden="1">0.00001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6" i="2" l="1"/>
  <c r="E26" i="2"/>
  <c r="F26" i="2"/>
  <c r="G26" i="2"/>
  <c r="C26" i="2"/>
  <c r="D25" i="2" l="1"/>
  <c r="E25" i="2"/>
  <c r="F25" i="2"/>
  <c r="G25" i="2"/>
  <c r="C25" i="2"/>
  <c r="D114" i="2"/>
  <c r="E114" i="2"/>
  <c r="F114" i="2"/>
  <c r="G114" i="2"/>
  <c r="H114" i="2"/>
  <c r="D115" i="2"/>
  <c r="E115" i="2"/>
  <c r="F115" i="2"/>
  <c r="G115" i="2"/>
  <c r="H115" i="2"/>
  <c r="D116" i="2"/>
  <c r="E116" i="2"/>
  <c r="F116" i="2"/>
  <c r="G116" i="2"/>
  <c r="H116" i="2"/>
  <c r="D117" i="2"/>
  <c r="E117" i="2"/>
  <c r="F117" i="2"/>
  <c r="G117" i="2"/>
  <c r="H117" i="2"/>
  <c r="D118" i="2"/>
  <c r="E118" i="2"/>
  <c r="F118" i="2"/>
  <c r="G118" i="2"/>
  <c r="H118" i="2"/>
  <c r="D119" i="2"/>
  <c r="E119" i="2"/>
  <c r="F119" i="2"/>
  <c r="G119" i="2"/>
  <c r="H119" i="2"/>
  <c r="D120" i="2"/>
  <c r="E120" i="2"/>
  <c r="F120" i="2"/>
  <c r="G120" i="2"/>
  <c r="H120" i="2"/>
  <c r="D121" i="2"/>
  <c r="E121" i="2"/>
  <c r="F121" i="2"/>
  <c r="G121" i="2"/>
  <c r="H121" i="2"/>
  <c r="D122" i="2"/>
  <c r="E122" i="2"/>
  <c r="F122" i="2"/>
  <c r="G122" i="2"/>
  <c r="H122" i="2"/>
  <c r="D123" i="2"/>
  <c r="E123" i="2"/>
  <c r="F123" i="2"/>
  <c r="G123" i="2"/>
  <c r="H123" i="2"/>
  <c r="D124" i="2"/>
  <c r="E124" i="2"/>
  <c r="F124" i="2"/>
  <c r="G124" i="2"/>
  <c r="H124" i="2"/>
  <c r="D125" i="2"/>
  <c r="E125" i="2"/>
  <c r="F125" i="2"/>
  <c r="G125" i="2"/>
  <c r="H125" i="2"/>
  <c r="D126" i="2"/>
  <c r="E126" i="2"/>
  <c r="F126" i="2"/>
  <c r="G126" i="2"/>
  <c r="H126" i="2"/>
  <c r="D127" i="2"/>
  <c r="E127" i="2"/>
  <c r="F127" i="2"/>
  <c r="G127" i="2"/>
  <c r="H127" i="2"/>
  <c r="D128" i="2"/>
  <c r="E128" i="2"/>
  <c r="F128" i="2"/>
  <c r="G128" i="2"/>
  <c r="H128" i="2"/>
  <c r="D129" i="2"/>
  <c r="E129" i="2"/>
  <c r="F129" i="2"/>
  <c r="G129" i="2"/>
  <c r="H129" i="2"/>
  <c r="D130" i="2"/>
  <c r="E130" i="2"/>
  <c r="F130" i="2"/>
  <c r="G130" i="2"/>
  <c r="H130" i="2"/>
  <c r="D131" i="2"/>
  <c r="E131" i="2"/>
  <c r="F131" i="2"/>
  <c r="G131" i="2"/>
  <c r="H131" i="2"/>
  <c r="D132" i="2"/>
  <c r="E132" i="2"/>
  <c r="F132" i="2"/>
  <c r="G132" i="2"/>
  <c r="H132" i="2"/>
  <c r="D133" i="2"/>
  <c r="E133" i="2"/>
  <c r="F133" i="2"/>
  <c r="G133" i="2"/>
  <c r="H133" i="2"/>
  <c r="D134" i="2"/>
  <c r="E134" i="2"/>
  <c r="F134" i="2"/>
  <c r="G134" i="2"/>
  <c r="H134" i="2"/>
  <c r="D135" i="2"/>
  <c r="E135" i="2"/>
  <c r="F135" i="2"/>
  <c r="G135" i="2"/>
  <c r="H135" i="2"/>
  <c r="D136" i="2"/>
  <c r="E136" i="2"/>
  <c r="F136" i="2"/>
  <c r="G136" i="2"/>
  <c r="H136" i="2"/>
  <c r="D137" i="2"/>
  <c r="E137" i="2"/>
  <c r="F137" i="2"/>
  <c r="G137" i="2"/>
  <c r="H137" i="2"/>
  <c r="D138" i="2"/>
  <c r="E138" i="2"/>
  <c r="F138" i="2"/>
  <c r="G138" i="2"/>
  <c r="H138" i="2"/>
  <c r="D139" i="2"/>
  <c r="E139" i="2"/>
  <c r="F139" i="2"/>
  <c r="G139" i="2"/>
  <c r="H139" i="2"/>
  <c r="D140" i="2"/>
  <c r="E140" i="2"/>
  <c r="F140" i="2"/>
  <c r="G140" i="2"/>
  <c r="H140" i="2"/>
  <c r="D141" i="2"/>
  <c r="E141" i="2"/>
  <c r="F141" i="2"/>
  <c r="G141" i="2"/>
  <c r="H141" i="2"/>
  <c r="D142" i="2"/>
  <c r="E142" i="2"/>
  <c r="F142" i="2"/>
  <c r="G142" i="2"/>
  <c r="H142" i="2"/>
  <c r="D143" i="2"/>
  <c r="E143" i="2"/>
  <c r="F143" i="2"/>
  <c r="G143" i="2"/>
  <c r="H143" i="2"/>
  <c r="D144" i="2"/>
  <c r="E144" i="2"/>
  <c r="F144" i="2"/>
  <c r="G144" i="2"/>
  <c r="H144" i="2"/>
  <c r="D145" i="2"/>
  <c r="E145" i="2"/>
  <c r="F145" i="2"/>
  <c r="G145" i="2"/>
  <c r="H145" i="2"/>
  <c r="D146" i="2"/>
  <c r="E146" i="2"/>
  <c r="F146" i="2"/>
  <c r="G146" i="2"/>
  <c r="H146" i="2"/>
  <c r="D147" i="2"/>
  <c r="E147" i="2"/>
  <c r="F147" i="2"/>
  <c r="G147" i="2"/>
  <c r="H147" i="2"/>
  <c r="D148" i="2"/>
  <c r="E148" i="2"/>
  <c r="F148" i="2"/>
  <c r="G148" i="2"/>
  <c r="H148" i="2"/>
  <c r="D149" i="2"/>
  <c r="E149" i="2"/>
  <c r="F149" i="2"/>
  <c r="G149" i="2"/>
  <c r="H149" i="2"/>
  <c r="D150" i="2"/>
  <c r="E150" i="2"/>
  <c r="F150" i="2"/>
  <c r="G150" i="2"/>
  <c r="H150" i="2"/>
  <c r="D151" i="2"/>
  <c r="E151" i="2"/>
  <c r="F151" i="2"/>
  <c r="G151" i="2"/>
  <c r="H151" i="2"/>
  <c r="D152" i="2"/>
  <c r="E152" i="2"/>
  <c r="F152" i="2"/>
  <c r="G152" i="2"/>
  <c r="H152" i="2"/>
  <c r="D153" i="2"/>
  <c r="E153" i="2"/>
  <c r="F153" i="2"/>
  <c r="G153" i="2"/>
  <c r="H153" i="2"/>
  <c r="D154" i="2"/>
  <c r="E154" i="2"/>
  <c r="F154" i="2"/>
  <c r="G154" i="2"/>
  <c r="H154" i="2"/>
  <c r="D155" i="2"/>
  <c r="E155" i="2"/>
  <c r="F155" i="2"/>
  <c r="G155" i="2"/>
  <c r="H155" i="2"/>
  <c r="D156" i="2"/>
  <c r="E156" i="2"/>
  <c r="F156" i="2"/>
  <c r="G156" i="2"/>
  <c r="H156" i="2"/>
  <c r="D157" i="2"/>
  <c r="E157" i="2"/>
  <c r="F157" i="2"/>
  <c r="G157" i="2"/>
  <c r="H157" i="2"/>
  <c r="D158" i="2"/>
  <c r="E158" i="2"/>
  <c r="F158" i="2"/>
  <c r="G158" i="2"/>
  <c r="H158" i="2"/>
  <c r="D159" i="2"/>
  <c r="E159" i="2"/>
  <c r="F159" i="2"/>
  <c r="G159" i="2"/>
  <c r="H159" i="2"/>
  <c r="D160" i="2"/>
  <c r="E160" i="2"/>
  <c r="F160" i="2"/>
  <c r="G160" i="2"/>
  <c r="H160" i="2"/>
  <c r="D161" i="2"/>
  <c r="E161" i="2"/>
  <c r="F161" i="2"/>
  <c r="G161" i="2"/>
  <c r="H161" i="2"/>
  <c r="D162" i="2"/>
  <c r="E162" i="2"/>
  <c r="F162" i="2"/>
  <c r="G162" i="2"/>
  <c r="H162" i="2"/>
  <c r="D163" i="2"/>
  <c r="E163" i="2"/>
  <c r="F163" i="2"/>
  <c r="G163" i="2"/>
  <c r="H163" i="2"/>
  <c r="D164" i="2"/>
  <c r="E164" i="2"/>
  <c r="F164" i="2"/>
  <c r="G164" i="2"/>
  <c r="H164" i="2"/>
  <c r="D165" i="2"/>
  <c r="E165" i="2"/>
  <c r="F165" i="2"/>
  <c r="G165" i="2"/>
  <c r="H165" i="2"/>
  <c r="D166" i="2"/>
  <c r="E166" i="2"/>
  <c r="F166" i="2"/>
  <c r="G166" i="2"/>
  <c r="H166" i="2"/>
  <c r="D167" i="2"/>
  <c r="E167" i="2"/>
  <c r="F167" i="2"/>
  <c r="G167" i="2"/>
  <c r="H167" i="2"/>
  <c r="D168" i="2"/>
  <c r="E168" i="2"/>
  <c r="F168" i="2"/>
  <c r="G168" i="2"/>
  <c r="H168" i="2"/>
  <c r="D169" i="2"/>
  <c r="E169" i="2"/>
  <c r="F169" i="2"/>
  <c r="G169" i="2"/>
  <c r="H169" i="2"/>
  <c r="D170" i="2"/>
  <c r="E170" i="2"/>
  <c r="F170" i="2"/>
  <c r="G170" i="2"/>
  <c r="H170" i="2"/>
  <c r="D171" i="2"/>
  <c r="E171" i="2"/>
  <c r="F171" i="2"/>
  <c r="G171" i="2"/>
  <c r="H171" i="2"/>
  <c r="D172" i="2"/>
  <c r="E172" i="2"/>
  <c r="F172" i="2"/>
  <c r="G172" i="2"/>
  <c r="H172" i="2"/>
  <c r="D173" i="2"/>
  <c r="E173" i="2"/>
  <c r="F173" i="2"/>
  <c r="G173" i="2"/>
  <c r="H173" i="2"/>
  <c r="D174" i="2"/>
  <c r="E174" i="2"/>
  <c r="F174" i="2"/>
  <c r="G174" i="2"/>
  <c r="H174" i="2"/>
  <c r="D175" i="2"/>
  <c r="E175" i="2"/>
  <c r="F175" i="2"/>
  <c r="G175" i="2"/>
  <c r="H175" i="2"/>
  <c r="D176" i="2"/>
  <c r="E176" i="2"/>
  <c r="F176" i="2"/>
  <c r="G176" i="2"/>
  <c r="H176" i="2"/>
  <c r="D177" i="2"/>
  <c r="E177" i="2"/>
  <c r="F177" i="2"/>
  <c r="G177" i="2"/>
  <c r="H177" i="2"/>
  <c r="D178" i="2"/>
  <c r="E178" i="2"/>
  <c r="F178" i="2"/>
  <c r="G178" i="2"/>
  <c r="H178" i="2"/>
  <c r="D179" i="2"/>
  <c r="E179" i="2"/>
  <c r="F179" i="2"/>
  <c r="G179" i="2"/>
  <c r="H179" i="2"/>
  <c r="D180" i="2"/>
  <c r="E180" i="2"/>
  <c r="F180" i="2"/>
  <c r="G180" i="2"/>
  <c r="H180" i="2"/>
  <c r="D181" i="2"/>
  <c r="E181" i="2"/>
  <c r="F181" i="2"/>
  <c r="G181" i="2"/>
  <c r="H181" i="2"/>
  <c r="D182" i="2"/>
  <c r="E182" i="2"/>
  <c r="F182" i="2"/>
  <c r="G182" i="2"/>
  <c r="H182" i="2"/>
  <c r="D183" i="2"/>
  <c r="E183" i="2"/>
  <c r="F183" i="2"/>
  <c r="G183" i="2"/>
  <c r="H183" i="2"/>
  <c r="D184" i="2"/>
  <c r="E184" i="2"/>
  <c r="F184" i="2"/>
  <c r="G184" i="2"/>
  <c r="H184" i="2"/>
  <c r="D185" i="2"/>
  <c r="E185" i="2"/>
  <c r="F185" i="2"/>
  <c r="G185" i="2"/>
  <c r="H185" i="2"/>
  <c r="D186" i="2"/>
  <c r="E186" i="2"/>
  <c r="F186" i="2"/>
  <c r="G186" i="2"/>
  <c r="H186" i="2"/>
  <c r="D187" i="2"/>
  <c r="E187" i="2"/>
  <c r="F187" i="2"/>
  <c r="G187" i="2"/>
  <c r="H187" i="2"/>
  <c r="D188" i="2"/>
  <c r="E188" i="2"/>
  <c r="F188" i="2"/>
  <c r="G188" i="2"/>
  <c r="H188" i="2"/>
  <c r="D189" i="2"/>
  <c r="E189" i="2"/>
  <c r="F189" i="2"/>
  <c r="G189" i="2"/>
  <c r="H189" i="2"/>
  <c r="D190" i="2"/>
  <c r="E190" i="2"/>
  <c r="F190" i="2"/>
  <c r="G190" i="2"/>
  <c r="H190" i="2"/>
  <c r="D191" i="2"/>
  <c r="E191" i="2"/>
  <c r="F191" i="2"/>
  <c r="G191" i="2"/>
  <c r="H191" i="2"/>
  <c r="D192" i="2"/>
  <c r="E192" i="2"/>
  <c r="F192" i="2"/>
  <c r="G192" i="2"/>
  <c r="H192" i="2"/>
  <c r="D193" i="2"/>
  <c r="E193" i="2"/>
  <c r="F193" i="2"/>
  <c r="G193" i="2"/>
  <c r="H193" i="2"/>
  <c r="D194" i="2"/>
  <c r="E194" i="2"/>
  <c r="F194" i="2"/>
  <c r="G194" i="2"/>
  <c r="H194" i="2"/>
  <c r="D195" i="2"/>
  <c r="E195" i="2"/>
  <c r="F195" i="2"/>
  <c r="G195" i="2"/>
  <c r="H195" i="2"/>
  <c r="D196" i="2"/>
  <c r="E196" i="2"/>
  <c r="F196" i="2"/>
  <c r="G196" i="2"/>
  <c r="H196" i="2"/>
  <c r="D197" i="2"/>
  <c r="E197" i="2"/>
  <c r="F197" i="2"/>
  <c r="G197" i="2"/>
  <c r="H197" i="2"/>
  <c r="D198" i="2"/>
  <c r="E198" i="2"/>
  <c r="F198" i="2"/>
  <c r="G198" i="2"/>
  <c r="H198" i="2"/>
  <c r="D199" i="2"/>
  <c r="E199" i="2"/>
  <c r="F199" i="2"/>
  <c r="G199" i="2"/>
  <c r="H199" i="2"/>
  <c r="D200" i="2"/>
  <c r="E200" i="2"/>
  <c r="F200" i="2"/>
  <c r="G200" i="2"/>
  <c r="H200" i="2"/>
  <c r="D201" i="2"/>
  <c r="E201" i="2"/>
  <c r="F201" i="2"/>
  <c r="G201" i="2"/>
  <c r="H201" i="2"/>
  <c r="D202" i="2"/>
  <c r="E202" i="2"/>
  <c r="F202" i="2"/>
  <c r="G202" i="2"/>
  <c r="H202" i="2"/>
  <c r="D203" i="2"/>
  <c r="E203" i="2"/>
  <c r="F203" i="2"/>
  <c r="G203" i="2"/>
  <c r="H203" i="2"/>
  <c r="D204" i="2"/>
  <c r="E204" i="2"/>
  <c r="F204" i="2"/>
  <c r="G204" i="2"/>
  <c r="H204" i="2"/>
  <c r="D205" i="2"/>
  <c r="E205" i="2"/>
  <c r="F205" i="2"/>
  <c r="G205" i="2"/>
  <c r="H205" i="2"/>
  <c r="D206" i="2"/>
  <c r="E206" i="2"/>
  <c r="F206" i="2"/>
  <c r="G206" i="2"/>
  <c r="H206" i="2"/>
  <c r="D207" i="2"/>
  <c r="E207" i="2"/>
  <c r="F207" i="2"/>
  <c r="G207" i="2"/>
  <c r="H207" i="2"/>
  <c r="D208" i="2"/>
  <c r="E208" i="2"/>
  <c r="F208" i="2"/>
  <c r="G208" i="2"/>
  <c r="H208" i="2"/>
  <c r="D209" i="2"/>
  <c r="E209" i="2"/>
  <c r="F209" i="2"/>
  <c r="G209" i="2"/>
  <c r="H209" i="2"/>
  <c r="D210" i="2"/>
  <c r="E210" i="2"/>
  <c r="F210" i="2"/>
  <c r="G210" i="2"/>
  <c r="H210" i="2"/>
  <c r="D211" i="2"/>
  <c r="E211" i="2"/>
  <c r="F211" i="2"/>
  <c r="G211" i="2"/>
  <c r="H211" i="2"/>
  <c r="D212" i="2"/>
  <c r="E212" i="2"/>
  <c r="F212" i="2"/>
  <c r="G212" i="2"/>
  <c r="H212" i="2"/>
  <c r="D213" i="2"/>
  <c r="E213" i="2"/>
  <c r="F213" i="2"/>
  <c r="G213" i="2"/>
  <c r="H213" i="2"/>
  <c r="D214" i="2"/>
  <c r="E214" i="2"/>
  <c r="F214" i="2"/>
  <c r="G214" i="2"/>
  <c r="H214" i="2"/>
  <c r="D215" i="2"/>
  <c r="E215" i="2"/>
  <c r="F215" i="2"/>
  <c r="G215" i="2"/>
  <c r="H215" i="2"/>
  <c r="D216" i="2"/>
  <c r="E216" i="2"/>
  <c r="F216" i="2"/>
  <c r="G216" i="2"/>
  <c r="H216" i="2"/>
  <c r="D217" i="2"/>
  <c r="E217" i="2"/>
  <c r="F217" i="2"/>
  <c r="G217" i="2"/>
  <c r="H217" i="2"/>
  <c r="D218" i="2"/>
  <c r="E218" i="2"/>
  <c r="F218" i="2"/>
  <c r="G218" i="2"/>
  <c r="H218" i="2"/>
  <c r="D219" i="2"/>
  <c r="E219" i="2"/>
  <c r="F219" i="2"/>
  <c r="G219" i="2"/>
  <c r="H219" i="2"/>
  <c r="D220" i="2"/>
  <c r="E220" i="2"/>
  <c r="F220" i="2"/>
  <c r="G220" i="2"/>
  <c r="H220" i="2"/>
  <c r="D221" i="2"/>
  <c r="E221" i="2"/>
  <c r="F221" i="2"/>
  <c r="G221" i="2"/>
  <c r="H221" i="2"/>
  <c r="D222" i="2"/>
  <c r="E222" i="2"/>
  <c r="F222" i="2"/>
  <c r="G222" i="2"/>
  <c r="H222" i="2"/>
  <c r="D223" i="2"/>
  <c r="E223" i="2"/>
  <c r="F223" i="2"/>
  <c r="G223" i="2"/>
  <c r="H223" i="2"/>
  <c r="D224" i="2"/>
  <c r="E224" i="2"/>
  <c r="F224" i="2"/>
  <c r="G224" i="2"/>
  <c r="H224" i="2"/>
  <c r="D225" i="2"/>
  <c r="E225" i="2"/>
  <c r="F225" i="2"/>
  <c r="G225" i="2"/>
  <c r="H225" i="2"/>
  <c r="D226" i="2"/>
  <c r="E226" i="2"/>
  <c r="F226" i="2"/>
  <c r="G226" i="2"/>
  <c r="H226" i="2"/>
  <c r="D227" i="2"/>
  <c r="E227" i="2"/>
  <c r="F227" i="2"/>
  <c r="G227" i="2"/>
  <c r="H227" i="2"/>
  <c r="D228" i="2"/>
  <c r="E228" i="2"/>
  <c r="F228" i="2"/>
  <c r="G228" i="2"/>
  <c r="H228" i="2"/>
  <c r="D229" i="2"/>
  <c r="E229" i="2"/>
  <c r="F229" i="2"/>
  <c r="G229" i="2"/>
  <c r="H229" i="2"/>
  <c r="D230" i="2"/>
  <c r="E230" i="2"/>
  <c r="F230" i="2"/>
  <c r="G230" i="2"/>
  <c r="H230" i="2"/>
  <c r="D231" i="2"/>
  <c r="E231" i="2"/>
  <c r="F231" i="2"/>
  <c r="G231" i="2"/>
  <c r="H231" i="2"/>
  <c r="D232" i="2"/>
  <c r="E232" i="2"/>
  <c r="F232" i="2"/>
  <c r="G232" i="2"/>
  <c r="H232" i="2"/>
  <c r="D233" i="2"/>
  <c r="E233" i="2"/>
  <c r="F233" i="2"/>
  <c r="G233" i="2"/>
  <c r="H233" i="2"/>
  <c r="D234" i="2"/>
  <c r="E234" i="2"/>
  <c r="F234" i="2"/>
  <c r="G234" i="2"/>
  <c r="H234" i="2"/>
  <c r="D235" i="2"/>
  <c r="E235" i="2"/>
  <c r="F235" i="2"/>
  <c r="G235" i="2"/>
  <c r="H235" i="2"/>
  <c r="D236" i="2"/>
  <c r="E236" i="2"/>
  <c r="F236" i="2"/>
  <c r="G236" i="2"/>
  <c r="H236" i="2"/>
  <c r="D237" i="2"/>
  <c r="E237" i="2"/>
  <c r="F237" i="2"/>
  <c r="G237" i="2"/>
  <c r="H237" i="2"/>
  <c r="D238" i="2"/>
  <c r="E238" i="2"/>
  <c r="F238" i="2"/>
  <c r="G238" i="2"/>
  <c r="H238" i="2"/>
  <c r="D239" i="2"/>
  <c r="E239" i="2"/>
  <c r="F239" i="2"/>
  <c r="G239" i="2"/>
  <c r="H239" i="2"/>
  <c r="D240" i="2"/>
  <c r="E240" i="2"/>
  <c r="F240" i="2"/>
  <c r="G240" i="2"/>
  <c r="H240" i="2"/>
  <c r="D241" i="2"/>
  <c r="E241" i="2"/>
  <c r="F241" i="2"/>
  <c r="G241" i="2"/>
  <c r="H241" i="2"/>
  <c r="D242" i="2"/>
  <c r="E242" i="2"/>
  <c r="F242" i="2"/>
  <c r="G242" i="2"/>
  <c r="H242" i="2"/>
  <c r="D243" i="2"/>
  <c r="E243" i="2"/>
  <c r="F243" i="2"/>
  <c r="G243" i="2"/>
  <c r="H243" i="2"/>
  <c r="D244" i="2"/>
  <c r="E244" i="2"/>
  <c r="F244" i="2"/>
  <c r="G244" i="2"/>
  <c r="H244" i="2"/>
  <c r="D245" i="2"/>
  <c r="E245" i="2"/>
  <c r="F245" i="2"/>
  <c r="G245" i="2"/>
  <c r="H245" i="2"/>
  <c r="D246" i="2"/>
  <c r="E246" i="2"/>
  <c r="F246" i="2"/>
  <c r="G246" i="2"/>
  <c r="H246" i="2"/>
  <c r="D247" i="2"/>
  <c r="E247" i="2"/>
  <c r="F247" i="2"/>
  <c r="G247" i="2"/>
  <c r="H247" i="2"/>
  <c r="D248" i="2"/>
  <c r="E248" i="2"/>
  <c r="F248" i="2"/>
  <c r="G248" i="2"/>
  <c r="H248" i="2"/>
  <c r="D249" i="2"/>
  <c r="E249" i="2"/>
  <c r="F249" i="2"/>
  <c r="G249" i="2"/>
  <c r="H249" i="2"/>
  <c r="D250" i="2"/>
  <c r="E250" i="2"/>
  <c r="F250" i="2"/>
  <c r="G250" i="2"/>
  <c r="H250" i="2"/>
  <c r="D251" i="2"/>
  <c r="E251" i="2"/>
  <c r="F251" i="2"/>
  <c r="G251" i="2"/>
  <c r="H251" i="2"/>
  <c r="D252" i="2"/>
  <c r="E252" i="2"/>
  <c r="F252" i="2"/>
  <c r="G252" i="2"/>
  <c r="H252" i="2"/>
  <c r="D253" i="2"/>
  <c r="E253" i="2"/>
  <c r="F253" i="2"/>
  <c r="G253" i="2"/>
  <c r="H253" i="2"/>
  <c r="D254" i="2"/>
  <c r="E254" i="2"/>
  <c r="F254" i="2"/>
  <c r="G254" i="2"/>
  <c r="H254" i="2"/>
  <c r="D255" i="2"/>
  <c r="E255" i="2"/>
  <c r="F255" i="2"/>
  <c r="G255" i="2"/>
  <c r="H255" i="2"/>
  <c r="D256" i="2"/>
  <c r="E256" i="2"/>
  <c r="F256" i="2"/>
  <c r="G256" i="2"/>
  <c r="H256" i="2"/>
  <c r="D257" i="2"/>
  <c r="E257" i="2"/>
  <c r="F257" i="2"/>
  <c r="G257" i="2"/>
  <c r="H257" i="2"/>
  <c r="D258" i="2"/>
  <c r="E258" i="2"/>
  <c r="F258" i="2"/>
  <c r="G258" i="2"/>
  <c r="H258" i="2"/>
  <c r="D259" i="2"/>
  <c r="E259" i="2"/>
  <c r="F259" i="2"/>
  <c r="G259" i="2"/>
  <c r="H259" i="2"/>
  <c r="D260" i="2"/>
  <c r="E260" i="2"/>
  <c r="F260" i="2"/>
  <c r="G260" i="2"/>
  <c r="H260" i="2"/>
  <c r="D261" i="2"/>
  <c r="E261" i="2"/>
  <c r="F261" i="2"/>
  <c r="G261" i="2"/>
  <c r="H261" i="2"/>
  <c r="D262" i="2"/>
  <c r="E262" i="2"/>
  <c r="F262" i="2"/>
  <c r="G262" i="2"/>
  <c r="H262" i="2"/>
  <c r="D263" i="2"/>
  <c r="E263" i="2"/>
  <c r="F263" i="2"/>
  <c r="G263" i="2"/>
  <c r="H263" i="2"/>
  <c r="D264" i="2"/>
  <c r="E264" i="2"/>
  <c r="F264" i="2"/>
  <c r="G264" i="2"/>
  <c r="H264" i="2"/>
  <c r="D265" i="2"/>
  <c r="E265" i="2"/>
  <c r="F265" i="2"/>
  <c r="G265" i="2"/>
  <c r="H265" i="2"/>
  <c r="D266" i="2"/>
  <c r="E266" i="2"/>
  <c r="F266" i="2"/>
  <c r="G266" i="2"/>
  <c r="H266" i="2"/>
  <c r="D267" i="2"/>
  <c r="E267" i="2"/>
  <c r="F267" i="2"/>
  <c r="G267" i="2"/>
  <c r="H267" i="2"/>
  <c r="D268" i="2"/>
  <c r="E268" i="2"/>
  <c r="F268" i="2"/>
  <c r="G268" i="2"/>
  <c r="H268" i="2"/>
  <c r="D269" i="2"/>
  <c r="E269" i="2"/>
  <c r="F269" i="2"/>
  <c r="G269" i="2"/>
  <c r="H269" i="2"/>
  <c r="D270" i="2"/>
  <c r="E270" i="2"/>
  <c r="F270" i="2"/>
  <c r="G270" i="2"/>
  <c r="H270" i="2"/>
  <c r="D271" i="2"/>
  <c r="E271" i="2"/>
  <c r="F271" i="2"/>
  <c r="G271" i="2"/>
  <c r="H271" i="2"/>
  <c r="D272" i="2"/>
  <c r="E272" i="2"/>
  <c r="F272" i="2"/>
  <c r="G272" i="2"/>
  <c r="H272" i="2"/>
  <c r="D273" i="2"/>
  <c r="E273" i="2"/>
  <c r="F273" i="2"/>
  <c r="G273" i="2"/>
  <c r="H273" i="2"/>
  <c r="D274" i="2"/>
  <c r="E274" i="2"/>
  <c r="F274" i="2"/>
  <c r="G274" i="2"/>
  <c r="H274" i="2"/>
  <c r="D275" i="2"/>
  <c r="E275" i="2"/>
  <c r="F275" i="2"/>
  <c r="G275" i="2"/>
  <c r="H275" i="2"/>
  <c r="D276" i="2"/>
  <c r="E276" i="2"/>
  <c r="F276" i="2"/>
  <c r="G276" i="2"/>
  <c r="H276" i="2"/>
  <c r="D277" i="2"/>
  <c r="E277" i="2"/>
  <c r="F277" i="2"/>
  <c r="G277" i="2"/>
  <c r="H277" i="2"/>
  <c r="D278" i="2"/>
  <c r="E278" i="2"/>
  <c r="F278" i="2"/>
  <c r="G278" i="2"/>
  <c r="H278" i="2"/>
  <c r="D279" i="2"/>
  <c r="E279" i="2"/>
  <c r="F279" i="2"/>
  <c r="G279" i="2"/>
  <c r="H279" i="2"/>
  <c r="D280" i="2"/>
  <c r="E280" i="2"/>
  <c r="F280" i="2"/>
  <c r="G280" i="2"/>
  <c r="H280" i="2"/>
  <c r="D281" i="2"/>
  <c r="E281" i="2"/>
  <c r="F281" i="2"/>
  <c r="G281" i="2"/>
  <c r="H281" i="2"/>
  <c r="D282" i="2"/>
  <c r="E282" i="2"/>
  <c r="F282" i="2"/>
  <c r="G282" i="2"/>
  <c r="H282" i="2"/>
  <c r="D283" i="2"/>
  <c r="E283" i="2"/>
  <c r="F283" i="2"/>
  <c r="G283" i="2"/>
  <c r="H283" i="2"/>
  <c r="D284" i="2"/>
  <c r="E284" i="2"/>
  <c r="F284" i="2"/>
  <c r="G284" i="2"/>
  <c r="H284" i="2"/>
  <c r="D285" i="2"/>
  <c r="E285" i="2"/>
  <c r="F285" i="2"/>
  <c r="G285" i="2"/>
  <c r="H285" i="2"/>
  <c r="D286" i="2"/>
  <c r="E286" i="2"/>
  <c r="F286" i="2"/>
  <c r="G286" i="2"/>
  <c r="H286" i="2"/>
  <c r="D287" i="2"/>
  <c r="E287" i="2"/>
  <c r="F287" i="2"/>
  <c r="G287" i="2"/>
  <c r="H287" i="2"/>
  <c r="D288" i="2"/>
  <c r="E288" i="2"/>
  <c r="F288" i="2"/>
  <c r="G288" i="2"/>
  <c r="H288" i="2"/>
  <c r="D289" i="2"/>
  <c r="E289" i="2"/>
  <c r="F289" i="2"/>
  <c r="G289" i="2"/>
  <c r="H289" i="2"/>
  <c r="D290" i="2"/>
  <c r="E290" i="2"/>
  <c r="F290" i="2"/>
  <c r="G290" i="2"/>
  <c r="H290" i="2"/>
  <c r="D291" i="2"/>
  <c r="E291" i="2"/>
  <c r="F291" i="2"/>
  <c r="G291" i="2"/>
  <c r="H291" i="2"/>
  <c r="D292" i="2"/>
  <c r="E292" i="2"/>
  <c r="F292" i="2"/>
  <c r="G292" i="2"/>
  <c r="H292" i="2"/>
  <c r="D293" i="2"/>
  <c r="E293" i="2"/>
  <c r="F293" i="2"/>
  <c r="G293" i="2"/>
  <c r="H293" i="2"/>
  <c r="D294" i="2"/>
  <c r="E294" i="2"/>
  <c r="F294" i="2"/>
  <c r="G294" i="2"/>
  <c r="H294" i="2"/>
  <c r="D295" i="2"/>
  <c r="E295" i="2"/>
  <c r="F295" i="2"/>
  <c r="G295" i="2"/>
  <c r="H295" i="2"/>
  <c r="D296" i="2"/>
  <c r="E296" i="2"/>
  <c r="F296" i="2"/>
  <c r="G296" i="2"/>
  <c r="H296" i="2"/>
  <c r="D297" i="2"/>
  <c r="E297" i="2"/>
  <c r="F297" i="2"/>
  <c r="G297" i="2"/>
  <c r="H297" i="2"/>
  <c r="D298" i="2"/>
  <c r="E298" i="2"/>
  <c r="F298" i="2"/>
  <c r="G298" i="2"/>
  <c r="H298" i="2"/>
  <c r="D299" i="2"/>
  <c r="E299" i="2"/>
  <c r="F299" i="2"/>
  <c r="G299" i="2"/>
  <c r="H299" i="2"/>
  <c r="D300" i="2"/>
  <c r="E300" i="2"/>
  <c r="F300" i="2"/>
  <c r="G300" i="2"/>
  <c r="H300" i="2"/>
  <c r="D301" i="2"/>
  <c r="E301" i="2"/>
  <c r="F301" i="2"/>
  <c r="G301" i="2"/>
  <c r="H301" i="2"/>
  <c r="D302" i="2"/>
  <c r="E302" i="2"/>
  <c r="F302" i="2"/>
  <c r="G302" i="2"/>
  <c r="H302" i="2"/>
  <c r="D303" i="2"/>
  <c r="E303" i="2"/>
  <c r="F303" i="2"/>
  <c r="G303" i="2"/>
  <c r="H303" i="2"/>
  <c r="D304" i="2"/>
  <c r="E304" i="2"/>
  <c r="F304" i="2"/>
  <c r="G304" i="2"/>
  <c r="H304" i="2"/>
  <c r="D305" i="2"/>
  <c r="E305" i="2"/>
  <c r="F305" i="2"/>
  <c r="G305" i="2"/>
  <c r="H305" i="2"/>
  <c r="D306" i="2"/>
  <c r="E306" i="2"/>
  <c r="F306" i="2"/>
  <c r="G306" i="2"/>
  <c r="H306" i="2"/>
  <c r="D307" i="2"/>
  <c r="E307" i="2"/>
  <c r="F307" i="2"/>
  <c r="G307" i="2"/>
  <c r="H307" i="2"/>
  <c r="D308" i="2"/>
  <c r="E308" i="2"/>
  <c r="F308" i="2"/>
  <c r="G308" i="2"/>
  <c r="H308" i="2"/>
  <c r="D309" i="2"/>
  <c r="E309" i="2"/>
  <c r="F309" i="2"/>
  <c r="G309" i="2"/>
  <c r="H309" i="2"/>
  <c r="D310" i="2"/>
  <c r="E310" i="2"/>
  <c r="F310" i="2"/>
  <c r="G310" i="2"/>
  <c r="H310" i="2"/>
  <c r="D311" i="2"/>
  <c r="E311" i="2"/>
  <c r="F311" i="2"/>
  <c r="G311" i="2"/>
  <c r="H311" i="2"/>
  <c r="D312" i="2"/>
  <c r="E312" i="2"/>
  <c r="F312" i="2"/>
  <c r="G312" i="2"/>
  <c r="H312" i="2"/>
  <c r="D313" i="2"/>
  <c r="E313" i="2"/>
  <c r="F313" i="2"/>
  <c r="G313" i="2"/>
  <c r="H313" i="2"/>
  <c r="D314" i="2"/>
  <c r="E314" i="2"/>
  <c r="F314" i="2"/>
  <c r="G314" i="2"/>
  <c r="H314" i="2"/>
  <c r="D315" i="2"/>
  <c r="E315" i="2"/>
  <c r="F315" i="2"/>
  <c r="G315" i="2"/>
  <c r="H315" i="2"/>
  <c r="D316" i="2"/>
  <c r="E316" i="2"/>
  <c r="F316" i="2"/>
  <c r="G316" i="2"/>
  <c r="H316" i="2"/>
  <c r="D317" i="2"/>
  <c r="E317" i="2"/>
  <c r="F317" i="2"/>
  <c r="G317" i="2"/>
  <c r="H317" i="2"/>
  <c r="D318" i="2"/>
  <c r="E318" i="2"/>
  <c r="F318" i="2"/>
  <c r="G318" i="2"/>
  <c r="H318" i="2"/>
  <c r="D319" i="2"/>
  <c r="E319" i="2"/>
  <c r="F319" i="2"/>
  <c r="G319" i="2"/>
  <c r="H319" i="2"/>
  <c r="D320" i="2"/>
  <c r="E320" i="2"/>
  <c r="F320" i="2"/>
  <c r="G320" i="2"/>
  <c r="H320" i="2"/>
  <c r="D321" i="2"/>
  <c r="E321" i="2"/>
  <c r="F321" i="2"/>
  <c r="G321" i="2"/>
  <c r="H321" i="2"/>
  <c r="D322" i="2"/>
  <c r="E322" i="2"/>
  <c r="F322" i="2"/>
  <c r="G322" i="2"/>
  <c r="H322" i="2"/>
  <c r="D323" i="2"/>
  <c r="E323" i="2"/>
  <c r="F323" i="2"/>
  <c r="G323" i="2"/>
  <c r="H323" i="2"/>
  <c r="D324" i="2"/>
  <c r="E324" i="2"/>
  <c r="F324" i="2"/>
  <c r="G324" i="2"/>
  <c r="H324" i="2"/>
  <c r="D325" i="2"/>
  <c r="E325" i="2"/>
  <c r="F325" i="2"/>
  <c r="G325" i="2"/>
  <c r="H325" i="2"/>
  <c r="D326" i="2"/>
  <c r="E326" i="2"/>
  <c r="F326" i="2"/>
  <c r="G326" i="2"/>
  <c r="H326" i="2"/>
  <c r="D327" i="2"/>
  <c r="E327" i="2"/>
  <c r="F327" i="2"/>
  <c r="G327" i="2"/>
  <c r="H327" i="2"/>
  <c r="D328" i="2"/>
  <c r="E328" i="2"/>
  <c r="F328" i="2"/>
  <c r="G328" i="2"/>
  <c r="H328" i="2"/>
  <c r="D329" i="2"/>
  <c r="E329" i="2"/>
  <c r="F329" i="2"/>
  <c r="G329" i="2"/>
  <c r="H329" i="2"/>
  <c r="D330" i="2"/>
  <c r="E330" i="2"/>
  <c r="F330" i="2"/>
  <c r="G330" i="2"/>
  <c r="H330" i="2"/>
  <c r="D331" i="2"/>
  <c r="E331" i="2"/>
  <c r="F331" i="2"/>
  <c r="G331" i="2"/>
  <c r="H331" i="2"/>
  <c r="D332" i="2"/>
  <c r="E332" i="2"/>
  <c r="F332" i="2"/>
  <c r="G332" i="2"/>
  <c r="H332" i="2"/>
  <c r="D333" i="2"/>
  <c r="E333" i="2"/>
  <c r="F333" i="2"/>
  <c r="G333" i="2"/>
  <c r="H333" i="2"/>
  <c r="D334" i="2"/>
  <c r="E334" i="2"/>
  <c r="F334" i="2"/>
  <c r="G334" i="2"/>
  <c r="H334" i="2"/>
  <c r="D335" i="2"/>
  <c r="E335" i="2"/>
  <c r="F335" i="2"/>
  <c r="G335" i="2"/>
  <c r="H335" i="2"/>
  <c r="D336" i="2"/>
  <c r="E336" i="2"/>
  <c r="F336" i="2"/>
  <c r="G336" i="2"/>
  <c r="H336" i="2"/>
  <c r="D337" i="2"/>
  <c r="E337" i="2"/>
  <c r="F337" i="2"/>
  <c r="G337" i="2"/>
  <c r="H337" i="2"/>
  <c r="D338" i="2"/>
  <c r="E338" i="2"/>
  <c r="F338" i="2"/>
  <c r="G338" i="2"/>
  <c r="H338" i="2"/>
  <c r="D339" i="2"/>
  <c r="E339" i="2"/>
  <c r="F339" i="2"/>
  <c r="G339" i="2"/>
  <c r="H339" i="2"/>
  <c r="D340" i="2"/>
  <c r="E340" i="2"/>
  <c r="F340" i="2"/>
  <c r="G340" i="2"/>
  <c r="H340" i="2"/>
  <c r="D341" i="2"/>
  <c r="E341" i="2"/>
  <c r="F341" i="2"/>
  <c r="G341" i="2"/>
  <c r="H341" i="2"/>
  <c r="D342" i="2"/>
  <c r="E342" i="2"/>
  <c r="F342" i="2"/>
  <c r="G342" i="2"/>
  <c r="H342" i="2"/>
  <c r="D343" i="2"/>
  <c r="E343" i="2"/>
  <c r="F343" i="2"/>
  <c r="G343" i="2"/>
  <c r="H343" i="2"/>
  <c r="D344" i="2"/>
  <c r="E344" i="2"/>
  <c r="F344" i="2"/>
  <c r="G344" i="2"/>
  <c r="H344" i="2"/>
  <c r="D345" i="2"/>
  <c r="E345" i="2"/>
  <c r="F345" i="2"/>
  <c r="G345" i="2"/>
  <c r="H345" i="2"/>
  <c r="D346" i="2"/>
  <c r="E346" i="2"/>
  <c r="F346" i="2"/>
  <c r="G346" i="2"/>
  <c r="H346" i="2"/>
  <c r="D347" i="2"/>
  <c r="E347" i="2"/>
  <c r="F347" i="2"/>
  <c r="G347" i="2"/>
  <c r="H347" i="2"/>
  <c r="D348" i="2"/>
  <c r="E348" i="2"/>
  <c r="F348" i="2"/>
  <c r="G348" i="2"/>
  <c r="H348" i="2"/>
  <c r="D349" i="2"/>
  <c r="E349" i="2"/>
  <c r="F349" i="2"/>
  <c r="G349" i="2"/>
  <c r="H349" i="2"/>
  <c r="D350" i="2"/>
  <c r="E350" i="2"/>
  <c r="F350" i="2"/>
  <c r="G350" i="2"/>
  <c r="H350" i="2"/>
  <c r="D351" i="2"/>
  <c r="E351" i="2"/>
  <c r="F351" i="2"/>
  <c r="G351" i="2"/>
  <c r="H351" i="2"/>
  <c r="D352" i="2"/>
  <c r="E352" i="2"/>
  <c r="F352" i="2"/>
  <c r="G352" i="2"/>
  <c r="H352" i="2"/>
  <c r="D353" i="2"/>
  <c r="E353" i="2"/>
  <c r="F353" i="2"/>
  <c r="G353" i="2"/>
  <c r="H353" i="2"/>
  <c r="D354" i="2"/>
  <c r="E354" i="2"/>
  <c r="F354" i="2"/>
  <c r="G354" i="2"/>
  <c r="H354" i="2"/>
  <c r="D355" i="2"/>
  <c r="E355" i="2"/>
  <c r="F355" i="2"/>
  <c r="G355" i="2"/>
  <c r="H355" i="2"/>
  <c r="D356" i="2"/>
  <c r="E356" i="2"/>
  <c r="F356" i="2"/>
  <c r="G356" i="2"/>
  <c r="H356" i="2"/>
  <c r="D357" i="2"/>
  <c r="E357" i="2"/>
  <c r="F357" i="2"/>
  <c r="G357" i="2"/>
  <c r="H357" i="2"/>
  <c r="D358" i="2"/>
  <c r="E358" i="2"/>
  <c r="F358" i="2"/>
  <c r="G358" i="2"/>
  <c r="H358" i="2"/>
  <c r="D359" i="2"/>
  <c r="E359" i="2"/>
  <c r="F359" i="2"/>
  <c r="G359" i="2"/>
  <c r="H359" i="2"/>
  <c r="D360" i="2"/>
  <c r="E360" i="2"/>
  <c r="F360" i="2"/>
  <c r="G360" i="2"/>
  <c r="H360" i="2"/>
  <c r="D361" i="2"/>
  <c r="E361" i="2"/>
  <c r="F361" i="2"/>
  <c r="G361" i="2"/>
  <c r="H361" i="2"/>
  <c r="D362" i="2"/>
  <c r="E362" i="2"/>
  <c r="F362" i="2"/>
  <c r="G362" i="2"/>
  <c r="H362" i="2"/>
  <c r="D363" i="2"/>
  <c r="E363" i="2"/>
  <c r="F363" i="2"/>
  <c r="G363" i="2"/>
  <c r="H363" i="2"/>
  <c r="D364" i="2"/>
  <c r="E364" i="2"/>
  <c r="F364" i="2"/>
  <c r="G364" i="2"/>
  <c r="H364" i="2"/>
  <c r="D365" i="2"/>
  <c r="E365" i="2"/>
  <c r="F365" i="2"/>
  <c r="G365" i="2"/>
  <c r="H365" i="2"/>
  <c r="D366" i="2"/>
  <c r="E366" i="2"/>
  <c r="F366" i="2"/>
  <c r="G366" i="2"/>
  <c r="H366" i="2"/>
  <c r="D367" i="2"/>
  <c r="E367" i="2"/>
  <c r="F367" i="2"/>
  <c r="G367" i="2"/>
  <c r="H367" i="2"/>
  <c r="D368" i="2"/>
  <c r="E368" i="2"/>
  <c r="F368" i="2"/>
  <c r="G368" i="2"/>
  <c r="H368" i="2"/>
  <c r="D369" i="2"/>
  <c r="E369" i="2"/>
  <c r="F369" i="2"/>
  <c r="G369" i="2"/>
  <c r="H369" i="2"/>
  <c r="D370" i="2"/>
  <c r="E370" i="2"/>
  <c r="F370" i="2"/>
  <c r="G370" i="2"/>
  <c r="H370" i="2"/>
  <c r="D371" i="2"/>
  <c r="E371" i="2"/>
  <c r="F371" i="2"/>
  <c r="G371" i="2"/>
  <c r="H371" i="2"/>
  <c r="D372" i="2"/>
  <c r="E372" i="2"/>
  <c r="F372" i="2"/>
  <c r="G372" i="2"/>
  <c r="H372" i="2"/>
  <c r="D373" i="2"/>
  <c r="E373" i="2"/>
  <c r="F373" i="2"/>
  <c r="G373" i="2"/>
  <c r="H373" i="2"/>
  <c r="D374" i="2"/>
  <c r="E374" i="2"/>
  <c r="F374" i="2"/>
  <c r="G374" i="2"/>
  <c r="H374" i="2"/>
  <c r="D375" i="2"/>
  <c r="E375" i="2"/>
  <c r="F375" i="2"/>
  <c r="G375" i="2"/>
  <c r="H375" i="2"/>
  <c r="D376" i="2"/>
  <c r="E376" i="2"/>
  <c r="F376" i="2"/>
  <c r="G376" i="2"/>
  <c r="H376" i="2"/>
  <c r="D377" i="2"/>
  <c r="E377" i="2"/>
  <c r="F377" i="2"/>
  <c r="G377" i="2"/>
  <c r="H377" i="2"/>
  <c r="D378" i="2"/>
  <c r="E378" i="2"/>
  <c r="F378" i="2"/>
  <c r="G378" i="2"/>
  <c r="H378" i="2"/>
  <c r="D379" i="2"/>
  <c r="E379" i="2"/>
  <c r="F379" i="2"/>
  <c r="G379" i="2"/>
  <c r="H379" i="2"/>
  <c r="D380" i="2"/>
  <c r="E380" i="2"/>
  <c r="F380" i="2"/>
  <c r="G380" i="2"/>
  <c r="H380" i="2"/>
  <c r="D381" i="2"/>
  <c r="E381" i="2"/>
  <c r="F381" i="2"/>
  <c r="G381" i="2"/>
  <c r="H381" i="2"/>
  <c r="D382" i="2"/>
  <c r="E382" i="2"/>
  <c r="F382" i="2"/>
  <c r="G382" i="2"/>
  <c r="H382" i="2"/>
  <c r="D383" i="2"/>
  <c r="E383" i="2"/>
  <c r="F383" i="2"/>
  <c r="G383" i="2"/>
  <c r="H383" i="2"/>
  <c r="D384" i="2"/>
  <c r="E384" i="2"/>
  <c r="F384" i="2"/>
  <c r="G384" i="2"/>
  <c r="H384" i="2"/>
  <c r="D385" i="2"/>
  <c r="E385" i="2"/>
  <c r="F385" i="2"/>
  <c r="G385" i="2"/>
  <c r="H385" i="2"/>
  <c r="D386" i="2"/>
  <c r="E386" i="2"/>
  <c r="F386" i="2"/>
  <c r="G386" i="2"/>
  <c r="H386" i="2"/>
  <c r="D387" i="2"/>
  <c r="E387" i="2"/>
  <c r="F387" i="2"/>
  <c r="G387" i="2"/>
  <c r="H387" i="2"/>
  <c r="D388" i="2"/>
  <c r="E388" i="2"/>
  <c r="F388" i="2"/>
  <c r="G388" i="2"/>
  <c r="H388" i="2"/>
  <c r="D389" i="2"/>
  <c r="E389" i="2"/>
  <c r="F389" i="2"/>
  <c r="G389" i="2"/>
  <c r="H389" i="2"/>
  <c r="D390" i="2"/>
  <c r="E390" i="2"/>
  <c r="F390" i="2"/>
  <c r="G390" i="2"/>
  <c r="H390" i="2"/>
  <c r="D391" i="2"/>
  <c r="E391" i="2"/>
  <c r="F391" i="2"/>
  <c r="G391" i="2"/>
  <c r="H391" i="2"/>
  <c r="D392" i="2"/>
  <c r="E392" i="2"/>
  <c r="F392" i="2"/>
  <c r="G392" i="2"/>
  <c r="H392" i="2"/>
  <c r="D393" i="2"/>
  <c r="E393" i="2"/>
  <c r="F393" i="2"/>
  <c r="G393" i="2"/>
  <c r="H393" i="2"/>
  <c r="D394" i="2"/>
  <c r="E394" i="2"/>
  <c r="F394" i="2"/>
  <c r="G394" i="2"/>
  <c r="H394" i="2"/>
  <c r="D395" i="2"/>
  <c r="E395" i="2"/>
  <c r="F395" i="2"/>
  <c r="G395" i="2"/>
  <c r="H395" i="2"/>
  <c r="D396" i="2"/>
  <c r="E396" i="2"/>
  <c r="F396" i="2"/>
  <c r="G396" i="2"/>
  <c r="H396" i="2"/>
  <c r="D397" i="2"/>
  <c r="E397" i="2"/>
  <c r="F397" i="2"/>
  <c r="G397" i="2"/>
  <c r="H397" i="2"/>
  <c r="D398" i="2"/>
  <c r="E398" i="2"/>
  <c r="F398" i="2"/>
  <c r="G398" i="2"/>
  <c r="H398" i="2"/>
  <c r="D399" i="2"/>
  <c r="E399" i="2"/>
  <c r="F399" i="2"/>
  <c r="G399" i="2"/>
  <c r="H399" i="2"/>
  <c r="D400" i="2"/>
  <c r="E400" i="2"/>
  <c r="F400" i="2"/>
  <c r="G400" i="2"/>
  <c r="H400" i="2"/>
  <c r="D401" i="2"/>
  <c r="E401" i="2"/>
  <c r="F401" i="2"/>
  <c r="G401" i="2"/>
  <c r="H401" i="2"/>
  <c r="D402" i="2"/>
  <c r="E402" i="2"/>
  <c r="F402" i="2"/>
  <c r="G402" i="2"/>
  <c r="H402" i="2"/>
  <c r="D403" i="2"/>
  <c r="E403" i="2"/>
  <c r="F403" i="2"/>
  <c r="G403" i="2"/>
  <c r="H403" i="2"/>
  <c r="D404" i="2"/>
  <c r="E404" i="2"/>
  <c r="F404" i="2"/>
  <c r="G404" i="2"/>
  <c r="H404" i="2"/>
  <c r="D405" i="2"/>
  <c r="E405" i="2"/>
  <c r="F405" i="2"/>
  <c r="G405" i="2"/>
  <c r="H405" i="2"/>
  <c r="D406" i="2"/>
  <c r="E406" i="2"/>
  <c r="F406" i="2"/>
  <c r="G406" i="2"/>
  <c r="H406" i="2"/>
  <c r="D407" i="2"/>
  <c r="E407" i="2"/>
  <c r="F407" i="2"/>
  <c r="G407" i="2"/>
  <c r="H407" i="2"/>
  <c r="D408" i="2"/>
  <c r="E408" i="2"/>
  <c r="F408" i="2"/>
  <c r="G408" i="2"/>
  <c r="H408" i="2"/>
  <c r="D409" i="2"/>
  <c r="E409" i="2"/>
  <c r="F409" i="2"/>
  <c r="G409" i="2"/>
  <c r="H409" i="2"/>
  <c r="D410" i="2"/>
  <c r="E410" i="2"/>
  <c r="F410" i="2"/>
  <c r="G410" i="2"/>
  <c r="H410" i="2"/>
  <c r="D411" i="2"/>
  <c r="E411" i="2"/>
  <c r="F411" i="2"/>
  <c r="G411" i="2"/>
  <c r="H411" i="2"/>
  <c r="D412" i="2"/>
  <c r="E412" i="2"/>
  <c r="F412" i="2"/>
  <c r="G412" i="2"/>
  <c r="H412" i="2"/>
  <c r="D413" i="2"/>
  <c r="E413" i="2"/>
  <c r="F413" i="2"/>
  <c r="G413" i="2"/>
  <c r="H413" i="2"/>
  <c r="D414" i="2"/>
  <c r="E414" i="2"/>
  <c r="F414" i="2"/>
  <c r="G414" i="2"/>
  <c r="H414" i="2"/>
  <c r="D415" i="2"/>
  <c r="E415" i="2"/>
  <c r="F415" i="2"/>
  <c r="G415" i="2"/>
  <c r="H415" i="2"/>
  <c r="D416" i="2"/>
  <c r="E416" i="2"/>
  <c r="F416" i="2"/>
  <c r="G416" i="2"/>
  <c r="H416" i="2"/>
  <c r="D417" i="2"/>
  <c r="E417" i="2"/>
  <c r="F417" i="2"/>
  <c r="G417" i="2"/>
  <c r="H417" i="2"/>
  <c r="D418" i="2"/>
  <c r="E418" i="2"/>
  <c r="F418" i="2"/>
  <c r="G418" i="2"/>
  <c r="H418" i="2"/>
  <c r="D419" i="2"/>
  <c r="E419" i="2"/>
  <c r="F419" i="2"/>
  <c r="G419" i="2"/>
  <c r="H419" i="2"/>
  <c r="D420" i="2"/>
  <c r="E420" i="2"/>
  <c r="F420" i="2"/>
  <c r="G420" i="2"/>
  <c r="H420" i="2"/>
  <c r="D421" i="2"/>
  <c r="E421" i="2"/>
  <c r="F421" i="2"/>
  <c r="G421" i="2"/>
  <c r="H421" i="2"/>
  <c r="D422" i="2"/>
  <c r="E422" i="2"/>
  <c r="F422" i="2"/>
  <c r="G422" i="2"/>
  <c r="H422" i="2"/>
  <c r="D423" i="2"/>
  <c r="E423" i="2"/>
  <c r="F423" i="2"/>
  <c r="G423" i="2"/>
  <c r="H423" i="2"/>
  <c r="D424" i="2"/>
  <c r="E424" i="2"/>
  <c r="F424" i="2"/>
  <c r="G424" i="2"/>
  <c r="H424" i="2"/>
  <c r="D425" i="2"/>
  <c r="E425" i="2"/>
  <c r="F425" i="2"/>
  <c r="G425" i="2"/>
  <c r="H425" i="2"/>
  <c r="D426" i="2"/>
  <c r="E426" i="2"/>
  <c r="F426" i="2"/>
  <c r="G426" i="2"/>
  <c r="H426" i="2"/>
  <c r="D427" i="2"/>
  <c r="E427" i="2"/>
  <c r="F427" i="2"/>
  <c r="G427" i="2"/>
  <c r="H427" i="2"/>
  <c r="D428" i="2"/>
  <c r="E428" i="2"/>
  <c r="F428" i="2"/>
  <c r="G428" i="2"/>
  <c r="H428" i="2"/>
  <c r="D429" i="2"/>
  <c r="E429" i="2"/>
  <c r="F429" i="2"/>
  <c r="G429" i="2"/>
  <c r="H429" i="2"/>
  <c r="D430" i="2"/>
  <c r="E430" i="2"/>
  <c r="F430" i="2"/>
  <c r="G430" i="2"/>
  <c r="H430" i="2"/>
  <c r="D431" i="2"/>
  <c r="E431" i="2"/>
  <c r="F431" i="2"/>
  <c r="G431" i="2"/>
  <c r="H431" i="2"/>
  <c r="D432" i="2"/>
  <c r="E432" i="2"/>
  <c r="F432" i="2"/>
  <c r="G432" i="2"/>
  <c r="H432" i="2"/>
  <c r="D433" i="2"/>
  <c r="E433" i="2"/>
  <c r="F433" i="2"/>
  <c r="G433" i="2"/>
  <c r="H433" i="2"/>
  <c r="D434" i="2"/>
  <c r="E434" i="2"/>
  <c r="F434" i="2"/>
  <c r="G434" i="2"/>
  <c r="H434" i="2"/>
  <c r="D435" i="2"/>
  <c r="E435" i="2"/>
  <c r="F435" i="2"/>
  <c r="G435" i="2"/>
  <c r="H435" i="2"/>
  <c r="D436" i="2"/>
  <c r="E436" i="2"/>
  <c r="F436" i="2"/>
  <c r="G436" i="2"/>
  <c r="H436" i="2"/>
  <c r="D437" i="2"/>
  <c r="E437" i="2"/>
  <c r="F437" i="2"/>
  <c r="G437" i="2"/>
  <c r="H437" i="2"/>
  <c r="D438" i="2"/>
  <c r="E438" i="2"/>
  <c r="F438" i="2"/>
  <c r="G438" i="2"/>
  <c r="H438" i="2"/>
  <c r="D439" i="2"/>
  <c r="E439" i="2"/>
  <c r="F439" i="2"/>
  <c r="G439" i="2"/>
  <c r="H439" i="2"/>
  <c r="D440" i="2"/>
  <c r="E440" i="2"/>
  <c r="F440" i="2"/>
  <c r="G440" i="2"/>
  <c r="H440" i="2"/>
  <c r="D441" i="2"/>
  <c r="E441" i="2"/>
  <c r="F441" i="2"/>
  <c r="G441" i="2"/>
  <c r="H441" i="2"/>
  <c r="D442" i="2"/>
  <c r="E442" i="2"/>
  <c r="F442" i="2"/>
  <c r="G442" i="2"/>
  <c r="H442" i="2"/>
  <c r="D443" i="2"/>
  <c r="E443" i="2"/>
  <c r="F443" i="2"/>
  <c r="G443" i="2"/>
  <c r="H443" i="2"/>
  <c r="D444" i="2"/>
  <c r="E444" i="2"/>
  <c r="F444" i="2"/>
  <c r="G444" i="2"/>
  <c r="H444" i="2"/>
  <c r="D445" i="2"/>
  <c r="E445" i="2"/>
  <c r="F445" i="2"/>
  <c r="G445" i="2"/>
  <c r="H445" i="2"/>
  <c r="D446" i="2"/>
  <c r="E446" i="2"/>
  <c r="F446" i="2"/>
  <c r="G446" i="2"/>
  <c r="H446" i="2"/>
  <c r="D447" i="2"/>
  <c r="E447" i="2"/>
  <c r="F447" i="2"/>
  <c r="G447" i="2"/>
  <c r="H447" i="2"/>
  <c r="D448" i="2"/>
  <c r="E448" i="2"/>
  <c r="F448" i="2"/>
  <c r="G448" i="2"/>
  <c r="H448" i="2"/>
  <c r="D449" i="2"/>
  <c r="E449" i="2"/>
  <c r="F449" i="2"/>
  <c r="G449" i="2"/>
  <c r="H449" i="2"/>
  <c r="D450" i="2"/>
  <c r="E450" i="2"/>
  <c r="F450" i="2"/>
  <c r="G450" i="2"/>
  <c r="H450" i="2"/>
  <c r="D451" i="2"/>
  <c r="E451" i="2"/>
  <c r="F451" i="2"/>
  <c r="G451" i="2"/>
  <c r="H451" i="2"/>
  <c r="D452" i="2"/>
  <c r="E452" i="2"/>
  <c r="F452" i="2"/>
  <c r="G452" i="2"/>
  <c r="H452" i="2"/>
  <c r="D453" i="2"/>
  <c r="E453" i="2"/>
  <c r="F453" i="2"/>
  <c r="G453" i="2"/>
  <c r="H453" i="2"/>
  <c r="D454" i="2"/>
  <c r="E454" i="2"/>
  <c r="F454" i="2"/>
  <c r="G454" i="2"/>
  <c r="H454" i="2"/>
  <c r="D455" i="2"/>
  <c r="E455" i="2"/>
  <c r="F455" i="2"/>
  <c r="G455" i="2"/>
  <c r="H455" i="2"/>
  <c r="D456" i="2"/>
  <c r="E456" i="2"/>
  <c r="F456" i="2"/>
  <c r="G456" i="2"/>
  <c r="H456" i="2"/>
  <c r="D457" i="2"/>
  <c r="E457" i="2"/>
  <c r="F457" i="2"/>
  <c r="G457" i="2"/>
  <c r="H457" i="2"/>
  <c r="D458" i="2"/>
  <c r="E458" i="2"/>
  <c r="F458" i="2"/>
  <c r="G458" i="2"/>
  <c r="H458" i="2"/>
  <c r="D459" i="2"/>
  <c r="E459" i="2"/>
  <c r="F459" i="2"/>
  <c r="G459" i="2"/>
  <c r="H459" i="2"/>
  <c r="D460" i="2"/>
  <c r="E460" i="2"/>
  <c r="F460" i="2"/>
  <c r="G460" i="2"/>
  <c r="H460" i="2"/>
  <c r="D461" i="2"/>
  <c r="E461" i="2"/>
  <c r="F461" i="2"/>
  <c r="G461" i="2"/>
  <c r="H461" i="2"/>
  <c r="D462" i="2"/>
  <c r="E462" i="2"/>
  <c r="F462" i="2"/>
  <c r="G462" i="2"/>
  <c r="H462" i="2"/>
  <c r="D463" i="2"/>
  <c r="E463" i="2"/>
  <c r="F463" i="2"/>
  <c r="G463" i="2"/>
  <c r="H463" i="2"/>
  <c r="D464" i="2"/>
  <c r="E464" i="2"/>
  <c r="F464" i="2"/>
  <c r="G464" i="2"/>
  <c r="H464" i="2"/>
  <c r="D465" i="2"/>
  <c r="E465" i="2"/>
  <c r="F465" i="2"/>
  <c r="G465" i="2"/>
  <c r="H465" i="2"/>
  <c r="D466" i="2"/>
  <c r="E466" i="2"/>
  <c r="F466" i="2"/>
  <c r="G466" i="2"/>
  <c r="H466" i="2"/>
  <c r="D467" i="2"/>
  <c r="E467" i="2"/>
  <c r="F467" i="2"/>
  <c r="G467" i="2"/>
  <c r="H467" i="2"/>
  <c r="D468" i="2"/>
  <c r="E468" i="2"/>
  <c r="F468" i="2"/>
  <c r="G468" i="2"/>
  <c r="H468" i="2"/>
  <c r="D469" i="2"/>
  <c r="E469" i="2"/>
  <c r="F469" i="2"/>
  <c r="G469" i="2"/>
  <c r="H469" i="2"/>
  <c r="D470" i="2"/>
  <c r="E470" i="2"/>
  <c r="F470" i="2"/>
  <c r="G470" i="2"/>
  <c r="H470" i="2"/>
  <c r="D471" i="2"/>
  <c r="E471" i="2"/>
  <c r="F471" i="2"/>
  <c r="G471" i="2"/>
  <c r="H471" i="2"/>
  <c r="D472" i="2"/>
  <c r="E472" i="2"/>
  <c r="F472" i="2"/>
  <c r="G472" i="2"/>
  <c r="H472" i="2"/>
  <c r="D473" i="2"/>
  <c r="E473" i="2"/>
  <c r="F473" i="2"/>
  <c r="G473" i="2"/>
  <c r="H473" i="2"/>
  <c r="D474" i="2"/>
  <c r="E474" i="2"/>
  <c r="F474" i="2"/>
  <c r="G474" i="2"/>
  <c r="H474" i="2"/>
  <c r="D475" i="2"/>
  <c r="E475" i="2"/>
  <c r="F475" i="2"/>
  <c r="G475" i="2"/>
  <c r="H475" i="2"/>
  <c r="D476" i="2"/>
  <c r="E476" i="2"/>
  <c r="F476" i="2"/>
  <c r="G476" i="2"/>
  <c r="H476" i="2"/>
  <c r="D477" i="2"/>
  <c r="E477" i="2"/>
  <c r="F477" i="2"/>
  <c r="G477" i="2"/>
  <c r="H477" i="2"/>
  <c r="D478" i="2"/>
  <c r="E478" i="2"/>
  <c r="F478" i="2"/>
  <c r="G478" i="2"/>
  <c r="H478" i="2"/>
  <c r="D479" i="2"/>
  <c r="E479" i="2"/>
  <c r="F479" i="2"/>
  <c r="G479" i="2"/>
  <c r="H479" i="2"/>
  <c r="D480" i="2"/>
  <c r="E480" i="2"/>
  <c r="F480" i="2"/>
  <c r="G480" i="2"/>
  <c r="H480" i="2"/>
  <c r="D481" i="2"/>
  <c r="E481" i="2"/>
  <c r="F481" i="2"/>
  <c r="G481" i="2"/>
  <c r="H481" i="2"/>
  <c r="D482" i="2"/>
  <c r="E482" i="2"/>
  <c r="F482" i="2"/>
  <c r="G482" i="2"/>
  <c r="H482" i="2"/>
  <c r="D483" i="2"/>
  <c r="E483" i="2"/>
  <c r="F483" i="2"/>
  <c r="G483" i="2"/>
  <c r="H483" i="2"/>
  <c r="D484" i="2"/>
  <c r="E484" i="2"/>
  <c r="F484" i="2"/>
  <c r="G484" i="2"/>
  <c r="H484" i="2"/>
  <c r="D485" i="2"/>
  <c r="E485" i="2"/>
  <c r="F485" i="2"/>
  <c r="G485" i="2"/>
  <c r="H485" i="2"/>
  <c r="D486" i="2"/>
  <c r="E486" i="2"/>
  <c r="F486" i="2"/>
  <c r="G486" i="2"/>
  <c r="H486" i="2"/>
  <c r="D487" i="2"/>
  <c r="E487" i="2"/>
  <c r="F487" i="2"/>
  <c r="G487" i="2"/>
  <c r="H487" i="2"/>
  <c r="D488" i="2"/>
  <c r="E488" i="2"/>
  <c r="F488" i="2"/>
  <c r="G488" i="2"/>
  <c r="H488" i="2"/>
  <c r="D489" i="2"/>
  <c r="E489" i="2"/>
  <c r="F489" i="2"/>
  <c r="G489" i="2"/>
  <c r="H489" i="2"/>
  <c r="D490" i="2"/>
  <c r="E490" i="2"/>
  <c r="F490" i="2"/>
  <c r="G490" i="2"/>
  <c r="H490" i="2"/>
  <c r="D491" i="2"/>
  <c r="E491" i="2"/>
  <c r="F491" i="2"/>
  <c r="G491" i="2"/>
  <c r="H491" i="2"/>
  <c r="D492" i="2"/>
  <c r="E492" i="2"/>
  <c r="F492" i="2"/>
  <c r="G492" i="2"/>
  <c r="H492" i="2"/>
  <c r="D493" i="2"/>
  <c r="E493" i="2"/>
  <c r="F493" i="2"/>
  <c r="G493" i="2"/>
  <c r="H493" i="2"/>
  <c r="D494" i="2"/>
  <c r="E494" i="2"/>
  <c r="F494" i="2"/>
  <c r="G494" i="2"/>
  <c r="H494" i="2"/>
  <c r="D495" i="2"/>
  <c r="E495" i="2"/>
  <c r="F495" i="2"/>
  <c r="G495" i="2"/>
  <c r="H495" i="2"/>
  <c r="D496" i="2"/>
  <c r="E496" i="2"/>
  <c r="F496" i="2"/>
  <c r="G496" i="2"/>
  <c r="H496" i="2"/>
  <c r="D497" i="2"/>
  <c r="E497" i="2"/>
  <c r="F497" i="2"/>
  <c r="G497" i="2"/>
  <c r="H497" i="2"/>
  <c r="D498" i="2"/>
  <c r="E498" i="2"/>
  <c r="F498" i="2"/>
  <c r="G498" i="2"/>
  <c r="H498" i="2"/>
  <c r="D499" i="2"/>
  <c r="E499" i="2"/>
  <c r="F499" i="2"/>
  <c r="G499" i="2"/>
  <c r="H499" i="2"/>
  <c r="D500" i="2"/>
  <c r="E500" i="2"/>
  <c r="F500" i="2"/>
  <c r="G500" i="2"/>
  <c r="H500" i="2"/>
  <c r="D501" i="2"/>
  <c r="E501" i="2"/>
  <c r="F501" i="2"/>
  <c r="G501" i="2"/>
  <c r="H501" i="2"/>
  <c r="D502" i="2"/>
  <c r="E502" i="2"/>
  <c r="F502" i="2"/>
  <c r="G502" i="2"/>
  <c r="H502" i="2"/>
  <c r="D503" i="2"/>
  <c r="E503" i="2"/>
  <c r="F503" i="2"/>
  <c r="G503" i="2"/>
  <c r="H503" i="2"/>
  <c r="D504" i="2"/>
  <c r="E504" i="2"/>
  <c r="F504" i="2"/>
  <c r="G504" i="2"/>
  <c r="H504" i="2"/>
  <c r="D505" i="2"/>
  <c r="E505" i="2"/>
  <c r="F505" i="2"/>
  <c r="G505" i="2"/>
  <c r="H505" i="2"/>
  <c r="D506" i="2"/>
  <c r="E506" i="2"/>
  <c r="F506" i="2"/>
  <c r="G506" i="2"/>
  <c r="H506" i="2"/>
  <c r="D507" i="2"/>
  <c r="E507" i="2"/>
  <c r="F507" i="2"/>
  <c r="G507" i="2"/>
  <c r="H507" i="2"/>
  <c r="D508" i="2"/>
  <c r="E508" i="2"/>
  <c r="F508" i="2"/>
  <c r="G508" i="2"/>
  <c r="H508" i="2"/>
  <c r="D509" i="2"/>
  <c r="E509" i="2"/>
  <c r="F509" i="2"/>
  <c r="G509" i="2"/>
  <c r="H509" i="2"/>
  <c r="D510" i="2"/>
  <c r="E510" i="2"/>
  <c r="F510" i="2"/>
  <c r="G510" i="2"/>
  <c r="H510" i="2"/>
  <c r="D511" i="2"/>
  <c r="E511" i="2"/>
  <c r="F511" i="2"/>
  <c r="G511" i="2"/>
  <c r="H511" i="2"/>
  <c r="D512" i="2"/>
  <c r="E512" i="2"/>
  <c r="F512" i="2"/>
  <c r="G512" i="2"/>
  <c r="H512" i="2"/>
  <c r="D513" i="2"/>
  <c r="E513" i="2"/>
  <c r="F513" i="2"/>
  <c r="G513" i="2"/>
  <c r="H513" i="2"/>
  <c r="D514" i="2"/>
  <c r="E514" i="2"/>
  <c r="F514" i="2"/>
  <c r="G514" i="2"/>
  <c r="H514" i="2"/>
  <c r="D515" i="2"/>
  <c r="E515" i="2"/>
  <c r="F515" i="2"/>
  <c r="G515" i="2"/>
  <c r="H515" i="2"/>
  <c r="D516" i="2"/>
  <c r="E516" i="2"/>
  <c r="F516" i="2"/>
  <c r="G516" i="2"/>
  <c r="H516" i="2"/>
  <c r="D517" i="2"/>
  <c r="E517" i="2"/>
  <c r="F517" i="2"/>
  <c r="G517" i="2"/>
  <c r="H517" i="2"/>
  <c r="D518" i="2"/>
  <c r="E518" i="2"/>
  <c r="F518" i="2"/>
  <c r="G518" i="2"/>
  <c r="H518" i="2"/>
  <c r="D519" i="2"/>
  <c r="E519" i="2"/>
  <c r="F519" i="2"/>
  <c r="G519" i="2"/>
  <c r="H519" i="2"/>
  <c r="D520" i="2"/>
  <c r="E520" i="2"/>
  <c r="F520" i="2"/>
  <c r="G520" i="2"/>
  <c r="H520" i="2"/>
  <c r="D521" i="2"/>
  <c r="E521" i="2"/>
  <c r="F521" i="2"/>
  <c r="G521" i="2"/>
  <c r="H521" i="2"/>
  <c r="D522" i="2"/>
  <c r="E522" i="2"/>
  <c r="F522" i="2"/>
  <c r="G522" i="2"/>
  <c r="H522" i="2"/>
  <c r="D523" i="2"/>
  <c r="E523" i="2"/>
  <c r="F523" i="2"/>
  <c r="G523" i="2"/>
  <c r="H523" i="2"/>
  <c r="D524" i="2"/>
  <c r="E524" i="2"/>
  <c r="F524" i="2"/>
  <c r="G524" i="2"/>
  <c r="H524" i="2"/>
  <c r="D525" i="2"/>
  <c r="E525" i="2"/>
  <c r="F525" i="2"/>
  <c r="G525" i="2"/>
  <c r="H525" i="2"/>
  <c r="D526" i="2"/>
  <c r="E526" i="2"/>
  <c r="F526" i="2"/>
  <c r="G526" i="2"/>
  <c r="H526" i="2"/>
  <c r="D527" i="2"/>
  <c r="E527" i="2"/>
  <c r="F527" i="2"/>
  <c r="G527" i="2"/>
  <c r="H527" i="2"/>
  <c r="D528" i="2"/>
  <c r="E528" i="2"/>
  <c r="F528" i="2"/>
  <c r="G528" i="2"/>
  <c r="H528" i="2"/>
  <c r="D529" i="2"/>
  <c r="E529" i="2"/>
  <c r="F529" i="2"/>
  <c r="G529" i="2"/>
  <c r="H529" i="2"/>
  <c r="D530" i="2"/>
  <c r="E530" i="2"/>
  <c r="F530" i="2"/>
  <c r="G530" i="2"/>
  <c r="H530" i="2"/>
  <c r="D531" i="2"/>
  <c r="E531" i="2"/>
  <c r="F531" i="2"/>
  <c r="G531" i="2"/>
  <c r="H531" i="2"/>
  <c r="D532" i="2"/>
  <c r="E532" i="2"/>
  <c r="F532" i="2"/>
  <c r="G532" i="2"/>
  <c r="H532" i="2"/>
  <c r="D533" i="2"/>
  <c r="E533" i="2"/>
  <c r="F533" i="2"/>
  <c r="G533" i="2"/>
  <c r="H533" i="2"/>
  <c r="D534" i="2"/>
  <c r="E534" i="2"/>
  <c r="F534" i="2"/>
  <c r="G534" i="2"/>
  <c r="H534" i="2"/>
  <c r="D535" i="2"/>
  <c r="E535" i="2"/>
  <c r="F535" i="2"/>
  <c r="G535" i="2"/>
  <c r="H535" i="2"/>
  <c r="D536" i="2"/>
  <c r="E536" i="2"/>
  <c r="F536" i="2"/>
  <c r="G536" i="2"/>
  <c r="H536" i="2"/>
  <c r="D537" i="2"/>
  <c r="E537" i="2"/>
  <c r="F537" i="2"/>
  <c r="G537" i="2"/>
  <c r="H537" i="2"/>
  <c r="D538" i="2"/>
  <c r="E538" i="2"/>
  <c r="F538" i="2"/>
  <c r="G538" i="2"/>
  <c r="H538" i="2"/>
  <c r="D539" i="2"/>
  <c r="E539" i="2"/>
  <c r="F539" i="2"/>
  <c r="G539" i="2"/>
  <c r="H539" i="2"/>
  <c r="D540" i="2"/>
  <c r="E540" i="2"/>
  <c r="F540" i="2"/>
  <c r="G540" i="2"/>
  <c r="H540" i="2"/>
  <c r="D541" i="2"/>
  <c r="E541" i="2"/>
  <c r="F541" i="2"/>
  <c r="G541" i="2"/>
  <c r="H541" i="2"/>
  <c r="D542" i="2"/>
  <c r="E542" i="2"/>
  <c r="F542" i="2"/>
  <c r="G542" i="2"/>
  <c r="H542" i="2"/>
  <c r="D543" i="2"/>
  <c r="E543" i="2"/>
  <c r="F543" i="2"/>
  <c r="G543" i="2"/>
  <c r="H543" i="2"/>
  <c r="D544" i="2"/>
  <c r="E544" i="2"/>
  <c r="F544" i="2"/>
  <c r="G544" i="2"/>
  <c r="H544" i="2"/>
  <c r="D545" i="2"/>
  <c r="E545" i="2"/>
  <c r="F545" i="2"/>
  <c r="G545" i="2"/>
  <c r="H545" i="2"/>
  <c r="D546" i="2"/>
  <c r="E546" i="2"/>
  <c r="F546" i="2"/>
  <c r="G546" i="2"/>
  <c r="H546" i="2"/>
  <c r="D547" i="2"/>
  <c r="E547" i="2"/>
  <c r="F547" i="2"/>
  <c r="G547" i="2"/>
  <c r="H547" i="2"/>
  <c r="D548" i="2"/>
  <c r="E548" i="2"/>
  <c r="F548" i="2"/>
  <c r="G548" i="2"/>
  <c r="H548" i="2"/>
  <c r="D549" i="2"/>
  <c r="E549" i="2"/>
  <c r="F549" i="2"/>
  <c r="G549" i="2"/>
  <c r="H549" i="2"/>
  <c r="D550" i="2"/>
  <c r="E550" i="2"/>
  <c r="F550" i="2"/>
  <c r="G550" i="2"/>
  <c r="H550" i="2"/>
  <c r="D551" i="2"/>
  <c r="E551" i="2"/>
  <c r="F551" i="2"/>
  <c r="G551" i="2"/>
  <c r="H551" i="2"/>
  <c r="D552" i="2"/>
  <c r="E552" i="2"/>
  <c r="F552" i="2"/>
  <c r="G552" i="2"/>
  <c r="H552" i="2"/>
  <c r="D553" i="2"/>
  <c r="E553" i="2"/>
  <c r="F553" i="2"/>
  <c r="G553" i="2"/>
  <c r="H553" i="2"/>
  <c r="D554" i="2"/>
  <c r="E554" i="2"/>
  <c r="F554" i="2"/>
  <c r="G554" i="2"/>
  <c r="H554" i="2"/>
  <c r="D555" i="2"/>
  <c r="E555" i="2"/>
  <c r="F555" i="2"/>
  <c r="G555" i="2"/>
  <c r="H555" i="2"/>
  <c r="D556" i="2"/>
  <c r="E556" i="2"/>
  <c r="F556" i="2"/>
  <c r="G556" i="2"/>
  <c r="H556" i="2"/>
  <c r="D557" i="2"/>
  <c r="E557" i="2"/>
  <c r="F557" i="2"/>
  <c r="G557" i="2"/>
  <c r="H557" i="2"/>
  <c r="D558" i="2"/>
  <c r="E558" i="2"/>
  <c r="F558" i="2"/>
  <c r="G558" i="2"/>
  <c r="H558" i="2"/>
  <c r="D559" i="2"/>
  <c r="E559" i="2"/>
  <c r="F559" i="2"/>
  <c r="G559" i="2"/>
  <c r="H559" i="2"/>
  <c r="D560" i="2"/>
  <c r="E560" i="2"/>
  <c r="F560" i="2"/>
  <c r="G560" i="2"/>
  <c r="H560" i="2"/>
  <c r="D561" i="2"/>
  <c r="E561" i="2"/>
  <c r="F561" i="2"/>
  <c r="G561" i="2"/>
  <c r="H561" i="2"/>
  <c r="D562" i="2"/>
  <c r="E562" i="2"/>
  <c r="F562" i="2"/>
  <c r="G562" i="2"/>
  <c r="H562" i="2"/>
  <c r="D563" i="2"/>
  <c r="E563" i="2"/>
  <c r="F563" i="2"/>
  <c r="G563" i="2"/>
  <c r="H563" i="2"/>
  <c r="D564" i="2"/>
  <c r="E564" i="2"/>
  <c r="F564" i="2"/>
  <c r="G564" i="2"/>
  <c r="H564" i="2"/>
  <c r="D565" i="2"/>
  <c r="E565" i="2"/>
  <c r="F565" i="2"/>
  <c r="G565" i="2"/>
  <c r="H565" i="2"/>
  <c r="D566" i="2"/>
  <c r="E566" i="2"/>
  <c r="F566" i="2"/>
  <c r="G566" i="2"/>
  <c r="H566" i="2"/>
  <c r="D567" i="2"/>
  <c r="E567" i="2"/>
  <c r="F567" i="2"/>
  <c r="G567" i="2"/>
  <c r="H567" i="2"/>
  <c r="D568" i="2"/>
  <c r="E568" i="2"/>
  <c r="F568" i="2"/>
  <c r="G568" i="2"/>
  <c r="H568" i="2"/>
  <c r="D569" i="2"/>
  <c r="E569" i="2"/>
  <c r="F569" i="2"/>
  <c r="G569" i="2"/>
  <c r="H569" i="2"/>
  <c r="D570" i="2"/>
  <c r="E570" i="2"/>
  <c r="F570" i="2"/>
  <c r="G570" i="2"/>
  <c r="H570" i="2"/>
  <c r="D571" i="2"/>
  <c r="E571" i="2"/>
  <c r="F571" i="2"/>
  <c r="G571" i="2"/>
  <c r="H571" i="2"/>
  <c r="D572" i="2"/>
  <c r="E572" i="2"/>
  <c r="F572" i="2"/>
  <c r="G572" i="2"/>
  <c r="H572" i="2"/>
  <c r="D573" i="2"/>
  <c r="E573" i="2"/>
  <c r="F573" i="2"/>
  <c r="G573" i="2"/>
  <c r="H573" i="2"/>
  <c r="D574" i="2"/>
  <c r="E574" i="2"/>
  <c r="F574" i="2"/>
  <c r="G574" i="2"/>
  <c r="H574" i="2"/>
  <c r="D575" i="2"/>
  <c r="E575" i="2"/>
  <c r="F575" i="2"/>
  <c r="G575" i="2"/>
  <c r="H575" i="2"/>
  <c r="D576" i="2"/>
  <c r="E576" i="2"/>
  <c r="F576" i="2"/>
  <c r="G576" i="2"/>
  <c r="H576" i="2"/>
  <c r="D577" i="2"/>
  <c r="E577" i="2"/>
  <c r="F577" i="2"/>
  <c r="G577" i="2"/>
  <c r="H577" i="2"/>
  <c r="D578" i="2"/>
  <c r="E578" i="2"/>
  <c r="F578" i="2"/>
  <c r="G578" i="2"/>
  <c r="H578" i="2"/>
  <c r="D579" i="2"/>
  <c r="E579" i="2"/>
  <c r="F579" i="2"/>
  <c r="G579" i="2"/>
  <c r="H579" i="2"/>
  <c r="D580" i="2"/>
  <c r="E580" i="2"/>
  <c r="F580" i="2"/>
  <c r="G580" i="2"/>
  <c r="H580" i="2"/>
  <c r="D581" i="2"/>
  <c r="E581" i="2"/>
  <c r="F581" i="2"/>
  <c r="G581" i="2"/>
  <c r="H581" i="2"/>
  <c r="D582" i="2"/>
  <c r="E582" i="2"/>
  <c r="F582" i="2"/>
  <c r="G582" i="2"/>
  <c r="H582" i="2"/>
  <c r="D583" i="2"/>
  <c r="E583" i="2"/>
  <c r="F583" i="2"/>
  <c r="G583" i="2"/>
  <c r="H583" i="2"/>
  <c r="D584" i="2"/>
  <c r="E584" i="2"/>
  <c r="F584" i="2"/>
  <c r="G584" i="2"/>
  <c r="H584" i="2"/>
  <c r="D585" i="2"/>
  <c r="E585" i="2"/>
  <c r="F585" i="2"/>
  <c r="G585" i="2"/>
  <c r="H585" i="2"/>
  <c r="D586" i="2"/>
  <c r="E586" i="2"/>
  <c r="F586" i="2"/>
  <c r="G586" i="2"/>
  <c r="H586" i="2"/>
  <c r="D587" i="2"/>
  <c r="E587" i="2"/>
  <c r="F587" i="2"/>
  <c r="G587" i="2"/>
  <c r="H587" i="2"/>
  <c r="D588" i="2"/>
  <c r="E588" i="2"/>
  <c r="F588" i="2"/>
  <c r="G588" i="2"/>
  <c r="H588" i="2"/>
  <c r="D589" i="2"/>
  <c r="E589" i="2"/>
  <c r="F589" i="2"/>
  <c r="G589" i="2"/>
  <c r="H589" i="2"/>
  <c r="D590" i="2"/>
  <c r="E590" i="2"/>
  <c r="F590" i="2"/>
  <c r="G590" i="2"/>
  <c r="H590" i="2"/>
  <c r="D591" i="2"/>
  <c r="E591" i="2"/>
  <c r="F591" i="2"/>
  <c r="G591" i="2"/>
  <c r="H591" i="2"/>
  <c r="D592" i="2"/>
  <c r="E592" i="2"/>
  <c r="F592" i="2"/>
  <c r="G592" i="2"/>
  <c r="H592" i="2"/>
  <c r="D593" i="2"/>
  <c r="E593" i="2"/>
  <c r="F593" i="2"/>
  <c r="G593" i="2"/>
  <c r="H593" i="2"/>
  <c r="D594" i="2"/>
  <c r="E594" i="2"/>
  <c r="F594" i="2"/>
  <c r="G594" i="2"/>
  <c r="H594" i="2"/>
  <c r="D595" i="2"/>
  <c r="E595" i="2"/>
  <c r="F595" i="2"/>
  <c r="G595" i="2"/>
  <c r="H595" i="2"/>
  <c r="D596" i="2"/>
  <c r="E596" i="2"/>
  <c r="F596" i="2"/>
  <c r="G596" i="2"/>
  <c r="H596" i="2"/>
  <c r="D597" i="2"/>
  <c r="E597" i="2"/>
  <c r="F597" i="2"/>
  <c r="G597" i="2"/>
  <c r="H597" i="2"/>
  <c r="D598" i="2"/>
  <c r="E598" i="2"/>
  <c r="F598" i="2"/>
  <c r="G598" i="2"/>
  <c r="H598" i="2"/>
  <c r="D599" i="2"/>
  <c r="E599" i="2"/>
  <c r="F599" i="2"/>
  <c r="G599" i="2"/>
  <c r="H599" i="2"/>
  <c r="D600" i="2"/>
  <c r="E600" i="2"/>
  <c r="F600" i="2"/>
  <c r="G600" i="2"/>
  <c r="H600" i="2"/>
  <c r="D601" i="2"/>
  <c r="E601" i="2"/>
  <c r="F601" i="2"/>
  <c r="G601" i="2"/>
  <c r="H601" i="2"/>
  <c r="D602" i="2"/>
  <c r="E602" i="2"/>
  <c r="F602" i="2"/>
  <c r="G602" i="2"/>
  <c r="H602" i="2"/>
  <c r="D603" i="2"/>
  <c r="E603" i="2"/>
  <c r="F603" i="2"/>
  <c r="G603" i="2"/>
  <c r="H603" i="2"/>
  <c r="D604" i="2"/>
  <c r="E604" i="2"/>
  <c r="F604" i="2"/>
  <c r="G604" i="2"/>
  <c r="H604" i="2"/>
  <c r="D605" i="2"/>
  <c r="E605" i="2"/>
  <c r="F605" i="2"/>
  <c r="G605" i="2"/>
  <c r="H605" i="2"/>
  <c r="D606" i="2"/>
  <c r="E606" i="2"/>
  <c r="F606" i="2"/>
  <c r="G606" i="2"/>
  <c r="H606" i="2"/>
  <c r="D607" i="2"/>
  <c r="E607" i="2"/>
  <c r="F607" i="2"/>
  <c r="G607" i="2"/>
  <c r="H607" i="2"/>
  <c r="D608" i="2"/>
  <c r="E608" i="2"/>
  <c r="F608" i="2"/>
  <c r="G608" i="2"/>
  <c r="H608" i="2"/>
  <c r="D609" i="2"/>
  <c r="E609" i="2"/>
  <c r="F609" i="2"/>
  <c r="G609" i="2"/>
  <c r="H609" i="2"/>
  <c r="D610" i="2"/>
  <c r="E610" i="2"/>
  <c r="F610" i="2"/>
  <c r="G610" i="2"/>
  <c r="H610" i="2"/>
  <c r="D611" i="2"/>
  <c r="E611" i="2"/>
  <c r="F611" i="2"/>
  <c r="G611" i="2"/>
  <c r="H611" i="2"/>
  <c r="D612" i="2"/>
  <c r="E612" i="2"/>
  <c r="F612" i="2"/>
  <c r="G612" i="2"/>
  <c r="H612" i="2"/>
  <c r="D613" i="2"/>
  <c r="E613" i="2"/>
  <c r="F613" i="2"/>
  <c r="G613" i="2"/>
  <c r="H613" i="2"/>
  <c r="D614" i="2"/>
  <c r="E614" i="2"/>
  <c r="F614" i="2"/>
  <c r="G614" i="2"/>
  <c r="H614" i="2"/>
  <c r="D615" i="2"/>
  <c r="E615" i="2"/>
  <c r="F615" i="2"/>
  <c r="G615" i="2"/>
  <c r="H615" i="2"/>
  <c r="D616" i="2"/>
  <c r="E616" i="2"/>
  <c r="F616" i="2"/>
  <c r="G616" i="2"/>
  <c r="H616" i="2"/>
  <c r="D617" i="2"/>
  <c r="E617" i="2"/>
  <c r="F617" i="2"/>
  <c r="G617" i="2"/>
  <c r="H617" i="2"/>
  <c r="D618" i="2"/>
  <c r="E618" i="2"/>
  <c r="F618" i="2"/>
  <c r="G618" i="2"/>
  <c r="H618" i="2"/>
  <c r="D619" i="2"/>
  <c r="E619" i="2"/>
  <c r="F619" i="2"/>
  <c r="G619" i="2"/>
  <c r="H619" i="2"/>
  <c r="D620" i="2"/>
  <c r="E620" i="2"/>
  <c r="F620" i="2"/>
  <c r="G620" i="2"/>
  <c r="H620" i="2"/>
  <c r="D621" i="2"/>
  <c r="E621" i="2"/>
  <c r="F621" i="2"/>
  <c r="G621" i="2"/>
  <c r="H621" i="2"/>
  <c r="D622" i="2"/>
  <c r="E622" i="2"/>
  <c r="F622" i="2"/>
  <c r="G622" i="2"/>
  <c r="H622" i="2"/>
  <c r="D623" i="2"/>
  <c r="E623" i="2"/>
  <c r="F623" i="2"/>
  <c r="G623" i="2"/>
  <c r="H623" i="2"/>
  <c r="D624" i="2"/>
  <c r="E624" i="2"/>
  <c r="F624" i="2"/>
  <c r="G624" i="2"/>
  <c r="H624" i="2"/>
  <c r="D625" i="2"/>
  <c r="E625" i="2"/>
  <c r="F625" i="2"/>
  <c r="G625" i="2"/>
  <c r="H625" i="2"/>
  <c r="D626" i="2"/>
  <c r="E626" i="2"/>
  <c r="F626" i="2"/>
  <c r="G626" i="2"/>
  <c r="H626" i="2"/>
  <c r="D627" i="2"/>
  <c r="E627" i="2"/>
  <c r="F627" i="2"/>
  <c r="G627" i="2"/>
  <c r="H627" i="2"/>
  <c r="D628" i="2"/>
  <c r="E628" i="2"/>
  <c r="F628" i="2"/>
  <c r="G628" i="2"/>
  <c r="H628" i="2"/>
  <c r="D629" i="2"/>
  <c r="E629" i="2"/>
  <c r="F629" i="2"/>
  <c r="G629" i="2"/>
  <c r="H629" i="2"/>
  <c r="D630" i="2"/>
  <c r="E630" i="2"/>
  <c r="F630" i="2"/>
  <c r="G630" i="2"/>
  <c r="H630" i="2"/>
  <c r="D631" i="2"/>
  <c r="E631" i="2"/>
  <c r="F631" i="2"/>
  <c r="G631" i="2"/>
  <c r="H631" i="2"/>
  <c r="D632" i="2"/>
  <c r="E632" i="2"/>
  <c r="F632" i="2"/>
  <c r="G632" i="2"/>
  <c r="H632" i="2"/>
  <c r="D633" i="2"/>
  <c r="E633" i="2"/>
  <c r="F633" i="2"/>
  <c r="G633" i="2"/>
  <c r="H633" i="2"/>
  <c r="D634" i="2"/>
  <c r="E634" i="2"/>
  <c r="F634" i="2"/>
  <c r="G634" i="2"/>
  <c r="H634" i="2"/>
  <c r="D635" i="2"/>
  <c r="E635" i="2"/>
  <c r="F635" i="2"/>
  <c r="G635" i="2"/>
  <c r="H635" i="2"/>
  <c r="D636" i="2"/>
  <c r="E636" i="2"/>
  <c r="F636" i="2"/>
  <c r="G636" i="2"/>
  <c r="H636" i="2"/>
  <c r="D637" i="2"/>
  <c r="E637" i="2"/>
  <c r="F637" i="2"/>
  <c r="G637" i="2"/>
  <c r="H637" i="2"/>
  <c r="D638" i="2"/>
  <c r="E638" i="2"/>
  <c r="F638" i="2"/>
  <c r="G638" i="2"/>
  <c r="H638" i="2"/>
  <c r="D639" i="2"/>
  <c r="E639" i="2"/>
  <c r="F639" i="2"/>
  <c r="G639" i="2"/>
  <c r="H639" i="2"/>
  <c r="D640" i="2"/>
  <c r="E640" i="2"/>
  <c r="F640" i="2"/>
  <c r="G640" i="2"/>
  <c r="H640" i="2"/>
  <c r="D641" i="2"/>
  <c r="E641" i="2"/>
  <c r="F641" i="2"/>
  <c r="G641" i="2"/>
  <c r="H641" i="2"/>
  <c r="D642" i="2"/>
  <c r="E642" i="2"/>
  <c r="F642" i="2"/>
  <c r="G642" i="2"/>
  <c r="H642" i="2"/>
  <c r="D643" i="2"/>
  <c r="E643" i="2"/>
  <c r="F643" i="2"/>
  <c r="G643" i="2"/>
  <c r="H643" i="2"/>
  <c r="D644" i="2"/>
  <c r="E644" i="2"/>
  <c r="F644" i="2"/>
  <c r="G644" i="2"/>
  <c r="H644" i="2"/>
  <c r="D645" i="2"/>
  <c r="E645" i="2"/>
  <c r="F645" i="2"/>
  <c r="G645" i="2"/>
  <c r="H645" i="2"/>
  <c r="D646" i="2"/>
  <c r="E646" i="2"/>
  <c r="F646" i="2"/>
  <c r="G646" i="2"/>
  <c r="H646" i="2"/>
  <c r="D647" i="2"/>
  <c r="E647" i="2"/>
  <c r="F647" i="2"/>
  <c r="G647" i="2"/>
  <c r="H647" i="2"/>
  <c r="D648" i="2"/>
  <c r="E648" i="2"/>
  <c r="F648" i="2"/>
  <c r="G648" i="2"/>
  <c r="H648" i="2"/>
  <c r="D649" i="2"/>
  <c r="E649" i="2"/>
  <c r="F649" i="2"/>
  <c r="G649" i="2"/>
  <c r="H649" i="2"/>
  <c r="D650" i="2"/>
  <c r="E650" i="2"/>
  <c r="F650" i="2"/>
  <c r="G650" i="2"/>
  <c r="H650" i="2"/>
  <c r="D651" i="2"/>
  <c r="E651" i="2"/>
  <c r="F651" i="2"/>
  <c r="G651" i="2"/>
  <c r="H651" i="2"/>
  <c r="D652" i="2"/>
  <c r="E652" i="2"/>
  <c r="F652" i="2"/>
  <c r="G652" i="2"/>
  <c r="H652" i="2"/>
  <c r="D653" i="2"/>
  <c r="E653" i="2"/>
  <c r="F653" i="2"/>
  <c r="G653" i="2"/>
  <c r="H653" i="2"/>
  <c r="D654" i="2"/>
  <c r="E654" i="2"/>
  <c r="F654" i="2"/>
  <c r="G654" i="2"/>
  <c r="H654" i="2"/>
  <c r="D655" i="2"/>
  <c r="E655" i="2"/>
  <c r="F655" i="2"/>
  <c r="G655" i="2"/>
  <c r="H655" i="2"/>
  <c r="D656" i="2"/>
  <c r="E656" i="2"/>
  <c r="F656" i="2"/>
  <c r="G656" i="2"/>
  <c r="H656" i="2"/>
  <c r="D657" i="2"/>
  <c r="E657" i="2"/>
  <c r="F657" i="2"/>
  <c r="G657" i="2"/>
  <c r="H657" i="2"/>
  <c r="D658" i="2"/>
  <c r="E658" i="2"/>
  <c r="F658" i="2"/>
  <c r="G658" i="2"/>
  <c r="H658" i="2"/>
  <c r="D659" i="2"/>
  <c r="E659" i="2"/>
  <c r="F659" i="2"/>
  <c r="G659" i="2"/>
  <c r="H659" i="2"/>
  <c r="D660" i="2"/>
  <c r="E660" i="2"/>
  <c r="F660" i="2"/>
  <c r="G660" i="2"/>
  <c r="H660" i="2"/>
  <c r="D661" i="2"/>
  <c r="E661" i="2"/>
  <c r="F661" i="2"/>
  <c r="G661" i="2"/>
  <c r="H661" i="2"/>
  <c r="D662" i="2"/>
  <c r="E662" i="2"/>
  <c r="F662" i="2"/>
  <c r="G662" i="2"/>
  <c r="H662" i="2"/>
  <c r="D663" i="2"/>
  <c r="E663" i="2"/>
  <c r="F663" i="2"/>
  <c r="G663" i="2"/>
  <c r="H663" i="2"/>
  <c r="D664" i="2"/>
  <c r="E664" i="2"/>
  <c r="F664" i="2"/>
  <c r="G664" i="2"/>
  <c r="H664" i="2"/>
  <c r="D665" i="2"/>
  <c r="E665" i="2"/>
  <c r="F665" i="2"/>
  <c r="G665" i="2"/>
  <c r="H665" i="2"/>
  <c r="D666" i="2"/>
  <c r="E666" i="2"/>
  <c r="F666" i="2"/>
  <c r="G666" i="2"/>
  <c r="H666" i="2"/>
  <c r="D667" i="2"/>
  <c r="E667" i="2"/>
  <c r="F667" i="2"/>
  <c r="G667" i="2"/>
  <c r="H667" i="2"/>
  <c r="D668" i="2"/>
  <c r="E668" i="2"/>
  <c r="F668" i="2"/>
  <c r="G668" i="2"/>
  <c r="H668" i="2"/>
  <c r="D669" i="2"/>
  <c r="E669" i="2"/>
  <c r="F669" i="2"/>
  <c r="G669" i="2"/>
  <c r="H669" i="2"/>
  <c r="D670" i="2"/>
  <c r="E670" i="2"/>
  <c r="F670" i="2"/>
  <c r="G670" i="2"/>
  <c r="H670" i="2"/>
  <c r="D671" i="2"/>
  <c r="E671" i="2"/>
  <c r="F671" i="2"/>
  <c r="G671" i="2"/>
  <c r="H671" i="2"/>
  <c r="D672" i="2"/>
  <c r="E672" i="2"/>
  <c r="F672" i="2"/>
  <c r="G672" i="2"/>
  <c r="H672" i="2"/>
  <c r="D673" i="2"/>
  <c r="E673" i="2"/>
  <c r="F673" i="2"/>
  <c r="G673" i="2"/>
  <c r="H673" i="2"/>
  <c r="D674" i="2"/>
  <c r="E674" i="2"/>
  <c r="F674" i="2"/>
  <c r="G674" i="2"/>
  <c r="H674" i="2"/>
  <c r="D675" i="2"/>
  <c r="E675" i="2"/>
  <c r="F675" i="2"/>
  <c r="G675" i="2"/>
  <c r="H675" i="2"/>
  <c r="D676" i="2"/>
  <c r="E676" i="2"/>
  <c r="F676" i="2"/>
  <c r="G676" i="2"/>
  <c r="H676" i="2"/>
  <c r="D677" i="2"/>
  <c r="E677" i="2"/>
  <c r="F677" i="2"/>
  <c r="G677" i="2"/>
  <c r="H677" i="2"/>
  <c r="D678" i="2"/>
  <c r="E678" i="2"/>
  <c r="F678" i="2"/>
  <c r="G678" i="2"/>
  <c r="H678" i="2"/>
  <c r="D679" i="2"/>
  <c r="E679" i="2"/>
  <c r="F679" i="2"/>
  <c r="G679" i="2"/>
  <c r="H679" i="2"/>
  <c r="D680" i="2"/>
  <c r="E680" i="2"/>
  <c r="F680" i="2"/>
  <c r="G680" i="2"/>
  <c r="H680" i="2"/>
  <c r="D681" i="2"/>
  <c r="E681" i="2"/>
  <c r="F681" i="2"/>
  <c r="G681" i="2"/>
  <c r="H681" i="2"/>
  <c r="D682" i="2"/>
  <c r="E682" i="2"/>
  <c r="F682" i="2"/>
  <c r="G682" i="2"/>
  <c r="H682" i="2"/>
  <c r="D683" i="2"/>
  <c r="E683" i="2"/>
  <c r="F683" i="2"/>
  <c r="G683" i="2"/>
  <c r="H683" i="2"/>
  <c r="D684" i="2"/>
  <c r="E684" i="2"/>
  <c r="F684" i="2"/>
  <c r="G684" i="2"/>
  <c r="H684" i="2"/>
  <c r="D685" i="2"/>
  <c r="E685" i="2"/>
  <c r="F685" i="2"/>
  <c r="G685" i="2"/>
  <c r="H685" i="2"/>
  <c r="D686" i="2"/>
  <c r="E686" i="2"/>
  <c r="F686" i="2"/>
  <c r="G686" i="2"/>
  <c r="H686" i="2"/>
  <c r="D687" i="2"/>
  <c r="E687" i="2"/>
  <c r="F687" i="2"/>
  <c r="G687" i="2"/>
  <c r="H687" i="2"/>
  <c r="D688" i="2"/>
  <c r="E688" i="2"/>
  <c r="F688" i="2"/>
  <c r="G688" i="2"/>
  <c r="H688" i="2"/>
  <c r="D689" i="2"/>
  <c r="E689" i="2"/>
  <c r="F689" i="2"/>
  <c r="G689" i="2"/>
  <c r="H689" i="2"/>
  <c r="D690" i="2"/>
  <c r="E690" i="2"/>
  <c r="F690" i="2"/>
  <c r="G690" i="2"/>
  <c r="H690" i="2"/>
  <c r="D691" i="2"/>
  <c r="E691" i="2"/>
  <c r="F691" i="2"/>
  <c r="G691" i="2"/>
  <c r="H691" i="2"/>
  <c r="D692" i="2"/>
  <c r="E692" i="2"/>
  <c r="F692" i="2"/>
  <c r="G692" i="2"/>
  <c r="H692" i="2"/>
  <c r="D693" i="2"/>
  <c r="E693" i="2"/>
  <c r="F693" i="2"/>
  <c r="G693" i="2"/>
  <c r="H693" i="2"/>
  <c r="D694" i="2"/>
  <c r="E694" i="2"/>
  <c r="F694" i="2"/>
  <c r="G694" i="2"/>
  <c r="H694" i="2"/>
  <c r="D695" i="2"/>
  <c r="E695" i="2"/>
  <c r="F695" i="2"/>
  <c r="G695" i="2"/>
  <c r="H695" i="2"/>
  <c r="D696" i="2"/>
  <c r="E696" i="2"/>
  <c r="F696" i="2"/>
  <c r="G696" i="2"/>
  <c r="H696" i="2"/>
  <c r="D697" i="2"/>
  <c r="E697" i="2"/>
  <c r="F697" i="2"/>
  <c r="G697" i="2"/>
  <c r="H697" i="2"/>
  <c r="D698" i="2"/>
  <c r="E698" i="2"/>
  <c r="F698" i="2"/>
  <c r="G698" i="2"/>
  <c r="H698" i="2"/>
  <c r="D699" i="2"/>
  <c r="E699" i="2"/>
  <c r="F699" i="2"/>
  <c r="G699" i="2"/>
  <c r="H699" i="2"/>
  <c r="D700" i="2"/>
  <c r="E700" i="2"/>
  <c r="F700" i="2"/>
  <c r="G700" i="2"/>
  <c r="H700" i="2"/>
  <c r="D701" i="2"/>
  <c r="E701" i="2"/>
  <c r="F701" i="2"/>
  <c r="G701" i="2"/>
  <c r="H701" i="2"/>
  <c r="D702" i="2"/>
  <c r="E702" i="2"/>
  <c r="F702" i="2"/>
  <c r="G702" i="2"/>
  <c r="H702" i="2"/>
  <c r="D703" i="2"/>
  <c r="E703" i="2"/>
  <c r="F703" i="2"/>
  <c r="G703" i="2"/>
  <c r="H703" i="2"/>
  <c r="D704" i="2"/>
  <c r="E704" i="2"/>
  <c r="F704" i="2"/>
  <c r="G704" i="2"/>
  <c r="H704" i="2"/>
  <c r="D705" i="2"/>
  <c r="E705" i="2"/>
  <c r="F705" i="2"/>
  <c r="G705" i="2"/>
  <c r="H705" i="2"/>
  <c r="D706" i="2"/>
  <c r="E706" i="2"/>
  <c r="F706" i="2"/>
  <c r="G706" i="2"/>
  <c r="H706" i="2"/>
  <c r="D707" i="2"/>
  <c r="E707" i="2"/>
  <c r="F707" i="2"/>
  <c r="G707" i="2"/>
  <c r="H707" i="2"/>
  <c r="D708" i="2"/>
  <c r="E708" i="2"/>
  <c r="F708" i="2"/>
  <c r="G708" i="2"/>
  <c r="H708" i="2"/>
  <c r="D709" i="2"/>
  <c r="E709" i="2"/>
  <c r="F709" i="2"/>
  <c r="G709" i="2"/>
  <c r="H709" i="2"/>
  <c r="D710" i="2"/>
  <c r="E710" i="2"/>
  <c r="F710" i="2"/>
  <c r="G710" i="2"/>
  <c r="H710" i="2"/>
  <c r="D711" i="2"/>
  <c r="E711" i="2"/>
  <c r="F711" i="2"/>
  <c r="G711" i="2"/>
  <c r="H711" i="2"/>
  <c r="D712" i="2"/>
  <c r="E712" i="2"/>
  <c r="F712" i="2"/>
  <c r="G712" i="2"/>
  <c r="H712" i="2"/>
  <c r="D713" i="2"/>
  <c r="E713" i="2"/>
  <c r="F713" i="2"/>
  <c r="G713" i="2"/>
  <c r="H713" i="2"/>
  <c r="D714" i="2"/>
  <c r="E714" i="2"/>
  <c r="F714" i="2"/>
  <c r="G714" i="2"/>
  <c r="H714" i="2"/>
  <c r="D715" i="2"/>
  <c r="E715" i="2"/>
  <c r="F715" i="2"/>
  <c r="G715" i="2"/>
  <c r="H715" i="2"/>
  <c r="D716" i="2"/>
  <c r="E716" i="2"/>
  <c r="F716" i="2"/>
  <c r="G716" i="2"/>
  <c r="H716" i="2"/>
  <c r="D717" i="2"/>
  <c r="E717" i="2"/>
  <c r="F717" i="2"/>
  <c r="G717" i="2"/>
  <c r="H717" i="2"/>
  <c r="D718" i="2"/>
  <c r="E718" i="2"/>
  <c r="F718" i="2"/>
  <c r="G718" i="2"/>
  <c r="H718" i="2"/>
  <c r="D719" i="2"/>
  <c r="E719" i="2"/>
  <c r="F719" i="2"/>
  <c r="G719" i="2"/>
  <c r="H719" i="2"/>
  <c r="D720" i="2"/>
  <c r="E720" i="2"/>
  <c r="F720" i="2"/>
  <c r="G720" i="2"/>
  <c r="H720" i="2"/>
  <c r="D721" i="2"/>
  <c r="E721" i="2"/>
  <c r="F721" i="2"/>
  <c r="G721" i="2"/>
  <c r="H721" i="2"/>
  <c r="D722" i="2"/>
  <c r="E722" i="2"/>
  <c r="F722" i="2"/>
  <c r="G722" i="2"/>
  <c r="H722" i="2"/>
  <c r="D723" i="2"/>
  <c r="E723" i="2"/>
  <c r="F723" i="2"/>
  <c r="G723" i="2"/>
  <c r="H723" i="2"/>
  <c r="D724" i="2"/>
  <c r="E724" i="2"/>
  <c r="F724" i="2"/>
  <c r="G724" i="2"/>
  <c r="H724" i="2"/>
  <c r="D725" i="2"/>
  <c r="E725" i="2"/>
  <c r="F725" i="2"/>
  <c r="G725" i="2"/>
  <c r="H725" i="2"/>
  <c r="D726" i="2"/>
  <c r="E726" i="2"/>
  <c r="F726" i="2"/>
  <c r="G726" i="2"/>
  <c r="H726" i="2"/>
  <c r="D727" i="2"/>
  <c r="E727" i="2"/>
  <c r="F727" i="2"/>
  <c r="G727" i="2"/>
  <c r="H727" i="2"/>
  <c r="D728" i="2"/>
  <c r="E728" i="2"/>
  <c r="F728" i="2"/>
  <c r="G728" i="2"/>
  <c r="H728" i="2"/>
  <c r="D729" i="2"/>
  <c r="E729" i="2"/>
  <c r="F729" i="2"/>
  <c r="G729" i="2"/>
  <c r="H729" i="2"/>
  <c r="D730" i="2"/>
  <c r="E730" i="2"/>
  <c r="F730" i="2"/>
  <c r="G730" i="2"/>
  <c r="H730" i="2"/>
  <c r="D731" i="2"/>
  <c r="E731" i="2"/>
  <c r="F731" i="2"/>
  <c r="G731" i="2"/>
  <c r="H731" i="2"/>
  <c r="D732" i="2"/>
  <c r="E732" i="2"/>
  <c r="F732" i="2"/>
  <c r="G732" i="2"/>
  <c r="H732" i="2"/>
  <c r="D733" i="2"/>
  <c r="E733" i="2"/>
  <c r="F733" i="2"/>
  <c r="G733" i="2"/>
  <c r="H733" i="2"/>
  <c r="D734" i="2"/>
  <c r="E734" i="2"/>
  <c r="F734" i="2"/>
  <c r="G734" i="2"/>
  <c r="H734" i="2"/>
  <c r="D735" i="2"/>
  <c r="E735" i="2"/>
  <c r="F735" i="2"/>
  <c r="G735" i="2"/>
  <c r="H735" i="2"/>
  <c r="D736" i="2"/>
  <c r="E736" i="2"/>
  <c r="F736" i="2"/>
  <c r="G736" i="2"/>
  <c r="H736" i="2"/>
  <c r="D737" i="2"/>
  <c r="E737" i="2"/>
  <c r="F737" i="2"/>
  <c r="G737" i="2"/>
  <c r="H737" i="2"/>
  <c r="D738" i="2"/>
  <c r="E738" i="2"/>
  <c r="F738" i="2"/>
  <c r="G738" i="2"/>
  <c r="H738" i="2"/>
  <c r="D739" i="2"/>
  <c r="E739" i="2"/>
  <c r="F739" i="2"/>
  <c r="G739" i="2"/>
  <c r="H739" i="2"/>
  <c r="D740" i="2"/>
  <c r="E740" i="2"/>
  <c r="F740" i="2"/>
  <c r="G740" i="2"/>
  <c r="H740" i="2"/>
  <c r="D741" i="2"/>
  <c r="E741" i="2"/>
  <c r="F741" i="2"/>
  <c r="G741" i="2"/>
  <c r="H741" i="2"/>
  <c r="D742" i="2"/>
  <c r="E742" i="2"/>
  <c r="F742" i="2"/>
  <c r="G742" i="2"/>
  <c r="H742" i="2"/>
  <c r="D743" i="2"/>
  <c r="E743" i="2"/>
  <c r="F743" i="2"/>
  <c r="G743" i="2"/>
  <c r="H743" i="2"/>
  <c r="D744" i="2"/>
  <c r="E744" i="2"/>
  <c r="F744" i="2"/>
  <c r="G744" i="2"/>
  <c r="H744" i="2"/>
  <c r="D745" i="2"/>
  <c r="E745" i="2"/>
  <c r="F745" i="2"/>
  <c r="G745" i="2"/>
  <c r="H745" i="2"/>
  <c r="D746" i="2"/>
  <c r="E746" i="2"/>
  <c r="F746" i="2"/>
  <c r="G746" i="2"/>
  <c r="H746" i="2"/>
  <c r="D747" i="2"/>
  <c r="E747" i="2"/>
  <c r="F747" i="2"/>
  <c r="G747" i="2"/>
  <c r="H747" i="2"/>
  <c r="D748" i="2"/>
  <c r="E748" i="2"/>
  <c r="F748" i="2"/>
  <c r="G748" i="2"/>
  <c r="H748" i="2"/>
  <c r="D749" i="2"/>
  <c r="E749" i="2"/>
  <c r="F749" i="2"/>
  <c r="G749" i="2"/>
  <c r="H749" i="2"/>
  <c r="D750" i="2"/>
  <c r="E750" i="2"/>
  <c r="F750" i="2"/>
  <c r="G750" i="2"/>
  <c r="H750" i="2"/>
  <c r="D751" i="2"/>
  <c r="E751" i="2"/>
  <c r="F751" i="2"/>
  <c r="G751" i="2"/>
  <c r="H751" i="2"/>
  <c r="D752" i="2"/>
  <c r="E752" i="2"/>
  <c r="F752" i="2"/>
  <c r="G752" i="2"/>
  <c r="H752" i="2"/>
  <c r="D753" i="2"/>
  <c r="E753" i="2"/>
  <c r="F753" i="2"/>
  <c r="G753" i="2"/>
  <c r="H753" i="2"/>
  <c r="D754" i="2"/>
  <c r="E754" i="2"/>
  <c r="F754" i="2"/>
  <c r="G754" i="2"/>
  <c r="H754" i="2"/>
  <c r="D755" i="2"/>
  <c r="E755" i="2"/>
  <c r="F755" i="2"/>
  <c r="G755" i="2"/>
  <c r="H755" i="2"/>
  <c r="D756" i="2"/>
  <c r="E756" i="2"/>
  <c r="F756" i="2"/>
  <c r="G756" i="2"/>
  <c r="H756" i="2"/>
  <c r="D757" i="2"/>
  <c r="E757" i="2"/>
  <c r="F757" i="2"/>
  <c r="G757" i="2"/>
  <c r="H757" i="2"/>
  <c r="D758" i="2"/>
  <c r="E758" i="2"/>
  <c r="F758" i="2"/>
  <c r="G758" i="2"/>
  <c r="H758" i="2"/>
  <c r="D759" i="2"/>
  <c r="E759" i="2"/>
  <c r="F759" i="2"/>
  <c r="G759" i="2"/>
  <c r="H759" i="2"/>
  <c r="D760" i="2"/>
  <c r="E760" i="2"/>
  <c r="F760" i="2"/>
  <c r="G760" i="2"/>
  <c r="H760" i="2"/>
  <c r="D761" i="2"/>
  <c r="E761" i="2"/>
  <c r="F761" i="2"/>
  <c r="G761" i="2"/>
  <c r="H761" i="2"/>
  <c r="D762" i="2"/>
  <c r="E762" i="2"/>
  <c r="F762" i="2"/>
  <c r="G762" i="2"/>
  <c r="H762" i="2"/>
  <c r="D763" i="2"/>
  <c r="E763" i="2"/>
  <c r="F763" i="2"/>
  <c r="G763" i="2"/>
  <c r="H763" i="2"/>
  <c r="D764" i="2"/>
  <c r="E764" i="2"/>
  <c r="F764" i="2"/>
  <c r="G764" i="2"/>
  <c r="H764" i="2"/>
  <c r="D765" i="2"/>
  <c r="E765" i="2"/>
  <c r="F765" i="2"/>
  <c r="G765" i="2"/>
  <c r="H765" i="2"/>
  <c r="D766" i="2"/>
  <c r="E766" i="2"/>
  <c r="F766" i="2"/>
  <c r="G766" i="2"/>
  <c r="H766" i="2"/>
  <c r="D767" i="2"/>
  <c r="E767" i="2"/>
  <c r="F767" i="2"/>
  <c r="G767" i="2"/>
  <c r="H767" i="2"/>
  <c r="D768" i="2"/>
  <c r="E768" i="2"/>
  <c r="F768" i="2"/>
  <c r="G768" i="2"/>
  <c r="H768" i="2"/>
  <c r="D769" i="2"/>
  <c r="E769" i="2"/>
  <c r="F769" i="2"/>
  <c r="G769" i="2"/>
  <c r="H769" i="2"/>
  <c r="D770" i="2"/>
  <c r="E770" i="2"/>
  <c r="F770" i="2"/>
  <c r="G770" i="2"/>
  <c r="H770" i="2"/>
  <c r="D771" i="2"/>
  <c r="E771" i="2"/>
  <c r="F771" i="2"/>
  <c r="G771" i="2"/>
  <c r="H771" i="2"/>
  <c r="D772" i="2"/>
  <c r="E772" i="2"/>
  <c r="F772" i="2"/>
  <c r="G772" i="2"/>
  <c r="H772" i="2"/>
  <c r="D773" i="2"/>
  <c r="E773" i="2"/>
  <c r="F773" i="2"/>
  <c r="G773" i="2"/>
  <c r="H773" i="2"/>
  <c r="D774" i="2"/>
  <c r="E774" i="2"/>
  <c r="F774" i="2"/>
  <c r="G774" i="2"/>
  <c r="H774" i="2"/>
  <c r="D775" i="2"/>
  <c r="E775" i="2"/>
  <c r="F775" i="2"/>
  <c r="G775" i="2"/>
  <c r="H775" i="2"/>
  <c r="D776" i="2"/>
  <c r="E776" i="2"/>
  <c r="F776" i="2"/>
  <c r="G776" i="2"/>
  <c r="H776" i="2"/>
  <c r="D777" i="2"/>
  <c r="E777" i="2"/>
  <c r="F777" i="2"/>
  <c r="G777" i="2"/>
  <c r="H777" i="2"/>
  <c r="D778" i="2"/>
  <c r="E778" i="2"/>
  <c r="F778" i="2"/>
  <c r="G778" i="2"/>
  <c r="H778" i="2"/>
  <c r="D779" i="2"/>
  <c r="E779" i="2"/>
  <c r="F779" i="2"/>
  <c r="G779" i="2"/>
  <c r="H779" i="2"/>
  <c r="D780" i="2"/>
  <c r="E780" i="2"/>
  <c r="F780" i="2"/>
  <c r="G780" i="2"/>
  <c r="H780" i="2"/>
  <c r="D781" i="2"/>
  <c r="E781" i="2"/>
  <c r="F781" i="2"/>
  <c r="G781" i="2"/>
  <c r="H781" i="2"/>
  <c r="D782" i="2"/>
  <c r="E782" i="2"/>
  <c r="F782" i="2"/>
  <c r="G782" i="2"/>
  <c r="H782" i="2"/>
  <c r="D783" i="2"/>
  <c r="E783" i="2"/>
  <c r="F783" i="2"/>
  <c r="G783" i="2"/>
  <c r="H783" i="2"/>
  <c r="D784" i="2"/>
  <c r="E784" i="2"/>
  <c r="F784" i="2"/>
  <c r="G784" i="2"/>
  <c r="H784" i="2"/>
  <c r="D785" i="2"/>
  <c r="E785" i="2"/>
  <c r="F785" i="2"/>
  <c r="G785" i="2"/>
  <c r="H785" i="2"/>
  <c r="D786" i="2"/>
  <c r="E786" i="2"/>
  <c r="F786" i="2"/>
  <c r="G786" i="2"/>
  <c r="H786" i="2"/>
  <c r="D787" i="2"/>
  <c r="E787" i="2"/>
  <c r="F787" i="2"/>
  <c r="G787" i="2"/>
  <c r="H787" i="2"/>
  <c r="D788" i="2"/>
  <c r="E788" i="2"/>
  <c r="F788" i="2"/>
  <c r="G788" i="2"/>
  <c r="H788" i="2"/>
  <c r="F40" i="2"/>
  <c r="H40" i="2" l="1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39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39" i="2"/>
  <c r="N253" i="2"/>
  <c r="N125" i="2"/>
  <c r="N117" i="2"/>
  <c r="M223" i="2"/>
  <c r="N171" i="2"/>
  <c r="M202" i="2"/>
  <c r="N233" i="2"/>
  <c r="M302" i="2"/>
  <c r="M319" i="2"/>
  <c r="M412" i="2"/>
  <c r="L427" i="2"/>
  <c r="N153" i="2"/>
  <c r="N403" i="2"/>
  <c r="N451" i="2"/>
  <c r="L210" i="2"/>
  <c r="M345" i="2"/>
  <c r="M231" i="2"/>
  <c r="L125" i="2"/>
  <c r="N270" i="2"/>
  <c r="L144" i="2"/>
  <c r="N155" i="2"/>
  <c r="N411" i="2"/>
  <c r="L294" i="2"/>
  <c r="M192" i="2"/>
  <c r="L413" i="2"/>
  <c r="M274" i="2"/>
  <c r="L545" i="2"/>
  <c r="N420" i="2"/>
  <c r="L455" i="2"/>
  <c r="M303" i="2"/>
  <c r="L128" i="2"/>
  <c r="N383" i="2"/>
  <c r="L392" i="2"/>
  <c r="M742" i="2"/>
  <c r="M500" i="2"/>
  <c r="L575" i="2"/>
  <c r="M176" i="2"/>
  <c r="L374" i="2"/>
  <c r="N368" i="2"/>
  <c r="M224" i="2"/>
  <c r="M164" i="2"/>
  <c r="M230" i="2"/>
  <c r="L342" i="2"/>
  <c r="L180" i="2"/>
  <c r="M458" i="2"/>
  <c r="N138" i="2"/>
  <c r="N439" i="2"/>
  <c r="L500" i="2"/>
  <c r="M369" i="2"/>
  <c r="M391" i="2"/>
  <c r="N600" i="2"/>
  <c r="N120" i="2"/>
  <c r="N115" i="2"/>
  <c r="L230" i="2"/>
  <c r="N714" i="2"/>
  <c r="L655" i="2"/>
  <c r="M537" i="2"/>
  <c r="M542" i="2"/>
  <c r="N423" i="2"/>
  <c r="M558" i="2"/>
  <c r="L528" i="2"/>
  <c r="N326" i="2"/>
  <c r="L286" i="2"/>
  <c r="L566" i="2"/>
  <c r="M765" i="2"/>
  <c r="N165" i="2"/>
  <c r="N149" i="2"/>
  <c r="M344" i="2"/>
  <c r="M335" i="2"/>
  <c r="M165" i="2"/>
  <c r="N163" i="2"/>
  <c r="L284" i="2"/>
  <c r="M137" i="2"/>
  <c r="L147" i="2"/>
  <c r="L344" i="2"/>
  <c r="N330" i="2"/>
  <c r="M432" i="2"/>
  <c r="N581" i="2"/>
  <c r="M604" i="2"/>
  <c r="L285" i="2"/>
  <c r="M205" i="2"/>
  <c r="M372" i="2"/>
  <c r="M324" i="2"/>
  <c r="N269" i="2"/>
  <c r="N242" i="2"/>
  <c r="L405" i="2"/>
  <c r="N288" i="2"/>
  <c r="M395" i="2"/>
  <c r="L116" i="2"/>
  <c r="L240" i="2"/>
  <c r="L171" i="2"/>
  <c r="M294" i="2"/>
  <c r="L618" i="2"/>
  <c r="N217" i="2"/>
  <c r="L139" i="2"/>
  <c r="M167" i="2"/>
  <c r="N428" i="2"/>
  <c r="N578" i="2"/>
  <c r="N760" i="2"/>
  <c r="M561" i="2"/>
  <c r="L225" i="2"/>
  <c r="M251" i="2"/>
  <c r="L398" i="2"/>
  <c r="M370" i="2"/>
  <c r="N167" i="2"/>
  <c r="L408" i="2"/>
  <c r="M480" i="2"/>
  <c r="N211" i="2"/>
  <c r="M214" i="2"/>
  <c r="N320" i="2"/>
  <c r="L278" i="2"/>
  <c r="N275" i="2"/>
  <c r="M254" i="2"/>
  <c r="M226" i="2"/>
  <c r="L290" i="2"/>
  <c r="N268" i="2"/>
  <c r="L215" i="2"/>
  <c r="L214" i="2"/>
  <c r="N134" i="2"/>
  <c r="N240" i="2"/>
  <c r="N310" i="2"/>
  <c r="L494" i="2"/>
  <c r="L418" i="2"/>
  <c r="M128" i="2"/>
  <c r="L202" i="2"/>
  <c r="M197" i="2"/>
  <c r="M299" i="2"/>
  <c r="M215" i="2"/>
  <c r="L382" i="2"/>
  <c r="N262" i="2"/>
  <c r="L167" i="2"/>
  <c r="M143" i="2"/>
  <c r="M418" i="2"/>
  <c r="N315" i="2"/>
  <c r="L269" i="2"/>
  <c r="M337" i="2"/>
  <c r="L604" i="2"/>
  <c r="N738" i="2"/>
  <c r="M189" i="2"/>
  <c r="M133" i="2"/>
  <c r="N355" i="2"/>
  <c r="L114" i="2"/>
  <c r="L462" i="2"/>
  <c r="M424" i="2"/>
  <c r="M150" i="2"/>
  <c r="M271" i="2"/>
  <c r="M124" i="2"/>
  <c r="M182" i="2"/>
  <c r="N160" i="2"/>
  <c r="N215" i="2"/>
  <c r="L608" i="2"/>
  <c r="L322" i="2"/>
  <c r="M119" i="2"/>
  <c r="L324" i="2"/>
  <c r="N192" i="2"/>
  <c r="M140" i="2"/>
  <c r="L584" i="2"/>
  <c r="L204" i="2"/>
  <c r="M460" i="2"/>
  <c r="M168" i="2"/>
  <c r="M682" i="2"/>
  <c r="N349" i="2"/>
  <c r="N299" i="2"/>
  <c r="M518" i="2"/>
  <c r="M511" i="2"/>
  <c r="M325" i="2"/>
  <c r="M355" i="2"/>
  <c r="M126" i="2"/>
  <c r="M382" i="2"/>
  <c r="M286" i="2"/>
  <c r="N209" i="2"/>
  <c r="N232" i="2"/>
  <c r="M266" i="2"/>
  <c r="L124" i="2"/>
  <c r="L159" i="2"/>
  <c r="L367" i="2"/>
  <c r="L767" i="2"/>
  <c r="N318" i="2"/>
  <c r="M233" i="2"/>
  <c r="N229" i="2"/>
  <c r="L308" i="2"/>
  <c r="N387" i="2"/>
  <c r="L153" i="2"/>
  <c r="M268" i="2"/>
  <c r="N184" i="2"/>
  <c r="M235" i="2"/>
  <c r="N409" i="2"/>
  <c r="M384" i="2"/>
  <c r="L369" i="2"/>
  <c r="L334" i="2"/>
  <c r="L431" i="2"/>
  <c r="N623" i="2"/>
  <c r="L646" i="2"/>
  <c r="M276" i="2"/>
  <c r="N418" i="2"/>
  <c r="N279" i="2"/>
  <c r="M177" i="2"/>
  <c r="L404" i="2"/>
  <c r="M398" i="2"/>
  <c r="L657" i="2"/>
  <c r="L313" i="2"/>
  <c r="M120" i="2"/>
  <c r="L317" i="2"/>
  <c r="N186" i="2"/>
  <c r="N197" i="2"/>
  <c r="M748" i="2"/>
  <c r="L170" i="2"/>
  <c r="N585" i="2"/>
  <c r="M136" i="2"/>
  <c r="L626" i="2"/>
  <c r="M715" i="2"/>
  <c r="N779" i="2"/>
  <c r="N671" i="2"/>
  <c r="N371" i="2"/>
  <c r="M469" i="2"/>
  <c r="N669" i="2"/>
  <c r="L357" i="2"/>
  <c r="N555" i="2"/>
  <c r="L597" i="2"/>
  <c r="M201" i="2"/>
  <c r="L421" i="2"/>
  <c r="M471" i="2"/>
  <c r="M595" i="2"/>
  <c r="N464" i="2"/>
  <c r="M728" i="2"/>
  <c r="N687" i="2"/>
  <c r="L243" i="2"/>
  <c r="L123" i="2"/>
  <c r="M149" i="2"/>
  <c r="N406" i="2"/>
  <c r="M253" i="2"/>
  <c r="M198" i="2"/>
  <c r="M366" i="2"/>
  <c r="N140" i="2"/>
  <c r="M161" i="2"/>
  <c r="N121" i="2"/>
  <c r="L130" i="2"/>
  <c r="M383" i="2"/>
  <c r="N515" i="2"/>
  <c r="L296" i="2"/>
  <c r="L337" i="2"/>
  <c r="N114" i="2"/>
  <c r="N156" i="2"/>
  <c r="M421" i="2"/>
  <c r="M250" i="2"/>
  <c r="N212" i="2"/>
  <c r="N133" i="2"/>
  <c r="M145" i="2"/>
  <c r="L177" i="2"/>
  <c r="M267" i="2"/>
  <c r="L264" i="2"/>
  <c r="M270" i="2"/>
  <c r="M353" i="2"/>
  <c r="M528" i="2"/>
  <c r="M375" i="2"/>
  <c r="N148" i="2"/>
  <c r="N327" i="2"/>
  <c r="M306" i="2"/>
  <c r="L516" i="2"/>
  <c r="N151" i="2"/>
  <c r="N535" i="2"/>
  <c r="N158" i="2"/>
  <c r="M252" i="2"/>
  <c r="M364" i="2"/>
  <c r="N245" i="2"/>
  <c r="M244" i="2"/>
  <c r="L758" i="2"/>
  <c r="N485" i="2"/>
  <c r="N260" i="2"/>
  <c r="M166" i="2"/>
  <c r="L160" i="2"/>
  <c r="M121" i="2"/>
  <c r="M354" i="2"/>
  <c r="L173" i="2"/>
  <c r="N544" i="2"/>
  <c r="M155" i="2"/>
  <c r="L606" i="2"/>
  <c r="L310" i="2"/>
  <c r="L443" i="2"/>
  <c r="L592" i="2"/>
  <c r="M491" i="2"/>
  <c r="L271" i="2"/>
  <c r="N656" i="2"/>
  <c r="N301" i="2"/>
  <c r="N539" i="2"/>
  <c r="L706" i="2"/>
  <c r="L199" i="2"/>
  <c r="L416" i="2"/>
  <c r="L118" i="2"/>
  <c r="M550" i="2"/>
  <c r="L117" i="2"/>
  <c r="L481" i="2"/>
  <c r="N634" i="2"/>
  <c r="M171" i="2"/>
  <c r="M262" i="2"/>
  <c r="M184" i="2"/>
  <c r="L354" i="2"/>
  <c r="L380" i="2"/>
  <c r="M221" i="2"/>
  <c r="N357" i="2"/>
  <c r="N196" i="2"/>
  <c r="L358" i="2"/>
  <c r="M461" i="2"/>
  <c r="L266" i="2"/>
  <c r="L424" i="2"/>
  <c r="L267" i="2"/>
  <c r="L190" i="2"/>
  <c r="L127" i="2"/>
  <c r="L692" i="2"/>
  <c r="N231" i="2"/>
  <c r="L213" i="2"/>
  <c r="M264" i="2"/>
  <c r="L119" i="2"/>
  <c r="L440" i="2"/>
  <c r="N598" i="2"/>
  <c r="L355" i="2"/>
  <c r="M186" i="2"/>
  <c r="L372" i="2"/>
  <c r="M507" i="2"/>
  <c r="M125" i="2"/>
  <c r="L750" i="2"/>
  <c r="N715" i="2"/>
  <c r="M312" i="2"/>
  <c r="M295" i="2"/>
  <c r="M346" i="2"/>
  <c r="N552" i="2"/>
  <c r="L654" i="2"/>
  <c r="N530" i="2"/>
  <c r="M568" i="2"/>
  <c r="L768" i="2"/>
  <c r="L480" i="2"/>
  <c r="L541" i="2"/>
  <c r="L247" i="2"/>
  <c r="M785" i="2"/>
  <c r="M649" i="2"/>
  <c r="N175" i="2"/>
  <c r="M436" i="2"/>
  <c r="N732" i="2"/>
  <c r="N460" i="2"/>
  <c r="L239" i="2"/>
  <c r="N399" i="2"/>
  <c r="M582" i="2"/>
  <c r="L711" i="2"/>
  <c r="L627" i="2"/>
  <c r="L333" i="2"/>
  <c r="M521" i="2"/>
  <c r="L348" i="2"/>
  <c r="M570" i="2"/>
  <c r="M173" i="2"/>
  <c r="N546" i="2"/>
  <c r="N632" i="2"/>
  <c r="L691" i="2"/>
  <c r="M154" i="2"/>
  <c r="M241" i="2"/>
  <c r="L200" i="2"/>
  <c r="N157" i="2"/>
  <c r="N507" i="2"/>
  <c r="N230" i="2"/>
  <c r="M320" i="2"/>
  <c r="N313" i="2"/>
  <c r="N135" i="2"/>
  <c r="L152" i="2"/>
  <c r="N273" i="2"/>
  <c r="L196" i="2"/>
  <c r="L120" i="2"/>
  <c r="L651" i="2"/>
  <c r="L390" i="2"/>
  <c r="M292" i="2"/>
  <c r="M142" i="2"/>
  <c r="L162" i="2"/>
  <c r="N180" i="2"/>
  <c r="M248" i="2"/>
  <c r="N347" i="2"/>
  <c r="M238" i="2"/>
  <c r="N189" i="2"/>
  <c r="M328" i="2"/>
  <c r="M132" i="2"/>
  <c r="N150" i="2"/>
  <c r="L246" i="2"/>
  <c r="L544" i="2"/>
  <c r="M679" i="2"/>
  <c r="L231" i="2"/>
  <c r="N205" i="2"/>
  <c r="N344" i="2"/>
  <c r="M296" i="2"/>
  <c r="N220" i="2"/>
  <c r="N126" i="2"/>
  <c r="L163" i="2"/>
  <c r="N277" i="2"/>
  <c r="N181" i="2"/>
  <c r="M138" i="2"/>
  <c r="M169" i="2"/>
  <c r="L320" i="2"/>
  <c r="N595" i="2"/>
  <c r="L191" i="2"/>
  <c r="M129" i="2"/>
  <c r="L249" i="2"/>
  <c r="L365" i="2"/>
  <c r="L347" i="2"/>
  <c r="N643" i="2"/>
  <c r="L343" i="2"/>
  <c r="L487" i="2"/>
  <c r="M310" i="2"/>
  <c r="N693" i="2"/>
  <c r="L327" i="2"/>
  <c r="N314" i="2"/>
  <c r="L212" i="2"/>
  <c r="N454" i="2"/>
  <c r="N251" i="2"/>
  <c r="N361" i="2"/>
  <c r="M389" i="2"/>
  <c r="N590" i="2"/>
  <c r="L158" i="2"/>
  <c r="L331" i="2"/>
  <c r="L441" i="2"/>
  <c r="M151" i="2"/>
  <c r="M207" i="2"/>
  <c r="L166" i="2"/>
  <c r="M581" i="2"/>
  <c r="L609" i="2"/>
  <c r="N430" i="2"/>
  <c r="M116" i="2"/>
  <c r="M160" i="2"/>
  <c r="M551" i="2"/>
  <c r="M340" i="2"/>
  <c r="L292" i="2"/>
  <c r="N500" i="2"/>
  <c r="L223" i="2"/>
  <c r="N238" i="2"/>
  <c r="L518" i="2"/>
  <c r="M423" i="2"/>
  <c r="L485" i="2"/>
  <c r="M284" i="2"/>
  <c r="M256" i="2"/>
  <c r="N343" i="2"/>
  <c r="M485" i="2"/>
  <c r="M260" i="2"/>
  <c r="N241" i="2"/>
  <c r="M482" i="2"/>
  <c r="N162" i="2"/>
  <c r="M538" i="2"/>
  <c r="N627" i="2"/>
  <c r="N773" i="2"/>
  <c r="L379" i="2"/>
  <c r="M179" i="2"/>
  <c r="L142" i="2"/>
  <c r="N267" i="2"/>
  <c r="L323" i="2"/>
  <c r="N566" i="2"/>
  <c r="M290" i="2"/>
  <c r="L360" i="2"/>
  <c r="L540" i="2"/>
  <c r="M468" i="2"/>
  <c r="L619" i="2"/>
  <c r="M417" i="2"/>
  <c r="N733" i="2"/>
  <c r="L645" i="2"/>
  <c r="L573" i="2"/>
  <c r="N668" i="2"/>
  <c r="L414" i="2"/>
  <c r="N249" i="2"/>
  <c r="L699" i="2"/>
  <c r="M396" i="2"/>
  <c r="L311" i="2"/>
  <c r="L302" i="2"/>
  <c r="L161" i="2"/>
  <c r="M172" i="2"/>
  <c r="L304" i="2"/>
  <c r="N152" i="2"/>
  <c r="N352" i="2"/>
  <c r="N227" i="2"/>
  <c r="M135" i="2"/>
  <c r="L184" i="2"/>
  <c r="N653" i="2"/>
  <c r="N675" i="2"/>
  <c r="M131" i="2"/>
  <c r="L370" i="2"/>
  <c r="M309" i="2"/>
  <c r="L280" i="2"/>
  <c r="N202" i="2"/>
  <c r="N481" i="2"/>
  <c r="M245" i="2"/>
  <c r="M213" i="2"/>
  <c r="M163" i="2"/>
  <c r="L361" i="2"/>
  <c r="M403" i="2"/>
  <c r="M327" i="2"/>
  <c r="L222" i="2"/>
  <c r="M291" i="2"/>
  <c r="M114" i="2"/>
  <c r="M352" i="2"/>
  <c r="N225" i="2"/>
  <c r="L185" i="2"/>
  <c r="M508" i="2"/>
  <c r="N665" i="2"/>
  <c r="M329" i="2"/>
  <c r="M362" i="2"/>
  <c r="N305" i="2"/>
  <c r="L134" i="2"/>
  <c r="L227" i="2"/>
  <c r="L381" i="2"/>
  <c r="L288" i="2"/>
  <c r="L771" i="2"/>
  <c r="M195" i="2"/>
  <c r="M261" i="2"/>
  <c r="M188" i="2"/>
  <c r="N447" i="2"/>
  <c r="N395" i="2"/>
  <c r="L373" i="2"/>
  <c r="N141" i="2"/>
  <c r="L457" i="2"/>
  <c r="M410" i="2"/>
  <c r="M630" i="2"/>
  <c r="M152" i="2"/>
  <c r="N129" i="2"/>
  <c r="L454" i="2"/>
  <c r="L511" i="2"/>
  <c r="N297" i="2"/>
  <c r="N577" i="2"/>
  <c r="N445" i="2"/>
  <c r="L473" i="2"/>
  <c r="L263" i="2"/>
  <c r="M288" i="2"/>
  <c r="L432" i="2"/>
  <c r="L306" i="2"/>
  <c r="L479" i="2"/>
  <c r="N336" i="2"/>
  <c r="L523" i="2"/>
  <c r="N745" i="2"/>
  <c r="N325" i="2"/>
  <c r="M257" i="2"/>
  <c r="L148" i="2"/>
  <c r="N499" i="2"/>
  <c r="N516" i="2"/>
  <c r="L346" i="2"/>
  <c r="M592" i="2"/>
  <c r="M339" i="2"/>
  <c r="M367" i="2"/>
  <c r="M273" i="2"/>
  <c r="M433" i="2"/>
  <c r="N427" i="2"/>
  <c r="N545" i="2"/>
  <c r="M122" i="2"/>
  <c r="M333" i="2"/>
  <c r="M414" i="2"/>
  <c r="N172" i="2"/>
  <c r="M181" i="2"/>
  <c r="M147" i="2"/>
  <c r="N161" i="2"/>
  <c r="N243" i="2"/>
  <c r="M225" i="2"/>
  <c r="N440" i="2"/>
  <c r="L208" i="2"/>
  <c r="M265" i="2"/>
  <c r="L376" i="2"/>
  <c r="M282" i="2"/>
  <c r="L201" i="2"/>
  <c r="N303" i="2"/>
  <c r="M115" i="2"/>
  <c r="N466" i="2"/>
  <c r="N397" i="2"/>
  <c r="M457" i="2"/>
  <c r="M416" i="2"/>
  <c r="N143" i="2"/>
  <c r="L265" i="2"/>
  <c r="L164" i="2"/>
  <c r="M178" i="2"/>
  <c r="N168" i="2"/>
  <c r="N190" i="2"/>
  <c r="L253" i="2"/>
  <c r="L420" i="2"/>
  <c r="M405" i="2"/>
  <c r="M336" i="2"/>
  <c r="M297" i="2"/>
  <c r="L548" i="2"/>
  <c r="L298" i="2"/>
  <c r="L224" i="2"/>
  <c r="L149" i="2"/>
  <c r="M378" i="2"/>
  <c r="L172" i="2"/>
  <c r="L572" i="2"/>
  <c r="N199" i="2"/>
  <c r="L742" i="2"/>
  <c r="M547" i="2"/>
  <c r="N185" i="2"/>
  <c r="L238" i="2"/>
  <c r="L425" i="2"/>
  <c r="M474" i="2"/>
  <c r="N512" i="2"/>
  <c r="M243" i="2"/>
  <c r="M361" i="2"/>
  <c r="L301" i="2"/>
  <c r="L475" i="2"/>
  <c r="L316" i="2"/>
  <c r="N682" i="2"/>
  <c r="M259" i="2"/>
  <c r="L522" i="2"/>
  <c r="M532" i="2"/>
  <c r="N666" i="2"/>
  <c r="M162" i="2"/>
  <c r="N363" i="2"/>
  <c r="L442" i="2"/>
  <c r="M464" i="2"/>
  <c r="L259" i="2"/>
  <c r="L293" i="2"/>
  <c r="M489" i="2"/>
  <c r="L386" i="2"/>
  <c r="L400" i="2"/>
  <c r="N290" i="2"/>
  <c r="N194" i="2"/>
  <c r="L428" i="2"/>
  <c r="M438" i="2"/>
  <c r="L422" i="2"/>
  <c r="L488" i="2"/>
  <c r="N382" i="2"/>
  <c r="N380" i="2"/>
  <c r="L391" i="2"/>
  <c r="N426" i="2"/>
  <c r="N688" i="2"/>
  <c r="N287" i="2"/>
  <c r="M386" i="2"/>
  <c r="M559" i="2"/>
  <c r="M255" i="2"/>
  <c r="M153" i="2"/>
  <c r="M596" i="2"/>
  <c r="L737" i="2"/>
  <c r="L389" i="2"/>
  <c r="L396" i="2"/>
  <c r="M479" i="2"/>
  <c r="M534" i="2"/>
  <c r="M206" i="2"/>
  <c r="L192" i="2"/>
  <c r="M434" i="2"/>
  <c r="N597" i="2"/>
  <c r="L206" i="2"/>
  <c r="L690" i="2"/>
  <c r="N291" i="2"/>
  <c r="N594" i="2"/>
  <c r="N782" i="2"/>
  <c r="N191" i="2"/>
  <c r="N255" i="2"/>
  <c r="N130" i="2"/>
  <c r="L300" i="2"/>
  <c r="L314" i="2"/>
  <c r="N459" i="2"/>
  <c r="M696" i="2"/>
  <c r="L671" i="2"/>
  <c r="N505" i="2"/>
  <c r="N701" i="2"/>
  <c r="N478" i="2"/>
  <c r="N617" i="2"/>
  <c r="N444" i="2"/>
  <c r="N276" i="2"/>
  <c r="L339" i="2"/>
  <c r="N638" i="2"/>
  <c r="N142" i="2"/>
  <c r="N359" i="2"/>
  <c r="L677" i="2"/>
  <c r="M283" i="2"/>
  <c r="L508" i="2"/>
  <c r="M191" i="2"/>
  <c r="M193" i="2"/>
  <c r="N606" i="2"/>
  <c r="M275" i="2"/>
  <c r="M130" i="2"/>
  <c r="L536" i="2"/>
  <c r="M743" i="2"/>
  <c r="L698" i="2"/>
  <c r="N491" i="2"/>
  <c r="M712" i="2"/>
  <c r="L216" i="2"/>
  <c r="N542" i="2"/>
  <c r="L165" i="2"/>
  <c r="N463" i="2"/>
  <c r="L631" i="2"/>
  <c r="M709" i="2"/>
  <c r="M635" i="2"/>
  <c r="N730" i="2"/>
  <c r="M574" i="2"/>
  <c r="N765" i="2"/>
  <c r="M744" i="2"/>
  <c r="N402" i="2"/>
  <c r="M741" i="2"/>
  <c r="M701" i="2"/>
  <c r="M492" i="2"/>
  <c r="M156" i="2"/>
  <c r="L489" i="2"/>
  <c r="L415" i="2"/>
  <c r="L226" i="2"/>
  <c r="L181" i="2"/>
  <c r="N480" i="2"/>
  <c r="L299" i="2"/>
  <c r="N487" i="2"/>
  <c r="N556" i="2"/>
  <c r="N586" i="2"/>
  <c r="L615" i="2"/>
  <c r="N379" i="2"/>
  <c r="L578" i="2"/>
  <c r="M287" i="2"/>
  <c r="N329" i="2"/>
  <c r="M650" i="2"/>
  <c r="L681" i="2"/>
  <c r="L571" i="2"/>
  <c r="M397" i="2"/>
  <c r="L695" i="2"/>
  <c r="L146" i="2"/>
  <c r="M477" i="2"/>
  <c r="M590" i="2"/>
  <c r="M454" i="2"/>
  <c r="N570" i="2"/>
  <c r="N770" i="2"/>
  <c r="N532" i="2"/>
  <c r="L433" i="2"/>
  <c r="N467" i="2"/>
  <c r="L607" i="2"/>
  <c r="M626" i="2"/>
  <c r="N536" i="2"/>
  <c r="N375" i="2"/>
  <c r="L688" i="2"/>
  <c r="N603" i="2"/>
  <c r="N252" i="2"/>
  <c r="N331" i="2"/>
  <c r="L135" i="2"/>
  <c r="L705" i="2"/>
  <c r="L295" i="2"/>
  <c r="M627" i="2"/>
  <c r="L438" i="2"/>
  <c r="M348" i="2"/>
  <c r="L664" i="2"/>
  <c r="M210" i="2"/>
  <c r="M523" i="2"/>
  <c r="L168" i="2"/>
  <c r="N450" i="2"/>
  <c r="N366" i="2"/>
  <c r="N235" i="2"/>
  <c r="L538" i="2"/>
  <c r="N306" i="2"/>
  <c r="N128" i="2"/>
  <c r="L765" i="2"/>
  <c r="M380" i="2"/>
  <c r="M664" i="2"/>
  <c r="N654" i="2"/>
  <c r="L735" i="2"/>
  <c r="L205" i="2"/>
  <c r="M775" i="2"/>
  <c r="M402" i="2"/>
  <c r="N662" i="2"/>
  <c r="N691" i="2"/>
  <c r="M502" i="2"/>
  <c r="N605" i="2"/>
  <c r="M714" i="2"/>
  <c r="N599" i="2"/>
  <c r="N710" i="2"/>
  <c r="N725" i="2"/>
  <c r="L175" i="2"/>
  <c r="N592" i="2"/>
  <c r="M314" i="2"/>
  <c r="N743" i="2"/>
  <c r="L697" i="2"/>
  <c r="M691" i="2"/>
  <c r="L653" i="2"/>
  <c r="L759" i="2"/>
  <c r="N522" i="2"/>
  <c r="M666" i="2"/>
  <c r="L734" i="2"/>
  <c r="M675" i="2"/>
  <c r="N531" i="2"/>
  <c r="M376" i="2"/>
  <c r="N221" i="2"/>
  <c r="N123" i="2"/>
  <c r="N340" i="2"/>
  <c r="M404" i="2"/>
  <c r="L193" i="2"/>
  <c r="L151" i="2"/>
  <c r="M278" i="2"/>
  <c r="N486" i="2"/>
  <c r="L397" i="2"/>
  <c r="M512" i="2"/>
  <c r="N678" i="2"/>
  <c r="N317" i="2"/>
  <c r="L562" i="2"/>
  <c r="M170" i="2"/>
  <c r="N647" i="2"/>
  <c r="L580" i="2"/>
  <c r="N615" i="2"/>
  <c r="N573" i="2"/>
  <c r="M200" i="2"/>
  <c r="L183" i="2"/>
  <c r="M506" i="2"/>
  <c r="L349" i="2"/>
  <c r="N139" i="2"/>
  <c r="M360" i="2"/>
  <c r="M234" i="2"/>
  <c r="M645" i="2"/>
  <c r="N169" i="2"/>
  <c r="M553" i="2"/>
  <c r="L270" i="2"/>
  <c r="M572" i="2"/>
  <c r="L468" i="2"/>
  <c r="M443" i="2"/>
  <c r="N580" i="2"/>
  <c r="M758" i="2"/>
  <c r="L558" i="2"/>
  <c r="M465" i="2"/>
  <c r="L417" i="2"/>
  <c r="L669" i="2"/>
  <c r="L219" i="2"/>
  <c r="M702" i="2"/>
  <c r="L394" i="2"/>
  <c r="N166" i="2"/>
  <c r="N377" i="2"/>
  <c r="M599" i="2"/>
  <c r="N698" i="2"/>
  <c r="M710" i="2"/>
  <c r="M643" i="2"/>
  <c r="L232" i="2"/>
  <c r="M430" i="2"/>
  <c r="N490" i="2"/>
  <c r="N398" i="2"/>
  <c r="L783" i="2"/>
  <c r="M718" i="2"/>
  <c r="N374" i="2"/>
  <c r="M753" i="2"/>
  <c r="M644" i="2"/>
  <c r="L748" i="2"/>
  <c r="N414" i="2"/>
  <c r="M470" i="2"/>
  <c r="M761" i="2"/>
  <c r="N285" i="2"/>
  <c r="L345" i="2"/>
  <c r="N461" i="2"/>
  <c r="M134" i="2"/>
  <c r="M148" i="2"/>
  <c r="N528" i="2"/>
  <c r="L635" i="2"/>
  <c r="L319" i="2"/>
  <c r="M727" i="2"/>
  <c r="N234" i="2"/>
  <c r="N681" i="2"/>
  <c r="L452" i="2"/>
  <c r="L484" i="2"/>
  <c r="N362" i="2"/>
  <c r="N127" i="2"/>
  <c r="M597" i="2"/>
  <c r="N244" i="2"/>
  <c r="N692" i="2"/>
  <c r="L708" i="2"/>
  <c r="N365" i="2"/>
  <c r="M123" i="2"/>
  <c r="M338" i="2"/>
  <c r="M401" i="2"/>
  <c r="M707" i="2"/>
  <c r="N116" i="2"/>
  <c r="N726" i="2"/>
  <c r="N354" i="2"/>
  <c r="M685" i="2"/>
  <c r="N356" i="2"/>
  <c r="N281" i="2"/>
  <c r="M545" i="2"/>
  <c r="N538" i="2"/>
  <c r="L478" i="2"/>
  <c r="M307" i="2"/>
  <c r="N501" i="2"/>
  <c r="N358" i="2"/>
  <c r="N183" i="2"/>
  <c r="L585" i="2"/>
  <c r="N720" i="2"/>
  <c r="N716" i="2"/>
  <c r="L637" i="2"/>
  <c r="M560" i="2"/>
  <c r="M692" i="2"/>
  <c r="L729" i="2"/>
  <c r="N381" i="2"/>
  <c r="M174" i="2"/>
  <c r="L315" i="2"/>
  <c r="L209" i="2"/>
  <c r="M615" i="2"/>
  <c r="L787" i="2"/>
  <c r="L194" i="2"/>
  <c r="N436" i="2"/>
  <c r="N222" i="2"/>
  <c r="M139" i="2"/>
  <c r="M227" i="2"/>
  <c r="M668" i="2"/>
  <c r="L211" i="2"/>
  <c r="M495" i="2"/>
  <c r="M697" i="2"/>
  <c r="L122" i="2"/>
  <c r="M323" i="2"/>
  <c r="L242" i="2"/>
  <c r="N616" i="2"/>
  <c r="N677" i="2"/>
  <c r="N219" i="2"/>
  <c r="M555" i="2"/>
  <c r="N601" i="2"/>
  <c r="N367" i="2"/>
  <c r="L336" i="2"/>
  <c r="N385" i="2"/>
  <c r="M516" i="2"/>
  <c r="N753" i="2"/>
  <c r="M740" i="2"/>
  <c r="N661" i="2"/>
  <c r="L126" i="2"/>
  <c r="N763" i="2"/>
  <c r="L423" i="2"/>
  <c r="N625" i="2"/>
  <c r="M211" i="2"/>
  <c r="M393" i="2"/>
  <c r="M229" i="2"/>
  <c r="N761" i="2"/>
  <c r="N476" i="2"/>
  <c r="N390" i="2"/>
  <c r="L377" i="2"/>
  <c r="L656" i="2"/>
  <c r="N762" i="2"/>
  <c r="L495" i="2"/>
  <c r="N679" i="2"/>
  <c r="N721" i="2"/>
  <c r="N410" i="2"/>
  <c r="L781" i="2"/>
  <c r="N775" i="2"/>
  <c r="L530" i="2"/>
  <c r="N424" i="2"/>
  <c r="M530" i="2"/>
  <c r="L482" i="2"/>
  <c r="L297" i="2"/>
  <c r="N622" i="2"/>
  <c r="N147" i="2"/>
  <c r="N506" i="2"/>
  <c r="N236" i="2"/>
  <c r="M563" i="2"/>
  <c r="N272" i="2"/>
  <c r="M429" i="2"/>
  <c r="N237" i="2"/>
  <c r="M549" i="2"/>
  <c r="M407" i="2"/>
  <c r="N223" i="2"/>
  <c r="N557" i="2"/>
  <c r="N300" i="2"/>
  <c r="L182" i="2"/>
  <c r="N370" i="2"/>
  <c r="L764" i="2"/>
  <c r="N408" i="2"/>
  <c r="M365" i="2"/>
  <c r="M624" i="2"/>
  <c r="N388" i="2"/>
  <c r="N696" i="2"/>
  <c r="L456" i="2"/>
  <c r="N332" i="2"/>
  <c r="M258" i="2"/>
  <c r="N660" i="2"/>
  <c r="N718" i="2"/>
  <c r="N576" i="2"/>
  <c r="L745" i="2"/>
  <c r="N469" i="2"/>
  <c r="M466" i="2"/>
  <c r="L445" i="2"/>
  <c r="M746" i="2"/>
  <c r="N188" i="2"/>
  <c r="L704" i="2"/>
  <c r="L395" i="2"/>
  <c r="N322" i="2"/>
  <c r="N778" i="2"/>
  <c r="M185" i="2"/>
  <c r="L534" i="2"/>
  <c r="L474" i="2"/>
  <c r="N685" i="2"/>
  <c r="N337" i="2"/>
  <c r="N717" i="2"/>
  <c r="L378" i="2"/>
  <c r="N261" i="2"/>
  <c r="M642" i="2"/>
  <c r="L605" i="2"/>
  <c r="L188" i="2"/>
  <c r="L719" i="2"/>
  <c r="N641" i="2"/>
  <c r="M462" i="2"/>
  <c r="M684" i="2"/>
  <c r="L505" i="2"/>
  <c r="N465" i="2"/>
  <c r="M772" i="2"/>
  <c r="L629" i="2"/>
  <c r="M515" i="2"/>
  <c r="L384" i="2"/>
  <c r="L644" i="2"/>
  <c r="L772" i="2"/>
  <c r="M498" i="2"/>
  <c r="N644" i="2"/>
  <c r="L560" i="2"/>
  <c r="M394" i="2"/>
  <c r="L169" i="2"/>
  <c r="N132" i="2"/>
  <c r="N563" i="2"/>
  <c r="L341" i="2"/>
  <c r="M175" i="2"/>
  <c r="N292" i="2"/>
  <c r="N159" i="2"/>
  <c r="N484" i="2"/>
  <c r="N246" i="2"/>
  <c r="L364" i="2"/>
  <c r="M239" i="2"/>
  <c r="N637" i="2"/>
  <c r="M427" i="2"/>
  <c r="N434" i="2"/>
  <c r="L633" i="2"/>
  <c r="N228" i="2"/>
  <c r="N777" i="2"/>
  <c r="L326" i="2"/>
  <c r="N218" i="2"/>
  <c r="N517" i="2"/>
  <c r="M667" i="2"/>
  <c r="N670" i="2"/>
  <c r="N554" i="2"/>
  <c r="M435" i="2"/>
  <c r="L362" i="2"/>
  <c r="N345" i="2"/>
  <c r="L447" i="2"/>
  <c r="L403" i="2"/>
  <c r="N571" i="2"/>
  <c r="N508" i="2"/>
  <c r="M322" i="2"/>
  <c r="M629" i="2"/>
  <c r="L197" i="2"/>
  <c r="M527" i="2"/>
  <c r="L274" i="2"/>
  <c r="N509" i="2"/>
  <c r="L203" i="2"/>
  <c r="L715" i="2"/>
  <c r="M400" i="2"/>
  <c r="N786" i="2"/>
  <c r="M431" i="2"/>
  <c r="M764" i="2"/>
  <c r="M399" i="2"/>
  <c r="M526" i="2"/>
  <c r="N472" i="2"/>
  <c r="L436" i="2"/>
  <c r="N449" i="2"/>
  <c r="N258" i="2"/>
  <c r="N415" i="2"/>
  <c r="M385" i="2"/>
  <c r="L552" i="2"/>
  <c r="M573" i="2"/>
  <c r="M411" i="2"/>
  <c r="M330" i="2"/>
  <c r="M638" i="2"/>
  <c r="M159" i="2"/>
  <c r="L641" i="2"/>
  <c r="L282" i="2"/>
  <c r="L728" i="2"/>
  <c r="N619" i="2"/>
  <c r="L387" i="2"/>
  <c r="L255" i="2"/>
  <c r="M677" i="2"/>
  <c r="M357" i="2"/>
  <c r="N613" i="2"/>
  <c r="L782" i="2"/>
  <c r="L565" i="2"/>
  <c r="N407" i="2"/>
  <c r="M583" i="2"/>
  <c r="N471" i="2"/>
  <c r="M699" i="2"/>
  <c r="N144" i="2"/>
  <c r="N207" i="2"/>
  <c r="N417" i="2"/>
  <c r="M199" i="2"/>
  <c r="M281" i="2"/>
  <c r="L594" i="2"/>
  <c r="M293" i="2"/>
  <c r="M218" i="2"/>
  <c r="M756" i="2"/>
  <c r="L576" i="2"/>
  <c r="N124" i="2"/>
  <c r="L483" i="2"/>
  <c r="L582" i="2"/>
  <c r="N749" i="2"/>
  <c r="M700" i="2"/>
  <c r="M548" i="2"/>
  <c r="N690" i="2"/>
  <c r="M713" i="2"/>
  <c r="L587" i="2"/>
  <c r="N286" i="2"/>
  <c r="L178" i="2"/>
  <c r="M232" i="2"/>
  <c r="L561" i="2"/>
  <c r="M589" i="2"/>
  <c r="L512" i="2"/>
  <c r="M620" i="2"/>
  <c r="L383" i="2"/>
  <c r="N655" i="2"/>
  <c r="L198" i="2"/>
  <c r="M331" i="2"/>
  <c r="M222" i="2"/>
  <c r="N312" i="2"/>
  <c r="L318" i="2"/>
  <c r="N376" i="2"/>
  <c r="M576" i="2"/>
  <c r="L330" i="2"/>
  <c r="M486" i="2"/>
  <c r="M600" i="2"/>
  <c r="L121" i="2"/>
  <c r="L497" i="2"/>
  <c r="L449" i="2"/>
  <c r="M636" i="2"/>
  <c r="N783" i="2"/>
  <c r="M757" i="2"/>
  <c r="N323" i="2"/>
  <c r="M628" i="2"/>
  <c r="L503" i="2"/>
  <c r="M341" i="2"/>
  <c r="N774" i="2"/>
  <c r="L703" i="2"/>
  <c r="L490" i="2"/>
  <c r="L577" i="2"/>
  <c r="N468" i="2"/>
  <c r="N373" i="2"/>
  <c r="M513" i="2"/>
  <c r="M641" i="2"/>
  <c r="M725" i="2"/>
  <c r="M783" i="2"/>
  <c r="L470" i="2"/>
  <c r="N443" i="2"/>
  <c r="L513" i="2"/>
  <c r="M347" i="2"/>
  <c r="N170" i="2"/>
  <c r="M706" i="2"/>
  <c r="L115" i="2"/>
  <c r="L276" i="2"/>
  <c r="L273" i="2"/>
  <c r="M531" i="2"/>
  <c r="M754" i="2"/>
  <c r="N216" i="2"/>
  <c r="M659" i="2"/>
  <c r="N391" i="2"/>
  <c r="L471" i="2"/>
  <c r="N263" i="2"/>
  <c r="L502" i="2"/>
  <c r="M392" i="2"/>
  <c r="M601" i="2"/>
  <c r="N187" i="2"/>
  <c r="N473" i="2"/>
  <c r="N341" i="2"/>
  <c r="L603" i="2"/>
  <c r="N694" i="2"/>
  <c r="L419" i="2"/>
  <c r="N421" i="2"/>
  <c r="N396" i="2"/>
  <c r="M409" i="2"/>
  <c r="L774" i="2"/>
  <c r="L217" i="2"/>
  <c r="M452" i="2"/>
  <c r="L648" i="2"/>
  <c r="N704" i="2"/>
  <c r="N266" i="2"/>
  <c r="M183" i="2"/>
  <c r="N392" i="2"/>
  <c r="N213" i="2"/>
  <c r="N179" i="2"/>
  <c r="M688" i="2"/>
  <c r="L156" i="2"/>
  <c r="N583" i="2"/>
  <c r="N649" i="2"/>
  <c r="M317" i="2"/>
  <c r="M242" i="2"/>
  <c r="M632" i="2"/>
  <c r="M760" i="2"/>
  <c r="N338" i="2"/>
  <c r="M363" i="2"/>
  <c r="N474" i="2"/>
  <c r="M637" i="2"/>
  <c r="M217" i="2"/>
  <c r="L291" i="2"/>
  <c r="N561" i="2"/>
  <c r="L221" i="2"/>
  <c r="M720" i="2"/>
  <c r="N639" i="2"/>
  <c r="N405" i="2"/>
  <c r="M610" i="2"/>
  <c r="N293" i="2"/>
  <c r="L676" i="2"/>
  <c r="M651" i="2"/>
  <c r="L599" i="2"/>
  <c r="M654" i="2"/>
  <c r="N456" i="2"/>
  <c r="L366" i="2"/>
  <c r="M621" i="2"/>
  <c r="M190" i="2"/>
  <c r="M584" i="2"/>
  <c r="L501" i="2"/>
  <c r="N495" i="2"/>
  <c r="M593" i="2"/>
  <c r="N707" i="2"/>
  <c r="N695" i="2"/>
  <c r="N254" i="2"/>
  <c r="M539" i="2"/>
  <c r="N295" i="2"/>
  <c r="L155" i="2"/>
  <c r="M420" i="2"/>
  <c r="M236" i="2"/>
  <c r="N294" i="2"/>
  <c r="N584" i="2"/>
  <c r="L406" i="2"/>
  <c r="M350" i="2"/>
  <c r="M455" i="2"/>
  <c r="N378" i="2"/>
  <c r="L356" i="2"/>
  <c r="N652" i="2"/>
  <c r="N621" i="2"/>
  <c r="M494" i="2"/>
  <c r="L332" i="2"/>
  <c r="M681" i="2"/>
  <c r="M780" i="2"/>
  <c r="M387" i="2"/>
  <c r="L220" i="2"/>
  <c r="M216" i="2"/>
  <c r="L617" i="2"/>
  <c r="N771" i="2"/>
  <c r="L312" i="2"/>
  <c r="M117" i="2"/>
  <c r="M729" i="2"/>
  <c r="M575" i="2"/>
  <c r="L464" i="2"/>
  <c r="L328" i="2"/>
  <c r="M605" i="2"/>
  <c r="L630" i="2"/>
  <c r="M734" i="2"/>
  <c r="N757" i="2"/>
  <c r="L785" i="2"/>
  <c r="L724" i="2"/>
  <c r="L568" i="2"/>
  <c r="M611" i="2"/>
  <c r="M565" i="2"/>
  <c r="L229" i="2"/>
  <c r="M671" i="2"/>
  <c r="M585" i="2"/>
  <c r="M689" i="2"/>
  <c r="L650" i="2"/>
  <c r="L600" i="2"/>
  <c r="M406" i="2"/>
  <c r="L235" i="2"/>
  <c r="M456" i="2"/>
  <c r="L393" i="2"/>
  <c r="M209" i="2"/>
  <c r="L248" i="2"/>
  <c r="N137" i="2"/>
  <c r="N136" i="2"/>
  <c r="M633" i="2"/>
  <c r="L138" i="2"/>
  <c r="N702" i="2"/>
  <c r="M332" i="2"/>
  <c r="L410" i="2"/>
  <c r="L251" i="2"/>
  <c r="N470" i="2"/>
  <c r="N493" i="2"/>
  <c r="N457" i="2"/>
  <c r="M359" i="2"/>
  <c r="M609" i="2"/>
  <c r="N372" i="2"/>
  <c r="L207" i="2"/>
  <c r="L218" i="2"/>
  <c r="N203" i="2"/>
  <c r="N755" i="2"/>
  <c r="N274" i="2"/>
  <c r="M194" i="2"/>
  <c r="L236" i="2"/>
  <c r="N437" i="2"/>
  <c r="M579" i="2"/>
  <c r="M603" i="2"/>
  <c r="N705" i="2"/>
  <c r="N412" i="2"/>
  <c r="M208" i="2"/>
  <c r="M388" i="2"/>
  <c r="L350" i="2"/>
  <c r="N351" i="2"/>
  <c r="M544" i="2"/>
  <c r="N394" i="2"/>
  <c r="M693" i="2"/>
  <c r="M617" i="2"/>
  <c r="L388" i="2"/>
  <c r="M587" i="2"/>
  <c r="N689" i="2"/>
  <c r="M771" i="2"/>
  <c r="N503" i="2"/>
  <c r="N736" i="2"/>
  <c r="M408" i="2"/>
  <c r="L283" i="2"/>
  <c r="M118" i="2"/>
  <c r="N636" i="2"/>
  <c r="N201" i="2"/>
  <c r="N304" i="2"/>
  <c r="N208" i="2"/>
  <c r="M614" i="2"/>
  <c r="N565" i="2"/>
  <c r="N706" i="2"/>
  <c r="L486" i="2"/>
  <c r="N448" i="2"/>
  <c r="M487" i="2"/>
  <c r="L132" i="2"/>
  <c r="N283" i="2"/>
  <c r="N302" i="2"/>
  <c r="L583" i="2"/>
  <c r="N182" i="2"/>
  <c r="N453" i="2"/>
  <c r="L649" i="2"/>
  <c r="L640" i="2"/>
  <c r="L743" i="2"/>
  <c r="M463" i="2"/>
  <c r="N494" i="2"/>
  <c r="M686" i="2"/>
  <c r="L569" i="2"/>
  <c r="N389" i="2"/>
  <c r="N416" i="2"/>
  <c r="N504" i="2"/>
  <c r="M187" i="2"/>
  <c r="L535" i="2"/>
  <c r="N307" i="2"/>
  <c r="L547" i="2"/>
  <c r="N433" i="2"/>
  <c r="L444" i="2"/>
  <c r="M146" i="2"/>
  <c r="M441" i="2"/>
  <c r="L590" i="2"/>
  <c r="M301" i="2"/>
  <c r="L289" i="2"/>
  <c r="L662" i="2"/>
  <c r="L136" i="2"/>
  <c r="N348" i="2"/>
  <c r="M377" i="2"/>
  <c r="L157" i="2"/>
  <c r="N334" i="2"/>
  <c r="M374" i="2"/>
  <c r="L399" i="2"/>
  <c r="L625" i="2"/>
  <c r="L451" i="2"/>
  <c r="N452" i="2"/>
  <c r="M640" i="2"/>
  <c r="L189" i="2"/>
  <c r="M219" i="2"/>
  <c r="M481" i="2"/>
  <c r="N541" i="2"/>
  <c r="M349" i="2"/>
  <c r="L543" i="2"/>
  <c r="N119" i="2"/>
  <c r="L257" i="2"/>
  <c r="N543" i="2"/>
  <c r="L245" i="2"/>
  <c r="N335" i="2"/>
  <c r="M308" i="2"/>
  <c r="L526" i="2"/>
  <c r="L133" i="2"/>
  <c r="M504" i="2"/>
  <c r="L722" i="2"/>
  <c r="L275" i="2"/>
  <c r="M788" i="2"/>
  <c r="L371" i="2"/>
  <c r="M212" i="2"/>
  <c r="M505" i="2"/>
  <c r="N479" i="2"/>
  <c r="N319" i="2"/>
  <c r="M749" i="2"/>
  <c r="L258" i="2"/>
  <c r="N635" i="2"/>
  <c r="N618" i="2"/>
  <c r="N431" i="2"/>
  <c r="N724" i="2"/>
  <c r="N735" i="2"/>
  <c r="L554" i="2"/>
  <c r="L753" i="2"/>
  <c r="N520" i="2"/>
  <c r="L493" i="2"/>
  <c r="L686" i="2"/>
  <c r="N206" i="2"/>
  <c r="N700" i="2"/>
  <c r="L685" i="2"/>
  <c r="N247" i="2"/>
  <c r="M316" i="2"/>
  <c r="M442" i="2"/>
  <c r="L434" i="2"/>
  <c r="M459" i="2"/>
  <c r="M415" i="2"/>
  <c r="N672" i="2"/>
  <c r="L731" i="2"/>
  <c r="N729" i="2"/>
  <c r="N360" i="2"/>
  <c r="L683" i="2"/>
  <c r="N298" i="2"/>
  <c r="L129" i="2"/>
  <c r="M240" i="2"/>
  <c r="N781" i="2"/>
  <c r="M390" i="2"/>
  <c r="M536" i="2"/>
  <c r="M318" i="2"/>
  <c r="M745" i="2"/>
  <c r="N575" i="2"/>
  <c r="M781" i="2"/>
  <c r="M144" i="2"/>
  <c r="M552" i="2"/>
  <c r="L187" i="2"/>
  <c r="N767" i="2"/>
  <c r="L589" i="2"/>
  <c r="L588" i="2"/>
  <c r="N250" i="2"/>
  <c r="L287" i="2"/>
  <c r="N518" i="2"/>
  <c r="L430" i="2"/>
  <c r="L539" i="2"/>
  <c r="M237" i="2"/>
  <c r="N651" i="2"/>
  <c r="L176" i="2"/>
  <c r="M768" i="2"/>
  <c r="M769" i="2"/>
  <c r="L723" i="2"/>
  <c r="N173" i="2"/>
  <c r="M315" i="2"/>
  <c r="M510" i="2"/>
  <c r="N475" i="2"/>
  <c r="L694" i="2"/>
  <c r="L307" i="2"/>
  <c r="L710" i="2"/>
  <c r="M608" i="2"/>
  <c r="L739" i="2"/>
  <c r="M694" i="2"/>
  <c r="M567" i="2"/>
  <c r="N728" i="2"/>
  <c r="L174" i="2"/>
  <c r="M490" i="2"/>
  <c r="M618" i="2"/>
  <c r="L602" i="2"/>
  <c r="N604" i="2"/>
  <c r="N193" i="2"/>
  <c r="L652" i="2"/>
  <c r="M196" i="2"/>
  <c r="L234" i="2"/>
  <c r="M368" i="2"/>
  <c r="L546" i="2"/>
  <c r="L477" i="2"/>
  <c r="N393" i="2"/>
  <c r="M413" i="2"/>
  <c r="N492" i="2"/>
  <c r="N195" i="2"/>
  <c r="M247" i="2"/>
  <c r="M622" i="2"/>
  <c r="M450" i="2"/>
  <c r="M444" i="2"/>
  <c r="L520" i="2"/>
  <c r="N309" i="2"/>
  <c r="M723" i="2"/>
  <c r="N174" i="2"/>
  <c r="M272" i="2"/>
  <c r="L730" i="2"/>
  <c r="N567" i="2"/>
  <c r="M249" i="2"/>
  <c r="L673" i="2"/>
  <c r="N256" i="2"/>
  <c r="L228" i="2"/>
  <c r="L252" i="2"/>
  <c r="N587" i="2"/>
  <c r="N308" i="2"/>
  <c r="L321" i="2"/>
  <c r="L756" i="2"/>
  <c r="N442" i="2"/>
  <c r="M648" i="2"/>
  <c r="N626" i="2"/>
  <c r="N559" i="2"/>
  <c r="N776" i="2"/>
  <c r="N462" i="2"/>
  <c r="N164" i="2"/>
  <c r="L250" i="2"/>
  <c r="N259" i="2"/>
  <c r="N611" i="2"/>
  <c r="L751" i="2"/>
  <c r="L145" i="2"/>
  <c r="M738" i="2"/>
  <c r="N446" i="2"/>
  <c r="N650" i="2"/>
  <c r="N496" i="2"/>
  <c r="N752" i="2"/>
  <c r="N758" i="2"/>
  <c r="N748" i="2"/>
  <c r="L682" i="2"/>
  <c r="N612" i="2"/>
  <c r="L448" i="2"/>
  <c r="M449" i="2"/>
  <c r="L244" i="2"/>
  <c r="M695" i="2"/>
  <c r="M647" i="2"/>
  <c r="N527" i="2"/>
  <c r="N248" i="2"/>
  <c r="M298" i="2"/>
  <c r="N271" i="2"/>
  <c r="N744" i="2"/>
  <c r="N593" i="2"/>
  <c r="M496" i="2"/>
  <c r="L567" i="2"/>
  <c r="M535" i="2"/>
  <c r="L628" i="2"/>
  <c r="N551" i="2"/>
  <c r="L465" i="2"/>
  <c r="L668" i="2"/>
  <c r="M373" i="2"/>
  <c r="M525" i="2"/>
  <c r="N483" i="2"/>
  <c r="M562" i="2"/>
  <c r="M598" i="2"/>
  <c r="M606" i="2"/>
  <c r="M726" i="2"/>
  <c r="L623" i="2"/>
  <c r="L140" i="2"/>
  <c r="N524" i="2"/>
  <c r="L338" i="2"/>
  <c r="N441" i="2"/>
  <c r="L675" i="2"/>
  <c r="L179" i="2"/>
  <c r="N239" i="2"/>
  <c r="L496" i="2"/>
  <c r="L621" i="2"/>
  <c r="L614" i="2"/>
  <c r="L612" i="2"/>
  <c r="M736" i="2"/>
  <c r="L402" i="2"/>
  <c r="M774" i="2"/>
  <c r="L713" i="2"/>
  <c r="M779" i="2"/>
  <c r="M759" i="2"/>
  <c r="L770" i="2"/>
  <c r="L622" i="2"/>
  <c r="L586" i="2"/>
  <c r="N722" i="2"/>
  <c r="M517" i="2"/>
  <c r="L542" i="2"/>
  <c r="M782" i="2"/>
  <c r="N629" i="2"/>
  <c r="L752" i="2"/>
  <c r="L91" i="2"/>
  <c r="L66" i="2"/>
  <c r="N45" i="2"/>
  <c r="N78" i="2"/>
  <c r="N101" i="2"/>
  <c r="M111" i="2"/>
  <c r="M105" i="2"/>
  <c r="N85" i="2"/>
  <c r="M112" i="2"/>
  <c r="M104" i="2"/>
  <c r="L69" i="2"/>
  <c r="M53" i="2"/>
  <c r="M41" i="2"/>
  <c r="L85" i="2"/>
  <c r="N92" i="2"/>
  <c r="N47" i="2"/>
  <c r="L52" i="2"/>
  <c r="N95" i="2"/>
  <c r="M40" i="2"/>
  <c r="N111" i="2"/>
  <c r="L72" i="2"/>
  <c r="L73" i="2"/>
  <c r="L41" i="2"/>
  <c r="N50" i="2"/>
  <c r="M56" i="2"/>
  <c r="M80" i="2"/>
  <c r="N70" i="2"/>
  <c r="L50" i="2"/>
  <c r="J469" i="2"/>
  <c r="J175" i="2"/>
  <c r="K131" i="2"/>
  <c r="K733" i="2"/>
  <c r="N265" i="2"/>
  <c r="M289" i="2"/>
  <c r="M313" i="2"/>
  <c r="L613" i="2"/>
  <c r="L499" i="2"/>
  <c r="M751" i="2"/>
  <c r="M343" i="2"/>
  <c r="N257" i="2"/>
  <c r="M203" i="2"/>
  <c r="L665" i="2"/>
  <c r="N608" i="2"/>
  <c r="M501" i="2"/>
  <c r="L642" i="2"/>
  <c r="N624" i="2"/>
  <c r="M311" i="2"/>
  <c r="L261" i="2"/>
  <c r="L141" i="2"/>
  <c r="L563" i="2"/>
  <c r="M541" i="2"/>
  <c r="M655" i="2"/>
  <c r="L340" i="2"/>
  <c r="M737" i="2"/>
  <c r="M763" i="2"/>
  <c r="L784" i="2"/>
  <c r="M747" i="2"/>
  <c r="N278" i="2"/>
  <c r="M157" i="2"/>
  <c r="L666" i="2"/>
  <c r="L463" i="2"/>
  <c r="M473" i="2"/>
  <c r="L437" i="2"/>
  <c r="N591" i="2"/>
  <c r="L700" i="2"/>
  <c r="N582" i="2"/>
  <c r="N548" i="2"/>
  <c r="M453" i="2"/>
  <c r="M665" i="2"/>
  <c r="L776" i="2"/>
  <c r="N784" i="2"/>
  <c r="M739" i="2"/>
  <c r="L458" i="2"/>
  <c r="N296" i="2"/>
  <c r="N422" i="2"/>
  <c r="M731" i="2"/>
  <c r="L186" i="2"/>
  <c r="N709" i="2"/>
  <c r="M439" i="2"/>
  <c r="M484" i="2"/>
  <c r="N764" i="2"/>
  <c r="M519" i="2"/>
  <c r="L564" i="2"/>
  <c r="N502" i="2"/>
  <c r="N550" i="2"/>
  <c r="L525" i="2"/>
  <c r="M683" i="2"/>
  <c r="N768" i="2"/>
  <c r="L638" i="2"/>
  <c r="L233" i="2"/>
  <c r="N534" i="2"/>
  <c r="L696" i="2"/>
  <c r="L591" i="2"/>
  <c r="M358" i="2"/>
  <c r="L687" i="2"/>
  <c r="L725" i="2"/>
  <c r="N614" i="2"/>
  <c r="L460" i="2"/>
  <c r="L773" i="2"/>
  <c r="M673" i="2"/>
  <c r="L721" i="2"/>
  <c r="L154" i="2"/>
  <c r="M652" i="2"/>
  <c r="N83" i="2"/>
  <c r="M97" i="2"/>
  <c r="M46" i="2"/>
  <c r="M59" i="2"/>
  <c r="M93" i="2"/>
  <c r="N86" i="2"/>
  <c r="L55" i="2"/>
  <c r="N55" i="2"/>
  <c r="M76" i="2"/>
  <c r="N105" i="2"/>
  <c r="N112" i="2"/>
  <c r="M86" i="2"/>
  <c r="N41" i="2"/>
  <c r="L99" i="2"/>
  <c r="M45" i="2"/>
  <c r="M110" i="2"/>
  <c r="L62" i="2"/>
  <c r="L40" i="2"/>
  <c r="M55" i="2"/>
  <c r="N73" i="2"/>
  <c r="M89" i="2"/>
  <c r="N59" i="2"/>
  <c r="L90" i="2"/>
  <c r="N66" i="2"/>
  <c r="N106" i="2"/>
  <c r="N98" i="2"/>
  <c r="N99" i="2"/>
  <c r="N44" i="2"/>
  <c r="K465" i="2"/>
  <c r="J248" i="2"/>
  <c r="K372" i="2"/>
  <c r="J243" i="2"/>
  <c r="J192" i="2"/>
  <c r="K380" i="2"/>
  <c r="J464" i="2"/>
  <c r="J302" i="2"/>
  <c r="K483" i="2"/>
  <c r="K378" i="2"/>
  <c r="K744" i="2"/>
  <c r="K350" i="2"/>
  <c r="J234" i="2"/>
  <c r="J505" i="2"/>
  <c r="K446" i="2"/>
  <c r="J324" i="2"/>
  <c r="K769" i="2"/>
  <c r="K653" i="2"/>
  <c r="K181" i="2"/>
  <c r="K297" i="2"/>
  <c r="J668" i="2"/>
  <c r="K695" i="2"/>
  <c r="J333" i="2"/>
  <c r="J704" i="2"/>
  <c r="J176" i="2"/>
  <c r="J258" i="2"/>
  <c r="J460" i="2"/>
  <c r="J582" i="2"/>
  <c r="L581" i="2"/>
  <c r="L509" i="2"/>
  <c r="L593" i="2"/>
  <c r="N719" i="2"/>
  <c r="L643" i="2"/>
  <c r="N751" i="2"/>
  <c r="M577" i="2"/>
  <c r="L409" i="2"/>
  <c r="N342" i="2"/>
  <c r="N560" i="2"/>
  <c r="N537" i="2"/>
  <c r="L363" i="2"/>
  <c r="N350" i="2"/>
  <c r="M334" i="2"/>
  <c r="N118" i="2"/>
  <c r="L527" i="2"/>
  <c r="N498" i="2"/>
  <c r="M381" i="2"/>
  <c r="M478" i="2"/>
  <c r="N734" i="2"/>
  <c r="M204" i="2"/>
  <c r="M732" i="2"/>
  <c r="M717" i="2"/>
  <c r="N569" i="2"/>
  <c r="N640" i="2"/>
  <c r="N145" i="2"/>
  <c r="L557" i="2"/>
  <c r="M776" i="2"/>
  <c r="L788" i="2"/>
  <c r="N697" i="2"/>
  <c r="L598" i="2"/>
  <c r="M660" i="2"/>
  <c r="M703" i="2"/>
  <c r="N547" i="2"/>
  <c r="L517" i="2"/>
  <c r="L661" i="2"/>
  <c r="L439" i="2"/>
  <c r="L303" i="2"/>
  <c r="M773" i="2"/>
  <c r="M448" i="2"/>
  <c r="M669" i="2"/>
  <c r="L632" i="2"/>
  <c r="L716" i="2"/>
  <c r="L492" i="2"/>
  <c r="N713" i="2"/>
  <c r="L506" i="2"/>
  <c r="L726" i="2"/>
  <c r="N646" i="2"/>
  <c r="L466" i="2"/>
  <c r="L679" i="2"/>
  <c r="L195" i="2"/>
  <c r="L674" i="2"/>
  <c r="L353" i="2"/>
  <c r="L305" i="2"/>
  <c r="M356" i="2"/>
  <c r="L744" i="2"/>
  <c r="M678" i="2"/>
  <c r="M285" i="2"/>
  <c r="L624" i="2"/>
  <c r="N339" i="2"/>
  <c r="N785" i="2"/>
  <c r="L712" i="2"/>
  <c r="N489" i="2"/>
  <c r="M623" i="2"/>
  <c r="N680" i="2"/>
  <c r="M428" i="2"/>
  <c r="L786" i="2"/>
  <c r="N533" i="2"/>
  <c r="L777" i="2"/>
  <c r="L472" i="2"/>
  <c r="L533" i="2"/>
  <c r="M107" i="2"/>
  <c r="M77" i="2"/>
  <c r="M87" i="2"/>
  <c r="M94" i="2"/>
  <c r="N97" i="2"/>
  <c r="L83" i="2"/>
  <c r="N63" i="2"/>
  <c r="L84" i="2"/>
  <c r="L60" i="2"/>
  <c r="L96" i="2"/>
  <c r="N40" i="2"/>
  <c r="L44" i="2"/>
  <c r="M65" i="2"/>
  <c r="N107" i="2"/>
  <c r="L59" i="2"/>
  <c r="M52" i="2"/>
  <c r="M61" i="2"/>
  <c r="M39" i="2"/>
  <c r="L86" i="2"/>
  <c r="L97" i="2"/>
  <c r="M42" i="2"/>
  <c r="M92" i="2"/>
  <c r="L92" i="2"/>
  <c r="M50" i="2"/>
  <c r="M91" i="2"/>
  <c r="M67" i="2"/>
  <c r="L47" i="2"/>
  <c r="L532" i="2"/>
  <c r="L411" i="2"/>
  <c r="L549" i="2"/>
  <c r="N620" i="2"/>
  <c r="M326" i="2"/>
  <c r="M529" i="2"/>
  <c r="N553" i="2"/>
  <c r="M662" i="2"/>
  <c r="L555" i="2"/>
  <c r="N564" i="2"/>
  <c r="M586" i="2"/>
  <c r="L570" i="2"/>
  <c r="L779" i="2"/>
  <c r="M602" i="2"/>
  <c r="M520" i="2"/>
  <c r="L514" i="2"/>
  <c r="L272" i="2"/>
  <c r="M770" i="2"/>
  <c r="M766" i="2"/>
  <c r="M503" i="2"/>
  <c r="N674" i="2"/>
  <c r="L689" i="2"/>
  <c r="M656" i="2"/>
  <c r="M721" i="2"/>
  <c r="M755" i="2"/>
  <c r="L281" i="2"/>
  <c r="N526" i="2"/>
  <c r="N642" i="2"/>
  <c r="M543" i="2"/>
  <c r="M674" i="2"/>
  <c r="M524" i="2"/>
  <c r="N769" i="2"/>
  <c r="N311" i="2"/>
  <c r="M514" i="2"/>
  <c r="N198" i="2"/>
  <c r="N264" i="2"/>
  <c r="N455" i="2"/>
  <c r="N540" i="2"/>
  <c r="L446" i="2"/>
  <c r="L385" i="2"/>
  <c r="L579" i="2"/>
  <c r="N648" i="2"/>
  <c r="M522" i="2"/>
  <c r="L476" i="2"/>
  <c r="L519" i="2"/>
  <c r="M269" i="2"/>
  <c r="M578" i="2"/>
  <c r="N658" i="2"/>
  <c r="N731" i="2"/>
  <c r="N741" i="2"/>
  <c r="M625" i="2"/>
  <c r="M569" i="2"/>
  <c r="L429" i="2"/>
  <c r="M445" i="2"/>
  <c r="N602" i="2"/>
  <c r="N607" i="2"/>
  <c r="N519" i="2"/>
  <c r="N780" i="2"/>
  <c r="N673" i="2"/>
  <c r="M722" i="2"/>
  <c r="M566" i="2"/>
  <c r="N400" i="2"/>
  <c r="N727" i="2"/>
  <c r="M653" i="2"/>
  <c r="N572" i="2"/>
  <c r="L660" i="2"/>
  <c r="M509" i="2"/>
  <c r="N723" i="2"/>
  <c r="M588" i="2"/>
  <c r="N596" i="2"/>
  <c r="N328" i="2"/>
  <c r="L45" i="2"/>
  <c r="L89" i="2"/>
  <c r="M74" i="2"/>
  <c r="N113" i="2"/>
  <c r="M101" i="2"/>
  <c r="L75" i="2"/>
  <c r="M57" i="2"/>
  <c r="M51" i="2"/>
  <c r="N76" i="2"/>
  <c r="M75" i="2"/>
  <c r="M44" i="2"/>
  <c r="N60" i="2"/>
  <c r="M78" i="2"/>
  <c r="L112" i="2"/>
  <c r="M85" i="2"/>
  <c r="N61" i="2"/>
  <c r="L42" i="2"/>
  <c r="N81" i="2"/>
  <c r="M96" i="2"/>
  <c r="L102" i="2"/>
  <c r="L113" i="2"/>
  <c r="N104" i="2"/>
  <c r="M47" i="2"/>
  <c r="N93" i="2"/>
  <c r="N103" i="2"/>
  <c r="N67" i="2"/>
  <c r="L101" i="2"/>
  <c r="N102" i="2"/>
  <c r="J407" i="2"/>
  <c r="J201" i="2"/>
  <c r="K456" i="2"/>
  <c r="K168" i="2"/>
  <c r="K146" i="2"/>
  <c r="J180" i="2"/>
  <c r="J205" i="2"/>
  <c r="K568" i="2"/>
  <c r="K742" i="2"/>
  <c r="J286" i="2"/>
  <c r="K114" i="2"/>
  <c r="J133" i="2"/>
  <c r="K134" i="2"/>
  <c r="K278" i="2"/>
  <c r="J501" i="2"/>
  <c r="K624" i="2"/>
  <c r="J712" i="2"/>
  <c r="J262" i="2"/>
  <c r="J323" i="2"/>
  <c r="K165" i="2"/>
  <c r="J711" i="2"/>
  <c r="K615" i="2"/>
  <c r="K673" i="2"/>
  <c r="K501" i="2"/>
  <c r="K259" i="2"/>
  <c r="K262" i="2"/>
  <c r="K214" i="2"/>
  <c r="J437" i="2"/>
  <c r="K669" i="2"/>
  <c r="M228" i="2"/>
  <c r="N511" i="2"/>
  <c r="M419" i="2"/>
  <c r="N438" i="2"/>
  <c r="N177" i="2"/>
  <c r="L329" i="2"/>
  <c r="N610" i="2"/>
  <c r="M724" i="2"/>
  <c r="L401" i="2"/>
  <c r="L762" i="2"/>
  <c r="N579" i="2"/>
  <c r="N523" i="2"/>
  <c r="N684" i="2"/>
  <c r="N703" i="2"/>
  <c r="N589" i="2"/>
  <c r="L521" i="2"/>
  <c r="L498" i="2"/>
  <c r="L260" i="2"/>
  <c r="M571" i="2"/>
  <c r="M440" i="2"/>
  <c r="N788" i="2"/>
  <c r="N739" i="2"/>
  <c r="M607" i="2"/>
  <c r="L620" i="2"/>
  <c r="L351" i="2"/>
  <c r="M619" i="2"/>
  <c r="M698" i="2"/>
  <c r="L647" i="2"/>
  <c r="N699" i="2"/>
  <c r="M730" i="2"/>
  <c r="M663" i="2"/>
  <c r="M220" i="2"/>
  <c r="L241" i="2"/>
  <c r="N284" i="2"/>
  <c r="L268" i="2"/>
  <c r="L459" i="2"/>
  <c r="L639" i="2"/>
  <c r="M127" i="2"/>
  <c r="M556" i="2"/>
  <c r="M708" i="2"/>
  <c r="N513" i="2"/>
  <c r="N787" i="2"/>
  <c r="N628" i="2"/>
  <c r="N686" i="2"/>
  <c r="N766" i="2"/>
  <c r="L254" i="2"/>
  <c r="N324" i="2"/>
  <c r="L596" i="2"/>
  <c r="M616" i="2"/>
  <c r="L143" i="2"/>
  <c r="M141" i="2"/>
  <c r="M422" i="2"/>
  <c r="L368" i="2"/>
  <c r="N497" i="2"/>
  <c r="N176" i="2"/>
  <c r="L137" i="2"/>
  <c r="M437" i="2"/>
  <c r="L435" i="2"/>
  <c r="M786" i="2"/>
  <c r="M750" i="2"/>
  <c r="M493" i="2"/>
  <c r="N364" i="2"/>
  <c r="L741" i="2"/>
  <c r="L738" i="2"/>
  <c r="N514" i="2"/>
  <c r="L595" i="2"/>
  <c r="N588" i="2"/>
  <c r="N683" i="2"/>
  <c r="M426" i="2"/>
  <c r="L769" i="2"/>
  <c r="M68" i="2"/>
  <c r="N91" i="2"/>
  <c r="M71" i="2"/>
  <c r="N80" i="2"/>
  <c r="L68" i="2"/>
  <c r="N46" i="2"/>
  <c r="N62" i="2"/>
  <c r="M81" i="2"/>
  <c r="L82" i="2"/>
  <c r="M73" i="2"/>
  <c r="N82" i="2"/>
  <c r="L111" i="2"/>
  <c r="M90" i="2"/>
  <c r="N52" i="2"/>
  <c r="L81" i="2"/>
  <c r="N39" i="2"/>
  <c r="N42" i="2"/>
  <c r="M99" i="2"/>
  <c r="M58" i="2"/>
  <c r="N89" i="2"/>
  <c r="M48" i="2"/>
  <c r="N68" i="2"/>
  <c r="L46" i="2"/>
  <c r="M69" i="2"/>
  <c r="N64" i="2"/>
  <c r="L106" i="2"/>
  <c r="M103" i="2"/>
  <c r="L77" i="2"/>
  <c r="L64" i="2"/>
  <c r="J173" i="2"/>
  <c r="K306" i="2"/>
  <c r="J526" i="2"/>
  <c r="K154" i="2"/>
  <c r="J625" i="2"/>
  <c r="J280" i="2"/>
  <c r="J415" i="2"/>
  <c r="K120" i="2"/>
  <c r="J239" i="2"/>
  <c r="K604" i="2"/>
  <c r="K448" i="2"/>
  <c r="M672" i="2"/>
  <c r="M646" i="2"/>
  <c r="M158" i="2"/>
  <c r="L746" i="2"/>
  <c r="L670" i="2"/>
  <c r="M279" i="2"/>
  <c r="M321" i="2"/>
  <c r="L237" i="2"/>
  <c r="L375" i="2"/>
  <c r="L412" i="2"/>
  <c r="M690" i="2"/>
  <c r="M564" i="2"/>
  <c r="L720" i="2"/>
  <c r="N657" i="2"/>
  <c r="M591" i="2"/>
  <c r="L407" i="2"/>
  <c r="L559" i="2"/>
  <c r="L736" i="2"/>
  <c r="L718" i="2"/>
  <c r="L766" i="2"/>
  <c r="N633" i="2"/>
  <c r="L780" i="2"/>
  <c r="M719" i="2"/>
  <c r="L556" i="2"/>
  <c r="M639" i="2"/>
  <c r="N521" i="2"/>
  <c r="M342" i="2"/>
  <c r="L763" i="2"/>
  <c r="L467" i="2"/>
  <c r="L531" i="2"/>
  <c r="N659" i="2"/>
  <c r="N419" i="2"/>
  <c r="M594" i="2"/>
  <c r="N664" i="2"/>
  <c r="L707" i="2"/>
  <c r="M379" i="2"/>
  <c r="L733" i="2"/>
  <c r="L461" i="2"/>
  <c r="M371" i="2"/>
  <c r="L717" i="2"/>
  <c r="N756" i="2"/>
  <c r="L131" i="2"/>
  <c r="M263" i="2"/>
  <c r="M557" i="2"/>
  <c r="L616" i="2"/>
  <c r="L667" i="2"/>
  <c r="M533" i="2"/>
  <c r="L515" i="2"/>
  <c r="N435" i="2"/>
  <c r="N210" i="2"/>
  <c r="M554" i="2"/>
  <c r="L757" i="2"/>
  <c r="M472" i="2"/>
  <c r="N574" i="2"/>
  <c r="M476" i="2"/>
  <c r="N432" i="2"/>
  <c r="N750" i="2"/>
  <c r="N708" i="2"/>
  <c r="N425" i="2"/>
  <c r="L550" i="2"/>
  <c r="M499" i="2"/>
  <c r="M716" i="2"/>
  <c r="M447" i="2"/>
  <c r="M475" i="2"/>
  <c r="M661" i="2"/>
  <c r="M580" i="2"/>
  <c r="L352" i="2"/>
  <c r="M467" i="2"/>
  <c r="M787" i="2"/>
  <c r="L277" i="2"/>
  <c r="L93" i="2"/>
  <c r="L57" i="2"/>
  <c r="L70" i="2"/>
  <c r="L98" i="2"/>
  <c r="L103" i="2"/>
  <c r="N57" i="2"/>
  <c r="N88" i="2"/>
  <c r="N87" i="2"/>
  <c r="M113" i="2"/>
  <c r="N54" i="2"/>
  <c r="N72" i="2"/>
  <c r="N74" i="2"/>
  <c r="N108" i="2"/>
  <c r="N84" i="2"/>
  <c r="L54" i="2"/>
  <c r="M109" i="2"/>
  <c r="L105" i="2"/>
  <c r="N110" i="2"/>
  <c r="M72" i="2"/>
  <c r="N65" i="2"/>
  <c r="M106" i="2"/>
  <c r="L79" i="2"/>
  <c r="L109" i="2"/>
  <c r="L43" i="2"/>
  <c r="N58" i="2"/>
  <c r="L78" i="2"/>
  <c r="L76" i="2"/>
  <c r="M100" i="2"/>
  <c r="K252" i="2"/>
  <c r="J265" i="2"/>
  <c r="L450" i="2"/>
  <c r="L761" i="2"/>
  <c r="M735" i="2"/>
  <c r="N609" i="2"/>
  <c r="L491" i="2"/>
  <c r="N146" i="2"/>
  <c r="M180" i="2"/>
  <c r="N214" i="2"/>
  <c r="N154" i="2"/>
  <c r="N131" i="2"/>
  <c r="L714" i="2"/>
  <c r="M613" i="2"/>
  <c r="M425" i="2"/>
  <c r="N429" i="2"/>
  <c r="L680" i="2"/>
  <c r="N529" i="2"/>
  <c r="L524" i="2"/>
  <c r="N384" i="2"/>
  <c r="N204" i="2"/>
  <c r="L760" i="2"/>
  <c r="N568" i="2"/>
  <c r="M762" i="2"/>
  <c r="L551" i="2"/>
  <c r="L684" i="2"/>
  <c r="L256" i="2"/>
  <c r="N178" i="2"/>
  <c r="L426" i="2"/>
  <c r="L601" i="2"/>
  <c r="L335" i="2"/>
  <c r="M687" i="2"/>
  <c r="M277" i="2"/>
  <c r="L611" i="2"/>
  <c r="M497" i="2"/>
  <c r="M705" i="2"/>
  <c r="N386" i="2"/>
  <c r="L702" i="2"/>
  <c r="N645" i="2"/>
  <c r="M704" i="2"/>
  <c r="M733" i="2"/>
  <c r="L778" i="2"/>
  <c r="L150" i="2"/>
  <c r="L537" i="2"/>
  <c r="L732" i="2"/>
  <c r="L693" i="2"/>
  <c r="N742" i="2"/>
  <c r="N333" i="2"/>
  <c r="L574" i="2"/>
  <c r="N316" i="2"/>
  <c r="N280" i="2"/>
  <c r="N353" i="2"/>
  <c r="N458" i="2"/>
  <c r="N630" i="2"/>
  <c r="L749" i="2"/>
  <c r="N282" i="2"/>
  <c r="M631" i="2"/>
  <c r="M483" i="2"/>
  <c r="M670" i="2"/>
  <c r="M546" i="2"/>
  <c r="L754" i="2"/>
  <c r="M446" i="2"/>
  <c r="M767" i="2"/>
  <c r="N711" i="2"/>
  <c r="N558" i="2"/>
  <c r="L727" i="2"/>
  <c r="L634" i="2"/>
  <c r="N482" i="2"/>
  <c r="L701" i="2"/>
  <c r="N525" i="2"/>
  <c r="M711" i="2"/>
  <c r="N712" i="2"/>
  <c r="N71" i="2"/>
  <c r="M62" i="2"/>
  <c r="M49" i="2"/>
  <c r="L74" i="2"/>
  <c r="L88" i="2"/>
  <c r="L94" i="2"/>
  <c r="L39" i="2"/>
  <c r="M83" i="2"/>
  <c r="L107" i="2"/>
  <c r="M66" i="2"/>
  <c r="M43" i="2"/>
  <c r="M82" i="2"/>
  <c r="L71" i="2"/>
  <c r="M88" i="2"/>
  <c r="L95" i="2"/>
  <c r="N79" i="2"/>
  <c r="M102" i="2"/>
  <c r="L110" i="2"/>
  <c r="N90" i="2"/>
  <c r="N94" i="2"/>
  <c r="N100" i="2"/>
  <c r="L67" i="2"/>
  <c r="L48" i="2"/>
  <c r="N43" i="2"/>
  <c r="M108" i="2"/>
  <c r="L100" i="2"/>
  <c r="N109" i="2"/>
  <c r="N56" i="2"/>
  <c r="J430" i="2"/>
  <c r="J256" i="2"/>
  <c r="L453" i="2"/>
  <c r="L510" i="2"/>
  <c r="L678" i="2"/>
  <c r="L740" i="2"/>
  <c r="N740" i="2"/>
  <c r="M634" i="2"/>
  <c r="M488" i="2"/>
  <c r="M351" i="2"/>
  <c r="L529" i="2"/>
  <c r="N75" i="2"/>
  <c r="M63" i="2"/>
  <c r="L87" i="2"/>
  <c r="N49" i="2"/>
  <c r="J675" i="2"/>
  <c r="K507" i="2"/>
  <c r="J390" i="2"/>
  <c r="J327" i="2"/>
  <c r="K778" i="2"/>
  <c r="K392" i="2"/>
  <c r="K478" i="2"/>
  <c r="J297" i="2"/>
  <c r="K179" i="2"/>
  <c r="K296" i="2"/>
  <c r="J179" i="2"/>
  <c r="K497" i="2"/>
  <c r="K476" i="2"/>
  <c r="K251" i="2"/>
  <c r="J130" i="2"/>
  <c r="K388" i="2"/>
  <c r="J490" i="2"/>
  <c r="J686" i="2"/>
  <c r="K588" i="2"/>
  <c r="K133" i="2"/>
  <c r="K368" i="2"/>
  <c r="K783" i="2"/>
  <c r="K718" i="2"/>
  <c r="K570" i="2"/>
  <c r="K708" i="2"/>
  <c r="K315" i="2"/>
  <c r="J482" i="2"/>
  <c r="J178" i="2"/>
  <c r="J138" i="2"/>
  <c r="K150" i="2"/>
  <c r="K228" i="2"/>
  <c r="J147" i="2"/>
  <c r="J151" i="2"/>
  <c r="J127" i="2"/>
  <c r="K291" i="2"/>
  <c r="J594" i="2"/>
  <c r="K298" i="2"/>
  <c r="J363" i="2"/>
  <c r="K486" i="2"/>
  <c r="J765" i="2"/>
  <c r="J260" i="2"/>
  <c r="J517" i="2"/>
  <c r="K491" i="2"/>
  <c r="K660" i="2"/>
  <c r="J261" i="2"/>
  <c r="K115" i="2"/>
  <c r="K460" i="2"/>
  <c r="J403" i="2"/>
  <c r="K205" i="2"/>
  <c r="K336" i="2"/>
  <c r="K117" i="2"/>
  <c r="J164" i="2"/>
  <c r="K232" i="2"/>
  <c r="J579" i="2"/>
  <c r="K649" i="2"/>
  <c r="J760" i="2"/>
  <c r="K576" i="2"/>
  <c r="K293" i="2"/>
  <c r="J691" i="2"/>
  <c r="K442" i="2"/>
  <c r="J418" i="2"/>
  <c r="J698" i="2"/>
  <c r="K166" i="2"/>
  <c r="J240" i="2"/>
  <c r="J658" i="2"/>
  <c r="K271" i="2"/>
  <c r="K234" i="2"/>
  <c r="K784" i="2"/>
  <c r="K635" i="2"/>
  <c r="K162" i="2"/>
  <c r="K551" i="2"/>
  <c r="K504" i="2"/>
  <c r="J699" i="2"/>
  <c r="K405" i="2"/>
  <c r="K435" i="2"/>
  <c r="J370" i="2"/>
  <c r="K341" i="2"/>
  <c r="J534" i="2"/>
  <c r="J645" i="2"/>
  <c r="J616" i="2"/>
  <c r="J737" i="2"/>
  <c r="J577" i="2"/>
  <c r="K552" i="2"/>
  <c r="J269" i="2"/>
  <c r="K78" i="2"/>
  <c r="J42" i="2"/>
  <c r="J86" i="2"/>
  <c r="J714" i="2"/>
  <c r="J382" i="2"/>
  <c r="K620" i="2"/>
  <c r="K498" i="2"/>
  <c r="K535" i="2"/>
  <c r="K549" i="2"/>
  <c r="K270" i="2"/>
  <c r="K520" i="2"/>
  <c r="J479" i="2"/>
  <c r="J642" i="2"/>
  <c r="K71" i="2"/>
  <c r="K86" i="2"/>
  <c r="J94" i="2"/>
  <c r="J152" i="2"/>
  <c r="K174" i="2"/>
  <c r="K506" i="2"/>
  <c r="K116" i="2"/>
  <c r="J520" i="2"/>
  <c r="J728" i="2"/>
  <c r="J445" i="2"/>
  <c r="J400" i="2"/>
  <c r="K126" i="2"/>
  <c r="J650" i="2"/>
  <c r="J73" i="2"/>
  <c r="J71" i="2"/>
  <c r="J725" i="2"/>
  <c r="J224" i="2"/>
  <c r="K367" i="2"/>
  <c r="J639" i="2"/>
  <c r="K609" i="2"/>
  <c r="J538" i="2"/>
  <c r="J433" i="2"/>
  <c r="K703" i="2"/>
  <c r="J573" i="2"/>
  <c r="K765" i="2"/>
  <c r="J413" i="2"/>
  <c r="J91" i="2"/>
  <c r="K41" i="2"/>
  <c r="K365" i="2"/>
  <c r="J168" i="2"/>
  <c r="J716" i="2"/>
  <c r="J629" i="2"/>
  <c r="K713" i="2"/>
  <c r="K299" i="2"/>
  <c r="J649" i="2"/>
  <c r="K686" i="2"/>
  <c r="J472" i="2"/>
  <c r="K720" i="2"/>
  <c r="K740" i="2"/>
  <c r="K188" i="2"/>
  <c r="K245" i="2"/>
  <c r="J57" i="2"/>
  <c r="K39" i="2"/>
  <c r="J58" i="2"/>
  <c r="K340" i="2"/>
  <c r="J589" i="2"/>
  <c r="K536" i="2"/>
  <c r="J198" i="2"/>
  <c r="J706" i="2"/>
  <c r="N772" i="2"/>
  <c r="N676" i="2"/>
  <c r="L553" i="2"/>
  <c r="M300" i="2"/>
  <c r="M612" i="2"/>
  <c r="M680" i="2"/>
  <c r="N510" i="2"/>
  <c r="N562" i="2"/>
  <c r="L325" i="2"/>
  <c r="N53" i="2"/>
  <c r="L61" i="2"/>
  <c r="N96" i="2"/>
  <c r="L56" i="2"/>
  <c r="J531" i="2"/>
  <c r="K652" i="2"/>
  <c r="K634" i="2"/>
  <c r="J250" i="2"/>
  <c r="J197" i="2"/>
  <c r="K268" i="2"/>
  <c r="J353" i="2"/>
  <c r="K128" i="2"/>
  <c r="J301" i="2"/>
  <c r="J183" i="2"/>
  <c r="J385" i="2"/>
  <c r="J172" i="2"/>
  <c r="J532" i="2"/>
  <c r="K547" i="2"/>
  <c r="K730" i="2"/>
  <c r="J727" i="2"/>
  <c r="J387" i="2"/>
  <c r="K512" i="2"/>
  <c r="K244" i="2"/>
  <c r="J189" i="2"/>
  <c r="K142" i="2"/>
  <c r="J560" i="2"/>
  <c r="J282" i="2"/>
  <c r="J139" i="2"/>
  <c r="J784" i="2"/>
  <c r="K194" i="2"/>
  <c r="J401" i="2"/>
  <c r="K592" i="2"/>
  <c r="K201" i="2"/>
  <c r="J402" i="2"/>
  <c r="K284" i="2"/>
  <c r="J310" i="2"/>
  <c r="K323" i="2"/>
  <c r="J273" i="2"/>
  <c r="K139" i="2"/>
  <c r="K269" i="2"/>
  <c r="K326" i="2"/>
  <c r="J263" i="2"/>
  <c r="J254" i="2"/>
  <c r="J682" i="2"/>
  <c r="K644" i="2"/>
  <c r="K231" i="2"/>
  <c r="K786" i="2"/>
  <c r="J688" i="2"/>
  <c r="K401" i="2"/>
  <c r="J344" i="2"/>
  <c r="J307" i="2"/>
  <c r="K225" i="2"/>
  <c r="J144" i="2"/>
  <c r="K389" i="2"/>
  <c r="K241" i="2"/>
  <c r="K752" i="2"/>
  <c r="J567" i="2"/>
  <c r="J598" i="2"/>
  <c r="J606" i="2"/>
  <c r="J204" i="2"/>
  <c r="J483" i="2"/>
  <c r="K141" i="2"/>
  <c r="K677" i="2"/>
  <c r="J218" i="2"/>
  <c r="J350" i="2"/>
  <c r="J572" i="2"/>
  <c r="K137" i="2"/>
  <c r="K672" i="2"/>
  <c r="K223" i="2"/>
  <c r="J271" i="2"/>
  <c r="K418" i="2"/>
  <c r="J449" i="2"/>
  <c r="K774" i="2"/>
  <c r="K396" i="2"/>
  <c r="K513" i="2"/>
  <c r="K475" i="2"/>
  <c r="K242" i="2"/>
  <c r="K746" i="2"/>
  <c r="K176" i="2"/>
  <c r="K171" i="2"/>
  <c r="J244" i="2"/>
  <c r="J416" i="2"/>
  <c r="K538" i="2"/>
  <c r="K788" i="2"/>
  <c r="K220" i="2"/>
  <c r="J746" i="2"/>
  <c r="J617" i="2"/>
  <c r="J710" i="2"/>
  <c r="K74" i="2"/>
  <c r="J109" i="2"/>
  <c r="K103" i="2"/>
  <c r="J396" i="2"/>
  <c r="J670" i="2"/>
  <c r="K584" i="2"/>
  <c r="K355" i="2"/>
  <c r="K573" i="2"/>
  <c r="K484" i="2"/>
  <c r="J627" i="2"/>
  <c r="J612" i="2"/>
  <c r="K366" i="2"/>
  <c r="J188" i="2"/>
  <c r="K45" i="2"/>
  <c r="J50" i="2"/>
  <c r="J80" i="2"/>
  <c r="K502" i="2"/>
  <c r="K215" i="2"/>
  <c r="J518" i="2"/>
  <c r="K384" i="2"/>
  <c r="K561" i="2"/>
  <c r="J502" i="2"/>
  <c r="J604" i="2"/>
  <c r="K583" i="2"/>
  <c r="J770" i="2"/>
  <c r="K775" i="2"/>
  <c r="K66" i="2"/>
  <c r="J40" i="2"/>
  <c r="J405" i="2"/>
  <c r="J496" i="2"/>
  <c r="K338" i="2"/>
  <c r="L359" i="2"/>
  <c r="N754" i="2"/>
  <c r="M657" i="2"/>
  <c r="L663" i="2"/>
  <c r="N477" i="2"/>
  <c r="N759" i="2"/>
  <c r="L659" i="2"/>
  <c r="M540" i="2"/>
  <c r="N549" i="2"/>
  <c r="M54" i="2"/>
  <c r="M64" i="2"/>
  <c r="L63" i="2"/>
  <c r="N69" i="2"/>
  <c r="J451" i="2"/>
  <c r="K382" i="2"/>
  <c r="K198" i="2"/>
  <c r="K438" i="2"/>
  <c r="J513" i="2"/>
  <c r="K399" i="2"/>
  <c r="K233" i="2"/>
  <c r="J185" i="2"/>
  <c r="K349" i="2"/>
  <c r="J227" i="2"/>
  <c r="K163" i="2"/>
  <c r="K408" i="2"/>
  <c r="J466" i="2"/>
  <c r="K288" i="2"/>
  <c r="J640" i="2"/>
  <c r="K185" i="2"/>
  <c r="J299" i="2"/>
  <c r="J512" i="2"/>
  <c r="K492" i="2"/>
  <c r="K213" i="2"/>
  <c r="J453" i="2"/>
  <c r="J187" i="2"/>
  <c r="J429" i="2"/>
  <c r="K320" i="2"/>
  <c r="J507" i="2"/>
  <c r="J242" i="2"/>
  <c r="K540" i="2"/>
  <c r="J384" i="2"/>
  <c r="K238" i="2"/>
  <c r="J326" i="2"/>
  <c r="J620" i="2"/>
  <c r="K508" i="2"/>
  <c r="J339" i="2"/>
  <c r="K307" i="2"/>
  <c r="J199" i="2"/>
  <c r="K178" i="2"/>
  <c r="K301" i="2"/>
  <c r="K505" i="2"/>
  <c r="K565" i="2"/>
  <c r="K596" i="2"/>
  <c r="K328" i="2"/>
  <c r="J726" i="2"/>
  <c r="K400" i="2"/>
  <c r="K590" i="2"/>
  <c r="K447" i="2"/>
  <c r="J233" i="2"/>
  <c r="J509" i="2"/>
  <c r="J154" i="2"/>
  <c r="K226" i="2"/>
  <c r="J427" i="2"/>
  <c r="K726" i="2"/>
  <c r="J503" i="2"/>
  <c r="J553" i="2"/>
  <c r="J588" i="2"/>
  <c r="J373" i="2"/>
  <c r="K622" i="2"/>
  <c r="K377" i="2"/>
  <c r="K574" i="2"/>
  <c r="J467" i="2"/>
  <c r="K202" i="2"/>
  <c r="J432" i="2"/>
  <c r="K182" i="2"/>
  <c r="K197" i="2"/>
  <c r="J742" i="2"/>
  <c r="K149" i="2"/>
  <c r="J556" i="2"/>
  <c r="K386" i="2"/>
  <c r="J529" i="2"/>
  <c r="J667" i="2"/>
  <c r="J763" i="2"/>
  <c r="K255" i="2"/>
  <c r="J313" i="2"/>
  <c r="J662" i="2"/>
  <c r="K230" i="2"/>
  <c r="J232" i="2"/>
  <c r="J563" i="2"/>
  <c r="K250" i="2"/>
  <c r="J331" i="2"/>
  <c r="K473" i="2"/>
  <c r="K282" i="2"/>
  <c r="J200" i="2"/>
  <c r="K772" i="2"/>
  <c r="K431" i="2"/>
  <c r="K481" i="2"/>
  <c r="J89" i="2"/>
  <c r="K112" i="2"/>
  <c r="K47" i="2"/>
  <c r="K151" i="2"/>
  <c r="K186" i="2"/>
  <c r="K260" i="2"/>
  <c r="J586" i="2"/>
  <c r="K222" i="2"/>
  <c r="J439" i="2"/>
  <c r="K787" i="2"/>
  <c r="K348" i="2"/>
  <c r="J318" i="2"/>
  <c r="J348" i="2"/>
  <c r="J59" i="2"/>
  <c r="K49" i="2"/>
  <c r="J93" i="2"/>
  <c r="J174" i="2"/>
  <c r="K413" i="2"/>
  <c r="J245" i="2"/>
  <c r="J608" i="2"/>
  <c r="J351" i="2"/>
  <c r="K727" i="2"/>
  <c r="J696" i="2"/>
  <c r="J613" i="2"/>
  <c r="J338" i="2"/>
  <c r="J435" i="2"/>
  <c r="K61" i="2"/>
  <c r="J61" i="2"/>
  <c r="K156" i="2"/>
  <c r="K678" i="2"/>
  <c r="L309" i="2"/>
  <c r="N226" i="2"/>
  <c r="M246" i="2"/>
  <c r="L262" i="2"/>
  <c r="L747" i="2"/>
  <c r="L636" i="2"/>
  <c r="N663" i="2"/>
  <c r="M304" i="2"/>
  <c r="M752" i="2"/>
  <c r="L80" i="2"/>
  <c r="M70" i="2"/>
  <c r="N48" i="2"/>
  <c r="K343" i="2"/>
  <c r="J329" i="2"/>
  <c r="J193" i="2"/>
  <c r="K539" i="2"/>
  <c r="J366" i="2"/>
  <c r="J315" i="2"/>
  <c r="J730" i="2"/>
  <c r="K332" i="2"/>
  <c r="J487" i="2"/>
  <c r="K261" i="2"/>
  <c r="K164" i="2"/>
  <c r="J145" i="2"/>
  <c r="J492" i="2"/>
  <c r="J581" i="2"/>
  <c r="K717" i="2"/>
  <c r="K534" i="2"/>
  <c r="J206" i="2"/>
  <c r="J247" i="2"/>
  <c r="J161" i="2"/>
  <c r="J736" i="2"/>
  <c r="K127" i="2"/>
  <c r="J456" i="2"/>
  <c r="J328" i="2"/>
  <c r="K557" i="2"/>
  <c r="J448" i="2"/>
  <c r="K402" i="2"/>
  <c r="K737" i="2"/>
  <c r="K559" i="2"/>
  <c r="J493" i="2"/>
  <c r="K239" i="2"/>
  <c r="K354" i="2"/>
  <c r="J119" i="2"/>
  <c r="K625" i="2"/>
  <c r="J345" i="2"/>
  <c r="K449" i="2"/>
  <c r="K272" i="2"/>
  <c r="K157" i="2"/>
  <c r="J618" i="2"/>
  <c r="K719" i="2"/>
  <c r="J584" i="2"/>
  <c r="J349" i="2"/>
  <c r="J305" i="2"/>
  <c r="K632" i="2"/>
  <c r="J491" i="2"/>
  <c r="J764" i="2"/>
  <c r="K759" i="2"/>
  <c r="J146" i="2"/>
  <c r="K196" i="2"/>
  <c r="K426" i="2"/>
  <c r="K404" i="2"/>
  <c r="J268" i="2"/>
  <c r="J646" i="2"/>
  <c r="J162" i="2"/>
  <c r="J718" i="2"/>
  <c r="J237" i="2"/>
  <c r="K452" i="2"/>
  <c r="K532" i="2"/>
  <c r="J514" i="2"/>
  <c r="K675" i="2"/>
  <c r="K664" i="2"/>
  <c r="J283" i="2"/>
  <c r="J252" i="2"/>
  <c r="K180" i="2"/>
  <c r="K342" i="2"/>
  <c r="K385" i="2"/>
  <c r="J153" i="2"/>
  <c r="K427" i="2"/>
  <c r="J489" i="2"/>
  <c r="K530" i="2"/>
  <c r="K554" i="2"/>
  <c r="K689" i="2"/>
  <c r="J408" i="2"/>
  <c r="K412" i="2"/>
  <c r="K754" i="2"/>
  <c r="J289" i="2"/>
  <c r="K454" i="2"/>
  <c r="K351" i="2"/>
  <c r="J374" i="2"/>
  <c r="K496" i="2"/>
  <c r="J116" i="2"/>
  <c r="J457" i="2"/>
  <c r="J748" i="2"/>
  <c r="J434" i="2"/>
  <c r="J755" i="2"/>
  <c r="J60" i="2"/>
  <c r="J64" i="2"/>
  <c r="K64" i="2"/>
  <c r="K470" i="2"/>
  <c r="J651" i="2"/>
  <c r="K248" i="2"/>
  <c r="K192" i="2"/>
  <c r="K537" i="2"/>
  <c r="K680" i="2"/>
  <c r="K734" i="2"/>
  <c r="J609" i="2"/>
  <c r="K684" i="2"/>
  <c r="K172" i="2"/>
  <c r="K601" i="2"/>
  <c r="J62" i="2"/>
  <c r="J76" i="2"/>
  <c r="K98" i="2"/>
  <c r="J277" i="2"/>
  <c r="J293" i="2"/>
  <c r="K312" i="2"/>
  <c r="K771" i="2"/>
  <c r="J330" i="2"/>
  <c r="J660" i="2"/>
  <c r="J522" i="2"/>
  <c r="K582" i="2"/>
  <c r="K158" i="2"/>
  <c r="J48" i="2"/>
  <c r="K102" i="2"/>
  <c r="K85" i="2"/>
  <c r="J212" i="2"/>
  <c r="J304" i="2"/>
  <c r="J409" i="2"/>
  <c r="J624" i="2"/>
  <c r="J461" i="2"/>
  <c r="K533" i="2"/>
  <c r="J468" i="2"/>
  <c r="K527" i="2"/>
  <c r="K526" i="2"/>
  <c r="K218" i="2"/>
  <c r="J70" i="2"/>
  <c r="J54" i="2"/>
  <c r="J149" i="2"/>
  <c r="J186" i="2"/>
  <c r="J276" i="2"/>
  <c r="J115" i="2"/>
  <c r="K143" i="2"/>
  <c r="K648" i="2"/>
  <c r="J759" i="2"/>
  <c r="K658" i="2"/>
  <c r="K681" i="2"/>
  <c r="J412" i="2"/>
  <c r="K311" i="2"/>
  <c r="K187" i="2"/>
  <c r="J128" i="2"/>
  <c r="J591" i="2"/>
  <c r="K81" i="2"/>
  <c r="K87" i="2"/>
  <c r="J148" i="2"/>
  <c r="J545" i="2"/>
  <c r="K548" i="2"/>
  <c r="J450" i="2"/>
  <c r="K321" i="2"/>
  <c r="K710" i="2"/>
  <c r="M280" i="2"/>
  <c r="N404" i="2"/>
  <c r="L279" i="2"/>
  <c r="N346" i="2"/>
  <c r="N737" i="2"/>
  <c r="N369" i="2"/>
  <c r="L709" i="2"/>
  <c r="L507" i="2"/>
  <c r="N413" i="2"/>
  <c r="M60" i="2"/>
  <c r="L51" i="2"/>
  <c r="L53" i="2"/>
  <c r="J364" i="2"/>
  <c r="K277" i="2"/>
  <c r="K659" i="2"/>
  <c r="K521" i="2"/>
  <c r="K118" i="2"/>
  <c r="J389" i="2"/>
  <c r="K566" i="2"/>
  <c r="J508" i="2"/>
  <c r="K610" i="2"/>
  <c r="K459" i="2"/>
  <c r="J497" i="2"/>
  <c r="J744" i="2"/>
  <c r="K356" i="2"/>
  <c r="K285" i="2"/>
  <c r="J692" i="2"/>
  <c r="J203" i="2"/>
  <c r="J191" i="2"/>
  <c r="J118" i="2"/>
  <c r="J137" i="2"/>
  <c r="K314" i="2"/>
  <c r="J700" i="2"/>
  <c r="K628" i="2"/>
  <c r="J114" i="2"/>
  <c r="K407" i="2"/>
  <c r="J214" i="2"/>
  <c r="K700" i="2"/>
  <c r="J751" i="2"/>
  <c r="K702" i="2"/>
  <c r="K556" i="2"/>
  <c r="J647" i="2"/>
  <c r="J317" i="2"/>
  <c r="J325" i="2"/>
  <c r="J190" i="2"/>
  <c r="K432" i="2"/>
  <c r="K135" i="2"/>
  <c r="J758" i="2"/>
  <c r="K597" i="2"/>
  <c r="J381" i="2"/>
  <c r="K739" i="2"/>
  <c r="J734" i="2"/>
  <c r="K419" i="2"/>
  <c r="J447" i="2"/>
  <c r="K671" i="2"/>
  <c r="J638" i="2"/>
  <c r="J316" i="2"/>
  <c r="J379" i="2"/>
  <c r="K148" i="2"/>
  <c r="J357" i="2"/>
  <c r="J719" i="2"/>
  <c r="J480" i="2"/>
  <c r="J295" i="2"/>
  <c r="J209" i="2"/>
  <c r="J166" i="2"/>
  <c r="J470" i="2"/>
  <c r="K482" i="2"/>
  <c r="J729" i="2"/>
  <c r="K643" i="2"/>
  <c r="J669" i="2"/>
  <c r="K267" i="2"/>
  <c r="J767" i="2"/>
  <c r="J257" i="2"/>
  <c r="J419" i="2"/>
  <c r="J274" i="2"/>
  <c r="J211" i="2"/>
  <c r="J592" i="2"/>
  <c r="K416" i="2"/>
  <c r="J228" i="2"/>
  <c r="K569" i="2"/>
  <c r="J361" i="2"/>
  <c r="K606" i="2"/>
  <c r="K246" i="2"/>
  <c r="K578" i="2"/>
  <c r="K665" i="2"/>
  <c r="K440" i="2"/>
  <c r="J388" i="2"/>
  <c r="K309" i="2"/>
  <c r="K160" i="2"/>
  <c r="J311" i="2"/>
  <c r="J398" i="2"/>
  <c r="J626" i="2"/>
  <c r="K444" i="2"/>
  <c r="K295" i="2"/>
  <c r="J643" i="2"/>
  <c r="J525" i="2"/>
  <c r="J101" i="2"/>
  <c r="J97" i="2"/>
  <c r="K97" i="2"/>
  <c r="K207" i="2"/>
  <c r="K751" i="2"/>
  <c r="J657" i="2"/>
  <c r="K469" i="2"/>
  <c r="J779" i="2"/>
  <c r="J644" i="2"/>
  <c r="J368" i="2"/>
  <c r="J568" i="2"/>
  <c r="J523" i="2"/>
  <c r="J499" i="2"/>
  <c r="K330" i="2"/>
  <c r="K69" i="2"/>
  <c r="J102" i="2"/>
  <c r="K594" i="2"/>
  <c r="K395" i="2"/>
  <c r="J708" i="2"/>
  <c r="J753" i="2"/>
  <c r="N667" i="2"/>
  <c r="L672" i="2"/>
  <c r="M305" i="2"/>
  <c r="N631" i="2"/>
  <c r="M777" i="2"/>
  <c r="N224" i="2"/>
  <c r="L504" i="2"/>
  <c r="N122" i="2"/>
  <c r="L610" i="2"/>
  <c r="L104" i="2"/>
  <c r="N51" i="2"/>
  <c r="L49" i="2"/>
  <c r="J140" i="2"/>
  <c r="J477" i="2"/>
  <c r="K422" i="2"/>
  <c r="K410" i="2"/>
  <c r="J565" i="2"/>
  <c r="J455" i="2"/>
  <c r="K161" i="2"/>
  <c r="K173" i="2"/>
  <c r="J322" i="2"/>
  <c r="J291" i="2"/>
  <c r="J223" i="2"/>
  <c r="K420" i="2"/>
  <c r="J365" i="2"/>
  <c r="K247" i="2"/>
  <c r="J292" i="2"/>
  <c r="K335" i="2"/>
  <c r="J367" i="2"/>
  <c r="K308" i="2"/>
  <c r="K525" i="2"/>
  <c r="K236" i="2"/>
  <c r="J611" i="2"/>
  <c r="K729" i="2"/>
  <c r="J355" i="2"/>
  <c r="J352" i="2"/>
  <c r="K265" i="2"/>
  <c r="K661" i="2"/>
  <c r="J177" i="2"/>
  <c r="K347" i="2"/>
  <c r="K257" i="2"/>
  <c r="J122" i="2"/>
  <c r="K155" i="2"/>
  <c r="J394" i="2"/>
  <c r="K217" i="2"/>
  <c r="J717" i="2"/>
  <c r="K376" i="2"/>
  <c r="J702" i="2"/>
  <c r="J564" i="2"/>
  <c r="K474" i="2"/>
  <c r="K621" i="2"/>
  <c r="J780" i="2"/>
  <c r="J404" i="2"/>
  <c r="K124" i="2"/>
  <c r="K289" i="2"/>
  <c r="J290" i="2"/>
  <c r="K193" i="2"/>
  <c r="K360" i="2"/>
  <c r="K263" i="2"/>
  <c r="K184" i="2"/>
  <c r="J235" i="2"/>
  <c r="K499" i="2"/>
  <c r="K572" i="2"/>
  <c r="K373" i="2"/>
  <c r="J157" i="2"/>
  <c r="J354" i="2"/>
  <c r="J672" i="2"/>
  <c r="K779" i="2"/>
  <c r="J294" i="2"/>
  <c r="K391" i="2"/>
  <c r="J709" i="2"/>
  <c r="J659" i="2"/>
  <c r="J431" i="2"/>
  <c r="J155" i="2"/>
  <c r="J571" i="2"/>
  <c r="K331" i="2"/>
  <c r="K417" i="2"/>
  <c r="J530" i="2"/>
  <c r="K468" i="2"/>
  <c r="J474" i="2"/>
  <c r="J229" i="2"/>
  <c r="K430" i="2"/>
  <c r="J410" i="2"/>
  <c r="K294" i="2"/>
  <c r="J306" i="2"/>
  <c r="K364" i="2"/>
  <c r="K224" i="2"/>
  <c r="K286" i="2"/>
  <c r="J738" i="2"/>
  <c r="J773" i="2"/>
  <c r="K763" i="2"/>
  <c r="K455" i="2"/>
  <c r="J634" i="2"/>
  <c r="K657" i="2"/>
  <c r="K411" i="2"/>
  <c r="J249" i="2"/>
  <c r="K43" i="2"/>
  <c r="J53" i="2"/>
  <c r="K57" i="2"/>
  <c r="J156" i="2"/>
  <c r="J272" i="2"/>
  <c r="K567" i="2"/>
  <c r="K318" i="2"/>
  <c r="K409" i="2"/>
  <c r="J544" i="2"/>
  <c r="K528" i="2"/>
  <c r="J253" i="2"/>
  <c r="K741" i="2"/>
  <c r="K175" i="2"/>
  <c r="J44" i="2"/>
  <c r="K106" i="2"/>
  <c r="K67" i="2"/>
  <c r="N488" i="2"/>
  <c r="N321" i="2"/>
  <c r="L755" i="2"/>
  <c r="N747" i="2"/>
  <c r="L775" i="2"/>
  <c r="N200" i="2"/>
  <c r="M658" i="2"/>
  <c r="N746" i="2"/>
  <c r="M98" i="2"/>
  <c r="M79" i="2"/>
  <c r="M84" i="2"/>
  <c r="L108" i="2"/>
  <c r="J321" i="2"/>
  <c r="K240" i="2"/>
  <c r="K290" i="2"/>
  <c r="K406" i="2"/>
  <c r="J695" i="2"/>
  <c r="K190" i="2"/>
  <c r="K352" i="2"/>
  <c r="K333" i="2"/>
  <c r="J226" i="2"/>
  <c r="J236" i="2"/>
  <c r="J216" i="2"/>
  <c r="K361" i="2"/>
  <c r="J120" i="2"/>
  <c r="J314" i="2"/>
  <c r="J570" i="2"/>
  <c r="K603" i="2"/>
  <c r="J516" i="2"/>
  <c r="J360" i="2"/>
  <c r="J414" i="2"/>
  <c r="K434" i="2"/>
  <c r="J184" i="2"/>
  <c r="J264" i="2"/>
  <c r="K712" i="2"/>
  <c r="K760" i="2"/>
  <c r="K281" i="2"/>
  <c r="K522" i="2"/>
  <c r="J673" i="2"/>
  <c r="J463" i="2"/>
  <c r="K219" i="2"/>
  <c r="J362" i="2"/>
  <c r="K390" i="2"/>
  <c r="J359" i="2"/>
  <c r="J358" i="2"/>
  <c r="J303" i="2"/>
  <c r="J535" i="2"/>
  <c r="J428" i="2"/>
  <c r="K358" i="2"/>
  <c r="K210" i="2"/>
  <c r="J685" i="2"/>
  <c r="J637" i="2"/>
  <c r="K464" i="2"/>
  <c r="J590" i="2"/>
  <c r="K279" i="2"/>
  <c r="J440" i="2"/>
  <c r="J300" i="2"/>
  <c r="K221" i="2"/>
  <c r="J246" i="2"/>
  <c r="J143" i="2"/>
  <c r="J548" i="2"/>
  <c r="J524" i="2"/>
  <c r="K209" i="2"/>
  <c r="K613" i="2"/>
  <c r="K302" i="2"/>
  <c r="K780" i="2"/>
  <c r="K776" i="2"/>
  <c r="K237" i="2"/>
  <c r="J476" i="2"/>
  <c r="J124" i="2"/>
  <c r="J557" i="2"/>
  <c r="J225" i="2"/>
  <c r="J131" i="2"/>
  <c r="J320" i="2"/>
  <c r="K170" i="2"/>
  <c r="K654" i="2"/>
  <c r="J158" i="2"/>
  <c r="K204" i="2"/>
  <c r="J771" i="2"/>
  <c r="J159" i="2"/>
  <c r="K662" i="2"/>
  <c r="K394" i="2"/>
  <c r="J288" i="2"/>
  <c r="K461" i="2"/>
  <c r="J219" i="2"/>
  <c r="J540" i="2"/>
  <c r="J217" i="2"/>
  <c r="J284" i="2"/>
  <c r="J587" i="2"/>
  <c r="J121" i="2"/>
  <c r="K258" i="2"/>
  <c r="J772" i="2"/>
  <c r="J546" i="2"/>
  <c r="J465" i="2"/>
  <c r="J749" i="2"/>
  <c r="J720" i="2"/>
  <c r="K56" i="2"/>
  <c r="K73" i="2"/>
  <c r="K70" i="2"/>
  <c r="M784" i="2"/>
  <c r="L469" i="2"/>
  <c r="N289" i="2"/>
  <c r="M676" i="2"/>
  <c r="L658" i="2"/>
  <c r="M451" i="2"/>
  <c r="M778" i="2"/>
  <c r="N401" i="2"/>
  <c r="L65" i="2"/>
  <c r="L58" i="2"/>
  <c r="M95" i="2"/>
  <c r="N77" i="2"/>
  <c r="J335" i="2"/>
  <c r="K371" i="2"/>
  <c r="J391" i="2"/>
  <c r="K699" i="2"/>
  <c r="J494" i="2"/>
  <c r="K479" i="2"/>
  <c r="J377" i="2"/>
  <c r="K253" i="2"/>
  <c r="J213" i="2"/>
  <c r="K485" i="2"/>
  <c r="K153" i="2"/>
  <c r="J707" i="2"/>
  <c r="K640" i="2"/>
  <c r="K429" i="2"/>
  <c r="J425" i="2"/>
  <c r="K755" i="2"/>
  <c r="K199" i="2"/>
  <c r="J279" i="2"/>
  <c r="J126" i="2"/>
  <c r="J663" i="2"/>
  <c r="K167" i="2"/>
  <c r="K617" i="2"/>
  <c r="J181" i="2"/>
  <c r="J369" i="2"/>
  <c r="J754" i="2"/>
  <c r="J380" i="2"/>
  <c r="K514" i="2"/>
  <c r="J134" i="2"/>
  <c r="J441" i="2"/>
  <c r="K346" i="2"/>
  <c r="J285" i="2"/>
  <c r="K303" i="2"/>
  <c r="K743" i="2"/>
  <c r="K544" i="2"/>
  <c r="K129" i="2"/>
  <c r="K494" i="2"/>
  <c r="K630" i="2"/>
  <c r="K511" i="2"/>
  <c r="K531" i="2"/>
  <c r="J656" i="2"/>
  <c r="K206" i="2"/>
  <c r="J423" i="2"/>
  <c r="J655" i="2"/>
  <c r="K639" i="2"/>
  <c r="K316" i="2"/>
  <c r="K122" i="2"/>
  <c r="J533" i="2"/>
  <c r="K266" i="2"/>
  <c r="K571" i="2"/>
  <c r="J566" i="2"/>
  <c r="J378" i="2"/>
  <c r="J210" i="2"/>
  <c r="K200" i="2"/>
  <c r="J150" i="2"/>
  <c r="K655" i="2"/>
  <c r="J635" i="2"/>
  <c r="K518" i="2"/>
  <c r="J347" i="2"/>
  <c r="J769" i="2"/>
  <c r="J163" i="2"/>
  <c r="J160" i="2"/>
  <c r="K546" i="2"/>
  <c r="K152" i="2"/>
  <c r="K304" i="2"/>
  <c r="J287" i="2"/>
  <c r="J332" i="2"/>
  <c r="J411" i="2"/>
  <c r="K229" i="2"/>
  <c r="K451" i="2"/>
  <c r="J376" i="2"/>
  <c r="K598" i="2"/>
  <c r="J781" i="2"/>
  <c r="J623" i="2"/>
  <c r="J621" i="2"/>
  <c r="K264" i="2"/>
  <c r="J208" i="2"/>
  <c r="J777" i="2"/>
  <c r="J356" i="2"/>
  <c r="K359" i="2"/>
  <c r="K773" i="2"/>
  <c r="J528" i="2"/>
  <c r="K317" i="2"/>
  <c r="J595" i="2"/>
  <c r="K656" i="2"/>
  <c r="K82" i="2"/>
  <c r="K75" i="2"/>
  <c r="K79" i="2"/>
  <c r="J117" i="2"/>
  <c r="K138" i="2"/>
  <c r="K627" i="2"/>
  <c r="K480" i="2"/>
  <c r="J167" i="2"/>
  <c r="K310" i="2"/>
  <c r="J521" i="2"/>
  <c r="J723" i="2"/>
  <c r="K698" i="2"/>
  <c r="K550" i="2"/>
  <c r="J87" i="2"/>
  <c r="K93" i="2"/>
  <c r="J88" i="2"/>
  <c r="K471" i="2"/>
  <c r="J486" i="2"/>
  <c r="K636" i="2"/>
  <c r="J701" i="2"/>
  <c r="J757" i="2"/>
  <c r="K579" i="2"/>
  <c r="J443" i="2"/>
  <c r="K761" i="2"/>
  <c r="K667" i="2"/>
  <c r="K619" i="2"/>
  <c r="J195" i="2"/>
  <c r="K757" i="2"/>
  <c r="J123" i="2"/>
  <c r="J788" i="2"/>
  <c r="K374" i="2"/>
  <c r="J67" i="2"/>
  <c r="K398" i="2"/>
  <c r="J481" i="2"/>
  <c r="K509" i="2"/>
  <c r="K560" i="2"/>
  <c r="J705" i="2"/>
  <c r="J561" i="2"/>
  <c r="J694" i="2"/>
  <c r="K687" i="2"/>
  <c r="J82" i="2"/>
  <c r="K280" i="2"/>
  <c r="J578" i="2"/>
  <c r="J165" i="2"/>
  <c r="K414" i="2"/>
  <c r="K585" i="2"/>
  <c r="J648" i="2"/>
  <c r="K353" i="2"/>
  <c r="K595" i="2"/>
  <c r="J724" i="2"/>
  <c r="K599" i="2"/>
  <c r="K99" i="2"/>
  <c r="J103" i="2"/>
  <c r="J309" i="2"/>
  <c r="K457" i="2"/>
  <c r="K329" i="2"/>
  <c r="K524" i="2"/>
  <c r="J372" i="2"/>
  <c r="J459" i="2"/>
  <c r="K668" i="2"/>
  <c r="K716" i="2"/>
  <c r="K212" i="2"/>
  <c r="J383" i="2"/>
  <c r="J308" i="2"/>
  <c r="J554" i="2"/>
  <c r="K77" i="2"/>
  <c r="J111" i="2"/>
  <c r="J552" i="2"/>
  <c r="J395" i="2"/>
  <c r="K379" i="2"/>
  <c r="K147" i="2"/>
  <c r="K169" i="2"/>
  <c r="K436" i="2"/>
  <c r="J194" i="2"/>
  <c r="K325" i="2"/>
  <c r="K119" i="2"/>
  <c r="K782" i="2"/>
  <c r="J230" i="2"/>
  <c r="J56" i="2"/>
  <c r="K51" i="2"/>
  <c r="K83" i="2"/>
  <c r="J426" i="2"/>
  <c r="K191" i="2"/>
  <c r="J653" i="2"/>
  <c r="J92" i="2"/>
  <c r="K254" i="2"/>
  <c r="K750" i="2"/>
  <c r="J43" i="2"/>
  <c r="K768" i="2"/>
  <c r="K704" i="2"/>
  <c r="K91" i="2"/>
  <c r="K283" i="2"/>
  <c r="K674" i="2"/>
  <c r="K108" i="2"/>
  <c r="J41" i="2"/>
  <c r="K441" i="2"/>
  <c r="J603" i="2"/>
  <c r="J51" i="2"/>
  <c r="K40" i="2"/>
  <c r="K63" i="2"/>
  <c r="J615" i="2"/>
  <c r="J739" i="2"/>
  <c r="J65" i="2"/>
  <c r="K46" i="2"/>
  <c r="J631" i="2"/>
  <c r="J488" i="2"/>
  <c r="K76" i="2"/>
  <c r="K363" i="2"/>
  <c r="J142" i="2"/>
  <c r="K104" i="2"/>
  <c r="K701" i="2"/>
  <c r="J690" i="2"/>
  <c r="K466" i="2"/>
  <c r="J752" i="2"/>
  <c r="J641" i="2"/>
  <c r="K44" i="2"/>
  <c r="K375" i="2"/>
  <c r="J687" i="2"/>
  <c r="J628" i="2"/>
  <c r="K553" i="2"/>
  <c r="K292" i="2"/>
  <c r="K589" i="2"/>
  <c r="J782" i="2"/>
  <c r="J336" i="2"/>
  <c r="J84" i="2"/>
  <c r="K749" i="2"/>
  <c r="K145" i="2"/>
  <c r="K685" i="2"/>
  <c r="K339" i="2"/>
  <c r="J462" i="2"/>
  <c r="K692" i="2"/>
  <c r="J733" i="2"/>
  <c r="J399" i="2"/>
  <c r="J393" i="2"/>
  <c r="J632" i="2"/>
  <c r="K89" i="2"/>
  <c r="J96" i="2"/>
  <c r="K189" i="2"/>
  <c r="K383" i="2"/>
  <c r="K646" i="2"/>
  <c r="J270" i="2"/>
  <c r="K697" i="2"/>
  <c r="K781" i="2"/>
  <c r="K477" i="2"/>
  <c r="J558" i="2"/>
  <c r="K766" i="2"/>
  <c r="J766" i="2"/>
  <c r="K563" i="2"/>
  <c r="K275" i="2"/>
  <c r="K80" i="2"/>
  <c r="J85" i="2"/>
  <c r="K249" i="2"/>
  <c r="K623" i="2"/>
  <c r="K208" i="2"/>
  <c r="K756" i="2"/>
  <c r="J747" i="2"/>
  <c r="K690" i="2"/>
  <c r="K487" i="2"/>
  <c r="J215" i="2"/>
  <c r="J136" i="2"/>
  <c r="J527" i="2"/>
  <c r="J68" i="2"/>
  <c r="K107" i="2"/>
  <c r="K694" i="2"/>
  <c r="J105" i="2"/>
  <c r="J661" i="2"/>
  <c r="J536" i="2"/>
  <c r="K600" i="2"/>
  <c r="J202" i="2"/>
  <c r="K111" i="2"/>
  <c r="J681" i="2"/>
  <c r="J750" i="2"/>
  <c r="J715" i="2"/>
  <c r="J95" i="2"/>
  <c r="K101" i="2"/>
  <c r="J785" i="2"/>
  <c r="J45" i="2"/>
  <c r="K707" i="2"/>
  <c r="K593" i="2"/>
  <c r="K433" i="2"/>
  <c r="J55" i="2"/>
  <c r="J170" i="2"/>
  <c r="K313" i="2"/>
  <c r="J549" i="2"/>
  <c r="K369" i="2"/>
  <c r="J597" i="2"/>
  <c r="K629" i="2"/>
  <c r="J510" i="2"/>
  <c r="K287" i="2"/>
  <c r="K60" i="2"/>
  <c r="K123" i="2"/>
  <c r="J630" i="2"/>
  <c r="J473" i="2"/>
  <c r="K736" i="2"/>
  <c r="J222" i="2"/>
  <c r="K723" i="2"/>
  <c r="K177" i="2"/>
  <c r="K612" i="2"/>
  <c r="K679" i="2"/>
  <c r="K437" i="2"/>
  <c r="K90" i="2"/>
  <c r="J63" i="2"/>
  <c r="J341" i="2"/>
  <c r="K785" i="2"/>
  <c r="K724" i="2"/>
  <c r="K493" i="2"/>
  <c r="K319" i="2"/>
  <c r="J141" i="2"/>
  <c r="J392" i="2"/>
  <c r="J281" i="2"/>
  <c r="J266" i="2"/>
  <c r="J636" i="2"/>
  <c r="J619" i="2"/>
  <c r="K721" i="2"/>
  <c r="K84" i="2"/>
  <c r="J99" i="2"/>
  <c r="K216" i="2"/>
  <c r="J543" i="2"/>
  <c r="J511" i="2"/>
  <c r="J485" i="2"/>
  <c r="K387" i="2"/>
  <c r="J371" i="2"/>
  <c r="K647" i="2"/>
  <c r="K777" i="2"/>
  <c r="K618" i="2"/>
  <c r="J575" i="2"/>
  <c r="K762" i="2"/>
  <c r="K88" i="2"/>
  <c r="J69" i="2"/>
  <c r="J756" i="2"/>
  <c r="J75" i="2"/>
  <c r="K337" i="2"/>
  <c r="J768" i="2"/>
  <c r="J547" i="2"/>
  <c r="K605" i="2"/>
  <c r="K602" i="2"/>
  <c r="K488" i="2"/>
  <c r="J79" i="2"/>
  <c r="J182" i="2"/>
  <c r="K631" i="2"/>
  <c r="J679" i="2"/>
  <c r="J72" i="2"/>
  <c r="K393" i="2"/>
  <c r="K614" i="2"/>
  <c r="J666" i="2"/>
  <c r="J674" i="2"/>
  <c r="J541" i="2"/>
  <c r="K722" i="2"/>
  <c r="J614" i="2"/>
  <c r="K529" i="2"/>
  <c r="K62" i="2"/>
  <c r="J259" i="2"/>
  <c r="J346" i="2"/>
  <c r="J169" i="2"/>
  <c r="K453" i="2"/>
  <c r="K715" i="2"/>
  <c r="J337" i="2"/>
  <c r="J602" i="2"/>
  <c r="J420" i="2"/>
  <c r="K443" i="2"/>
  <c r="K183" i="2"/>
  <c r="K50" i="2"/>
  <c r="J110" i="2"/>
  <c r="J783" i="2"/>
  <c r="K709" i="2"/>
  <c r="J693" i="2"/>
  <c r="K608" i="2"/>
  <c r="K463" i="2"/>
  <c r="J713" i="2"/>
  <c r="J569" i="2"/>
  <c r="J680" i="2"/>
  <c r="J599" i="2"/>
  <c r="K747" i="2"/>
  <c r="K495" i="2"/>
  <c r="J574" i="2"/>
  <c r="J112" i="2"/>
  <c r="J52" i="2"/>
  <c r="K515" i="2"/>
  <c r="J778" i="2"/>
  <c r="K276" i="2"/>
  <c r="K362" i="2"/>
  <c r="J537" i="2"/>
  <c r="J731" i="2"/>
  <c r="J238" i="2"/>
  <c r="K666" i="2"/>
  <c r="J421" i="2"/>
  <c r="J498" i="2"/>
  <c r="K706" i="2"/>
  <c r="J66" i="2"/>
  <c r="J47" i="2"/>
  <c r="K696" i="2"/>
  <c r="K211" i="2"/>
  <c r="J605" i="2"/>
  <c r="K370" i="2"/>
  <c r="J787" i="2"/>
  <c r="J633" i="2"/>
  <c r="K55" i="2"/>
  <c r="K421" i="2"/>
  <c r="J452" i="2"/>
  <c r="K581" i="2"/>
  <c r="J39" i="2"/>
  <c r="K731" i="2"/>
  <c r="K381" i="2"/>
  <c r="K587" i="2"/>
  <c r="K140" i="2"/>
  <c r="K676" i="2"/>
  <c r="K403" i="2"/>
  <c r="K439" i="2"/>
  <c r="K95" i="2"/>
  <c r="J77" i="2"/>
  <c r="J132" i="2"/>
  <c r="J207" i="2"/>
  <c r="K256" i="2"/>
  <c r="K243" i="2"/>
  <c r="J743" i="2"/>
  <c r="K577" i="2"/>
  <c r="J125" i="2"/>
  <c r="K130" i="2"/>
  <c r="J562" i="2"/>
  <c r="K691" i="2"/>
  <c r="K65" i="2"/>
  <c r="J107" i="2"/>
  <c r="J555" i="2"/>
  <c r="J504" i="2"/>
  <c r="K450" i="2"/>
  <c r="J458" i="2"/>
  <c r="J251" i="2"/>
  <c r="J683" i="2"/>
  <c r="J424" i="2"/>
  <c r="J622" i="2"/>
  <c r="J550" i="2"/>
  <c r="K541" i="2"/>
  <c r="J454" i="2"/>
  <c r="J600" i="2"/>
  <c r="K100" i="2"/>
  <c r="K519" i="2"/>
  <c r="J267" i="2"/>
  <c r="K305" i="2"/>
  <c r="K725" i="2"/>
  <c r="K705" i="2"/>
  <c r="J484" i="2"/>
  <c r="J703" i="2"/>
  <c r="K423" i="2"/>
  <c r="K500" i="2"/>
  <c r="J296" i="2"/>
  <c r="K458" i="2"/>
  <c r="J735" i="2"/>
  <c r="K58" i="2"/>
  <c r="J81" i="2"/>
  <c r="K121" i="2"/>
  <c r="K327" i="2"/>
  <c r="J775" i="2"/>
  <c r="J104" i="2"/>
  <c r="J241" i="2"/>
  <c r="K735" i="2"/>
  <c r="J671" i="2"/>
  <c r="J442" i="2"/>
  <c r="J593" i="2"/>
  <c r="K683" i="2"/>
  <c r="J495" i="2"/>
  <c r="K235" i="2"/>
  <c r="K96" i="2"/>
  <c r="J446" i="2"/>
  <c r="J583" i="2"/>
  <c r="K555" i="2"/>
  <c r="J436" i="2"/>
  <c r="J539" i="2"/>
  <c r="K728" i="2"/>
  <c r="K490" i="2"/>
  <c r="K59" i="2"/>
  <c r="K54" i="2"/>
  <c r="J596" i="2"/>
  <c r="J319" i="2"/>
  <c r="K642" i="2"/>
  <c r="K626" i="2"/>
  <c r="K489" i="2"/>
  <c r="J386" i="2"/>
  <c r="K607" i="2"/>
  <c r="J585" i="2"/>
  <c r="K543" i="2"/>
  <c r="J221" i="2"/>
  <c r="J78" i="2"/>
  <c r="K68" i="2"/>
  <c r="K575" i="2"/>
  <c r="J689" i="2"/>
  <c r="K274" i="2"/>
  <c r="K428" i="2"/>
  <c r="K545" i="2"/>
  <c r="J312" i="2"/>
  <c r="J741" i="2"/>
  <c r="J601" i="2"/>
  <c r="K462" i="2"/>
  <c r="J135" i="2"/>
  <c r="J745" i="2"/>
  <c r="K693" i="2"/>
  <c r="J113" i="2"/>
  <c r="K651" i="2"/>
  <c r="K357" i="2"/>
  <c r="J732" i="2"/>
  <c r="K425" i="2"/>
  <c r="K472" i="2"/>
  <c r="J500" i="2"/>
  <c r="J471" i="2"/>
  <c r="K745" i="2"/>
  <c r="K732" i="2"/>
  <c r="K738" i="2"/>
  <c r="K48" i="2"/>
  <c r="K159" i="2"/>
  <c r="J678" i="2"/>
  <c r="J654" i="2"/>
  <c r="K510" i="2"/>
  <c r="K397" i="2"/>
  <c r="K144" i="2"/>
  <c r="K72" i="2"/>
  <c r="J417" i="2"/>
  <c r="K125" i="2"/>
  <c r="K633" i="2"/>
  <c r="J774" i="2"/>
  <c r="J652" i="2"/>
  <c r="K424" i="2"/>
  <c r="J740" i="2"/>
  <c r="J108" i="2"/>
  <c r="K195" i="2"/>
  <c r="K591" i="2"/>
  <c r="K203" i="2"/>
  <c r="K503" i="2"/>
  <c r="K344" i="2"/>
  <c r="K542" i="2"/>
  <c r="J721" i="2"/>
  <c r="J697" i="2"/>
  <c r="K517" i="2"/>
  <c r="K670" i="2"/>
  <c r="J677" i="2"/>
  <c r="K109" i="2"/>
  <c r="J220" i="2"/>
  <c r="K300" i="2"/>
  <c r="J559" i="2"/>
  <c r="J515" i="2"/>
  <c r="K764" i="2"/>
  <c r="J475" i="2"/>
  <c r="J340" i="2"/>
  <c r="K637" i="2"/>
  <c r="K758" i="2"/>
  <c r="J607" i="2"/>
  <c r="K611" i="2"/>
  <c r="J406" i="2"/>
  <c r="J171" i="2"/>
  <c r="J106" i="2"/>
  <c r="K714" i="2"/>
  <c r="J478" i="2"/>
  <c r="J506" i="2"/>
  <c r="K445" i="2"/>
  <c r="J342" i="2"/>
  <c r="J444" i="2"/>
  <c r="J665" i="2"/>
  <c r="J542" i="2"/>
  <c r="J298" i="2"/>
  <c r="J129" i="2"/>
  <c r="J762" i="2"/>
  <c r="K110" i="2"/>
  <c r="J100" i="2"/>
  <c r="J46" i="2"/>
  <c r="K523" i="2"/>
  <c r="K558" i="2"/>
  <c r="J664" i="2"/>
  <c r="J49" i="2"/>
  <c r="J90" i="2"/>
  <c r="K641" i="2"/>
  <c r="K105" i="2"/>
  <c r="J576" i="2"/>
  <c r="J74" i="2"/>
  <c r="J684" i="2"/>
  <c r="J519" i="2"/>
  <c r="K770" i="2"/>
  <c r="J278" i="2"/>
  <c r="K753" i="2"/>
  <c r="K682" i="2"/>
  <c r="J83" i="2"/>
  <c r="K42" i="2"/>
  <c r="K324" i="2"/>
  <c r="K650" i="2"/>
  <c r="K748" i="2"/>
  <c r="J343" i="2"/>
  <c r="K638" i="2"/>
  <c r="J676" i="2"/>
  <c r="K334" i="2"/>
  <c r="K53" i="2"/>
  <c r="J580" i="2"/>
  <c r="J231" i="2"/>
  <c r="K516" i="2"/>
  <c r="K616" i="2"/>
  <c r="J375" i="2"/>
  <c r="K580" i="2"/>
  <c r="K688" i="2"/>
  <c r="J722" i="2"/>
  <c r="J438" i="2"/>
  <c r="J334" i="2"/>
  <c r="K564" i="2"/>
  <c r="K92" i="2"/>
  <c r="J397" i="2"/>
  <c r="K273" i="2"/>
  <c r="K586" i="2"/>
  <c r="K132" i="2"/>
  <c r="J275" i="2"/>
  <c r="K227" i="2"/>
  <c r="K322" i="2"/>
  <c r="J422" i="2"/>
  <c r="K663" i="2"/>
  <c r="K415" i="2"/>
  <c r="K767" i="2"/>
  <c r="J786" i="2"/>
  <c r="J98" i="2"/>
  <c r="K94" i="2"/>
  <c r="K711" i="2"/>
  <c r="J551" i="2"/>
  <c r="J196" i="2"/>
  <c r="K467" i="2"/>
  <c r="J255" i="2"/>
  <c r="J610" i="2"/>
  <c r="J776" i="2"/>
  <c r="K136" i="2"/>
  <c r="J761" i="2"/>
  <c r="K345" i="2"/>
  <c r="K645" i="2"/>
  <c r="K113" i="2"/>
  <c r="K52" i="2"/>
  <c r="K562" i="2"/>
  <c r="Q562" i="2" l="1"/>
  <c r="Q52" i="2"/>
  <c r="Q113" i="2"/>
  <c r="Q645" i="2"/>
  <c r="Q345" i="2"/>
  <c r="P761" i="2"/>
  <c r="Q136" i="2"/>
  <c r="P776" i="2"/>
  <c r="P610" i="2"/>
  <c r="P255" i="2"/>
  <c r="Q467" i="2"/>
  <c r="P196" i="2"/>
  <c r="P551" i="2"/>
  <c r="Q711" i="2"/>
  <c r="Q94" i="2"/>
  <c r="P98" i="2"/>
  <c r="V98" i="2" s="1"/>
  <c r="P786" i="2"/>
  <c r="Q767" i="2"/>
  <c r="Q415" i="2"/>
  <c r="Q663" i="2"/>
  <c r="P422" i="2"/>
  <c r="Q322" i="2"/>
  <c r="Q227" i="2"/>
  <c r="P275" i="2"/>
  <c r="Q132" i="2"/>
  <c r="Q586" i="2"/>
  <c r="Q273" i="2"/>
  <c r="P397" i="2"/>
  <c r="Q92" i="2"/>
  <c r="Q564" i="2"/>
  <c r="P334" i="2"/>
  <c r="P438" i="2"/>
  <c r="P722" i="2"/>
  <c r="Q688" i="2"/>
  <c r="Q580" i="2"/>
  <c r="P375" i="2"/>
  <c r="Q616" i="2"/>
  <c r="Q516" i="2"/>
  <c r="P231" i="2"/>
  <c r="P580" i="2"/>
  <c r="Q53" i="2"/>
  <c r="Q334" i="2"/>
  <c r="P676" i="2"/>
  <c r="Q638" i="2"/>
  <c r="P343" i="2"/>
  <c r="Q748" i="2"/>
  <c r="Q650" i="2"/>
  <c r="Q324" i="2"/>
  <c r="Q42" i="2"/>
  <c r="P83" i="2"/>
  <c r="Q682" i="2"/>
  <c r="Q753" i="2"/>
  <c r="P278" i="2"/>
  <c r="Q770" i="2"/>
  <c r="P519" i="2"/>
  <c r="P684" i="2"/>
  <c r="P74" i="2"/>
  <c r="P576" i="2"/>
  <c r="Q105" i="2"/>
  <c r="Q641" i="2"/>
  <c r="P90" i="2"/>
  <c r="P49" i="2"/>
  <c r="P664" i="2"/>
  <c r="Q558" i="2"/>
  <c r="Q523" i="2"/>
  <c r="P46" i="2"/>
  <c r="P100" i="2"/>
  <c r="Q110" i="2"/>
  <c r="P762" i="2"/>
  <c r="P129" i="2"/>
  <c r="P298" i="2"/>
  <c r="P542" i="2"/>
  <c r="P665" i="2"/>
  <c r="P444" i="2"/>
  <c r="P342" i="2"/>
  <c r="Q445" i="2"/>
  <c r="P506" i="2"/>
  <c r="P478" i="2"/>
  <c r="Q714" i="2"/>
  <c r="P106" i="2"/>
  <c r="V106" i="2" s="1"/>
  <c r="P171" i="2"/>
  <c r="P406" i="2"/>
  <c r="Q611" i="2"/>
  <c r="P607" i="2"/>
  <c r="Q758" i="2"/>
  <c r="Q637" i="2"/>
  <c r="P340" i="2"/>
  <c r="P475" i="2"/>
  <c r="Q764" i="2"/>
  <c r="P515" i="2"/>
  <c r="P559" i="2"/>
  <c r="Q300" i="2"/>
  <c r="P220" i="2"/>
  <c r="Q109" i="2"/>
  <c r="P677" i="2"/>
  <c r="Q670" i="2"/>
  <c r="Q517" i="2"/>
  <c r="P697" i="2"/>
  <c r="P721" i="2"/>
  <c r="Q542" i="2"/>
  <c r="Q344" i="2"/>
  <c r="Q503" i="2"/>
  <c r="Q203" i="2"/>
  <c r="Q591" i="2"/>
  <c r="Q195" i="2"/>
  <c r="P108" i="2"/>
  <c r="P740" i="2"/>
  <c r="Q424" i="2"/>
  <c r="P652" i="2"/>
  <c r="P774" i="2"/>
  <c r="Q633" i="2"/>
  <c r="Q125" i="2"/>
  <c r="P417" i="2"/>
  <c r="Q72" i="2"/>
  <c r="Q144" i="2"/>
  <c r="Q397" i="2"/>
  <c r="Q510" i="2"/>
  <c r="P654" i="2"/>
  <c r="P678" i="2"/>
  <c r="Q159" i="2"/>
  <c r="Q48" i="2"/>
  <c r="Q738" i="2"/>
  <c r="Q732" i="2"/>
  <c r="Q745" i="2"/>
  <c r="P471" i="2"/>
  <c r="P500" i="2"/>
  <c r="Q472" i="2"/>
  <c r="Q425" i="2"/>
  <c r="P732" i="2"/>
  <c r="Q357" i="2"/>
  <c r="Q651" i="2"/>
  <c r="P113" i="2"/>
  <c r="Q693" i="2"/>
  <c r="P745" i="2"/>
  <c r="P135" i="2"/>
  <c r="Q462" i="2"/>
  <c r="P601" i="2"/>
  <c r="P741" i="2"/>
  <c r="P312" i="2"/>
  <c r="Q545" i="2"/>
  <c r="Q428" i="2"/>
  <c r="Q274" i="2"/>
  <c r="P689" i="2"/>
  <c r="Q575" i="2"/>
  <c r="Q68" i="2"/>
  <c r="P78" i="2"/>
  <c r="P221" i="2"/>
  <c r="Q543" i="2"/>
  <c r="P585" i="2"/>
  <c r="Q607" i="2"/>
  <c r="P386" i="2"/>
  <c r="Q489" i="2"/>
  <c r="Q626" i="2"/>
  <c r="Q642" i="2"/>
  <c r="P319" i="2"/>
  <c r="P596" i="2"/>
  <c r="Q54" i="2"/>
  <c r="Q59" i="2"/>
  <c r="Q490" i="2"/>
  <c r="Q728" i="2"/>
  <c r="P539" i="2"/>
  <c r="P436" i="2"/>
  <c r="Q555" i="2"/>
  <c r="P583" i="2"/>
  <c r="P446" i="2"/>
  <c r="Q96" i="2"/>
  <c r="Q235" i="2"/>
  <c r="P495" i="2"/>
  <c r="V495" i="2" s="1"/>
  <c r="Q683" i="2"/>
  <c r="P593" i="2"/>
  <c r="P442" i="2"/>
  <c r="P671" i="2"/>
  <c r="Q735" i="2"/>
  <c r="P241" i="2"/>
  <c r="P104" i="2"/>
  <c r="P775" i="2"/>
  <c r="Q327" i="2"/>
  <c r="Q121" i="2"/>
  <c r="P81" i="2"/>
  <c r="Q58" i="2"/>
  <c r="P735" i="2"/>
  <c r="Q458" i="2"/>
  <c r="P296" i="2"/>
  <c r="Q500" i="2"/>
  <c r="Q423" i="2"/>
  <c r="P703" i="2"/>
  <c r="P484" i="2"/>
  <c r="Q705" i="2"/>
  <c r="Q725" i="2"/>
  <c r="Q305" i="2"/>
  <c r="P267" i="2"/>
  <c r="Q519" i="2"/>
  <c r="Q100" i="2"/>
  <c r="P600" i="2"/>
  <c r="P454" i="2"/>
  <c r="Q541" i="2"/>
  <c r="P550" i="2"/>
  <c r="P622" i="2"/>
  <c r="P424" i="2"/>
  <c r="P683" i="2"/>
  <c r="P251" i="2"/>
  <c r="P458" i="2"/>
  <c r="Q450" i="2"/>
  <c r="P504" i="2"/>
  <c r="P555" i="2"/>
  <c r="P107" i="2"/>
  <c r="Q65" i="2"/>
  <c r="Q691" i="2"/>
  <c r="P562" i="2"/>
  <c r="Q130" i="2"/>
  <c r="P125" i="2"/>
  <c r="Q577" i="2"/>
  <c r="P743" i="2"/>
  <c r="Q243" i="2"/>
  <c r="Q256" i="2"/>
  <c r="P207" i="2"/>
  <c r="P132" i="2"/>
  <c r="P77" i="2"/>
  <c r="Q95" i="2"/>
  <c r="Q439" i="2"/>
  <c r="Q403" i="2"/>
  <c r="Q676" i="2"/>
  <c r="Q140" i="2"/>
  <c r="Q587" i="2"/>
  <c r="Q381" i="2"/>
  <c r="Q731" i="2"/>
  <c r="P39" i="2"/>
  <c r="Q581" i="2"/>
  <c r="P452" i="2"/>
  <c r="Q421" i="2"/>
  <c r="Q55" i="2"/>
  <c r="P633" i="2"/>
  <c r="V633" i="2" s="1"/>
  <c r="P787" i="2"/>
  <c r="Q370" i="2"/>
  <c r="P605" i="2"/>
  <c r="Q211" i="2"/>
  <c r="Q696" i="2"/>
  <c r="P47" i="2"/>
  <c r="P66" i="2"/>
  <c r="Q706" i="2"/>
  <c r="P498" i="2"/>
  <c r="P421" i="2"/>
  <c r="Q666" i="2"/>
  <c r="P238" i="2"/>
  <c r="P731" i="2"/>
  <c r="V731" i="2" s="1"/>
  <c r="P537" i="2"/>
  <c r="Q362" i="2"/>
  <c r="Q276" i="2"/>
  <c r="P778" i="2"/>
  <c r="Q515" i="2"/>
  <c r="P52" i="2"/>
  <c r="P112" i="2"/>
  <c r="P574" i="2"/>
  <c r="Q495" i="2"/>
  <c r="Q747" i="2"/>
  <c r="P599" i="2"/>
  <c r="V599" i="2" s="1"/>
  <c r="P680" i="2"/>
  <c r="P569" i="2"/>
  <c r="P713" i="2"/>
  <c r="Q463" i="2"/>
  <c r="Q608" i="2"/>
  <c r="P693" i="2"/>
  <c r="Q709" i="2"/>
  <c r="P783" i="2"/>
  <c r="P110" i="2"/>
  <c r="Q50" i="2"/>
  <c r="Q183" i="2"/>
  <c r="Q443" i="2"/>
  <c r="P420" i="2"/>
  <c r="P602" i="2"/>
  <c r="P337" i="2"/>
  <c r="Q715" i="2"/>
  <c r="Q453" i="2"/>
  <c r="P169" i="2"/>
  <c r="P346" i="2"/>
  <c r="P259" i="2"/>
  <c r="Q62" i="2"/>
  <c r="Q529" i="2"/>
  <c r="P614" i="2"/>
  <c r="Q722" i="2"/>
  <c r="P541" i="2"/>
  <c r="P674" i="2"/>
  <c r="P666" i="2"/>
  <c r="Q614" i="2"/>
  <c r="Q393" i="2"/>
  <c r="P72" i="2"/>
  <c r="P679" i="2"/>
  <c r="Q631" i="2"/>
  <c r="P182" i="2"/>
  <c r="P79" i="2"/>
  <c r="Q488" i="2"/>
  <c r="Q602" i="2"/>
  <c r="Q605" i="2"/>
  <c r="P547" i="2"/>
  <c r="P768" i="2"/>
  <c r="Q337" i="2"/>
  <c r="P75" i="2"/>
  <c r="P756" i="2"/>
  <c r="P69" i="2"/>
  <c r="Q88" i="2"/>
  <c r="Q762" i="2"/>
  <c r="P575" i="2"/>
  <c r="Q618" i="2"/>
  <c r="Q777" i="2"/>
  <c r="Q647" i="2"/>
  <c r="P371" i="2"/>
  <c r="Q387" i="2"/>
  <c r="P485" i="2"/>
  <c r="P511" i="2"/>
  <c r="P543" i="2"/>
  <c r="Q216" i="2"/>
  <c r="P99" i="2"/>
  <c r="Q84" i="2"/>
  <c r="Q721" i="2"/>
  <c r="P619" i="2"/>
  <c r="P636" i="2"/>
  <c r="P266" i="2"/>
  <c r="P281" i="2"/>
  <c r="P392" i="2"/>
  <c r="P141" i="2"/>
  <c r="Q319" i="2"/>
  <c r="Q493" i="2"/>
  <c r="Q724" i="2"/>
  <c r="Q785" i="2"/>
  <c r="P341" i="2"/>
  <c r="P63" i="2"/>
  <c r="Q90" i="2"/>
  <c r="Q437" i="2"/>
  <c r="Q679" i="2"/>
  <c r="Q612" i="2"/>
  <c r="Q177" i="2"/>
  <c r="Q723" i="2"/>
  <c r="P222" i="2"/>
  <c r="Q736" i="2"/>
  <c r="P473" i="2"/>
  <c r="P630" i="2"/>
  <c r="Q123" i="2"/>
  <c r="Q60" i="2"/>
  <c r="Q287" i="2"/>
  <c r="P510" i="2"/>
  <c r="Q629" i="2"/>
  <c r="P597" i="2"/>
  <c r="Q369" i="2"/>
  <c r="P549" i="2"/>
  <c r="Q313" i="2"/>
  <c r="P170" i="2"/>
  <c r="P55" i="2"/>
  <c r="Q433" i="2"/>
  <c r="Q593" i="2"/>
  <c r="Q707" i="2"/>
  <c r="P45" i="2"/>
  <c r="P785" i="2"/>
  <c r="V785" i="2" s="1"/>
  <c r="Q101" i="2"/>
  <c r="P95" i="2"/>
  <c r="P715" i="2"/>
  <c r="P750" i="2"/>
  <c r="P681" i="2"/>
  <c r="Q111" i="2"/>
  <c r="P202" i="2"/>
  <c r="Q600" i="2"/>
  <c r="P536" i="2"/>
  <c r="P661" i="2"/>
  <c r="P105" i="2"/>
  <c r="Q694" i="2"/>
  <c r="Q107" i="2"/>
  <c r="P68" i="2"/>
  <c r="P527" i="2"/>
  <c r="P136" i="2"/>
  <c r="P215" i="2"/>
  <c r="Q487" i="2"/>
  <c r="Q690" i="2"/>
  <c r="P747" i="2"/>
  <c r="V747" i="2" s="1"/>
  <c r="Q756" i="2"/>
  <c r="Q208" i="2"/>
  <c r="Q623" i="2"/>
  <c r="Q249" i="2"/>
  <c r="V249" i="2" s="1"/>
  <c r="P85" i="2"/>
  <c r="Q80" i="2"/>
  <c r="Q275" i="2"/>
  <c r="Q563" i="2"/>
  <c r="P766" i="2"/>
  <c r="Q766" i="2"/>
  <c r="P558" i="2"/>
  <c r="Q477" i="2"/>
  <c r="Q781" i="2"/>
  <c r="Q697" i="2"/>
  <c r="P270" i="2"/>
  <c r="Q646" i="2"/>
  <c r="Q383" i="2"/>
  <c r="Q189" i="2"/>
  <c r="P96" i="2"/>
  <c r="Q89" i="2"/>
  <c r="P632" i="2"/>
  <c r="P393" i="2"/>
  <c r="P399" i="2"/>
  <c r="P733" i="2"/>
  <c r="Q692" i="2"/>
  <c r="P462" i="2"/>
  <c r="Q339" i="2"/>
  <c r="Q685" i="2"/>
  <c r="Q145" i="2"/>
  <c r="Q749" i="2"/>
  <c r="P84" i="2"/>
  <c r="P336" i="2"/>
  <c r="P782" i="2"/>
  <c r="Q589" i="2"/>
  <c r="Q292" i="2"/>
  <c r="Q553" i="2"/>
  <c r="P628" i="2"/>
  <c r="P687" i="2"/>
  <c r="Q375" i="2"/>
  <c r="Q44" i="2"/>
  <c r="P641" i="2"/>
  <c r="P752" i="2"/>
  <c r="Q466" i="2"/>
  <c r="P690" i="2"/>
  <c r="V690" i="2" s="1"/>
  <c r="Q701" i="2"/>
  <c r="Q104" i="2"/>
  <c r="P142" i="2"/>
  <c r="Q363" i="2"/>
  <c r="Q76" i="2"/>
  <c r="P488" i="2"/>
  <c r="P631" i="2"/>
  <c r="Q46" i="2"/>
  <c r="P65" i="2"/>
  <c r="P739" i="2"/>
  <c r="P615" i="2"/>
  <c r="Q63" i="2"/>
  <c r="Q40" i="2"/>
  <c r="P51" i="2"/>
  <c r="P603" i="2"/>
  <c r="Q441" i="2"/>
  <c r="P41" i="2"/>
  <c r="Q108" i="2"/>
  <c r="Q674" i="2"/>
  <c r="Q283" i="2"/>
  <c r="Q91" i="2"/>
  <c r="Q704" i="2"/>
  <c r="Q768" i="2"/>
  <c r="P43" i="2"/>
  <c r="Q750" i="2"/>
  <c r="Q254" i="2"/>
  <c r="P92" i="2"/>
  <c r="P653" i="2"/>
  <c r="Q191" i="2"/>
  <c r="P426" i="2"/>
  <c r="Q83" i="2"/>
  <c r="Q51" i="2"/>
  <c r="P56" i="2"/>
  <c r="P230" i="2"/>
  <c r="Q782" i="2"/>
  <c r="Q119" i="2"/>
  <c r="Q325" i="2"/>
  <c r="P194" i="2"/>
  <c r="Q436" i="2"/>
  <c r="Q169" i="2"/>
  <c r="Q147" i="2"/>
  <c r="Q379" i="2"/>
  <c r="P395" i="2"/>
  <c r="P552" i="2"/>
  <c r="P111" i="2"/>
  <c r="Q77" i="2"/>
  <c r="P554" i="2"/>
  <c r="P308" i="2"/>
  <c r="P383" i="2"/>
  <c r="Q212" i="2"/>
  <c r="Q716" i="2"/>
  <c r="Q668" i="2"/>
  <c r="P459" i="2"/>
  <c r="P372" i="2"/>
  <c r="Q524" i="2"/>
  <c r="Q329" i="2"/>
  <c r="Q457" i="2"/>
  <c r="P309" i="2"/>
  <c r="P103" i="2"/>
  <c r="Q99" i="2"/>
  <c r="Q599" i="2"/>
  <c r="P724" i="2"/>
  <c r="Q595" i="2"/>
  <c r="Q353" i="2"/>
  <c r="P648" i="2"/>
  <c r="Q585" i="2"/>
  <c r="Q414" i="2"/>
  <c r="P165" i="2"/>
  <c r="P578" i="2"/>
  <c r="Q280" i="2"/>
  <c r="P82" i="2"/>
  <c r="Q687" i="2"/>
  <c r="P694" i="2"/>
  <c r="P561" i="2"/>
  <c r="P705" i="2"/>
  <c r="Q560" i="2"/>
  <c r="Q509" i="2"/>
  <c r="P481" i="2"/>
  <c r="Q398" i="2"/>
  <c r="P67" i="2"/>
  <c r="V67" i="2" s="1"/>
  <c r="Q374" i="2"/>
  <c r="P788" i="2"/>
  <c r="P123" i="2"/>
  <c r="Q757" i="2"/>
  <c r="P195" i="2"/>
  <c r="Q619" i="2"/>
  <c r="Q667" i="2"/>
  <c r="Q761" i="2"/>
  <c r="P443" i="2"/>
  <c r="Q579" i="2"/>
  <c r="P757" i="2"/>
  <c r="P701" i="2"/>
  <c r="Q636" i="2"/>
  <c r="P486" i="2"/>
  <c r="Q471" i="2"/>
  <c r="P88" i="2"/>
  <c r="V88" i="2" s="1"/>
  <c r="Q93" i="2"/>
  <c r="P87" i="2"/>
  <c r="Q550" i="2"/>
  <c r="Q698" i="2"/>
  <c r="P723" i="2"/>
  <c r="P521" i="2"/>
  <c r="V521" i="2" s="1"/>
  <c r="Q310" i="2"/>
  <c r="P167" i="2"/>
  <c r="Q480" i="2"/>
  <c r="Q627" i="2"/>
  <c r="Q138" i="2"/>
  <c r="P117" i="2"/>
  <c r="Q79" i="2"/>
  <c r="Q75" i="2"/>
  <c r="Q82" i="2"/>
  <c r="Q656" i="2"/>
  <c r="P595" i="2"/>
  <c r="Q317" i="2"/>
  <c r="P528" i="2"/>
  <c r="Q773" i="2"/>
  <c r="Q359" i="2"/>
  <c r="P356" i="2"/>
  <c r="P777" i="2"/>
  <c r="P208" i="2"/>
  <c r="Q264" i="2"/>
  <c r="P621" i="2"/>
  <c r="P623" i="2"/>
  <c r="P781" i="2"/>
  <c r="Q598" i="2"/>
  <c r="P376" i="2"/>
  <c r="Q451" i="2"/>
  <c r="Q229" i="2"/>
  <c r="P411" i="2"/>
  <c r="P332" i="2"/>
  <c r="P287" i="2"/>
  <c r="Q304" i="2"/>
  <c r="Q152" i="2"/>
  <c r="Q546" i="2"/>
  <c r="P160" i="2"/>
  <c r="P163" i="2"/>
  <c r="P769" i="2"/>
  <c r="P347" i="2"/>
  <c r="Q518" i="2"/>
  <c r="P635" i="2"/>
  <c r="Q655" i="2"/>
  <c r="P150" i="2"/>
  <c r="Q200" i="2"/>
  <c r="P210" i="2"/>
  <c r="P378" i="2"/>
  <c r="P566" i="2"/>
  <c r="Q571" i="2"/>
  <c r="Q266" i="2"/>
  <c r="P533" i="2"/>
  <c r="Q122" i="2"/>
  <c r="Q316" i="2"/>
  <c r="Q639" i="2"/>
  <c r="P655" i="2"/>
  <c r="P423" i="2"/>
  <c r="Q206" i="2"/>
  <c r="P656" i="2"/>
  <c r="Q531" i="2"/>
  <c r="Q511" i="2"/>
  <c r="Q630" i="2"/>
  <c r="Q494" i="2"/>
  <c r="Q129" i="2"/>
  <c r="Q544" i="2"/>
  <c r="Q743" i="2"/>
  <c r="Q303" i="2"/>
  <c r="P285" i="2"/>
  <c r="Q346" i="2"/>
  <c r="P441" i="2"/>
  <c r="P134" i="2"/>
  <c r="Q514" i="2"/>
  <c r="P380" i="2"/>
  <c r="P754" i="2"/>
  <c r="P369" i="2"/>
  <c r="P181" i="2"/>
  <c r="Q617" i="2"/>
  <c r="Q167" i="2"/>
  <c r="P663" i="2"/>
  <c r="V663" i="2" s="1"/>
  <c r="P126" i="2"/>
  <c r="P279" i="2"/>
  <c r="Q199" i="2"/>
  <c r="Q755" i="2"/>
  <c r="P425" i="2"/>
  <c r="Q429" i="2"/>
  <c r="Q640" i="2"/>
  <c r="P707" i="2"/>
  <c r="Q153" i="2"/>
  <c r="Q485" i="2"/>
  <c r="P213" i="2"/>
  <c r="Q253" i="2"/>
  <c r="P377" i="2"/>
  <c r="Q479" i="2"/>
  <c r="P494" i="2"/>
  <c r="Q699" i="2"/>
  <c r="P391" i="2"/>
  <c r="Q371" i="2"/>
  <c r="P335" i="2"/>
  <c r="T77" i="2"/>
  <c r="S95" i="2"/>
  <c r="R58" i="2"/>
  <c r="R65" i="2"/>
  <c r="T401" i="2"/>
  <c r="S778" i="2"/>
  <c r="S451" i="2"/>
  <c r="R658" i="2"/>
  <c r="S676" i="2"/>
  <c r="T289" i="2"/>
  <c r="R469" i="2"/>
  <c r="S784" i="2"/>
  <c r="Q70" i="2"/>
  <c r="Q73" i="2"/>
  <c r="Q56" i="2"/>
  <c r="P720" i="2"/>
  <c r="P749" i="2"/>
  <c r="P465" i="2"/>
  <c r="P546" i="2"/>
  <c r="P772" i="2"/>
  <c r="Q258" i="2"/>
  <c r="P121" i="2"/>
  <c r="P587" i="2"/>
  <c r="P284" i="2"/>
  <c r="P217" i="2"/>
  <c r="P540" i="2"/>
  <c r="P219" i="2"/>
  <c r="Q461" i="2"/>
  <c r="P288" i="2"/>
  <c r="Q394" i="2"/>
  <c r="Q662" i="2"/>
  <c r="P159" i="2"/>
  <c r="P771" i="2"/>
  <c r="Q204" i="2"/>
  <c r="P158" i="2"/>
  <c r="V158" i="2" s="1"/>
  <c r="Q654" i="2"/>
  <c r="Q170" i="2"/>
  <c r="P320" i="2"/>
  <c r="P131" i="2"/>
  <c r="P225" i="2"/>
  <c r="P557" i="2"/>
  <c r="P124" i="2"/>
  <c r="P476" i="2"/>
  <c r="Q237" i="2"/>
  <c r="Q776" i="2"/>
  <c r="Q780" i="2"/>
  <c r="Q302" i="2"/>
  <c r="Q613" i="2"/>
  <c r="Q209" i="2"/>
  <c r="P524" i="2"/>
  <c r="P548" i="2"/>
  <c r="P143" i="2"/>
  <c r="P246" i="2"/>
  <c r="Q221" i="2"/>
  <c r="P300" i="2"/>
  <c r="P440" i="2"/>
  <c r="Q279" i="2"/>
  <c r="P590" i="2"/>
  <c r="Q464" i="2"/>
  <c r="P637" i="2"/>
  <c r="P685" i="2"/>
  <c r="Q210" i="2"/>
  <c r="Q358" i="2"/>
  <c r="P428" i="2"/>
  <c r="P535" i="2"/>
  <c r="P303" i="2"/>
  <c r="P358" i="2"/>
  <c r="V358" i="2" s="1"/>
  <c r="P359" i="2"/>
  <c r="Q390" i="2"/>
  <c r="P362" i="2"/>
  <c r="Q219" i="2"/>
  <c r="P463" i="2"/>
  <c r="P673" i="2"/>
  <c r="Q522" i="2"/>
  <c r="Q281" i="2"/>
  <c r="Q760" i="2"/>
  <c r="Q712" i="2"/>
  <c r="P264" i="2"/>
  <c r="P184" i="2"/>
  <c r="Q434" i="2"/>
  <c r="P414" i="2"/>
  <c r="P360" i="2"/>
  <c r="P516" i="2"/>
  <c r="V516" i="2" s="1"/>
  <c r="Q603" i="2"/>
  <c r="P570" i="2"/>
  <c r="P314" i="2"/>
  <c r="P120" i="2"/>
  <c r="Q361" i="2"/>
  <c r="P216" i="2"/>
  <c r="P236" i="2"/>
  <c r="P226" i="2"/>
  <c r="Q333" i="2"/>
  <c r="Q352" i="2"/>
  <c r="Q190" i="2"/>
  <c r="P695" i="2"/>
  <c r="Q406" i="2"/>
  <c r="Q290" i="2"/>
  <c r="Q240" i="2"/>
  <c r="P321" i="2"/>
  <c r="R108" i="2"/>
  <c r="S84" i="2"/>
  <c r="S79" i="2"/>
  <c r="S98" i="2"/>
  <c r="T746" i="2"/>
  <c r="S658" i="2"/>
  <c r="T200" i="2"/>
  <c r="R775" i="2"/>
  <c r="T747" i="2"/>
  <c r="R755" i="2"/>
  <c r="T321" i="2"/>
  <c r="T488" i="2"/>
  <c r="Q67" i="2"/>
  <c r="Q106" i="2"/>
  <c r="P44" i="2"/>
  <c r="Q175" i="2"/>
  <c r="Q741" i="2"/>
  <c r="P253" i="2"/>
  <c r="Q528" i="2"/>
  <c r="P544" i="2"/>
  <c r="Q409" i="2"/>
  <c r="Q318" i="2"/>
  <c r="Q567" i="2"/>
  <c r="P272" i="2"/>
  <c r="P156" i="2"/>
  <c r="Q57" i="2"/>
  <c r="P53" i="2"/>
  <c r="Q43" i="2"/>
  <c r="P249" i="2"/>
  <c r="Q411" i="2"/>
  <c r="Q657" i="2"/>
  <c r="P634" i="2"/>
  <c r="Q455" i="2"/>
  <c r="Q763" i="2"/>
  <c r="P773" i="2"/>
  <c r="P738" i="2"/>
  <c r="Q286" i="2"/>
  <c r="Q224" i="2"/>
  <c r="Q364" i="2"/>
  <c r="P306" i="2"/>
  <c r="Q294" i="2"/>
  <c r="P410" i="2"/>
  <c r="Q430" i="2"/>
  <c r="P229" i="2"/>
  <c r="P474" i="2"/>
  <c r="Q468" i="2"/>
  <c r="P530" i="2"/>
  <c r="Q417" i="2"/>
  <c r="Q331" i="2"/>
  <c r="P571" i="2"/>
  <c r="P155" i="2"/>
  <c r="P431" i="2"/>
  <c r="P659" i="2"/>
  <c r="P709" i="2"/>
  <c r="Q391" i="2"/>
  <c r="P294" i="2"/>
  <c r="Q779" i="2"/>
  <c r="P672" i="2"/>
  <c r="P354" i="2"/>
  <c r="P157" i="2"/>
  <c r="Q373" i="2"/>
  <c r="Q572" i="2"/>
  <c r="Q499" i="2"/>
  <c r="P235" i="2"/>
  <c r="Q184" i="2"/>
  <c r="Q263" i="2"/>
  <c r="Q360" i="2"/>
  <c r="Q193" i="2"/>
  <c r="P290" i="2"/>
  <c r="Q289" i="2"/>
  <c r="Q124" i="2"/>
  <c r="P404" i="2"/>
  <c r="P780" i="2"/>
  <c r="Q621" i="2"/>
  <c r="Q474" i="2"/>
  <c r="P564" i="2"/>
  <c r="P702" i="2"/>
  <c r="Q376" i="2"/>
  <c r="P717" i="2"/>
  <c r="Q217" i="2"/>
  <c r="P394" i="2"/>
  <c r="Q155" i="2"/>
  <c r="P122" i="2"/>
  <c r="Q257" i="2"/>
  <c r="Q347" i="2"/>
  <c r="P177" i="2"/>
  <c r="Q661" i="2"/>
  <c r="Q265" i="2"/>
  <c r="P352" i="2"/>
  <c r="P355" i="2"/>
  <c r="Q729" i="2"/>
  <c r="P611" i="2"/>
  <c r="Q236" i="2"/>
  <c r="Q525" i="2"/>
  <c r="Q308" i="2"/>
  <c r="P367" i="2"/>
  <c r="V367" i="2" s="1"/>
  <c r="Q335" i="2"/>
  <c r="P292" i="2"/>
  <c r="Q247" i="2"/>
  <c r="P365" i="2"/>
  <c r="Q420" i="2"/>
  <c r="P223" i="2"/>
  <c r="P291" i="2"/>
  <c r="P322" i="2"/>
  <c r="V322" i="2" s="1"/>
  <c r="Q173" i="2"/>
  <c r="Q161" i="2"/>
  <c r="P455" i="2"/>
  <c r="P565" i="2"/>
  <c r="Q410" i="2"/>
  <c r="Q422" i="2"/>
  <c r="P477" i="2"/>
  <c r="P140" i="2"/>
  <c r="V140" i="2" s="1"/>
  <c r="R49" i="2"/>
  <c r="T51" i="2"/>
  <c r="R104" i="2"/>
  <c r="R610" i="2"/>
  <c r="T122" i="2"/>
  <c r="R504" i="2"/>
  <c r="T224" i="2"/>
  <c r="S777" i="2"/>
  <c r="T631" i="2"/>
  <c r="S305" i="2"/>
  <c r="R672" i="2"/>
  <c r="T667" i="2"/>
  <c r="P753" i="2"/>
  <c r="P708" i="2"/>
  <c r="Q395" i="2"/>
  <c r="Q594" i="2"/>
  <c r="P102" i="2"/>
  <c r="Q69" i="2"/>
  <c r="Q330" i="2"/>
  <c r="P499" i="2"/>
  <c r="P523" i="2"/>
  <c r="P568" i="2"/>
  <c r="P368" i="2"/>
  <c r="P644" i="2"/>
  <c r="P779" i="2"/>
  <c r="Q469" i="2"/>
  <c r="P657" i="2"/>
  <c r="Q751" i="2"/>
  <c r="Q207" i="2"/>
  <c r="Q97" i="2"/>
  <c r="P97" i="2"/>
  <c r="P101" i="2"/>
  <c r="P525" i="2"/>
  <c r="P643" i="2"/>
  <c r="Q295" i="2"/>
  <c r="Q444" i="2"/>
  <c r="P626" i="2"/>
  <c r="P398" i="2"/>
  <c r="P311" i="2"/>
  <c r="V311" i="2" s="1"/>
  <c r="Q160" i="2"/>
  <c r="Q309" i="2"/>
  <c r="P388" i="2"/>
  <c r="Q440" i="2"/>
  <c r="Q665" i="2"/>
  <c r="Q578" i="2"/>
  <c r="Q246" i="2"/>
  <c r="Q606" i="2"/>
  <c r="P361" i="2"/>
  <c r="Q569" i="2"/>
  <c r="P228" i="2"/>
  <c r="Q416" i="2"/>
  <c r="P592" i="2"/>
  <c r="P211" i="2"/>
  <c r="P274" i="2"/>
  <c r="P419" i="2"/>
  <c r="V419" i="2" s="1"/>
  <c r="P257" i="2"/>
  <c r="P767" i="2"/>
  <c r="Q267" i="2"/>
  <c r="P669" i="2"/>
  <c r="Q643" i="2"/>
  <c r="P729" i="2"/>
  <c r="Q482" i="2"/>
  <c r="P470" i="2"/>
  <c r="P166" i="2"/>
  <c r="P209" i="2"/>
  <c r="P295" i="2"/>
  <c r="V295" i="2" s="1"/>
  <c r="P480" i="2"/>
  <c r="P719" i="2"/>
  <c r="P357" i="2"/>
  <c r="Q148" i="2"/>
  <c r="P379" i="2"/>
  <c r="P316" i="2"/>
  <c r="P638" i="2"/>
  <c r="Q671" i="2"/>
  <c r="P447" i="2"/>
  <c r="Q419" i="2"/>
  <c r="P734" i="2"/>
  <c r="Q739" i="2"/>
  <c r="P381" i="2"/>
  <c r="Q597" i="2"/>
  <c r="P758" i="2"/>
  <c r="Q135" i="2"/>
  <c r="Q432" i="2"/>
  <c r="P190" i="2"/>
  <c r="P325" i="2"/>
  <c r="P317" i="2"/>
  <c r="P647" i="2"/>
  <c r="Q556" i="2"/>
  <c r="Q702" i="2"/>
  <c r="P751" i="2"/>
  <c r="Q700" i="2"/>
  <c r="P214" i="2"/>
  <c r="Q407" i="2"/>
  <c r="P114" i="2"/>
  <c r="Q628" i="2"/>
  <c r="P700" i="2"/>
  <c r="V700" i="2" s="1"/>
  <c r="Q314" i="2"/>
  <c r="P137" i="2"/>
  <c r="P118" i="2"/>
  <c r="P191" i="2"/>
  <c r="P203" i="2"/>
  <c r="P692" i="2"/>
  <c r="Q285" i="2"/>
  <c r="Q356" i="2"/>
  <c r="P744" i="2"/>
  <c r="P497" i="2"/>
  <c r="V497" i="2" s="1"/>
  <c r="Q459" i="2"/>
  <c r="Q610" i="2"/>
  <c r="P508" i="2"/>
  <c r="Q566" i="2"/>
  <c r="P389" i="2"/>
  <c r="Q118" i="2"/>
  <c r="Q521" i="2"/>
  <c r="Q659" i="2"/>
  <c r="Q277" i="2"/>
  <c r="P364" i="2"/>
  <c r="R53" i="2"/>
  <c r="R51" i="2"/>
  <c r="S60" i="2"/>
  <c r="T413" i="2"/>
  <c r="R507" i="2"/>
  <c r="R709" i="2"/>
  <c r="T369" i="2"/>
  <c r="T737" i="2"/>
  <c r="T346" i="2"/>
  <c r="R279" i="2"/>
  <c r="T404" i="2"/>
  <c r="S280" i="2"/>
  <c r="Q710" i="2"/>
  <c r="Q321" i="2"/>
  <c r="V321" i="2" s="1"/>
  <c r="P450" i="2"/>
  <c r="Q548" i="2"/>
  <c r="P545" i="2"/>
  <c r="P148" i="2"/>
  <c r="Q87" i="2"/>
  <c r="Q81" i="2"/>
  <c r="P591" i="2"/>
  <c r="P128" i="2"/>
  <c r="Q187" i="2"/>
  <c r="Q311" i="2"/>
  <c r="P412" i="2"/>
  <c r="Q681" i="2"/>
  <c r="Q658" i="2"/>
  <c r="P759" i="2"/>
  <c r="V759" i="2" s="1"/>
  <c r="Q648" i="2"/>
  <c r="Q143" i="2"/>
  <c r="P115" i="2"/>
  <c r="P276" i="2"/>
  <c r="P186" i="2"/>
  <c r="P149" i="2"/>
  <c r="P54" i="2"/>
  <c r="V54" i="2" s="1"/>
  <c r="P70" i="2"/>
  <c r="Q218" i="2"/>
  <c r="Q526" i="2"/>
  <c r="Q527" i="2"/>
  <c r="P468" i="2"/>
  <c r="Q533" i="2"/>
  <c r="P461" i="2"/>
  <c r="P624" i="2"/>
  <c r="P409" i="2"/>
  <c r="P304" i="2"/>
  <c r="P212" i="2"/>
  <c r="Q85" i="2"/>
  <c r="Q102" i="2"/>
  <c r="P48" i="2"/>
  <c r="Q158" i="2"/>
  <c r="Q582" i="2"/>
  <c r="P522" i="2"/>
  <c r="P660" i="2"/>
  <c r="P330" i="2"/>
  <c r="Q771" i="2"/>
  <c r="Q312" i="2"/>
  <c r="P293" i="2"/>
  <c r="P277" i="2"/>
  <c r="Q98" i="2"/>
  <c r="P76" i="2"/>
  <c r="V76" i="2" s="1"/>
  <c r="P62" i="2"/>
  <c r="Q601" i="2"/>
  <c r="Q172" i="2"/>
  <c r="Q684" i="2"/>
  <c r="P609" i="2"/>
  <c r="Q734" i="2"/>
  <c r="Q680" i="2"/>
  <c r="Q537" i="2"/>
  <c r="Q192" i="2"/>
  <c r="Q248" i="2"/>
  <c r="P651" i="2"/>
  <c r="Q470" i="2"/>
  <c r="Q64" i="2"/>
  <c r="P64" i="2"/>
  <c r="V64" i="2" s="1"/>
  <c r="P60" i="2"/>
  <c r="V60" i="2" s="1"/>
  <c r="P755" i="2"/>
  <c r="P434" i="2"/>
  <c r="P748" i="2"/>
  <c r="P457" i="2"/>
  <c r="P116" i="2"/>
  <c r="Q496" i="2"/>
  <c r="P374" i="2"/>
  <c r="Q351" i="2"/>
  <c r="Q454" i="2"/>
  <c r="V454" i="2" s="1"/>
  <c r="P289" i="2"/>
  <c r="Q754" i="2"/>
  <c r="Q412" i="2"/>
  <c r="P408" i="2"/>
  <c r="Q689" i="2"/>
  <c r="Q554" i="2"/>
  <c r="Q530" i="2"/>
  <c r="P489" i="2"/>
  <c r="Q427" i="2"/>
  <c r="P153" i="2"/>
  <c r="Q385" i="2"/>
  <c r="Q342" i="2"/>
  <c r="Q180" i="2"/>
  <c r="P252" i="2"/>
  <c r="P283" i="2"/>
  <c r="Q664" i="2"/>
  <c r="Q675" i="2"/>
  <c r="P514" i="2"/>
  <c r="Q532" i="2"/>
  <c r="Q452" i="2"/>
  <c r="P237" i="2"/>
  <c r="P718" i="2"/>
  <c r="P162" i="2"/>
  <c r="P646" i="2"/>
  <c r="P268" i="2"/>
  <c r="Q404" i="2"/>
  <c r="Q426" i="2"/>
  <c r="Q196" i="2"/>
  <c r="P146" i="2"/>
  <c r="Q759" i="2"/>
  <c r="P764" i="2"/>
  <c r="P491" i="2"/>
  <c r="Q632" i="2"/>
  <c r="P305" i="2"/>
  <c r="P349" i="2"/>
  <c r="P584" i="2"/>
  <c r="Q719" i="2"/>
  <c r="P618" i="2"/>
  <c r="Q157" i="2"/>
  <c r="Q272" i="2"/>
  <c r="Q449" i="2"/>
  <c r="P345" i="2"/>
  <c r="V345" i="2" s="1"/>
  <c r="Q625" i="2"/>
  <c r="P119" i="2"/>
  <c r="Q354" i="2"/>
  <c r="Q239" i="2"/>
  <c r="P493" i="2"/>
  <c r="Q559" i="2"/>
  <c r="Q737" i="2"/>
  <c r="Q402" i="2"/>
  <c r="P448" i="2"/>
  <c r="Q557" i="2"/>
  <c r="P328" i="2"/>
  <c r="P456" i="2"/>
  <c r="Q127" i="2"/>
  <c r="P736" i="2"/>
  <c r="V736" i="2" s="1"/>
  <c r="P161" i="2"/>
  <c r="P247" i="2"/>
  <c r="V247" i="2" s="1"/>
  <c r="P206" i="2"/>
  <c r="Q534" i="2"/>
  <c r="Q717" i="2"/>
  <c r="P581" i="2"/>
  <c r="P492" i="2"/>
  <c r="P145" i="2"/>
  <c r="Q164" i="2"/>
  <c r="Q261" i="2"/>
  <c r="P487" i="2"/>
  <c r="Q332" i="2"/>
  <c r="P730" i="2"/>
  <c r="P315" i="2"/>
  <c r="P366" i="2"/>
  <c r="Q539" i="2"/>
  <c r="P193" i="2"/>
  <c r="P329" i="2"/>
  <c r="V329" i="2" s="1"/>
  <c r="Q343" i="2"/>
  <c r="T48" i="2"/>
  <c r="S70" i="2"/>
  <c r="R80" i="2"/>
  <c r="S752" i="2"/>
  <c r="S304" i="2"/>
  <c r="T663" i="2"/>
  <c r="R636" i="2"/>
  <c r="R747" i="2"/>
  <c r="R262" i="2"/>
  <c r="S246" i="2"/>
  <c r="T226" i="2"/>
  <c r="R309" i="2"/>
  <c r="Q678" i="2"/>
  <c r="Q156" i="2"/>
  <c r="P61" i="2"/>
  <c r="V61" i="2" s="1"/>
  <c r="Q61" i="2"/>
  <c r="P435" i="2"/>
  <c r="P338" i="2"/>
  <c r="P613" i="2"/>
  <c r="P696" i="2"/>
  <c r="Q727" i="2"/>
  <c r="P351" i="2"/>
  <c r="P608" i="2"/>
  <c r="P245" i="2"/>
  <c r="Q413" i="2"/>
  <c r="P174" i="2"/>
  <c r="P93" i="2"/>
  <c r="Q49" i="2"/>
  <c r="P59" i="2"/>
  <c r="P348" i="2"/>
  <c r="P318" i="2"/>
  <c r="Q348" i="2"/>
  <c r="Q787" i="2"/>
  <c r="P439" i="2"/>
  <c r="Q222" i="2"/>
  <c r="P586" i="2"/>
  <c r="Q260" i="2"/>
  <c r="Q186" i="2"/>
  <c r="Q151" i="2"/>
  <c r="V151" i="2" s="1"/>
  <c r="Q47" i="2"/>
  <c r="Q112" i="2"/>
  <c r="P89" i="2"/>
  <c r="Q481" i="2"/>
  <c r="Q431" i="2"/>
  <c r="Q772" i="2"/>
  <c r="P200" i="2"/>
  <c r="Q282" i="2"/>
  <c r="Q473" i="2"/>
  <c r="P331" i="2"/>
  <c r="Q250" i="2"/>
  <c r="P563" i="2"/>
  <c r="P232" i="2"/>
  <c r="V232" i="2" s="1"/>
  <c r="Q230" i="2"/>
  <c r="P662" i="2"/>
  <c r="P313" i="2"/>
  <c r="Q255" i="2"/>
  <c r="P763" i="2"/>
  <c r="P667" i="2"/>
  <c r="P529" i="2"/>
  <c r="Q386" i="2"/>
  <c r="P556" i="2"/>
  <c r="V556" i="2" s="1"/>
  <c r="Q149" i="2"/>
  <c r="P742" i="2"/>
  <c r="Q197" i="2"/>
  <c r="Q182" i="2"/>
  <c r="P432" i="2"/>
  <c r="Q202" i="2"/>
  <c r="P467" i="2"/>
  <c r="Q574" i="2"/>
  <c r="Q377" i="2"/>
  <c r="Q622" i="2"/>
  <c r="P373" i="2"/>
  <c r="P588" i="2"/>
  <c r="P553" i="2"/>
  <c r="P503" i="2"/>
  <c r="Q726" i="2"/>
  <c r="P427" i="2"/>
  <c r="V427" i="2" s="1"/>
  <c r="Q226" i="2"/>
  <c r="P154" i="2"/>
  <c r="V154" i="2" s="1"/>
  <c r="P509" i="2"/>
  <c r="P233" i="2"/>
  <c r="Q447" i="2"/>
  <c r="Q590" i="2"/>
  <c r="Q400" i="2"/>
  <c r="P726" i="2"/>
  <c r="Q328" i="2"/>
  <c r="Q596" i="2"/>
  <c r="Q565" i="2"/>
  <c r="Q505" i="2"/>
  <c r="Q301" i="2"/>
  <c r="Q178" i="2"/>
  <c r="P199" i="2"/>
  <c r="Q307" i="2"/>
  <c r="P339" i="2"/>
  <c r="Q508" i="2"/>
  <c r="P620" i="2"/>
  <c r="P326" i="2"/>
  <c r="Q238" i="2"/>
  <c r="P384" i="2"/>
  <c r="Q540" i="2"/>
  <c r="P242" i="2"/>
  <c r="V242" i="2" s="1"/>
  <c r="P507" i="2"/>
  <c r="Q320" i="2"/>
  <c r="P429" i="2"/>
  <c r="P187" i="2"/>
  <c r="P453" i="2"/>
  <c r="Q213" i="2"/>
  <c r="Q492" i="2"/>
  <c r="P512" i="2"/>
  <c r="P299" i="2"/>
  <c r="Q185" i="2"/>
  <c r="V185" i="2" s="1"/>
  <c r="P640" i="2"/>
  <c r="Q288" i="2"/>
  <c r="P466" i="2"/>
  <c r="Q408" i="2"/>
  <c r="Q163" i="2"/>
  <c r="P227" i="2"/>
  <c r="Q349" i="2"/>
  <c r="P185" i="2"/>
  <c r="Q233" i="2"/>
  <c r="Q399" i="2"/>
  <c r="P513" i="2"/>
  <c r="Q438" i="2"/>
  <c r="Q198" i="2"/>
  <c r="Q382" i="2"/>
  <c r="P451" i="2"/>
  <c r="T69" i="2"/>
  <c r="R63" i="2"/>
  <c r="S64" i="2"/>
  <c r="S54" i="2"/>
  <c r="T549" i="2"/>
  <c r="S540" i="2"/>
  <c r="R659" i="2"/>
  <c r="T759" i="2"/>
  <c r="T477" i="2"/>
  <c r="R663" i="2"/>
  <c r="S657" i="2"/>
  <c r="T754" i="2"/>
  <c r="R359" i="2"/>
  <c r="Q338" i="2"/>
  <c r="P496" i="2"/>
  <c r="V496" i="2" s="1"/>
  <c r="P405" i="2"/>
  <c r="P40" i="2"/>
  <c r="Q66" i="2"/>
  <c r="Q775" i="2"/>
  <c r="P770" i="2"/>
  <c r="Q583" i="2"/>
  <c r="P604" i="2"/>
  <c r="P502" i="2"/>
  <c r="V502" i="2" s="1"/>
  <c r="Q561" i="2"/>
  <c r="Q384" i="2"/>
  <c r="P518" i="2"/>
  <c r="Q215" i="2"/>
  <c r="Q502" i="2"/>
  <c r="P80" i="2"/>
  <c r="P50" i="2"/>
  <c r="Q45" i="2"/>
  <c r="P188" i="2"/>
  <c r="Q366" i="2"/>
  <c r="P612" i="2"/>
  <c r="P627" i="2"/>
  <c r="Q484" i="2"/>
  <c r="Q573" i="2"/>
  <c r="Q355" i="2"/>
  <c r="Q584" i="2"/>
  <c r="P670" i="2"/>
  <c r="P396" i="2"/>
  <c r="Q103" i="2"/>
  <c r="P109" i="2"/>
  <c r="Q74" i="2"/>
  <c r="P710" i="2"/>
  <c r="P617" i="2"/>
  <c r="P746" i="2"/>
  <c r="Q220" i="2"/>
  <c r="Q788" i="2"/>
  <c r="Q538" i="2"/>
  <c r="P416" i="2"/>
  <c r="P244" i="2"/>
  <c r="Q171" i="2"/>
  <c r="Q176" i="2"/>
  <c r="Q746" i="2"/>
  <c r="Q242" i="2"/>
  <c r="Q475" i="2"/>
  <c r="Q513" i="2"/>
  <c r="Q396" i="2"/>
  <c r="Q774" i="2"/>
  <c r="P449" i="2"/>
  <c r="Q418" i="2"/>
  <c r="P271" i="2"/>
  <c r="Q223" i="2"/>
  <c r="Q672" i="2"/>
  <c r="V672" i="2" s="1"/>
  <c r="Q137" i="2"/>
  <c r="P572" i="2"/>
  <c r="P350" i="2"/>
  <c r="P218" i="2"/>
  <c r="Q677" i="2"/>
  <c r="Q141" i="2"/>
  <c r="P483" i="2"/>
  <c r="P204" i="2"/>
  <c r="P606" i="2"/>
  <c r="P598" i="2"/>
  <c r="P567" i="2"/>
  <c r="Q752" i="2"/>
  <c r="Q241" i="2"/>
  <c r="Q389" i="2"/>
  <c r="P144" i="2"/>
  <c r="Q225" i="2"/>
  <c r="P307" i="2"/>
  <c r="P344" i="2"/>
  <c r="Q401" i="2"/>
  <c r="P688" i="2"/>
  <c r="Q786" i="2"/>
  <c r="Q231" i="2"/>
  <c r="Q644" i="2"/>
  <c r="P682" i="2"/>
  <c r="P254" i="2"/>
  <c r="P263" i="2"/>
  <c r="Q326" i="2"/>
  <c r="Q269" i="2"/>
  <c r="Q139" i="2"/>
  <c r="P273" i="2"/>
  <c r="V273" i="2" s="1"/>
  <c r="Q323" i="2"/>
  <c r="P310" i="2"/>
  <c r="V310" i="2" s="1"/>
  <c r="Q284" i="2"/>
  <c r="P402" i="2"/>
  <c r="Q201" i="2"/>
  <c r="Q592" i="2"/>
  <c r="P401" i="2"/>
  <c r="Q194" i="2"/>
  <c r="P784" i="2"/>
  <c r="P139" i="2"/>
  <c r="P282" i="2"/>
  <c r="P560" i="2"/>
  <c r="Q142" i="2"/>
  <c r="P189" i="2"/>
  <c r="Q244" i="2"/>
  <c r="Q512" i="2"/>
  <c r="P387" i="2"/>
  <c r="P727" i="2"/>
  <c r="Q730" i="2"/>
  <c r="Q547" i="2"/>
  <c r="P532" i="2"/>
  <c r="P172" i="2"/>
  <c r="P385" i="2"/>
  <c r="P183" i="2"/>
  <c r="P301" i="2"/>
  <c r="Q128" i="2"/>
  <c r="P353" i="2"/>
  <c r="Q268" i="2"/>
  <c r="P197" i="2"/>
  <c r="P250" i="2"/>
  <c r="Q634" i="2"/>
  <c r="Q652" i="2"/>
  <c r="P531" i="2"/>
  <c r="R56" i="2"/>
  <c r="T96" i="2"/>
  <c r="R61" i="2"/>
  <c r="T53" i="2"/>
  <c r="R325" i="2"/>
  <c r="T562" i="2"/>
  <c r="T510" i="2"/>
  <c r="S680" i="2"/>
  <c r="S612" i="2"/>
  <c r="S300" i="2"/>
  <c r="R553" i="2"/>
  <c r="T676" i="2"/>
  <c r="T772" i="2"/>
  <c r="P706" i="2"/>
  <c r="P198" i="2"/>
  <c r="V198" i="2" s="1"/>
  <c r="Q536" i="2"/>
  <c r="P589" i="2"/>
  <c r="Q340" i="2"/>
  <c r="P58" i="2"/>
  <c r="Q39" i="2"/>
  <c r="P57" i="2"/>
  <c r="Q245" i="2"/>
  <c r="Q188" i="2"/>
  <c r="Q740" i="2"/>
  <c r="Q720" i="2"/>
  <c r="P472" i="2"/>
  <c r="Q686" i="2"/>
  <c r="P649" i="2"/>
  <c r="Q299" i="2"/>
  <c r="Q713" i="2"/>
  <c r="P629" i="2"/>
  <c r="V629" i="2" s="1"/>
  <c r="P716" i="2"/>
  <c r="P168" i="2"/>
  <c r="V168" i="2" s="1"/>
  <c r="Q365" i="2"/>
  <c r="Q41" i="2"/>
  <c r="P91" i="2"/>
  <c r="P413" i="2"/>
  <c r="Q765" i="2"/>
  <c r="P573" i="2"/>
  <c r="Q703" i="2"/>
  <c r="P433" i="2"/>
  <c r="V433" i="2" s="1"/>
  <c r="P538" i="2"/>
  <c r="Q609" i="2"/>
  <c r="P639" i="2"/>
  <c r="Q367" i="2"/>
  <c r="P224" i="2"/>
  <c r="P725" i="2"/>
  <c r="V725" i="2" s="1"/>
  <c r="P71" i="2"/>
  <c r="P73" i="2"/>
  <c r="P650" i="2"/>
  <c r="Q126" i="2"/>
  <c r="P400" i="2"/>
  <c r="P445" i="2"/>
  <c r="P728" i="2"/>
  <c r="P520" i="2"/>
  <c r="Q116" i="2"/>
  <c r="Q506" i="2"/>
  <c r="Q174" i="2"/>
  <c r="P152" i="2"/>
  <c r="P94" i="2"/>
  <c r="Q86" i="2"/>
  <c r="Q71" i="2"/>
  <c r="P642" i="2"/>
  <c r="P479" i="2"/>
  <c r="Q520" i="2"/>
  <c r="Q270" i="2"/>
  <c r="Q549" i="2"/>
  <c r="Q535" i="2"/>
  <c r="Q498" i="2"/>
  <c r="Q620" i="2"/>
  <c r="P382" i="2"/>
  <c r="P714" i="2"/>
  <c r="P86" i="2"/>
  <c r="P42" i="2"/>
  <c r="Q78" i="2"/>
  <c r="P269" i="2"/>
  <c r="Q552" i="2"/>
  <c r="P577" i="2"/>
  <c r="P737" i="2"/>
  <c r="V737" i="2" s="1"/>
  <c r="P616" i="2"/>
  <c r="P645" i="2"/>
  <c r="V645" i="2" s="1"/>
  <c r="P534" i="2"/>
  <c r="Q341" i="2"/>
  <c r="P370" i="2"/>
  <c r="Q435" i="2"/>
  <c r="Q405" i="2"/>
  <c r="P699" i="2"/>
  <c r="V699" i="2" s="1"/>
  <c r="Q504" i="2"/>
  <c r="Q551" i="2"/>
  <c r="Q162" i="2"/>
  <c r="Q635" i="2"/>
  <c r="Q784" i="2"/>
  <c r="Q234" i="2"/>
  <c r="Q271" i="2"/>
  <c r="P658" i="2"/>
  <c r="V658" i="2" s="1"/>
  <c r="P240" i="2"/>
  <c r="Q166" i="2"/>
  <c r="V166" i="2" s="1"/>
  <c r="P698" i="2"/>
  <c r="P418" i="2"/>
  <c r="Q442" i="2"/>
  <c r="P691" i="2"/>
  <c r="Q293" i="2"/>
  <c r="Q576" i="2"/>
  <c r="P760" i="2"/>
  <c r="Q649" i="2"/>
  <c r="P579" i="2"/>
  <c r="Q232" i="2"/>
  <c r="P164" i="2"/>
  <c r="Q117" i="2"/>
  <c r="Q336" i="2"/>
  <c r="Q205" i="2"/>
  <c r="P403" i="2"/>
  <c r="Q460" i="2"/>
  <c r="Q115" i="2"/>
  <c r="P261" i="2"/>
  <c r="Q660" i="2"/>
  <c r="Q491" i="2"/>
  <c r="P517" i="2"/>
  <c r="P260" i="2"/>
  <c r="P765" i="2"/>
  <c r="Q486" i="2"/>
  <c r="P363" i="2"/>
  <c r="Q298" i="2"/>
  <c r="P594" i="2"/>
  <c r="Q291" i="2"/>
  <c r="P127" i="2"/>
  <c r="V127" i="2" s="1"/>
  <c r="P151" i="2"/>
  <c r="P147" i="2"/>
  <c r="Q228" i="2"/>
  <c r="Q150" i="2"/>
  <c r="P138" i="2"/>
  <c r="P178" i="2"/>
  <c r="P482" i="2"/>
  <c r="Q315" i="2"/>
  <c r="Q708" i="2"/>
  <c r="Q570" i="2"/>
  <c r="Q718" i="2"/>
  <c r="Q783" i="2"/>
  <c r="Q368" i="2"/>
  <c r="Q133" i="2"/>
  <c r="Q588" i="2"/>
  <c r="P686" i="2"/>
  <c r="P490" i="2"/>
  <c r="Q388" i="2"/>
  <c r="P130" i="2"/>
  <c r="Q251" i="2"/>
  <c r="Q476" i="2"/>
  <c r="Q497" i="2"/>
  <c r="P179" i="2"/>
  <c r="Q296" i="2"/>
  <c r="Q179" i="2"/>
  <c r="P297" i="2"/>
  <c r="Q478" i="2"/>
  <c r="Q392" i="2"/>
  <c r="Q778" i="2"/>
  <c r="P327" i="2"/>
  <c r="P390" i="2"/>
  <c r="Q507" i="2"/>
  <c r="P675" i="2"/>
  <c r="T49" i="2"/>
  <c r="R87" i="2"/>
  <c r="S63" i="2"/>
  <c r="T75" i="2"/>
  <c r="R529" i="2"/>
  <c r="S351" i="2"/>
  <c r="S488" i="2"/>
  <c r="S634" i="2"/>
  <c r="T740" i="2"/>
  <c r="R740" i="2"/>
  <c r="R678" i="2"/>
  <c r="R510" i="2"/>
  <c r="R453" i="2"/>
  <c r="P256" i="2"/>
  <c r="P430" i="2"/>
  <c r="T56" i="2"/>
  <c r="T109" i="2"/>
  <c r="R100" i="2"/>
  <c r="S108" i="2"/>
  <c r="T43" i="2"/>
  <c r="R48" i="2"/>
  <c r="R67" i="2"/>
  <c r="T100" i="2"/>
  <c r="T94" i="2"/>
  <c r="T90" i="2"/>
  <c r="R110" i="2"/>
  <c r="S102" i="2"/>
  <c r="T79" i="2"/>
  <c r="R95" i="2"/>
  <c r="S88" i="2"/>
  <c r="R71" i="2"/>
  <c r="S82" i="2"/>
  <c r="S43" i="2"/>
  <c r="S66" i="2"/>
  <c r="R107" i="2"/>
  <c r="S83" i="2"/>
  <c r="R39" i="2"/>
  <c r="R94" i="2"/>
  <c r="R88" i="2"/>
  <c r="R74" i="2"/>
  <c r="S49" i="2"/>
  <c r="S62" i="2"/>
  <c r="T71" i="2"/>
  <c r="T712" i="2"/>
  <c r="S711" i="2"/>
  <c r="T525" i="2"/>
  <c r="R701" i="2"/>
  <c r="T482" i="2"/>
  <c r="R634" i="2"/>
  <c r="R727" i="2"/>
  <c r="T558" i="2"/>
  <c r="T711" i="2"/>
  <c r="S767" i="2"/>
  <c r="S446" i="2"/>
  <c r="R754" i="2"/>
  <c r="S546" i="2"/>
  <c r="S670" i="2"/>
  <c r="S483" i="2"/>
  <c r="S631" i="2"/>
  <c r="T282" i="2"/>
  <c r="R749" i="2"/>
  <c r="T630" i="2"/>
  <c r="T458" i="2"/>
  <c r="T353" i="2"/>
  <c r="T280" i="2"/>
  <c r="T316" i="2"/>
  <c r="R574" i="2"/>
  <c r="T333" i="2"/>
  <c r="T742" i="2"/>
  <c r="R693" i="2"/>
  <c r="R732" i="2"/>
  <c r="R537" i="2"/>
  <c r="R150" i="2"/>
  <c r="R778" i="2"/>
  <c r="S733" i="2"/>
  <c r="S704" i="2"/>
  <c r="T645" i="2"/>
  <c r="R702" i="2"/>
  <c r="T386" i="2"/>
  <c r="S705" i="2"/>
  <c r="S497" i="2"/>
  <c r="R611" i="2"/>
  <c r="S277" i="2"/>
  <c r="S687" i="2"/>
  <c r="R335" i="2"/>
  <c r="R601" i="2"/>
  <c r="R426" i="2"/>
  <c r="T178" i="2"/>
  <c r="R256" i="2"/>
  <c r="R684" i="2"/>
  <c r="R551" i="2"/>
  <c r="S762" i="2"/>
  <c r="T568" i="2"/>
  <c r="R760" i="2"/>
  <c r="T204" i="2"/>
  <c r="T384" i="2"/>
  <c r="R524" i="2"/>
  <c r="T529" i="2"/>
  <c r="R680" i="2"/>
  <c r="T429" i="2"/>
  <c r="S425" i="2"/>
  <c r="S613" i="2"/>
  <c r="R714" i="2"/>
  <c r="T131" i="2"/>
  <c r="T154" i="2"/>
  <c r="T214" i="2"/>
  <c r="S180" i="2"/>
  <c r="T146" i="2"/>
  <c r="R491" i="2"/>
  <c r="T609" i="2"/>
  <c r="S735" i="2"/>
  <c r="R761" i="2"/>
  <c r="R450" i="2"/>
  <c r="P265" i="2"/>
  <c r="Q252" i="2"/>
  <c r="S100" i="2"/>
  <c r="R76" i="2"/>
  <c r="R78" i="2"/>
  <c r="T58" i="2"/>
  <c r="R43" i="2"/>
  <c r="R109" i="2"/>
  <c r="R79" i="2"/>
  <c r="S106" i="2"/>
  <c r="T65" i="2"/>
  <c r="S72" i="2"/>
  <c r="T110" i="2"/>
  <c r="R105" i="2"/>
  <c r="S109" i="2"/>
  <c r="R54" i="2"/>
  <c r="T84" i="2"/>
  <c r="T108" i="2"/>
  <c r="T74" i="2"/>
  <c r="T72" i="2"/>
  <c r="T54" i="2"/>
  <c r="S113" i="2"/>
  <c r="T87" i="2"/>
  <c r="T88" i="2"/>
  <c r="T57" i="2"/>
  <c r="R103" i="2"/>
  <c r="R98" i="2"/>
  <c r="R70" i="2"/>
  <c r="R57" i="2"/>
  <c r="R93" i="2"/>
  <c r="R277" i="2"/>
  <c r="S787" i="2"/>
  <c r="S467" i="2"/>
  <c r="R352" i="2"/>
  <c r="S580" i="2"/>
  <c r="S661" i="2"/>
  <c r="S475" i="2"/>
  <c r="S447" i="2"/>
  <c r="S716" i="2"/>
  <c r="S499" i="2"/>
  <c r="R550" i="2"/>
  <c r="T425" i="2"/>
  <c r="T708" i="2"/>
  <c r="T750" i="2"/>
  <c r="T432" i="2"/>
  <c r="S476" i="2"/>
  <c r="T574" i="2"/>
  <c r="S472" i="2"/>
  <c r="R757" i="2"/>
  <c r="S554" i="2"/>
  <c r="T210" i="2"/>
  <c r="T435" i="2"/>
  <c r="R515" i="2"/>
  <c r="S533" i="2"/>
  <c r="R667" i="2"/>
  <c r="R616" i="2"/>
  <c r="S557" i="2"/>
  <c r="S263" i="2"/>
  <c r="R131" i="2"/>
  <c r="T756" i="2"/>
  <c r="R717" i="2"/>
  <c r="S371" i="2"/>
  <c r="R461" i="2"/>
  <c r="R733" i="2"/>
  <c r="S379" i="2"/>
  <c r="R707" i="2"/>
  <c r="T664" i="2"/>
  <c r="S594" i="2"/>
  <c r="T419" i="2"/>
  <c r="T659" i="2"/>
  <c r="R531" i="2"/>
  <c r="R467" i="2"/>
  <c r="R763" i="2"/>
  <c r="S342" i="2"/>
  <c r="T521" i="2"/>
  <c r="S639" i="2"/>
  <c r="R556" i="2"/>
  <c r="S719" i="2"/>
  <c r="R780" i="2"/>
  <c r="T633" i="2"/>
  <c r="R766" i="2"/>
  <c r="R718" i="2"/>
  <c r="R736" i="2"/>
  <c r="R559" i="2"/>
  <c r="R407" i="2"/>
  <c r="S591" i="2"/>
  <c r="T657" i="2"/>
  <c r="R720" i="2"/>
  <c r="S564" i="2"/>
  <c r="S690" i="2"/>
  <c r="R412" i="2"/>
  <c r="R375" i="2"/>
  <c r="R237" i="2"/>
  <c r="S321" i="2"/>
  <c r="S279" i="2"/>
  <c r="R670" i="2"/>
  <c r="R746" i="2"/>
  <c r="S158" i="2"/>
  <c r="S646" i="2"/>
  <c r="S672" i="2"/>
  <c r="Q448" i="2"/>
  <c r="Q604" i="2"/>
  <c r="P239" i="2"/>
  <c r="Q120" i="2"/>
  <c r="P415" i="2"/>
  <c r="P280" i="2"/>
  <c r="P625" i="2"/>
  <c r="Q154" i="2"/>
  <c r="P526" i="2"/>
  <c r="Q306" i="2"/>
  <c r="P173" i="2"/>
  <c r="V173" i="2" s="1"/>
  <c r="R64" i="2"/>
  <c r="R77" i="2"/>
  <c r="S103" i="2"/>
  <c r="R106" i="2"/>
  <c r="T64" i="2"/>
  <c r="S69" i="2"/>
  <c r="R46" i="2"/>
  <c r="T68" i="2"/>
  <c r="S48" i="2"/>
  <c r="T89" i="2"/>
  <c r="S58" i="2"/>
  <c r="S99" i="2"/>
  <c r="T42" i="2"/>
  <c r="T39" i="2"/>
  <c r="R81" i="2"/>
  <c r="T52" i="2"/>
  <c r="S90" i="2"/>
  <c r="R111" i="2"/>
  <c r="T82" i="2"/>
  <c r="S73" i="2"/>
  <c r="R82" i="2"/>
  <c r="S81" i="2"/>
  <c r="T62" i="2"/>
  <c r="T46" i="2"/>
  <c r="R68" i="2"/>
  <c r="T80" i="2"/>
  <c r="S71" i="2"/>
  <c r="T91" i="2"/>
  <c r="S68" i="2"/>
  <c r="R769" i="2"/>
  <c r="S426" i="2"/>
  <c r="T683" i="2"/>
  <c r="T588" i="2"/>
  <c r="R595" i="2"/>
  <c r="T514" i="2"/>
  <c r="R738" i="2"/>
  <c r="R741" i="2"/>
  <c r="T364" i="2"/>
  <c r="S493" i="2"/>
  <c r="S750" i="2"/>
  <c r="S786" i="2"/>
  <c r="R435" i="2"/>
  <c r="S437" i="2"/>
  <c r="R137" i="2"/>
  <c r="T176" i="2"/>
  <c r="T497" i="2"/>
  <c r="R368" i="2"/>
  <c r="S422" i="2"/>
  <c r="S141" i="2"/>
  <c r="R143" i="2"/>
  <c r="S616" i="2"/>
  <c r="R596" i="2"/>
  <c r="T324" i="2"/>
  <c r="R254" i="2"/>
  <c r="T766" i="2"/>
  <c r="T686" i="2"/>
  <c r="T628" i="2"/>
  <c r="T787" i="2"/>
  <c r="T513" i="2"/>
  <c r="S708" i="2"/>
  <c r="S556" i="2"/>
  <c r="S127" i="2"/>
  <c r="R639" i="2"/>
  <c r="R459" i="2"/>
  <c r="R268" i="2"/>
  <c r="T284" i="2"/>
  <c r="R241" i="2"/>
  <c r="S220" i="2"/>
  <c r="S663" i="2"/>
  <c r="S730" i="2"/>
  <c r="T699" i="2"/>
  <c r="R647" i="2"/>
  <c r="S698" i="2"/>
  <c r="S619" i="2"/>
  <c r="R351" i="2"/>
  <c r="R620" i="2"/>
  <c r="S607" i="2"/>
  <c r="T739" i="2"/>
  <c r="T788" i="2"/>
  <c r="S440" i="2"/>
  <c r="S571" i="2"/>
  <c r="R260" i="2"/>
  <c r="R498" i="2"/>
  <c r="R521" i="2"/>
  <c r="T589" i="2"/>
  <c r="T703" i="2"/>
  <c r="T684" i="2"/>
  <c r="T523" i="2"/>
  <c r="T579" i="2"/>
  <c r="R762" i="2"/>
  <c r="R401" i="2"/>
  <c r="S724" i="2"/>
  <c r="T610" i="2"/>
  <c r="R329" i="2"/>
  <c r="T177" i="2"/>
  <c r="T438" i="2"/>
  <c r="S419" i="2"/>
  <c r="T511" i="2"/>
  <c r="S228" i="2"/>
  <c r="Q669" i="2"/>
  <c r="P437" i="2"/>
  <c r="Q214" i="2"/>
  <c r="Q262" i="2"/>
  <c r="Q259" i="2"/>
  <c r="V259" i="2" s="1"/>
  <c r="Q501" i="2"/>
  <c r="Q673" i="2"/>
  <c r="Q615" i="2"/>
  <c r="P711" i="2"/>
  <c r="Q165" i="2"/>
  <c r="P323" i="2"/>
  <c r="P262" i="2"/>
  <c r="P712" i="2"/>
  <c r="Q624" i="2"/>
  <c r="P501" i="2"/>
  <c r="Q278" i="2"/>
  <c r="Q134" i="2"/>
  <c r="P133" i="2"/>
  <c r="Q114" i="2"/>
  <c r="P286" i="2"/>
  <c r="Q742" i="2"/>
  <c r="Q568" i="2"/>
  <c r="P205" i="2"/>
  <c r="P180" i="2"/>
  <c r="Q146" i="2"/>
  <c r="Q168" i="2"/>
  <c r="Q456" i="2"/>
  <c r="P201" i="2"/>
  <c r="V201" i="2" s="1"/>
  <c r="P407" i="2"/>
  <c r="V407" i="2" s="1"/>
  <c r="T102" i="2"/>
  <c r="R101" i="2"/>
  <c r="T67" i="2"/>
  <c r="T103" i="2"/>
  <c r="T93" i="2"/>
  <c r="S47" i="2"/>
  <c r="T104" i="2"/>
  <c r="R113" i="2"/>
  <c r="R102" i="2"/>
  <c r="S96" i="2"/>
  <c r="T81" i="2"/>
  <c r="R42" i="2"/>
  <c r="T61" i="2"/>
  <c r="S85" i="2"/>
  <c r="R112" i="2"/>
  <c r="S78" i="2"/>
  <c r="T60" i="2"/>
  <c r="S44" i="2"/>
  <c r="S75" i="2"/>
  <c r="T76" i="2"/>
  <c r="S51" i="2"/>
  <c r="S57" i="2"/>
  <c r="R75" i="2"/>
  <c r="S101" i="2"/>
  <c r="T113" i="2"/>
  <c r="S74" i="2"/>
  <c r="R89" i="2"/>
  <c r="R45" i="2"/>
  <c r="T328" i="2"/>
  <c r="T596" i="2"/>
  <c r="S588" i="2"/>
  <c r="T723" i="2"/>
  <c r="S509" i="2"/>
  <c r="R660" i="2"/>
  <c r="T572" i="2"/>
  <c r="S653" i="2"/>
  <c r="T727" i="2"/>
  <c r="T400" i="2"/>
  <c r="S566" i="2"/>
  <c r="S722" i="2"/>
  <c r="T673" i="2"/>
  <c r="T780" i="2"/>
  <c r="T519" i="2"/>
  <c r="T607" i="2"/>
  <c r="T602" i="2"/>
  <c r="S445" i="2"/>
  <c r="R429" i="2"/>
  <c r="S569" i="2"/>
  <c r="S625" i="2"/>
  <c r="T741" i="2"/>
  <c r="T731" i="2"/>
  <c r="T658" i="2"/>
  <c r="S578" i="2"/>
  <c r="S269" i="2"/>
  <c r="R519" i="2"/>
  <c r="R476" i="2"/>
  <c r="S522" i="2"/>
  <c r="T648" i="2"/>
  <c r="R579" i="2"/>
  <c r="R385" i="2"/>
  <c r="R446" i="2"/>
  <c r="T540" i="2"/>
  <c r="T455" i="2"/>
  <c r="T264" i="2"/>
  <c r="T198" i="2"/>
  <c r="S514" i="2"/>
  <c r="T311" i="2"/>
  <c r="T769" i="2"/>
  <c r="S524" i="2"/>
  <c r="S674" i="2"/>
  <c r="S543" i="2"/>
  <c r="T642" i="2"/>
  <c r="T526" i="2"/>
  <c r="R281" i="2"/>
  <c r="S755" i="2"/>
  <c r="S721" i="2"/>
  <c r="S656" i="2"/>
  <c r="R689" i="2"/>
  <c r="T674" i="2"/>
  <c r="S503" i="2"/>
  <c r="S766" i="2"/>
  <c r="S770" i="2"/>
  <c r="R272" i="2"/>
  <c r="R514" i="2"/>
  <c r="S520" i="2"/>
  <c r="S602" i="2"/>
  <c r="R779" i="2"/>
  <c r="R570" i="2"/>
  <c r="S586" i="2"/>
  <c r="T564" i="2"/>
  <c r="R555" i="2"/>
  <c r="S662" i="2"/>
  <c r="T553" i="2"/>
  <c r="S529" i="2"/>
  <c r="S326" i="2"/>
  <c r="T620" i="2"/>
  <c r="R549" i="2"/>
  <c r="R411" i="2"/>
  <c r="R532" i="2"/>
  <c r="R47" i="2"/>
  <c r="S67" i="2"/>
  <c r="S91" i="2"/>
  <c r="S50" i="2"/>
  <c r="R92" i="2"/>
  <c r="S92" i="2"/>
  <c r="S42" i="2"/>
  <c r="R97" i="2"/>
  <c r="R86" i="2"/>
  <c r="S39" i="2"/>
  <c r="S61" i="2"/>
  <c r="S52" i="2"/>
  <c r="R59" i="2"/>
  <c r="T107" i="2"/>
  <c r="S65" i="2"/>
  <c r="R44" i="2"/>
  <c r="T40" i="2"/>
  <c r="R96" i="2"/>
  <c r="R60" i="2"/>
  <c r="R84" i="2"/>
  <c r="T63" i="2"/>
  <c r="R83" i="2"/>
  <c r="T97" i="2"/>
  <c r="S94" i="2"/>
  <c r="S87" i="2"/>
  <c r="S77" i="2"/>
  <c r="S107" i="2"/>
  <c r="R533" i="2"/>
  <c r="R472" i="2"/>
  <c r="R777" i="2"/>
  <c r="T533" i="2"/>
  <c r="R786" i="2"/>
  <c r="S428" i="2"/>
  <c r="T680" i="2"/>
  <c r="S623" i="2"/>
  <c r="T489" i="2"/>
  <c r="R712" i="2"/>
  <c r="T785" i="2"/>
  <c r="T339" i="2"/>
  <c r="R624" i="2"/>
  <c r="S285" i="2"/>
  <c r="S678" i="2"/>
  <c r="R744" i="2"/>
  <c r="S356" i="2"/>
  <c r="R305" i="2"/>
  <c r="R353" i="2"/>
  <c r="R674" i="2"/>
  <c r="R195" i="2"/>
  <c r="R679" i="2"/>
  <c r="R466" i="2"/>
  <c r="T646" i="2"/>
  <c r="R726" i="2"/>
  <c r="R506" i="2"/>
  <c r="T713" i="2"/>
  <c r="R492" i="2"/>
  <c r="R716" i="2"/>
  <c r="R632" i="2"/>
  <c r="S669" i="2"/>
  <c r="S448" i="2"/>
  <c r="S773" i="2"/>
  <c r="R303" i="2"/>
  <c r="R439" i="2"/>
  <c r="R661" i="2"/>
  <c r="R517" i="2"/>
  <c r="T547" i="2"/>
  <c r="S703" i="2"/>
  <c r="S660" i="2"/>
  <c r="R598" i="2"/>
  <c r="T697" i="2"/>
  <c r="R788" i="2"/>
  <c r="S776" i="2"/>
  <c r="R557" i="2"/>
  <c r="T145" i="2"/>
  <c r="T640" i="2"/>
  <c r="T569" i="2"/>
  <c r="S717" i="2"/>
  <c r="S732" i="2"/>
  <c r="S204" i="2"/>
  <c r="T734" i="2"/>
  <c r="S478" i="2"/>
  <c r="S381" i="2"/>
  <c r="T498" i="2"/>
  <c r="R527" i="2"/>
  <c r="T118" i="2"/>
  <c r="S334" i="2"/>
  <c r="T350" i="2"/>
  <c r="R363" i="2"/>
  <c r="T537" i="2"/>
  <c r="T560" i="2"/>
  <c r="T342" i="2"/>
  <c r="R409" i="2"/>
  <c r="S577" i="2"/>
  <c r="T751" i="2"/>
  <c r="R643" i="2"/>
  <c r="T719" i="2"/>
  <c r="R593" i="2"/>
  <c r="R509" i="2"/>
  <c r="R581" i="2"/>
  <c r="P582" i="2"/>
  <c r="P460" i="2"/>
  <c r="P258" i="2"/>
  <c r="V258" i="2" s="1"/>
  <c r="P176" i="2"/>
  <c r="P704" i="2"/>
  <c r="V704" i="2" s="1"/>
  <c r="P333" i="2"/>
  <c r="Q695" i="2"/>
  <c r="P668" i="2"/>
  <c r="Q297" i="2"/>
  <c r="Q181" i="2"/>
  <c r="Q653" i="2"/>
  <c r="Q769" i="2"/>
  <c r="P324" i="2"/>
  <c r="V324" i="2" s="1"/>
  <c r="Q446" i="2"/>
  <c r="P505" i="2"/>
  <c r="P234" i="2"/>
  <c r="Q350" i="2"/>
  <c r="Q744" i="2"/>
  <c r="Q378" i="2"/>
  <c r="Q483" i="2"/>
  <c r="P302" i="2"/>
  <c r="V302" i="2" s="1"/>
  <c r="P464" i="2"/>
  <c r="Q380" i="2"/>
  <c r="P192" i="2"/>
  <c r="P243" i="2"/>
  <c r="Q372" i="2"/>
  <c r="P248" i="2"/>
  <c r="Q465" i="2"/>
  <c r="T44" i="2"/>
  <c r="T99" i="2"/>
  <c r="T98" i="2"/>
  <c r="T106" i="2"/>
  <c r="T66" i="2"/>
  <c r="R90" i="2"/>
  <c r="T59" i="2"/>
  <c r="S89" i="2"/>
  <c r="T73" i="2"/>
  <c r="S55" i="2"/>
  <c r="R40" i="2"/>
  <c r="R62" i="2"/>
  <c r="S110" i="2"/>
  <c r="S45" i="2"/>
  <c r="R99" i="2"/>
  <c r="T41" i="2"/>
  <c r="S86" i="2"/>
  <c r="T112" i="2"/>
  <c r="T105" i="2"/>
  <c r="S76" i="2"/>
  <c r="T55" i="2"/>
  <c r="R55" i="2"/>
  <c r="T86" i="2"/>
  <c r="S93" i="2"/>
  <c r="S59" i="2"/>
  <c r="S46" i="2"/>
  <c r="S97" i="2"/>
  <c r="T83" i="2"/>
  <c r="S652" i="2"/>
  <c r="R154" i="2"/>
  <c r="R721" i="2"/>
  <c r="S673" i="2"/>
  <c r="R773" i="2"/>
  <c r="R460" i="2"/>
  <c r="T614" i="2"/>
  <c r="R725" i="2"/>
  <c r="R687" i="2"/>
  <c r="S358" i="2"/>
  <c r="R591" i="2"/>
  <c r="R696" i="2"/>
  <c r="T534" i="2"/>
  <c r="R233" i="2"/>
  <c r="R638" i="2"/>
  <c r="T768" i="2"/>
  <c r="S683" i="2"/>
  <c r="R525" i="2"/>
  <c r="T550" i="2"/>
  <c r="T502" i="2"/>
  <c r="R564" i="2"/>
  <c r="S519" i="2"/>
  <c r="T764" i="2"/>
  <c r="S484" i="2"/>
  <c r="S439" i="2"/>
  <c r="T709" i="2"/>
  <c r="R186" i="2"/>
  <c r="S731" i="2"/>
  <c r="T422" i="2"/>
  <c r="T296" i="2"/>
  <c r="R458" i="2"/>
  <c r="S739" i="2"/>
  <c r="T784" i="2"/>
  <c r="R776" i="2"/>
  <c r="S665" i="2"/>
  <c r="S453" i="2"/>
  <c r="T548" i="2"/>
  <c r="T582" i="2"/>
  <c r="R700" i="2"/>
  <c r="T591" i="2"/>
  <c r="R437" i="2"/>
  <c r="S473" i="2"/>
  <c r="R463" i="2"/>
  <c r="R666" i="2"/>
  <c r="S157" i="2"/>
  <c r="T278" i="2"/>
  <c r="S747" i="2"/>
  <c r="R784" i="2"/>
  <c r="S763" i="2"/>
  <c r="S737" i="2"/>
  <c r="R340" i="2"/>
  <c r="S655" i="2"/>
  <c r="S541" i="2"/>
  <c r="R563" i="2"/>
  <c r="R141" i="2"/>
  <c r="R261" i="2"/>
  <c r="S311" i="2"/>
  <c r="T624" i="2"/>
  <c r="R642" i="2"/>
  <c r="S501" i="2"/>
  <c r="T608" i="2"/>
  <c r="R665" i="2"/>
  <c r="S203" i="2"/>
  <c r="T257" i="2"/>
  <c r="S343" i="2"/>
  <c r="S751" i="2"/>
  <c r="R499" i="2"/>
  <c r="R613" i="2"/>
  <c r="S313" i="2"/>
  <c r="S289" i="2"/>
  <c r="T265" i="2"/>
  <c r="Q733" i="2"/>
  <c r="Q131" i="2"/>
  <c r="P175" i="2"/>
  <c r="P469" i="2"/>
  <c r="R50" i="2"/>
  <c r="T70" i="2"/>
  <c r="S80" i="2"/>
  <c r="S56" i="2"/>
  <c r="T50" i="2"/>
  <c r="R41" i="2"/>
  <c r="R73" i="2"/>
  <c r="R72" i="2"/>
  <c r="T111" i="2"/>
  <c r="S40" i="2"/>
  <c r="T95" i="2"/>
  <c r="R52" i="2"/>
  <c r="T47" i="2"/>
  <c r="T92" i="2"/>
  <c r="R85" i="2"/>
  <c r="S41" i="2"/>
  <c r="S53" i="2"/>
  <c r="R69" i="2"/>
  <c r="S104" i="2"/>
  <c r="S112" i="2"/>
  <c r="T85" i="2"/>
  <c r="S105" i="2"/>
  <c r="S111" i="2"/>
  <c r="T101" i="2"/>
  <c r="T78" i="2"/>
  <c r="T45" i="2"/>
  <c r="R66" i="2"/>
  <c r="R91" i="2"/>
  <c r="R752" i="2"/>
  <c r="T629" i="2"/>
  <c r="S782" i="2"/>
  <c r="R542" i="2"/>
  <c r="S517" i="2"/>
  <c r="T722" i="2"/>
  <c r="R586" i="2"/>
  <c r="R622" i="2"/>
  <c r="R770" i="2"/>
  <c r="S759" i="2"/>
  <c r="S779" i="2"/>
  <c r="R713" i="2"/>
  <c r="S774" i="2"/>
  <c r="R402" i="2"/>
  <c r="S736" i="2"/>
  <c r="R612" i="2"/>
  <c r="R614" i="2"/>
  <c r="R621" i="2"/>
  <c r="R496" i="2"/>
  <c r="T239" i="2"/>
  <c r="R179" i="2"/>
  <c r="R675" i="2"/>
  <c r="T441" i="2"/>
  <c r="R338" i="2"/>
  <c r="T524" i="2"/>
  <c r="R140" i="2"/>
  <c r="R623" i="2"/>
  <c r="S726" i="2"/>
  <c r="S606" i="2"/>
  <c r="S598" i="2"/>
  <c r="S562" i="2"/>
  <c r="T483" i="2"/>
  <c r="S525" i="2"/>
  <c r="S373" i="2"/>
  <c r="R668" i="2"/>
  <c r="R465" i="2"/>
  <c r="T551" i="2"/>
  <c r="R628" i="2"/>
  <c r="S535" i="2"/>
  <c r="R567" i="2"/>
  <c r="S496" i="2"/>
  <c r="T593" i="2"/>
  <c r="T744" i="2"/>
  <c r="T271" i="2"/>
  <c r="S298" i="2"/>
  <c r="T248" i="2"/>
  <c r="T527" i="2"/>
  <c r="S647" i="2"/>
  <c r="S695" i="2"/>
  <c r="R244" i="2"/>
  <c r="S449" i="2"/>
  <c r="R448" i="2"/>
  <c r="T612" i="2"/>
  <c r="R682" i="2"/>
  <c r="T748" i="2"/>
  <c r="T758" i="2"/>
  <c r="T752" i="2"/>
  <c r="T496" i="2"/>
  <c r="T650" i="2"/>
  <c r="T446" i="2"/>
  <c r="S738" i="2"/>
  <c r="R145" i="2"/>
  <c r="R751" i="2"/>
  <c r="T611" i="2"/>
  <c r="T259" i="2"/>
  <c r="R250" i="2"/>
  <c r="T164" i="2"/>
  <c r="T462" i="2"/>
  <c r="T776" i="2"/>
  <c r="T559" i="2"/>
  <c r="T626" i="2"/>
  <c r="S648" i="2"/>
  <c r="T442" i="2"/>
  <c r="R756" i="2"/>
  <c r="R321" i="2"/>
  <c r="T308" i="2"/>
  <c r="T587" i="2"/>
  <c r="R252" i="2"/>
  <c r="R228" i="2"/>
  <c r="T256" i="2"/>
  <c r="R673" i="2"/>
  <c r="S249" i="2"/>
  <c r="T567" i="2"/>
  <c r="R730" i="2"/>
  <c r="S272" i="2"/>
  <c r="T174" i="2"/>
  <c r="S723" i="2"/>
  <c r="T309" i="2"/>
  <c r="R520" i="2"/>
  <c r="S444" i="2"/>
  <c r="S450" i="2"/>
  <c r="S622" i="2"/>
  <c r="S247" i="2"/>
  <c r="T195" i="2"/>
  <c r="T492" i="2"/>
  <c r="S413" i="2"/>
  <c r="T393" i="2"/>
  <c r="R477" i="2"/>
  <c r="R546" i="2"/>
  <c r="S368" i="2"/>
  <c r="R234" i="2"/>
  <c r="S196" i="2"/>
  <c r="R652" i="2"/>
  <c r="T193" i="2"/>
  <c r="T604" i="2"/>
  <c r="R602" i="2"/>
  <c r="S618" i="2"/>
  <c r="S490" i="2"/>
  <c r="R174" i="2"/>
  <c r="T728" i="2"/>
  <c r="S567" i="2"/>
  <c r="S694" i="2"/>
  <c r="R739" i="2"/>
  <c r="S608" i="2"/>
  <c r="R710" i="2"/>
  <c r="R307" i="2"/>
  <c r="R694" i="2"/>
  <c r="T475" i="2"/>
  <c r="S510" i="2"/>
  <c r="S315" i="2"/>
  <c r="T173" i="2"/>
  <c r="R723" i="2"/>
  <c r="S769" i="2"/>
  <c r="S768" i="2"/>
  <c r="R176" i="2"/>
  <c r="T651" i="2"/>
  <c r="S237" i="2"/>
  <c r="R539" i="2"/>
  <c r="R430" i="2"/>
  <c r="T518" i="2"/>
  <c r="R287" i="2"/>
  <c r="T250" i="2"/>
  <c r="R588" i="2"/>
  <c r="R589" i="2"/>
  <c r="T767" i="2"/>
  <c r="R187" i="2"/>
  <c r="S552" i="2"/>
  <c r="S144" i="2"/>
  <c r="S781" i="2"/>
  <c r="T575" i="2"/>
  <c r="S745" i="2"/>
  <c r="S318" i="2"/>
  <c r="S536" i="2"/>
  <c r="S390" i="2"/>
  <c r="T781" i="2"/>
  <c r="S240" i="2"/>
  <c r="R129" i="2"/>
  <c r="T298" i="2"/>
  <c r="R683" i="2"/>
  <c r="T360" i="2"/>
  <c r="T729" i="2"/>
  <c r="R731" i="2"/>
  <c r="T672" i="2"/>
  <c r="S415" i="2"/>
  <c r="S459" i="2"/>
  <c r="R434" i="2"/>
  <c r="S442" i="2"/>
  <c r="S316" i="2"/>
  <c r="T247" i="2"/>
  <c r="R685" i="2"/>
  <c r="T700" i="2"/>
  <c r="T206" i="2"/>
  <c r="R686" i="2"/>
  <c r="R493" i="2"/>
  <c r="T520" i="2"/>
  <c r="R753" i="2"/>
  <c r="R554" i="2"/>
  <c r="T735" i="2"/>
  <c r="T724" i="2"/>
  <c r="T431" i="2"/>
  <c r="T618" i="2"/>
  <c r="T635" i="2"/>
  <c r="R258" i="2"/>
  <c r="S749" i="2"/>
  <c r="T319" i="2"/>
  <c r="T479" i="2"/>
  <c r="S505" i="2"/>
  <c r="S212" i="2"/>
  <c r="R371" i="2"/>
  <c r="S788" i="2"/>
  <c r="R275" i="2"/>
  <c r="R722" i="2"/>
  <c r="S504" i="2"/>
  <c r="R133" i="2"/>
  <c r="R526" i="2"/>
  <c r="S308" i="2"/>
  <c r="T335" i="2"/>
  <c r="R245" i="2"/>
  <c r="T543" i="2"/>
  <c r="R257" i="2"/>
  <c r="T119" i="2"/>
  <c r="R543" i="2"/>
  <c r="S349" i="2"/>
  <c r="T541" i="2"/>
  <c r="S481" i="2"/>
  <c r="S219" i="2"/>
  <c r="R189" i="2"/>
  <c r="S640" i="2"/>
  <c r="T452" i="2"/>
  <c r="R451" i="2"/>
  <c r="R625" i="2"/>
  <c r="R399" i="2"/>
  <c r="S374" i="2"/>
  <c r="T334" i="2"/>
  <c r="R157" i="2"/>
  <c r="S377" i="2"/>
  <c r="T348" i="2"/>
  <c r="R136" i="2"/>
  <c r="R662" i="2"/>
  <c r="R289" i="2"/>
  <c r="S301" i="2"/>
  <c r="R590" i="2"/>
  <c r="S441" i="2"/>
  <c r="S146" i="2"/>
  <c r="R444" i="2"/>
  <c r="T433" i="2"/>
  <c r="R547" i="2"/>
  <c r="T307" i="2"/>
  <c r="R535" i="2"/>
  <c r="S187" i="2"/>
  <c r="T504" i="2"/>
  <c r="T416" i="2"/>
  <c r="T389" i="2"/>
  <c r="R569" i="2"/>
  <c r="S686" i="2"/>
  <c r="T494" i="2"/>
  <c r="S463" i="2"/>
  <c r="R743" i="2"/>
  <c r="R640" i="2"/>
  <c r="R649" i="2"/>
  <c r="T453" i="2"/>
  <c r="T182" i="2"/>
  <c r="R583" i="2"/>
  <c r="T302" i="2"/>
  <c r="T283" i="2"/>
  <c r="R132" i="2"/>
  <c r="S487" i="2"/>
  <c r="T448" i="2"/>
  <c r="R486" i="2"/>
  <c r="T706" i="2"/>
  <c r="T565" i="2"/>
  <c r="S614" i="2"/>
  <c r="T208" i="2"/>
  <c r="T304" i="2"/>
  <c r="T201" i="2"/>
  <c r="T636" i="2"/>
  <c r="S118" i="2"/>
  <c r="R283" i="2"/>
  <c r="S408" i="2"/>
  <c r="T736" i="2"/>
  <c r="T503" i="2"/>
  <c r="S771" i="2"/>
  <c r="T689" i="2"/>
  <c r="S587" i="2"/>
  <c r="R388" i="2"/>
  <c r="S617" i="2"/>
  <c r="S693" i="2"/>
  <c r="T394" i="2"/>
  <c r="S544" i="2"/>
  <c r="T351" i="2"/>
  <c r="R350" i="2"/>
  <c r="S388" i="2"/>
  <c r="S208" i="2"/>
  <c r="T412" i="2"/>
  <c r="T705" i="2"/>
  <c r="S603" i="2"/>
  <c r="S579" i="2"/>
  <c r="T437" i="2"/>
  <c r="R236" i="2"/>
  <c r="S194" i="2"/>
  <c r="T274" i="2"/>
  <c r="T755" i="2"/>
  <c r="T203" i="2"/>
  <c r="R218" i="2"/>
  <c r="R207" i="2"/>
  <c r="T372" i="2"/>
  <c r="S609" i="2"/>
  <c r="S359" i="2"/>
  <c r="T457" i="2"/>
  <c r="T493" i="2"/>
  <c r="T470" i="2"/>
  <c r="R251" i="2"/>
  <c r="R410" i="2"/>
  <c r="S332" i="2"/>
  <c r="T702" i="2"/>
  <c r="R138" i="2"/>
  <c r="S633" i="2"/>
  <c r="T136" i="2"/>
  <c r="T137" i="2"/>
  <c r="R248" i="2"/>
  <c r="S209" i="2"/>
  <c r="R393" i="2"/>
  <c r="S456" i="2"/>
  <c r="R235" i="2"/>
  <c r="S406" i="2"/>
  <c r="R600" i="2"/>
  <c r="R650" i="2"/>
  <c r="S689" i="2"/>
  <c r="S585" i="2"/>
  <c r="S671" i="2"/>
  <c r="R229" i="2"/>
  <c r="S565" i="2"/>
  <c r="S611" i="2"/>
  <c r="R568" i="2"/>
  <c r="R724" i="2"/>
  <c r="R785" i="2"/>
  <c r="T757" i="2"/>
  <c r="S734" i="2"/>
  <c r="R630" i="2"/>
  <c r="S605" i="2"/>
  <c r="R328" i="2"/>
  <c r="R464" i="2"/>
  <c r="S575" i="2"/>
  <c r="S729" i="2"/>
  <c r="S117" i="2"/>
  <c r="R312" i="2"/>
  <c r="T771" i="2"/>
  <c r="R617" i="2"/>
  <c r="S216" i="2"/>
  <c r="R220" i="2"/>
  <c r="S387" i="2"/>
  <c r="S780" i="2"/>
  <c r="S681" i="2"/>
  <c r="R332" i="2"/>
  <c r="S494" i="2"/>
  <c r="T621" i="2"/>
  <c r="T652" i="2"/>
  <c r="R356" i="2"/>
  <c r="T378" i="2"/>
  <c r="S455" i="2"/>
  <c r="S350" i="2"/>
  <c r="R406" i="2"/>
  <c r="T584" i="2"/>
  <c r="T294" i="2"/>
  <c r="S236" i="2"/>
  <c r="S420" i="2"/>
  <c r="R155" i="2"/>
  <c r="T295" i="2"/>
  <c r="S539" i="2"/>
  <c r="T254" i="2"/>
  <c r="T695" i="2"/>
  <c r="T707" i="2"/>
  <c r="S593" i="2"/>
  <c r="T495" i="2"/>
  <c r="R501" i="2"/>
  <c r="S584" i="2"/>
  <c r="S190" i="2"/>
  <c r="S621" i="2"/>
  <c r="R366" i="2"/>
  <c r="T456" i="2"/>
  <c r="S654" i="2"/>
  <c r="R599" i="2"/>
  <c r="S651" i="2"/>
  <c r="R676" i="2"/>
  <c r="T293" i="2"/>
  <c r="S610" i="2"/>
  <c r="T405" i="2"/>
  <c r="T639" i="2"/>
  <c r="S720" i="2"/>
  <c r="R221" i="2"/>
  <c r="T561" i="2"/>
  <c r="R291" i="2"/>
  <c r="S217" i="2"/>
  <c r="S637" i="2"/>
  <c r="T474" i="2"/>
  <c r="S363" i="2"/>
  <c r="T338" i="2"/>
  <c r="S760" i="2"/>
  <c r="S632" i="2"/>
  <c r="S242" i="2"/>
  <c r="S317" i="2"/>
  <c r="T649" i="2"/>
  <c r="T583" i="2"/>
  <c r="R156" i="2"/>
  <c r="S688" i="2"/>
  <c r="T179" i="2"/>
  <c r="T213" i="2"/>
  <c r="T392" i="2"/>
  <c r="S183" i="2"/>
  <c r="T266" i="2"/>
  <c r="T704" i="2"/>
  <c r="R648" i="2"/>
  <c r="S452" i="2"/>
  <c r="R217" i="2"/>
  <c r="R774" i="2"/>
  <c r="S409" i="2"/>
  <c r="T396" i="2"/>
  <c r="T421" i="2"/>
  <c r="R419" i="2"/>
  <c r="T694" i="2"/>
  <c r="R603" i="2"/>
  <c r="T341" i="2"/>
  <c r="T473" i="2"/>
  <c r="T187" i="2"/>
  <c r="S601" i="2"/>
  <c r="S392" i="2"/>
  <c r="R502" i="2"/>
  <c r="T263" i="2"/>
  <c r="R471" i="2"/>
  <c r="T391" i="2"/>
  <c r="S659" i="2"/>
  <c r="T216" i="2"/>
  <c r="S754" i="2"/>
  <c r="S531" i="2"/>
  <c r="R273" i="2"/>
  <c r="R276" i="2"/>
  <c r="R115" i="2"/>
  <c r="S706" i="2"/>
  <c r="T170" i="2"/>
  <c r="S347" i="2"/>
  <c r="R513" i="2"/>
  <c r="T443" i="2"/>
  <c r="R470" i="2"/>
  <c r="S783" i="2"/>
  <c r="S725" i="2"/>
  <c r="S641" i="2"/>
  <c r="S513" i="2"/>
  <c r="T373" i="2"/>
  <c r="T468" i="2"/>
  <c r="R577" i="2"/>
  <c r="R490" i="2"/>
  <c r="R703" i="2"/>
  <c r="T774" i="2"/>
  <c r="S341" i="2"/>
  <c r="R503" i="2"/>
  <c r="S628" i="2"/>
  <c r="T323" i="2"/>
  <c r="S757" i="2"/>
  <c r="T783" i="2"/>
  <c r="S636" i="2"/>
  <c r="R449" i="2"/>
  <c r="R497" i="2"/>
  <c r="R121" i="2"/>
  <c r="S600" i="2"/>
  <c r="S486" i="2"/>
  <c r="R330" i="2"/>
  <c r="S576" i="2"/>
  <c r="T376" i="2"/>
  <c r="R318" i="2"/>
  <c r="T312" i="2"/>
  <c r="S222" i="2"/>
  <c r="S331" i="2"/>
  <c r="R198" i="2"/>
  <c r="T655" i="2"/>
  <c r="R383" i="2"/>
  <c r="S620" i="2"/>
  <c r="R512" i="2"/>
  <c r="S589" i="2"/>
  <c r="R561" i="2"/>
  <c r="S232" i="2"/>
  <c r="R178" i="2"/>
  <c r="T286" i="2"/>
  <c r="R587" i="2"/>
  <c r="S713" i="2"/>
  <c r="T690" i="2"/>
  <c r="S548" i="2"/>
  <c r="S700" i="2"/>
  <c r="T749" i="2"/>
  <c r="R582" i="2"/>
  <c r="R483" i="2"/>
  <c r="T124" i="2"/>
  <c r="R576" i="2"/>
  <c r="S756" i="2"/>
  <c r="S218" i="2"/>
  <c r="S293" i="2"/>
  <c r="R594" i="2"/>
  <c r="S281" i="2"/>
  <c r="S199" i="2"/>
  <c r="T417" i="2"/>
  <c r="T207" i="2"/>
  <c r="T144" i="2"/>
  <c r="S699" i="2"/>
  <c r="T471" i="2"/>
  <c r="S583" i="2"/>
  <c r="T407" i="2"/>
  <c r="R565" i="2"/>
  <c r="R782" i="2"/>
  <c r="T613" i="2"/>
  <c r="S357" i="2"/>
  <c r="S677" i="2"/>
  <c r="R255" i="2"/>
  <c r="R387" i="2"/>
  <c r="T619" i="2"/>
  <c r="R728" i="2"/>
  <c r="R282" i="2"/>
  <c r="R641" i="2"/>
  <c r="S159" i="2"/>
  <c r="S638" i="2"/>
  <c r="S330" i="2"/>
  <c r="S411" i="2"/>
  <c r="S573" i="2"/>
  <c r="R552" i="2"/>
  <c r="S385" i="2"/>
  <c r="T415" i="2"/>
  <c r="T258" i="2"/>
  <c r="T449" i="2"/>
  <c r="R436" i="2"/>
  <c r="T472" i="2"/>
  <c r="S526" i="2"/>
  <c r="S399" i="2"/>
  <c r="S764" i="2"/>
  <c r="S431" i="2"/>
  <c r="T786" i="2"/>
  <c r="S400" i="2"/>
  <c r="R715" i="2"/>
  <c r="R203" i="2"/>
  <c r="T509" i="2"/>
  <c r="R274" i="2"/>
  <c r="S527" i="2"/>
  <c r="R197" i="2"/>
  <c r="S629" i="2"/>
  <c r="S322" i="2"/>
  <c r="T508" i="2"/>
  <c r="T571" i="2"/>
  <c r="R403" i="2"/>
  <c r="R447" i="2"/>
  <c r="T345" i="2"/>
  <c r="R362" i="2"/>
  <c r="S435" i="2"/>
  <c r="T554" i="2"/>
  <c r="T670" i="2"/>
  <c r="S667" i="2"/>
  <c r="T517" i="2"/>
  <c r="T218" i="2"/>
  <c r="R326" i="2"/>
  <c r="T777" i="2"/>
  <c r="T228" i="2"/>
  <c r="R633" i="2"/>
  <c r="T434" i="2"/>
  <c r="S427" i="2"/>
  <c r="T637" i="2"/>
  <c r="S239" i="2"/>
  <c r="R364" i="2"/>
  <c r="T246" i="2"/>
  <c r="T484" i="2"/>
  <c r="T159" i="2"/>
  <c r="T292" i="2"/>
  <c r="S175" i="2"/>
  <c r="R341" i="2"/>
  <c r="T563" i="2"/>
  <c r="T132" i="2"/>
  <c r="R169" i="2"/>
  <c r="S394" i="2"/>
  <c r="R560" i="2"/>
  <c r="T644" i="2"/>
  <c r="S498" i="2"/>
  <c r="R772" i="2"/>
  <c r="R644" i="2"/>
  <c r="R384" i="2"/>
  <c r="S515" i="2"/>
  <c r="R629" i="2"/>
  <c r="S772" i="2"/>
  <c r="T465" i="2"/>
  <c r="R505" i="2"/>
  <c r="S684" i="2"/>
  <c r="S462" i="2"/>
  <c r="T641" i="2"/>
  <c r="R719" i="2"/>
  <c r="R188" i="2"/>
  <c r="R605" i="2"/>
  <c r="S642" i="2"/>
  <c r="T261" i="2"/>
  <c r="R378" i="2"/>
  <c r="T717" i="2"/>
  <c r="T337" i="2"/>
  <c r="T685" i="2"/>
  <c r="R474" i="2"/>
  <c r="R534" i="2"/>
  <c r="S185" i="2"/>
  <c r="T778" i="2"/>
  <c r="T322" i="2"/>
  <c r="R395" i="2"/>
  <c r="R704" i="2"/>
  <c r="T188" i="2"/>
  <c r="S746" i="2"/>
  <c r="R445" i="2"/>
  <c r="S466" i="2"/>
  <c r="T469" i="2"/>
  <c r="R745" i="2"/>
  <c r="T576" i="2"/>
  <c r="T718" i="2"/>
  <c r="T660" i="2"/>
  <c r="S258" i="2"/>
  <c r="T332" i="2"/>
  <c r="R456" i="2"/>
  <c r="T696" i="2"/>
  <c r="T388" i="2"/>
  <c r="S624" i="2"/>
  <c r="S365" i="2"/>
  <c r="T408" i="2"/>
  <c r="R764" i="2"/>
  <c r="T370" i="2"/>
  <c r="R182" i="2"/>
  <c r="T300" i="2"/>
  <c r="T557" i="2"/>
  <c r="T223" i="2"/>
  <c r="S407" i="2"/>
  <c r="S549" i="2"/>
  <c r="T237" i="2"/>
  <c r="S429" i="2"/>
  <c r="T272" i="2"/>
  <c r="S563" i="2"/>
  <c r="T236" i="2"/>
  <c r="T506" i="2"/>
  <c r="T147" i="2"/>
  <c r="T622" i="2"/>
  <c r="R297" i="2"/>
  <c r="R482" i="2"/>
  <c r="S530" i="2"/>
  <c r="T424" i="2"/>
  <c r="R530" i="2"/>
  <c r="T775" i="2"/>
  <c r="R781" i="2"/>
  <c r="T410" i="2"/>
  <c r="T721" i="2"/>
  <c r="T679" i="2"/>
  <c r="R495" i="2"/>
  <c r="T762" i="2"/>
  <c r="R656" i="2"/>
  <c r="R377" i="2"/>
  <c r="T390" i="2"/>
  <c r="T476" i="2"/>
  <c r="T761" i="2"/>
  <c r="S229" i="2"/>
  <c r="S393" i="2"/>
  <c r="S211" i="2"/>
  <c r="T625" i="2"/>
  <c r="R423" i="2"/>
  <c r="T763" i="2"/>
  <c r="R126" i="2"/>
  <c r="T661" i="2"/>
  <c r="S740" i="2"/>
  <c r="T753" i="2"/>
  <c r="S516" i="2"/>
  <c r="T385" i="2"/>
  <c r="R336" i="2"/>
  <c r="T367" i="2"/>
  <c r="T601" i="2"/>
  <c r="S555" i="2"/>
  <c r="T219" i="2"/>
  <c r="T677" i="2"/>
  <c r="T616" i="2"/>
  <c r="R242" i="2"/>
  <c r="S323" i="2"/>
  <c r="R122" i="2"/>
  <c r="S697" i="2"/>
  <c r="S495" i="2"/>
  <c r="R211" i="2"/>
  <c r="S668" i="2"/>
  <c r="S227" i="2"/>
  <c r="S139" i="2"/>
  <c r="T222" i="2"/>
  <c r="T436" i="2"/>
  <c r="R194" i="2"/>
  <c r="R787" i="2"/>
  <c r="S615" i="2"/>
  <c r="R209" i="2"/>
  <c r="R315" i="2"/>
  <c r="S174" i="2"/>
  <c r="T381" i="2"/>
  <c r="R729" i="2"/>
  <c r="S692" i="2"/>
  <c r="S560" i="2"/>
  <c r="R637" i="2"/>
  <c r="T716" i="2"/>
  <c r="T720" i="2"/>
  <c r="R585" i="2"/>
  <c r="T183" i="2"/>
  <c r="T358" i="2"/>
  <c r="T501" i="2"/>
  <c r="S307" i="2"/>
  <c r="R478" i="2"/>
  <c r="T538" i="2"/>
  <c r="S545" i="2"/>
  <c r="T281" i="2"/>
  <c r="T356" i="2"/>
  <c r="S685" i="2"/>
  <c r="T354" i="2"/>
  <c r="T726" i="2"/>
  <c r="T116" i="2"/>
  <c r="S707" i="2"/>
  <c r="S401" i="2"/>
  <c r="S338" i="2"/>
  <c r="S123" i="2"/>
  <c r="T365" i="2"/>
  <c r="R708" i="2"/>
  <c r="T692" i="2"/>
  <c r="T244" i="2"/>
  <c r="S597" i="2"/>
  <c r="T127" i="2"/>
  <c r="T362" i="2"/>
  <c r="R484" i="2"/>
  <c r="R452" i="2"/>
  <c r="T681" i="2"/>
  <c r="T234" i="2"/>
  <c r="S727" i="2"/>
  <c r="R319" i="2"/>
  <c r="R635" i="2"/>
  <c r="T528" i="2"/>
  <c r="S148" i="2"/>
  <c r="S134" i="2"/>
  <c r="T461" i="2"/>
  <c r="R345" i="2"/>
  <c r="T285" i="2"/>
  <c r="S761" i="2"/>
  <c r="S470" i="2"/>
  <c r="T414" i="2"/>
  <c r="R748" i="2"/>
  <c r="S644" i="2"/>
  <c r="S753" i="2"/>
  <c r="T374" i="2"/>
  <c r="S718" i="2"/>
  <c r="R783" i="2"/>
  <c r="T398" i="2"/>
  <c r="T490" i="2"/>
  <c r="S430" i="2"/>
  <c r="R232" i="2"/>
  <c r="S643" i="2"/>
  <c r="S710" i="2"/>
  <c r="T698" i="2"/>
  <c r="S599" i="2"/>
  <c r="T377" i="2"/>
  <c r="T166" i="2"/>
  <c r="R394" i="2"/>
  <c r="S702" i="2"/>
  <c r="R219" i="2"/>
  <c r="R669" i="2"/>
  <c r="R417" i="2"/>
  <c r="S465" i="2"/>
  <c r="R558" i="2"/>
  <c r="S758" i="2"/>
  <c r="T580" i="2"/>
  <c r="S443" i="2"/>
  <c r="R468" i="2"/>
  <c r="S572" i="2"/>
  <c r="R270" i="2"/>
  <c r="S553" i="2"/>
  <c r="T169" i="2"/>
  <c r="S645" i="2"/>
  <c r="S234" i="2"/>
  <c r="S360" i="2"/>
  <c r="T139" i="2"/>
  <c r="R349" i="2"/>
  <c r="S506" i="2"/>
  <c r="R183" i="2"/>
  <c r="S200" i="2"/>
  <c r="T573" i="2"/>
  <c r="T615" i="2"/>
  <c r="R580" i="2"/>
  <c r="T647" i="2"/>
  <c r="S170" i="2"/>
  <c r="R562" i="2"/>
  <c r="T317" i="2"/>
  <c r="T678" i="2"/>
  <c r="S512" i="2"/>
  <c r="R397" i="2"/>
  <c r="T486" i="2"/>
  <c r="S278" i="2"/>
  <c r="R151" i="2"/>
  <c r="R193" i="2"/>
  <c r="S404" i="2"/>
  <c r="T340" i="2"/>
  <c r="T123" i="2"/>
  <c r="T221" i="2"/>
  <c r="S376" i="2"/>
  <c r="T531" i="2"/>
  <c r="S675" i="2"/>
  <c r="R734" i="2"/>
  <c r="S666" i="2"/>
  <c r="T522" i="2"/>
  <c r="R759" i="2"/>
  <c r="R653" i="2"/>
  <c r="S691" i="2"/>
  <c r="R697" i="2"/>
  <c r="T743" i="2"/>
  <c r="S314" i="2"/>
  <c r="T592" i="2"/>
  <c r="R175" i="2"/>
  <c r="T725" i="2"/>
  <c r="T710" i="2"/>
  <c r="T599" i="2"/>
  <c r="S714" i="2"/>
  <c r="T605" i="2"/>
  <c r="S502" i="2"/>
  <c r="T691" i="2"/>
  <c r="T662" i="2"/>
  <c r="S402" i="2"/>
  <c r="S775" i="2"/>
  <c r="R205" i="2"/>
  <c r="R735" i="2"/>
  <c r="T654" i="2"/>
  <c r="S664" i="2"/>
  <c r="S380" i="2"/>
  <c r="R765" i="2"/>
  <c r="T128" i="2"/>
  <c r="T306" i="2"/>
  <c r="R538" i="2"/>
  <c r="T235" i="2"/>
  <c r="T366" i="2"/>
  <c r="T450" i="2"/>
  <c r="R168" i="2"/>
  <c r="S523" i="2"/>
  <c r="S210" i="2"/>
  <c r="R664" i="2"/>
  <c r="S348" i="2"/>
  <c r="R438" i="2"/>
  <c r="S627" i="2"/>
  <c r="R295" i="2"/>
  <c r="R705" i="2"/>
  <c r="R135" i="2"/>
  <c r="T331" i="2"/>
  <c r="T252" i="2"/>
  <c r="T603" i="2"/>
  <c r="R688" i="2"/>
  <c r="T375" i="2"/>
  <c r="T536" i="2"/>
  <c r="S626" i="2"/>
  <c r="R607" i="2"/>
  <c r="T467" i="2"/>
  <c r="R433" i="2"/>
  <c r="T532" i="2"/>
  <c r="T770" i="2"/>
  <c r="T570" i="2"/>
  <c r="S454" i="2"/>
  <c r="S590" i="2"/>
  <c r="S477" i="2"/>
  <c r="R146" i="2"/>
  <c r="R695" i="2"/>
  <c r="S397" i="2"/>
  <c r="R571" i="2"/>
  <c r="R681" i="2"/>
  <c r="S650" i="2"/>
  <c r="T329" i="2"/>
  <c r="S287" i="2"/>
  <c r="R578" i="2"/>
  <c r="T379" i="2"/>
  <c r="R615" i="2"/>
  <c r="T586" i="2"/>
  <c r="T556" i="2"/>
  <c r="T487" i="2"/>
  <c r="R299" i="2"/>
  <c r="T480" i="2"/>
  <c r="R181" i="2"/>
  <c r="R226" i="2"/>
  <c r="R415" i="2"/>
  <c r="R489" i="2"/>
  <c r="S156" i="2"/>
  <c r="S492" i="2"/>
  <c r="S701" i="2"/>
  <c r="S741" i="2"/>
  <c r="T402" i="2"/>
  <c r="S744" i="2"/>
  <c r="T765" i="2"/>
  <c r="S574" i="2"/>
  <c r="T730" i="2"/>
  <c r="S635" i="2"/>
  <c r="S709" i="2"/>
  <c r="R631" i="2"/>
  <c r="T463" i="2"/>
  <c r="R165" i="2"/>
  <c r="T542" i="2"/>
  <c r="R216" i="2"/>
  <c r="S712" i="2"/>
  <c r="T491" i="2"/>
  <c r="R698" i="2"/>
  <c r="S743" i="2"/>
  <c r="R536" i="2"/>
  <c r="S130" i="2"/>
  <c r="S275" i="2"/>
  <c r="T606" i="2"/>
  <c r="S193" i="2"/>
  <c r="S191" i="2"/>
  <c r="R508" i="2"/>
  <c r="S283" i="2"/>
  <c r="R677" i="2"/>
  <c r="T359" i="2"/>
  <c r="T142" i="2"/>
  <c r="T638" i="2"/>
  <c r="R339" i="2"/>
  <c r="T276" i="2"/>
  <c r="T444" i="2"/>
  <c r="T617" i="2"/>
  <c r="T478" i="2"/>
  <c r="T701" i="2"/>
  <c r="T505" i="2"/>
  <c r="R671" i="2"/>
  <c r="S696" i="2"/>
  <c r="T459" i="2"/>
  <c r="R314" i="2"/>
  <c r="R300" i="2"/>
  <c r="T130" i="2"/>
  <c r="T255" i="2"/>
  <c r="T191" i="2"/>
  <c r="T782" i="2"/>
  <c r="T594" i="2"/>
  <c r="T291" i="2"/>
  <c r="R690" i="2"/>
  <c r="R206" i="2"/>
  <c r="T597" i="2"/>
  <c r="S434" i="2"/>
  <c r="R192" i="2"/>
  <c r="S206" i="2"/>
  <c r="S534" i="2"/>
  <c r="S479" i="2"/>
  <c r="R396" i="2"/>
  <c r="R389" i="2"/>
  <c r="R737" i="2"/>
  <c r="S596" i="2"/>
  <c r="S153" i="2"/>
  <c r="S255" i="2"/>
  <c r="S559" i="2"/>
  <c r="S386" i="2"/>
  <c r="T287" i="2"/>
  <c r="T688" i="2"/>
  <c r="T426" i="2"/>
  <c r="R391" i="2"/>
  <c r="T380" i="2"/>
  <c r="T382" i="2"/>
  <c r="R488" i="2"/>
  <c r="R422" i="2"/>
  <c r="S438" i="2"/>
  <c r="R428" i="2"/>
  <c r="T194" i="2"/>
  <c r="T290" i="2"/>
  <c r="R400" i="2"/>
  <c r="R386" i="2"/>
  <c r="S489" i="2"/>
  <c r="R293" i="2"/>
  <c r="R259" i="2"/>
  <c r="S464" i="2"/>
  <c r="R442" i="2"/>
  <c r="T363" i="2"/>
  <c r="S162" i="2"/>
  <c r="T666" i="2"/>
  <c r="S532" i="2"/>
  <c r="R522" i="2"/>
  <c r="S259" i="2"/>
  <c r="T682" i="2"/>
  <c r="R316" i="2"/>
  <c r="R475" i="2"/>
  <c r="R301" i="2"/>
  <c r="S361" i="2"/>
  <c r="S243" i="2"/>
  <c r="T512" i="2"/>
  <c r="S474" i="2"/>
  <c r="R425" i="2"/>
  <c r="R238" i="2"/>
  <c r="T185" i="2"/>
  <c r="S547" i="2"/>
  <c r="R742" i="2"/>
  <c r="T199" i="2"/>
  <c r="R572" i="2"/>
  <c r="R172" i="2"/>
  <c r="S378" i="2"/>
  <c r="R149" i="2"/>
  <c r="R224" i="2"/>
  <c r="R298" i="2"/>
  <c r="R548" i="2"/>
  <c r="S297" i="2"/>
  <c r="S336" i="2"/>
  <c r="S405" i="2"/>
  <c r="R420" i="2"/>
  <c r="R253" i="2"/>
  <c r="T190" i="2"/>
  <c r="T168" i="2"/>
  <c r="S178" i="2"/>
  <c r="R164" i="2"/>
  <c r="R265" i="2"/>
  <c r="T143" i="2"/>
  <c r="S416" i="2"/>
  <c r="S457" i="2"/>
  <c r="T397" i="2"/>
  <c r="V397" i="2" s="1"/>
  <c r="T466" i="2"/>
  <c r="V466" i="2" s="1"/>
  <c r="S115" i="2"/>
  <c r="T303" i="2"/>
  <c r="R201" i="2"/>
  <c r="S282" i="2"/>
  <c r="R376" i="2"/>
  <c r="S265" i="2"/>
  <c r="R208" i="2"/>
  <c r="T440" i="2"/>
  <c r="S225" i="2"/>
  <c r="T243" i="2"/>
  <c r="T161" i="2"/>
  <c r="S147" i="2"/>
  <c r="S181" i="2"/>
  <c r="T172" i="2"/>
  <c r="S414" i="2"/>
  <c r="S333" i="2"/>
  <c r="S122" i="2"/>
  <c r="T545" i="2"/>
  <c r="T427" i="2"/>
  <c r="S433" i="2"/>
  <c r="S273" i="2"/>
  <c r="S367" i="2"/>
  <c r="S339" i="2"/>
  <c r="S592" i="2"/>
  <c r="R346" i="2"/>
  <c r="T516" i="2"/>
  <c r="T499" i="2"/>
  <c r="R148" i="2"/>
  <c r="S257" i="2"/>
  <c r="T325" i="2"/>
  <c r="T745" i="2"/>
  <c r="R523" i="2"/>
  <c r="T336" i="2"/>
  <c r="R479" i="2"/>
  <c r="R306" i="2"/>
  <c r="R432" i="2"/>
  <c r="S288" i="2"/>
  <c r="R263" i="2"/>
  <c r="R473" i="2"/>
  <c r="T445" i="2"/>
  <c r="T577" i="2"/>
  <c r="T297" i="2"/>
  <c r="R511" i="2"/>
  <c r="R454" i="2"/>
  <c r="T129" i="2"/>
  <c r="S152" i="2"/>
  <c r="S630" i="2"/>
  <c r="V630" i="2" s="1"/>
  <c r="S410" i="2"/>
  <c r="R457" i="2"/>
  <c r="T141" i="2"/>
  <c r="R373" i="2"/>
  <c r="T395" i="2"/>
  <c r="T447" i="2"/>
  <c r="S188" i="2"/>
  <c r="S261" i="2"/>
  <c r="S195" i="2"/>
  <c r="R771" i="2"/>
  <c r="R288" i="2"/>
  <c r="R381" i="2"/>
  <c r="R227" i="2"/>
  <c r="R134" i="2"/>
  <c r="T305" i="2"/>
  <c r="S362" i="2"/>
  <c r="S329" i="2"/>
  <c r="T665" i="2"/>
  <c r="S508" i="2"/>
  <c r="R185" i="2"/>
  <c r="T225" i="2"/>
  <c r="S352" i="2"/>
  <c r="S114" i="2"/>
  <c r="S291" i="2"/>
  <c r="R222" i="2"/>
  <c r="S327" i="2"/>
  <c r="S403" i="2"/>
  <c r="R361" i="2"/>
  <c r="S163" i="2"/>
  <c r="S213" i="2"/>
  <c r="S245" i="2"/>
  <c r="T481" i="2"/>
  <c r="T202" i="2"/>
  <c r="R280" i="2"/>
  <c r="S309" i="2"/>
  <c r="R370" i="2"/>
  <c r="S131" i="2"/>
  <c r="T675" i="2"/>
  <c r="T653" i="2"/>
  <c r="R184" i="2"/>
  <c r="S135" i="2"/>
  <c r="T227" i="2"/>
  <c r="T352" i="2"/>
  <c r="T152" i="2"/>
  <c r="R304" i="2"/>
  <c r="S172" i="2"/>
  <c r="R161" i="2"/>
  <c r="R302" i="2"/>
  <c r="R311" i="2"/>
  <c r="S396" i="2"/>
  <c r="R699" i="2"/>
  <c r="T249" i="2"/>
  <c r="R414" i="2"/>
  <c r="T668" i="2"/>
  <c r="R573" i="2"/>
  <c r="R645" i="2"/>
  <c r="T733" i="2"/>
  <c r="S417" i="2"/>
  <c r="R619" i="2"/>
  <c r="S468" i="2"/>
  <c r="R540" i="2"/>
  <c r="R360" i="2"/>
  <c r="S290" i="2"/>
  <c r="T566" i="2"/>
  <c r="R323" i="2"/>
  <c r="T267" i="2"/>
  <c r="R142" i="2"/>
  <c r="S179" i="2"/>
  <c r="R379" i="2"/>
  <c r="T773" i="2"/>
  <c r="T627" i="2"/>
  <c r="S538" i="2"/>
  <c r="T162" i="2"/>
  <c r="S482" i="2"/>
  <c r="T241" i="2"/>
  <c r="S260" i="2"/>
  <c r="S485" i="2"/>
  <c r="T343" i="2"/>
  <c r="S256" i="2"/>
  <c r="S284" i="2"/>
  <c r="R485" i="2"/>
  <c r="S423" i="2"/>
  <c r="R518" i="2"/>
  <c r="T238" i="2"/>
  <c r="R223" i="2"/>
  <c r="T500" i="2"/>
  <c r="R292" i="2"/>
  <c r="S340" i="2"/>
  <c r="S551" i="2"/>
  <c r="S160" i="2"/>
  <c r="S116" i="2"/>
  <c r="T430" i="2"/>
  <c r="R609" i="2"/>
  <c r="S581" i="2"/>
  <c r="V581" i="2" s="1"/>
  <c r="R166" i="2"/>
  <c r="S207" i="2"/>
  <c r="S151" i="2"/>
  <c r="R441" i="2"/>
  <c r="R331" i="2"/>
  <c r="R158" i="2"/>
  <c r="T590" i="2"/>
  <c r="S389" i="2"/>
  <c r="T361" i="2"/>
  <c r="T251" i="2"/>
  <c r="T454" i="2"/>
  <c r="R212" i="2"/>
  <c r="T314" i="2"/>
  <c r="R327" i="2"/>
  <c r="T693" i="2"/>
  <c r="S310" i="2"/>
  <c r="R487" i="2"/>
  <c r="R343" i="2"/>
  <c r="T643" i="2"/>
  <c r="R347" i="2"/>
  <c r="R365" i="2"/>
  <c r="R249" i="2"/>
  <c r="S129" i="2"/>
  <c r="R191" i="2"/>
  <c r="T595" i="2"/>
  <c r="R320" i="2"/>
  <c r="S169" i="2"/>
  <c r="S138" i="2"/>
  <c r="T181" i="2"/>
  <c r="T277" i="2"/>
  <c r="R163" i="2"/>
  <c r="T126" i="2"/>
  <c r="T220" i="2"/>
  <c r="V220" i="2" s="1"/>
  <c r="S296" i="2"/>
  <c r="T344" i="2"/>
  <c r="T205" i="2"/>
  <c r="R231" i="2"/>
  <c r="S679" i="2"/>
  <c r="R544" i="2"/>
  <c r="R246" i="2"/>
  <c r="T150" i="2"/>
  <c r="S132" i="2"/>
  <c r="S328" i="2"/>
  <c r="T189" i="2"/>
  <c r="S238" i="2"/>
  <c r="T347" i="2"/>
  <c r="S248" i="2"/>
  <c r="T180" i="2"/>
  <c r="R162" i="2"/>
  <c r="S142" i="2"/>
  <c r="S292" i="2"/>
  <c r="R390" i="2"/>
  <c r="R651" i="2"/>
  <c r="R120" i="2"/>
  <c r="R196" i="2"/>
  <c r="T273" i="2"/>
  <c r="R152" i="2"/>
  <c r="T135" i="2"/>
  <c r="T313" i="2"/>
  <c r="S320" i="2"/>
  <c r="T230" i="2"/>
  <c r="T507" i="2"/>
  <c r="T157" i="2"/>
  <c r="R200" i="2"/>
  <c r="S241" i="2"/>
  <c r="V241" i="2" s="1"/>
  <c r="S154" i="2"/>
  <c r="R691" i="2"/>
  <c r="T632" i="2"/>
  <c r="T546" i="2"/>
  <c r="S173" i="2"/>
  <c r="S570" i="2"/>
  <c r="R348" i="2"/>
  <c r="S521" i="2"/>
  <c r="R333" i="2"/>
  <c r="R627" i="2"/>
  <c r="R711" i="2"/>
  <c r="S582" i="2"/>
  <c r="T399" i="2"/>
  <c r="R239" i="2"/>
  <c r="T460" i="2"/>
  <c r="T732" i="2"/>
  <c r="S436" i="2"/>
  <c r="T175" i="2"/>
  <c r="S649" i="2"/>
  <c r="S785" i="2"/>
  <c r="R247" i="2"/>
  <c r="R541" i="2"/>
  <c r="R480" i="2"/>
  <c r="R768" i="2"/>
  <c r="S568" i="2"/>
  <c r="T530" i="2"/>
  <c r="R654" i="2"/>
  <c r="T552" i="2"/>
  <c r="S346" i="2"/>
  <c r="S295" i="2"/>
  <c r="S312" i="2"/>
  <c r="T715" i="2"/>
  <c r="R750" i="2"/>
  <c r="S125" i="2"/>
  <c r="S507" i="2"/>
  <c r="R372" i="2"/>
  <c r="S186" i="2"/>
  <c r="R355" i="2"/>
  <c r="T598" i="2"/>
  <c r="R440" i="2"/>
  <c r="R119" i="2"/>
  <c r="S264" i="2"/>
  <c r="R213" i="2"/>
  <c r="T231" i="2"/>
  <c r="R692" i="2"/>
  <c r="R127" i="2"/>
  <c r="R190" i="2"/>
  <c r="R267" i="2"/>
  <c r="R424" i="2"/>
  <c r="R266" i="2"/>
  <c r="S461" i="2"/>
  <c r="R358" i="2"/>
  <c r="T196" i="2"/>
  <c r="T357" i="2"/>
  <c r="S221" i="2"/>
  <c r="R380" i="2"/>
  <c r="R354" i="2"/>
  <c r="S184" i="2"/>
  <c r="S262" i="2"/>
  <c r="S171" i="2"/>
  <c r="T634" i="2"/>
  <c r="R481" i="2"/>
  <c r="R117" i="2"/>
  <c r="S550" i="2"/>
  <c r="R118" i="2"/>
  <c r="R416" i="2"/>
  <c r="R199" i="2"/>
  <c r="R706" i="2"/>
  <c r="T539" i="2"/>
  <c r="T301" i="2"/>
  <c r="T656" i="2"/>
  <c r="R271" i="2"/>
  <c r="S491" i="2"/>
  <c r="R592" i="2"/>
  <c r="R443" i="2"/>
  <c r="R310" i="2"/>
  <c r="R606" i="2"/>
  <c r="S155" i="2"/>
  <c r="T544" i="2"/>
  <c r="R173" i="2"/>
  <c r="S354" i="2"/>
  <c r="S121" i="2"/>
  <c r="R160" i="2"/>
  <c r="S166" i="2"/>
  <c r="T260" i="2"/>
  <c r="T485" i="2"/>
  <c r="R758" i="2"/>
  <c r="S244" i="2"/>
  <c r="T245" i="2"/>
  <c r="S364" i="2"/>
  <c r="S252" i="2"/>
  <c r="T158" i="2"/>
  <c r="T535" i="2"/>
  <c r="T151" i="2"/>
  <c r="R516" i="2"/>
  <c r="S306" i="2"/>
  <c r="T327" i="2"/>
  <c r="T148" i="2"/>
  <c r="S375" i="2"/>
  <c r="S528" i="2"/>
  <c r="S353" i="2"/>
  <c r="S270" i="2"/>
  <c r="R264" i="2"/>
  <c r="S267" i="2"/>
  <c r="R177" i="2"/>
  <c r="S145" i="2"/>
  <c r="T133" i="2"/>
  <c r="T212" i="2"/>
  <c r="S250" i="2"/>
  <c r="S421" i="2"/>
  <c r="T156" i="2"/>
  <c r="T114" i="2"/>
  <c r="R337" i="2"/>
  <c r="R296" i="2"/>
  <c r="T515" i="2"/>
  <c r="S383" i="2"/>
  <c r="R130" i="2"/>
  <c r="T121" i="2"/>
  <c r="S161" i="2"/>
  <c r="T140" i="2"/>
  <c r="S366" i="2"/>
  <c r="V366" i="2" s="1"/>
  <c r="S198" i="2"/>
  <c r="S253" i="2"/>
  <c r="T406" i="2"/>
  <c r="S149" i="2"/>
  <c r="R123" i="2"/>
  <c r="R243" i="2"/>
  <c r="T687" i="2"/>
  <c r="S728" i="2"/>
  <c r="T464" i="2"/>
  <c r="S595" i="2"/>
  <c r="S471" i="2"/>
  <c r="R421" i="2"/>
  <c r="S201" i="2"/>
  <c r="R597" i="2"/>
  <c r="T555" i="2"/>
  <c r="R357" i="2"/>
  <c r="T669" i="2"/>
  <c r="S469" i="2"/>
  <c r="T371" i="2"/>
  <c r="T671" i="2"/>
  <c r="T779" i="2"/>
  <c r="S715" i="2"/>
  <c r="R626" i="2"/>
  <c r="S136" i="2"/>
  <c r="T585" i="2"/>
  <c r="R170" i="2"/>
  <c r="S748" i="2"/>
  <c r="T197" i="2"/>
  <c r="T186" i="2"/>
  <c r="R317" i="2"/>
  <c r="S120" i="2"/>
  <c r="R313" i="2"/>
  <c r="R657" i="2"/>
  <c r="S398" i="2"/>
  <c r="R404" i="2"/>
  <c r="S177" i="2"/>
  <c r="T279" i="2"/>
  <c r="T418" i="2"/>
  <c r="S276" i="2"/>
  <c r="R646" i="2"/>
  <c r="T623" i="2"/>
  <c r="R431" i="2"/>
  <c r="R334" i="2"/>
  <c r="R369" i="2"/>
  <c r="S384" i="2"/>
  <c r="T409" i="2"/>
  <c r="S235" i="2"/>
  <c r="T184" i="2"/>
  <c r="S268" i="2"/>
  <c r="R153" i="2"/>
  <c r="T387" i="2"/>
  <c r="R308" i="2"/>
  <c r="T229" i="2"/>
  <c r="S233" i="2"/>
  <c r="T318" i="2"/>
  <c r="R767" i="2"/>
  <c r="V767" i="2" s="1"/>
  <c r="R367" i="2"/>
  <c r="R159" i="2"/>
  <c r="R124" i="2"/>
  <c r="S266" i="2"/>
  <c r="T232" i="2"/>
  <c r="T209" i="2"/>
  <c r="S286" i="2"/>
  <c r="S382" i="2"/>
  <c r="S126" i="2"/>
  <c r="S355" i="2"/>
  <c r="V355" i="2" s="1"/>
  <c r="S325" i="2"/>
  <c r="S511" i="2"/>
  <c r="S518" i="2"/>
  <c r="T299" i="2"/>
  <c r="T349" i="2"/>
  <c r="S682" i="2"/>
  <c r="S168" i="2"/>
  <c r="S460" i="2"/>
  <c r="R204" i="2"/>
  <c r="R584" i="2"/>
  <c r="S140" i="2"/>
  <c r="T192" i="2"/>
  <c r="R324" i="2"/>
  <c r="S119" i="2"/>
  <c r="R322" i="2"/>
  <c r="R608" i="2"/>
  <c r="T215" i="2"/>
  <c r="T160" i="2"/>
  <c r="S182" i="2"/>
  <c r="S124" i="2"/>
  <c r="S271" i="2"/>
  <c r="S150" i="2"/>
  <c r="S424" i="2"/>
  <c r="R462" i="2"/>
  <c r="R114" i="2"/>
  <c r="T355" i="2"/>
  <c r="S133" i="2"/>
  <c r="S189" i="2"/>
  <c r="T738" i="2"/>
  <c r="R604" i="2"/>
  <c r="S337" i="2"/>
  <c r="R269" i="2"/>
  <c r="V269" i="2" s="1"/>
  <c r="T315" i="2"/>
  <c r="S418" i="2"/>
  <c r="S143" i="2"/>
  <c r="R167" i="2"/>
  <c r="T262" i="2"/>
  <c r="R382" i="2"/>
  <c r="S215" i="2"/>
  <c r="S299" i="2"/>
  <c r="S197" i="2"/>
  <c r="R202" i="2"/>
  <c r="S128" i="2"/>
  <c r="R418" i="2"/>
  <c r="R494" i="2"/>
  <c r="T310" i="2"/>
  <c r="T240" i="2"/>
  <c r="T134" i="2"/>
  <c r="R214" i="2"/>
  <c r="R215" i="2"/>
  <c r="T268" i="2"/>
  <c r="R290" i="2"/>
  <c r="S226" i="2"/>
  <c r="S254" i="2"/>
  <c r="T275" i="2"/>
  <c r="R278" i="2"/>
  <c r="T320" i="2"/>
  <c r="S214" i="2"/>
  <c r="T211" i="2"/>
  <c r="S480" i="2"/>
  <c r="R408" i="2"/>
  <c r="T167" i="2"/>
  <c r="S370" i="2"/>
  <c r="R398" i="2"/>
  <c r="S251" i="2"/>
  <c r="R225" i="2"/>
  <c r="S561" i="2"/>
  <c r="T760" i="2"/>
  <c r="T578" i="2"/>
  <c r="T428" i="2"/>
  <c r="S167" i="2"/>
  <c r="R139" i="2"/>
  <c r="T217" i="2"/>
  <c r="R618" i="2"/>
  <c r="S294" i="2"/>
  <c r="R171" i="2"/>
  <c r="R240" i="2"/>
  <c r="R116" i="2"/>
  <c r="S395" i="2"/>
  <c r="T288" i="2"/>
  <c r="R405" i="2"/>
  <c r="T242" i="2"/>
  <c r="T269" i="2"/>
  <c r="S324" i="2"/>
  <c r="S372" i="2"/>
  <c r="S205" i="2"/>
  <c r="R285" i="2"/>
  <c r="S604" i="2"/>
  <c r="T581" i="2"/>
  <c r="S432" i="2"/>
  <c r="T330" i="2"/>
  <c r="R344" i="2"/>
  <c r="R147" i="2"/>
  <c r="S137" i="2"/>
  <c r="R284" i="2"/>
  <c r="T163" i="2"/>
  <c r="S165" i="2"/>
  <c r="S335" i="2"/>
  <c r="S344" i="2"/>
  <c r="T149" i="2"/>
  <c r="T165" i="2"/>
  <c r="S765" i="2"/>
  <c r="R566" i="2"/>
  <c r="R286" i="2"/>
  <c r="T326" i="2"/>
  <c r="R528" i="2"/>
  <c r="S558" i="2"/>
  <c r="T423" i="2"/>
  <c r="S542" i="2"/>
  <c r="S537" i="2"/>
  <c r="R655" i="2"/>
  <c r="T714" i="2"/>
  <c r="R230" i="2"/>
  <c r="T115" i="2"/>
  <c r="T120" i="2"/>
  <c r="T600" i="2"/>
  <c r="S391" i="2"/>
  <c r="S369" i="2"/>
  <c r="R500" i="2"/>
  <c r="T439" i="2"/>
  <c r="T138" i="2"/>
  <c r="S458" i="2"/>
  <c r="R180" i="2"/>
  <c r="R342" i="2"/>
  <c r="S230" i="2"/>
  <c r="S164" i="2"/>
  <c r="S224" i="2"/>
  <c r="T368" i="2"/>
  <c r="R374" i="2"/>
  <c r="S176" i="2"/>
  <c r="R575" i="2"/>
  <c r="S500" i="2"/>
  <c r="S742" i="2"/>
  <c r="R392" i="2"/>
  <c r="T383" i="2"/>
  <c r="V383" i="2" s="1"/>
  <c r="R128" i="2"/>
  <c r="S303" i="2"/>
  <c r="R455" i="2"/>
  <c r="T420" i="2"/>
  <c r="R545" i="2"/>
  <c r="S274" i="2"/>
  <c r="R413" i="2"/>
  <c r="S192" i="2"/>
  <c r="R294" i="2"/>
  <c r="T411" i="2"/>
  <c r="T155" i="2"/>
  <c r="R144" i="2"/>
  <c r="T270" i="2"/>
  <c r="V270" i="2" s="1"/>
  <c r="R125" i="2"/>
  <c r="S231" i="2"/>
  <c r="S345" i="2"/>
  <c r="R210" i="2"/>
  <c r="V210" i="2" s="1"/>
  <c r="T451" i="2"/>
  <c r="T403" i="2"/>
  <c r="T153" i="2"/>
  <c r="R427" i="2"/>
  <c r="S412" i="2"/>
  <c r="S319" i="2"/>
  <c r="S302" i="2"/>
  <c r="T233" i="2"/>
  <c r="S202" i="2"/>
  <c r="T171" i="2"/>
  <c r="S223" i="2"/>
  <c r="T117" i="2"/>
  <c r="T125" i="2"/>
  <c r="T253" i="2"/>
  <c r="X269" i="2" l="1"/>
  <c r="Y269" i="2"/>
  <c r="X302" i="2"/>
  <c r="Y302" i="2"/>
  <c r="V86" i="2"/>
  <c r="V73" i="2"/>
  <c r="X433" i="2"/>
  <c r="Y433" i="2"/>
  <c r="X168" i="2"/>
  <c r="Y168" i="2"/>
  <c r="V589" i="2"/>
  <c r="V727" i="2"/>
  <c r="X310" i="2"/>
  <c r="Y310" i="2"/>
  <c r="X672" i="2"/>
  <c r="Y672" i="2"/>
  <c r="V396" i="2"/>
  <c r="X154" i="2"/>
  <c r="Y154" i="2"/>
  <c r="V742" i="2"/>
  <c r="X151" i="2"/>
  <c r="Y151" i="2"/>
  <c r="Y61" i="2"/>
  <c r="X61" i="2"/>
  <c r="X329" i="2"/>
  <c r="Y329" i="2"/>
  <c r="X247" i="2"/>
  <c r="Y247" i="2"/>
  <c r="Y345" i="2"/>
  <c r="X345" i="2"/>
  <c r="V514" i="2"/>
  <c r="V153" i="2"/>
  <c r="V748" i="2"/>
  <c r="V248" i="2"/>
  <c r="V330" i="2"/>
  <c r="V212" i="2"/>
  <c r="V143" i="2"/>
  <c r="V128" i="2"/>
  <c r="Y321" i="2"/>
  <c r="X321" i="2"/>
  <c r="X497" i="2"/>
  <c r="Y497" i="2"/>
  <c r="V137" i="2"/>
  <c r="V751" i="2"/>
  <c r="Y295" i="2"/>
  <c r="X295" i="2"/>
  <c r="V228" i="2"/>
  <c r="V388" i="2"/>
  <c r="V571" i="2"/>
  <c r="V570" i="2"/>
  <c r="V685" i="2"/>
  <c r="V246" i="2"/>
  <c r="V170" i="2"/>
  <c r="X663" i="2"/>
  <c r="Y663" i="2"/>
  <c r="V134" i="2"/>
  <c r="V163" i="2"/>
  <c r="V208" i="2"/>
  <c r="X88" i="2"/>
  <c r="Y88" i="2"/>
  <c r="X67" i="2"/>
  <c r="Y67" i="2"/>
  <c r="V43" i="2"/>
  <c r="V441" i="2"/>
  <c r="X690" i="2"/>
  <c r="Y690" i="2"/>
  <c r="V477" i="2"/>
  <c r="Y249" i="2"/>
  <c r="X249" i="2"/>
  <c r="V136" i="2"/>
  <c r="X785" i="2"/>
  <c r="Y785" i="2"/>
  <c r="V549" i="2"/>
  <c r="V141" i="2"/>
  <c r="V99" i="2"/>
  <c r="V783" i="2"/>
  <c r="Y599" i="2"/>
  <c r="X599" i="2"/>
  <c r="Y633" i="2"/>
  <c r="X633" i="2"/>
  <c r="V207" i="2"/>
  <c r="V683" i="2"/>
  <c r="V775" i="2"/>
  <c r="X495" i="2"/>
  <c r="Y495" i="2"/>
  <c r="V159" i="2"/>
  <c r="V475" i="2"/>
  <c r="Y106" i="2"/>
  <c r="X106" i="2"/>
  <c r="V684" i="2"/>
  <c r="V580" i="2"/>
  <c r="V438" i="2"/>
  <c r="Y98" i="2"/>
  <c r="X98" i="2"/>
  <c r="V776" i="2"/>
  <c r="Y383" i="2"/>
  <c r="X383" i="2"/>
  <c r="V395" i="2"/>
  <c r="V275" i="2"/>
  <c r="V148" i="2"/>
  <c r="V292" i="2"/>
  <c r="V643" i="2"/>
  <c r="X466" i="2"/>
  <c r="Y466" i="2"/>
  <c r="V400" i="2"/>
  <c r="V376" i="2"/>
  <c r="V176" i="2"/>
  <c r="V147" i="2"/>
  <c r="V765" i="2"/>
  <c r="V403" i="2"/>
  <c r="V760" i="2"/>
  <c r="V240" i="2"/>
  <c r="V479" i="2"/>
  <c r="V71" i="2"/>
  <c r="V716" i="2"/>
  <c r="V531" i="2"/>
  <c r="V301" i="2"/>
  <c r="V387" i="2"/>
  <c r="V784" i="2"/>
  <c r="V483" i="2"/>
  <c r="V223" i="2"/>
  <c r="V670" i="2"/>
  <c r="V188" i="2"/>
  <c r="V405" i="2"/>
  <c r="V451" i="2"/>
  <c r="V299" i="2"/>
  <c r="V507" i="2"/>
  <c r="V662" i="2"/>
  <c r="V200" i="2"/>
  <c r="V348" i="2"/>
  <c r="V351" i="2"/>
  <c r="V193" i="2"/>
  <c r="V161" i="2"/>
  <c r="V268" i="2"/>
  <c r="V289" i="2"/>
  <c r="V192" i="2"/>
  <c r="V62" i="2"/>
  <c r="V660" i="2"/>
  <c r="V591" i="2"/>
  <c r="V744" i="2"/>
  <c r="V758" i="2"/>
  <c r="V638" i="2"/>
  <c r="V779" i="2"/>
  <c r="V102" i="2"/>
  <c r="V352" i="2"/>
  <c r="V394" i="2"/>
  <c r="V780" i="2"/>
  <c r="V331" i="2"/>
  <c r="V156" i="2"/>
  <c r="V359" i="2"/>
  <c r="V637" i="2"/>
  <c r="V772" i="2"/>
  <c r="V494" i="2"/>
  <c r="V167" i="2"/>
  <c r="V160" i="2"/>
  <c r="V777" i="2"/>
  <c r="V471" i="2"/>
  <c r="V82" i="2"/>
  <c r="V524" i="2"/>
  <c r="V554" i="2"/>
  <c r="V603" i="2"/>
  <c r="V631" i="2"/>
  <c r="V339" i="2"/>
  <c r="V96" i="2"/>
  <c r="V558" i="2"/>
  <c r="V527" i="2"/>
  <c r="V45" i="2"/>
  <c r="V473" i="2"/>
  <c r="V392" i="2"/>
  <c r="V216" i="2"/>
  <c r="V768" i="2"/>
  <c r="V679" i="2"/>
  <c r="V614" i="2"/>
  <c r="V337" i="2"/>
  <c r="V362" i="2"/>
  <c r="V66" i="2"/>
  <c r="V256" i="2"/>
  <c r="V424" i="2"/>
  <c r="V267" i="2"/>
  <c r="V296" i="2"/>
  <c r="V104" i="2"/>
  <c r="V386" i="2"/>
  <c r="V689" i="2"/>
  <c r="V135" i="2"/>
  <c r="V678" i="2"/>
  <c r="V677" i="2"/>
  <c r="V714" i="2"/>
  <c r="V298" i="2"/>
  <c r="V664" i="2"/>
  <c r="V519" i="2"/>
  <c r="V334" i="2"/>
  <c r="Y645" i="2"/>
  <c r="X645" i="2"/>
  <c r="X366" i="2"/>
  <c r="Y366" i="2"/>
  <c r="V486" i="2"/>
  <c r="V481" i="2"/>
  <c r="V280" i="2"/>
  <c r="V372" i="2"/>
  <c r="V194" i="2"/>
  <c r="V426" i="2"/>
  <c r="V51" i="2"/>
  <c r="V488" i="2"/>
  <c r="V752" i="2"/>
  <c r="V462" i="2"/>
  <c r="V68" i="2"/>
  <c r="V707" i="2"/>
  <c r="V597" i="2"/>
  <c r="V63" i="2"/>
  <c r="V281" i="2"/>
  <c r="V543" i="2"/>
  <c r="V575" i="2"/>
  <c r="V547" i="2"/>
  <c r="V72" i="2"/>
  <c r="V693" i="2"/>
  <c r="V537" i="2"/>
  <c r="V47" i="2"/>
  <c r="V421" i="2"/>
  <c r="V107" i="2"/>
  <c r="V622" i="2"/>
  <c r="V745" i="2"/>
  <c r="V500" i="2"/>
  <c r="V654" i="2"/>
  <c r="V774" i="2"/>
  <c r="V503" i="2"/>
  <c r="V478" i="2"/>
  <c r="V129" i="2"/>
  <c r="V49" i="2"/>
  <c r="V711" i="2"/>
  <c r="V761" i="2"/>
  <c r="X704" i="2"/>
  <c r="Y704" i="2"/>
  <c r="Y185" i="2"/>
  <c r="X185" i="2"/>
  <c r="V682" i="2"/>
  <c r="X259" i="2"/>
  <c r="Y259" i="2"/>
  <c r="Y173" i="2"/>
  <c r="X173" i="2"/>
  <c r="X699" i="2"/>
  <c r="Y699" i="2"/>
  <c r="V520" i="2"/>
  <c r="V227" i="2"/>
  <c r="X427" i="2"/>
  <c r="Y427" i="2"/>
  <c r="V755" i="2"/>
  <c r="V644" i="2"/>
  <c r="X322" i="2"/>
  <c r="Y322" i="2"/>
  <c r="V306" i="2"/>
  <c r="V226" i="2"/>
  <c r="V548" i="2"/>
  <c r="X521" i="2"/>
  <c r="Y521" i="2"/>
  <c r="V305" i="2"/>
  <c r="V410" i="2"/>
  <c r="V262" i="2"/>
  <c r="V517" i="2"/>
  <c r="V401" i="2"/>
  <c r="V50" i="2"/>
  <c r="V604" i="2"/>
  <c r="V338" i="2"/>
  <c r="V492" i="2"/>
  <c r="V467" i="2"/>
  <c r="Y232" i="2"/>
  <c r="X232" i="2"/>
  <c r="V586" i="2"/>
  <c r="V493" i="2"/>
  <c r="V162" i="2"/>
  <c r="V283" i="2"/>
  <c r="X60" i="2"/>
  <c r="Y60" i="2"/>
  <c r="V624" i="2"/>
  <c r="Y54" i="2"/>
  <c r="X54" i="2"/>
  <c r="V647" i="2"/>
  <c r="X419" i="2"/>
  <c r="Y419" i="2"/>
  <c r="X311" i="2"/>
  <c r="Y311" i="2"/>
  <c r="V97" i="2"/>
  <c r="V291" i="2"/>
  <c r="V308" i="2"/>
  <c r="V717" i="2"/>
  <c r="V530" i="2"/>
  <c r="V567" i="2"/>
  <c r="V44" i="2"/>
  <c r="V360" i="2"/>
  <c r="V303" i="2"/>
  <c r="V590" i="2"/>
  <c r="V124" i="2"/>
  <c r="V540" i="2"/>
  <c r="V465" i="2"/>
  <c r="V377" i="2"/>
  <c r="V425" i="2"/>
  <c r="V181" i="2"/>
  <c r="V285" i="2"/>
  <c r="V533" i="2"/>
  <c r="V723" i="2"/>
  <c r="V195" i="2"/>
  <c r="V578" i="2"/>
  <c r="V459" i="2"/>
  <c r="V111" i="2"/>
  <c r="V782" i="2"/>
  <c r="V766" i="2"/>
  <c r="V756" i="2"/>
  <c r="V681" i="2"/>
  <c r="V222" i="2"/>
  <c r="V341" i="2"/>
  <c r="V266" i="2"/>
  <c r="V511" i="2"/>
  <c r="V420" i="2"/>
  <c r="V608" i="2"/>
  <c r="V574" i="2"/>
  <c r="X731" i="2"/>
  <c r="Y731" i="2"/>
  <c r="V696" i="2"/>
  <c r="V452" i="2"/>
  <c r="V743" i="2"/>
  <c r="V555" i="2"/>
  <c r="V550" i="2"/>
  <c r="V735" i="2"/>
  <c r="V446" i="2"/>
  <c r="V652" i="2"/>
  <c r="V506" i="2"/>
  <c r="V762" i="2"/>
  <c r="V90" i="2"/>
  <c r="V278" i="2"/>
  <c r="V343" i="2"/>
  <c r="V616" i="2"/>
  <c r="V422" i="2"/>
  <c r="V551" i="2"/>
  <c r="V40" i="2"/>
  <c r="Y767" i="2"/>
  <c r="X767" i="2"/>
  <c r="X630" i="2"/>
  <c r="Y630" i="2"/>
  <c r="Y397" i="2"/>
  <c r="X397" i="2"/>
  <c r="V469" i="2"/>
  <c r="V712" i="2"/>
  <c r="Y737" i="2"/>
  <c r="X737" i="2"/>
  <c r="V183" i="2"/>
  <c r="V512" i="2"/>
  <c r="X556" i="2"/>
  <c r="Y556" i="2"/>
  <c r="V491" i="2"/>
  <c r="Y76" i="2"/>
  <c r="X76" i="2"/>
  <c r="V546" i="2"/>
  <c r="V460" i="2"/>
  <c r="V430" i="2"/>
  <c r="V209" i="2"/>
  <c r="V617" i="2"/>
  <c r="V323" i="2"/>
  <c r="V526" i="2"/>
  <c r="V588" i="2"/>
  <c r="V688" i="2"/>
  <c r="V80" i="2"/>
  <c r="V529" i="2"/>
  <c r="V618" i="2"/>
  <c r="V461" i="2"/>
  <c r="V692" i="2"/>
  <c r="V568" i="2"/>
  <c r="V177" i="2"/>
  <c r="V224" i="2"/>
  <c r="V535" i="2"/>
  <c r="V771" i="2"/>
  <c r="V369" i="2"/>
  <c r="V656" i="2"/>
  <c r="V635" i="2"/>
  <c r="V304" i="2"/>
  <c r="V781" i="2"/>
  <c r="V701" i="2"/>
  <c r="V165" i="2"/>
  <c r="V552" i="2"/>
  <c r="V653" i="2"/>
  <c r="V363" i="2"/>
  <c r="V733" i="2"/>
  <c r="V646" i="2"/>
  <c r="Y747" i="2"/>
  <c r="X747" i="2"/>
  <c r="V694" i="2"/>
  <c r="V750" i="2"/>
  <c r="V510" i="2"/>
  <c r="V636" i="2"/>
  <c r="V602" i="2"/>
  <c r="V112" i="2"/>
  <c r="V238" i="2"/>
  <c r="V504" i="2"/>
  <c r="V705" i="2"/>
  <c r="V671" i="2"/>
  <c r="V583" i="2"/>
  <c r="V596" i="2"/>
  <c r="V113" i="2"/>
  <c r="V542" i="2"/>
  <c r="V607" i="2"/>
  <c r="V445" i="2"/>
  <c r="V641" i="2"/>
  <c r="V753" i="2"/>
  <c r="V375" i="2"/>
  <c r="V196" i="2"/>
  <c r="Y210" i="2"/>
  <c r="X210" i="2"/>
  <c r="V205" i="2"/>
  <c r="V490" i="2"/>
  <c r="Y658" i="2"/>
  <c r="X658" i="2"/>
  <c r="Y725" i="2"/>
  <c r="X725" i="2"/>
  <c r="X273" i="2"/>
  <c r="Y273" i="2"/>
  <c r="V746" i="2"/>
  <c r="V145" i="2"/>
  <c r="V70" i="2"/>
  <c r="Y700" i="2"/>
  <c r="X700" i="2"/>
  <c r="V101" i="2"/>
  <c r="V404" i="2"/>
  <c r="V634" i="2"/>
  <c r="Y516" i="2"/>
  <c r="X516" i="2"/>
  <c r="V219" i="2"/>
  <c r="X220" i="2"/>
  <c r="Y220" i="2"/>
  <c r="V114" i="2"/>
  <c r="V175" i="2"/>
  <c r="V728" i="2"/>
  <c r="V117" i="2"/>
  <c r="V214" i="2"/>
  <c r="V482" i="2"/>
  <c r="V57" i="2"/>
  <c r="V172" i="2"/>
  <c r="V613" i="2"/>
  <c r="V252" i="2"/>
  <c r="Y64" i="2"/>
  <c r="X64" i="2"/>
  <c r="V274" i="2"/>
  <c r="V525" i="2"/>
  <c r="V673" i="2"/>
  <c r="V557" i="2"/>
  <c r="V144" i="2"/>
  <c r="V120" i="2"/>
  <c r="V485" i="2"/>
  <c r="V234" i="2"/>
  <c r="V668" i="2"/>
  <c r="F29" i="2"/>
  <c r="V133" i="2"/>
  <c r="V437" i="2"/>
  <c r="E29" i="2"/>
  <c r="V327" i="2"/>
  <c r="V178" i="2"/>
  <c r="V594" i="2"/>
  <c r="V164" i="2"/>
  <c r="V94" i="2"/>
  <c r="V639" i="2"/>
  <c r="V91" i="2"/>
  <c r="V649" i="2"/>
  <c r="D29" i="2"/>
  <c r="V532" i="2"/>
  <c r="V350" i="2"/>
  <c r="V244" i="2"/>
  <c r="V770" i="2"/>
  <c r="V513" i="2"/>
  <c r="V553" i="2"/>
  <c r="V432" i="2"/>
  <c r="V667" i="2"/>
  <c r="V250" i="2"/>
  <c r="V89" i="2"/>
  <c r="V439" i="2"/>
  <c r="V730" i="2"/>
  <c r="V328" i="2"/>
  <c r="V146" i="2"/>
  <c r="V237" i="2"/>
  <c r="V180" i="2"/>
  <c r="V609" i="2"/>
  <c r="V293" i="2"/>
  <c r="V48" i="2"/>
  <c r="V186" i="2"/>
  <c r="V412" i="2"/>
  <c r="V545" i="2"/>
  <c r="V508" i="2"/>
  <c r="V203" i="2"/>
  <c r="V325" i="2"/>
  <c r="V734" i="2"/>
  <c r="V357" i="2"/>
  <c r="V211" i="2"/>
  <c r="V626" i="2"/>
  <c r="V523" i="2"/>
  <c r="V236" i="2"/>
  <c r="V702" i="2"/>
  <c r="V290" i="2"/>
  <c r="V659" i="2"/>
  <c r="V474" i="2"/>
  <c r="V409" i="2"/>
  <c r="V434" i="2"/>
  <c r="V463" i="2"/>
  <c r="V428" i="2"/>
  <c r="V440" i="2"/>
  <c r="V225" i="2"/>
  <c r="V284" i="2"/>
  <c r="V720" i="2"/>
  <c r="V213" i="2"/>
  <c r="V199" i="2"/>
  <c r="V754" i="2"/>
  <c r="V287" i="2"/>
  <c r="V623" i="2"/>
  <c r="V528" i="2"/>
  <c r="V138" i="2"/>
  <c r="V757" i="2"/>
  <c r="V123" i="2"/>
  <c r="V103" i="2"/>
  <c r="V92" i="2"/>
  <c r="V615" i="2"/>
  <c r="V142" i="2"/>
  <c r="V84" i="2"/>
  <c r="V399" i="2"/>
  <c r="V105" i="2"/>
  <c r="V715" i="2"/>
  <c r="V55" i="2"/>
  <c r="V724" i="2"/>
  <c r="V619" i="2"/>
  <c r="V69" i="2"/>
  <c r="V666" i="2"/>
  <c r="V346" i="2"/>
  <c r="V713" i="2"/>
  <c r="V52" i="2"/>
  <c r="V605" i="2"/>
  <c r="C29" i="2"/>
  <c r="V39" i="2"/>
  <c r="V125" i="2"/>
  <c r="V484" i="2"/>
  <c r="V81" i="2"/>
  <c r="V442" i="2"/>
  <c r="V221" i="2"/>
  <c r="V312" i="2"/>
  <c r="V651" i="2"/>
  <c r="V740" i="2"/>
  <c r="V721" i="2"/>
  <c r="V559" i="2"/>
  <c r="V100" i="2"/>
  <c r="V676" i="2"/>
  <c r="Y324" i="2"/>
  <c r="X324" i="2"/>
  <c r="X166" i="2"/>
  <c r="Y166" i="2"/>
  <c r="X407" i="2"/>
  <c r="Y407" i="2"/>
  <c r="V239" i="2"/>
  <c r="V675" i="2"/>
  <c r="V642" i="2"/>
  <c r="Y629" i="2"/>
  <c r="X629" i="2"/>
  <c r="Y496" i="2"/>
  <c r="X496" i="2"/>
  <c r="V726" i="2"/>
  <c r="V59" i="2"/>
  <c r="X736" i="2"/>
  <c r="Y736" i="2"/>
  <c r="Y454" i="2"/>
  <c r="X454" i="2"/>
  <c r="V257" i="2"/>
  <c r="X140" i="2"/>
  <c r="Y140" i="2"/>
  <c r="V235" i="2"/>
  <c r="X158" i="2"/>
  <c r="Y158" i="2"/>
  <c r="Y241" i="2"/>
  <c r="X241" i="2"/>
  <c r="V253" i="2"/>
  <c r="V139" i="2"/>
  <c r="X201" i="2"/>
  <c r="Y201" i="2"/>
  <c r="X270" i="2"/>
  <c r="Y270" i="2"/>
  <c r="V423" i="2"/>
  <c r="V389" i="2"/>
  <c r="V243" i="2"/>
  <c r="V179" i="2"/>
  <c r="V498" i="2"/>
  <c r="V413" i="2"/>
  <c r="V449" i="2"/>
  <c r="V710" i="2"/>
  <c r="V563" i="2"/>
  <c r="V456" i="2"/>
  <c r="V374" i="2"/>
  <c r="V277" i="2"/>
  <c r="V149" i="2"/>
  <c r="V317" i="2"/>
  <c r="V398" i="2"/>
  <c r="V708" i="2"/>
  <c r="V709" i="2"/>
  <c r="V318" i="2"/>
  <c r="V414" i="2"/>
  <c r="V217" i="2"/>
  <c r="V455" i="2"/>
  <c r="V335" i="2"/>
  <c r="V130" i="2"/>
  <c r="V353" i="2"/>
  <c r="V361" i="2"/>
  <c r="V265" i="2"/>
  <c r="V522" i="2"/>
  <c r="V706" i="2"/>
  <c r="V505" i="2"/>
  <c r="V669" i="2"/>
  <c r="V625" i="2"/>
  <c r="V368" i="2"/>
  <c r="V261" i="2"/>
  <c r="V418" i="2"/>
  <c r="V152" i="2"/>
  <c r="V58" i="2"/>
  <c r="V560" i="2"/>
  <c r="V402" i="2"/>
  <c r="V263" i="2"/>
  <c r="V344" i="2"/>
  <c r="V598" i="2"/>
  <c r="V572" i="2"/>
  <c r="V416" i="2"/>
  <c r="V109" i="2"/>
  <c r="V627" i="2"/>
  <c r="V187" i="2"/>
  <c r="V326" i="2"/>
  <c r="V233" i="2"/>
  <c r="V763" i="2"/>
  <c r="V435" i="2"/>
  <c r="V119" i="2"/>
  <c r="V584" i="2"/>
  <c r="V342" i="2"/>
  <c r="V408" i="2"/>
  <c r="V116" i="2"/>
  <c r="V470" i="2"/>
  <c r="V468" i="2"/>
  <c r="V276" i="2"/>
  <c r="V364" i="2"/>
  <c r="V191" i="2"/>
  <c r="V190" i="2"/>
  <c r="V719" i="2"/>
  <c r="V592" i="2"/>
  <c r="V499" i="2"/>
  <c r="V565" i="2"/>
  <c r="V365" i="2"/>
  <c r="V611" i="2"/>
  <c r="V564" i="2"/>
  <c r="V157" i="2"/>
  <c r="V431" i="2"/>
  <c r="V229" i="2"/>
  <c r="V738" i="2"/>
  <c r="V544" i="2"/>
  <c r="V695" i="2"/>
  <c r="V184" i="2"/>
  <c r="V300" i="2"/>
  <c r="V131" i="2"/>
  <c r="V587" i="2"/>
  <c r="V279" i="2"/>
  <c r="V380" i="2"/>
  <c r="V566" i="2"/>
  <c r="V347" i="2"/>
  <c r="V332" i="2"/>
  <c r="V621" i="2"/>
  <c r="V87" i="2"/>
  <c r="V788" i="2"/>
  <c r="V561" i="2"/>
  <c r="V585" i="2"/>
  <c r="V309" i="2"/>
  <c r="V379" i="2"/>
  <c r="V230" i="2"/>
  <c r="V254" i="2"/>
  <c r="V739" i="2"/>
  <c r="V687" i="2"/>
  <c r="V749" i="2"/>
  <c r="V393" i="2"/>
  <c r="V661" i="2"/>
  <c r="V95" i="2"/>
  <c r="V371" i="2"/>
  <c r="V79" i="2"/>
  <c r="V674" i="2"/>
  <c r="V169" i="2"/>
  <c r="V569" i="2"/>
  <c r="V515" i="2"/>
  <c r="V370" i="2"/>
  <c r="V77" i="2"/>
  <c r="V600" i="2"/>
  <c r="V703" i="2"/>
  <c r="V593" i="2"/>
  <c r="V436" i="2"/>
  <c r="V78" i="2"/>
  <c r="V741" i="2"/>
  <c r="V108" i="2"/>
  <c r="V697" i="2"/>
  <c r="V406" i="2"/>
  <c r="V444" i="2"/>
  <c r="V46" i="2"/>
  <c r="V576" i="2"/>
  <c r="V83" i="2"/>
  <c r="V255" i="2"/>
  <c r="Y355" i="2"/>
  <c r="X355" i="2"/>
  <c r="V501" i="2"/>
  <c r="V415" i="2"/>
  <c r="X258" i="2"/>
  <c r="Y258" i="2"/>
  <c r="V382" i="2"/>
  <c r="Y198" i="2"/>
  <c r="X198" i="2"/>
  <c r="V271" i="2"/>
  <c r="X502" i="2"/>
  <c r="Y502" i="2"/>
  <c r="X242" i="2"/>
  <c r="Y242" i="2"/>
  <c r="V489" i="2"/>
  <c r="Y759" i="2"/>
  <c r="X759" i="2"/>
  <c r="V316" i="2"/>
  <c r="X367" i="2"/>
  <c r="Y367" i="2"/>
  <c r="V294" i="2"/>
  <c r="V272" i="2"/>
  <c r="Y358" i="2"/>
  <c r="X358" i="2"/>
  <c r="V476" i="2"/>
  <c r="V150" i="2"/>
  <c r="V356" i="2"/>
  <c r="V286" i="2"/>
  <c r="V686" i="2"/>
  <c r="X127" i="2"/>
  <c r="Y127" i="2"/>
  <c r="V577" i="2"/>
  <c r="X581" i="2"/>
  <c r="Y581" i="2"/>
  <c r="V288" i="2"/>
  <c r="V582" i="2"/>
  <c r="G29" i="2"/>
  <c r="G30" i="2" s="1"/>
  <c r="V390" i="2"/>
  <c r="V691" i="2"/>
  <c r="V189" i="2"/>
  <c r="V218" i="2"/>
  <c r="V573" i="2"/>
  <c r="V384" i="2"/>
  <c r="V202" i="2"/>
  <c r="V93" i="2"/>
  <c r="V718" i="2"/>
  <c r="V336" i="2"/>
  <c r="V458" i="2"/>
  <c r="V260" i="2"/>
  <c r="V315" i="2"/>
  <c r="V204" i="2"/>
  <c r="V231" i="2"/>
  <c r="V297" i="2"/>
  <c r="V464" i="2"/>
  <c r="V333" i="2"/>
  <c r="V579" i="2"/>
  <c r="V698" i="2"/>
  <c r="V534" i="2"/>
  <c r="V42" i="2"/>
  <c r="V174" i="2"/>
  <c r="V650" i="2"/>
  <c r="V538" i="2"/>
  <c r="V472" i="2"/>
  <c r="V340" i="2"/>
  <c r="V282" i="2"/>
  <c r="V307" i="2"/>
  <c r="V606" i="2"/>
  <c r="V612" i="2"/>
  <c r="V518" i="2"/>
  <c r="V640" i="2"/>
  <c r="V429" i="2"/>
  <c r="V620" i="2"/>
  <c r="V509" i="2"/>
  <c r="V373" i="2"/>
  <c r="V197" i="2"/>
  <c r="V245" i="2"/>
  <c r="V487" i="2"/>
  <c r="V206" i="2"/>
  <c r="V448" i="2"/>
  <c r="V349" i="2"/>
  <c r="V385" i="2"/>
  <c r="V115" i="2"/>
  <c r="V450" i="2"/>
  <c r="V118" i="2"/>
  <c r="V447" i="2"/>
  <c r="V480" i="2"/>
  <c r="V657" i="2"/>
  <c r="V729" i="2"/>
  <c r="V122" i="2"/>
  <c r="V354" i="2"/>
  <c r="V155" i="2"/>
  <c r="V773" i="2"/>
  <c r="V53" i="2"/>
  <c r="V314" i="2"/>
  <c r="V320" i="2"/>
  <c r="V121" i="2"/>
  <c r="V391" i="2"/>
  <c r="V126" i="2"/>
  <c r="V655" i="2"/>
  <c r="V378" i="2"/>
  <c r="V769" i="2"/>
  <c r="V411" i="2"/>
  <c r="V264" i="2"/>
  <c r="V595" i="2"/>
  <c r="V443" i="2"/>
  <c r="V648" i="2"/>
  <c r="V457" i="2"/>
  <c r="V56" i="2"/>
  <c r="V41" i="2"/>
  <c r="V65" i="2"/>
  <c r="V628" i="2"/>
  <c r="V632" i="2"/>
  <c r="V85" i="2"/>
  <c r="V215" i="2"/>
  <c r="V536" i="2"/>
  <c r="V313" i="2"/>
  <c r="V319" i="2"/>
  <c r="V75" i="2"/>
  <c r="V182" i="2"/>
  <c r="V541" i="2"/>
  <c r="V453" i="2"/>
  <c r="V110" i="2"/>
  <c r="V680" i="2"/>
  <c r="V778" i="2"/>
  <c r="V787" i="2"/>
  <c r="V381" i="2"/>
  <c r="V132" i="2"/>
  <c r="V562" i="2"/>
  <c r="V251" i="2"/>
  <c r="V539" i="2"/>
  <c r="V601" i="2"/>
  <c r="V732" i="2"/>
  <c r="V417" i="2"/>
  <c r="V764" i="2"/>
  <c r="V171" i="2"/>
  <c r="V665" i="2"/>
  <c r="V74" i="2"/>
  <c r="V722" i="2"/>
  <c r="V786" i="2"/>
  <c r="V610" i="2"/>
  <c r="Y595" i="2" l="1"/>
  <c r="AA595" i="2" s="1"/>
  <c r="X595" i="2"/>
  <c r="X620" i="2"/>
  <c r="Y620" i="2"/>
  <c r="AA620" i="2" s="1"/>
  <c r="X189" i="2"/>
  <c r="Y189" i="2"/>
  <c r="X515" i="2"/>
  <c r="Y515" i="2"/>
  <c r="AA515" i="2" s="1"/>
  <c r="X585" i="2"/>
  <c r="Y585" i="2"/>
  <c r="X738" i="2"/>
  <c r="Y738" i="2"/>
  <c r="AA738" i="2" s="1"/>
  <c r="Y499" i="2"/>
  <c r="X499" i="2"/>
  <c r="Y470" i="2"/>
  <c r="AA470" i="2" s="1"/>
  <c r="X470" i="2"/>
  <c r="X353" i="2"/>
  <c r="Y353" i="2"/>
  <c r="X708" i="2"/>
  <c r="Y708" i="2"/>
  <c r="AA708" i="2" s="1"/>
  <c r="X710" i="2"/>
  <c r="Y710" i="2"/>
  <c r="AA270" i="2"/>
  <c r="AA158" i="2"/>
  <c r="X642" i="2"/>
  <c r="Y642" i="2"/>
  <c r="AA642" i="2" s="1"/>
  <c r="AA324" i="2"/>
  <c r="X221" i="2"/>
  <c r="Y221" i="2"/>
  <c r="X52" i="2"/>
  <c r="Y52" i="2"/>
  <c r="AA52" i="2" s="1"/>
  <c r="Y715" i="2"/>
  <c r="X715" i="2"/>
  <c r="X123" i="2"/>
  <c r="Y123" i="2"/>
  <c r="AA123" i="2" s="1"/>
  <c r="X213" i="2"/>
  <c r="Y213" i="2"/>
  <c r="Y409" i="2"/>
  <c r="AA409" i="2" s="1"/>
  <c r="X409" i="2"/>
  <c r="X211" i="2"/>
  <c r="Y211" i="2"/>
  <c r="Y186" i="2"/>
  <c r="AA186" i="2" s="1"/>
  <c r="X186" i="2"/>
  <c r="Y730" i="2"/>
  <c r="X730" i="2"/>
  <c r="X770" i="2"/>
  <c r="Y770" i="2"/>
  <c r="AA770" i="2" s="1"/>
  <c r="X94" i="2"/>
  <c r="Y94" i="2"/>
  <c r="F30" i="2"/>
  <c r="Y525" i="2"/>
  <c r="AA525" i="2" s="1"/>
  <c r="X525" i="2"/>
  <c r="X482" i="2"/>
  <c r="Y482" i="2"/>
  <c r="AA482" i="2" s="1"/>
  <c r="X219" i="2"/>
  <c r="Y219" i="2"/>
  <c r="X70" i="2"/>
  <c r="Y70" i="2"/>
  <c r="AA70" i="2" s="1"/>
  <c r="AA658" i="2"/>
  <c r="X641" i="2"/>
  <c r="Y641" i="2"/>
  <c r="Y705" i="2"/>
  <c r="AA705" i="2" s="1"/>
  <c r="X705" i="2"/>
  <c r="X694" i="2"/>
  <c r="Y694" i="2"/>
  <c r="X165" i="2"/>
  <c r="Y165" i="2"/>
  <c r="AA165" i="2" s="1"/>
  <c r="X535" i="2"/>
  <c r="Y535" i="2"/>
  <c r="Y80" i="2"/>
  <c r="AA80" i="2" s="1"/>
  <c r="X80" i="2"/>
  <c r="Y460" i="2"/>
  <c r="X460" i="2"/>
  <c r="Y183" i="2"/>
  <c r="AA183" i="2" s="1"/>
  <c r="X183" i="2"/>
  <c r="X278" i="2"/>
  <c r="Y278" i="2"/>
  <c r="X555" i="2"/>
  <c r="Y555" i="2"/>
  <c r="AA555" i="2" s="1"/>
  <c r="X420" i="2"/>
  <c r="Y420" i="2"/>
  <c r="Y782" i="2"/>
  <c r="AA782" i="2" s="1"/>
  <c r="X782" i="2"/>
  <c r="X181" i="2"/>
  <c r="Y181" i="2"/>
  <c r="X360" i="2"/>
  <c r="Y360" i="2"/>
  <c r="AA360" i="2" s="1"/>
  <c r="Y467" i="2"/>
  <c r="AA467" i="2" s="1"/>
  <c r="X467" i="2"/>
  <c r="Y410" i="2"/>
  <c r="X410" i="2"/>
  <c r="AA704" i="2"/>
  <c r="Y774" i="2"/>
  <c r="AA774" i="2" s="1"/>
  <c r="X774" i="2"/>
  <c r="X537" i="2"/>
  <c r="Y537" i="2"/>
  <c r="AA537" i="2" s="1"/>
  <c r="X597" i="2"/>
  <c r="Y597" i="2"/>
  <c r="X194" i="2"/>
  <c r="Y194" i="2"/>
  <c r="AA194" i="2" s="1"/>
  <c r="AA645" i="2"/>
  <c r="X135" i="2"/>
  <c r="Y135" i="2"/>
  <c r="Y66" i="2"/>
  <c r="AA66" i="2" s="1"/>
  <c r="X66" i="2"/>
  <c r="Y473" i="2"/>
  <c r="X473" i="2"/>
  <c r="X554" i="2"/>
  <c r="Y554" i="2"/>
  <c r="AA554" i="2" s="1"/>
  <c r="Y772" i="2"/>
  <c r="X772" i="2"/>
  <c r="Y102" i="2"/>
  <c r="AA102" i="2" s="1"/>
  <c r="X102" i="2"/>
  <c r="Y192" i="2"/>
  <c r="X192" i="2"/>
  <c r="Y662" i="2"/>
  <c r="AA662" i="2" s="1"/>
  <c r="X662" i="2"/>
  <c r="X483" i="2"/>
  <c r="Y483" i="2"/>
  <c r="Y240" i="2"/>
  <c r="AA240" i="2" s="1"/>
  <c r="X240" i="2"/>
  <c r="AA106" i="2"/>
  <c r="AA785" i="2"/>
  <c r="Y441" i="2"/>
  <c r="X441" i="2"/>
  <c r="X134" i="2"/>
  <c r="Y134" i="2"/>
  <c r="AA134" i="2" s="1"/>
  <c r="Y388" i="2"/>
  <c r="X388" i="2"/>
  <c r="Y153" i="2"/>
  <c r="AA153" i="2" s="1"/>
  <c r="X153" i="2"/>
  <c r="Y171" i="2"/>
  <c r="AA171" i="2" s="1"/>
  <c r="X171" i="2"/>
  <c r="X132" i="2"/>
  <c r="Y132" i="2"/>
  <c r="Y182" i="2"/>
  <c r="AA182" i="2" s="1"/>
  <c r="X182" i="2"/>
  <c r="X628" i="2"/>
  <c r="Y628" i="2"/>
  <c r="X264" i="2"/>
  <c r="Y264" i="2"/>
  <c r="AA264" i="2" s="1"/>
  <c r="X320" i="2"/>
  <c r="Y320" i="2"/>
  <c r="Y657" i="2"/>
  <c r="AA657" i="2" s="1"/>
  <c r="X657" i="2"/>
  <c r="X448" i="2"/>
  <c r="Y448" i="2"/>
  <c r="X429" i="2"/>
  <c r="Y429" i="2"/>
  <c r="AA429" i="2" s="1"/>
  <c r="X472" i="2"/>
  <c r="Y472" i="2"/>
  <c r="X333" i="2"/>
  <c r="Y333" i="2"/>
  <c r="AA333" i="2" s="1"/>
  <c r="Y336" i="2"/>
  <c r="X336" i="2"/>
  <c r="Y691" i="2"/>
  <c r="AA691" i="2" s="1"/>
  <c r="X691" i="2"/>
  <c r="X489" i="2"/>
  <c r="Y489" i="2"/>
  <c r="AA489" i="2" s="1"/>
  <c r="X382" i="2"/>
  <c r="Y382" i="2"/>
  <c r="X83" i="2"/>
  <c r="Y83" i="2"/>
  <c r="AA83" i="2" s="1"/>
  <c r="Y78" i="2"/>
  <c r="X78" i="2"/>
  <c r="X569" i="2"/>
  <c r="Y569" i="2"/>
  <c r="AA569" i="2" s="1"/>
  <c r="Y749" i="2"/>
  <c r="X749" i="2"/>
  <c r="X561" i="2"/>
  <c r="Y561" i="2"/>
  <c r="AA561" i="2" s="1"/>
  <c r="Y279" i="2"/>
  <c r="X279" i="2"/>
  <c r="X229" i="2"/>
  <c r="Y229" i="2"/>
  <c r="AA229" i="2" s="1"/>
  <c r="Y592" i="2"/>
  <c r="X592" i="2"/>
  <c r="Y116" i="2"/>
  <c r="AA116" i="2" s="1"/>
  <c r="X116" i="2"/>
  <c r="X326" i="2"/>
  <c r="Y326" i="2"/>
  <c r="X263" i="2"/>
  <c r="Y263" i="2"/>
  <c r="AA263" i="2" s="1"/>
  <c r="Y625" i="2"/>
  <c r="X625" i="2"/>
  <c r="X130" i="2"/>
  <c r="Y130" i="2"/>
  <c r="AA130" i="2" s="1"/>
  <c r="X398" i="2"/>
  <c r="Y398" i="2"/>
  <c r="Y449" i="2"/>
  <c r="AA449" i="2" s="1"/>
  <c r="X449" i="2"/>
  <c r="Y675" i="2"/>
  <c r="X675" i="2"/>
  <c r="Y676" i="2"/>
  <c r="AA676" i="2" s="1"/>
  <c r="X676" i="2"/>
  <c r="X442" i="2"/>
  <c r="Y442" i="2"/>
  <c r="X713" i="2"/>
  <c r="Y713" i="2"/>
  <c r="AA713" i="2" s="1"/>
  <c r="Y105" i="2"/>
  <c r="X105" i="2"/>
  <c r="Y757" i="2"/>
  <c r="AA757" i="2" s="1"/>
  <c r="X757" i="2"/>
  <c r="X720" i="2"/>
  <c r="Y720" i="2"/>
  <c r="Y474" i="2"/>
  <c r="AA474" i="2" s="1"/>
  <c r="X474" i="2"/>
  <c r="X357" i="2"/>
  <c r="Y357" i="2"/>
  <c r="Y48" i="2"/>
  <c r="AA48" i="2" s="1"/>
  <c r="X48" i="2"/>
  <c r="X439" i="2"/>
  <c r="Y439" i="2"/>
  <c r="X244" i="2"/>
  <c r="Y244" i="2"/>
  <c r="AA244" i="2" s="1"/>
  <c r="X164" i="2"/>
  <c r="Y164" i="2"/>
  <c r="X668" i="2"/>
  <c r="Y668" i="2"/>
  <c r="AA668" i="2" s="1"/>
  <c r="X274" i="2"/>
  <c r="Y274" i="2"/>
  <c r="Y214" i="2"/>
  <c r="AA214" i="2" s="1"/>
  <c r="X214" i="2"/>
  <c r="X145" i="2"/>
  <c r="Y145" i="2"/>
  <c r="Y490" i="2"/>
  <c r="AA490" i="2" s="1"/>
  <c r="X490" i="2"/>
  <c r="X445" i="2"/>
  <c r="Y445" i="2"/>
  <c r="Y504" i="2"/>
  <c r="AA504" i="2" s="1"/>
  <c r="X504" i="2"/>
  <c r="X701" i="2"/>
  <c r="Y701" i="2"/>
  <c r="Y224" i="2"/>
  <c r="AA224" i="2" s="1"/>
  <c r="X224" i="2"/>
  <c r="Y688" i="2"/>
  <c r="X688" i="2"/>
  <c r="X546" i="2"/>
  <c r="Y546" i="2"/>
  <c r="AA546" i="2" s="1"/>
  <c r="Y90" i="2"/>
  <c r="X90" i="2"/>
  <c r="Y743" i="2"/>
  <c r="AA743" i="2" s="1"/>
  <c r="X743" i="2"/>
  <c r="X511" i="2"/>
  <c r="Y511" i="2"/>
  <c r="Y111" i="2"/>
  <c r="AA111" i="2" s="1"/>
  <c r="X111" i="2"/>
  <c r="Y425" i="2"/>
  <c r="X425" i="2"/>
  <c r="X44" i="2"/>
  <c r="Y44" i="2"/>
  <c r="AA44" i="2" s="1"/>
  <c r="Y492" i="2"/>
  <c r="X492" i="2"/>
  <c r="X305" i="2"/>
  <c r="Y305" i="2"/>
  <c r="AA305" i="2" s="1"/>
  <c r="Y644" i="2"/>
  <c r="X644" i="2"/>
  <c r="X654" i="2"/>
  <c r="Y654" i="2"/>
  <c r="AA654" i="2" s="1"/>
  <c r="Y693" i="2"/>
  <c r="X693" i="2"/>
  <c r="X707" i="2"/>
  <c r="Y707" i="2"/>
  <c r="AA707" i="2" s="1"/>
  <c r="Y372" i="2"/>
  <c r="X372" i="2"/>
  <c r="X334" i="2"/>
  <c r="Y334" i="2"/>
  <c r="AA334" i="2" s="1"/>
  <c r="X689" i="2"/>
  <c r="Y689" i="2"/>
  <c r="Y362" i="2"/>
  <c r="AA362" i="2" s="1"/>
  <c r="X362" i="2"/>
  <c r="Y45" i="2"/>
  <c r="X45" i="2"/>
  <c r="Y524" i="2"/>
  <c r="AA524" i="2" s="1"/>
  <c r="X524" i="2"/>
  <c r="Y637" i="2"/>
  <c r="X637" i="2"/>
  <c r="Y779" i="2"/>
  <c r="AA779" i="2" s="1"/>
  <c r="X779" i="2"/>
  <c r="Y289" i="2"/>
  <c r="X289" i="2"/>
  <c r="X507" i="2"/>
  <c r="Y507" i="2"/>
  <c r="AA507" i="2" s="1"/>
  <c r="X784" i="2"/>
  <c r="Y784" i="2"/>
  <c r="X760" i="2"/>
  <c r="Y760" i="2"/>
  <c r="AA760" i="2" s="1"/>
  <c r="Y776" i="2"/>
  <c r="X776" i="2"/>
  <c r="X475" i="2"/>
  <c r="Y475" i="2"/>
  <c r="AA475" i="2" s="1"/>
  <c r="Y43" i="2"/>
  <c r="X43" i="2"/>
  <c r="AA663" i="2"/>
  <c r="X228" i="2"/>
  <c r="Y228" i="2"/>
  <c r="AA321" i="2"/>
  <c r="X514" i="2"/>
  <c r="Y514" i="2"/>
  <c r="Y665" i="2"/>
  <c r="AA665" i="2" s="1"/>
  <c r="X665" i="2"/>
  <c r="X729" i="2"/>
  <c r="Y729" i="2"/>
  <c r="X579" i="2"/>
  <c r="Y579" i="2"/>
  <c r="AA579" i="2" s="1"/>
  <c r="X577" i="2"/>
  <c r="Y577" i="2"/>
  <c r="AA198" i="2"/>
  <c r="X393" i="2"/>
  <c r="Y393" i="2"/>
  <c r="Y380" i="2"/>
  <c r="X380" i="2"/>
  <c r="X233" i="2"/>
  <c r="Y233" i="2"/>
  <c r="X381" i="2"/>
  <c r="Y381" i="2"/>
  <c r="AA381" i="2" s="1"/>
  <c r="Y314" i="2"/>
  <c r="AA314" i="2" s="1"/>
  <c r="X314" i="2"/>
  <c r="X464" i="2"/>
  <c r="Y464" i="2"/>
  <c r="AA464" i="2" s="1"/>
  <c r="X272" i="2"/>
  <c r="Y272" i="2"/>
  <c r="X436" i="2"/>
  <c r="Y436" i="2"/>
  <c r="AA436" i="2" s="1"/>
  <c r="Y431" i="2"/>
  <c r="AA431" i="2" s="1"/>
  <c r="X431" i="2"/>
  <c r="Y669" i="2"/>
  <c r="X669" i="2"/>
  <c r="X413" i="2"/>
  <c r="Y413" i="2"/>
  <c r="Y235" i="2"/>
  <c r="AA235" i="2" s="1"/>
  <c r="X235" i="2"/>
  <c r="Y100" i="2"/>
  <c r="X100" i="2"/>
  <c r="Y81" i="2"/>
  <c r="AA81" i="2" s="1"/>
  <c r="X81" i="2"/>
  <c r="Y346" i="2"/>
  <c r="X346" i="2"/>
  <c r="Y399" i="2"/>
  <c r="AA399" i="2" s="1"/>
  <c r="X399" i="2"/>
  <c r="X138" i="2"/>
  <c r="Y138" i="2"/>
  <c r="X284" i="2"/>
  <c r="Y284" i="2"/>
  <c r="AA284" i="2" s="1"/>
  <c r="Y659" i="2"/>
  <c r="X659" i="2"/>
  <c r="X734" i="2"/>
  <c r="Y734" i="2"/>
  <c r="AA734" i="2" s="1"/>
  <c r="X293" i="2"/>
  <c r="Y293" i="2"/>
  <c r="Y89" i="2"/>
  <c r="AA89" i="2" s="1"/>
  <c r="X89" i="2"/>
  <c r="X350" i="2"/>
  <c r="Y350" i="2"/>
  <c r="Y594" i="2"/>
  <c r="AA594" i="2" s="1"/>
  <c r="X594" i="2"/>
  <c r="Y234" i="2"/>
  <c r="X234" i="2"/>
  <c r="X117" i="2"/>
  <c r="Y117" i="2"/>
  <c r="AA117" i="2" s="1"/>
  <c r="Y746" i="2"/>
  <c r="X746" i="2"/>
  <c r="Y205" i="2"/>
  <c r="AA205" i="2" s="1"/>
  <c r="X205" i="2"/>
  <c r="X607" i="2"/>
  <c r="Y607" i="2"/>
  <c r="AA607" i="2" s="1"/>
  <c r="X238" i="2"/>
  <c r="Y238" i="2"/>
  <c r="X781" i="2"/>
  <c r="Y781" i="2"/>
  <c r="AA781" i="2" s="1"/>
  <c r="Y177" i="2"/>
  <c r="X177" i="2"/>
  <c r="X588" i="2"/>
  <c r="Y588" i="2"/>
  <c r="AA588" i="2" s="1"/>
  <c r="X762" i="2"/>
  <c r="Y762" i="2"/>
  <c r="AA762" i="2" s="1"/>
  <c r="Y452" i="2"/>
  <c r="X452" i="2"/>
  <c r="Y266" i="2"/>
  <c r="AA266" i="2" s="1"/>
  <c r="X266" i="2"/>
  <c r="X459" i="2"/>
  <c r="Y459" i="2"/>
  <c r="Y377" i="2"/>
  <c r="AA377" i="2" s="1"/>
  <c r="X377" i="2"/>
  <c r="Y567" i="2"/>
  <c r="X567" i="2"/>
  <c r="AA419" i="2"/>
  <c r="Y283" i="2"/>
  <c r="AA283" i="2" s="1"/>
  <c r="X283" i="2"/>
  <c r="X338" i="2"/>
  <c r="Y338" i="2"/>
  <c r="AA338" i="2" s="1"/>
  <c r="AA521" i="2"/>
  <c r="X755" i="2"/>
  <c r="Y755" i="2"/>
  <c r="AA173" i="2"/>
  <c r="X761" i="2"/>
  <c r="Y761" i="2"/>
  <c r="X500" i="2"/>
  <c r="Y500" i="2"/>
  <c r="AA500" i="2" s="1"/>
  <c r="Y72" i="2"/>
  <c r="AA72" i="2" s="1"/>
  <c r="X72" i="2"/>
  <c r="X68" i="2"/>
  <c r="Y68" i="2"/>
  <c r="AA68" i="2" s="1"/>
  <c r="Y280" i="2"/>
  <c r="AA280" i="2" s="1"/>
  <c r="X280" i="2"/>
  <c r="X519" i="2"/>
  <c r="Y519" i="2"/>
  <c r="AA519" i="2" s="1"/>
  <c r="Y386" i="2"/>
  <c r="AA386" i="2" s="1"/>
  <c r="X386" i="2"/>
  <c r="X337" i="2"/>
  <c r="Y337" i="2"/>
  <c r="AA337" i="2" s="1"/>
  <c r="X527" i="2"/>
  <c r="Y527" i="2"/>
  <c r="Y82" i="2"/>
  <c r="X82" i="2"/>
  <c r="Y359" i="2"/>
  <c r="AA359" i="2" s="1"/>
  <c r="X359" i="2"/>
  <c r="Y638" i="2"/>
  <c r="X638" i="2"/>
  <c r="X268" i="2"/>
  <c r="Y268" i="2"/>
  <c r="X299" i="2"/>
  <c r="Y299" i="2"/>
  <c r="AA299" i="2" s="1"/>
  <c r="X387" i="2"/>
  <c r="Y387" i="2"/>
  <c r="X403" i="2"/>
  <c r="Y403" i="2"/>
  <c r="AA403" i="2" s="1"/>
  <c r="X643" i="2"/>
  <c r="Y643" i="2"/>
  <c r="Y159" i="2"/>
  <c r="X159" i="2"/>
  <c r="X136" i="2"/>
  <c r="Y136" i="2"/>
  <c r="X128" i="2"/>
  <c r="Y128" i="2"/>
  <c r="AA128" i="2" s="1"/>
  <c r="X73" i="2"/>
  <c r="Y73" i="2"/>
  <c r="AA73" i="2" s="1"/>
  <c r="X541" i="2"/>
  <c r="Y541" i="2"/>
  <c r="Y349" i="2"/>
  <c r="AA349" i="2" s="1"/>
  <c r="X349" i="2"/>
  <c r="X458" i="2"/>
  <c r="Y458" i="2"/>
  <c r="X255" i="2"/>
  <c r="Y255" i="2"/>
  <c r="AA255" i="2" s="1"/>
  <c r="X368" i="2"/>
  <c r="Y368" i="2"/>
  <c r="Y75" i="2"/>
  <c r="AA75" i="2" s="1"/>
  <c r="X75" i="2"/>
  <c r="X411" i="2"/>
  <c r="Y411" i="2"/>
  <c r="Y480" i="2"/>
  <c r="AA480" i="2" s="1"/>
  <c r="X480" i="2"/>
  <c r="X640" i="2"/>
  <c r="Y640" i="2"/>
  <c r="X718" i="2"/>
  <c r="Y718" i="2"/>
  <c r="AA718" i="2" s="1"/>
  <c r="Y169" i="2"/>
  <c r="X169" i="2"/>
  <c r="X788" i="2"/>
  <c r="Y788" i="2"/>
  <c r="Y719" i="2"/>
  <c r="X719" i="2"/>
  <c r="Y187" i="2"/>
  <c r="AA187" i="2" s="1"/>
  <c r="X187" i="2"/>
  <c r="X335" i="2"/>
  <c r="Y335" i="2"/>
  <c r="AA335" i="2" s="1"/>
  <c r="X239" i="2"/>
  <c r="Y239" i="2"/>
  <c r="X787" i="2"/>
  <c r="Y787" i="2"/>
  <c r="AA787" i="2" s="1"/>
  <c r="Y41" i="2"/>
  <c r="AA41" i="2" s="1"/>
  <c r="X41" i="2"/>
  <c r="X53" i="2"/>
  <c r="Y53" i="2"/>
  <c r="AA53" i="2" s="1"/>
  <c r="X487" i="2"/>
  <c r="Y487" i="2"/>
  <c r="X650" i="2"/>
  <c r="Y650" i="2"/>
  <c r="AA650" i="2" s="1"/>
  <c r="X93" i="2"/>
  <c r="Y93" i="2"/>
  <c r="X294" i="2"/>
  <c r="Y294" i="2"/>
  <c r="AA294" i="2" s="1"/>
  <c r="X674" i="2"/>
  <c r="Y674" i="2"/>
  <c r="X131" i="2"/>
  <c r="Y131" i="2"/>
  <c r="AA131" i="2" s="1"/>
  <c r="Y190" i="2"/>
  <c r="AA190" i="2" s="1"/>
  <c r="X190" i="2"/>
  <c r="Y560" i="2"/>
  <c r="X560" i="2"/>
  <c r="X149" i="2"/>
  <c r="Y149" i="2"/>
  <c r="X559" i="2"/>
  <c r="Y559" i="2"/>
  <c r="AA559" i="2" s="1"/>
  <c r="Y84" i="2"/>
  <c r="X84" i="2"/>
  <c r="Y225" i="2"/>
  <c r="AA225" i="2" s="1"/>
  <c r="X225" i="2"/>
  <c r="X609" i="2"/>
  <c r="Y609" i="2"/>
  <c r="Y532" i="2"/>
  <c r="AA532" i="2" s="1"/>
  <c r="X532" i="2"/>
  <c r="Y485" i="2"/>
  <c r="X485" i="2"/>
  <c r="AA273" i="2"/>
  <c r="X112" i="2"/>
  <c r="Y112" i="2"/>
  <c r="X696" i="2"/>
  <c r="Y696" i="2"/>
  <c r="AA696" i="2" s="1"/>
  <c r="Y578" i="2"/>
  <c r="X578" i="2"/>
  <c r="Y530" i="2"/>
  <c r="AA530" i="2" s="1"/>
  <c r="X530" i="2"/>
  <c r="X162" i="2"/>
  <c r="Y162" i="2"/>
  <c r="Y711" i="2"/>
  <c r="AA711" i="2" s="1"/>
  <c r="X711" i="2"/>
  <c r="X547" i="2"/>
  <c r="Y547" i="2"/>
  <c r="X481" i="2"/>
  <c r="Y481" i="2"/>
  <c r="AA481" i="2" s="1"/>
  <c r="Y614" i="2"/>
  <c r="X614" i="2"/>
  <c r="X471" i="2"/>
  <c r="Y471" i="2"/>
  <c r="AA471" i="2" s="1"/>
  <c r="X758" i="2"/>
  <c r="Y758" i="2"/>
  <c r="X451" i="2"/>
  <c r="Y451" i="2"/>
  <c r="AA451" i="2" s="1"/>
  <c r="X765" i="2"/>
  <c r="Y765" i="2"/>
  <c r="X292" i="2"/>
  <c r="Y292" i="2"/>
  <c r="AA292" i="2" s="1"/>
  <c r="X143" i="2"/>
  <c r="Y143" i="2"/>
  <c r="AA143" i="2" s="1"/>
  <c r="Y86" i="2"/>
  <c r="X86" i="2"/>
  <c r="X778" i="2"/>
  <c r="Y778" i="2"/>
  <c r="AA778" i="2" s="1"/>
  <c r="X56" i="2"/>
  <c r="Y56" i="2"/>
  <c r="Y773" i="2"/>
  <c r="AA773" i="2" s="1"/>
  <c r="X773" i="2"/>
  <c r="Y174" i="2"/>
  <c r="X174" i="2"/>
  <c r="X286" i="2"/>
  <c r="Y286" i="2"/>
  <c r="AA286" i="2" s="1"/>
  <c r="Y621" i="2"/>
  <c r="X621" i="2"/>
  <c r="D30" i="2"/>
  <c r="Y327" i="2"/>
  <c r="AA327" i="2" s="1"/>
  <c r="X327" i="2"/>
  <c r="X120" i="2"/>
  <c r="Y120" i="2"/>
  <c r="AA120" i="2" s="1"/>
  <c r="X252" i="2"/>
  <c r="Y252" i="2"/>
  <c r="X175" i="2"/>
  <c r="Y175" i="2"/>
  <c r="AA175" i="2" s="1"/>
  <c r="Y404" i="2"/>
  <c r="AA404" i="2" s="1"/>
  <c r="X404" i="2"/>
  <c r="Y113" i="2"/>
  <c r="AA113" i="2" s="1"/>
  <c r="X113" i="2"/>
  <c r="X602" i="2"/>
  <c r="Y602" i="2"/>
  <c r="X733" i="2"/>
  <c r="Y733" i="2"/>
  <c r="AA733" i="2" s="1"/>
  <c r="X635" i="2"/>
  <c r="Y635" i="2"/>
  <c r="Y692" i="2"/>
  <c r="AA692" i="2" s="1"/>
  <c r="X692" i="2"/>
  <c r="X323" i="2"/>
  <c r="Y323" i="2"/>
  <c r="X491" i="2"/>
  <c r="Y491" i="2"/>
  <c r="AA491" i="2" s="1"/>
  <c r="Y469" i="2"/>
  <c r="X469" i="2"/>
  <c r="X551" i="2"/>
  <c r="Y551" i="2"/>
  <c r="X652" i="2"/>
  <c r="Y652" i="2"/>
  <c r="AA731" i="2"/>
  <c r="Y222" i="2"/>
  <c r="AA222" i="2" s="1"/>
  <c r="X222" i="2"/>
  <c r="Y195" i="2"/>
  <c r="X195" i="2"/>
  <c r="Y540" i="2"/>
  <c r="AA540" i="2" s="1"/>
  <c r="X540" i="2"/>
  <c r="Y717" i="2"/>
  <c r="X717" i="2"/>
  <c r="X647" i="2"/>
  <c r="Y647" i="2"/>
  <c r="Y493" i="2"/>
  <c r="X493" i="2"/>
  <c r="Y50" i="2"/>
  <c r="AA50" i="2" s="1"/>
  <c r="X50" i="2"/>
  <c r="X548" i="2"/>
  <c r="Y548" i="2"/>
  <c r="AA548" i="2" s="1"/>
  <c r="Y49" i="2"/>
  <c r="AA49" i="2" s="1"/>
  <c r="X49" i="2"/>
  <c r="Y622" i="2"/>
  <c r="X622" i="2"/>
  <c r="Y575" i="2"/>
  <c r="AA575" i="2" s="1"/>
  <c r="X575" i="2"/>
  <c r="X752" i="2"/>
  <c r="Y752" i="2"/>
  <c r="AA752" i="2" s="1"/>
  <c r="X486" i="2"/>
  <c r="Y486" i="2"/>
  <c r="X298" i="2"/>
  <c r="Y298" i="2"/>
  <c r="AA298" i="2" s="1"/>
  <c r="X296" i="2"/>
  <c r="Y296" i="2"/>
  <c r="Y679" i="2"/>
  <c r="X679" i="2"/>
  <c r="Y96" i="2"/>
  <c r="AA96" i="2" s="1"/>
  <c r="X96" i="2"/>
  <c r="X777" i="2"/>
  <c r="Y777" i="2"/>
  <c r="AA777" i="2" s="1"/>
  <c r="Y331" i="2"/>
  <c r="AA331" i="2" s="1"/>
  <c r="X331" i="2"/>
  <c r="Y744" i="2"/>
  <c r="X744" i="2"/>
  <c r="Y193" i="2"/>
  <c r="AA193" i="2" s="1"/>
  <c r="X193" i="2"/>
  <c r="X405" i="2"/>
  <c r="Y405" i="2"/>
  <c r="AA405" i="2" s="1"/>
  <c r="X531" i="2"/>
  <c r="Y531" i="2"/>
  <c r="X147" i="2"/>
  <c r="Y147" i="2"/>
  <c r="AA147" i="2" s="1"/>
  <c r="X148" i="2"/>
  <c r="Y148" i="2"/>
  <c r="Y438" i="2"/>
  <c r="X438" i="2"/>
  <c r="X783" i="2"/>
  <c r="Y783" i="2"/>
  <c r="X246" i="2"/>
  <c r="Y246" i="2"/>
  <c r="AA246" i="2" s="1"/>
  <c r="Y751" i="2"/>
  <c r="X751" i="2"/>
  <c r="Y212" i="2"/>
  <c r="AA212" i="2" s="1"/>
  <c r="X212" i="2"/>
  <c r="X742" i="2"/>
  <c r="Y742" i="2"/>
  <c r="AA742" i="2" s="1"/>
  <c r="Y727" i="2"/>
  <c r="AA727" i="2" s="1"/>
  <c r="X727" i="2"/>
  <c r="X786" i="2"/>
  <c r="Y786" i="2"/>
  <c r="AA786" i="2" s="1"/>
  <c r="X601" i="2"/>
  <c r="Y601" i="2"/>
  <c r="Y680" i="2"/>
  <c r="AA680" i="2" s="1"/>
  <c r="X680" i="2"/>
  <c r="Y536" i="2"/>
  <c r="X536" i="2"/>
  <c r="Y457" i="2"/>
  <c r="AA457" i="2" s="1"/>
  <c r="X457" i="2"/>
  <c r="Y655" i="2"/>
  <c r="X655" i="2"/>
  <c r="X155" i="2"/>
  <c r="Y155" i="2"/>
  <c r="AA155" i="2" s="1"/>
  <c r="X450" i="2"/>
  <c r="Y450" i="2"/>
  <c r="Y197" i="2"/>
  <c r="AA197" i="2" s="1"/>
  <c r="X197" i="2"/>
  <c r="Y606" i="2"/>
  <c r="X606" i="2"/>
  <c r="Y42" i="2"/>
  <c r="AA42" i="2" s="1"/>
  <c r="X42" i="2"/>
  <c r="X204" i="2"/>
  <c r="Y204" i="2"/>
  <c r="X384" i="2"/>
  <c r="Y384" i="2"/>
  <c r="AA384" i="2" s="1"/>
  <c r="X288" i="2"/>
  <c r="Y288" i="2"/>
  <c r="Y356" i="2"/>
  <c r="AA356" i="2" s="1"/>
  <c r="X356" i="2"/>
  <c r="X501" i="2"/>
  <c r="Y501" i="2"/>
  <c r="Y406" i="2"/>
  <c r="AA406" i="2" s="1"/>
  <c r="X406" i="2"/>
  <c r="Y600" i="2"/>
  <c r="X600" i="2"/>
  <c r="Y371" i="2"/>
  <c r="AA371" i="2" s="1"/>
  <c r="X371" i="2"/>
  <c r="X230" i="2"/>
  <c r="Y230" i="2"/>
  <c r="Y332" i="2"/>
  <c r="AA332" i="2" s="1"/>
  <c r="X332" i="2"/>
  <c r="X184" i="2"/>
  <c r="Y184" i="2"/>
  <c r="X611" i="2"/>
  <c r="Y611" i="2"/>
  <c r="AA611" i="2" s="1"/>
  <c r="Y364" i="2"/>
  <c r="X364" i="2"/>
  <c r="Y119" i="2"/>
  <c r="AA119" i="2" s="1"/>
  <c r="X119" i="2"/>
  <c r="Y416" i="2"/>
  <c r="X416" i="2"/>
  <c r="X152" i="2"/>
  <c r="Y152" i="2"/>
  <c r="AA152" i="2" s="1"/>
  <c r="Y522" i="2"/>
  <c r="X522" i="2"/>
  <c r="X414" i="2"/>
  <c r="Y414" i="2"/>
  <c r="AA414" i="2" s="1"/>
  <c r="Y374" i="2"/>
  <c r="X374" i="2"/>
  <c r="Y243" i="2"/>
  <c r="AA243" i="2" s="1"/>
  <c r="X243" i="2"/>
  <c r="Y253" i="2"/>
  <c r="X253" i="2"/>
  <c r="Y257" i="2"/>
  <c r="AA257" i="2" s="1"/>
  <c r="X257" i="2"/>
  <c r="Y740" i="2"/>
  <c r="AA740" i="2" s="1"/>
  <c r="X740" i="2"/>
  <c r="Z39" i="2"/>
  <c r="AA60" i="2" s="1"/>
  <c r="X39" i="2"/>
  <c r="Y39" i="2"/>
  <c r="AA39" i="2" s="1"/>
  <c r="Y619" i="2"/>
  <c r="AA619" i="2" s="1"/>
  <c r="X619" i="2"/>
  <c r="X615" i="2"/>
  <c r="Y615" i="2"/>
  <c r="AA615" i="2" s="1"/>
  <c r="X287" i="2"/>
  <c r="Y287" i="2"/>
  <c r="AA287" i="2" s="1"/>
  <c r="X428" i="2"/>
  <c r="Y428" i="2"/>
  <c r="AA428" i="2" s="1"/>
  <c r="X236" i="2"/>
  <c r="Y236" i="2"/>
  <c r="Y508" i="2"/>
  <c r="X508" i="2"/>
  <c r="Y237" i="2"/>
  <c r="AA237" i="2" s="1"/>
  <c r="X237" i="2"/>
  <c r="Y432" i="2"/>
  <c r="X432" i="2"/>
  <c r="Y649" i="2"/>
  <c r="AA649" i="2" s="1"/>
  <c r="X649" i="2"/>
  <c r="E30" i="2"/>
  <c r="Y144" i="2"/>
  <c r="AA144" i="2" s="1"/>
  <c r="X144" i="2"/>
  <c r="X613" i="2"/>
  <c r="Y613" i="2"/>
  <c r="X114" i="2"/>
  <c r="Y114" i="2"/>
  <c r="AA114" i="2" s="1"/>
  <c r="Y101" i="2"/>
  <c r="X101" i="2"/>
  <c r="X196" i="2"/>
  <c r="Y196" i="2"/>
  <c r="AA196" i="2" s="1"/>
  <c r="X596" i="2"/>
  <c r="Y596" i="2"/>
  <c r="X636" i="2"/>
  <c r="Y636" i="2"/>
  <c r="AA636" i="2" s="1"/>
  <c r="Y363" i="2"/>
  <c r="X363" i="2"/>
  <c r="X656" i="2"/>
  <c r="Y656" i="2"/>
  <c r="AA656" i="2" s="1"/>
  <c r="Y461" i="2"/>
  <c r="AA461" i="2" s="1"/>
  <c r="X461" i="2"/>
  <c r="X617" i="2"/>
  <c r="Y617" i="2"/>
  <c r="AA617" i="2" s="1"/>
  <c r="X422" i="2"/>
  <c r="Y422" i="2"/>
  <c r="AA422" i="2" s="1"/>
  <c r="X446" i="2"/>
  <c r="Y446" i="2"/>
  <c r="AA446" i="2" s="1"/>
  <c r="X681" i="2"/>
  <c r="Y681" i="2"/>
  <c r="AA681" i="2" s="1"/>
  <c r="X723" i="2"/>
  <c r="Y723" i="2"/>
  <c r="Y124" i="2"/>
  <c r="X124" i="2"/>
  <c r="Y308" i="2"/>
  <c r="AA308" i="2" s="1"/>
  <c r="X308" i="2"/>
  <c r="Y586" i="2"/>
  <c r="X586" i="2"/>
  <c r="X401" i="2"/>
  <c r="Y401" i="2"/>
  <c r="X226" i="2"/>
  <c r="Y226" i="2"/>
  <c r="AA226" i="2" s="1"/>
  <c r="X227" i="2"/>
  <c r="Y227" i="2"/>
  <c r="AA227" i="2" s="1"/>
  <c r="X682" i="2"/>
  <c r="Y682" i="2"/>
  <c r="AA682" i="2" s="1"/>
  <c r="X129" i="2"/>
  <c r="Y129" i="2"/>
  <c r="Y107" i="2"/>
  <c r="X107" i="2"/>
  <c r="X543" i="2"/>
  <c r="Y543" i="2"/>
  <c r="AA543" i="2" s="1"/>
  <c r="X488" i="2"/>
  <c r="Y488" i="2"/>
  <c r="AA488" i="2" s="1"/>
  <c r="AA366" i="2"/>
  <c r="X714" i="2"/>
  <c r="Y714" i="2"/>
  <c r="X267" i="2"/>
  <c r="Y267" i="2"/>
  <c r="AA267" i="2" s="1"/>
  <c r="X768" i="2"/>
  <c r="Y768" i="2"/>
  <c r="Y339" i="2"/>
  <c r="AA339" i="2" s="1"/>
  <c r="X339" i="2"/>
  <c r="X160" i="2"/>
  <c r="Y160" i="2"/>
  <c r="X780" i="2"/>
  <c r="Y780" i="2"/>
  <c r="AA780" i="2" s="1"/>
  <c r="X591" i="2"/>
  <c r="Y591" i="2"/>
  <c r="X351" i="2"/>
  <c r="Y351" i="2"/>
  <c r="AA351" i="2" s="1"/>
  <c r="X188" i="2"/>
  <c r="Y188" i="2"/>
  <c r="X716" i="2"/>
  <c r="Y716" i="2"/>
  <c r="AA716" i="2" s="1"/>
  <c r="Y176" i="2"/>
  <c r="AA176" i="2" s="1"/>
  <c r="X176" i="2"/>
  <c r="Y275" i="2"/>
  <c r="AA275" i="2" s="1"/>
  <c r="X275" i="2"/>
  <c r="Y580" i="2"/>
  <c r="X580" i="2"/>
  <c r="Y775" i="2"/>
  <c r="AA775" i="2" s="1"/>
  <c r="X775" i="2"/>
  <c r="Y99" i="2"/>
  <c r="AA99" i="2" s="1"/>
  <c r="X99" i="2"/>
  <c r="Y477" i="2"/>
  <c r="AA477" i="2" s="1"/>
  <c r="X477" i="2"/>
  <c r="Y685" i="2"/>
  <c r="X685" i="2"/>
  <c r="X137" i="2"/>
  <c r="Y137" i="2"/>
  <c r="AA137" i="2" s="1"/>
  <c r="X330" i="2"/>
  <c r="Y330" i="2"/>
  <c r="AA154" i="2"/>
  <c r="X589" i="2"/>
  <c r="Y589" i="2"/>
  <c r="X632" i="2"/>
  <c r="Y632" i="2"/>
  <c r="AA632" i="2" s="1"/>
  <c r="Y340" i="2"/>
  <c r="AA340" i="2" s="1"/>
  <c r="X340" i="2"/>
  <c r="X741" i="2"/>
  <c r="Y741" i="2"/>
  <c r="AA741" i="2" s="1"/>
  <c r="Y344" i="2"/>
  <c r="AA344" i="2" s="1"/>
  <c r="X344" i="2"/>
  <c r="X764" i="2"/>
  <c r="Y764" i="2"/>
  <c r="AA764" i="2" s="1"/>
  <c r="Y65" i="2"/>
  <c r="AA65" i="2" s="1"/>
  <c r="X65" i="2"/>
  <c r="X206" i="2"/>
  <c r="Y206" i="2"/>
  <c r="AA206" i="2" s="1"/>
  <c r="Y538" i="2"/>
  <c r="AA538" i="2" s="1"/>
  <c r="X538" i="2"/>
  <c r="X390" i="2"/>
  <c r="Y390" i="2"/>
  <c r="AA390" i="2" s="1"/>
  <c r="AA242" i="2"/>
  <c r="X576" i="2"/>
  <c r="Y576" i="2"/>
  <c r="Y687" i="2"/>
  <c r="AA687" i="2" s="1"/>
  <c r="X687" i="2"/>
  <c r="X587" i="2"/>
  <c r="Y587" i="2"/>
  <c r="Y408" i="2"/>
  <c r="AA408" i="2" s="1"/>
  <c r="X408" i="2"/>
  <c r="X402" i="2"/>
  <c r="Y402" i="2"/>
  <c r="Y317" i="2"/>
  <c r="AA317" i="2" s="1"/>
  <c r="X317" i="2"/>
  <c r="Y59" i="2"/>
  <c r="X59" i="2"/>
  <c r="X417" i="2"/>
  <c r="Y417" i="2"/>
  <c r="AA417" i="2" s="1"/>
  <c r="Y319" i="2"/>
  <c r="AA319" i="2" s="1"/>
  <c r="X319" i="2"/>
  <c r="Y769" i="2"/>
  <c r="AA769" i="2" s="1"/>
  <c r="X769" i="2"/>
  <c r="Y447" i="2"/>
  <c r="X447" i="2"/>
  <c r="X518" i="2"/>
  <c r="Y518" i="2"/>
  <c r="AA518" i="2" s="1"/>
  <c r="X297" i="2"/>
  <c r="Y297" i="2"/>
  <c r="Y686" i="2"/>
  <c r="AA686" i="2" s="1"/>
  <c r="X686" i="2"/>
  <c r="X593" i="2"/>
  <c r="Y593" i="2"/>
  <c r="Y739" i="2"/>
  <c r="AA739" i="2" s="1"/>
  <c r="X739" i="2"/>
  <c r="X157" i="2"/>
  <c r="Y157" i="2"/>
  <c r="X627" i="2"/>
  <c r="Y627" i="2"/>
  <c r="AA627" i="2" s="1"/>
  <c r="X455" i="2"/>
  <c r="Y455" i="2"/>
  <c r="X498" i="2"/>
  <c r="Y498" i="2"/>
  <c r="AA498" i="2" s="1"/>
  <c r="AA407" i="2"/>
  <c r="X484" i="2"/>
  <c r="Y484" i="2"/>
  <c r="AA484" i="2" s="1"/>
  <c r="Y528" i="2"/>
  <c r="AA528" i="2" s="1"/>
  <c r="X528" i="2"/>
  <c r="X290" i="2"/>
  <c r="Y290" i="2"/>
  <c r="AA290" i="2" s="1"/>
  <c r="Y250" i="2"/>
  <c r="AA250" i="2" s="1"/>
  <c r="X250" i="2"/>
  <c r="Y178" i="2"/>
  <c r="X178" i="2"/>
  <c r="Y728" i="2"/>
  <c r="AA728" i="2" s="1"/>
  <c r="X728" i="2"/>
  <c r="X646" i="2"/>
  <c r="Y646" i="2"/>
  <c r="AA646" i="2" s="1"/>
  <c r="X568" i="2"/>
  <c r="Y568" i="2"/>
  <c r="AA568" i="2" s="1"/>
  <c r="X712" i="2"/>
  <c r="Y712" i="2"/>
  <c r="AA712" i="2" s="1"/>
  <c r="X40" i="2"/>
  <c r="Y40" i="2"/>
  <c r="AA40" i="2" s="1"/>
  <c r="Y341" i="2"/>
  <c r="X341" i="2"/>
  <c r="Y604" i="2"/>
  <c r="AA604" i="2" s="1"/>
  <c r="X604" i="2"/>
  <c r="X745" i="2"/>
  <c r="Y745" i="2"/>
  <c r="AA745" i="2" s="1"/>
  <c r="X462" i="2"/>
  <c r="Y462" i="2"/>
  <c r="X664" i="2"/>
  <c r="Y664" i="2"/>
  <c r="AA664" i="2" s="1"/>
  <c r="Y558" i="2"/>
  <c r="AA558" i="2" s="1"/>
  <c r="X558" i="2"/>
  <c r="X156" i="2"/>
  <c r="Y156" i="2"/>
  <c r="AA156" i="2" s="1"/>
  <c r="X161" i="2"/>
  <c r="Y161" i="2"/>
  <c r="X301" i="2"/>
  <c r="Y301" i="2"/>
  <c r="AA301" i="2" s="1"/>
  <c r="AA98" i="2"/>
  <c r="Y170" i="2"/>
  <c r="AA170" i="2" s="1"/>
  <c r="X170" i="2"/>
  <c r="AA345" i="2"/>
  <c r="X732" i="2"/>
  <c r="Y732" i="2"/>
  <c r="AA732" i="2" s="1"/>
  <c r="AA502" i="2"/>
  <c r="AA249" i="2"/>
  <c r="Y722" i="2"/>
  <c r="X722" i="2"/>
  <c r="X539" i="2"/>
  <c r="Y539" i="2"/>
  <c r="AA539" i="2" s="1"/>
  <c r="Y110" i="2"/>
  <c r="X110" i="2"/>
  <c r="X215" i="2"/>
  <c r="Y215" i="2"/>
  <c r="AA215" i="2" s="1"/>
  <c r="X648" i="2"/>
  <c r="Y648" i="2"/>
  <c r="AA648" i="2" s="1"/>
  <c r="X126" i="2"/>
  <c r="Y126" i="2"/>
  <c r="AA126" i="2" s="1"/>
  <c r="X354" i="2"/>
  <c r="Y354" i="2"/>
  <c r="AA354" i="2" s="1"/>
  <c r="Y115" i="2"/>
  <c r="AA115" i="2" s="1"/>
  <c r="X115" i="2"/>
  <c r="X373" i="2"/>
  <c r="Y373" i="2"/>
  <c r="AA373" i="2" s="1"/>
  <c r="X307" i="2"/>
  <c r="Y307" i="2"/>
  <c r="AA307" i="2" s="1"/>
  <c r="Y534" i="2"/>
  <c r="X534" i="2"/>
  <c r="X315" i="2"/>
  <c r="Y315" i="2"/>
  <c r="AA315" i="2" s="1"/>
  <c r="X573" i="2"/>
  <c r="Y573" i="2"/>
  <c r="AA573" i="2" s="1"/>
  <c r="AA581" i="2"/>
  <c r="Y150" i="2"/>
  <c r="AA150" i="2" s="1"/>
  <c r="X150" i="2"/>
  <c r="Y316" i="2"/>
  <c r="AA316" i="2" s="1"/>
  <c r="X316" i="2"/>
  <c r="X271" i="2"/>
  <c r="Y271" i="2"/>
  <c r="X697" i="2"/>
  <c r="Y697" i="2"/>
  <c r="AA697" i="2" s="1"/>
  <c r="Y77" i="2"/>
  <c r="AA77" i="2" s="1"/>
  <c r="X77" i="2"/>
  <c r="Y95" i="2"/>
  <c r="AA95" i="2" s="1"/>
  <c r="X95" i="2"/>
  <c r="X379" i="2"/>
  <c r="Y379" i="2"/>
  <c r="Y347" i="2"/>
  <c r="AA347" i="2" s="1"/>
  <c r="X347" i="2"/>
  <c r="Y695" i="2"/>
  <c r="AA695" i="2" s="1"/>
  <c r="X695" i="2"/>
  <c r="X365" i="2"/>
  <c r="Y365" i="2"/>
  <c r="AA365" i="2" s="1"/>
  <c r="Y276" i="2"/>
  <c r="AA276" i="2" s="1"/>
  <c r="X276" i="2"/>
  <c r="Y435" i="2"/>
  <c r="AA435" i="2" s="1"/>
  <c r="X435" i="2"/>
  <c r="X572" i="2"/>
  <c r="Y572" i="2"/>
  <c r="Y418" i="2"/>
  <c r="AA418" i="2" s="1"/>
  <c r="X418" i="2"/>
  <c r="Y265" i="2"/>
  <c r="AA265" i="2" s="1"/>
  <c r="X265" i="2"/>
  <c r="X318" i="2"/>
  <c r="Y318" i="2"/>
  <c r="AA318" i="2" s="1"/>
  <c r="X456" i="2"/>
  <c r="Y456" i="2"/>
  <c r="Y389" i="2"/>
  <c r="AA389" i="2" s="1"/>
  <c r="X389" i="2"/>
  <c r="X651" i="2"/>
  <c r="Y651" i="2"/>
  <c r="C30" i="2"/>
  <c r="Y724" i="2"/>
  <c r="AA724" i="2" s="1"/>
  <c r="X724" i="2"/>
  <c r="Y92" i="2"/>
  <c r="X92" i="2"/>
  <c r="X754" i="2"/>
  <c r="Y754" i="2"/>
  <c r="AA754" i="2" s="1"/>
  <c r="X463" i="2"/>
  <c r="Y463" i="2"/>
  <c r="AA463" i="2" s="1"/>
  <c r="X523" i="2"/>
  <c r="Y523" i="2"/>
  <c r="AA523" i="2" s="1"/>
  <c r="X545" i="2"/>
  <c r="Y545" i="2"/>
  <c r="AA545" i="2" s="1"/>
  <c r="Y146" i="2"/>
  <c r="AA146" i="2" s="1"/>
  <c r="X146" i="2"/>
  <c r="X553" i="2"/>
  <c r="Y553" i="2"/>
  <c r="AA553" i="2" s="1"/>
  <c r="Y91" i="2"/>
  <c r="AA91" i="2" s="1"/>
  <c r="X91" i="2"/>
  <c r="X437" i="2"/>
  <c r="Y437" i="2"/>
  <c r="AA437" i="2" s="1"/>
  <c r="Y557" i="2"/>
  <c r="AA557" i="2" s="1"/>
  <c r="X557" i="2"/>
  <c r="Y172" i="2"/>
  <c r="X172" i="2"/>
  <c r="AA220" i="2"/>
  <c r="AA725" i="2"/>
  <c r="X375" i="2"/>
  <c r="Y375" i="2"/>
  <c r="AA375" i="2" s="1"/>
  <c r="Y583" i="2"/>
  <c r="AA583" i="2" s="1"/>
  <c r="X583" i="2"/>
  <c r="Y510" i="2"/>
  <c r="X510" i="2"/>
  <c r="Y653" i="2"/>
  <c r="AA653" i="2" s="1"/>
  <c r="X653" i="2"/>
  <c r="X369" i="2"/>
  <c r="Y369" i="2"/>
  <c r="AA369" i="2" s="1"/>
  <c r="X618" i="2"/>
  <c r="Y618" i="2"/>
  <c r="AA618" i="2" s="1"/>
  <c r="Y209" i="2"/>
  <c r="X209" i="2"/>
  <c r="AA397" i="2"/>
  <c r="X616" i="2"/>
  <c r="Y616" i="2"/>
  <c r="Y735" i="2"/>
  <c r="AA735" i="2" s="1"/>
  <c r="X735" i="2"/>
  <c r="Y574" i="2"/>
  <c r="AA574" i="2" s="1"/>
  <c r="X574" i="2"/>
  <c r="Y756" i="2"/>
  <c r="AA756" i="2" s="1"/>
  <c r="X756" i="2"/>
  <c r="X533" i="2"/>
  <c r="Y533" i="2"/>
  <c r="Y590" i="2"/>
  <c r="AA590" i="2" s="1"/>
  <c r="X590" i="2"/>
  <c r="Y291" i="2"/>
  <c r="AA291" i="2" s="1"/>
  <c r="X291" i="2"/>
  <c r="AA54" i="2"/>
  <c r="X517" i="2"/>
  <c r="Y517" i="2"/>
  <c r="AA517" i="2" s="1"/>
  <c r="Y306" i="2"/>
  <c r="X306" i="2"/>
  <c r="X520" i="2"/>
  <c r="Y520" i="2"/>
  <c r="AA520" i="2" s="1"/>
  <c r="X478" i="2"/>
  <c r="Y478" i="2"/>
  <c r="AA478" i="2" s="1"/>
  <c r="Y421" i="2"/>
  <c r="AA421" i="2" s="1"/>
  <c r="X421" i="2"/>
  <c r="X281" i="2"/>
  <c r="Y281" i="2"/>
  <c r="AA281" i="2" s="1"/>
  <c r="Y51" i="2"/>
  <c r="AA51" i="2" s="1"/>
  <c r="X51" i="2"/>
  <c r="Y677" i="2"/>
  <c r="X677" i="2"/>
  <c r="X424" i="2"/>
  <c r="Y424" i="2"/>
  <c r="AA424" i="2" s="1"/>
  <c r="X216" i="2"/>
  <c r="Y216" i="2"/>
  <c r="AA216" i="2" s="1"/>
  <c r="Y631" i="2"/>
  <c r="AA631" i="2" s="1"/>
  <c r="X631" i="2"/>
  <c r="X167" i="2"/>
  <c r="Y167" i="2"/>
  <c r="AA167" i="2" s="1"/>
  <c r="X394" i="2"/>
  <c r="Y394" i="2"/>
  <c r="AA394" i="2" s="1"/>
  <c r="Y660" i="2"/>
  <c r="X660" i="2"/>
  <c r="Y348" i="2"/>
  <c r="AA348" i="2" s="1"/>
  <c r="X348" i="2"/>
  <c r="X670" i="2"/>
  <c r="Y670" i="2"/>
  <c r="AA670" i="2" s="1"/>
  <c r="X71" i="2"/>
  <c r="Y71" i="2"/>
  <c r="AA71" i="2" s="1"/>
  <c r="X376" i="2"/>
  <c r="Y376" i="2"/>
  <c r="AA376" i="2" s="1"/>
  <c r="X395" i="2"/>
  <c r="Y395" i="2"/>
  <c r="AA395" i="2" s="1"/>
  <c r="Y684" i="2"/>
  <c r="X684" i="2"/>
  <c r="X683" i="2"/>
  <c r="Y683" i="2"/>
  <c r="AA683" i="2" s="1"/>
  <c r="X141" i="2"/>
  <c r="Y141" i="2"/>
  <c r="AA141" i="2" s="1"/>
  <c r="AA690" i="2"/>
  <c r="X208" i="2"/>
  <c r="Y208" i="2"/>
  <c r="Y570" i="2"/>
  <c r="AA570" i="2" s="1"/>
  <c r="X570" i="2"/>
  <c r="AA497" i="2"/>
  <c r="X248" i="2"/>
  <c r="Y248" i="2"/>
  <c r="AA248" i="2" s="1"/>
  <c r="AA329" i="2"/>
  <c r="AA168" i="2"/>
  <c r="X562" i="2"/>
  <c r="Y562" i="2"/>
  <c r="AA562" i="2" s="1"/>
  <c r="X121" i="2"/>
  <c r="Y121" i="2"/>
  <c r="X46" i="2"/>
  <c r="Y46" i="2"/>
  <c r="AA46" i="2" s="1"/>
  <c r="X87" i="2"/>
  <c r="Y87" i="2"/>
  <c r="X342" i="2"/>
  <c r="Y342" i="2"/>
  <c r="AA342" i="2" s="1"/>
  <c r="Y505" i="2"/>
  <c r="AA505" i="2" s="1"/>
  <c r="X505" i="2"/>
  <c r="X726" i="2"/>
  <c r="Y726" i="2"/>
  <c r="AA726" i="2" s="1"/>
  <c r="X666" i="2"/>
  <c r="Y666" i="2"/>
  <c r="Y325" i="2"/>
  <c r="AA325" i="2" s="1"/>
  <c r="X325" i="2"/>
  <c r="AA64" i="2"/>
  <c r="X634" i="2"/>
  <c r="Y634" i="2"/>
  <c r="AA634" i="2" s="1"/>
  <c r="X542" i="2"/>
  <c r="Y542" i="2"/>
  <c r="AA542" i="2" s="1"/>
  <c r="X304" i="2"/>
  <c r="Y304" i="2"/>
  <c r="AA304" i="2" s="1"/>
  <c r="X526" i="2"/>
  <c r="Y526" i="2"/>
  <c r="AA526" i="2" s="1"/>
  <c r="Y506" i="2"/>
  <c r="X506" i="2"/>
  <c r="Y465" i="2"/>
  <c r="AA465" i="2" s="1"/>
  <c r="X465" i="2"/>
  <c r="X104" i="2"/>
  <c r="Y104" i="2"/>
  <c r="AA104" i="2" s="1"/>
  <c r="Y610" i="2"/>
  <c r="AA610" i="2" s="1"/>
  <c r="X610" i="2"/>
  <c r="Y313" i="2"/>
  <c r="AA313" i="2" s="1"/>
  <c r="X313" i="2"/>
  <c r="Y378" i="2"/>
  <c r="AA378" i="2" s="1"/>
  <c r="X378" i="2"/>
  <c r="X118" i="2"/>
  <c r="Y118" i="2"/>
  <c r="AA118" i="2" s="1"/>
  <c r="X245" i="2"/>
  <c r="Y245" i="2"/>
  <c r="Y612" i="2"/>
  <c r="AA612" i="2" s="1"/>
  <c r="X612" i="2"/>
  <c r="Y231" i="2"/>
  <c r="AA231" i="2" s="1"/>
  <c r="X231" i="2"/>
  <c r="X202" i="2"/>
  <c r="Y202" i="2"/>
  <c r="AA202" i="2" s="1"/>
  <c r="X582" i="2"/>
  <c r="Y582" i="2"/>
  <c r="AA367" i="2"/>
  <c r="Y415" i="2"/>
  <c r="AA415" i="2" s="1"/>
  <c r="X415" i="2"/>
  <c r="X444" i="2"/>
  <c r="Y444" i="2"/>
  <c r="AA444" i="2" s="1"/>
  <c r="X703" i="2"/>
  <c r="Y703" i="2"/>
  <c r="AA703" i="2" s="1"/>
  <c r="X79" i="2"/>
  <c r="Y79" i="2"/>
  <c r="AA79" i="2" s="1"/>
  <c r="Y254" i="2"/>
  <c r="AA254" i="2" s="1"/>
  <c r="X254" i="2"/>
  <c r="X300" i="2"/>
  <c r="Y300" i="2"/>
  <c r="AA300" i="2" s="1"/>
  <c r="Y564" i="2"/>
  <c r="AA564" i="2" s="1"/>
  <c r="X564" i="2"/>
  <c r="X191" i="2"/>
  <c r="Y191" i="2"/>
  <c r="AA191" i="2" s="1"/>
  <c r="Y584" i="2"/>
  <c r="AA584" i="2" s="1"/>
  <c r="X584" i="2"/>
  <c r="Y109" i="2"/>
  <c r="X109" i="2"/>
  <c r="X58" i="2"/>
  <c r="Y58" i="2"/>
  <c r="AA58" i="2" s="1"/>
  <c r="X706" i="2"/>
  <c r="Y706" i="2"/>
  <c r="AA706" i="2" s="1"/>
  <c r="X217" i="2"/>
  <c r="Y217" i="2"/>
  <c r="AA217" i="2" s="1"/>
  <c r="X277" i="2"/>
  <c r="Y277" i="2"/>
  <c r="AA277" i="2" s="1"/>
  <c r="X179" i="2"/>
  <c r="Y179" i="2"/>
  <c r="AA179" i="2" s="1"/>
  <c r="X139" i="2"/>
  <c r="Y139" i="2"/>
  <c r="AA139" i="2" s="1"/>
  <c r="X721" i="2"/>
  <c r="Y721" i="2"/>
  <c r="AA721" i="2" s="1"/>
  <c r="X125" i="2"/>
  <c r="Y125" i="2"/>
  <c r="AA125" i="2" s="1"/>
  <c r="Y69" i="2"/>
  <c r="AA69" i="2" s="1"/>
  <c r="X69" i="2"/>
  <c r="X142" i="2"/>
  <c r="Y142" i="2"/>
  <c r="AA142" i="2" s="1"/>
  <c r="Y623" i="2"/>
  <c r="AA623" i="2" s="1"/>
  <c r="X623" i="2"/>
  <c r="Y440" i="2"/>
  <c r="X440" i="2"/>
  <c r="Y702" i="2"/>
  <c r="AA702" i="2" s="1"/>
  <c r="X702" i="2"/>
  <c r="X203" i="2"/>
  <c r="Y203" i="2"/>
  <c r="AA203" i="2" s="1"/>
  <c r="X180" i="2"/>
  <c r="Y180" i="2"/>
  <c r="AA180" i="2" s="1"/>
  <c r="X667" i="2"/>
  <c r="Y667" i="2"/>
  <c r="AA667" i="2" s="1"/>
  <c r="Y74" i="2"/>
  <c r="AA74" i="2" s="1"/>
  <c r="X74" i="2"/>
  <c r="X251" i="2"/>
  <c r="Y251" i="2"/>
  <c r="AA251" i="2" s="1"/>
  <c r="Y453" i="2"/>
  <c r="AA453" i="2" s="1"/>
  <c r="X453" i="2"/>
  <c r="Y85" i="2"/>
  <c r="X85" i="2"/>
  <c r="Y443" i="2"/>
  <c r="AA443" i="2" s="1"/>
  <c r="X443" i="2"/>
  <c r="Y391" i="2"/>
  <c r="AA391" i="2" s="1"/>
  <c r="X391" i="2"/>
  <c r="X122" i="2"/>
  <c r="Y122" i="2"/>
  <c r="AA122" i="2" s="1"/>
  <c r="Y385" i="2"/>
  <c r="X385" i="2"/>
  <c r="Y509" i="2"/>
  <c r="AA509" i="2" s="1"/>
  <c r="X509" i="2"/>
  <c r="X282" i="2"/>
  <c r="Y282" i="2"/>
  <c r="AA282" i="2" s="1"/>
  <c r="X698" i="2"/>
  <c r="Y698" i="2"/>
  <c r="AA698" i="2" s="1"/>
  <c r="X260" i="2"/>
  <c r="Y260" i="2"/>
  <c r="AA260" i="2" s="1"/>
  <c r="X218" i="2"/>
  <c r="Y218" i="2"/>
  <c r="AA218" i="2" s="1"/>
  <c r="X476" i="2"/>
  <c r="Y476" i="2"/>
  <c r="AA476" i="2" s="1"/>
  <c r="AA355" i="2"/>
  <c r="X108" i="2"/>
  <c r="Y108" i="2"/>
  <c r="Y370" i="2"/>
  <c r="AA370" i="2" s="1"/>
  <c r="X370" i="2"/>
  <c r="X661" i="2"/>
  <c r="Y661" i="2"/>
  <c r="AA661" i="2" s="1"/>
  <c r="X309" i="2"/>
  <c r="Y309" i="2"/>
  <c r="AA309" i="2" s="1"/>
  <c r="X566" i="2"/>
  <c r="Y566" i="2"/>
  <c r="X544" i="2"/>
  <c r="Y544" i="2"/>
  <c r="AA544" i="2" s="1"/>
  <c r="X565" i="2"/>
  <c r="Y565" i="2"/>
  <c r="AA565" i="2" s="1"/>
  <c r="Y468" i="2"/>
  <c r="AA468" i="2" s="1"/>
  <c r="X468" i="2"/>
  <c r="X763" i="2"/>
  <c r="Y763" i="2"/>
  <c r="Y598" i="2"/>
  <c r="AA598" i="2" s="1"/>
  <c r="X598" i="2"/>
  <c r="Y261" i="2"/>
  <c r="AA261" i="2" s="1"/>
  <c r="X261" i="2"/>
  <c r="Y361" i="2"/>
  <c r="AA361" i="2" s="1"/>
  <c r="X361" i="2"/>
  <c r="Y709" i="2"/>
  <c r="AA709" i="2" s="1"/>
  <c r="X709" i="2"/>
  <c r="X563" i="2"/>
  <c r="Y563" i="2"/>
  <c r="AA563" i="2" s="1"/>
  <c r="Y423" i="2"/>
  <c r="AA423" i="2" s="1"/>
  <c r="X423" i="2"/>
  <c r="AA241" i="2"/>
  <c r="AA454" i="2"/>
  <c r="AA629" i="2"/>
  <c r="Y312" i="2"/>
  <c r="X312" i="2"/>
  <c r="X605" i="2"/>
  <c r="Y605" i="2"/>
  <c r="AA605" i="2" s="1"/>
  <c r="Y55" i="2"/>
  <c r="AA55" i="2" s="1"/>
  <c r="X55" i="2"/>
  <c r="Y103" i="2"/>
  <c r="AA103" i="2" s="1"/>
  <c r="X103" i="2"/>
  <c r="X199" i="2"/>
  <c r="Y199" i="2"/>
  <c r="AA199" i="2" s="1"/>
  <c r="Y434" i="2"/>
  <c r="AA434" i="2" s="1"/>
  <c r="X434" i="2"/>
  <c r="Y626" i="2"/>
  <c r="AA626" i="2" s="1"/>
  <c r="X626" i="2"/>
  <c r="X412" i="2"/>
  <c r="Y412" i="2"/>
  <c r="AA412" i="2" s="1"/>
  <c r="Y328" i="2"/>
  <c r="AA328" i="2" s="1"/>
  <c r="X328" i="2"/>
  <c r="X513" i="2"/>
  <c r="Y513" i="2"/>
  <c r="AA513" i="2" s="1"/>
  <c r="Y639" i="2"/>
  <c r="AA639" i="2" s="1"/>
  <c r="X639" i="2"/>
  <c r="X133" i="2"/>
  <c r="Y133" i="2"/>
  <c r="AA133" i="2" s="1"/>
  <c r="X673" i="2"/>
  <c r="Y673" i="2"/>
  <c r="AA673" i="2" s="1"/>
  <c r="X57" i="2"/>
  <c r="Y57" i="2"/>
  <c r="AA57" i="2" s="1"/>
  <c r="AA700" i="2"/>
  <c r="X753" i="2"/>
  <c r="Y753" i="2"/>
  <c r="AA753" i="2" s="1"/>
  <c r="X671" i="2"/>
  <c r="Y671" i="2"/>
  <c r="AA671" i="2" s="1"/>
  <c r="X750" i="2"/>
  <c r="Y750" i="2"/>
  <c r="AA750" i="2" s="1"/>
  <c r="X552" i="2"/>
  <c r="Y552" i="2"/>
  <c r="AA552" i="2" s="1"/>
  <c r="Y771" i="2"/>
  <c r="AA771" i="2" s="1"/>
  <c r="X771" i="2"/>
  <c r="Y529" i="2"/>
  <c r="AA529" i="2" s="1"/>
  <c r="X529" i="2"/>
  <c r="X430" i="2"/>
  <c r="Y430" i="2"/>
  <c r="AA430" i="2" s="1"/>
  <c r="Y512" i="2"/>
  <c r="AA512" i="2" s="1"/>
  <c r="X512" i="2"/>
  <c r="AA630" i="2"/>
  <c r="X343" i="2"/>
  <c r="Y343" i="2"/>
  <c r="AA343" i="2" s="1"/>
  <c r="X550" i="2"/>
  <c r="Y550" i="2"/>
  <c r="AA550" i="2" s="1"/>
  <c r="X608" i="2"/>
  <c r="Y608" i="2"/>
  <c r="AA608" i="2" s="1"/>
  <c r="Y766" i="2"/>
  <c r="AA766" i="2" s="1"/>
  <c r="X766" i="2"/>
  <c r="Y285" i="2"/>
  <c r="AA285" i="2" s="1"/>
  <c r="X285" i="2"/>
  <c r="X303" i="2"/>
  <c r="Y303" i="2"/>
  <c r="AA303" i="2" s="1"/>
  <c r="Y97" i="2"/>
  <c r="AA97" i="2" s="1"/>
  <c r="X97" i="2"/>
  <c r="Y624" i="2"/>
  <c r="AA624" i="2" s="1"/>
  <c r="X624" i="2"/>
  <c r="AA232" i="2"/>
  <c r="Y262" i="2"/>
  <c r="AA262" i="2" s="1"/>
  <c r="X262" i="2"/>
  <c r="AA322" i="2"/>
  <c r="AA699" i="2"/>
  <c r="AA185" i="2"/>
  <c r="X503" i="2"/>
  <c r="Y503" i="2"/>
  <c r="AA503" i="2" s="1"/>
  <c r="X47" i="2"/>
  <c r="Y47" i="2"/>
  <c r="AA47" i="2" s="1"/>
  <c r="Y63" i="2"/>
  <c r="AA63" i="2" s="1"/>
  <c r="X63" i="2"/>
  <c r="Y426" i="2"/>
  <c r="AA426" i="2" s="1"/>
  <c r="X426" i="2"/>
  <c r="Y678" i="2"/>
  <c r="AA678" i="2" s="1"/>
  <c r="X678" i="2"/>
  <c r="Y256" i="2"/>
  <c r="AA256" i="2" s="1"/>
  <c r="X256" i="2"/>
  <c r="Y392" i="2"/>
  <c r="AA392" i="2" s="1"/>
  <c r="X392" i="2"/>
  <c r="X603" i="2"/>
  <c r="Y603" i="2"/>
  <c r="AA603" i="2" s="1"/>
  <c r="Y494" i="2"/>
  <c r="AA494" i="2" s="1"/>
  <c r="X494" i="2"/>
  <c r="X352" i="2"/>
  <c r="Y352" i="2"/>
  <c r="AA352" i="2" s="1"/>
  <c r="X62" i="2"/>
  <c r="Y62" i="2"/>
  <c r="AA62" i="2" s="1"/>
  <c r="X200" i="2"/>
  <c r="Y200" i="2"/>
  <c r="AA200" i="2" s="1"/>
  <c r="X223" i="2"/>
  <c r="Y223" i="2"/>
  <c r="AA223" i="2" s="1"/>
  <c r="X479" i="2"/>
  <c r="Y479" i="2"/>
  <c r="AA479" i="2" s="1"/>
  <c r="X400" i="2"/>
  <c r="Y400" i="2"/>
  <c r="AA400" i="2" s="1"/>
  <c r="X207" i="2"/>
  <c r="Y207" i="2"/>
  <c r="AA207" i="2" s="1"/>
  <c r="X549" i="2"/>
  <c r="Y549" i="2"/>
  <c r="AA549" i="2" s="1"/>
  <c r="X163" i="2"/>
  <c r="Y163" i="2"/>
  <c r="AA163" i="2" s="1"/>
  <c r="X571" i="2"/>
  <c r="Y571" i="2"/>
  <c r="AA571" i="2" s="1"/>
  <c r="X748" i="2"/>
  <c r="Y748" i="2"/>
  <c r="AA748" i="2" s="1"/>
  <c r="X396" i="2"/>
  <c r="Y396" i="2"/>
  <c r="AA396" i="2" s="1"/>
  <c r="AA582" i="2" l="1"/>
  <c r="AA245" i="2"/>
  <c r="AA506" i="2"/>
  <c r="AA121" i="2"/>
  <c r="AA660" i="2"/>
  <c r="AA306" i="2"/>
  <c r="AA533" i="2"/>
  <c r="AA616" i="2"/>
  <c r="AA92" i="2"/>
  <c r="AA456" i="2"/>
  <c r="AA572" i="2"/>
  <c r="AA534" i="2"/>
  <c r="AA110" i="2"/>
  <c r="AA161" i="2"/>
  <c r="AA462" i="2"/>
  <c r="AA341" i="2"/>
  <c r="AA455" i="2"/>
  <c r="AA593" i="2"/>
  <c r="AA587" i="2"/>
  <c r="AA188" i="2"/>
  <c r="AA160" i="2"/>
  <c r="AA714" i="2"/>
  <c r="AA107" i="2"/>
  <c r="AA124" i="2"/>
  <c r="AA508" i="2"/>
  <c r="AA166" i="2"/>
  <c r="AA184" i="2"/>
  <c r="AA288" i="2"/>
  <c r="AA601" i="2"/>
  <c r="AA88" i="2"/>
  <c r="AA744" i="2"/>
  <c r="AA679" i="2"/>
  <c r="AA717" i="2"/>
  <c r="AA652" i="2"/>
  <c r="AA323" i="2"/>
  <c r="AA602" i="2"/>
  <c r="AA56" i="2"/>
  <c r="AA295" i="2"/>
  <c r="AA758" i="2"/>
  <c r="AA547" i="2"/>
  <c r="AA560" i="2"/>
  <c r="AA169" i="2"/>
  <c r="AA411" i="2"/>
  <c r="AA458" i="2"/>
  <c r="AA310" i="2"/>
  <c r="AA159" i="2"/>
  <c r="AA82" i="2"/>
  <c r="AA459" i="2"/>
  <c r="AA767" i="2"/>
  <c r="AA747" i="2"/>
  <c r="AA746" i="2"/>
  <c r="AA350" i="2"/>
  <c r="AA201" i="2"/>
  <c r="AA577" i="2"/>
  <c r="AA61" i="2"/>
  <c r="AA43" i="2"/>
  <c r="C33" i="2" s="1"/>
  <c r="AA784" i="2"/>
  <c r="AA689" i="2"/>
  <c r="AA511" i="2"/>
  <c r="AA445" i="2"/>
  <c r="AA274" i="2"/>
  <c r="AA439" i="2"/>
  <c r="AA720" i="2"/>
  <c r="AA442" i="2"/>
  <c r="AA398" i="2"/>
  <c r="AA326" i="2"/>
  <c r="AA358" i="2"/>
  <c r="AA472" i="2"/>
  <c r="AA320" i="2"/>
  <c r="AA132" i="2"/>
  <c r="AA383" i="2"/>
  <c r="AA181" i="2"/>
  <c r="AA278" i="2"/>
  <c r="AA535" i="2"/>
  <c r="AA641" i="2"/>
  <c r="AA213" i="2"/>
  <c r="AA221" i="2"/>
  <c r="AA710" i="2"/>
  <c r="AA759" i="2"/>
  <c r="AA447" i="2"/>
  <c r="AA59" i="2"/>
  <c r="AA589" i="2"/>
  <c r="AA685" i="2"/>
  <c r="AA580" i="2"/>
  <c r="AA129" i="2"/>
  <c r="AA401" i="2"/>
  <c r="AA723" i="2"/>
  <c r="AA556" i="2"/>
  <c r="AA363" i="2"/>
  <c r="AA101" i="2"/>
  <c r="AA236" i="2"/>
  <c r="AA496" i="2"/>
  <c r="AA374" i="2"/>
  <c r="AA416" i="2"/>
  <c r="AA600" i="2"/>
  <c r="AA606" i="2"/>
  <c r="AA655" i="2"/>
  <c r="AA247" i="2"/>
  <c r="AA783" i="2"/>
  <c r="AA531" i="2"/>
  <c r="AA296" i="2"/>
  <c r="AA252" i="2"/>
  <c r="AA621" i="2"/>
  <c r="AA495" i="2"/>
  <c r="AA578" i="2"/>
  <c r="AA485" i="2"/>
  <c r="AA84" i="2"/>
  <c r="AA93" i="2"/>
  <c r="AA258" i="2"/>
  <c r="AA151" i="2"/>
  <c r="AA643" i="2"/>
  <c r="AA268" i="2"/>
  <c r="AA527" i="2"/>
  <c r="AA761" i="2"/>
  <c r="AA737" i="2"/>
  <c r="AA238" i="2"/>
  <c r="AA516" i="2"/>
  <c r="AA659" i="2"/>
  <c r="AA346" i="2"/>
  <c r="AA413" i="2"/>
  <c r="AA272" i="2"/>
  <c r="AA233" i="2"/>
  <c r="AA514" i="2"/>
  <c r="AA633" i="2"/>
  <c r="AA637" i="2"/>
  <c r="AA693" i="2"/>
  <c r="AA492" i="2"/>
  <c r="AA688" i="2"/>
  <c r="AA279" i="2"/>
  <c r="AA78" i="2"/>
  <c r="AA127" i="2"/>
  <c r="AA388" i="2"/>
  <c r="AA466" i="2"/>
  <c r="AA192" i="2"/>
  <c r="AA473" i="2"/>
  <c r="AA597" i="2"/>
  <c r="AA410" i="2"/>
  <c r="AA730" i="2"/>
  <c r="AA499" i="2"/>
  <c r="AA189" i="2"/>
  <c r="AA312" i="2"/>
  <c r="AA763" i="2"/>
  <c r="AA566" i="2"/>
  <c r="AA108" i="2"/>
  <c r="AA385" i="2"/>
  <c r="AA85" i="2"/>
  <c r="AA440" i="2"/>
  <c r="AA109" i="2"/>
  <c r="AA427" i="2"/>
  <c r="AA666" i="2"/>
  <c r="AA87" i="2"/>
  <c r="AA269" i="2"/>
  <c r="AA208" i="2"/>
  <c r="AA684" i="2"/>
  <c r="AA677" i="2"/>
  <c r="AA209" i="2"/>
  <c r="AA510" i="2"/>
  <c r="AA172" i="2"/>
  <c r="AA651" i="2"/>
  <c r="AA379" i="2"/>
  <c r="AA271" i="2"/>
  <c r="AA722" i="2"/>
  <c r="AA599" i="2"/>
  <c r="AA259" i="2"/>
  <c r="AA178" i="2"/>
  <c r="AA157" i="2"/>
  <c r="AA297" i="2"/>
  <c r="AA402" i="2"/>
  <c r="AA576" i="2"/>
  <c r="AA330" i="2"/>
  <c r="AA591" i="2"/>
  <c r="AA768" i="2"/>
  <c r="AA586" i="2"/>
  <c r="AA596" i="2"/>
  <c r="AA613" i="2"/>
  <c r="AA432" i="2"/>
  <c r="C32" i="2"/>
  <c r="AA230" i="2"/>
  <c r="AA501" i="2"/>
  <c r="AA204" i="2"/>
  <c r="AA450" i="2"/>
  <c r="AA302" i="2"/>
  <c r="AA438" i="2"/>
  <c r="AA622" i="2"/>
  <c r="AA493" i="2"/>
  <c r="AA195" i="2"/>
  <c r="AA635" i="2"/>
  <c r="AA210" i="2"/>
  <c r="AA765" i="2"/>
  <c r="AA162" i="2"/>
  <c r="AA76" i="2"/>
  <c r="AA609" i="2"/>
  <c r="AA140" i="2"/>
  <c r="AA719" i="2"/>
  <c r="AA640" i="2"/>
  <c r="AA368" i="2"/>
  <c r="AA541" i="2"/>
  <c r="AA67" i="2"/>
  <c r="AA638" i="2"/>
  <c r="AA755" i="2"/>
  <c r="AA293" i="2"/>
  <c r="AA138" i="2"/>
  <c r="AA669" i="2"/>
  <c r="AA380" i="2"/>
  <c r="AA729" i="2"/>
  <c r="AA228" i="2"/>
  <c r="AA701" i="2"/>
  <c r="AA145" i="2"/>
  <c r="AA164" i="2"/>
  <c r="AA357" i="2"/>
  <c r="AA382" i="2"/>
  <c r="AA448" i="2"/>
  <c r="AA628" i="2"/>
  <c r="AA433" i="2"/>
  <c r="AA483" i="2"/>
  <c r="AA135" i="2"/>
  <c r="AA420" i="2"/>
  <c r="AA694" i="2"/>
  <c r="AA94" i="2"/>
  <c r="AA211" i="2"/>
  <c r="AA353" i="2"/>
  <c r="AA585" i="2"/>
  <c r="AA551" i="2"/>
  <c r="AA253" i="2"/>
  <c r="AA522" i="2"/>
  <c r="AA364" i="2"/>
  <c r="AA536" i="2"/>
  <c r="AA751" i="2"/>
  <c r="AA148" i="2"/>
  <c r="AA486" i="2"/>
  <c r="AA647" i="2"/>
  <c r="AA469" i="2"/>
  <c r="AA174" i="2"/>
  <c r="AA86" i="2"/>
  <c r="AA614" i="2"/>
  <c r="AA112" i="2"/>
  <c r="AA149" i="2"/>
  <c r="AA674" i="2"/>
  <c r="AA487" i="2"/>
  <c r="AA239" i="2"/>
  <c r="AA788" i="2"/>
  <c r="AA136" i="2"/>
  <c r="AA387" i="2"/>
  <c r="AA567" i="2"/>
  <c r="AA452" i="2"/>
  <c r="AA177" i="2"/>
  <c r="AA234" i="2"/>
  <c r="AA100" i="2"/>
  <c r="AA393" i="2"/>
  <c r="AA776" i="2"/>
  <c r="AA289" i="2"/>
  <c r="AA45" i="2"/>
  <c r="AA372" i="2"/>
  <c r="AA644" i="2"/>
  <c r="AA425" i="2"/>
  <c r="AA90" i="2"/>
  <c r="AA105" i="2"/>
  <c r="AA675" i="2"/>
  <c r="AA625" i="2"/>
  <c r="AA592" i="2"/>
  <c r="AA749" i="2"/>
  <c r="AA336" i="2"/>
  <c r="AA672" i="2"/>
  <c r="AA441" i="2"/>
  <c r="AA772" i="2"/>
  <c r="AA311" i="2"/>
  <c r="AA460" i="2"/>
  <c r="AA219" i="2"/>
  <c r="AA715" i="2"/>
  <c r="AA736" i="2"/>
</calcChain>
</file>

<file path=xl/sharedStrings.xml><?xml version="1.0" encoding="utf-8"?>
<sst xmlns="http://schemas.openxmlformats.org/spreadsheetml/2006/main" count="40" uniqueCount="40">
  <si>
    <t>λ</t>
  </si>
  <si>
    <t>R</t>
  </si>
  <si>
    <t>I0</t>
  </si>
  <si>
    <t>EXPERIMENTAL</t>
  </si>
  <si>
    <t>time (t)</t>
  </si>
  <si>
    <t>I(t)</t>
  </si>
  <si>
    <t>z1</t>
  </si>
  <si>
    <t>z2</t>
  </si>
  <si>
    <t>z3</t>
  </si>
  <si>
    <t>z4</t>
  </si>
  <si>
    <t>z5</t>
  </si>
  <si>
    <t>W(e^z1)</t>
  </si>
  <si>
    <t>W(e^z2)</t>
  </si>
  <si>
    <t>W(e^z3)</t>
  </si>
  <si>
    <t>W(e^z4)</t>
  </si>
  <si>
    <t>W(e^z5)</t>
  </si>
  <si>
    <t>SUMS</t>
  </si>
  <si>
    <t>Least squares</t>
  </si>
  <si>
    <t>FOM(%)</t>
  </si>
  <si>
    <t>I1</t>
  </si>
  <si>
    <t>I2</t>
  </si>
  <si>
    <t>I3</t>
  </si>
  <si>
    <t>I4</t>
  </si>
  <si>
    <t>I5</t>
  </si>
  <si>
    <t>Itot</t>
  </si>
  <si>
    <t>Theoretical</t>
  </si>
  <si>
    <t>Afit</t>
  </si>
  <si>
    <t>FOM</t>
  </si>
  <si>
    <t>(EXPER. - THEOR.)^2</t>
  </si>
  <si>
    <t>ABS(EXPER. - THEOR)</t>
  </si>
  <si>
    <t>Παράμετροι:</t>
  </si>
  <si>
    <r>
      <t>Im &gt;= 0</t>
    </r>
    <r>
      <rPr>
        <sz val="11"/>
        <color rgb="FF000000"/>
        <rFont val="Calibri"/>
        <family val="2"/>
        <scheme val="minor"/>
      </rPr>
      <t xml:space="preserve">  </t>
    </r>
  </si>
  <si>
    <r>
      <t>Tm &gt;= 273</t>
    </r>
    <r>
      <rPr>
        <sz val="11"/>
        <color rgb="FF000000"/>
        <rFont val="Calibri"/>
        <family val="2"/>
        <scheme val="minor"/>
      </rPr>
      <t xml:space="preserve">  </t>
    </r>
  </si>
  <si>
    <r>
      <t>0,3 =&lt; E =&lt; 2,5</t>
    </r>
    <r>
      <rPr>
        <sz val="11"/>
        <color rgb="FF000000"/>
        <rFont val="Calibri"/>
        <family val="2"/>
        <scheme val="minor"/>
      </rPr>
      <t xml:space="preserve">  </t>
    </r>
  </si>
  <si>
    <r>
      <t>0,00001 =&lt; R =&lt; 0,9</t>
    </r>
    <r>
      <rPr>
        <sz val="11"/>
        <color rgb="FF000000"/>
        <rFont val="Calibri"/>
        <family val="2"/>
        <scheme val="minor"/>
      </rPr>
      <t xml:space="preserve">  </t>
    </r>
  </si>
  <si>
    <t>factor</t>
  </si>
  <si>
    <t>Components</t>
  </si>
  <si>
    <t>τ</t>
  </si>
  <si>
    <t>Contribution %</t>
  </si>
  <si>
    <t>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</si>
</sst>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b/>
      <sz val="18"/>
      <color theme="3"/>
      <name val="Cambria"/>
      <family val="2"/>
      <charset val="161"/>
      <scheme val="major"/>
    </font>
    <font>
      <b/>
      <sz val="15"/>
      <color theme="3"/>
      <name val="Calibri"/>
      <family val="2"/>
      <charset val="161"/>
      <scheme val="minor"/>
    </font>
    <font>
      <b/>
      <sz val="13"/>
      <color theme="3"/>
      <name val="Calibri"/>
      <family val="2"/>
      <charset val="161"/>
      <scheme val="minor"/>
    </font>
    <font>
      <b/>
      <sz val="11"/>
      <color theme="3"/>
      <name val="Calibri"/>
      <family val="2"/>
      <charset val="161"/>
      <scheme val="minor"/>
    </font>
    <font>
      <sz val="11"/>
      <color rgb="FF006100"/>
      <name val="Calibri"/>
      <family val="2"/>
      <charset val="161"/>
      <scheme val="minor"/>
    </font>
    <font>
      <sz val="11"/>
      <color rgb="FF9C0006"/>
      <name val="Calibri"/>
      <family val="2"/>
      <charset val="161"/>
      <scheme val="minor"/>
    </font>
    <font>
      <sz val="11"/>
      <color rgb="FF9C6500"/>
      <name val="Calibri"/>
      <family val="2"/>
      <charset val="161"/>
      <scheme val="minor"/>
    </font>
    <font>
      <sz val="11"/>
      <color rgb="FF3F3F76"/>
      <name val="Calibri"/>
      <family val="2"/>
      <charset val="161"/>
      <scheme val="minor"/>
    </font>
    <font>
      <b/>
      <sz val="11"/>
      <color rgb="FF3F3F3F"/>
      <name val="Calibri"/>
      <family val="2"/>
      <charset val="161"/>
      <scheme val="minor"/>
    </font>
    <font>
      <b/>
      <sz val="11"/>
      <color rgb="FFFA7D00"/>
      <name val="Calibri"/>
      <family val="2"/>
      <charset val="161"/>
      <scheme val="minor"/>
    </font>
    <font>
      <sz val="11"/>
      <color rgb="FFFA7D00"/>
      <name val="Calibri"/>
      <family val="2"/>
      <charset val="161"/>
      <scheme val="minor"/>
    </font>
    <font>
      <b/>
      <sz val="11"/>
      <color theme="0"/>
      <name val="Calibri"/>
      <family val="2"/>
      <charset val="161"/>
      <scheme val="minor"/>
    </font>
    <font>
      <sz val="11"/>
      <color rgb="FFFF0000"/>
      <name val="Calibri"/>
      <family val="2"/>
      <charset val="161"/>
      <scheme val="minor"/>
    </font>
    <font>
      <i/>
      <sz val="11"/>
      <color rgb="FF7F7F7F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sz val="11"/>
      <color theme="0"/>
      <name val="Calibri"/>
      <family val="2"/>
      <charset val="161"/>
      <scheme val="minor"/>
    </font>
    <font>
      <b/>
      <sz val="11"/>
      <color theme="1"/>
      <name val="Calibri"/>
      <family val="2"/>
      <scheme val="minor"/>
    </font>
    <font>
      <b/>
      <u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4"/>
      <name val="Times New Roman"/>
      <family val="1"/>
      <charset val="161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2" fillId="0" borderId="0"/>
    <xf numFmtId="0" fontId="1" fillId="0" borderId="0"/>
  </cellStyleXfs>
  <cellXfs count="30">
    <xf numFmtId="0" fontId="0" fillId="0" borderId="0" xfId="0"/>
    <xf numFmtId="0" fontId="0" fillId="35" borderId="0" xfId="0" applyFill="1" applyAlignment="1">
      <alignment horizontal="center"/>
    </xf>
    <xf numFmtId="0" fontId="18" fillId="34" borderId="0" xfId="0" applyFont="1" applyFill="1" applyAlignment="1">
      <alignment horizontal="center"/>
    </xf>
    <xf numFmtId="0" fontId="0" fillId="38" borderId="0" xfId="0" applyFill="1"/>
    <xf numFmtId="0" fontId="16" fillId="37" borderId="0" xfId="0" applyFont="1" applyFill="1" applyAlignment="1">
      <alignment horizontal="center"/>
    </xf>
    <xf numFmtId="0" fontId="16" fillId="0" borderId="10" xfId="0" applyFont="1" applyFill="1" applyBorder="1" applyAlignment="1"/>
    <xf numFmtId="0" fontId="14" fillId="35" borderId="0" xfId="0" applyFont="1" applyFill="1" applyAlignment="1">
      <alignment horizontal="center"/>
    </xf>
    <xf numFmtId="0" fontId="16" fillId="34" borderId="10" xfId="0" applyFont="1" applyFill="1" applyBorder="1" applyAlignment="1"/>
    <xf numFmtId="0" fontId="0" fillId="35" borderId="0" xfId="0" applyFill="1"/>
    <xf numFmtId="0" fontId="0" fillId="0" borderId="0" xfId="0"/>
    <xf numFmtId="0" fontId="16" fillId="36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0" fillId="0" borderId="0" xfId="0"/>
    <xf numFmtId="0" fontId="16" fillId="34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0" fillId="0" borderId="0" xfId="0"/>
    <xf numFmtId="0" fontId="16" fillId="33" borderId="0" xfId="0" applyFont="1" applyFill="1" applyAlignment="1">
      <alignment horizontal="center"/>
    </xf>
    <xf numFmtId="0" fontId="0" fillId="38" borderId="0" xfId="0" applyFill="1"/>
    <xf numFmtId="0" fontId="0" fillId="0" borderId="0" xfId="0"/>
    <xf numFmtId="0" fontId="0" fillId="0" borderId="0" xfId="0"/>
    <xf numFmtId="0" fontId="0" fillId="0" borderId="0" xfId="0"/>
    <xf numFmtId="0" fontId="16" fillId="34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9" fillId="0" borderId="0" xfId="0" applyFont="1"/>
    <xf numFmtId="0" fontId="21" fillId="0" borderId="0" xfId="0" applyFont="1"/>
    <xf numFmtId="0" fontId="18" fillId="0" borderId="0" xfId="0" applyFont="1"/>
    <xf numFmtId="0" fontId="18" fillId="0" borderId="0" xfId="0" applyFont="1" applyAlignment="1">
      <alignment horizontal="center"/>
    </xf>
    <xf numFmtId="0" fontId="18" fillId="35" borderId="0" xfId="0" applyFont="1" applyFill="1" applyAlignment="1">
      <alignment horizontal="center"/>
    </xf>
    <xf numFmtId="0" fontId="1" fillId="0" borderId="0" xfId="43"/>
    <xf numFmtId="11" fontId="1" fillId="0" borderId="0" xfId="43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3" xr:uid="{80AEE85D-C399-474A-951D-0EC5A3C06178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  <cellStyle name="Κανονικό 7" xfId="42" xr:uid="{6A6E8B7A-2BA3-4CC1-A3F3-B9E03E74A7D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CW</a:t>
            </a:r>
            <a:r>
              <a:rPr lang="en-US" baseline="0"/>
              <a:t> </a:t>
            </a:r>
            <a:r>
              <a:rPr lang="en-US"/>
              <a:t>OSL </a:t>
            </a:r>
            <a:endParaRPr lang="el-GR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932370694675005"/>
          <c:y val="9.52333147100589E-2"/>
          <c:w val="0.7125089565761501"/>
          <c:h val="0.76682558804651824"/>
        </c:manualLayout>
      </c:layout>
      <c:scatterChart>
        <c:scatterStyle val="lineMarker"/>
        <c:varyColors val="0"/>
        <c:ser>
          <c:idx val="0"/>
          <c:order val="0"/>
          <c:tx>
            <c:v>Experimental</c:v>
          </c:tx>
          <c:spPr>
            <a:ln w="28575">
              <a:noFill/>
            </a:ln>
          </c:spPr>
          <c:marker>
            <c:symbol val="diamond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'sheet 1'!$B$39:$B$788</c:f>
              <c:numCache>
                <c:formatCode>General</c:formatCode>
                <c:ptCount val="7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</c:numCache>
            </c:numRef>
          </c:xVal>
          <c:yVal>
            <c:numRef>
              <c:f>'sheet 1'!$C$39:$C$788</c:f>
              <c:numCache>
                <c:formatCode>General</c:formatCode>
                <c:ptCount val="750"/>
                <c:pt idx="0">
                  <c:v>1713.7857100000001</c:v>
                </c:pt>
                <c:pt idx="1">
                  <c:v>1908.2857200000001</c:v>
                </c:pt>
                <c:pt idx="2">
                  <c:v>1891.5357100000001</c:v>
                </c:pt>
                <c:pt idx="3">
                  <c:v>1856.5357200000001</c:v>
                </c:pt>
                <c:pt idx="4">
                  <c:v>1752.5357200000001</c:v>
                </c:pt>
                <c:pt idx="5">
                  <c:v>1711.5357200000001</c:v>
                </c:pt>
                <c:pt idx="6">
                  <c:v>1660.2857100000001</c:v>
                </c:pt>
                <c:pt idx="7">
                  <c:v>1652.0357200000001</c:v>
                </c:pt>
                <c:pt idx="8">
                  <c:v>1569.0357200000001</c:v>
                </c:pt>
                <c:pt idx="9">
                  <c:v>1515.2857200000001</c:v>
                </c:pt>
                <c:pt idx="10">
                  <c:v>1478.2857200000001</c:v>
                </c:pt>
                <c:pt idx="11">
                  <c:v>1483.7857200000001</c:v>
                </c:pt>
                <c:pt idx="12">
                  <c:v>1420.5357200000001</c:v>
                </c:pt>
                <c:pt idx="13">
                  <c:v>1413.5357200000001</c:v>
                </c:pt>
                <c:pt idx="14">
                  <c:v>1340.5357200000001</c:v>
                </c:pt>
                <c:pt idx="15">
                  <c:v>1289.5357200000001</c:v>
                </c:pt>
                <c:pt idx="16">
                  <c:v>1276.0357200000001</c:v>
                </c:pt>
                <c:pt idx="17">
                  <c:v>1279.0357200000001</c:v>
                </c:pt>
                <c:pt idx="18">
                  <c:v>1213.5357200000001</c:v>
                </c:pt>
                <c:pt idx="19">
                  <c:v>1210.0357200000001</c:v>
                </c:pt>
                <c:pt idx="20">
                  <c:v>1225.2857200000001</c:v>
                </c:pt>
                <c:pt idx="21">
                  <c:v>1162.0357200000001</c:v>
                </c:pt>
                <c:pt idx="22">
                  <c:v>1123.0357200000001</c:v>
                </c:pt>
                <c:pt idx="23">
                  <c:v>1102.2857200000001</c:v>
                </c:pt>
                <c:pt idx="24">
                  <c:v>1107.2857200000001</c:v>
                </c:pt>
                <c:pt idx="25">
                  <c:v>1038.7857200000001</c:v>
                </c:pt>
                <c:pt idx="26">
                  <c:v>1054.0357200000001</c:v>
                </c:pt>
                <c:pt idx="27">
                  <c:v>1048.2857200000001</c:v>
                </c:pt>
                <c:pt idx="28">
                  <c:v>999.03570999999999</c:v>
                </c:pt>
                <c:pt idx="29">
                  <c:v>1001.53572</c:v>
                </c:pt>
                <c:pt idx="30">
                  <c:v>991.78570999999999</c:v>
                </c:pt>
                <c:pt idx="31">
                  <c:v>945.53570999999999</c:v>
                </c:pt>
                <c:pt idx="32">
                  <c:v>980.53570999999999</c:v>
                </c:pt>
                <c:pt idx="33">
                  <c:v>941.03570999999999</c:v>
                </c:pt>
                <c:pt idx="34">
                  <c:v>909.28570999999999</c:v>
                </c:pt>
                <c:pt idx="35">
                  <c:v>907.78570999999999</c:v>
                </c:pt>
                <c:pt idx="36">
                  <c:v>896.53570999999999</c:v>
                </c:pt>
                <c:pt idx="37">
                  <c:v>882.53570999999999</c:v>
                </c:pt>
                <c:pt idx="38">
                  <c:v>849.28570999999999</c:v>
                </c:pt>
                <c:pt idx="39">
                  <c:v>827.78570999999999</c:v>
                </c:pt>
                <c:pt idx="40">
                  <c:v>807.53570999999999</c:v>
                </c:pt>
                <c:pt idx="41">
                  <c:v>810.78570999999999</c:v>
                </c:pt>
                <c:pt idx="42">
                  <c:v>821.03570999999999</c:v>
                </c:pt>
                <c:pt idx="43">
                  <c:v>847.78570999999999</c:v>
                </c:pt>
                <c:pt idx="44">
                  <c:v>778.78570999999999</c:v>
                </c:pt>
                <c:pt idx="45">
                  <c:v>772.53570999999999</c:v>
                </c:pt>
                <c:pt idx="46">
                  <c:v>730.28570999999999</c:v>
                </c:pt>
                <c:pt idx="47">
                  <c:v>772.28570999999999</c:v>
                </c:pt>
                <c:pt idx="48">
                  <c:v>731.78570999999999</c:v>
                </c:pt>
                <c:pt idx="49">
                  <c:v>740.03570999999999</c:v>
                </c:pt>
                <c:pt idx="50">
                  <c:v>730.28570999999999</c:v>
                </c:pt>
                <c:pt idx="51">
                  <c:v>712.03570999999999</c:v>
                </c:pt>
                <c:pt idx="52">
                  <c:v>692.28570999999999</c:v>
                </c:pt>
                <c:pt idx="53">
                  <c:v>736.03570999999999</c:v>
                </c:pt>
                <c:pt idx="54">
                  <c:v>692.28570999999999</c:v>
                </c:pt>
                <c:pt idx="55">
                  <c:v>699.53570999999999</c:v>
                </c:pt>
                <c:pt idx="56">
                  <c:v>649.28570999999999</c:v>
                </c:pt>
                <c:pt idx="57">
                  <c:v>666.53570999999999</c:v>
                </c:pt>
                <c:pt idx="58">
                  <c:v>675.28570999999999</c:v>
                </c:pt>
                <c:pt idx="59">
                  <c:v>639.28570999999999</c:v>
                </c:pt>
                <c:pt idx="60">
                  <c:v>660.03570999999999</c:v>
                </c:pt>
                <c:pt idx="61">
                  <c:v>641.28570999999999</c:v>
                </c:pt>
                <c:pt idx="62">
                  <c:v>600.53570999999999</c:v>
                </c:pt>
                <c:pt idx="63">
                  <c:v>607.78570999999999</c:v>
                </c:pt>
                <c:pt idx="64">
                  <c:v>627.78570999999999</c:v>
                </c:pt>
                <c:pt idx="65">
                  <c:v>588.28570999999999</c:v>
                </c:pt>
                <c:pt idx="66">
                  <c:v>602.78570999999999</c:v>
                </c:pt>
                <c:pt idx="67">
                  <c:v>577.03570999999999</c:v>
                </c:pt>
                <c:pt idx="68">
                  <c:v>599.53570999999999</c:v>
                </c:pt>
                <c:pt idx="69">
                  <c:v>597.53570999999999</c:v>
                </c:pt>
                <c:pt idx="70">
                  <c:v>573.53570999999999</c:v>
                </c:pt>
                <c:pt idx="71">
                  <c:v>574.53570999999999</c:v>
                </c:pt>
                <c:pt idx="72">
                  <c:v>546.03570999999999</c:v>
                </c:pt>
                <c:pt idx="73">
                  <c:v>564.78570999999999</c:v>
                </c:pt>
                <c:pt idx="74">
                  <c:v>582.53570999999999</c:v>
                </c:pt>
                <c:pt idx="75">
                  <c:v>531.78570999999999</c:v>
                </c:pt>
                <c:pt idx="76">
                  <c:v>546.53570999999999</c:v>
                </c:pt>
                <c:pt idx="77">
                  <c:v>517.28570999999999</c:v>
                </c:pt>
                <c:pt idx="78">
                  <c:v>527.03570999999999</c:v>
                </c:pt>
                <c:pt idx="79">
                  <c:v>513.53570999999999</c:v>
                </c:pt>
                <c:pt idx="80">
                  <c:v>509.53570999999999</c:v>
                </c:pt>
                <c:pt idx="81">
                  <c:v>514.03570999999999</c:v>
                </c:pt>
                <c:pt idx="82">
                  <c:v>503.78570999999999</c:v>
                </c:pt>
                <c:pt idx="83">
                  <c:v>506.78570999999999</c:v>
                </c:pt>
                <c:pt idx="84">
                  <c:v>489.03570999999999</c:v>
                </c:pt>
                <c:pt idx="85">
                  <c:v>485.53570999999999</c:v>
                </c:pt>
                <c:pt idx="86">
                  <c:v>492.28570999999999</c:v>
                </c:pt>
                <c:pt idx="87">
                  <c:v>482.78570999999999</c:v>
                </c:pt>
                <c:pt idx="88">
                  <c:v>467.53570999999999</c:v>
                </c:pt>
                <c:pt idx="89">
                  <c:v>485.03570999999999</c:v>
                </c:pt>
                <c:pt idx="90">
                  <c:v>491.28570999999999</c:v>
                </c:pt>
                <c:pt idx="91">
                  <c:v>454.28570999999999</c:v>
                </c:pt>
                <c:pt idx="92">
                  <c:v>457.53570999999999</c:v>
                </c:pt>
                <c:pt idx="93">
                  <c:v>451.53570999999999</c:v>
                </c:pt>
                <c:pt idx="94">
                  <c:v>489.53570999999999</c:v>
                </c:pt>
                <c:pt idx="95">
                  <c:v>441.03570999999999</c:v>
                </c:pt>
                <c:pt idx="96">
                  <c:v>446.03570999999999</c:v>
                </c:pt>
                <c:pt idx="97">
                  <c:v>439.03570999999999</c:v>
                </c:pt>
                <c:pt idx="98">
                  <c:v>438.03570999999999</c:v>
                </c:pt>
                <c:pt idx="99">
                  <c:v>418.28572000000003</c:v>
                </c:pt>
                <c:pt idx="100">
                  <c:v>423.03570999999999</c:v>
                </c:pt>
                <c:pt idx="101">
                  <c:v>432.53570999999999</c:v>
                </c:pt>
                <c:pt idx="102" formatCode="0.00E+00">
                  <c:v>416.53572000000003</c:v>
                </c:pt>
                <c:pt idx="103">
                  <c:v>416.28570999999999</c:v>
                </c:pt>
                <c:pt idx="104">
                  <c:v>383.78570999999999</c:v>
                </c:pt>
                <c:pt idx="105">
                  <c:v>403.78570999999999</c:v>
                </c:pt>
                <c:pt idx="106">
                  <c:v>407.53570999999999</c:v>
                </c:pt>
                <c:pt idx="107">
                  <c:v>415.78570999999999</c:v>
                </c:pt>
                <c:pt idx="108">
                  <c:v>409.78570999999999</c:v>
                </c:pt>
                <c:pt idx="109">
                  <c:v>411.03570999999999</c:v>
                </c:pt>
                <c:pt idx="110">
                  <c:v>397.53570999999999</c:v>
                </c:pt>
                <c:pt idx="111">
                  <c:v>382.28570999999999</c:v>
                </c:pt>
                <c:pt idx="112">
                  <c:v>369.78570999999999</c:v>
                </c:pt>
                <c:pt idx="113">
                  <c:v>399.53570999999999</c:v>
                </c:pt>
                <c:pt idx="114">
                  <c:v>384.28570999999999</c:v>
                </c:pt>
                <c:pt idx="115">
                  <c:v>379.53570999999999</c:v>
                </c:pt>
                <c:pt idx="116">
                  <c:v>361.78570999999999</c:v>
                </c:pt>
                <c:pt idx="117">
                  <c:v>394.78570999999999</c:v>
                </c:pt>
                <c:pt idx="118">
                  <c:v>364.03570999999999</c:v>
                </c:pt>
                <c:pt idx="119">
                  <c:v>371.03570999999999</c:v>
                </c:pt>
                <c:pt idx="120">
                  <c:v>347.28570999999999</c:v>
                </c:pt>
                <c:pt idx="121">
                  <c:v>354.53570999999999</c:v>
                </c:pt>
                <c:pt idx="122">
                  <c:v>345.03570999999999</c:v>
                </c:pt>
                <c:pt idx="123">
                  <c:v>356.53570999999999</c:v>
                </c:pt>
                <c:pt idx="124">
                  <c:v>342.03570999999999</c:v>
                </c:pt>
                <c:pt idx="125">
                  <c:v>348.28570999999999</c:v>
                </c:pt>
                <c:pt idx="126">
                  <c:v>343.78570999999999</c:v>
                </c:pt>
                <c:pt idx="127">
                  <c:v>337.53570999999999</c:v>
                </c:pt>
                <c:pt idx="128">
                  <c:v>337.03570999999999</c:v>
                </c:pt>
                <c:pt idx="129">
                  <c:v>320.53570999999999</c:v>
                </c:pt>
                <c:pt idx="130">
                  <c:v>352.53570999999999</c:v>
                </c:pt>
                <c:pt idx="131">
                  <c:v>318.03570999999999</c:v>
                </c:pt>
                <c:pt idx="132">
                  <c:v>319.53570999999999</c:v>
                </c:pt>
                <c:pt idx="133">
                  <c:v>333.78570999999999</c:v>
                </c:pt>
                <c:pt idx="134">
                  <c:v>325.28570999999999</c:v>
                </c:pt>
                <c:pt idx="135">
                  <c:v>302.28570999999999</c:v>
                </c:pt>
                <c:pt idx="136">
                  <c:v>344.78570999999999</c:v>
                </c:pt>
                <c:pt idx="137">
                  <c:v>319.03570999999999</c:v>
                </c:pt>
                <c:pt idx="138">
                  <c:v>300.53570999999999</c:v>
                </c:pt>
                <c:pt idx="139">
                  <c:v>318.78570999999999</c:v>
                </c:pt>
                <c:pt idx="140">
                  <c:v>288.03570999999999</c:v>
                </c:pt>
                <c:pt idx="141">
                  <c:v>310.28570999999999</c:v>
                </c:pt>
                <c:pt idx="142">
                  <c:v>306.03570999999999</c:v>
                </c:pt>
                <c:pt idx="143">
                  <c:v>318.78570999999999</c:v>
                </c:pt>
                <c:pt idx="144">
                  <c:v>281.53570999999999</c:v>
                </c:pt>
                <c:pt idx="145">
                  <c:v>299.53570999999999</c:v>
                </c:pt>
                <c:pt idx="146">
                  <c:v>282.28570999999999</c:v>
                </c:pt>
                <c:pt idx="147">
                  <c:v>293.03570999999999</c:v>
                </c:pt>
                <c:pt idx="148">
                  <c:v>261.28570999999999</c:v>
                </c:pt>
                <c:pt idx="149">
                  <c:v>273.03570999999999</c:v>
                </c:pt>
                <c:pt idx="150">
                  <c:v>297.53570999999999</c:v>
                </c:pt>
                <c:pt idx="151">
                  <c:v>289.28570999999999</c:v>
                </c:pt>
                <c:pt idx="152">
                  <c:v>291.28570999999999</c:v>
                </c:pt>
                <c:pt idx="153">
                  <c:v>280.28570999999999</c:v>
                </c:pt>
                <c:pt idx="154">
                  <c:v>291.53570999999999</c:v>
                </c:pt>
                <c:pt idx="155">
                  <c:v>285.78570999999999</c:v>
                </c:pt>
                <c:pt idx="156">
                  <c:v>259.03570999999999</c:v>
                </c:pt>
                <c:pt idx="157">
                  <c:v>267.28570999999999</c:v>
                </c:pt>
                <c:pt idx="158">
                  <c:v>269.78570999999999</c:v>
                </c:pt>
                <c:pt idx="159">
                  <c:v>278.28570999999999</c:v>
                </c:pt>
                <c:pt idx="160">
                  <c:v>239.03570999999999</c:v>
                </c:pt>
                <c:pt idx="161">
                  <c:v>287.03570999999999</c:v>
                </c:pt>
                <c:pt idx="162">
                  <c:v>263.78570999999999</c:v>
                </c:pt>
                <c:pt idx="163">
                  <c:v>230.03570999999999</c:v>
                </c:pt>
                <c:pt idx="164">
                  <c:v>266.53570999999999</c:v>
                </c:pt>
                <c:pt idx="165">
                  <c:v>260.53570999999999</c:v>
                </c:pt>
                <c:pt idx="166">
                  <c:v>243.28570999999999</c:v>
                </c:pt>
                <c:pt idx="167">
                  <c:v>245.53570999999999</c:v>
                </c:pt>
                <c:pt idx="168">
                  <c:v>275.03570999999999</c:v>
                </c:pt>
                <c:pt idx="169">
                  <c:v>240.78570999999999</c:v>
                </c:pt>
                <c:pt idx="170">
                  <c:v>260.78570999999999</c:v>
                </c:pt>
                <c:pt idx="171">
                  <c:v>260.03570999999999</c:v>
                </c:pt>
                <c:pt idx="172">
                  <c:v>222.78570999999999</c:v>
                </c:pt>
                <c:pt idx="173">
                  <c:v>237.28570999999999</c:v>
                </c:pt>
                <c:pt idx="174">
                  <c:v>242.28572</c:v>
                </c:pt>
                <c:pt idx="175">
                  <c:v>231.78572</c:v>
                </c:pt>
                <c:pt idx="176">
                  <c:v>253.03570999999999</c:v>
                </c:pt>
                <c:pt idx="177">
                  <c:v>244.03570999999999</c:v>
                </c:pt>
                <c:pt idx="178">
                  <c:v>219.28572</c:v>
                </c:pt>
                <c:pt idx="179">
                  <c:v>236.03572</c:v>
                </c:pt>
                <c:pt idx="180">
                  <c:v>246.03570999999999</c:v>
                </c:pt>
                <c:pt idx="181">
                  <c:v>238.78570999999999</c:v>
                </c:pt>
                <c:pt idx="182">
                  <c:v>206.53570999999999</c:v>
                </c:pt>
                <c:pt idx="183">
                  <c:v>248.53572</c:v>
                </c:pt>
                <c:pt idx="184">
                  <c:v>218.28570999999999</c:v>
                </c:pt>
                <c:pt idx="185">
                  <c:v>205.78570999999999</c:v>
                </c:pt>
                <c:pt idx="186">
                  <c:v>228.03570999999999</c:v>
                </c:pt>
                <c:pt idx="187">
                  <c:v>224.28570999999999</c:v>
                </c:pt>
                <c:pt idx="188">
                  <c:v>206.28570999999999</c:v>
                </c:pt>
                <c:pt idx="189">
                  <c:v>208.28570999999999</c:v>
                </c:pt>
                <c:pt idx="190">
                  <c:v>219.53572</c:v>
                </c:pt>
                <c:pt idx="191">
                  <c:v>214.28570999999999</c:v>
                </c:pt>
                <c:pt idx="192">
                  <c:v>216.28570999999999</c:v>
                </c:pt>
                <c:pt idx="193">
                  <c:v>201.53570999999999</c:v>
                </c:pt>
                <c:pt idx="194">
                  <c:v>195.03570999999999</c:v>
                </c:pt>
                <c:pt idx="195">
                  <c:v>219.28572</c:v>
                </c:pt>
                <c:pt idx="196">
                  <c:v>198.53570999999999</c:v>
                </c:pt>
                <c:pt idx="197">
                  <c:v>215.28572</c:v>
                </c:pt>
                <c:pt idx="198">
                  <c:v>208.03570999999999</c:v>
                </c:pt>
                <c:pt idx="199">
                  <c:v>202.78572</c:v>
                </c:pt>
                <c:pt idx="200">
                  <c:v>197.03570999999999</c:v>
                </c:pt>
                <c:pt idx="201">
                  <c:v>207.78570999999999</c:v>
                </c:pt>
                <c:pt idx="202">
                  <c:v>182.28570999999999</c:v>
                </c:pt>
                <c:pt idx="203">
                  <c:v>202.53570999999999</c:v>
                </c:pt>
                <c:pt idx="204">
                  <c:v>204.78572</c:v>
                </c:pt>
                <c:pt idx="205">
                  <c:v>189.78570999999999</c:v>
                </c:pt>
                <c:pt idx="206">
                  <c:v>215.78570999999999</c:v>
                </c:pt>
                <c:pt idx="207">
                  <c:v>207.03572</c:v>
                </c:pt>
                <c:pt idx="208">
                  <c:v>193.78570999999999</c:v>
                </c:pt>
                <c:pt idx="209">
                  <c:v>200.03570999999999</c:v>
                </c:pt>
                <c:pt idx="210">
                  <c:v>201.53570999999999</c:v>
                </c:pt>
                <c:pt idx="211">
                  <c:v>187.03570999999999</c:v>
                </c:pt>
                <c:pt idx="212">
                  <c:v>175.03570999999999</c:v>
                </c:pt>
                <c:pt idx="213">
                  <c:v>173.28570999999999</c:v>
                </c:pt>
                <c:pt idx="214">
                  <c:v>176.28570999999999</c:v>
                </c:pt>
                <c:pt idx="215">
                  <c:v>182.03570999999999</c:v>
                </c:pt>
                <c:pt idx="216">
                  <c:v>190.28570999999999</c:v>
                </c:pt>
                <c:pt idx="217">
                  <c:v>184.28570999999999</c:v>
                </c:pt>
                <c:pt idx="218">
                  <c:v>166.28570999999999</c:v>
                </c:pt>
                <c:pt idx="219">
                  <c:v>176.53570999999999</c:v>
                </c:pt>
                <c:pt idx="220">
                  <c:v>176.53570999999999</c:v>
                </c:pt>
                <c:pt idx="221">
                  <c:v>167.03570999999999</c:v>
                </c:pt>
                <c:pt idx="222">
                  <c:v>182.03570999999999</c:v>
                </c:pt>
                <c:pt idx="223">
                  <c:v>156.78570999999999</c:v>
                </c:pt>
                <c:pt idx="224">
                  <c:v>181.53570999999999</c:v>
                </c:pt>
                <c:pt idx="225">
                  <c:v>176.03570999999999</c:v>
                </c:pt>
                <c:pt idx="226">
                  <c:v>176.03570999999999</c:v>
                </c:pt>
                <c:pt idx="227">
                  <c:v>178.53570999999999</c:v>
                </c:pt>
                <c:pt idx="228">
                  <c:v>159.53570999999999</c:v>
                </c:pt>
                <c:pt idx="229">
                  <c:v>179.28570999999999</c:v>
                </c:pt>
                <c:pt idx="230">
                  <c:v>145.53570999999999</c:v>
                </c:pt>
                <c:pt idx="231">
                  <c:v>170.53570999999999</c:v>
                </c:pt>
                <c:pt idx="232">
                  <c:v>156.53570999999999</c:v>
                </c:pt>
                <c:pt idx="233">
                  <c:v>166.78570999999999</c:v>
                </c:pt>
                <c:pt idx="234">
                  <c:v>154.53570999999999</c:v>
                </c:pt>
                <c:pt idx="235">
                  <c:v>153.78570999999999</c:v>
                </c:pt>
                <c:pt idx="236">
                  <c:v>159.53570999999999</c:v>
                </c:pt>
                <c:pt idx="237">
                  <c:v>143.53570999999999</c:v>
                </c:pt>
                <c:pt idx="238">
                  <c:v>175.53570999999999</c:v>
                </c:pt>
                <c:pt idx="239">
                  <c:v>171.28570999999999</c:v>
                </c:pt>
                <c:pt idx="240">
                  <c:v>153.03570999999999</c:v>
                </c:pt>
                <c:pt idx="241">
                  <c:v>160.28570999999999</c:v>
                </c:pt>
                <c:pt idx="242">
                  <c:v>139.28570999999999</c:v>
                </c:pt>
                <c:pt idx="243">
                  <c:v>172.53570999999999</c:v>
                </c:pt>
                <c:pt idx="244">
                  <c:v>161.28570999999999</c:v>
                </c:pt>
                <c:pt idx="245">
                  <c:v>160.78570999999999</c:v>
                </c:pt>
                <c:pt idx="246">
                  <c:v>160.78570999999999</c:v>
                </c:pt>
                <c:pt idx="247">
                  <c:v>147.78570999999999</c:v>
                </c:pt>
                <c:pt idx="248">
                  <c:v>153.28570999999999</c:v>
                </c:pt>
                <c:pt idx="249">
                  <c:v>154.78570999999999</c:v>
                </c:pt>
                <c:pt idx="250">
                  <c:v>157.78570999999999</c:v>
                </c:pt>
                <c:pt idx="251">
                  <c:v>144.28570999999999</c:v>
                </c:pt>
                <c:pt idx="252">
                  <c:v>158.53570999999999</c:v>
                </c:pt>
                <c:pt idx="253">
                  <c:v>168.28570999999999</c:v>
                </c:pt>
                <c:pt idx="254">
                  <c:v>159.53570999999999</c:v>
                </c:pt>
                <c:pt idx="255">
                  <c:v>137.78570999999999</c:v>
                </c:pt>
                <c:pt idx="256">
                  <c:v>162.78570999999999</c:v>
                </c:pt>
                <c:pt idx="257">
                  <c:v>147.53570999999999</c:v>
                </c:pt>
                <c:pt idx="258">
                  <c:v>153.53570999999999</c:v>
                </c:pt>
                <c:pt idx="259">
                  <c:v>149.28570999999999</c:v>
                </c:pt>
                <c:pt idx="260">
                  <c:v>138.28570999999999</c:v>
                </c:pt>
                <c:pt idx="261">
                  <c:v>136.28570999999999</c:v>
                </c:pt>
                <c:pt idx="262">
                  <c:v>155.28570999999999</c:v>
                </c:pt>
                <c:pt idx="263">
                  <c:v>137.53570999999999</c:v>
                </c:pt>
                <c:pt idx="264">
                  <c:v>114.03570999999999</c:v>
                </c:pt>
                <c:pt idx="265">
                  <c:v>142.03570999999999</c:v>
                </c:pt>
                <c:pt idx="266">
                  <c:v>143.03570999999999</c:v>
                </c:pt>
                <c:pt idx="267">
                  <c:v>139.53570999999999</c:v>
                </c:pt>
                <c:pt idx="268">
                  <c:v>149.03570999999999</c:v>
                </c:pt>
                <c:pt idx="269">
                  <c:v>136.78570999999999</c:v>
                </c:pt>
                <c:pt idx="270">
                  <c:v>141.53570999999999</c:v>
                </c:pt>
                <c:pt idx="271">
                  <c:v>124.28570999999999</c:v>
                </c:pt>
                <c:pt idx="272">
                  <c:v>164.03570999999999</c:v>
                </c:pt>
                <c:pt idx="273">
                  <c:v>117.28570999999999</c:v>
                </c:pt>
                <c:pt idx="274">
                  <c:v>131.28570999999999</c:v>
                </c:pt>
                <c:pt idx="275">
                  <c:v>118.53570999999999</c:v>
                </c:pt>
                <c:pt idx="276">
                  <c:v>129.53570999999999</c:v>
                </c:pt>
                <c:pt idx="277">
                  <c:v>149.53570999999999</c:v>
                </c:pt>
                <c:pt idx="278">
                  <c:v>127.28570999999999</c:v>
                </c:pt>
                <c:pt idx="279">
                  <c:v>128.03570999999999</c:v>
                </c:pt>
                <c:pt idx="280">
                  <c:v>127.03570999999999</c:v>
                </c:pt>
                <c:pt idx="281">
                  <c:v>138.28570999999999</c:v>
                </c:pt>
                <c:pt idx="282">
                  <c:v>138.03570999999999</c:v>
                </c:pt>
                <c:pt idx="283">
                  <c:v>127.53570999999999</c:v>
                </c:pt>
                <c:pt idx="284">
                  <c:v>118.53570999999999</c:v>
                </c:pt>
                <c:pt idx="285">
                  <c:v>126.53570999999999</c:v>
                </c:pt>
                <c:pt idx="286">
                  <c:v>132.78570999999999</c:v>
                </c:pt>
                <c:pt idx="287">
                  <c:v>140.53570999999999</c:v>
                </c:pt>
                <c:pt idx="288">
                  <c:v>107.78570999999999</c:v>
                </c:pt>
                <c:pt idx="289">
                  <c:v>115.53570999999999</c:v>
                </c:pt>
                <c:pt idx="290">
                  <c:v>138.78570999999999</c:v>
                </c:pt>
                <c:pt idx="291">
                  <c:v>113.78570999999999</c:v>
                </c:pt>
                <c:pt idx="292">
                  <c:v>111.53572</c:v>
                </c:pt>
                <c:pt idx="293">
                  <c:v>140.03570999999999</c:v>
                </c:pt>
                <c:pt idx="294">
                  <c:v>118.78572</c:v>
                </c:pt>
                <c:pt idx="295">
                  <c:v>119.53570999999999</c:v>
                </c:pt>
                <c:pt idx="296">
                  <c:v>120.78570999999999</c:v>
                </c:pt>
                <c:pt idx="297">
                  <c:v>130.78570999999999</c:v>
                </c:pt>
                <c:pt idx="298">
                  <c:v>137.28570999999999</c:v>
                </c:pt>
                <c:pt idx="299">
                  <c:v>108.03570999999999</c:v>
                </c:pt>
                <c:pt idx="300">
                  <c:v>102.28570999999999</c:v>
                </c:pt>
                <c:pt idx="301">
                  <c:v>120.78570999999999</c:v>
                </c:pt>
                <c:pt idx="302">
                  <c:v>106.78570999999999</c:v>
                </c:pt>
                <c:pt idx="303">
                  <c:v>127.78570999999999</c:v>
                </c:pt>
                <c:pt idx="304">
                  <c:v>91.035709999999995</c:v>
                </c:pt>
                <c:pt idx="305">
                  <c:v>112.28570999999999</c:v>
                </c:pt>
                <c:pt idx="306">
                  <c:v>129.53570999999999</c:v>
                </c:pt>
                <c:pt idx="307">
                  <c:v>93.285709999999995</c:v>
                </c:pt>
                <c:pt idx="308">
                  <c:v>124.28570999999999</c:v>
                </c:pt>
                <c:pt idx="309">
                  <c:v>131.03570999999999</c:v>
                </c:pt>
                <c:pt idx="310">
                  <c:v>104.28572</c:v>
                </c:pt>
                <c:pt idx="311">
                  <c:v>134.03570999999999</c:v>
                </c:pt>
                <c:pt idx="312">
                  <c:v>107.53570999999999</c:v>
                </c:pt>
                <c:pt idx="313">
                  <c:v>114.03570999999999</c:v>
                </c:pt>
                <c:pt idx="314">
                  <c:v>117.28570999999999</c:v>
                </c:pt>
                <c:pt idx="315">
                  <c:v>108.28570999999999</c:v>
                </c:pt>
                <c:pt idx="316">
                  <c:v>89.035709999999995</c:v>
                </c:pt>
                <c:pt idx="317">
                  <c:v>85.035709999999995</c:v>
                </c:pt>
                <c:pt idx="318">
                  <c:v>116.53570999999999</c:v>
                </c:pt>
                <c:pt idx="319">
                  <c:v>111.03570999999999</c:v>
                </c:pt>
                <c:pt idx="320">
                  <c:v>79.535709999999995</c:v>
                </c:pt>
                <c:pt idx="321">
                  <c:v>95.285709999999995</c:v>
                </c:pt>
                <c:pt idx="322">
                  <c:v>99.535709999999995</c:v>
                </c:pt>
                <c:pt idx="323">
                  <c:v>118.53570999999999</c:v>
                </c:pt>
                <c:pt idx="324">
                  <c:v>104.03570999999999</c:v>
                </c:pt>
                <c:pt idx="325">
                  <c:v>100.78570999999999</c:v>
                </c:pt>
                <c:pt idx="326">
                  <c:v>100.03572</c:v>
                </c:pt>
                <c:pt idx="327">
                  <c:v>116.53570999999999</c:v>
                </c:pt>
                <c:pt idx="328">
                  <c:v>99.285709999999995</c:v>
                </c:pt>
                <c:pt idx="329">
                  <c:v>88.535709999999995</c:v>
                </c:pt>
                <c:pt idx="330">
                  <c:v>93.035709999999995</c:v>
                </c:pt>
                <c:pt idx="331">
                  <c:v>89.285709999999995</c:v>
                </c:pt>
                <c:pt idx="332">
                  <c:v>112.03570999999999</c:v>
                </c:pt>
                <c:pt idx="333">
                  <c:v>106.03570999999999</c:v>
                </c:pt>
                <c:pt idx="334">
                  <c:v>86.035709999999995</c:v>
                </c:pt>
                <c:pt idx="335">
                  <c:v>99.285709999999995</c:v>
                </c:pt>
                <c:pt idx="336">
                  <c:v>78.035709999999995</c:v>
                </c:pt>
                <c:pt idx="337">
                  <c:v>95.535709999999995</c:v>
                </c:pt>
                <c:pt idx="338">
                  <c:v>93.535709999999995</c:v>
                </c:pt>
                <c:pt idx="339">
                  <c:v>95.535709999999995</c:v>
                </c:pt>
                <c:pt idx="340">
                  <c:v>123.53570999999999</c:v>
                </c:pt>
                <c:pt idx="341">
                  <c:v>98.035709999999995</c:v>
                </c:pt>
                <c:pt idx="342">
                  <c:v>74.785709999999995</c:v>
                </c:pt>
                <c:pt idx="343">
                  <c:v>114.53570999999999</c:v>
                </c:pt>
                <c:pt idx="344">
                  <c:v>98.535709999999995</c:v>
                </c:pt>
                <c:pt idx="345">
                  <c:v>93.535709999999995</c:v>
                </c:pt>
                <c:pt idx="346">
                  <c:v>88.785709999999995</c:v>
                </c:pt>
                <c:pt idx="347">
                  <c:v>101.28570999999999</c:v>
                </c:pt>
                <c:pt idx="348">
                  <c:v>95.285709999999995</c:v>
                </c:pt>
                <c:pt idx="349">
                  <c:v>104.53570999999999</c:v>
                </c:pt>
                <c:pt idx="350">
                  <c:v>91.285709999999995</c:v>
                </c:pt>
                <c:pt idx="351">
                  <c:v>89.535709999999995</c:v>
                </c:pt>
                <c:pt idx="352">
                  <c:v>71.785709999999995</c:v>
                </c:pt>
                <c:pt idx="353">
                  <c:v>99.535709999999995</c:v>
                </c:pt>
                <c:pt idx="354">
                  <c:v>86.035709999999995</c:v>
                </c:pt>
                <c:pt idx="355">
                  <c:v>67.785709999999995</c:v>
                </c:pt>
                <c:pt idx="356">
                  <c:v>87.035709999999995</c:v>
                </c:pt>
                <c:pt idx="357">
                  <c:v>78.535709999999995</c:v>
                </c:pt>
                <c:pt idx="358">
                  <c:v>76.285709999999995</c:v>
                </c:pt>
                <c:pt idx="359">
                  <c:v>87.785709999999995</c:v>
                </c:pt>
                <c:pt idx="360">
                  <c:v>80.535709999999995</c:v>
                </c:pt>
                <c:pt idx="361">
                  <c:v>102.28570999999999</c:v>
                </c:pt>
                <c:pt idx="362">
                  <c:v>86.535709999999995</c:v>
                </c:pt>
                <c:pt idx="363">
                  <c:v>72.785709999999995</c:v>
                </c:pt>
                <c:pt idx="364">
                  <c:v>91.285709999999995</c:v>
                </c:pt>
                <c:pt idx="365">
                  <c:v>77.535709999999995</c:v>
                </c:pt>
                <c:pt idx="366">
                  <c:v>77.535709999999995</c:v>
                </c:pt>
                <c:pt idx="367">
                  <c:v>97.285709999999995</c:v>
                </c:pt>
                <c:pt idx="368">
                  <c:v>82.285709999999995</c:v>
                </c:pt>
                <c:pt idx="369">
                  <c:v>71.785709999999995</c:v>
                </c:pt>
                <c:pt idx="370">
                  <c:v>95.285709999999995</c:v>
                </c:pt>
                <c:pt idx="371">
                  <c:v>68.285709999999995</c:v>
                </c:pt>
                <c:pt idx="372">
                  <c:v>103.53570999999999</c:v>
                </c:pt>
                <c:pt idx="373">
                  <c:v>91.035709999999995</c:v>
                </c:pt>
                <c:pt idx="374">
                  <c:v>84.535709999999995</c:v>
                </c:pt>
                <c:pt idx="375">
                  <c:v>88.035709999999995</c:v>
                </c:pt>
                <c:pt idx="376">
                  <c:v>73.035709999999995</c:v>
                </c:pt>
                <c:pt idx="377">
                  <c:v>67.535709999999995</c:v>
                </c:pt>
                <c:pt idx="378">
                  <c:v>82.785709999999995</c:v>
                </c:pt>
                <c:pt idx="379">
                  <c:v>83.035709999999995</c:v>
                </c:pt>
                <c:pt idx="380">
                  <c:v>79.285709999999995</c:v>
                </c:pt>
                <c:pt idx="381">
                  <c:v>67.785709999999995</c:v>
                </c:pt>
                <c:pt idx="382">
                  <c:v>59.785710000000002</c:v>
                </c:pt>
                <c:pt idx="383">
                  <c:v>77.035709999999995</c:v>
                </c:pt>
                <c:pt idx="384">
                  <c:v>87.535709999999995</c:v>
                </c:pt>
                <c:pt idx="385">
                  <c:v>86.035709999999995</c:v>
                </c:pt>
                <c:pt idx="386">
                  <c:v>68.035709999999995</c:v>
                </c:pt>
                <c:pt idx="387">
                  <c:v>77.285709999999995</c:v>
                </c:pt>
                <c:pt idx="388">
                  <c:v>93.535709999999995</c:v>
                </c:pt>
                <c:pt idx="389">
                  <c:v>93.535709999999995</c:v>
                </c:pt>
                <c:pt idx="390">
                  <c:v>78.785709999999995</c:v>
                </c:pt>
                <c:pt idx="391">
                  <c:v>76.035709999999995</c:v>
                </c:pt>
                <c:pt idx="392">
                  <c:v>69.035709999999995</c:v>
                </c:pt>
                <c:pt idx="393">
                  <c:v>84.785709999999995</c:v>
                </c:pt>
                <c:pt idx="394">
                  <c:v>62.285710000000002</c:v>
                </c:pt>
                <c:pt idx="395">
                  <c:v>63.285710000000002</c:v>
                </c:pt>
                <c:pt idx="396">
                  <c:v>70.035709999999995</c:v>
                </c:pt>
                <c:pt idx="397">
                  <c:v>65.785709999999995</c:v>
                </c:pt>
                <c:pt idx="398">
                  <c:v>68.285709999999995</c:v>
                </c:pt>
                <c:pt idx="399">
                  <c:v>66.285709999999995</c:v>
                </c:pt>
                <c:pt idx="400">
                  <c:v>91.035709999999995</c:v>
                </c:pt>
                <c:pt idx="401">
                  <c:v>76.535709999999995</c:v>
                </c:pt>
                <c:pt idx="402">
                  <c:v>66.285709999999995</c:v>
                </c:pt>
                <c:pt idx="403">
                  <c:v>87.035709999999995</c:v>
                </c:pt>
                <c:pt idx="404">
                  <c:v>79.785709999999995</c:v>
                </c:pt>
                <c:pt idx="405">
                  <c:v>54.035710000000002</c:v>
                </c:pt>
                <c:pt idx="406">
                  <c:v>63.035710000000002</c:v>
                </c:pt>
                <c:pt idx="407">
                  <c:v>81.535709999999995</c:v>
                </c:pt>
                <c:pt idx="408">
                  <c:v>83.285709999999995</c:v>
                </c:pt>
                <c:pt idx="409">
                  <c:v>75.785709999999995</c:v>
                </c:pt>
                <c:pt idx="410">
                  <c:v>69.535709999999995</c:v>
                </c:pt>
                <c:pt idx="411">
                  <c:v>60.785710000000002</c:v>
                </c:pt>
                <c:pt idx="412">
                  <c:v>62.785710000000002</c:v>
                </c:pt>
                <c:pt idx="413">
                  <c:v>56.285710000000002</c:v>
                </c:pt>
                <c:pt idx="414">
                  <c:v>62.285710000000002</c:v>
                </c:pt>
                <c:pt idx="415">
                  <c:v>65.035709999999995</c:v>
                </c:pt>
                <c:pt idx="416">
                  <c:v>71.035709999999995</c:v>
                </c:pt>
                <c:pt idx="417">
                  <c:v>72.035709999999995</c:v>
                </c:pt>
                <c:pt idx="418">
                  <c:v>53.535710000000002</c:v>
                </c:pt>
                <c:pt idx="419">
                  <c:v>75.035709999999995</c:v>
                </c:pt>
                <c:pt idx="420">
                  <c:v>68.535709999999995</c:v>
                </c:pt>
                <c:pt idx="421">
                  <c:v>49.785710000000002</c:v>
                </c:pt>
                <c:pt idx="422">
                  <c:v>84.535709999999995</c:v>
                </c:pt>
                <c:pt idx="423">
                  <c:v>63.785710000000002</c:v>
                </c:pt>
                <c:pt idx="424">
                  <c:v>75.285709999999995</c:v>
                </c:pt>
                <c:pt idx="425">
                  <c:v>70.285709999999995</c:v>
                </c:pt>
                <c:pt idx="426">
                  <c:v>80.285709999999995</c:v>
                </c:pt>
                <c:pt idx="427">
                  <c:v>64.285709999999995</c:v>
                </c:pt>
                <c:pt idx="428">
                  <c:v>58.035710000000002</c:v>
                </c:pt>
                <c:pt idx="429">
                  <c:v>55.535710000000002</c:v>
                </c:pt>
                <c:pt idx="430">
                  <c:v>64.535709999999995</c:v>
                </c:pt>
                <c:pt idx="431">
                  <c:v>61.285710000000002</c:v>
                </c:pt>
                <c:pt idx="432">
                  <c:v>71.285709999999995</c:v>
                </c:pt>
                <c:pt idx="433">
                  <c:v>66.035709999999995</c:v>
                </c:pt>
                <c:pt idx="434">
                  <c:v>63.285710000000002</c:v>
                </c:pt>
                <c:pt idx="435">
                  <c:v>73.785709999999995</c:v>
                </c:pt>
                <c:pt idx="436">
                  <c:v>59.285710000000002</c:v>
                </c:pt>
                <c:pt idx="437">
                  <c:v>63.785710000000002</c:v>
                </c:pt>
                <c:pt idx="438">
                  <c:v>51.285710000000002</c:v>
                </c:pt>
                <c:pt idx="439">
                  <c:v>54.035710000000002</c:v>
                </c:pt>
                <c:pt idx="440">
                  <c:v>82.285709999999995</c:v>
                </c:pt>
                <c:pt idx="441">
                  <c:v>59.535710000000002</c:v>
                </c:pt>
                <c:pt idx="442">
                  <c:v>59.035710000000002</c:v>
                </c:pt>
                <c:pt idx="443">
                  <c:v>58.535710000000002</c:v>
                </c:pt>
                <c:pt idx="444">
                  <c:v>57.285710000000002</c:v>
                </c:pt>
                <c:pt idx="445">
                  <c:v>66.285709999999995</c:v>
                </c:pt>
                <c:pt idx="446">
                  <c:v>59.785710000000002</c:v>
                </c:pt>
                <c:pt idx="447">
                  <c:v>49.285710000000002</c:v>
                </c:pt>
                <c:pt idx="448">
                  <c:v>47.535710000000002</c:v>
                </c:pt>
                <c:pt idx="449">
                  <c:v>63.535710000000002</c:v>
                </c:pt>
                <c:pt idx="450">
                  <c:v>67.035709999999995</c:v>
                </c:pt>
                <c:pt idx="451">
                  <c:v>55.535710000000002</c:v>
                </c:pt>
                <c:pt idx="452">
                  <c:v>48.285710000000002</c:v>
                </c:pt>
                <c:pt idx="453">
                  <c:v>59.535710000000002</c:v>
                </c:pt>
                <c:pt idx="454">
                  <c:v>33.035710000000002</c:v>
                </c:pt>
                <c:pt idx="455">
                  <c:v>53.785710000000002</c:v>
                </c:pt>
                <c:pt idx="456">
                  <c:v>69.285709999999995</c:v>
                </c:pt>
                <c:pt idx="457">
                  <c:v>56.535710000000002</c:v>
                </c:pt>
                <c:pt idx="458">
                  <c:v>52.535710000000002</c:v>
                </c:pt>
                <c:pt idx="459">
                  <c:v>52.035710000000002</c:v>
                </c:pt>
                <c:pt idx="460">
                  <c:v>47.285710000000002</c:v>
                </c:pt>
                <c:pt idx="461">
                  <c:v>58.035710000000002</c:v>
                </c:pt>
                <c:pt idx="462">
                  <c:v>45.035710000000002</c:v>
                </c:pt>
                <c:pt idx="463">
                  <c:v>58.785710000000002</c:v>
                </c:pt>
                <c:pt idx="464">
                  <c:v>61.535710000000002</c:v>
                </c:pt>
                <c:pt idx="465">
                  <c:v>48.535710000000002</c:v>
                </c:pt>
                <c:pt idx="466">
                  <c:v>51.035710000000002</c:v>
                </c:pt>
                <c:pt idx="467">
                  <c:v>41.785710000000002</c:v>
                </c:pt>
                <c:pt idx="468">
                  <c:v>70.785709999999995</c:v>
                </c:pt>
                <c:pt idx="469">
                  <c:v>56.035710000000002</c:v>
                </c:pt>
                <c:pt idx="470">
                  <c:v>54.035710000000002</c:v>
                </c:pt>
                <c:pt idx="471">
                  <c:v>28.535710000000002</c:v>
                </c:pt>
                <c:pt idx="472">
                  <c:v>44.785710000000002</c:v>
                </c:pt>
                <c:pt idx="473">
                  <c:v>76.285709999999995</c:v>
                </c:pt>
                <c:pt idx="474">
                  <c:v>59.285710000000002</c:v>
                </c:pt>
                <c:pt idx="475">
                  <c:v>59.285710000000002</c:v>
                </c:pt>
                <c:pt idx="476">
                  <c:v>54.535710000000002</c:v>
                </c:pt>
                <c:pt idx="477">
                  <c:v>58.035710000000002</c:v>
                </c:pt>
                <c:pt idx="478">
                  <c:v>55.535710000000002</c:v>
                </c:pt>
                <c:pt idx="479">
                  <c:v>52.535710000000002</c:v>
                </c:pt>
                <c:pt idx="480">
                  <c:v>47.285710000000002</c:v>
                </c:pt>
                <c:pt idx="481">
                  <c:v>42.785710000000002</c:v>
                </c:pt>
                <c:pt idx="482">
                  <c:v>50.035710000000002</c:v>
                </c:pt>
                <c:pt idx="483">
                  <c:v>40.785710000000002</c:v>
                </c:pt>
                <c:pt idx="484">
                  <c:v>68.535709999999995</c:v>
                </c:pt>
                <c:pt idx="485">
                  <c:v>46.535710000000002</c:v>
                </c:pt>
                <c:pt idx="486">
                  <c:v>38.035710000000002</c:v>
                </c:pt>
                <c:pt idx="487">
                  <c:v>38.535710000000002</c:v>
                </c:pt>
                <c:pt idx="488">
                  <c:v>60.785710000000002</c:v>
                </c:pt>
                <c:pt idx="489">
                  <c:v>50.785710000000002</c:v>
                </c:pt>
                <c:pt idx="490">
                  <c:v>43.285710000000002</c:v>
                </c:pt>
                <c:pt idx="491">
                  <c:v>56.535710000000002</c:v>
                </c:pt>
                <c:pt idx="492">
                  <c:v>54.285710000000002</c:v>
                </c:pt>
                <c:pt idx="493">
                  <c:v>48.035710000000002</c:v>
                </c:pt>
                <c:pt idx="494">
                  <c:v>39.535710000000002</c:v>
                </c:pt>
                <c:pt idx="495">
                  <c:v>51.285710000000002</c:v>
                </c:pt>
                <c:pt idx="496">
                  <c:v>55.535710000000002</c:v>
                </c:pt>
                <c:pt idx="497">
                  <c:v>38.285710000000002</c:v>
                </c:pt>
                <c:pt idx="498">
                  <c:v>28.785710000000002</c:v>
                </c:pt>
                <c:pt idx="499">
                  <c:v>33.035710000000002</c:v>
                </c:pt>
                <c:pt idx="500">
                  <c:v>53.785710000000002</c:v>
                </c:pt>
                <c:pt idx="501">
                  <c:v>55.035710000000002</c:v>
                </c:pt>
                <c:pt idx="502">
                  <c:v>58.285710000000002</c:v>
                </c:pt>
                <c:pt idx="503">
                  <c:v>46.035710000000002</c:v>
                </c:pt>
                <c:pt idx="504">
                  <c:v>40.035710000000002</c:v>
                </c:pt>
                <c:pt idx="505">
                  <c:v>39.035710000000002</c:v>
                </c:pt>
                <c:pt idx="506">
                  <c:v>39.285710000000002</c:v>
                </c:pt>
                <c:pt idx="507">
                  <c:v>43.535710000000002</c:v>
                </c:pt>
                <c:pt idx="508">
                  <c:v>38.535710000000002</c:v>
                </c:pt>
                <c:pt idx="509">
                  <c:v>22.285710000000002</c:v>
                </c:pt>
                <c:pt idx="510">
                  <c:v>40.035710000000002</c:v>
                </c:pt>
                <c:pt idx="511">
                  <c:v>50.785710000000002</c:v>
                </c:pt>
                <c:pt idx="512">
                  <c:v>32.035710000000002</c:v>
                </c:pt>
                <c:pt idx="513">
                  <c:v>31.785710000000002</c:v>
                </c:pt>
                <c:pt idx="514">
                  <c:v>48.035710000000002</c:v>
                </c:pt>
                <c:pt idx="515">
                  <c:v>51.785710000000002</c:v>
                </c:pt>
                <c:pt idx="516">
                  <c:v>35.535710000000002</c:v>
                </c:pt>
                <c:pt idx="517">
                  <c:v>39.035710000000002</c:v>
                </c:pt>
                <c:pt idx="518">
                  <c:v>34.785710000000002</c:v>
                </c:pt>
                <c:pt idx="519">
                  <c:v>18.035710000000002</c:v>
                </c:pt>
                <c:pt idx="520">
                  <c:v>52.785710000000002</c:v>
                </c:pt>
                <c:pt idx="521">
                  <c:v>50.785710000000002</c:v>
                </c:pt>
                <c:pt idx="522">
                  <c:v>32.035710000000002</c:v>
                </c:pt>
                <c:pt idx="523">
                  <c:v>44.785710000000002</c:v>
                </c:pt>
                <c:pt idx="524">
                  <c:v>21.035710000000002</c:v>
                </c:pt>
                <c:pt idx="525">
                  <c:v>36.035710000000002</c:v>
                </c:pt>
                <c:pt idx="526">
                  <c:v>29.035710000000002</c:v>
                </c:pt>
                <c:pt idx="527">
                  <c:v>38.285710000000002</c:v>
                </c:pt>
                <c:pt idx="528">
                  <c:v>29.535710000000002</c:v>
                </c:pt>
                <c:pt idx="529">
                  <c:v>34.535710000000002</c:v>
                </c:pt>
                <c:pt idx="530">
                  <c:v>35.035710000000002</c:v>
                </c:pt>
                <c:pt idx="531">
                  <c:v>50.535710000000002</c:v>
                </c:pt>
                <c:pt idx="532">
                  <c:v>26.535710000000002</c:v>
                </c:pt>
                <c:pt idx="533">
                  <c:v>31.535710000000002</c:v>
                </c:pt>
                <c:pt idx="534">
                  <c:v>49.285710000000002</c:v>
                </c:pt>
                <c:pt idx="535">
                  <c:v>13.28571</c:v>
                </c:pt>
                <c:pt idx="536">
                  <c:v>42.535710000000002</c:v>
                </c:pt>
                <c:pt idx="537">
                  <c:v>31.535710000000002</c:v>
                </c:pt>
                <c:pt idx="538">
                  <c:v>37.785710000000002</c:v>
                </c:pt>
                <c:pt idx="539">
                  <c:v>44.785710000000002</c:v>
                </c:pt>
                <c:pt idx="540">
                  <c:v>25.785710000000002</c:v>
                </c:pt>
                <c:pt idx="541">
                  <c:v>21.035710000000002</c:v>
                </c:pt>
                <c:pt idx="542">
                  <c:v>65.535709999999995</c:v>
                </c:pt>
                <c:pt idx="543">
                  <c:v>36.285710000000002</c:v>
                </c:pt>
                <c:pt idx="544">
                  <c:v>43.285710000000002</c:v>
                </c:pt>
                <c:pt idx="545">
                  <c:v>33.785710000000002</c:v>
                </c:pt>
                <c:pt idx="546">
                  <c:v>40.535710000000002</c:v>
                </c:pt>
                <c:pt idx="547">
                  <c:v>29.785710000000002</c:v>
                </c:pt>
                <c:pt idx="548">
                  <c:v>27.785710000000002</c:v>
                </c:pt>
                <c:pt idx="549">
                  <c:v>36.285710000000002</c:v>
                </c:pt>
                <c:pt idx="550">
                  <c:v>41.285710000000002</c:v>
                </c:pt>
                <c:pt idx="551">
                  <c:v>39.035710000000002</c:v>
                </c:pt>
                <c:pt idx="552">
                  <c:v>33.785710000000002</c:v>
                </c:pt>
                <c:pt idx="553">
                  <c:v>17.285710000000002</c:v>
                </c:pt>
                <c:pt idx="554">
                  <c:v>37.785710000000002</c:v>
                </c:pt>
                <c:pt idx="555">
                  <c:v>41.285710000000002</c:v>
                </c:pt>
                <c:pt idx="556">
                  <c:v>53.285710000000002</c:v>
                </c:pt>
                <c:pt idx="557">
                  <c:v>41.535710000000002</c:v>
                </c:pt>
                <c:pt idx="558">
                  <c:v>47.785710000000002</c:v>
                </c:pt>
                <c:pt idx="559">
                  <c:v>27.035710000000002</c:v>
                </c:pt>
                <c:pt idx="560">
                  <c:v>33.285710000000002</c:v>
                </c:pt>
                <c:pt idx="561">
                  <c:v>27.035710000000002</c:v>
                </c:pt>
                <c:pt idx="562">
                  <c:v>44.285710000000002</c:v>
                </c:pt>
                <c:pt idx="563">
                  <c:v>35.285710000000002</c:v>
                </c:pt>
                <c:pt idx="564">
                  <c:v>21.535710000000002</c:v>
                </c:pt>
                <c:pt idx="565">
                  <c:v>42.785710000000002</c:v>
                </c:pt>
                <c:pt idx="566">
                  <c:v>31.035710000000002</c:v>
                </c:pt>
                <c:pt idx="567">
                  <c:v>23.785710000000002</c:v>
                </c:pt>
                <c:pt idx="568">
                  <c:v>38.035710000000002</c:v>
                </c:pt>
                <c:pt idx="569">
                  <c:v>31.035710000000002</c:v>
                </c:pt>
                <c:pt idx="570">
                  <c:v>50.285710000000002</c:v>
                </c:pt>
                <c:pt idx="571">
                  <c:v>41.785710000000002</c:v>
                </c:pt>
                <c:pt idx="572">
                  <c:v>29.535710000000002</c:v>
                </c:pt>
                <c:pt idx="573">
                  <c:v>16.785710000000002</c:v>
                </c:pt>
                <c:pt idx="574">
                  <c:v>21.535710000000002</c:v>
                </c:pt>
                <c:pt idx="575">
                  <c:v>38.785710000000002</c:v>
                </c:pt>
                <c:pt idx="576">
                  <c:v>29.535710000000002</c:v>
                </c:pt>
                <c:pt idx="577">
                  <c:v>34.535710000000002</c:v>
                </c:pt>
                <c:pt idx="578">
                  <c:v>34.035710000000002</c:v>
                </c:pt>
                <c:pt idx="579">
                  <c:v>22.785710000000002</c:v>
                </c:pt>
                <c:pt idx="580">
                  <c:v>17.035710000000002</c:v>
                </c:pt>
                <c:pt idx="581">
                  <c:v>26.535710000000002</c:v>
                </c:pt>
                <c:pt idx="582">
                  <c:v>31.535710000000002</c:v>
                </c:pt>
                <c:pt idx="583">
                  <c:v>25.285710000000002</c:v>
                </c:pt>
                <c:pt idx="584">
                  <c:v>52.035710000000002</c:v>
                </c:pt>
                <c:pt idx="585">
                  <c:v>17.785710000000002</c:v>
                </c:pt>
                <c:pt idx="586">
                  <c:v>33.535710000000002</c:v>
                </c:pt>
                <c:pt idx="587">
                  <c:v>31.285710000000002</c:v>
                </c:pt>
                <c:pt idx="588">
                  <c:v>9.0357099999999999</c:v>
                </c:pt>
                <c:pt idx="589">
                  <c:v>48.285710000000002</c:v>
                </c:pt>
                <c:pt idx="590">
                  <c:v>32.535710000000002</c:v>
                </c:pt>
                <c:pt idx="591">
                  <c:v>38.785710000000002</c:v>
                </c:pt>
                <c:pt idx="592">
                  <c:v>36.035710000000002</c:v>
                </c:pt>
                <c:pt idx="593">
                  <c:v>38.285710000000002</c:v>
                </c:pt>
                <c:pt idx="594">
                  <c:v>15.78571</c:v>
                </c:pt>
                <c:pt idx="595">
                  <c:v>31.535710000000002</c:v>
                </c:pt>
                <c:pt idx="596">
                  <c:v>20.035710000000002</c:v>
                </c:pt>
                <c:pt idx="597">
                  <c:v>20.285710000000002</c:v>
                </c:pt>
                <c:pt idx="598">
                  <c:v>38.535710000000002</c:v>
                </c:pt>
                <c:pt idx="599">
                  <c:v>15.28571</c:v>
                </c:pt>
                <c:pt idx="600">
                  <c:v>24.535710000000002</c:v>
                </c:pt>
                <c:pt idx="601">
                  <c:v>34.535710000000002</c:v>
                </c:pt>
                <c:pt idx="602">
                  <c:v>31.285710000000002</c:v>
                </c:pt>
                <c:pt idx="603">
                  <c:v>47.285710000000002</c:v>
                </c:pt>
                <c:pt idx="604">
                  <c:v>39.535710000000002</c:v>
                </c:pt>
                <c:pt idx="605">
                  <c:v>32.035710000000002</c:v>
                </c:pt>
                <c:pt idx="606">
                  <c:v>44.035710000000002</c:v>
                </c:pt>
                <c:pt idx="607">
                  <c:v>18.285710000000002</c:v>
                </c:pt>
                <c:pt idx="608">
                  <c:v>32.535710000000002</c:v>
                </c:pt>
                <c:pt idx="609">
                  <c:v>11.78571</c:v>
                </c:pt>
                <c:pt idx="610">
                  <c:v>35.535710000000002</c:v>
                </c:pt>
                <c:pt idx="611">
                  <c:v>40.785710000000002</c:v>
                </c:pt>
                <c:pt idx="612">
                  <c:v>12.53571</c:v>
                </c:pt>
                <c:pt idx="613">
                  <c:v>1.2857099999999999</c:v>
                </c:pt>
                <c:pt idx="614">
                  <c:v>33.035710000000002</c:v>
                </c:pt>
                <c:pt idx="615">
                  <c:v>22.535710000000002</c:v>
                </c:pt>
                <c:pt idx="616">
                  <c:v>34.785710000000002</c:v>
                </c:pt>
                <c:pt idx="617">
                  <c:v>31.285710000000002</c:v>
                </c:pt>
                <c:pt idx="618">
                  <c:v>16.785710000000002</c:v>
                </c:pt>
                <c:pt idx="619">
                  <c:v>21.035710000000002</c:v>
                </c:pt>
                <c:pt idx="620">
                  <c:v>17.535710000000002</c:v>
                </c:pt>
                <c:pt idx="621">
                  <c:v>33.285710000000002</c:v>
                </c:pt>
                <c:pt idx="622">
                  <c:v>23.535710000000002</c:v>
                </c:pt>
                <c:pt idx="623">
                  <c:v>23.035710000000002</c:v>
                </c:pt>
                <c:pt idx="624">
                  <c:v>15.53571</c:v>
                </c:pt>
                <c:pt idx="625">
                  <c:v>11.53571</c:v>
                </c:pt>
                <c:pt idx="626">
                  <c:v>30.785710000000002</c:v>
                </c:pt>
                <c:pt idx="627">
                  <c:v>20.535710000000002</c:v>
                </c:pt>
                <c:pt idx="628">
                  <c:v>8.5357099999999999</c:v>
                </c:pt>
                <c:pt idx="629">
                  <c:v>28.535710000000002</c:v>
                </c:pt>
                <c:pt idx="630">
                  <c:v>17.285710000000002</c:v>
                </c:pt>
                <c:pt idx="631">
                  <c:v>13.53571</c:v>
                </c:pt>
                <c:pt idx="632">
                  <c:v>35.535710000000002</c:v>
                </c:pt>
                <c:pt idx="633">
                  <c:v>21.035710000000002</c:v>
                </c:pt>
                <c:pt idx="634">
                  <c:v>49.535710000000002</c:v>
                </c:pt>
                <c:pt idx="635">
                  <c:v>12.78571</c:v>
                </c:pt>
                <c:pt idx="636">
                  <c:v>9.0357099999999999</c:v>
                </c:pt>
                <c:pt idx="637">
                  <c:v>18.535710000000002</c:v>
                </c:pt>
                <c:pt idx="638">
                  <c:v>5.7857099999999999</c:v>
                </c:pt>
                <c:pt idx="639">
                  <c:v>29.285710000000002</c:v>
                </c:pt>
                <c:pt idx="640">
                  <c:v>9.7857099999999999</c:v>
                </c:pt>
                <c:pt idx="641">
                  <c:v>40.785710000000002</c:v>
                </c:pt>
                <c:pt idx="642">
                  <c:v>20.035710000000002</c:v>
                </c:pt>
                <c:pt idx="643">
                  <c:v>27.785710000000002</c:v>
                </c:pt>
                <c:pt idx="644">
                  <c:v>2.5357099999999999</c:v>
                </c:pt>
                <c:pt idx="645">
                  <c:v>17.285710000000002</c:v>
                </c:pt>
                <c:pt idx="646">
                  <c:v>38.035710000000002</c:v>
                </c:pt>
                <c:pt idx="647">
                  <c:v>27.535710000000002</c:v>
                </c:pt>
                <c:pt idx="648">
                  <c:v>22.035710000000002</c:v>
                </c:pt>
                <c:pt idx="649">
                  <c:v>32.035710000000002</c:v>
                </c:pt>
                <c:pt idx="650">
                  <c:v>12.78571</c:v>
                </c:pt>
                <c:pt idx="651">
                  <c:v>29.535710000000002</c:v>
                </c:pt>
                <c:pt idx="652">
                  <c:v>17.285710000000002</c:v>
                </c:pt>
                <c:pt idx="653">
                  <c:v>14.28571</c:v>
                </c:pt>
                <c:pt idx="654">
                  <c:v>16.035710000000002</c:v>
                </c:pt>
                <c:pt idx="655">
                  <c:v>1.5357099999999999</c:v>
                </c:pt>
                <c:pt idx="656">
                  <c:v>31.035710000000002</c:v>
                </c:pt>
                <c:pt idx="657">
                  <c:v>-3.4642900000000001</c:v>
                </c:pt>
                <c:pt idx="658">
                  <c:v>33.035710000000002</c:v>
                </c:pt>
                <c:pt idx="659">
                  <c:v>22.535710000000002</c:v>
                </c:pt>
                <c:pt idx="660">
                  <c:v>20.285710000000002</c:v>
                </c:pt>
                <c:pt idx="661">
                  <c:v>3.7857099999999999</c:v>
                </c:pt>
                <c:pt idx="662">
                  <c:v>14.28571</c:v>
                </c:pt>
                <c:pt idx="663">
                  <c:v>9.2857099999999999</c:v>
                </c:pt>
                <c:pt idx="664">
                  <c:v>21.785710000000002</c:v>
                </c:pt>
                <c:pt idx="665">
                  <c:v>33.535710000000002</c:v>
                </c:pt>
                <c:pt idx="666">
                  <c:v>33.285710000000002</c:v>
                </c:pt>
                <c:pt idx="667">
                  <c:v>-1.7142900000000001</c:v>
                </c:pt>
                <c:pt idx="668">
                  <c:v>28.035710000000002</c:v>
                </c:pt>
                <c:pt idx="669">
                  <c:v>46.035710000000002</c:v>
                </c:pt>
                <c:pt idx="670">
                  <c:v>-0.71428999999999998</c:v>
                </c:pt>
                <c:pt idx="671">
                  <c:v>31.035710000000002</c:v>
                </c:pt>
                <c:pt idx="672">
                  <c:v>17.035710000000002</c:v>
                </c:pt>
                <c:pt idx="673">
                  <c:v>12.53571</c:v>
                </c:pt>
                <c:pt idx="674">
                  <c:v>21.035710000000002</c:v>
                </c:pt>
                <c:pt idx="675">
                  <c:v>3.2857099999999999</c:v>
                </c:pt>
                <c:pt idx="676">
                  <c:v>26.535710000000002</c:v>
                </c:pt>
                <c:pt idx="677">
                  <c:v>28.535710000000002</c:v>
                </c:pt>
                <c:pt idx="678">
                  <c:v>26.035710000000002</c:v>
                </c:pt>
                <c:pt idx="679">
                  <c:v>25.285710000000002</c:v>
                </c:pt>
                <c:pt idx="680">
                  <c:v>36.285710000000002</c:v>
                </c:pt>
                <c:pt idx="681">
                  <c:v>17.785710000000002</c:v>
                </c:pt>
                <c:pt idx="682">
                  <c:v>34.035710000000002</c:v>
                </c:pt>
                <c:pt idx="683">
                  <c:v>17.035710000000002</c:v>
                </c:pt>
                <c:pt idx="684">
                  <c:v>14.28571</c:v>
                </c:pt>
                <c:pt idx="685">
                  <c:v>18.285710000000002</c:v>
                </c:pt>
                <c:pt idx="686">
                  <c:v>14.03571</c:v>
                </c:pt>
                <c:pt idx="687">
                  <c:v>16.785710000000002</c:v>
                </c:pt>
                <c:pt idx="688">
                  <c:v>6.2857099999999999</c:v>
                </c:pt>
                <c:pt idx="689">
                  <c:v>27.035710000000002</c:v>
                </c:pt>
                <c:pt idx="690">
                  <c:v>13.78571</c:v>
                </c:pt>
                <c:pt idx="691">
                  <c:v>33.535710000000002</c:v>
                </c:pt>
                <c:pt idx="692">
                  <c:v>18.535710000000002</c:v>
                </c:pt>
                <c:pt idx="693">
                  <c:v>28.535710000000002</c:v>
                </c:pt>
                <c:pt idx="694">
                  <c:v>-0.96428999999999998</c:v>
                </c:pt>
                <c:pt idx="695">
                  <c:v>5.2857099999999999</c:v>
                </c:pt>
                <c:pt idx="696">
                  <c:v>6.7857099999999999</c:v>
                </c:pt>
                <c:pt idx="697">
                  <c:v>14.28571</c:v>
                </c:pt>
                <c:pt idx="698">
                  <c:v>19.285710000000002</c:v>
                </c:pt>
                <c:pt idx="699">
                  <c:v>18.785710000000002</c:v>
                </c:pt>
                <c:pt idx="700">
                  <c:v>24.285710000000002</c:v>
                </c:pt>
                <c:pt idx="701">
                  <c:v>21.035710000000002</c:v>
                </c:pt>
                <c:pt idx="702">
                  <c:v>13.78571</c:v>
                </c:pt>
                <c:pt idx="703">
                  <c:v>9.0357099999999999</c:v>
                </c:pt>
                <c:pt idx="704">
                  <c:v>11</c:v>
                </c:pt>
                <c:pt idx="705">
                  <c:v>15.78571</c:v>
                </c:pt>
                <c:pt idx="706">
                  <c:v>9.5357099999999999</c:v>
                </c:pt>
                <c:pt idx="707">
                  <c:v>-3.9642900000000001</c:v>
                </c:pt>
                <c:pt idx="708">
                  <c:v>11.03571</c:v>
                </c:pt>
                <c:pt idx="709">
                  <c:v>18.285710000000002</c:v>
                </c:pt>
                <c:pt idx="710">
                  <c:v>24.785710000000002</c:v>
                </c:pt>
                <c:pt idx="711">
                  <c:v>23.285710000000002</c:v>
                </c:pt>
                <c:pt idx="712">
                  <c:v>13.03571</c:v>
                </c:pt>
                <c:pt idx="713">
                  <c:v>22.285710000000002</c:v>
                </c:pt>
                <c:pt idx="714">
                  <c:v>5.7857099999999999</c:v>
                </c:pt>
                <c:pt idx="715">
                  <c:v>31.035710000000002</c:v>
                </c:pt>
                <c:pt idx="716">
                  <c:v>12.28571</c:v>
                </c:pt>
                <c:pt idx="717">
                  <c:v>2.2857099999999999</c:v>
                </c:pt>
                <c:pt idx="718">
                  <c:v>7.0357099999999999</c:v>
                </c:pt>
                <c:pt idx="719">
                  <c:v>26.035710000000002</c:v>
                </c:pt>
                <c:pt idx="720">
                  <c:v>3.0357099999999999</c:v>
                </c:pt>
                <c:pt idx="721">
                  <c:v>14.53571</c:v>
                </c:pt>
                <c:pt idx="722">
                  <c:v>12.28571</c:v>
                </c:pt>
                <c:pt idx="723">
                  <c:v>24.535710000000002</c:v>
                </c:pt>
                <c:pt idx="724">
                  <c:v>12.28571</c:v>
                </c:pt>
                <c:pt idx="725">
                  <c:v>2.7857099999999999</c:v>
                </c:pt>
                <c:pt idx="726">
                  <c:v>23.535710000000002</c:v>
                </c:pt>
                <c:pt idx="727">
                  <c:v>38.035710000000002</c:v>
                </c:pt>
                <c:pt idx="728">
                  <c:v>9.5357099999999999</c:v>
                </c:pt>
                <c:pt idx="729">
                  <c:v>15.78571</c:v>
                </c:pt>
                <c:pt idx="730">
                  <c:v>22.285710000000002</c:v>
                </c:pt>
                <c:pt idx="731">
                  <c:v>34.285710000000002</c:v>
                </c:pt>
                <c:pt idx="732">
                  <c:v>-3.4642900000000001</c:v>
                </c:pt>
                <c:pt idx="733">
                  <c:v>8.7857099999999999</c:v>
                </c:pt>
                <c:pt idx="734">
                  <c:v>20.285710000000002</c:v>
                </c:pt>
                <c:pt idx="735">
                  <c:v>28.785710000000002</c:v>
                </c:pt>
                <c:pt idx="736">
                  <c:v>12.03571</c:v>
                </c:pt>
                <c:pt idx="737">
                  <c:v>1.7857099999999999</c:v>
                </c:pt>
                <c:pt idx="738">
                  <c:v>2.5357099999999999</c:v>
                </c:pt>
                <c:pt idx="739">
                  <c:v>3.7857099999999999</c:v>
                </c:pt>
                <c:pt idx="740">
                  <c:v>6.2857099999999999</c:v>
                </c:pt>
                <c:pt idx="741">
                  <c:v>4.5357099999999999</c:v>
                </c:pt>
                <c:pt idx="742">
                  <c:v>15.53571</c:v>
                </c:pt>
                <c:pt idx="743">
                  <c:v>9.0357099999999999</c:v>
                </c:pt>
                <c:pt idx="744">
                  <c:v>11.78571</c:v>
                </c:pt>
                <c:pt idx="745">
                  <c:v>15.78571</c:v>
                </c:pt>
                <c:pt idx="746">
                  <c:v>16.285710000000002</c:v>
                </c:pt>
                <c:pt idx="747">
                  <c:v>16.285710000000002</c:v>
                </c:pt>
                <c:pt idx="748">
                  <c:v>10.78571</c:v>
                </c:pt>
                <c:pt idx="749">
                  <c:v>19.285710000000002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21-4875-B88C-B488B95351CA}"/>
            </c:ext>
          </c:extLst>
        </c:ser>
        <c:ser>
          <c:idx val="1"/>
          <c:order val="1"/>
          <c:tx>
            <c:strRef>
              <c:f>'sheet 1'!$V$37</c:f>
              <c:strCache>
                <c:ptCount val="1"/>
                <c:pt idx="0">
                  <c:v>Theoretical</c:v>
                </c:pt>
              </c:strCache>
            </c:strRef>
          </c:tx>
          <c:spPr>
            <a:ln w="190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'sheet 1'!$B$39:$B$788</c:f>
              <c:numCache>
                <c:formatCode>General</c:formatCode>
                <c:ptCount val="7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</c:numCache>
            </c:numRef>
          </c:xVal>
          <c:yVal>
            <c:numRef>
              <c:f>'sheet 1'!$V$39:$V$788</c:f>
              <c:numCache>
                <c:formatCode>General</c:formatCode>
                <c:ptCount val="750"/>
                <c:pt idx="0">
                  <c:v>1897.7944666684007</c:v>
                </c:pt>
                <c:pt idx="1">
                  <c:v>1847.9596936996386</c:v>
                </c:pt>
                <c:pt idx="2">
                  <c:v>1800.1903415738482</c:v>
                </c:pt>
                <c:pt idx="3">
                  <c:v>1754.378011762949</c:v>
                </c:pt>
                <c:pt idx="4">
                  <c:v>1710.420945576381</c:v>
                </c:pt>
                <c:pt idx="5">
                  <c:v>1668.2235677775125</c:v>
                </c:pt>
                <c:pt idx="6">
                  <c:v>1627.6960644705296</c:v>
                </c:pt>
                <c:pt idx="7">
                  <c:v>1588.7539925067176</c:v>
                </c:pt>
                <c:pt idx="8">
                  <c:v>1551.3179178904627</c:v>
                </c:pt>
                <c:pt idx="9">
                  <c:v>1515.3130808767535</c:v>
                </c:pt>
                <c:pt idx="10">
                  <c:v>1480.6690856451492</c:v>
                </c:pt>
                <c:pt idx="11">
                  <c:v>1447.3196126117327</c:v>
                </c:pt>
                <c:pt idx="12">
                  <c:v>1415.2021516018494</c:v>
                </c:pt>
                <c:pt idx="13">
                  <c:v>1384.2577542538756</c:v>
                </c:pt>
                <c:pt idx="14">
                  <c:v>1354.430804158962</c:v>
                </c:pt>
                <c:pt idx="15">
                  <c:v>1325.6688033648497</c:v>
                </c:pt>
                <c:pt idx="16">
                  <c:v>1297.9221739844652</c:v>
                </c:pt>
                <c:pt idx="17">
                  <c:v>1271.1440737529131</c:v>
                </c:pt>
                <c:pt idx="18">
                  <c:v>1245.2902244706793</c:v>
                </c:pt>
                <c:pt idx="19">
                  <c:v>1220.3187523569586</c:v>
                </c:pt>
                <c:pt idx="20">
                  <c:v>1196.1900394158545</c:v>
                </c:pt>
                <c:pt idx="21">
                  <c:v>1172.8665849903218</c:v>
                </c:pt>
                <c:pt idx="22">
                  <c:v>1150.3128767447761</c:v>
                </c:pt>
                <c:pt idx="23">
                  <c:v>1128.4952703777558</c:v>
                </c:pt>
                <c:pt idx="24">
                  <c:v>1107.3818774214467</c:v>
                </c:pt>
                <c:pt idx="25">
                  <c:v>1086.9424605356257</c:v>
                </c:pt>
                <c:pt idx="26">
                  <c:v>1067.1483357501354</c:v>
                </c:pt>
                <c:pt idx="27">
                  <c:v>1047.9722811526638</c:v>
                </c:pt>
                <c:pt idx="28">
                  <c:v>1029.3884515577533</c:v>
                </c:pt>
                <c:pt idx="29">
                  <c:v>1011.3722987288793</c:v>
                </c:pt>
                <c:pt idx="30">
                  <c:v>993.90049675840442</c:v>
                </c:pt>
                <c:pt idx="31">
                  <c:v>976.95087224050667</c:v>
                </c:pt>
                <c:pt idx="32">
                  <c:v>960.5023388999773</c:v>
                </c:pt>
                <c:pt idx="33">
                  <c:v>944.53483636535157</c:v>
                </c:pt>
                <c:pt idx="34">
                  <c:v>929.0292727983358</c:v>
                </c:pt>
                <c:pt idx="35">
                  <c:v>913.96747111309833</c:v>
                </c:pt>
                <c:pt idx="36">
                  <c:v>899.33211853888918</c:v>
                </c:pt>
                <c:pt idx="37">
                  <c:v>885.10671929773525</c:v>
                </c:pt>
                <c:pt idx="38">
                  <c:v>871.27555018582723</c:v>
                </c:pt>
                <c:pt idx="39">
                  <c:v>857.82361886273225</c:v>
                </c:pt>
                <c:pt idx="40">
                  <c:v>844.73662466686585</c:v>
                </c:pt>
                <c:pt idx="41">
                  <c:v>832.00092178885575</c:v>
                </c:pt>
                <c:pt idx="42">
                  <c:v>819.60348464658432</c:v>
                </c:pt>
                <c:pt idx="43">
                  <c:v>807.5318753169272</c:v>
                </c:pt>
                <c:pt idx="44">
                  <c:v>795.7742128895602</c:v>
                </c:pt>
                <c:pt idx="45">
                  <c:v>784.31914461777524</c:v>
                </c:pt>
                <c:pt idx="46">
                  <c:v>773.15581875008229</c:v>
                </c:pt>
                <c:pt idx="47">
                  <c:v>762.27385893454516</c:v>
                </c:pt>
                <c:pt idx="48">
                  <c:v>751.66334009534137</c:v>
                </c:pt>
                <c:pt idx="49">
                  <c:v>741.31476568803964</c:v>
                </c:pt>
                <c:pt idx="50">
                  <c:v>731.2190462465278</c:v>
                </c:pt>
                <c:pt idx="51">
                  <c:v>721.36747914052557</c:v>
                </c:pt>
                <c:pt idx="52">
                  <c:v>711.75172946815439</c:v>
                </c:pt>
                <c:pt idx="53">
                  <c:v>702.36381201315817</c:v>
                </c:pt>
                <c:pt idx="54">
                  <c:v>693.19607420114812</c:v>
                </c:pt>
                <c:pt idx="55">
                  <c:v>684.2411799936317</c:v>
                </c:pt>
                <c:pt idx="56">
                  <c:v>675.49209466270304</c:v>
                </c:pt>
                <c:pt idx="57">
                  <c:v>666.94207039304888</c:v>
                </c:pt>
                <c:pt idx="58">
                  <c:v>658.58463266146339</c:v>
                </c:pt>
                <c:pt idx="59">
                  <c:v>650.41356734733381</c:v>
                </c:pt>
                <c:pt idx="60">
                  <c:v>642.4229085305999</c:v>
                </c:pt>
                <c:pt idx="61">
                  <c:v>634.60692693652334</c:v>
                </c:pt>
                <c:pt idx="62">
                  <c:v>626.96011898922393</c:v>
                </c:pt>
                <c:pt idx="63">
                  <c:v>619.47719643839469</c:v>
                </c:pt>
                <c:pt idx="64">
                  <c:v>612.15307652587285</c:v>
                </c:pt>
                <c:pt idx="65">
                  <c:v>604.98287266087323</c:v>
                </c:pt>
                <c:pt idx="66">
                  <c:v>597.96188557465189</c:v>
                </c:pt>
                <c:pt idx="67">
                  <c:v>591.08559492722043</c:v>
                </c:pt>
                <c:pt idx="68">
                  <c:v>584.34965134042591</c:v>
                </c:pt>
                <c:pt idx="69">
                  <c:v>577.7498688333244</c:v>
                </c:pt>
                <c:pt idx="70">
                  <c:v>571.28221763725787</c:v>
                </c:pt>
                <c:pt idx="71">
                  <c:v>564.94281736943594</c:v>
                </c:pt>
                <c:pt idx="72">
                  <c:v>558.72793054512044</c:v>
                </c:pt>
                <c:pt idx="73">
                  <c:v>552.63395640971794</c:v>
                </c:pt>
                <c:pt idx="74">
                  <c:v>546.65742507323102</c:v>
                </c:pt>
                <c:pt idx="75">
                  <c:v>540.79499193055403</c:v>
                </c:pt>
                <c:pt idx="76">
                  <c:v>535.0434323521107</c:v>
                </c:pt>
                <c:pt idx="77">
                  <c:v>529.39963663023264</c:v>
                </c:pt>
                <c:pt idx="78">
                  <c:v>523.86060516756174</c:v>
                </c:pt>
                <c:pt idx="79">
                  <c:v>518.42344389455479</c:v>
                </c:pt>
                <c:pt idx="80">
                  <c:v>513.08535990393295</c:v>
                </c:pt>
                <c:pt idx="81">
                  <c:v>507.84365729062017</c:v>
                </c:pt>
                <c:pt idx="82">
                  <c:v>502.69573318639118</c:v>
                </c:pt>
                <c:pt idx="83">
                  <c:v>497.63907397905581</c:v>
                </c:pt>
                <c:pt idx="84">
                  <c:v>492.67125170660506</c:v>
                </c:pt>
                <c:pt idx="85">
                  <c:v>487.78992061728013</c:v>
                </c:pt>
                <c:pt idx="86">
                  <c:v>482.99281388704253</c:v>
                </c:pt>
                <c:pt idx="87">
                  <c:v>478.27774048640811</c:v>
                </c:pt>
                <c:pt idx="88">
                  <c:v>473.64258218905223</c:v>
                </c:pt>
                <c:pt idx="89">
                  <c:v>469.08529071502596</c:v>
                </c:pt>
                <c:pt idx="90">
                  <c:v>464.60388500181193</c:v>
                </c:pt>
                <c:pt idx="91">
                  <c:v>460.19644859683217</c:v>
                </c:pt>
                <c:pt idx="92">
                  <c:v>455.86112716536871</c:v>
                </c:pt>
                <c:pt idx="93">
                  <c:v>451.59612610818237</c:v>
                </c:pt>
                <c:pt idx="94">
                  <c:v>447.39970828343615</c:v>
                </c:pt>
                <c:pt idx="95">
                  <c:v>443.27019182781578</c:v>
                </c:pt>
                <c:pt idx="96">
                  <c:v>439.20594807201849</c:v>
                </c:pt>
                <c:pt idx="97">
                  <c:v>435.20539954603476</c:v>
                </c:pt>
                <c:pt idx="98">
                  <c:v>431.26701806990241</c:v>
                </c:pt>
                <c:pt idx="99">
                  <c:v>427.38932292582683</c:v>
                </c:pt>
                <c:pt idx="100">
                  <c:v>423.5708791077958</c:v>
                </c:pt>
                <c:pt idx="101">
                  <c:v>419.81029564500534</c:v>
                </c:pt>
                <c:pt idx="102">
                  <c:v>416.10622399561379</c:v>
                </c:pt>
                <c:pt idx="103">
                  <c:v>412.45735650752385</c:v>
                </c:pt>
                <c:pt idx="104">
                  <c:v>408.8624249430556</c:v>
                </c:pt>
                <c:pt idx="105">
                  <c:v>405.32019906454491</c:v>
                </c:pt>
                <c:pt idx="106">
                  <c:v>401.82948527804547</c:v>
                </c:pt>
                <c:pt idx="107">
                  <c:v>398.38912533246253</c:v>
                </c:pt>
                <c:pt idx="108">
                  <c:v>394.99799507157763</c:v>
                </c:pt>
                <c:pt idx="109">
                  <c:v>391.65500323655652</c:v>
                </c:pt>
                <c:pt idx="110">
                  <c:v>388.35909031665022</c:v>
                </c:pt>
                <c:pt idx="111">
                  <c:v>385.10922744591369</c:v>
                </c:pt>
                <c:pt idx="112">
                  <c:v>381.90441534387878</c:v>
                </c:pt>
                <c:pt idx="113">
                  <c:v>378.74368329821544</c:v>
                </c:pt>
                <c:pt idx="114">
                  <c:v>375.62608818751636</c:v>
                </c:pt>
                <c:pt idx="115">
                  <c:v>372.55071354242773</c:v>
                </c:pt>
                <c:pt idx="116">
                  <c:v>369.51666864344094</c:v>
                </c:pt>
                <c:pt idx="117">
                  <c:v>366.52308765373618</c:v>
                </c:pt>
                <c:pt idx="118">
                  <c:v>363.5691287855517</c:v>
                </c:pt>
                <c:pt idx="119">
                  <c:v>360.65397349862303</c:v>
                </c:pt>
                <c:pt idx="120">
                  <c:v>357.7768257293061</c:v>
                </c:pt>
                <c:pt idx="121">
                  <c:v>354.93691114906892</c:v>
                </c:pt>
                <c:pt idx="122">
                  <c:v>352.13347645109093</c:v>
                </c:pt>
                <c:pt idx="123">
                  <c:v>349.3657886637792</c:v>
                </c:pt>
                <c:pt idx="124">
                  <c:v>346.63313449005278</c:v>
                </c:pt>
                <c:pt idx="125">
                  <c:v>343.93481967131851</c:v>
                </c:pt>
                <c:pt idx="126">
                  <c:v>341.27016837509262</c:v>
                </c:pt>
                <c:pt idx="127">
                  <c:v>338.63852260528608</c:v>
                </c:pt>
                <c:pt idx="128">
                  <c:v>336.03924163420936</c:v>
                </c:pt>
                <c:pt idx="129">
                  <c:v>333.47170145539627</c:v>
                </c:pt>
                <c:pt idx="130">
                  <c:v>330.93529425639076</c:v>
                </c:pt>
                <c:pt idx="131">
                  <c:v>328.42942791067765</c:v>
                </c:pt>
                <c:pt idx="132">
                  <c:v>325.9535254879753</c:v>
                </c:pt>
                <c:pt idx="133">
                  <c:v>323.50702478214356</c:v>
                </c:pt>
                <c:pt idx="134">
                  <c:v>321.08937785599466</c:v>
                </c:pt>
                <c:pt idx="135">
                  <c:v>318.70005060232739</c:v>
                </c:pt>
                <c:pt idx="136">
                  <c:v>316.33852232053209</c:v>
                </c:pt>
                <c:pt idx="137">
                  <c:v>314.00428530814736</c:v>
                </c:pt>
                <c:pt idx="138">
                  <c:v>311.69684446677093</c:v>
                </c:pt>
                <c:pt idx="139">
                  <c:v>309.4157169217608</c:v>
                </c:pt>
                <c:pt idx="140">
                  <c:v>307.16043165518221</c:v>
                </c:pt>
                <c:pt idx="141">
                  <c:v>304.93052915147825</c:v>
                </c:pt>
                <c:pt idx="142">
                  <c:v>302.72556105537217</c:v>
                </c:pt>
                <c:pt idx="143">
                  <c:v>300.54508984152272</c:v>
                </c:pt>
                <c:pt idx="144">
                  <c:v>298.38868849547896</c:v>
                </c:pt>
                <c:pt idx="145">
                  <c:v>296.25594020549931</c:v>
                </c:pt>
                <c:pt idx="146">
                  <c:v>294.14643806481695</c:v>
                </c:pt>
                <c:pt idx="147">
                  <c:v>292.05978478395423</c:v>
                </c:pt>
                <c:pt idx="148">
                  <c:v>289.9955924127039</c:v>
                </c:pt>
                <c:pt idx="149">
                  <c:v>287.95348207140859</c:v>
                </c:pt>
                <c:pt idx="150">
                  <c:v>285.93308369119154</c:v>
                </c:pt>
                <c:pt idx="151">
                  <c:v>283.93403576280059</c:v>
                </c:pt>
                <c:pt idx="152">
                  <c:v>281.9559850937427</c:v>
                </c:pt>
                <c:pt idx="153">
                  <c:v>279.99858657340371</c:v>
                </c:pt>
                <c:pt idx="154">
                  <c:v>278.0615029458524</c:v>
                </c:pt>
                <c:pt idx="155">
                  <c:v>276.14440459004993</c:v>
                </c:pt>
                <c:pt idx="156">
                  <c:v>274.24696930719006</c:v>
                </c:pt>
                <c:pt idx="157">
                  <c:v>272.36888211490918</c:v>
                </c:pt>
                <c:pt idx="158">
                  <c:v>270.50983504811734</c:v>
                </c:pt>
                <c:pt idx="159">
                  <c:v>268.66952696620729</c:v>
                </c:pt>
                <c:pt idx="160">
                  <c:v>266.8476633664136</c:v>
                </c:pt>
                <c:pt idx="161">
                  <c:v>265.04395620309975</c:v>
                </c:pt>
                <c:pt idx="162">
                  <c:v>263.25812371275822</c:v>
                </c:pt>
                <c:pt idx="163">
                  <c:v>261.48989024452578</c:v>
                </c:pt>
                <c:pt idx="164">
                  <c:v>259.73898609600889</c:v>
                </c:pt>
                <c:pt idx="165">
                  <c:v>258.00514735423985</c:v>
                </c:pt>
                <c:pt idx="166">
                  <c:v>256.28811574157822</c:v>
                </c:pt>
                <c:pt idx="167">
                  <c:v>254.5876384663824</c:v>
                </c:pt>
                <c:pt idx="168">
                  <c:v>252.90346807829008</c:v>
                </c:pt>
                <c:pt idx="169">
                  <c:v>251.23536232794078</c:v>
                </c:pt>
                <c:pt idx="170">
                  <c:v>249.58308403099051</c:v>
                </c:pt>
                <c:pt idx="171">
                  <c:v>247.94640093626901</c:v>
                </c:pt>
                <c:pt idx="172">
                  <c:v>246.32508559793501</c:v>
                </c:pt>
                <c:pt idx="173">
                  <c:v>244.71891525149567</c:v>
                </c:pt>
                <c:pt idx="174">
                  <c:v>243.12767169355647</c:v>
                </c:pt>
                <c:pt idx="175">
                  <c:v>241.55114116517427</c:v>
                </c:pt>
                <c:pt idx="176">
                  <c:v>239.9891142386918</c:v>
                </c:pt>
                <c:pt idx="177">
                  <c:v>238.4413857079368</c:v>
                </c:pt>
                <c:pt idx="178">
                  <c:v>236.90775448167165</c:v>
                </c:pt>
                <c:pt idx="179">
                  <c:v>235.38802348018561</c:v>
                </c:pt>
                <c:pt idx="180">
                  <c:v>233.88199953492295</c:v>
                </c:pt>
                <c:pt idx="181">
                  <c:v>232.38949329104867</c:v>
                </c:pt>
                <c:pt idx="182">
                  <c:v>230.91031911285239</c:v>
                </c:pt>
                <c:pt idx="183">
                  <c:v>229.44429499189815</c:v>
                </c:pt>
                <c:pt idx="184">
                  <c:v>227.99124245782906</c:v>
                </c:pt>
                <c:pt idx="185">
                  <c:v>226.55098649173976</c:v>
                </c:pt>
                <c:pt idx="186">
                  <c:v>225.12335544203455</c:v>
                </c:pt>
                <c:pt idx="187">
                  <c:v>223.7081809426877</c:v>
                </c:pt>
                <c:pt idx="188">
                  <c:v>222.30529783383213</c:v>
                </c:pt>
                <c:pt idx="189">
                  <c:v>220.91454408459589</c:v>
                </c:pt>
                <c:pt idx="190">
                  <c:v>219.53576071812</c:v>
                </c:pt>
                <c:pt idx="191">
                  <c:v>218.16879173868426</c:v>
                </c:pt>
                <c:pt idx="192">
                  <c:v>216.81348406087517</c:v>
                </c:pt>
                <c:pt idx="193">
                  <c:v>215.46968744072967</c:v>
                </c:pt>
                <c:pt idx="194">
                  <c:v>214.13725440879455</c:v>
                </c:pt>
                <c:pt idx="195">
                  <c:v>212.81604020503903</c:v>
                </c:pt>
                <c:pt idx="196">
                  <c:v>211.50590271556374</c:v>
                </c:pt>
                <c:pt idx="197">
                  <c:v>210.20670241104841</c:v>
                </c:pt>
                <c:pt idx="198">
                  <c:v>208.91830228688511</c:v>
                </c:pt>
                <c:pt idx="199">
                  <c:v>207.64056780494499</c:v>
                </c:pt>
                <c:pt idx="200">
                  <c:v>206.37336683692678</c:v>
                </c:pt>
                <c:pt idx="201">
                  <c:v>205.11656960923915</c:v>
                </c:pt>
                <c:pt idx="202">
                  <c:v>203.87004864936907</c:v>
                </c:pt>
                <c:pt idx="203">
                  <c:v>202.6336787336918</c:v>
                </c:pt>
                <c:pt idx="204">
                  <c:v>201.40733683667713</c:v>
                </c:pt>
                <c:pt idx="205">
                  <c:v>200.19090208145096</c:v>
                </c:pt>
                <c:pt idx="206">
                  <c:v>198.98425569166912</c:v>
                </c:pt>
                <c:pt idx="207">
                  <c:v>197.78728094466589</c:v>
                </c:pt>
                <c:pt idx="208">
                  <c:v>196.5998631258384</c:v>
                </c:pt>
                <c:pt idx="209">
                  <c:v>195.42188948422739</c:v>
                </c:pt>
                <c:pt idx="210">
                  <c:v>194.25324918926384</c:v>
                </c:pt>
                <c:pt idx="211">
                  <c:v>193.09383328864041</c:v>
                </c:pt>
                <c:pt idx="212">
                  <c:v>191.94353466727972</c:v>
                </c:pt>
                <c:pt idx="213">
                  <c:v>190.8022480073642</c:v>
                </c:pt>
                <c:pt idx="214">
                  <c:v>189.66986974939618</c:v>
                </c:pt>
                <c:pt idx="215">
                  <c:v>188.54629805425969</c:v>
                </c:pt>
                <c:pt idx="216">
                  <c:v>187.43143276625335</c:v>
                </c:pt>
                <c:pt idx="217">
                  <c:v>186.32517537706593</c:v>
                </c:pt>
                <c:pt idx="218">
                  <c:v>185.22742899066864</c:v>
                </c:pt>
                <c:pt idx="219">
                  <c:v>184.13809828909544</c:v>
                </c:pt>
                <c:pt idx="220">
                  <c:v>183.05708949908765</c:v>
                </c:pt>
                <c:pt idx="221">
                  <c:v>181.98431035957725</c:v>
                </c:pt>
                <c:pt idx="222">
                  <c:v>180.91967008998449</c:v>
                </c:pt>
                <c:pt idx="223">
                  <c:v>179.86307935930785</c:v>
                </c:pt>
                <c:pt idx="224">
                  <c:v>178.8144502559814</c:v>
                </c:pt>
                <c:pt idx="225">
                  <c:v>177.77369625848078</c:v>
                </c:pt>
                <c:pt idx="226">
                  <c:v>176.74073220665466</c:v>
                </c:pt>
                <c:pt idx="227">
                  <c:v>175.71547427376069</c:v>
                </c:pt>
                <c:pt idx="228">
                  <c:v>174.69783993918972</c:v>
                </c:pt>
                <c:pt idx="229">
                  <c:v>173.68774796185352</c:v>
                </c:pt>
                <c:pt idx="230">
                  <c:v>172.68511835422274</c:v>
                </c:pt>
                <c:pt idx="231">
                  <c:v>171.68987235699404</c:v>
                </c:pt>
                <c:pt idx="232">
                  <c:v>170.70193241436934</c:v>
                </c:pt>
                <c:pt idx="233">
                  <c:v>169.72122214993115</c:v>
                </c:pt>
                <c:pt idx="234">
                  <c:v>168.74766634309717</c:v>
                </c:pt>
                <c:pt idx="235">
                  <c:v>167.78119090613768</c:v>
                </c:pt>
                <c:pt idx="236">
                  <c:v>166.82172286174182</c:v>
                </c:pt>
                <c:pt idx="237">
                  <c:v>165.86919032111527</c:v>
                </c:pt>
                <c:pt idx="238">
                  <c:v>164.92352246259799</c:v>
                </c:pt>
                <c:pt idx="239">
                  <c:v>163.98464951078597</c:v>
                </c:pt>
                <c:pt idx="240">
                  <c:v>163.05250271614295</c:v>
                </c:pt>
                <c:pt idx="241">
                  <c:v>162.1270143350913</c:v>
                </c:pt>
                <c:pt idx="242">
                  <c:v>161.20811761056629</c:v>
                </c:pt>
                <c:pt idx="243">
                  <c:v>160.29574675302391</c:v>
                </c:pt>
                <c:pt idx="244">
                  <c:v>159.38983692188873</c:v>
                </c:pt>
                <c:pt idx="245">
                  <c:v>158.49032420742975</c:v>
                </c:pt>
                <c:pt idx="246">
                  <c:v>157.59714561305466</c:v>
                </c:pt>
                <c:pt idx="247">
                  <c:v>156.71023903801003</c:v>
                </c:pt>
                <c:pt idx="248">
                  <c:v>155.82954326047607</c:v>
                </c:pt>
                <c:pt idx="249">
                  <c:v>154.95499792104926</c:v>
                </c:pt>
                <c:pt idx="250">
                  <c:v>154.08654350659708</c:v>
                </c:pt>
                <c:pt idx="251">
                  <c:v>153.2241213344804</c:v>
                </c:pt>
                <c:pt idx="252">
                  <c:v>152.36767353713105</c:v>
                </c:pt>
                <c:pt idx="253">
                  <c:v>151.51714304697572</c:v>
                </c:pt>
                <c:pt idx="254">
                  <c:v>150.67247358169845</c:v>
                </c:pt>
                <c:pt idx="255">
                  <c:v>149.83360962983167</c:v>
                </c:pt>
                <c:pt idx="256">
                  <c:v>149.00049643666796</c:v>
                </c:pt>
                <c:pt idx="257">
                  <c:v>148.17307999048461</c:v>
                </c:pt>
                <c:pt idx="258">
                  <c:v>147.35130700907212</c:v>
                </c:pt>
                <c:pt idx="259">
                  <c:v>146.53512492655983</c:v>
                </c:pt>
                <c:pt idx="260">
                  <c:v>145.72448188053079</c:v>
                </c:pt>
                <c:pt idx="261">
                  <c:v>144.91932669941872</c:v>
                </c:pt>
                <c:pt idx="262">
                  <c:v>144.11960889017911</c:v>
                </c:pt>
                <c:pt idx="263">
                  <c:v>143.32527862622919</c:v>
                </c:pt>
                <c:pt idx="264">
                  <c:v>142.5362867356485</c:v>
                </c:pt>
                <c:pt idx="265">
                  <c:v>141.75258468963472</c:v>
                </c:pt>
                <c:pt idx="266">
                  <c:v>140.97412459120739</c:v>
                </c:pt>
                <c:pt idx="267">
                  <c:v>140.20085916415405</c:v>
                </c:pt>
                <c:pt idx="268">
                  <c:v>139.43274174221284</c:v>
                </c:pt>
                <c:pt idx="269">
                  <c:v>138.66972625848538</c:v>
                </c:pt>
                <c:pt idx="270">
                  <c:v>137.91176723507468</c:v>
                </c:pt>
                <c:pt idx="271">
                  <c:v>137.15881977294154</c:v>
                </c:pt>
                <c:pt idx="272">
                  <c:v>136.41083954197597</c:v>
                </c:pt>
                <c:pt idx="273">
                  <c:v>135.66778277127679</c:v>
                </c:pt>
                <c:pt idx="274">
                  <c:v>134.92960623963444</c:v>
                </c:pt>
                <c:pt idx="275">
                  <c:v>134.19626726621357</c:v>
                </c:pt>
                <c:pt idx="276">
                  <c:v>133.46772370142855</c:v>
                </c:pt>
                <c:pt idx="277">
                  <c:v>132.74393391800888</c:v>
                </c:pt>
                <c:pt idx="278">
                  <c:v>132.02485680224942</c:v>
                </c:pt>
                <c:pt idx="279">
                  <c:v>131.31045174544016</c:v>
                </c:pt>
                <c:pt idx="280">
                  <c:v>130.60067863547269</c:v>
                </c:pt>
                <c:pt idx="281">
                  <c:v>129.89549784861867</c:v>
                </c:pt>
                <c:pt idx="282">
                  <c:v>129.19487024147534</c:v>
                </c:pt>
                <c:pt idx="283">
                  <c:v>128.49875714307569</c:v>
                </c:pt>
                <c:pt idx="284">
                  <c:v>127.80712034715771</c:v>
                </c:pt>
                <c:pt idx="285">
                  <c:v>127.11992210459042</c:v>
                </c:pt>
                <c:pt idx="286">
                  <c:v>126.43712511595254</c:v>
                </c:pt>
                <c:pt idx="287">
                  <c:v>125.75869252425943</c:v>
                </c:pt>
                <c:pt idx="288">
                  <c:v>125.08458790783666</c:v>
                </c:pt>
                <c:pt idx="289">
                  <c:v>124.41477527333431</c:v>
                </c:pt>
                <c:pt idx="290">
                  <c:v>123.74921904888137</c:v>
                </c:pt>
                <c:pt idx="291">
                  <c:v>123.08788407737526</c:v>
                </c:pt>
                <c:pt idx="292">
                  <c:v>122.43073560990359</c:v>
                </c:pt>
                <c:pt idx="293">
                  <c:v>121.777739299296</c:v>
                </c:pt>
                <c:pt idx="294">
                  <c:v>121.12886119380205</c:v>
                </c:pt>
                <c:pt idx="295">
                  <c:v>120.48406773089296</c:v>
                </c:pt>
                <c:pt idx="296">
                  <c:v>119.84332573118442</c:v>
                </c:pt>
                <c:pt idx="297">
                  <c:v>119.20660239247671</c:v>
                </c:pt>
                <c:pt idx="298">
                  <c:v>118.57386528391106</c:v>
                </c:pt>
                <c:pt idx="299">
                  <c:v>117.9450823402384</c:v>
                </c:pt>
                <c:pt idx="300">
                  <c:v>117.32022185619869</c:v>
                </c:pt>
                <c:pt idx="301">
                  <c:v>116.69925248100748</c:v>
                </c:pt>
                <c:pt idx="302">
                  <c:v>116.08214321294845</c:v>
                </c:pt>
                <c:pt idx="303">
                  <c:v>115.46886339406882</c:v>
                </c:pt>
                <c:pt idx="304">
                  <c:v>114.85938270497559</c:v>
                </c:pt>
                <c:pt idx="305">
                  <c:v>114.25367115972992</c:v>
                </c:pt>
                <c:pt idx="306">
                  <c:v>113.65169910083831</c:v>
                </c:pt>
                <c:pt idx="307">
                  <c:v>113.05343719433793</c:v>
                </c:pt>
                <c:pt idx="308">
                  <c:v>112.45885642497382</c:v>
                </c:pt>
                <c:pt idx="309">
                  <c:v>111.86792809146675</c:v>
                </c:pt>
                <c:pt idx="310">
                  <c:v>111.28062380186851</c:v>
                </c:pt>
                <c:pt idx="311">
                  <c:v>110.69691546900415</c:v>
                </c:pt>
                <c:pt idx="312">
                  <c:v>110.11677530599846</c:v>
                </c:pt>
                <c:pt idx="313">
                  <c:v>109.5401758218842</c:v>
                </c:pt>
                <c:pt idx="314">
                  <c:v>108.96708981729266</c:v>
                </c:pt>
                <c:pt idx="315">
                  <c:v>108.39749038022157</c:v>
                </c:pt>
                <c:pt idx="316">
                  <c:v>107.83135088188143</c:v>
                </c:pt>
                <c:pt idx="317">
                  <c:v>107.2686449726173</c:v>
                </c:pt>
                <c:pt idx="318">
                  <c:v>106.70934657790424</c:v>
                </c:pt>
                <c:pt idx="319">
                  <c:v>106.15342989441551</c:v>
                </c:pt>
                <c:pt idx="320">
                  <c:v>105.60086938616203</c:v>
                </c:pt>
                <c:pt idx="321">
                  <c:v>105.05163978070057</c:v>
                </c:pt>
                <c:pt idx="322">
                  <c:v>104.50571606541068</c:v>
                </c:pt>
                <c:pt idx="323">
                  <c:v>103.96307348383741</c:v>
                </c:pt>
                <c:pt idx="324">
                  <c:v>103.42368753209962</c:v>
                </c:pt>
                <c:pt idx="325">
                  <c:v>102.88753395536227</c:v>
                </c:pt>
                <c:pt idx="326">
                  <c:v>102.35458874437046</c:v>
                </c:pt>
                <c:pt idx="327">
                  <c:v>101.8248281320451</c:v>
                </c:pt>
                <c:pt idx="328">
                  <c:v>101.29822859013856</c:v>
                </c:pt>
                <c:pt idx="329">
                  <c:v>100.77476682594846</c:v>
                </c:pt>
                <c:pt idx="330">
                  <c:v>100.25441977908959</c:v>
                </c:pt>
                <c:pt idx="331">
                  <c:v>99.737164618321117</c:v>
                </c:pt>
                <c:pt idx="332">
                  <c:v>99.222978738429845</c:v>
                </c:pt>
                <c:pt idx="333">
                  <c:v>98.711839757166757</c:v>
                </c:pt>
                <c:pt idx="334">
                  <c:v>98.203725512236602</c:v>
                </c:pt>
                <c:pt idx="335">
                  <c:v>97.698614058339658</c:v>
                </c:pt>
                <c:pt idx="336">
                  <c:v>97.196483664263354</c:v>
                </c:pt>
                <c:pt idx="337">
                  <c:v>96.697312810024385</c:v>
                </c:pt>
                <c:pt idx="338">
                  <c:v>96.201080184059066</c:v>
                </c:pt>
                <c:pt idx="339">
                  <c:v>95.707764680461835</c:v>
                </c:pt>
                <c:pt idx="340">
                  <c:v>95.217345396269806</c:v>
                </c:pt>
                <c:pt idx="341">
                  <c:v>94.72980162879378</c:v>
                </c:pt>
                <c:pt idx="342">
                  <c:v>94.245112872993843</c:v>
                </c:pt>
                <c:pt idx="343">
                  <c:v>93.763258818899175</c:v>
                </c:pt>
                <c:pt idx="344">
                  <c:v>93.284219349070625</c:v>
                </c:pt>
                <c:pt idx="345">
                  <c:v>92.807974536105831</c:v>
                </c:pt>
                <c:pt idx="346">
                  <c:v>92.334504640185799</c:v>
                </c:pt>
                <c:pt idx="347">
                  <c:v>91.863790106662179</c:v>
                </c:pt>
                <c:pt idx="348">
                  <c:v>91.395811563683722</c:v>
                </c:pt>
                <c:pt idx="349">
                  <c:v>90.930549819862676</c:v>
                </c:pt>
                <c:pt idx="350">
                  <c:v>90.467985861978875</c:v>
                </c:pt>
                <c:pt idx="351">
                  <c:v>90.008100852721611</c:v>
                </c:pt>
                <c:pt idx="352">
                  <c:v>89.550876128468047</c:v>
                </c:pt>
                <c:pt idx="353">
                  <c:v>89.096293197097992</c:v>
                </c:pt>
                <c:pt idx="354">
                  <c:v>88.644333735843901</c:v>
                </c:pt>
                <c:pt idx="355">
                  <c:v>88.194979589175574</c:v>
                </c:pt>
                <c:pt idx="356">
                  <c:v>87.748212766719149</c:v>
                </c:pt>
                <c:pt idx="357">
                  <c:v>87.304015441208932</c:v>
                </c:pt>
                <c:pt idx="358">
                  <c:v>86.862369946472484</c:v>
                </c:pt>
                <c:pt idx="359">
                  <c:v>86.423258775447678</c:v>
                </c:pt>
                <c:pt idx="360">
                  <c:v>85.986664578231</c:v>
                </c:pt>
                <c:pt idx="361">
                  <c:v>85.552570160157302</c:v>
                </c:pt>
                <c:pt idx="362">
                  <c:v>85.120958479909262</c:v>
                </c:pt>
                <c:pt idx="363">
                  <c:v>84.691812647656889</c:v>
                </c:pt>
                <c:pt idx="364">
                  <c:v>84.265115923226546</c:v>
                </c:pt>
                <c:pt idx="365">
                  <c:v>83.84085171429777</c:v>
                </c:pt>
                <c:pt idx="366">
                  <c:v>83.419003574629045</c:v>
                </c:pt>
                <c:pt idx="367">
                  <c:v>82.99955520231066</c:v>
                </c:pt>
                <c:pt idx="368">
                  <c:v>82.582490438044772</c:v>
                </c:pt>
                <c:pt idx="369">
                  <c:v>82.167793263452282</c:v>
                </c:pt>
                <c:pt idx="370">
                  <c:v>81.75544779940499</c:v>
                </c:pt>
                <c:pt idx="371">
                  <c:v>81.345438304384317</c:v>
                </c:pt>
                <c:pt idx="372">
                  <c:v>80.937749172864741</c:v>
                </c:pt>
                <c:pt idx="373">
                  <c:v>80.532364933721226</c:v>
                </c:pt>
                <c:pt idx="374">
                  <c:v>80.129270248662323</c:v>
                </c:pt>
                <c:pt idx="375">
                  <c:v>79.728449910685455</c:v>
                </c:pt>
                <c:pt idx="376">
                  <c:v>79.329888842556585</c:v>
                </c:pt>
                <c:pt idx="377">
                  <c:v>78.933572095312513</c:v>
                </c:pt>
                <c:pt idx="378">
                  <c:v>78.539484846785015</c:v>
                </c:pt>
                <c:pt idx="379">
                  <c:v>78.147612400148461</c:v>
                </c:pt>
                <c:pt idx="380">
                  <c:v>77.757940182487559</c:v>
                </c:pt>
                <c:pt idx="381">
                  <c:v>77.370453743387372</c:v>
                </c:pt>
                <c:pt idx="382">
                  <c:v>76.985138753544135</c:v>
                </c:pt>
                <c:pt idx="383">
                  <c:v>76.60198100339602</c:v>
                </c:pt>
                <c:pt idx="384">
                  <c:v>76.22096640177476</c:v>
                </c:pt>
                <c:pt idx="385">
                  <c:v>75.842080974576731</c:v>
                </c:pt>
                <c:pt idx="386">
                  <c:v>75.465310863453567</c:v>
                </c:pt>
                <c:pt idx="387">
                  <c:v>75.090642324521767</c:v>
                </c:pt>
                <c:pt idx="388">
                  <c:v>74.718061727091239</c:v>
                </c:pt>
                <c:pt idx="389">
                  <c:v>74.347555552412103</c:v>
                </c:pt>
                <c:pt idx="390">
                  <c:v>73.979110392439964</c:v>
                </c:pt>
                <c:pt idx="391">
                  <c:v>73.612712948618409</c:v>
                </c:pt>
                <c:pt idx="392">
                  <c:v>73.248350030679518</c:v>
                </c:pt>
                <c:pt idx="393">
                  <c:v>72.886008555461217</c:v>
                </c:pt>
                <c:pt idx="394">
                  <c:v>72.525675545741763</c:v>
                </c:pt>
                <c:pt idx="395">
                  <c:v>72.16733812909068</c:v>
                </c:pt>
                <c:pt idx="396">
                  <c:v>71.810983536735876</c:v>
                </c:pt>
                <c:pt idx="397">
                  <c:v>71.456599102447029</c:v>
                </c:pt>
                <c:pt idx="398">
                  <c:v>71.104172261434613</c:v>
                </c:pt>
                <c:pt idx="399">
                  <c:v>70.753690549264263</c:v>
                </c:pt>
                <c:pt idx="400">
                  <c:v>70.405141600786664</c:v>
                </c:pt>
                <c:pt idx="401">
                  <c:v>70.058513149082145</c:v>
                </c:pt>
                <c:pt idx="402">
                  <c:v>69.713793024419729</c:v>
                </c:pt>
                <c:pt idx="403">
                  <c:v>69.370969153231243</c:v>
                </c:pt>
                <c:pt idx="404">
                  <c:v>69.030029557099354</c:v>
                </c:pt>
                <c:pt idx="405">
                  <c:v>68.690962351759111</c:v>
                </c:pt>
                <c:pt idx="406">
                  <c:v>68.353755746114132</c:v>
                </c:pt>
                <c:pt idx="407">
                  <c:v>68.018398041265172</c:v>
                </c:pt>
                <c:pt idx="408">
                  <c:v>67.684877629553128</c:v>
                </c:pt>
                <c:pt idx="409">
                  <c:v>67.35318299361407</c:v>
                </c:pt>
                <c:pt idx="410">
                  <c:v>67.023302705447747</c:v>
                </c:pt>
                <c:pt idx="411">
                  <c:v>66.695225425498535</c:v>
                </c:pt>
                <c:pt idx="412">
                  <c:v>66.368939901748433</c:v>
                </c:pt>
                <c:pt idx="413">
                  <c:v>66.044434968823083</c:v>
                </c:pt>
                <c:pt idx="414">
                  <c:v>65.721699547108841</c:v>
                </c:pt>
                <c:pt idx="415">
                  <c:v>65.400722641882211</c:v>
                </c:pt>
                <c:pt idx="416">
                  <c:v>65.081493342450969</c:v>
                </c:pt>
                <c:pt idx="417">
                  <c:v>64.764000821306155</c:v>
                </c:pt>
                <c:pt idx="418">
                  <c:v>64.448234333285825</c:v>
                </c:pt>
                <c:pt idx="419">
                  <c:v>64.134183214749697</c:v>
                </c:pt>
                <c:pt idx="420">
                  <c:v>63.821836882764401</c:v>
                </c:pt>
                <c:pt idx="421">
                  <c:v>63.511184834300025</c:v>
                </c:pt>
                <c:pt idx="422">
                  <c:v>63.20221664543638</c:v>
                </c:pt>
                <c:pt idx="423">
                  <c:v>62.894921970580214</c:v>
                </c:pt>
                <c:pt idx="424">
                  <c:v>62.589290541692627</c:v>
                </c:pt>
                <c:pt idx="425">
                  <c:v>62.285312167525774</c:v>
                </c:pt>
                <c:pt idx="426">
                  <c:v>61.982976732870554</c:v>
                </c:pt>
                <c:pt idx="427">
                  <c:v>61.682274197813001</c:v>
                </c:pt>
                <c:pt idx="428">
                  <c:v>61.383194597000681</c:v>
                </c:pt>
                <c:pt idx="429">
                  <c:v>61.085728038918631</c:v>
                </c:pt>
                <c:pt idx="430">
                  <c:v>60.789864705173969</c:v>
                </c:pt>
                <c:pt idx="431">
                  <c:v>60.495594849790308</c:v>
                </c:pt>
                <c:pt idx="432">
                  <c:v>60.202908798510762</c:v>
                </c:pt>
                <c:pt idx="433">
                  <c:v>59.911796948109355</c:v>
                </c:pt>
                <c:pt idx="434">
                  <c:v>59.622249765712262</c:v>
                </c:pt>
                <c:pt idx="435">
                  <c:v>59.334257788126109</c:v>
                </c:pt>
                <c:pt idx="436">
                  <c:v>59.047811621176123</c:v>
                </c:pt>
                <c:pt idx="437">
                  <c:v>58.762901939051559</c:v>
                </c:pt>
                <c:pt idx="438">
                  <c:v>58.479519483659409</c:v>
                </c:pt>
                <c:pt idx="439">
                  <c:v>58.197655063986772</c:v>
                </c:pt>
                <c:pt idx="440">
                  <c:v>57.917299555470493</c:v>
                </c:pt>
                <c:pt idx="441">
                  <c:v>57.638443899374494</c:v>
                </c:pt>
                <c:pt idx="442">
                  <c:v>57.361079102175566</c:v>
                </c:pt>
                <c:pt idx="443">
                  <c:v>57.085196234955696</c:v>
                </c:pt>
                <c:pt idx="444">
                  <c:v>56.810786432802573</c:v>
                </c:pt>
                <c:pt idx="445">
                  <c:v>56.53784089421714</c:v>
                </c:pt>
                <c:pt idx="446">
                  <c:v>56.266350880528037</c:v>
                </c:pt>
                <c:pt idx="447">
                  <c:v>55.996307715313947</c:v>
                </c:pt>
                <c:pt idx="448">
                  <c:v>55.727702783831965</c:v>
                </c:pt>
                <c:pt idx="449">
                  <c:v>55.460527532453504</c:v>
                </c:pt>
                <c:pt idx="450">
                  <c:v>55.194773468106888</c:v>
                </c:pt>
                <c:pt idx="451">
                  <c:v>54.930432157726266</c:v>
                </c:pt>
                <c:pt idx="452">
                  <c:v>54.667495227707548</c:v>
                </c:pt>
                <c:pt idx="453">
                  <c:v>54.405954363370526</c:v>
                </c:pt>
                <c:pt idx="454">
                  <c:v>54.145801308427536</c:v>
                </c:pt>
                <c:pt idx="455">
                  <c:v>53.887027864458325</c:v>
                </c:pt>
                <c:pt idx="456">
                  <c:v>53.629625890391097</c:v>
                </c:pt>
                <c:pt idx="457">
                  <c:v>53.37358730198973</c:v>
                </c:pt>
                <c:pt idx="458">
                  <c:v>53.11890407134694</c:v>
                </c:pt>
                <c:pt idx="459">
                  <c:v>52.865568226383431</c:v>
                </c:pt>
                <c:pt idx="460">
                  <c:v>52.613571850352912</c:v>
                </c:pt>
                <c:pt idx="461">
                  <c:v>52.362907081352674</c:v>
                </c:pt>
                <c:pt idx="462">
                  <c:v>52.113566111840065</c:v>
                </c:pt>
                <c:pt idx="463">
                  <c:v>51.865541188154495</c:v>
                </c:pt>
                <c:pt idx="464">
                  <c:v>51.618824610044712</c:v>
                </c:pt>
                <c:pt idx="465">
                  <c:v>51.373408730201973</c:v>
                </c:pt>
                <c:pt idx="466">
                  <c:v>51.129285953798032</c:v>
                </c:pt>
                <c:pt idx="467">
                  <c:v>50.886448738028939</c:v>
                </c:pt>
                <c:pt idx="468">
                  <c:v>50.644889591663471</c:v>
                </c:pt>
                <c:pt idx="469">
                  <c:v>50.404601074597025</c:v>
                </c:pt>
                <c:pt idx="470">
                  <c:v>50.165575797410739</c:v>
                </c:pt>
                <c:pt idx="471">
                  <c:v>49.92780642093507</c:v>
                </c:pt>
                <c:pt idx="472">
                  <c:v>49.691285655818703</c:v>
                </c:pt>
                <c:pt idx="473">
                  <c:v>49.456006262102022</c:v>
                </c:pt>
                <c:pt idx="474">
                  <c:v>49.221961048795627</c:v>
                </c:pt>
                <c:pt idx="475">
                  <c:v>48.989142873463329</c:v>
                </c:pt>
                <c:pt idx="476">
                  <c:v>48.757544641809879</c:v>
                </c:pt>
                <c:pt idx="477">
                  <c:v>48.527159307273187</c:v>
                </c:pt>
                <c:pt idx="478">
                  <c:v>48.297979870621141</c:v>
                </c:pt>
                <c:pt idx="479">
                  <c:v>48.069999379552797</c:v>
                </c:pt>
                <c:pt idx="480">
                  <c:v>47.843210928304046</c:v>
                </c:pt>
                <c:pt idx="481">
                  <c:v>47.617607657257537</c:v>
                </c:pt>
                <c:pt idx="482">
                  <c:v>47.393182752556733</c:v>
                </c:pt>
                <c:pt idx="483">
                  <c:v>47.169929445724421</c:v>
                </c:pt>
                <c:pt idx="484">
                  <c:v>46.947841013285206</c:v>
                </c:pt>
                <c:pt idx="485">
                  <c:v>46.726910776392145</c:v>
                </c:pt>
                <c:pt idx="486">
                  <c:v>46.50713210045739</c:v>
                </c:pt>
                <c:pt idx="487">
                  <c:v>46.288498394786856</c:v>
                </c:pt>
                <c:pt idx="488">
                  <c:v>46.071003112218577</c:v>
                </c:pt>
                <c:pt idx="489">
                  <c:v>45.854639748765393</c:v>
                </c:pt>
                <c:pt idx="490">
                  <c:v>45.639401843261062</c:v>
                </c:pt>
                <c:pt idx="491">
                  <c:v>45.42528297701022</c:v>
                </c:pt>
                <c:pt idx="492">
                  <c:v>45.212276773442227</c:v>
                </c:pt>
                <c:pt idx="493">
                  <c:v>45.000376897768284</c:v>
                </c:pt>
                <c:pt idx="494">
                  <c:v>44.789577056642806</c:v>
                </c:pt>
                <c:pt idx="495">
                  <c:v>44.579870997827676</c:v>
                </c:pt>
                <c:pt idx="496">
                  <c:v>44.371252509860454</c:v>
                </c:pt>
                <c:pt idx="497">
                  <c:v>44.163715421725996</c:v>
                </c:pt>
                <c:pt idx="498">
                  <c:v>43.957253602531196</c:v>
                </c:pt>
                <c:pt idx="499">
                  <c:v>43.751860961183681</c:v>
                </c:pt>
                <c:pt idx="500">
                  <c:v>43.547531446073265</c:v>
                </c:pt>
                <c:pt idx="501">
                  <c:v>43.34425904475701</c:v>
                </c:pt>
                <c:pt idx="502">
                  <c:v>43.142037783647602</c:v>
                </c:pt>
                <c:pt idx="503">
                  <c:v>42.94086172770448</c:v>
                </c:pt>
                <c:pt idx="504">
                  <c:v>42.740724980128867</c:v>
                </c:pt>
                <c:pt idx="505">
                  <c:v>42.541621682061205</c:v>
                </c:pt>
                <c:pt idx="506">
                  <c:v>42.343546012282069</c:v>
                </c:pt>
                <c:pt idx="507">
                  <c:v>42.146492186916177</c:v>
                </c:pt>
                <c:pt idx="508">
                  <c:v>41.950454459138925</c:v>
                </c:pt>
                <c:pt idx="509">
                  <c:v>41.755427118886608</c:v>
                </c:pt>
                <c:pt idx="510">
                  <c:v>41.561404492569018</c:v>
                </c:pt>
                <c:pt idx="511">
                  <c:v>41.368380942784952</c:v>
                </c:pt>
                <c:pt idx="512">
                  <c:v>41.176350868041062</c:v>
                </c:pt>
                <c:pt idx="513">
                  <c:v>40.985308702472864</c:v>
                </c:pt>
                <c:pt idx="514">
                  <c:v>40.79524891556899</c:v>
                </c:pt>
                <c:pt idx="515">
                  <c:v>40.606166011898125</c:v>
                </c:pt>
                <c:pt idx="516">
                  <c:v>40.418054530838354</c:v>
                </c:pt>
                <c:pt idx="517">
                  <c:v>40.230909046309591</c:v>
                </c:pt>
                <c:pt idx="518">
                  <c:v>40.044724166508374</c:v>
                </c:pt>
                <c:pt idx="519">
                  <c:v>39.859494533645361</c:v>
                </c:pt>
                <c:pt idx="520">
                  <c:v>39.675214823685501</c:v>
                </c:pt>
                <c:pt idx="521">
                  <c:v>39.491879746090504</c:v>
                </c:pt>
                <c:pt idx="522">
                  <c:v>39.309484043564069</c:v>
                </c:pt>
                <c:pt idx="523">
                  <c:v>39.128022491799442</c:v>
                </c:pt>
                <c:pt idx="524">
                  <c:v>38.94748989922951</c:v>
                </c:pt>
                <c:pt idx="525">
                  <c:v>38.767881106779313</c:v>
                </c:pt>
                <c:pt idx="526">
                  <c:v>38.58919098762091</c:v>
                </c:pt>
                <c:pt idx="527">
                  <c:v>38.411414446930486</c:v>
                </c:pt>
                <c:pt idx="528">
                  <c:v>38.234546421648076</c:v>
                </c:pt>
                <c:pt idx="529">
                  <c:v>38.058581880239458</c:v>
                </c:pt>
                <c:pt idx="530">
                  <c:v>37.883515822460126</c:v>
                </c:pt>
                <c:pt idx="531">
                  <c:v>37.70934327912196</c:v>
                </c:pt>
                <c:pt idx="532">
                  <c:v>37.536059311861457</c:v>
                </c:pt>
                <c:pt idx="533">
                  <c:v>37.363659012910979</c:v>
                </c:pt>
                <c:pt idx="534">
                  <c:v>37.19213750487144</c:v>
                </c:pt>
                <c:pt idx="535">
                  <c:v>37.02148994048747</c:v>
                </c:pt>
                <c:pt idx="536">
                  <c:v>36.851711502424841</c:v>
                </c:pt>
                <c:pt idx="537">
                  <c:v>36.682797403049527</c:v>
                </c:pt>
                <c:pt idx="538">
                  <c:v>36.514742884209291</c:v>
                </c:pt>
                <c:pt idx="539">
                  <c:v>36.347543217017034</c:v>
                </c:pt>
                <c:pt idx="540">
                  <c:v>36.181193701636282</c:v>
                </c:pt>
                <c:pt idx="541">
                  <c:v>36.015689667068656</c:v>
                </c:pt>
                <c:pt idx="542">
                  <c:v>35.851026470943218</c:v>
                </c:pt>
                <c:pt idx="543">
                  <c:v>35.687199499307866</c:v>
                </c:pt>
                <c:pt idx="544">
                  <c:v>35.524204166422621</c:v>
                </c:pt>
                <c:pt idx="545">
                  <c:v>35.362035914554809</c:v>
                </c:pt>
                <c:pt idx="546">
                  <c:v>35.200690213776163</c:v>
                </c:pt>
                <c:pt idx="547">
                  <c:v>35.040162561761647</c:v>
                </c:pt>
                <c:pt idx="548">
                  <c:v>34.88044848359025</c:v>
                </c:pt>
                <c:pt idx="549">
                  <c:v>34.721543531547667</c:v>
                </c:pt>
                <c:pt idx="550">
                  <c:v>34.563443284930415</c:v>
                </c:pt>
                <c:pt idx="551">
                  <c:v>34.406143349852215</c:v>
                </c:pt>
                <c:pt idx="552">
                  <c:v>34.249639359051713</c:v>
                </c:pt>
                <c:pt idx="553">
                  <c:v>34.093926971702111</c:v>
                </c:pt>
                <c:pt idx="554">
                  <c:v>33.939001873222622</c:v>
                </c:pt>
                <c:pt idx="555">
                  <c:v>33.784859775091235</c:v>
                </c:pt>
                <c:pt idx="556">
                  <c:v>33.631496414659672</c:v>
                </c:pt>
                <c:pt idx="557">
                  <c:v>33.478907554969609</c:v>
                </c:pt>
                <c:pt idx="558">
                  <c:v>33.327088984570494</c:v>
                </c:pt>
                <c:pt idx="559">
                  <c:v>33.176036517339483</c:v>
                </c:pt>
                <c:pt idx="560">
                  <c:v>33.025745992302319</c:v>
                </c:pt>
                <c:pt idx="561">
                  <c:v>32.876213273456216</c:v>
                </c:pt>
                <c:pt idx="562">
                  <c:v>32.727434249594282</c:v>
                </c:pt>
                <c:pt idx="563">
                  <c:v>32.579404834131154</c:v>
                </c:pt>
                <c:pt idx="564">
                  <c:v>32.432120964930675</c:v>
                </c:pt>
                <c:pt idx="565">
                  <c:v>32.285578604134642</c:v>
                </c:pt>
                <c:pt idx="566">
                  <c:v>32.139773737993167</c:v>
                </c:pt>
                <c:pt idx="567">
                  <c:v>31.994702376696743</c:v>
                </c:pt>
                <c:pt idx="568">
                  <c:v>31.850360554209391</c:v>
                </c:pt>
                <c:pt idx="569">
                  <c:v>31.706744328103554</c:v>
                </c:pt>
                <c:pt idx="570">
                  <c:v>31.563849779396364</c:v>
                </c:pt>
                <c:pt idx="571">
                  <c:v>31.421673012387014</c:v>
                </c:pt>
                <c:pt idx="572">
                  <c:v>31.280210154496164</c:v>
                </c:pt>
                <c:pt idx="573">
                  <c:v>31.139457356105993</c:v>
                </c:pt>
                <c:pt idx="574">
                  <c:v>30.99941079040217</c:v>
                </c:pt>
                <c:pt idx="575">
                  <c:v>30.860066653216947</c:v>
                </c:pt>
                <c:pt idx="576">
                  <c:v>30.721421162873579</c:v>
                </c:pt>
                <c:pt idx="577">
                  <c:v>30.583470560032119</c:v>
                </c:pt>
                <c:pt idx="578">
                  <c:v>30.446211107536527</c:v>
                </c:pt>
                <c:pt idx="579">
                  <c:v>30.30963909026303</c:v>
                </c:pt>
                <c:pt idx="580">
                  <c:v>30.173750814969871</c:v>
                </c:pt>
                <c:pt idx="581">
                  <c:v>30.038542610148113</c:v>
                </c:pt>
                <c:pt idx="582">
                  <c:v>29.904010825873925</c:v>
                </c:pt>
                <c:pt idx="583">
                  <c:v>29.770151833661956</c:v>
                </c:pt>
                <c:pt idx="584">
                  <c:v>29.636962026320006</c:v>
                </c:pt>
                <c:pt idx="585">
                  <c:v>29.504437817804956</c:v>
                </c:pt>
                <c:pt idx="586">
                  <c:v>29.372575643079699</c:v>
                </c:pt>
                <c:pt idx="587">
                  <c:v>29.241371957971491</c:v>
                </c:pt>
                <c:pt idx="588">
                  <c:v>29.110823239031419</c:v>
                </c:pt>
                <c:pt idx="589">
                  <c:v>28.98092598339483</c:v>
                </c:pt>
                <c:pt idx="590">
                  <c:v>28.851676708643296</c:v>
                </c:pt>
                <c:pt idx="591">
                  <c:v>28.723071952667318</c:v>
                </c:pt>
                <c:pt idx="592">
                  <c:v>28.595108273530464</c:v>
                </c:pt>
                <c:pt idx="593">
                  <c:v>28.467782249334405</c:v>
                </c:pt>
                <c:pt idx="594">
                  <c:v>28.341090478085142</c:v>
                </c:pt>
                <c:pt idx="595">
                  <c:v>28.21502957756045</c:v>
                </c:pt>
                <c:pt idx="596">
                  <c:v>28.089596185178163</c:v>
                </c:pt>
                <c:pt idx="597">
                  <c:v>27.964786957865687</c:v>
                </c:pt>
                <c:pt idx="598">
                  <c:v>27.840598571930521</c:v>
                </c:pt>
                <c:pt idx="599">
                  <c:v>27.717027722931853</c:v>
                </c:pt>
                <c:pt idx="600">
                  <c:v>27.594071125553185</c:v>
                </c:pt>
                <c:pt idx="601">
                  <c:v>27.471725513475967</c:v>
                </c:pt>
                <c:pt idx="602">
                  <c:v>27.349987639254266</c:v>
                </c:pt>
                <c:pt idx="603">
                  <c:v>27.228854274190404</c:v>
                </c:pt>
                <c:pt idx="604">
                  <c:v>27.108322208211654</c:v>
                </c:pt>
                <c:pt idx="605">
                  <c:v>26.988388249747892</c:v>
                </c:pt>
                <c:pt idx="606">
                  <c:v>26.869049225610219</c:v>
                </c:pt>
                <c:pt idx="607">
                  <c:v>26.750301980870521</c:v>
                </c:pt>
                <c:pt idx="608">
                  <c:v>26.632143378742043</c:v>
                </c:pt>
                <c:pt idx="609">
                  <c:v>26.514570300460889</c:v>
                </c:pt>
                <c:pt idx="610">
                  <c:v>26.397579645168427</c:v>
                </c:pt>
                <c:pt idx="611">
                  <c:v>26.281168329794696</c:v>
                </c:pt>
                <c:pt idx="612">
                  <c:v>26.165333288942673</c:v>
                </c:pt>
                <c:pt idx="613">
                  <c:v>26.050071474773354</c:v>
                </c:pt>
                <c:pt idx="614">
                  <c:v>25.935379856891984</c:v>
                </c:pt>
                <c:pt idx="615">
                  <c:v>25.821255422235026</c:v>
                </c:pt>
                <c:pt idx="616">
                  <c:v>25.707695174957905</c:v>
                </c:pt>
                <c:pt idx="617">
                  <c:v>25.594696136323911</c:v>
                </c:pt>
                <c:pt idx="618">
                  <c:v>25.482255344593593</c:v>
                </c:pt>
                <c:pt idx="619">
                  <c:v>25.370369854915459</c:v>
                </c:pt>
                <c:pt idx="620">
                  <c:v>25.259036739217116</c:v>
                </c:pt>
                <c:pt idx="621">
                  <c:v>25.148253086097455</c:v>
                </c:pt>
                <c:pt idx="622">
                  <c:v>25.038016000719708</c:v>
                </c:pt>
                <c:pt idx="623">
                  <c:v>24.928322604705137</c:v>
                </c:pt>
                <c:pt idx="624">
                  <c:v>24.819170036027749</c:v>
                </c:pt>
                <c:pt idx="625">
                  <c:v>24.710555448909709</c:v>
                </c:pt>
                <c:pt idx="626">
                  <c:v>24.602476013717521</c:v>
                </c:pt>
                <c:pt idx="627">
                  <c:v>24.494928916859152</c:v>
                </c:pt>
                <c:pt idx="628">
                  <c:v>24.387911360681748</c:v>
                </c:pt>
                <c:pt idx="629">
                  <c:v>24.281420563370268</c:v>
                </c:pt>
                <c:pt idx="630">
                  <c:v>24.175453758846846</c:v>
                </c:pt>
                <c:pt idx="631">
                  <c:v>24.070008196670923</c:v>
                </c:pt>
                <c:pt idx="632">
                  <c:v>23.965081141940104</c:v>
                </c:pt>
                <c:pt idx="633">
                  <c:v>23.860669875191782</c:v>
                </c:pt>
                <c:pt idx="634">
                  <c:v>23.756771692305549</c:v>
                </c:pt>
                <c:pt idx="635">
                  <c:v>23.653383904406255</c:v>
                </c:pt>
                <c:pt idx="636">
                  <c:v>23.550503837767884</c:v>
                </c:pt>
                <c:pt idx="637">
                  <c:v>23.448128833718087</c:v>
                </c:pt>
                <c:pt idx="638">
                  <c:v>23.346256248543419</c:v>
                </c:pt>
                <c:pt idx="639">
                  <c:v>23.24488345339541</c:v>
                </c:pt>
                <c:pt idx="640">
                  <c:v>23.144007834197147</c:v>
                </c:pt>
                <c:pt idx="641">
                  <c:v>23.043626791550672</c:v>
                </c:pt>
                <c:pt idx="642">
                  <c:v>22.943737740645105</c:v>
                </c:pt>
                <c:pt idx="643">
                  <c:v>22.844338111165282</c:v>
                </c:pt>
                <c:pt idx="644">
                  <c:v>22.745425347201291</c:v>
                </c:pt>
                <c:pt idx="645">
                  <c:v>22.646996907158449</c:v>
                </c:pt>
                <c:pt idx="646">
                  <c:v>22.549050263668132</c:v>
                </c:pt>
                <c:pt idx="647">
                  <c:v>22.451582903499158</c:v>
                </c:pt>
                <c:pt idx="648">
                  <c:v>22.354592327469813</c:v>
                </c:pt>
                <c:pt idx="649">
                  <c:v>22.258076050360643</c:v>
                </c:pt>
                <c:pt idx="650">
                  <c:v>22.162031600827703</c:v>
                </c:pt>
                <c:pt idx="651">
                  <c:v>22.066456521316574</c:v>
                </c:pt>
                <c:pt idx="652">
                  <c:v>21.971348367977015</c:v>
                </c:pt>
                <c:pt idx="653">
                  <c:v>21.876704710578071</c:v>
                </c:pt>
                <c:pt idx="654">
                  <c:v>21.782523132424089</c:v>
                </c:pt>
                <c:pt idx="655">
                  <c:v>21.688801230270997</c:v>
                </c:pt>
                <c:pt idx="656">
                  <c:v>21.595536614243478</c:v>
                </c:pt>
                <c:pt idx="657">
                  <c:v>21.502726907752603</c:v>
                </c:pt>
                <c:pt idx="658">
                  <c:v>21.410369747414055</c:v>
                </c:pt>
                <c:pt idx="659">
                  <c:v>21.318462782967057</c:v>
                </c:pt>
                <c:pt idx="660">
                  <c:v>21.227003677193675</c:v>
                </c:pt>
                <c:pt idx="661">
                  <c:v>21.135990105838932</c:v>
                </c:pt>
                <c:pt idx="662">
                  <c:v>21.045419757531374</c:v>
                </c:pt>
                <c:pt idx="663">
                  <c:v>20.955290333704131</c:v>
                </c:pt>
                <c:pt idx="664">
                  <c:v>20.865599548516794</c:v>
                </c:pt>
                <c:pt idx="665">
                  <c:v>20.77634512877751</c:v>
                </c:pt>
                <c:pt idx="666">
                  <c:v>20.687524813865942</c:v>
                </c:pt>
                <c:pt idx="667">
                  <c:v>20.599136355656587</c:v>
                </c:pt>
                <c:pt idx="668">
                  <c:v>20.511177518442683</c:v>
                </c:pt>
                <c:pt idx="669">
                  <c:v>20.423646078860735</c:v>
                </c:pt>
                <c:pt idx="670">
                  <c:v>20.336539825815411</c:v>
                </c:pt>
                <c:pt idx="671">
                  <c:v>20.249856560405153</c:v>
                </c:pt>
                <c:pt idx="672">
                  <c:v>20.163594095848197</c:v>
                </c:pt>
                <c:pt idx="673">
                  <c:v>20.077750257409122</c:v>
                </c:pt>
                <c:pt idx="674">
                  <c:v>19.992322882325986</c:v>
                </c:pt>
                <c:pt idx="675">
                  <c:v>19.907309819737854</c:v>
                </c:pt>
                <c:pt idx="676">
                  <c:v>19.822708930612954</c:v>
                </c:pt>
                <c:pt idx="677">
                  <c:v>19.738518087677317</c:v>
                </c:pt>
                <c:pt idx="678">
                  <c:v>19.654735175343802</c:v>
                </c:pt>
                <c:pt idx="679">
                  <c:v>19.571358089641787</c:v>
                </c:pt>
                <c:pt idx="680">
                  <c:v>19.488384738147168</c:v>
                </c:pt>
                <c:pt idx="681">
                  <c:v>19.405813039913038</c:v>
                </c:pt>
                <c:pt idx="682">
                  <c:v>19.323640925400696</c:v>
                </c:pt>
                <c:pt idx="683">
                  <c:v>19.241866336411164</c:v>
                </c:pt>
                <c:pt idx="684">
                  <c:v>19.160487226017285</c:v>
                </c:pt>
                <c:pt idx="685">
                  <c:v>19.079501558496105</c:v>
                </c:pt>
                <c:pt idx="686">
                  <c:v>18.998907309261899</c:v>
                </c:pt>
                <c:pt idx="687">
                  <c:v>18.918702464799559</c:v>
                </c:pt>
                <c:pt idx="688">
                  <c:v>18.83888502259844</c:v>
                </c:pt>
                <c:pt idx="689">
                  <c:v>18.75945299108675</c:v>
                </c:pt>
                <c:pt idx="690">
                  <c:v>18.680404389566249</c:v>
                </c:pt>
                <c:pt idx="691">
                  <c:v>18.601737248147515</c:v>
                </c:pt>
                <c:pt idx="692">
                  <c:v>18.523449607685613</c:v>
                </c:pt>
                <c:pt idx="693">
                  <c:v>18.445539519716181</c:v>
                </c:pt>
                <c:pt idx="694">
                  <c:v>18.368005046391989</c:v>
                </c:pt>
                <c:pt idx="695">
                  <c:v>18.290844260419888</c:v>
                </c:pt>
                <c:pt idx="696">
                  <c:v>18.214055244998232</c:v>
                </c:pt>
                <c:pt idx="697">
                  <c:v>18.137636093754701</c:v>
                </c:pt>
                <c:pt idx="698">
                  <c:v>18.061584910684548</c:v>
                </c:pt>
                <c:pt idx="699">
                  <c:v>17.985899810089272</c:v>
                </c:pt>
                <c:pt idx="700">
                  <c:v>17.910578916515689</c:v>
                </c:pt>
                <c:pt idx="701">
                  <c:v>17.835620364695401</c:v>
                </c:pt>
                <c:pt idx="702">
                  <c:v>17.761022299484779</c:v>
                </c:pt>
                <c:pt idx="703">
                  <c:v>17.686782875805164</c:v>
                </c:pt>
                <c:pt idx="704">
                  <c:v>17.61290025858365</c:v>
                </c:pt>
                <c:pt idx="705">
                  <c:v>17.539372622694167</c:v>
                </c:pt>
                <c:pt idx="706">
                  <c:v>17.466198152898944</c:v>
                </c:pt>
                <c:pt idx="707">
                  <c:v>17.393375043790464</c:v>
                </c:pt>
                <c:pt idx="708">
                  <c:v>17.320901499733701</c:v>
                </c:pt>
                <c:pt idx="709">
                  <c:v>17.248775734808802</c:v>
                </c:pt>
                <c:pt idx="710">
                  <c:v>17.176995972754117</c:v>
                </c:pt>
                <c:pt idx="711">
                  <c:v>17.105560446909632</c:v>
                </c:pt>
                <c:pt idx="712">
                  <c:v>17.034467400160803</c:v>
                </c:pt>
                <c:pt idx="713">
                  <c:v>16.963715084882697</c:v>
                </c:pt>
                <c:pt idx="714">
                  <c:v>16.893301762884541</c:v>
                </c:pt>
                <c:pt idx="715">
                  <c:v>16.823225705354645</c:v>
                </c:pt>
                <c:pt idx="716">
                  <c:v>16.75348519280567</c:v>
                </c:pt>
                <c:pt idx="717">
                  <c:v>16.68407851502031</c:v>
                </c:pt>
                <c:pt idx="718">
                  <c:v>16.615003970997211</c:v>
                </c:pt>
                <c:pt idx="719">
                  <c:v>16.546259868897401</c:v>
                </c:pt>
                <c:pt idx="720">
                  <c:v>16.47784452599095</c:v>
                </c:pt>
                <c:pt idx="721">
                  <c:v>16.409756268604042</c:v>
                </c:pt>
                <c:pt idx="722">
                  <c:v>16.34199343206641</c:v>
                </c:pt>
                <c:pt idx="723">
                  <c:v>16.274554360658993</c:v>
                </c:pt>
                <c:pt idx="724">
                  <c:v>16.207437407562153</c:v>
                </c:pt>
                <c:pt idx="725">
                  <c:v>16.140640934804019</c:v>
                </c:pt>
                <c:pt idx="726">
                  <c:v>16.074163313209247</c:v>
                </c:pt>
                <c:pt idx="727">
                  <c:v>16.008002922348211</c:v>
                </c:pt>
                <c:pt idx="728">
                  <c:v>15.942158150486316</c:v>
                </c:pt>
                <c:pt idx="729">
                  <c:v>15.876627394533873</c:v>
                </c:pt>
                <c:pt idx="730">
                  <c:v>15.811409059996102</c:v>
                </c:pt>
                <c:pt idx="731">
                  <c:v>15.746501560923569</c:v>
                </c:pt>
                <c:pt idx="732">
                  <c:v>15.681903319862954</c:v>
                </c:pt>
                <c:pt idx="733">
                  <c:v>15.617612767808062</c:v>
                </c:pt>
                <c:pt idx="734">
                  <c:v>15.553628344151203</c:v>
                </c:pt>
                <c:pt idx="735">
                  <c:v>15.489948496634881</c:v>
                </c:pt>
                <c:pt idx="736">
                  <c:v>15.42657168130377</c:v>
                </c:pt>
                <c:pt idx="737">
                  <c:v>15.363496362457063</c:v>
                </c:pt>
                <c:pt idx="738">
                  <c:v>15.300721012601013</c:v>
                </c:pt>
                <c:pt idx="739">
                  <c:v>15.238244112401908</c:v>
                </c:pt>
                <c:pt idx="740">
                  <c:v>15.176064150639263</c:v>
                </c:pt>
                <c:pt idx="741">
                  <c:v>15.114179624159306</c:v>
                </c:pt>
                <c:pt idx="742">
                  <c:v>15.052589037828891</c:v>
                </c:pt>
                <c:pt idx="743">
                  <c:v>14.99129090448946</c:v>
                </c:pt>
                <c:pt idx="744">
                  <c:v>14.930283744911605</c:v>
                </c:pt>
                <c:pt idx="745">
                  <c:v>14.869566087749636</c:v>
                </c:pt>
                <c:pt idx="746">
                  <c:v>14.8091364694966</c:v>
                </c:pt>
                <c:pt idx="747">
                  <c:v>14.748993434439612</c:v>
                </c:pt>
                <c:pt idx="748">
                  <c:v>14.689135534615309</c:v>
                </c:pt>
                <c:pt idx="749">
                  <c:v>14.629561329765778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21-4875-B88C-B488B95351CA}"/>
            </c:ext>
          </c:extLst>
        </c:ser>
        <c:ser>
          <c:idx val="2"/>
          <c:order val="2"/>
          <c:tx>
            <c:strRef>
              <c:f>'sheet 1'!$P$38</c:f>
              <c:strCache>
                <c:ptCount val="1"/>
                <c:pt idx="0">
                  <c:v>I1</c:v>
                </c:pt>
              </c:strCache>
            </c:strRef>
          </c:tx>
          <c:spPr>
            <a:ln w="19050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'sheet 1'!$B$39:$B$841</c:f>
              <c:numCache>
                <c:formatCode>General</c:formatCode>
                <c:ptCount val="803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</c:numCache>
            </c:numRef>
          </c:xVal>
          <c:yVal>
            <c:numRef>
              <c:f>'sheet 1'!$P$39:$P$841</c:f>
              <c:numCache>
                <c:formatCode>General</c:formatCode>
                <c:ptCount val="803"/>
                <c:pt idx="0">
                  <c:v>1513.2906823416856</c:v>
                </c:pt>
                <c:pt idx="1">
                  <c:v>1465.3914653734071</c:v>
                </c:pt>
                <c:pt idx="2">
                  <c:v>1419.5479258278804</c:v>
                </c:pt>
                <c:pt idx="3">
                  <c:v>1375.6517142244884</c:v>
                </c:pt>
                <c:pt idx="4">
                  <c:v>1333.6011206732351</c:v>
                </c:pt>
                <c:pt idx="5">
                  <c:v>1293.3006184923936</c:v>
                </c:pt>
                <c:pt idx="6">
                  <c:v>1254.6604420966351</c:v>
                </c:pt>
                <c:pt idx="7">
                  <c:v>1217.5961964045373</c:v>
                </c:pt>
                <c:pt idx="8">
                  <c:v>1182.0284952458139</c:v>
                </c:pt>
                <c:pt idx="9">
                  <c:v>1147.8826264600318</c:v>
                </c:pt>
                <c:pt idx="10">
                  <c:v>1115.0882415717924</c:v>
                </c:pt>
                <c:pt idx="11">
                  <c:v>1083.5790681038889</c:v>
                </c:pt>
                <c:pt idx="12">
                  <c:v>1053.2926427512466</c:v>
                </c:pt>
                <c:pt idx="13">
                  <c:v>1024.1700637858846</c:v>
                </c:pt>
                <c:pt idx="14">
                  <c:v>996.15576119784589</c:v>
                </c:pt>
                <c:pt idx="15">
                  <c:v>969.19728320019726</c:v>
                </c:pt>
                <c:pt idx="16">
                  <c:v>943.24509783879626</c:v>
                </c:pt>
                <c:pt idx="17">
                  <c:v>918.25240855045877</c:v>
                </c:pt>
                <c:pt idx="18">
                  <c:v>894.17498260732214</c:v>
                </c:pt>
                <c:pt idx="19">
                  <c:v>870.97099147133224</c:v>
                </c:pt>
                <c:pt idx="20">
                  <c:v>848.60086216159584</c:v>
                </c:pt>
                <c:pt idx="21">
                  <c:v>827.02713880946942</c:v>
                </c:pt>
                <c:pt idx="22">
                  <c:v>806.21435364230899</c:v>
                </c:pt>
                <c:pt idx="23">
                  <c:v>786.12890669726812</c:v>
                </c:pt>
                <c:pt idx="24">
                  <c:v>766.73895362195003</c:v>
                </c:pt>
                <c:pt idx="25">
                  <c:v>748.01430096947649</c:v>
                </c:pt>
                <c:pt idx="26">
                  <c:v>729.92630844207952</c:v>
                </c:pt>
                <c:pt idx="27">
                  <c:v>712.44779757999379</c:v>
                </c:pt>
                <c:pt idx="28">
                  <c:v>695.55296643157124</c:v>
                </c:pt>
                <c:pt idx="29">
                  <c:v>679.21730977646189</c:v>
                </c:pt>
                <c:pt idx="30">
                  <c:v>663.41754450666372</c:v>
                </c:pt>
                <c:pt idx="31">
                  <c:v>648.13153980054005</c:v>
                </c:pt>
                <c:pt idx="32">
                  <c:v>633.33825175270272</c:v>
                </c:pt>
                <c:pt idx="33">
                  <c:v>619.01766214822032</c:v>
                </c:pt>
                <c:pt idx="34">
                  <c:v>605.15072109312143</c:v>
                </c:pt>
                <c:pt idx="35">
                  <c:v>591.71929323475217</c:v>
                </c:pt>
                <c:pt idx="36">
                  <c:v>578.70610732545936</c:v>
                </c:pt>
                <c:pt idx="37">
                  <c:v>566.09470890134185</c:v>
                </c:pt>
                <c:pt idx="38">
                  <c:v>553.8694158646922</c:v>
                </c:pt>
                <c:pt idx="39">
                  <c:v>542.01527677425418</c:v>
                </c:pt>
                <c:pt idx="40">
                  <c:v>530.51803166173727</c:v>
                </c:pt>
                <c:pt idx="41">
                  <c:v>519.36407520621594</c:v>
                </c:pt>
                <c:pt idx="42">
                  <c:v>508.54042211020459</c:v>
                </c:pt>
                <c:pt idx="43">
                  <c:v>498.03467453242121</c:v>
                </c:pt>
                <c:pt idx="44">
                  <c:v>487.83499144261572</c:v>
                </c:pt>
                <c:pt idx="45">
                  <c:v>477.93005977340113</c:v>
                </c:pt>
                <c:pt idx="46">
                  <c:v>468.30906725286582</c:v>
                </c:pt>
                <c:pt idx="47">
                  <c:v>458.96167680991533</c:v>
                </c:pt>
                <c:pt idx="48">
                  <c:v>449.87800245183303</c:v>
                </c:pt>
                <c:pt idx="49">
                  <c:v>441.04858652055202</c:v>
                </c:pt>
                <c:pt idx="50">
                  <c:v>432.46437824057358</c:v>
                </c:pt>
                <c:pt idx="51">
                  <c:v>424.11671347746636</c:v>
                </c:pt>
                <c:pt idx="52">
                  <c:v>415.99729563141523</c:v>
                </c:pt>
                <c:pt idx="53">
                  <c:v>408.09817759541886</c:v>
                </c:pt>
                <c:pt idx="54">
                  <c:v>400.41174471250372</c:v>
                </c:pt>
                <c:pt idx="55">
                  <c:v>392.93069867072018</c:v>
                </c:pt>
                <c:pt idx="56">
                  <c:v>385.64804227879256</c:v>
                </c:pt>
                <c:pt idx="57">
                  <c:v>378.55706506908177</c:v>
                </c:pt>
                <c:pt idx="58">
                  <c:v>371.65132967805147</c:v>
                </c:pt>
                <c:pt idx="59">
                  <c:v>364.92465895769908</c:v>
                </c:pt>
                <c:pt idx="60">
                  <c:v>358.37112377445783</c:v>
                </c:pt>
                <c:pt idx="61">
                  <c:v>351.98503145490332</c:v>
                </c:pt>
                <c:pt idx="62">
                  <c:v>345.76091484022072</c:v>
                </c:pt>
                <c:pt idx="63">
                  <c:v>339.69352191384797</c:v>
                </c:pt>
                <c:pt idx="64">
                  <c:v>333.77780596896991</c:v>
                </c:pt>
                <c:pt idx="65">
                  <c:v>328.00891628466923</c:v>
                </c:pt>
                <c:pt idx="66">
                  <c:v>322.38218928150468</c:v>
                </c:pt>
                <c:pt idx="67">
                  <c:v>316.89314012913275</c:v>
                </c:pt>
                <c:pt idx="68">
                  <c:v>311.53745478029293</c:v>
                </c:pt>
                <c:pt idx="69">
                  <c:v>306.31098240708167</c:v>
                </c:pt>
                <c:pt idx="70">
                  <c:v>301.20972821692334</c:v>
                </c:pt>
                <c:pt idx="71">
                  <c:v>296.22984662704363</c:v>
                </c:pt>
                <c:pt idx="72">
                  <c:v>291.36763477753914</c:v>
                </c:pt>
                <c:pt idx="73">
                  <c:v>286.6195263643541</c:v>
                </c:pt>
                <c:pt idx="74">
                  <c:v>281.98208577460639</c:v>
                </c:pt>
                <c:pt idx="75">
                  <c:v>277.45200250775883</c:v>
                </c:pt>
                <c:pt idx="76">
                  <c:v>273.0260858671225</c:v>
                </c:pt>
                <c:pt idx="77">
                  <c:v>268.70125990710233</c:v>
                </c:pt>
                <c:pt idx="78">
                  <c:v>264.47455862245738</c:v>
                </c:pt>
                <c:pt idx="79">
                  <c:v>260.34312136666256</c:v>
                </c:pt>
                <c:pt idx="80">
                  <c:v>256.30418848720723</c:v>
                </c:pt>
                <c:pt idx="81">
                  <c:v>252.35509716638262</c:v>
                </c:pt>
                <c:pt idx="82">
                  <c:v>248.49327745677132</c:v>
                </c:pt>
                <c:pt idx="83">
                  <c:v>244.716248501271</c:v>
                </c:pt>
                <c:pt idx="84">
                  <c:v>241.02161492807366</c:v>
                </c:pt>
                <c:pt idx="85">
                  <c:v>237.40706341156479</c:v>
                </c:pt>
                <c:pt idx="86">
                  <c:v>233.87035939062045</c:v>
                </c:pt>
                <c:pt idx="87">
                  <c:v>230.40934393626156</c:v>
                </c:pt>
                <c:pt idx="88">
                  <c:v>227.0219307610781</c:v>
                </c:pt>
                <c:pt idx="89">
                  <c:v>223.70610336325657</c:v>
                </c:pt>
                <c:pt idx="90">
                  <c:v>220.45991229844773</c:v>
                </c:pt>
                <c:pt idx="91">
                  <c:v>217.28147257307816</c:v>
                </c:pt>
                <c:pt idx="92">
                  <c:v>214.16896115307225</c:v>
                </c:pt>
                <c:pt idx="93">
                  <c:v>211.12061458226816</c:v>
                </c:pt>
                <c:pt idx="94">
                  <c:v>208.13472670513499</c:v>
                </c:pt>
                <c:pt idx="95">
                  <c:v>205.20964648868193</c:v>
                </c:pt>
                <c:pt idx="96">
                  <c:v>202.34377593873211</c:v>
                </c:pt>
                <c:pt idx="97">
                  <c:v>199.53556810598639</c:v>
                </c:pt>
                <c:pt idx="98">
                  <c:v>196.78352517755334</c:v>
                </c:pt>
                <c:pt idx="99">
                  <c:v>194.0861966498446</c:v>
                </c:pt>
                <c:pt idx="100">
                  <c:v>191.44217757895808</c:v>
                </c:pt>
                <c:pt idx="101">
                  <c:v>188.85010690486936</c:v>
                </c:pt>
                <c:pt idx="102">
                  <c:v>186.3086658459485</c:v>
                </c:pt>
                <c:pt idx="103">
                  <c:v>183.81657636049911</c:v>
                </c:pt>
                <c:pt idx="104">
                  <c:v>181.37259967218608</c:v>
                </c:pt>
                <c:pt idx="105">
                  <c:v>178.97553485638383</c:v>
                </c:pt>
                <c:pt idx="106">
                  <c:v>176.62421748462523</c:v>
                </c:pt>
                <c:pt idx="107">
                  <c:v>174.31751832447793</c:v>
                </c:pt>
                <c:pt idx="108">
                  <c:v>172.05434209230864</c:v>
                </c:pt>
                <c:pt idx="109">
                  <c:v>169.83362625652592</c:v>
                </c:pt>
                <c:pt idx="110">
                  <c:v>167.65433988901256</c:v>
                </c:pt>
                <c:pt idx="111">
                  <c:v>165.51548256257314</c:v>
                </c:pt>
                <c:pt idx="112">
                  <c:v>163.41608329233051</c:v>
                </c:pt>
                <c:pt idx="113">
                  <c:v>161.35519951910831</c:v>
                </c:pt>
                <c:pt idx="114">
                  <c:v>159.33191613293141</c:v>
                </c:pt>
                <c:pt idx="115">
                  <c:v>157.3453445348716</c:v>
                </c:pt>
                <c:pt idx="116">
                  <c:v>155.39462173554821</c:v>
                </c:pt>
                <c:pt idx="117">
                  <c:v>153.47890948867803</c:v>
                </c:pt>
                <c:pt idx="118">
                  <c:v>151.59739345814759</c:v>
                </c:pt>
                <c:pt idx="119">
                  <c:v>149.74928241715079</c:v>
                </c:pt>
                <c:pt idx="120">
                  <c:v>147.93380747800873</c:v>
                </c:pt>
                <c:pt idx="121">
                  <c:v>146.15022135135263</c:v>
                </c:pt>
                <c:pt idx="122">
                  <c:v>144.39779763341261</c:v>
                </c:pt>
                <c:pt idx="123">
                  <c:v>142.67583012021768</c:v>
                </c:pt>
                <c:pt idx="124">
                  <c:v>140.98363214756381</c:v>
                </c:pt>
                <c:pt idx="125">
                  <c:v>139.32053595566626</c:v>
                </c:pt>
                <c:pt idx="126">
                  <c:v>137.68589207745717</c:v>
                </c:pt>
                <c:pt idx="127">
                  <c:v>136.07906874954193</c:v>
                </c:pt>
                <c:pt idx="128">
                  <c:v>134.49945134487186</c:v>
                </c:pt>
                <c:pt idx="129">
                  <c:v>132.94644182623333</c:v>
                </c:pt>
                <c:pt idx="130">
                  <c:v>131.41945821969563</c:v>
                </c:pt>
                <c:pt idx="131">
                  <c:v>129.91793410720001</c:v>
                </c:pt>
                <c:pt idx="132">
                  <c:v>128.44131813750644</c:v>
                </c:pt>
                <c:pt idx="133">
                  <c:v>126.98907355475384</c:v>
                </c:pt>
                <c:pt idx="134">
                  <c:v>125.56067774391882</c:v>
                </c:pt>
                <c:pt idx="135">
                  <c:v>124.15562179249467</c:v>
                </c:pt>
                <c:pt idx="136">
                  <c:v>122.7734100677383</c:v>
                </c:pt>
                <c:pt idx="137">
                  <c:v>121.41355980886463</c:v>
                </c:pt>
                <c:pt idx="138">
                  <c:v>120.07560073359389</c:v>
                </c:pt>
                <c:pt idx="139">
                  <c:v>118.75907465848415</c:v>
                </c:pt>
                <c:pt idx="140">
                  <c:v>117.46353513250649</c:v>
                </c:pt>
                <c:pt idx="141">
                  <c:v>116.18854708334254</c:v>
                </c:pt>
                <c:pt idx="142">
                  <c:v>114.93368647590856</c:v>
                </c:pt>
                <c:pt idx="143">
                  <c:v>113.69853998263044</c:v>
                </c:pt>
                <c:pt idx="144">
                  <c:v>112.48270466501461</c:v>
                </c:pt>
                <c:pt idx="145">
                  <c:v>111.2857876660801</c:v>
                </c:pt>
                <c:pt idx="146">
                  <c:v>110.10740591323462</c:v>
                </c:pt>
                <c:pt idx="147">
                  <c:v>108.94718583119571</c:v>
                </c:pt>
                <c:pt idx="148">
                  <c:v>107.80476306457548</c:v>
                </c:pt>
                <c:pt idx="149">
                  <c:v>106.67978220976167</c:v>
                </c:pt>
                <c:pt idx="150">
                  <c:v>105.57189655574609</c:v>
                </c:pt>
                <c:pt idx="151">
                  <c:v>104.48076783356319</c:v>
                </c:pt>
                <c:pt idx="152">
                  <c:v>103.40606597401718</c:v>
                </c:pt>
                <c:pt idx="153">
                  <c:v>102.34746887338943</c:v>
                </c:pt>
                <c:pt idx="154">
                  <c:v>101.30466216682993</c:v>
                </c:pt>
                <c:pt idx="155">
                  <c:v>100.27733900914895</c:v>
                </c:pt>
                <c:pt idx="156">
                  <c:v>99.265199862737347</c:v>
                </c:pt>
                <c:pt idx="157">
                  <c:v>98.267952292354124</c:v>
                </c:pt>
                <c:pt idx="158">
                  <c:v>97.285310766531012</c:v>
                </c:pt>
                <c:pt idx="159">
                  <c:v>96.316996465353498</c:v>
                </c:pt>
                <c:pt idx="160">
                  <c:v>95.362737094388322</c:v>
                </c:pt>
                <c:pt idx="161">
                  <c:v>94.422266704535573</c:v>
                </c:pt>
                <c:pt idx="162">
                  <c:v>93.495325517593017</c:v>
                </c:pt>
                <c:pt idx="163">
                  <c:v>92.581659757329135</c:v>
                </c:pt>
                <c:pt idx="164">
                  <c:v>91.681021485867632</c:v>
                </c:pt>
                <c:pt idx="165">
                  <c:v>90.793168445196983</c:v>
                </c:pt>
                <c:pt idx="166">
                  <c:v>89.917863903622916</c:v>
                </c:pt>
                <c:pt idx="167">
                  <c:v>89.054876506990098</c:v>
                </c:pt>
                <c:pt idx="168">
                  <c:v>88.203980134507233</c:v>
                </c:pt>
                <c:pt idx="169">
                  <c:v>87.364953759013602</c:v>
                </c:pt>
                <c:pt idx="170">
                  <c:v>86.537581311534069</c:v>
                </c:pt>
                <c:pt idx="171">
                  <c:v>85.721651549973515</c:v>
                </c:pt>
                <c:pt idx="172">
                  <c:v>84.916957931808199</c:v>
                </c:pt>
                <c:pt idx="173">
                  <c:v>84.123298490636884</c:v>
                </c:pt>
                <c:pt idx="174">
                  <c:v>83.340475716460531</c:v>
                </c:pt>
                <c:pt idx="175">
                  <c:v>82.568296439562303</c:v>
                </c:pt>
                <c:pt idx="176">
                  <c:v>81.806571717866817</c:v>
                </c:pt>
                <c:pt idx="177">
                  <c:v>81.05511672766059</c:v>
                </c:pt>
                <c:pt idx="178">
                  <c:v>80.313750657561215</c:v>
                </c:pt>
                <c:pt idx="179">
                  <c:v>79.582296605625231</c:v>
                </c:pt>
                <c:pt idx="180">
                  <c:v>78.860581479491429</c:v>
                </c:pt>
                <c:pt idx="181">
                  <c:v>78.148435899456828</c:v>
                </c:pt>
                <c:pt idx="182">
                  <c:v>77.445694104389858</c:v>
                </c:pt>
                <c:pt idx="183">
                  <c:v>76.752193860386114</c:v>
                </c:pt>
                <c:pt idx="184">
                  <c:v>76.067776372076437</c:v>
                </c:pt>
                <c:pt idx="185">
                  <c:v>75.392286196501075</c:v>
                </c:pt>
                <c:pt idx="186">
                  <c:v>74.725571159465744</c:v>
                </c:pt>
                <c:pt idx="187">
                  <c:v>74.067482274298627</c:v>
                </c:pt>
                <c:pt idx="188">
                  <c:v>73.417873662931584</c:v>
                </c:pt>
                <c:pt idx="189">
                  <c:v>72.776602479228927</c:v>
                </c:pt>
                <c:pt idx="190">
                  <c:v>72.143528834493267</c:v>
                </c:pt>
                <c:pt idx="191">
                  <c:v>71.518515725077563</c:v>
                </c:pt>
                <c:pt idx="192">
                  <c:v>70.901428962036206</c:v>
                </c:pt>
                <c:pt idx="193">
                  <c:v>70.292137102751084</c:v>
                </c:pt>
                <c:pt idx="194">
                  <c:v>69.690511384468991</c:v>
                </c:pt>
                <c:pt idx="195">
                  <c:v>69.096425659691121</c:v>
                </c:pt>
                <c:pt idx="196">
                  <c:v>68.509756333355568</c:v>
                </c:pt>
                <c:pt idx="197">
                  <c:v>67.930382301757135</c:v>
                </c:pt>
                <c:pt idx="198">
                  <c:v>67.358184893149684</c:v>
                </c:pt>
                <c:pt idx="199">
                  <c:v>66.793047809979811</c:v>
                </c:pt>
                <c:pt idx="200">
                  <c:v>66.234857072699853</c:v>
                </c:pt>
                <c:pt idx="201">
                  <c:v>65.683500965112287</c:v>
                </c:pt>
                <c:pt idx="202">
                  <c:v>65.138869981198468</c:v>
                </c:pt>
                <c:pt idx="203">
                  <c:v>64.600856773385814</c:v>
                </c:pt>
                <c:pt idx="204">
                  <c:v>64.069356102209468</c:v>
                </c:pt>
                <c:pt idx="205">
                  <c:v>63.544264787326604</c:v>
                </c:pt>
                <c:pt idx="206">
                  <c:v>63.025481659841368</c:v>
                </c:pt>
                <c:pt idx="207">
                  <c:v>62.512907515901745</c:v>
                </c:pt>
                <c:pt idx="208">
                  <c:v>62.006445071529456</c:v>
                </c:pt>
                <c:pt idx="209">
                  <c:v>61.505998918646085</c:v>
                </c:pt>
                <c:pt idx="210">
                  <c:v>61.011475482259698</c:v>
                </c:pt>
                <c:pt idx="211">
                  <c:v>60.522782978777137</c:v>
                </c:pt>
                <c:pt idx="212">
                  <c:v>60.039831375408866</c:v>
                </c:pt>
                <c:pt idx="213">
                  <c:v>59.562532350633788</c:v>
                </c:pt>
                <c:pt idx="214">
                  <c:v>59.090799255692716</c:v>
                </c:pt>
                <c:pt idx="215">
                  <c:v>58.624547077080599</c:v>
                </c:pt>
                <c:pt idx="216">
                  <c:v>58.163692400007783</c:v>
                </c:pt>
                <c:pt idx="217">
                  <c:v>57.708153372802272</c:v>
                </c:pt>
                <c:pt idx="218">
                  <c:v>57.257849672225788</c:v>
                </c:pt>
                <c:pt idx="219">
                  <c:v>56.812702469676537</c:v>
                </c:pt>
                <c:pt idx="220">
                  <c:v>56.372634398253773</c:v>
                </c:pt>
                <c:pt idx="221">
                  <c:v>55.937569520658698</c:v>
                </c:pt>
                <c:pt idx="222">
                  <c:v>55.507433297908143</c:v>
                </c:pt>
                <c:pt idx="223">
                  <c:v>55.082152558837592</c:v>
                </c:pt>
                <c:pt idx="224">
                  <c:v>54.66165547037086</c:v>
                </c:pt>
                <c:pt idx="225">
                  <c:v>54.245871508535174</c:v>
                </c:pt>
                <c:pt idx="226">
                  <c:v>53.834731430199739</c:v>
                </c:pt>
                <c:pt idx="227">
                  <c:v>53.428167245518111</c:v>
                </c:pt>
                <c:pt idx="228">
                  <c:v>53.026112191054303</c:v>
                </c:pt>
                <c:pt idx="229">
                  <c:v>52.628500703573145</c:v>
                </c:pt>
                <c:pt idx="230">
                  <c:v>52.235268394476812</c:v>
                </c:pt>
                <c:pt idx="231">
                  <c:v>51.846352024869205</c:v>
                </c:pt>
                <c:pt idx="232">
                  <c:v>51.461689481230927</c:v>
                </c:pt>
                <c:pt idx="233">
                  <c:v>51.081219751687648</c:v>
                </c:pt>
                <c:pt idx="234">
                  <c:v>50.704882902855879</c:v>
                </c:pt>
                <c:pt idx="235">
                  <c:v>50.332620057250089</c:v>
                </c:pt>
                <c:pt idx="236">
                  <c:v>49.964373371235709</c:v>
                </c:pt>
                <c:pt idx="237">
                  <c:v>49.600086013513078</c:v>
                </c:pt>
                <c:pt idx="238">
                  <c:v>49.239702144118141</c:v>
                </c:pt>
                <c:pt idx="239">
                  <c:v>48.883166893925626</c:v>
                </c:pt>
                <c:pt idx="240">
                  <c:v>48.530426344641015</c:v>
                </c:pt>
                <c:pt idx="241">
                  <c:v>48.181427509268545</c:v>
                </c:pt>
                <c:pt idx="242">
                  <c:v>47.836118313041737</c:v>
                </c:pt>
                <c:pt idx="243">
                  <c:v>47.494447574804937</c:v>
                </c:pt>
                <c:pt idx="244">
                  <c:v>47.156364988832983</c:v>
                </c:pt>
                <c:pt idx="245">
                  <c:v>46.821821107077888</c:v>
                </c:pt>
                <c:pt idx="246">
                  <c:v>46.49076732183088</c:v>
                </c:pt>
                <c:pt idx="247">
                  <c:v>46.163155848788925</c:v>
                </c:pt>
                <c:pt idx="248">
                  <c:v>45.838939710515184</c:v>
                </c:pt>
                <c:pt idx="249">
                  <c:v>45.518072720282724</c:v>
                </c:pt>
                <c:pt idx="250">
                  <c:v>45.20050946629172</c:v>
                </c:pt>
                <c:pt idx="251">
                  <c:v>44.886205296250203</c:v>
                </c:pt>
                <c:pt idx="252">
                  <c:v>44.57511630230897</c:v>
                </c:pt>
                <c:pt idx="253">
                  <c:v>44.267199306341503</c:v>
                </c:pt>
                <c:pt idx="254">
                  <c:v>43.962411845559664</c:v>
                </c:pt>
                <c:pt idx="255">
                  <c:v>43.660712158457009</c:v>
                </c:pt>
                <c:pt idx="256">
                  <c:v>43.362059171070655</c:v>
                </c:pt>
                <c:pt idx="257">
                  <c:v>43.066412483554153</c:v>
                </c:pt>
                <c:pt idx="258">
                  <c:v>42.773732357052857</c:v>
                </c:pt>
                <c:pt idx="259">
                  <c:v>42.483979700874443</c:v>
                </c:pt>
                <c:pt idx="260">
                  <c:v>42.1971160599469</c:v>
                </c:pt>
                <c:pt idx="261">
                  <c:v>41.913103602556795</c:v>
                </c:pt>
                <c:pt idx="262">
                  <c:v>41.631905108360563</c:v>
                </c:pt>
                <c:pt idx="263">
                  <c:v>41.353483956662117</c:v>
                </c:pt>
                <c:pt idx="264">
                  <c:v>41.077804114949963</c:v>
                </c:pt>
                <c:pt idx="265">
                  <c:v>40.804830127687474</c:v>
                </c:pt>
                <c:pt idx="266">
                  <c:v>40.53452710534971</c:v>
                </c:pt>
                <c:pt idx="267">
                  <c:v>40.266860713700922</c:v>
                </c:pt>
                <c:pt idx="268">
                  <c:v>40.001797163306641</c:v>
                </c:pt>
                <c:pt idx="269">
                  <c:v>39.739303199274467</c:v>
                </c:pt>
                <c:pt idx="270">
                  <c:v>39.479346091218211</c:v>
                </c:pt>
                <c:pt idx="271">
                  <c:v>39.221893623439385</c:v>
                </c:pt>
                <c:pt idx="272">
                  <c:v>38.966914085321157</c:v>
                </c:pt>
                <c:pt idx="273">
                  <c:v>38.714376261929424</c:v>
                </c:pt>
                <c:pt idx="274">
                  <c:v>38.464249424815812</c:v>
                </c:pt>
                <c:pt idx="275">
                  <c:v>38.216503323017918</c:v>
                </c:pt>
                <c:pt idx="276">
                  <c:v>37.971108174251761</c:v>
                </c:pt>
                <c:pt idx="277">
                  <c:v>37.728034656292031</c:v>
                </c:pt>
                <c:pt idx="278">
                  <c:v>37.487253898535442</c:v>
                </c:pt>
                <c:pt idx="279">
                  <c:v>37.248737473742793</c:v>
                </c:pt>
                <c:pt idx="280">
                  <c:v>37.012457389955578</c:v>
                </c:pt>
                <c:pt idx="281">
                  <c:v>36.778386082582784</c:v>
                </c:pt>
                <c:pt idx="282">
                  <c:v>36.546496406653972</c:v>
                </c:pt>
                <c:pt idx="283">
                  <c:v>36.31676162923457</c:v>
                </c:pt>
                <c:pt idx="284">
                  <c:v>36.089155421999607</c:v>
                </c:pt>
                <c:pt idx="285">
                  <c:v>35.863651853962118</c:v>
                </c:pt>
                <c:pt idx="286">
                  <c:v>35.640225384352625</c:v>
                </c:pt>
                <c:pt idx="287">
                  <c:v>35.41885085564585</c:v>
                </c:pt>
                <c:pt idx="288">
                  <c:v>35.199503486731793</c:v>
                </c:pt>
                <c:pt idx="289">
                  <c:v>34.982158866227095</c:v>
                </c:pt>
                <c:pt idx="290">
                  <c:v>34.766792945924003</c:v>
                </c:pt>
                <c:pt idx="291">
                  <c:v>34.553382034373392</c:v>
                </c:pt>
                <c:pt idx="292">
                  <c:v>34.341902790598787</c:v>
                </c:pt>
                <c:pt idx="293">
                  <c:v>34.132332217938504</c:v>
                </c:pt>
                <c:pt idx="294">
                  <c:v>33.924647658012759</c:v>
                </c:pt>
                <c:pt idx="295">
                  <c:v>33.718826784813047</c:v>
                </c:pt>
                <c:pt idx="296">
                  <c:v>33.514847598910826</c:v>
                </c:pt>
                <c:pt idx="297">
                  <c:v>33.312688421782823</c:v>
                </c:pt>
                <c:pt idx="298">
                  <c:v>33.112327890250462</c:v>
                </c:pt>
                <c:pt idx="299">
                  <c:v>32.913744951030544</c:v>
                </c:pt>
                <c:pt idx="300">
                  <c:v>32.716918855394788</c:v>
                </c:pt>
                <c:pt idx="301">
                  <c:v>32.521829153935911</c:v>
                </c:pt>
                <c:pt idx="302">
                  <c:v>32.328455691437497</c:v>
                </c:pt>
                <c:pt idx="303">
                  <c:v>32.136778601845727</c:v>
                </c:pt>
                <c:pt idx="304">
                  <c:v>31.94677830334027</c:v>
                </c:pt>
                <c:pt idx="305">
                  <c:v>31.758435493502503</c:v>
                </c:pt>
                <c:pt idx="306">
                  <c:v>31.571731144578607</c:v>
                </c:pt>
                <c:pt idx="307">
                  <c:v>31.386646498835525</c:v>
                </c:pt>
                <c:pt idx="308">
                  <c:v>31.203163064007704</c:v>
                </c:pt>
                <c:pt idx="309">
                  <c:v>31.021262608832675</c:v>
                </c:pt>
                <c:pt idx="310">
                  <c:v>30.840927158673409</c:v>
                </c:pt>
                <c:pt idx="311">
                  <c:v>30.6621389912256</c:v>
                </c:pt>
                <c:pt idx="312">
                  <c:v>30.484880632307949</c:v>
                </c:pt>
                <c:pt idx="313">
                  <c:v>30.309134851733734</c:v>
                </c:pt>
                <c:pt idx="314">
                  <c:v>30.134884659261729</c:v>
                </c:pt>
                <c:pt idx="315">
                  <c:v>29.962113300624942</c:v>
                </c:pt>
                <c:pt idx="316">
                  <c:v>29.790804253635276</c:v>
                </c:pt>
                <c:pt idx="317">
                  <c:v>29.620941224362625</c:v>
                </c:pt>
                <c:pt idx="318">
                  <c:v>29.452508143386677</c:v>
                </c:pt>
                <c:pt idx="319">
                  <c:v>29.285489162119912</c:v>
                </c:pt>
                <c:pt idx="320">
                  <c:v>29.119868649200338</c:v>
                </c:pt>
                <c:pt idx="321">
                  <c:v>28.955631186952264</c:v>
                </c:pt>
                <c:pt idx="322">
                  <c:v>28.792761567913853</c:v>
                </c:pt>
                <c:pt idx="323">
                  <c:v>28.631244791429896</c:v>
                </c:pt>
                <c:pt idx="324">
                  <c:v>28.471066060308516</c:v>
                </c:pt>
                <c:pt idx="325">
                  <c:v>28.312210777540407</c:v>
                </c:pt>
                <c:pt idx="326">
                  <c:v>28.154664543079168</c:v>
                </c:pt>
                <c:pt idx="327">
                  <c:v>27.998413150681706</c:v>
                </c:pt>
                <c:pt idx="328">
                  <c:v>27.843442584807043</c:v>
                </c:pt>
                <c:pt idx="329">
                  <c:v>27.689739017572858</c:v>
                </c:pt>
                <c:pt idx="330">
                  <c:v>27.537288805767897</c:v>
                </c:pt>
                <c:pt idx="331">
                  <c:v>27.386078487919608</c:v>
                </c:pt>
                <c:pt idx="332">
                  <c:v>27.236094781415609</c:v>
                </c:pt>
                <c:pt idx="333">
                  <c:v>27.087324579677851</c:v>
                </c:pt>
                <c:pt idx="334">
                  <c:v>26.939754949388533</c:v>
                </c:pt>
                <c:pt idx="335">
                  <c:v>26.793373127766486</c:v>
                </c:pt>
                <c:pt idx="336">
                  <c:v>26.648166519893227</c:v>
                </c:pt>
                <c:pt idx="337">
                  <c:v>26.504122696087414</c:v>
                </c:pt>
                <c:pt idx="338">
                  <c:v>26.361229389326848</c:v>
                </c:pt>
                <c:pt idx="339">
                  <c:v>26.219474492717101</c:v>
                </c:pt>
                <c:pt idx="340">
                  <c:v>26.078846057005606</c:v>
                </c:pt>
                <c:pt idx="341">
                  <c:v>25.939332288140509</c:v>
                </c:pt>
                <c:pt idx="342">
                  <c:v>25.800921544873184</c:v>
                </c:pt>
                <c:pt idx="343">
                  <c:v>25.663602336403677</c:v>
                </c:pt>
                <c:pt idx="344">
                  <c:v>25.527363320068115</c:v>
                </c:pt>
                <c:pt idx="345">
                  <c:v>25.392193299067223</c:v>
                </c:pt>
                <c:pt idx="346">
                  <c:v>25.258081220235216</c:v>
                </c:pt>
                <c:pt idx="347">
                  <c:v>25.125016171848138</c:v>
                </c:pt>
                <c:pt idx="348">
                  <c:v>24.992987381470886</c:v>
                </c:pt>
                <c:pt idx="349">
                  <c:v>24.861984213842266</c:v>
                </c:pt>
                <c:pt idx="350">
                  <c:v>24.731996168797092</c:v>
                </c:pt>
                <c:pt idx="351">
                  <c:v>24.603012879224814</c:v>
                </c:pt>
                <c:pt idx="352">
                  <c:v>24.475024109063813</c:v>
                </c:pt>
                <c:pt idx="353">
                  <c:v>24.348019751330646</c:v>
                </c:pt>
                <c:pt idx="354">
                  <c:v>24.221989826183709</c:v>
                </c:pt>
                <c:pt idx="355">
                  <c:v>24.096924479020426</c:v>
                </c:pt>
                <c:pt idx="356">
                  <c:v>23.972813978607448</c:v>
                </c:pt>
                <c:pt idx="357">
                  <c:v>23.849648715243145</c:v>
                </c:pt>
                <c:pt idx="358">
                  <c:v>23.727419198951786</c:v>
                </c:pt>
                <c:pt idx="359">
                  <c:v>23.606116057708842</c:v>
                </c:pt>
                <c:pt idx="360">
                  <c:v>23.485730035696612</c:v>
                </c:pt>
                <c:pt idx="361">
                  <c:v>23.366251991589856</c:v>
                </c:pt>
                <c:pt idx="362">
                  <c:v>23.247672896870625</c:v>
                </c:pt>
                <c:pt idx="363">
                  <c:v>23.129983834171796</c:v>
                </c:pt>
                <c:pt idx="364">
                  <c:v>23.013175995648865</c:v>
                </c:pt>
                <c:pt idx="365">
                  <c:v>22.897240681379241</c:v>
                </c:pt>
                <c:pt idx="366">
                  <c:v>22.782169297788695</c:v>
                </c:pt>
                <c:pt idx="367">
                  <c:v>22.667953356104348</c:v>
                </c:pt>
                <c:pt idx="368">
                  <c:v>22.554584470833717</c:v>
                </c:pt>
                <c:pt idx="369">
                  <c:v>22.442054358269342</c:v>
                </c:pt>
                <c:pt idx="370">
                  <c:v>22.330354835018451</c:v>
                </c:pt>
                <c:pt idx="371">
                  <c:v>22.21947781655723</c:v>
                </c:pt>
                <c:pt idx="372">
                  <c:v>22.109415315809255</c:v>
                </c:pt>
                <c:pt idx="373">
                  <c:v>22.000159441747488</c:v>
                </c:pt>
                <c:pt idx="374">
                  <c:v>21.891702398019664</c:v>
                </c:pt>
                <c:pt idx="375">
                  <c:v>21.784036481596306</c:v>
                </c:pt>
                <c:pt idx="376">
                  <c:v>21.677154081441191</c:v>
                </c:pt>
                <c:pt idx="377">
                  <c:v>21.571047677203669</c:v>
                </c:pt>
                <c:pt idx="378">
                  <c:v>21.465709837932607</c:v>
                </c:pt>
                <c:pt idx="379">
                  <c:v>21.361133220811389</c:v>
                </c:pt>
                <c:pt idx="380">
                  <c:v>21.257310569913667</c:v>
                </c:pt>
                <c:pt idx="381">
                  <c:v>21.154234714979445</c:v>
                </c:pt>
                <c:pt idx="382">
                  <c:v>21.051898570211172</c:v>
                </c:pt>
                <c:pt idx="383">
                  <c:v>20.950295133089298</c:v>
                </c:pt>
                <c:pt idx="384">
                  <c:v>20.849417483207294</c:v>
                </c:pt>
                <c:pt idx="385">
                  <c:v>20.749258781125345</c:v>
                </c:pt>
                <c:pt idx="386">
                  <c:v>20.649812267242638</c:v>
                </c:pt>
                <c:pt idx="387">
                  <c:v>20.551071260687898</c:v>
                </c:pt>
                <c:pt idx="388">
                  <c:v>20.453029158227714</c:v>
                </c:pt>
                <c:pt idx="389">
                  <c:v>20.355679433192435</c:v>
                </c:pt>
                <c:pt idx="390">
                  <c:v>20.259015634419271</c:v>
                </c:pt>
                <c:pt idx="391">
                  <c:v>20.163031385212296</c:v>
                </c:pt>
                <c:pt idx="392">
                  <c:v>20.067720382318996</c:v>
                </c:pt>
                <c:pt idx="393">
                  <c:v>19.973076394923208</c:v>
                </c:pt>
                <c:pt idx="394">
                  <c:v>19.879093263653989</c:v>
                </c:pt>
                <c:pt idx="395">
                  <c:v>19.785764899610179</c:v>
                </c:pt>
                <c:pt idx="396">
                  <c:v>19.693085283400443</c:v>
                </c:pt>
                <c:pt idx="397">
                  <c:v>19.601048464198456</c:v>
                </c:pt>
                <c:pt idx="398">
                  <c:v>19.509648558812881</c:v>
                </c:pt>
                <c:pt idx="399">
                  <c:v>19.41887975077212</c:v>
                </c:pt>
                <c:pt idx="400">
                  <c:v>19.328736289423261</c:v>
                </c:pt>
                <c:pt idx="401">
                  <c:v>19.239212489045215</c:v>
                </c:pt>
                <c:pt idx="402">
                  <c:v>19.150302727975639</c:v>
                </c:pt>
                <c:pt idx="403">
                  <c:v>19.062001447751491</c:v>
                </c:pt>
                <c:pt idx="404">
                  <c:v>18.97430315226298</c:v>
                </c:pt>
                <c:pt idx="405">
                  <c:v>18.887202406920558</c:v>
                </c:pt>
                <c:pt idx="406">
                  <c:v>18.800693837834878</c:v>
                </c:pt>
                <c:pt idx="407">
                  <c:v>18.714772131009386</c:v>
                </c:pt>
                <c:pt idx="408">
                  <c:v>18.629432031545303</c:v>
                </c:pt>
                <c:pt idx="409">
                  <c:v>18.544668342858976</c:v>
                </c:pt>
                <c:pt idx="410">
                  <c:v>18.460475925911105</c:v>
                </c:pt>
                <c:pt idx="411">
                  <c:v>18.376849698447813</c:v>
                </c:pt>
                <c:pt idx="412">
                  <c:v>18.29378463425336</c:v>
                </c:pt>
                <c:pt idx="413">
                  <c:v>18.211275762414179</c:v>
                </c:pt>
                <c:pt idx="414">
                  <c:v>18.129318166594167</c:v>
                </c:pt>
                <c:pt idx="415">
                  <c:v>18.047906984320978</c:v>
                </c:pt>
                <c:pt idx="416">
                  <c:v>17.967037406283101</c:v>
                </c:pt>
                <c:pt idx="417">
                  <c:v>17.886704675637571</c:v>
                </c:pt>
                <c:pt idx="418">
                  <c:v>17.806904087328167</c:v>
                </c:pt>
                <c:pt idx="419">
                  <c:v>17.727630987413839</c:v>
                </c:pt>
                <c:pt idx="420">
                  <c:v>17.648880772407242</c:v>
                </c:pt>
                <c:pt idx="421">
                  <c:v>17.570648888623161</c:v>
                </c:pt>
                <c:pt idx="422">
                  <c:v>17.492930831536782</c:v>
                </c:pt>
                <c:pt idx="423">
                  <c:v>17.415722145151388</c:v>
                </c:pt>
                <c:pt idx="424">
                  <c:v>17.339018421375648</c:v>
                </c:pt>
                <c:pt idx="425">
                  <c:v>17.262815299410061</c:v>
                </c:pt>
                <c:pt idx="426">
                  <c:v>17.187108465142529</c:v>
                </c:pt>
                <c:pt idx="427">
                  <c:v>17.111893650552897</c:v>
                </c:pt>
                <c:pt idx="428">
                  <c:v>17.037166633126287</c:v>
                </c:pt>
                <c:pt idx="429">
                  <c:v>16.962923235275095</c:v>
                </c:pt>
                <c:pt idx="430">
                  <c:v>16.889159323769512</c:v>
                </c:pt>
                <c:pt idx="431">
                  <c:v>16.815870809176328</c:v>
                </c:pt>
                <c:pt idx="432">
                  <c:v>16.743053645306112</c:v>
                </c:pt>
                <c:pt idx="433">
                  <c:v>16.670703828668312</c:v>
                </c:pt>
                <c:pt idx="434">
                  <c:v>16.598817397934482</c:v>
                </c:pt>
                <c:pt idx="435">
                  <c:v>16.527390433409177</c:v>
                </c:pt>
                <c:pt idx="436">
                  <c:v>16.456419056508675</c:v>
                </c:pt>
                <c:pt idx="437">
                  <c:v>16.385899429247146</c:v>
                </c:pt>
                <c:pt idx="438">
                  <c:v>16.31582775373036</c:v>
                </c:pt>
                <c:pt idx="439">
                  <c:v>16.24620027165669</c:v>
                </c:pt>
                <c:pt idx="440">
                  <c:v>16.177013263825256</c:v>
                </c:pt>
                <c:pt idx="441">
                  <c:v>16.10826304965126</c:v>
                </c:pt>
                <c:pt idx="442">
                  <c:v>16.039945986688171</c:v>
                </c:pt>
                <c:pt idx="443">
                  <c:v>15.972058470156826</c:v>
                </c:pt>
                <c:pt idx="444">
                  <c:v>15.904596932481297</c:v>
                </c:pt>
                <c:pt idx="445">
                  <c:v>15.837557842831339</c:v>
                </c:pt>
                <c:pt idx="446">
                  <c:v>15.770937706671333</c:v>
                </c:pt>
                <c:pt idx="447">
                  <c:v>15.704733065315768</c:v>
                </c:pt>
                <c:pt idx="448">
                  <c:v>15.638940495490887</c:v>
                </c:pt>
                <c:pt idx="449">
                  <c:v>15.573556608902656</c:v>
                </c:pt>
                <c:pt idx="450">
                  <c:v>15.508578051810819</c:v>
                </c:pt>
                <c:pt idx="451">
                  <c:v>15.44400150460889</c:v>
                </c:pt>
                <c:pt idx="452">
                  <c:v>15.379823681410228</c:v>
                </c:pt>
                <c:pt idx="453">
                  <c:v>15.316041329639715</c:v>
                </c:pt>
                <c:pt idx="454">
                  <c:v>15.252651229631384</c:v>
                </c:pt>
                <c:pt idx="455">
                  <c:v>15.189650194231534</c:v>
                </c:pt>
                <c:pt idx="456">
                  <c:v>15.127035068407425</c:v>
                </c:pt>
                <c:pt idx="457">
                  <c:v>15.064802728861512</c:v>
                </c:pt>
                <c:pt idx="458">
                  <c:v>15.002950083650896</c:v>
                </c:pt>
                <c:pt idx="459">
                  <c:v>14.941474071812266</c:v>
                </c:pt>
                <c:pt idx="460">
                  <c:v>14.880371662991863</c:v>
                </c:pt>
                <c:pt idx="461">
                  <c:v>14.819639857080677</c:v>
                </c:pt>
                <c:pt idx="462">
                  <c:v>14.759275683854625</c:v>
                </c:pt>
                <c:pt idx="463">
                  <c:v>14.699276202619746</c:v>
                </c:pt>
                <c:pt idx="464">
                  <c:v>14.639638501862244</c:v>
                </c:pt>
                <c:pt idx="465">
                  <c:v>14.580359698903333</c:v>
                </c:pt>
                <c:pt idx="466">
                  <c:v>14.521436939558873</c:v>
                </c:pt>
                <c:pt idx="467">
                  <c:v>14.462867397803585</c:v>
                </c:pt>
                <c:pt idx="468">
                  <c:v>14.404648275439913</c:v>
                </c:pt>
                <c:pt idx="469">
                  <c:v>14.34677680177138</c:v>
                </c:pt>
                <c:pt idx="470">
                  <c:v>14.289250233280406</c:v>
                </c:pt>
                <c:pt idx="471">
                  <c:v>14.23206585331047</c:v>
                </c:pt>
                <c:pt idx="472">
                  <c:v>14.175220971752619</c:v>
                </c:pt>
                <c:pt idx="473">
                  <c:v>14.118712924736204</c:v>
                </c:pt>
                <c:pt idx="474">
                  <c:v>14.06253907432378</c:v>
                </c:pt>
                <c:pt idx="475">
                  <c:v>14.006696808210171</c:v>
                </c:pt>
                <c:pt idx="476">
                  <c:v>13.951183539425488</c:v>
                </c:pt>
                <c:pt idx="477">
                  <c:v>13.895996706042268</c:v>
                </c:pt>
                <c:pt idx="478">
                  <c:v>13.841133770886417</c:v>
                </c:pt>
                <c:pt idx="479">
                  <c:v>13.786592221252107</c:v>
                </c:pt>
                <c:pt idx="480">
                  <c:v>13.732369568620435</c:v>
                </c:pt>
                <c:pt idx="481">
                  <c:v>13.67846334838187</c:v>
                </c:pt>
                <c:pt idx="482">
                  <c:v>13.624871119562341</c:v>
                </c:pt>
                <c:pt idx="483">
                  <c:v>13.571590464553005</c:v>
                </c:pt>
                <c:pt idx="484">
                  <c:v>13.518618988843622</c:v>
                </c:pt>
                <c:pt idx="485">
                  <c:v>13.465954320759387</c:v>
                </c:pt>
                <c:pt idx="486">
                  <c:v>13.413594111201311</c:v>
                </c:pt>
                <c:pt idx="487">
                  <c:v>13.361536033389974</c:v>
                </c:pt>
                <c:pt idx="488">
                  <c:v>13.309777782612679</c:v>
                </c:pt>
                <c:pt idx="489">
                  <c:v>13.258317075973924</c:v>
                </c:pt>
                <c:pt idx="490">
                  <c:v>13.207151652149138</c:v>
                </c:pt>
                <c:pt idx="491">
                  <c:v>13.156279271141676</c:v>
                </c:pt>
                <c:pt idx="492">
                  <c:v>13.105697714042904</c:v>
                </c:pt>
                <c:pt idx="493">
                  <c:v>13.055404782795529</c:v>
                </c:pt>
                <c:pt idx="494">
                  <c:v>13.005398299959932</c:v>
                </c:pt>
                <c:pt idx="495">
                  <c:v>12.955676108483557</c:v>
                </c:pt>
                <c:pt idx="496">
                  <c:v>12.906236071473282</c:v>
                </c:pt>
                <c:pt idx="497">
                  <c:v>12.857076071970804</c:v>
                </c:pt>
                <c:pt idx="498">
                  <c:v>12.808194012730787</c:v>
                </c:pt>
                <c:pt idx="499">
                  <c:v>12.759587816002053</c:v>
                </c:pt>
                <c:pt idx="500">
                  <c:v>12.711255423311435</c:v>
                </c:pt>
                <c:pt idx="501">
                  <c:v>12.663194795250501</c:v>
                </c:pt>
                <c:pt idx="502">
                  <c:v>12.615403911264995</c:v>
                </c:pt>
                <c:pt idx="503">
                  <c:v>12.567880769446932</c:v>
                </c:pt>
                <c:pt idx="504">
                  <c:v>12.520623386329449</c:v>
                </c:pt>
                <c:pt idx="505">
                  <c:v>12.473629796684151</c:v>
                </c:pt>
                <c:pt idx="506">
                  <c:v>12.426898053321164</c:v>
                </c:pt>
                <c:pt idx="507">
                  <c:v>12.380426226891636</c:v>
                </c:pt>
                <c:pt idx="508">
                  <c:v>12.334212405692782</c:v>
                </c:pt>
                <c:pt idx="509">
                  <c:v>12.288254695475421</c:v>
                </c:pt>
                <c:pt idx="510">
                  <c:v>12.242551219253913</c:v>
                </c:pt>
                <c:pt idx="511">
                  <c:v>12.197100117118531</c:v>
                </c:pt>
                <c:pt idx="512">
                  <c:v>12.151899546050162</c:v>
                </c:pt>
                <c:pt idx="513">
                  <c:v>12.106947679737358</c:v>
                </c:pt>
                <c:pt idx="514">
                  <c:v>12.062242708395715</c:v>
                </c:pt>
                <c:pt idx="515">
                  <c:v>12.01778283858947</c:v>
                </c:pt>
                <c:pt idx="516">
                  <c:v>11.973566293055351</c:v>
                </c:pt>
                <c:pt idx="517">
                  <c:v>11.929591310528634</c:v>
                </c:pt>
                <c:pt idx="518">
                  <c:v>11.885856145571385</c:v>
                </c:pt>
                <c:pt idx="519">
                  <c:v>11.842359068402793</c:v>
                </c:pt>
                <c:pt idx="520">
                  <c:v>11.799098364731682</c:v>
                </c:pt>
                <c:pt idx="521">
                  <c:v>11.756072335591023</c:v>
                </c:pt>
                <c:pt idx="522">
                  <c:v>11.713279297174594</c:v>
                </c:pt>
                <c:pt idx="523">
                  <c:v>11.670717580675539</c:v>
                </c:pt>
                <c:pt idx="524">
                  <c:v>11.628385532127044</c:v>
                </c:pt>
                <c:pt idx="525">
                  <c:v>11.586281512244899</c:v>
                </c:pt>
                <c:pt idx="526">
                  <c:v>11.544403896272012</c:v>
                </c:pt>
                <c:pt idx="527">
                  <c:v>11.502751073824873</c:v>
                </c:pt>
                <c:pt idx="528">
                  <c:v>11.461321448741812</c:v>
                </c:pt>
                <c:pt idx="529">
                  <c:v>11.420113438933253</c:v>
                </c:pt>
                <c:pt idx="530">
                  <c:v>11.379125476233634</c:v>
                </c:pt>
                <c:pt idx="531">
                  <c:v>11.33835600625531</c:v>
                </c:pt>
                <c:pt idx="532">
                  <c:v>11.297803488244053</c:v>
                </c:pt>
                <c:pt idx="533">
                  <c:v>11.257466394936467</c:v>
                </c:pt>
                <c:pt idx="534">
                  <c:v>11.217343212419051</c:v>
                </c:pt>
                <c:pt idx="535">
                  <c:v>11.177432439988964</c:v>
                </c:pt>
                <c:pt idx="536">
                  <c:v>11.137732590016556</c:v>
                </c:pt>
                <c:pt idx="537">
                  <c:v>11.098242187809435</c:v>
                </c:pt>
                <c:pt idx="538">
                  <c:v>11.058959771478287</c:v>
                </c:pt>
                <c:pt idx="539">
                  <c:v>11.019883891804259</c:v>
                </c:pt>
                <c:pt idx="540">
                  <c:v>10.981013112107933</c:v>
                </c:pt>
                <c:pt idx="541">
                  <c:v>10.942346008119891</c:v>
                </c:pt>
                <c:pt idx="542">
                  <c:v>10.903881167852822</c:v>
                </c:pt>
                <c:pt idx="543">
                  <c:v>10.865617191475138</c:v>
                </c:pt>
                <c:pt idx="544">
                  <c:v>10.827552691186165</c:v>
                </c:pt>
                <c:pt idx="545">
                  <c:v>10.789686291092742</c:v>
                </c:pt>
                <c:pt idx="546">
                  <c:v>10.752016627087318</c:v>
                </c:pt>
                <c:pt idx="547">
                  <c:v>10.714542346727541</c:v>
                </c:pt>
                <c:pt idx="548">
                  <c:v>10.677262109117192</c:v>
                </c:pt>
                <c:pt idx="549">
                  <c:v>10.64017458478861</c:v>
                </c:pt>
                <c:pt idx="550">
                  <c:v>10.603278455586455</c:v>
                </c:pt>
                <c:pt idx="551">
                  <c:v>10.566572414552844</c:v>
                </c:pt>
                <c:pt idx="552">
                  <c:v>10.530055165813902</c:v>
                </c:pt>
                <c:pt idx="553">
                  <c:v>10.493725424467542</c:v>
                </c:pt>
                <c:pt idx="554">
                  <c:v>10.457581916472675</c:v>
                </c:pt>
                <c:pt idx="555">
                  <c:v>10.421623378539625</c:v>
                </c:pt>
                <c:pt idx="556">
                  <c:v>10.385848558021902</c:v>
                </c:pt>
                <c:pt idx="557">
                  <c:v>10.350256212809185</c:v>
                </c:pt>
                <c:pt idx="558">
                  <c:v>10.314845111221576</c:v>
                </c:pt>
                <c:pt idx="559">
                  <c:v>10.279614031905101</c:v>
                </c:pt>
                <c:pt idx="560">
                  <c:v>10.244561763728388</c:v>
                </c:pt>
                <c:pt idx="561">
                  <c:v>10.209687105680585</c:v>
                </c:pt>
                <c:pt idx="562">
                  <c:v>10.174988866770441</c:v>
                </c:pt>
                <c:pt idx="563">
                  <c:v>10.14046586592654</c:v>
                </c:pt>
                <c:pt idx="564">
                  <c:v>10.106116931898738</c:v>
                </c:pt>
                <c:pt idx="565">
                  <c:v>10.071940903160669</c:v>
                </c:pt>
                <c:pt idx="566">
                  <c:v>10.037936627813444</c:v>
                </c:pt>
                <c:pt idx="567">
                  <c:v>10.004102963490389</c:v>
                </c:pt>
                <c:pt idx="568">
                  <c:v>9.9704387772629381</c:v>
                </c:pt>
                <c:pt idx="569">
                  <c:v>9.9369429455475622</c:v>
                </c:pt>
                <c:pt idx="570">
                  <c:v>9.9036143540138024</c:v>
                </c:pt>
                <c:pt idx="571">
                  <c:v>9.8704518974932896</c:v>
                </c:pt>
                <c:pt idx="572">
                  <c:v>9.8374544798898924</c:v>
                </c:pt>
                <c:pt idx="573">
                  <c:v>9.804621014090797</c:v>
                </c:pt>
                <c:pt idx="574">
                  <c:v>9.7719504218786675</c:v>
                </c:pt>
                <c:pt idx="575">
                  <c:v>9.739441633844768</c:v>
                </c:pt>
                <c:pt idx="576">
                  <c:v>9.7070935893030779</c:v>
                </c:pt>
                <c:pt idx="577">
                  <c:v>9.6749052362053938</c:v>
                </c:pt>
                <c:pt idx="578">
                  <c:v>9.6428755310573422</c:v>
                </c:pt>
                <c:pt idx="579">
                  <c:v>9.611003438835418</c:v>
                </c:pt>
                <c:pt idx="580">
                  <c:v>9.579287932904883</c:v>
                </c:pt>
                <c:pt idx="581">
                  <c:v>9.5477279949386418</c:v>
                </c:pt>
                <c:pt idx="582">
                  <c:v>9.5163226148369837</c:v>
                </c:pt>
                <c:pt idx="583">
                  <c:v>9.4850707906482636</c:v>
                </c:pt>
                <c:pt idx="584">
                  <c:v>9.4539715284904471</c:v>
                </c:pt>
                <c:pt idx="585">
                  <c:v>9.4230238424735457</c:v>
                </c:pt>
                <c:pt idx="586">
                  <c:v>9.3922267546229055</c:v>
                </c:pt>
                <c:pt idx="587">
                  <c:v>9.3615792948033594</c:v>
                </c:pt>
                <c:pt idx="588">
                  <c:v>9.3310805006442141</c:v>
                </c:pt>
                <c:pt idx="589">
                  <c:v>9.3007294174650994</c:v>
                </c:pt>
                <c:pt idx="590">
                  <c:v>9.2705250982025849</c:v>
                </c:pt>
                <c:pt idx="591">
                  <c:v>9.240466603337671</c:v>
                </c:pt>
                <c:pt idx="592">
                  <c:v>9.2105530008240333</c:v>
                </c:pt>
                <c:pt idx="593">
                  <c:v>9.1807833660170868</c:v>
                </c:pt>
                <c:pt idx="594">
                  <c:v>9.1511567816038184</c:v>
                </c:pt>
                <c:pt idx="595">
                  <c:v>9.1216723375334059</c:v>
                </c:pt>
                <c:pt idx="596">
                  <c:v>9.0923291309485812</c:v>
                </c:pt>
                <c:pt idx="597">
                  <c:v>9.0631262661177701</c:v>
                </c:pt>
                <c:pt idx="598">
                  <c:v>9.0340628543679387</c:v>
                </c:pt>
                <c:pt idx="599">
                  <c:v>9.0051380140182111</c:v>
                </c:pt>
                <c:pt idx="600">
                  <c:v>8.9763508703142065</c:v>
                </c:pt>
                <c:pt idx="601">
                  <c:v>8.9477005553630544</c:v>
                </c:pt>
                <c:pt idx="602">
                  <c:v>8.9191862080691973</c:v>
                </c:pt>
                <c:pt idx="603">
                  <c:v>8.8908069740707756</c:v>
                </c:pt>
                <c:pt idx="604">
                  <c:v>8.8625620056768231</c:v>
                </c:pt>
                <c:pt idx="605">
                  <c:v>8.8344504618050692</c:v>
                </c:pt>
                <c:pt idx="606">
                  <c:v>8.8064715079204259</c:v>
                </c:pt>
                <c:pt idx="607">
                  <c:v>8.7786243159741595</c:v>
                </c:pt>
                <c:pt idx="608">
                  <c:v>8.7509080643436938</c:v>
                </c:pt>
                <c:pt idx="609">
                  <c:v>8.7233219377730951</c:v>
                </c:pt>
                <c:pt idx="610">
                  <c:v>8.6958651273141587</c:v>
                </c:pt>
                <c:pt idx="611">
                  <c:v>8.6685368302681542</c:v>
                </c:pt>
                <c:pt idx="612">
                  <c:v>8.6413362501281803</c:v>
                </c:pt>
                <c:pt idx="613">
                  <c:v>8.614262596522158</c:v>
                </c:pt>
                <c:pt idx="614">
                  <c:v>8.5873150851564137</c:v>
                </c:pt>
                <c:pt idx="615">
                  <c:v>8.5604929377598609</c:v>
                </c:pt>
                <c:pt idx="616">
                  <c:v>8.5337953820288117</c:v>
                </c:pt>
                <c:pt idx="617">
                  <c:v>8.5072216515723245</c:v>
                </c:pt>
                <c:pt idx="618">
                  <c:v>8.4807709858581788</c:v>
                </c:pt>
                <c:pt idx="619">
                  <c:v>8.4544426301593862</c:v>
                </c:pt>
                <c:pt idx="620">
                  <c:v>8.4282358355013134</c:v>
                </c:pt>
                <c:pt idx="621">
                  <c:v>8.4021498586093113</c:v>
                </c:pt>
                <c:pt idx="622">
                  <c:v>8.3761839618569383</c:v>
                </c:pt>
                <c:pt idx="623">
                  <c:v>8.3503374132147083</c:v>
                </c:pt>
                <c:pt idx="624">
                  <c:v>8.3246094861993889</c:v>
                </c:pt>
                <c:pt idx="625">
                  <c:v>8.2989994598238361</c:v>
                </c:pt>
                <c:pt idx="626">
                  <c:v>8.2735066185473425</c:v>
                </c:pt>
                <c:pt idx="627">
                  <c:v>8.2481302522265185</c:v>
                </c:pt>
                <c:pt idx="628">
                  <c:v>8.2228696560666723</c:v>
                </c:pt>
                <c:pt idx="629">
                  <c:v>8.197724130573727</c:v>
                </c:pt>
                <c:pt idx="630">
                  <c:v>8.1726929815066107</c:v>
                </c:pt>
                <c:pt idx="631">
                  <c:v>8.1477755198301658</c:v>
                </c:pt>
                <c:pt idx="632">
                  <c:v>8.1229710616685171</c:v>
                </c:pt>
                <c:pt idx="633">
                  <c:v>8.0982789282589689</c:v>
                </c:pt>
                <c:pt idx="634">
                  <c:v>8.0736984459063414</c:v>
                </c:pt>
                <c:pt idx="635">
                  <c:v>8.0492289459378004</c:v>
                </c:pt>
                <c:pt idx="636">
                  <c:v>8.0248697646581704</c:v>
                </c:pt>
                <c:pt idx="637">
                  <c:v>8.0006202433056473</c:v>
                </c:pt>
                <c:pt idx="638">
                  <c:v>7.9764797280080542</c:v>
                </c:pt>
                <c:pt idx="639">
                  <c:v>7.9524475697394745</c:v>
                </c:pt>
                <c:pt idx="640">
                  <c:v>7.9285231242773939</c:v>
                </c:pt>
                <c:pt idx="641">
                  <c:v>7.9047057521602069</c:v>
                </c:pt>
                <c:pt idx="642">
                  <c:v>7.8809948186452523</c:v>
                </c:pt>
                <c:pt idx="643">
                  <c:v>7.8573896936671899</c:v>
                </c:pt>
                <c:pt idx="644">
                  <c:v>7.8338897517968702</c:v>
                </c:pt>
                <c:pt idx="645">
                  <c:v>7.81049437220058</c:v>
                </c:pt>
                <c:pt idx="646">
                  <c:v>7.7872029385997399</c:v>
                </c:pt>
                <c:pt idx="647">
                  <c:v>7.7640148392309687</c:v>
                </c:pt>
                <c:pt idx="648">
                  <c:v>7.7409294668066071</c:v>
                </c:pt>
                <c:pt idx="649">
                  <c:v>7.7179462184756016</c:v>
                </c:pt>
                <c:pt idx="650">
                  <c:v>7.6950644957847967</c:v>
                </c:pt>
                <c:pt idx="651">
                  <c:v>7.6722837046406234</c:v>
                </c:pt>
                <c:pt idx="652">
                  <c:v>7.6496032552711846</c:v>
                </c:pt>
                <c:pt idx="653">
                  <c:v>7.6270225621886887</c:v>
                </c:pt>
                <c:pt idx="654">
                  <c:v>7.604541044152322</c:v>
                </c:pt>
                <c:pt idx="655">
                  <c:v>7.5821581241314204</c:v>
                </c:pt>
                <c:pt idx="656">
                  <c:v>7.5598732292690753</c:v>
                </c:pt>
                <c:pt idx="657">
                  <c:v>7.5376857908460764</c:v>
                </c:pt>
                <c:pt idx="658">
                  <c:v>7.5155952442452145</c:v>
                </c:pt>
                <c:pt idx="659">
                  <c:v>7.4936010289159594</c:v>
                </c:pt>
                <c:pt idx="660">
                  <c:v>7.4717025883394621</c:v>
                </c:pt>
                <c:pt idx="661">
                  <c:v>7.4498993699939362</c:v>
                </c:pt>
                <c:pt idx="662">
                  <c:v>7.4281908253203826</c:v>
                </c:pt>
                <c:pt idx="663">
                  <c:v>7.406576409688614</c:v>
                </c:pt>
                <c:pt idx="664">
                  <c:v>7.3850555823636927</c:v>
                </c:pt>
                <c:pt idx="665">
                  <c:v>7.3636278064726213</c:v>
                </c:pt>
                <c:pt idx="666">
                  <c:v>7.342292548971419</c:v>
                </c:pt>
                <c:pt idx="667">
                  <c:v>7.3210492806125052</c:v>
                </c:pt>
                <c:pt idx="668">
                  <c:v>7.299897475912406</c:v>
                </c:pt>
                <c:pt idx="669">
                  <c:v>7.278836613119779</c:v>
                </c:pt>
                <c:pt idx="670">
                  <c:v>7.2578661741837518</c:v>
                </c:pt>
                <c:pt idx="671">
                  <c:v>7.2369856447225862</c:v>
                </c:pt>
                <c:pt idx="672">
                  <c:v>7.2161945139926411</c:v>
                </c:pt>
                <c:pt idx="673">
                  <c:v>7.1954922748576218</c:v>
                </c:pt>
                <c:pt idx="674">
                  <c:v>7.1748784237581722</c:v>
                </c:pt>
                <c:pt idx="675">
                  <c:v>7.1543524606817268</c:v>
                </c:pt>
                <c:pt idx="676">
                  <c:v>7.1339138891326703</c:v>
                </c:pt>
                <c:pt idx="677">
                  <c:v>7.1135622161028254</c:v>
                </c:pt>
                <c:pt idx="678">
                  <c:v>7.0932969520421327</c:v>
                </c:pt>
                <c:pt idx="679">
                  <c:v>7.0731176108297467</c:v>
                </c:pt>
                <c:pt idx="680">
                  <c:v>7.0530237097452932</c:v>
                </c:pt>
                <c:pt idx="681">
                  <c:v>7.0330147694404834</c:v>
                </c:pt>
                <c:pt idx="682">
                  <c:v>7.0130903139109693</c:v>
                </c:pt>
                <c:pt idx="683">
                  <c:v>6.9932498704684871</c:v>
                </c:pt>
                <c:pt idx="684">
                  <c:v>6.9734929697132628</c:v>
                </c:pt>
                <c:pt idx="685">
                  <c:v>6.9538191455066727</c:v>
                </c:pt>
                <c:pt idx="686">
                  <c:v>6.9342279349441904</c:v>
                </c:pt>
                <c:pt idx="687">
                  <c:v>6.914718878328598</c:v>
                </c:pt>
                <c:pt idx="688">
                  <c:v>6.895291519143413</c:v>
                </c:pt>
                <c:pt idx="689">
                  <c:v>6.8759454040266244</c:v>
                </c:pt>
                <c:pt idx="690">
                  <c:v>6.8566800827446492</c:v>
                </c:pt>
                <c:pt idx="691">
                  <c:v>6.8374951081665332</c:v>
                </c:pt>
                <c:pt idx="692">
                  <c:v>6.8183900362384362</c:v>
                </c:pt>
                <c:pt idx="693">
                  <c:v>6.7993644259583119</c:v>
                </c:pt>
                <c:pt idx="694">
                  <c:v>6.7804178393508749</c:v>
                </c:pt>
                <c:pt idx="695">
                  <c:v>6.7615498414427657</c:v>
                </c:pt>
                <c:pt idx="696">
                  <c:v>6.7427600002379853</c:v>
                </c:pt>
                <c:pt idx="697">
                  <c:v>6.7240478866935547</c:v>
                </c:pt>
                <c:pt idx="698">
                  <c:v>6.7054130746953895</c:v>
                </c:pt>
                <c:pt idx="699">
                  <c:v>6.6868551410344228</c:v>
                </c:pt>
                <c:pt idx="700">
                  <c:v>6.6683736653829433</c:v>
                </c:pt>
                <c:pt idx="701">
                  <c:v>6.6499682302711554</c:v>
                </c:pt>
                <c:pt idx="702">
                  <c:v>6.6316384210639896</c:v>
                </c:pt>
                <c:pt idx="703">
                  <c:v>6.6133838259380759</c:v>
                </c:pt>
                <c:pt idx="704">
                  <c:v>6.5952040358589965</c:v>
                </c:pt>
                <c:pt idx="705">
                  <c:v>6.5770986445587019</c:v>
                </c:pt>
                <c:pt idx="706">
                  <c:v>6.5590672485131645</c:v>
                </c:pt>
                <c:pt idx="707">
                  <c:v>6.541109446920256</c:v>
                </c:pt>
                <c:pt idx="708">
                  <c:v>6.5232248416777807</c:v>
                </c:pt>
                <c:pt idx="709">
                  <c:v>6.5054130373617802</c:v>
                </c:pt>
                <c:pt idx="710">
                  <c:v>6.4876736412049913</c:v>
                </c:pt>
                <c:pt idx="711">
                  <c:v>6.4700062630755193</c:v>
                </c:pt>
                <c:pt idx="712">
                  <c:v>6.4524105154557292</c:v>
                </c:pt>
                <c:pt idx="713">
                  <c:v>6.4348860134213028</c:v>
                </c:pt>
                <c:pt idx="714">
                  <c:v>6.4174323746205113</c:v>
                </c:pt>
                <c:pt idx="715">
                  <c:v>6.400049219253674</c:v>
                </c:pt>
                <c:pt idx="716">
                  <c:v>6.3827361700528069</c:v>
                </c:pt>
                <c:pt idx="717">
                  <c:v>6.3654928522614673</c:v>
                </c:pt>
                <c:pt idx="718">
                  <c:v>6.3483188936147634</c:v>
                </c:pt>
                <c:pt idx="719">
                  <c:v>6.3312139243195835</c:v>
                </c:pt>
                <c:pt idx="720">
                  <c:v>6.3141775770349744</c:v>
                </c:pt>
                <c:pt idx="721">
                  <c:v>6.2972094868527195</c:v>
                </c:pt>
                <c:pt idx="722">
                  <c:v>6.2803092912780887</c:v>
                </c:pt>
                <c:pt idx="723">
                  <c:v>6.2634766302107669</c:v>
                </c:pt>
                <c:pt idx="724">
                  <c:v>6.2467111459259659</c:v>
                </c:pt>
                <c:pt idx="725">
                  <c:v>6.2300124830556882</c:v>
                </c:pt>
                <c:pt idx="726">
                  <c:v>6.2133802885701765</c:v>
                </c:pt>
                <c:pt idx="727">
                  <c:v>6.1968142117595582</c:v>
                </c:pt>
                <c:pt idx="728">
                  <c:v>6.1803139042155841</c:v>
                </c:pt>
                <c:pt idx="729">
                  <c:v>6.1638790198136357</c:v>
                </c:pt>
                <c:pt idx="730">
                  <c:v>6.1475092146947938</c:v>
                </c:pt>
                <c:pt idx="731">
                  <c:v>6.1312041472481456</c:v>
                </c:pt>
                <c:pt idx="732">
                  <c:v>6.1149634780932205</c:v>
                </c:pt>
                <c:pt idx="733">
                  <c:v>6.0987868700625842</c:v>
                </c:pt>
                <c:pt idx="734">
                  <c:v>6.0826739881846068</c:v>
                </c:pt>
                <c:pt idx="735">
                  <c:v>6.066624499666367</c:v>
                </c:pt>
                <c:pt idx="736">
                  <c:v>6.0506380738767147</c:v>
                </c:pt>
                <c:pt idx="737">
                  <c:v>6.034714382329522</c:v>
                </c:pt>
                <c:pt idx="738">
                  <c:v>6.0188530986670186</c:v>
                </c:pt>
                <c:pt idx="739">
                  <c:v>6.0030538986433397</c:v>
                </c:pt>
                <c:pt idx="740">
                  <c:v>5.9873164601081834</c:v>
                </c:pt>
                <c:pt idx="741">
                  <c:v>5.9716404629906323</c:v>
                </c:pt>
                <c:pt idx="742">
                  <c:v>5.9560255892831284</c:v>
                </c:pt>
                <c:pt idx="743">
                  <c:v>5.9404715230255531</c:v>
                </c:pt>
                <c:pt idx="744">
                  <c:v>5.9249779502895024</c:v>
                </c:pt>
                <c:pt idx="745">
                  <c:v>5.9095445591626588</c:v>
                </c:pt>
                <c:pt idx="746">
                  <c:v>5.8941710397333233</c:v>
                </c:pt>
                <c:pt idx="747">
                  <c:v>5.8788570840750998</c:v>
                </c:pt>
                <c:pt idx="748">
                  <c:v>5.8636023862316655</c:v>
                </c:pt>
                <c:pt idx="749">
                  <c:v>5.8484066422017458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621-4875-B88C-B488B95351CA}"/>
            </c:ext>
          </c:extLst>
        </c:ser>
        <c:ser>
          <c:idx val="3"/>
          <c:order val="3"/>
          <c:tx>
            <c:strRef>
              <c:f>'sheet 1'!$Q$38</c:f>
              <c:strCache>
                <c:ptCount val="1"/>
                <c:pt idx="0">
                  <c:v>I2</c:v>
                </c:pt>
              </c:strCache>
            </c:strRef>
          </c:tx>
          <c:spPr>
            <a:ln w="28575">
              <a:noFill/>
            </a:ln>
          </c:spPr>
          <c:xVal>
            <c:numRef>
              <c:f>'sheet 1'!$B$39:$B$841</c:f>
              <c:numCache>
                <c:formatCode>General</c:formatCode>
                <c:ptCount val="803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</c:numCache>
            </c:numRef>
          </c:xVal>
          <c:yVal>
            <c:numRef>
              <c:f>'sheet 1'!$Q$39:$Q$841</c:f>
              <c:numCache>
                <c:formatCode>General</c:formatCode>
                <c:ptCount val="803"/>
                <c:pt idx="0">
                  <c:v>384.50378432671516</c:v>
                </c:pt>
                <c:pt idx="1">
                  <c:v>382.56822832623163</c:v>
                </c:pt>
                <c:pt idx="2">
                  <c:v>380.64241574596787</c:v>
                </c:pt>
                <c:pt idx="3">
                  <c:v>378.72629753846047</c:v>
                </c:pt>
                <c:pt idx="4">
                  <c:v>376.81982490314596</c:v>
                </c:pt>
                <c:pt idx="5">
                  <c:v>374.92294928511888</c:v>
                </c:pt>
                <c:pt idx="6">
                  <c:v>373.03562237389451</c:v>
                </c:pt>
                <c:pt idx="7">
                  <c:v>371.15779610218027</c:v>
                </c:pt>
                <c:pt idx="8">
                  <c:v>369.28942264464877</c:v>
                </c:pt>
                <c:pt idx="9">
                  <c:v>367.4304544167216</c:v>
                </c:pt>
                <c:pt idx="10">
                  <c:v>365.58084407335673</c:v>
                </c:pt>
                <c:pt idx="11">
                  <c:v>363.74054450784388</c:v>
                </c:pt>
                <c:pt idx="12">
                  <c:v>361.90950885060289</c:v>
                </c:pt>
                <c:pt idx="13">
                  <c:v>360.08769046799114</c:v>
                </c:pt>
                <c:pt idx="14">
                  <c:v>358.27504296111607</c:v>
                </c:pt>
                <c:pt idx="15">
                  <c:v>356.47152016465253</c:v>
                </c:pt>
                <c:pt idx="16">
                  <c:v>354.67707614566882</c:v>
                </c:pt>
                <c:pt idx="17">
                  <c:v>352.89166520245431</c:v>
                </c:pt>
                <c:pt idx="18">
                  <c:v>351.1152418633572</c:v>
                </c:pt>
                <c:pt idx="19">
                  <c:v>349.34776088562626</c:v>
                </c:pt>
                <c:pt idx="20">
                  <c:v>347.58917725425857</c:v>
                </c:pt>
                <c:pt idx="21">
                  <c:v>345.83944618085241</c:v>
                </c:pt>
                <c:pt idx="22">
                  <c:v>344.09852310246703</c:v>
                </c:pt>
                <c:pt idx="23">
                  <c:v>342.36636368048755</c:v>
                </c:pt>
                <c:pt idx="24">
                  <c:v>340.6429237994966</c:v>
                </c:pt>
                <c:pt idx="25">
                  <c:v>338.92815956614913</c:v>
                </c:pt>
                <c:pt idx="26">
                  <c:v>337.22202730805583</c:v>
                </c:pt>
                <c:pt idx="27">
                  <c:v>335.52448357266996</c:v>
                </c:pt>
                <c:pt idx="28">
                  <c:v>333.83548512618216</c:v>
                </c:pt>
                <c:pt idx="29">
                  <c:v>332.1549889524174</c:v>
                </c:pt>
                <c:pt idx="30">
                  <c:v>330.48295225174064</c:v>
                </c:pt>
                <c:pt idx="31">
                  <c:v>328.81933243996656</c:v>
                </c:pt>
                <c:pt idx="32">
                  <c:v>327.16408714727464</c:v>
                </c:pt>
                <c:pt idx="33">
                  <c:v>325.51717421713124</c:v>
                </c:pt>
                <c:pt idx="34">
                  <c:v>323.87855170521431</c:v>
                </c:pt>
                <c:pt idx="35">
                  <c:v>322.2481778783461</c:v>
                </c:pt>
                <c:pt idx="36">
                  <c:v>320.62601121342982</c:v>
                </c:pt>
                <c:pt idx="37">
                  <c:v>319.01201039639335</c:v>
                </c:pt>
                <c:pt idx="38">
                  <c:v>317.40613432113503</c:v>
                </c:pt>
                <c:pt idx="39">
                  <c:v>315.80834208847813</c:v>
                </c:pt>
                <c:pt idx="40">
                  <c:v>314.21859300512858</c:v>
                </c:pt>
                <c:pt idx="41">
                  <c:v>312.63684658263986</c:v>
                </c:pt>
                <c:pt idx="42">
                  <c:v>311.06306253637979</c:v>
                </c:pt>
                <c:pt idx="43">
                  <c:v>309.49720078450599</c:v>
                </c:pt>
                <c:pt idx="44">
                  <c:v>307.93922144694449</c:v>
                </c:pt>
                <c:pt idx="45">
                  <c:v>306.38908484437405</c:v>
                </c:pt>
                <c:pt idx="46">
                  <c:v>304.84675149721647</c:v>
                </c:pt>
                <c:pt idx="47">
                  <c:v>303.31218212462983</c:v>
                </c:pt>
                <c:pt idx="48">
                  <c:v>301.78533764350834</c:v>
                </c:pt>
                <c:pt idx="49">
                  <c:v>300.26617916748756</c:v>
                </c:pt>
                <c:pt idx="50">
                  <c:v>298.75466800595422</c:v>
                </c:pt>
                <c:pt idx="51">
                  <c:v>297.25076566305921</c:v>
                </c:pt>
                <c:pt idx="52">
                  <c:v>295.75443383673917</c:v>
                </c:pt>
                <c:pt idx="53">
                  <c:v>294.26563441773925</c:v>
                </c:pt>
                <c:pt idx="54">
                  <c:v>292.78432948864435</c:v>
                </c:pt>
                <c:pt idx="55">
                  <c:v>291.31048132291153</c:v>
                </c:pt>
                <c:pt idx="56">
                  <c:v>289.84405238391054</c:v>
                </c:pt>
                <c:pt idx="57">
                  <c:v>288.38500532396711</c:v>
                </c:pt>
                <c:pt idx="58">
                  <c:v>286.93330298341192</c:v>
                </c:pt>
                <c:pt idx="59">
                  <c:v>285.48890838963473</c:v>
                </c:pt>
                <c:pt idx="60">
                  <c:v>284.05178475614201</c:v>
                </c:pt>
                <c:pt idx="61">
                  <c:v>282.62189548162002</c:v>
                </c:pt>
                <c:pt idx="62">
                  <c:v>281.19920414900315</c:v>
                </c:pt>
                <c:pt idx="63">
                  <c:v>279.78367452454677</c:v>
                </c:pt>
                <c:pt idx="64">
                  <c:v>278.37527055690299</c:v>
                </c:pt>
                <c:pt idx="65">
                  <c:v>276.97395637620394</c:v>
                </c:pt>
                <c:pt idx="66">
                  <c:v>275.57969629314715</c:v>
                </c:pt>
                <c:pt idx="67">
                  <c:v>274.19245479808774</c:v>
                </c:pt>
                <c:pt idx="68">
                  <c:v>272.81219656013292</c:v>
                </c:pt>
                <c:pt idx="69">
                  <c:v>271.43888642624268</c:v>
                </c:pt>
                <c:pt idx="70">
                  <c:v>270.07248942033448</c:v>
                </c:pt>
                <c:pt idx="71">
                  <c:v>268.71297074239232</c:v>
                </c:pt>
                <c:pt idx="72">
                  <c:v>267.36029576758125</c:v>
                </c:pt>
                <c:pt idx="73">
                  <c:v>266.01443004536389</c:v>
                </c:pt>
                <c:pt idx="74">
                  <c:v>264.67533929862464</c:v>
                </c:pt>
                <c:pt idx="75">
                  <c:v>263.34298942279526</c:v>
                </c:pt>
                <c:pt idx="76">
                  <c:v>262.0173464849882</c:v>
                </c:pt>
                <c:pt idx="77">
                  <c:v>260.69837672313037</c:v>
                </c:pt>
                <c:pt idx="78">
                  <c:v>259.38604654510431</c:v>
                </c:pt>
                <c:pt idx="79">
                  <c:v>258.08032252789218</c:v>
                </c:pt>
                <c:pt idx="80">
                  <c:v>256.78117141672573</c:v>
                </c:pt>
                <c:pt idx="81">
                  <c:v>255.48856012423758</c:v>
                </c:pt>
                <c:pt idx="82">
                  <c:v>254.20245572961983</c:v>
                </c:pt>
                <c:pt idx="83">
                  <c:v>252.92282547778481</c:v>
                </c:pt>
                <c:pt idx="84">
                  <c:v>251.6496367785314</c:v>
                </c:pt>
                <c:pt idx="85">
                  <c:v>250.38285720571534</c:v>
                </c:pt>
                <c:pt idx="86">
                  <c:v>249.12245449642211</c:v>
                </c:pt>
                <c:pt idx="87">
                  <c:v>247.86839655014651</c:v>
                </c:pt>
                <c:pt idx="88">
                  <c:v>246.62065142797414</c:v>
                </c:pt>
                <c:pt idx="89">
                  <c:v>245.37918735176939</c:v>
                </c:pt>
                <c:pt idx="90">
                  <c:v>244.1439727033642</c:v>
                </c:pt>
                <c:pt idx="91">
                  <c:v>242.91497602375404</c:v>
                </c:pt>
                <c:pt idx="92">
                  <c:v>241.69216601229647</c:v>
                </c:pt>
                <c:pt idx="93">
                  <c:v>240.47551152591419</c:v>
                </c:pt>
                <c:pt idx="94">
                  <c:v>239.26498157830116</c:v>
                </c:pt>
                <c:pt idx="95">
                  <c:v>238.06054533913388</c:v>
                </c:pt>
                <c:pt idx="96">
                  <c:v>236.86217213328635</c:v>
                </c:pt>
                <c:pt idx="97">
                  <c:v>235.6698314400484</c:v>
                </c:pt>
                <c:pt idx="98">
                  <c:v>234.48349289234903</c:v>
                </c:pt>
                <c:pt idx="99">
                  <c:v>233.30312627598227</c:v>
                </c:pt>
                <c:pt idx="100">
                  <c:v>232.12870152883772</c:v>
                </c:pt>
                <c:pt idx="101">
                  <c:v>230.960188740136</c:v>
                </c:pt>
                <c:pt idx="102">
                  <c:v>229.79755814966529</c:v>
                </c:pt>
                <c:pt idx="103">
                  <c:v>228.64078014702471</c:v>
                </c:pt>
                <c:pt idx="104">
                  <c:v>227.48982527086952</c:v>
                </c:pt>
                <c:pt idx="105">
                  <c:v>226.34466420816105</c:v>
                </c:pt>
                <c:pt idx="106">
                  <c:v>225.20526779342026</c:v>
                </c:pt>
                <c:pt idx="107">
                  <c:v>224.07160700798462</c:v>
                </c:pt>
                <c:pt idx="108">
                  <c:v>222.94365297926899</c:v>
                </c:pt>
                <c:pt idx="109">
                  <c:v>221.82137698003061</c:v>
                </c:pt>
                <c:pt idx="110">
                  <c:v>220.70475042763766</c:v>
                </c:pt>
                <c:pt idx="111">
                  <c:v>219.59374488334058</c:v>
                </c:pt>
                <c:pt idx="112">
                  <c:v>218.48833205154824</c:v>
                </c:pt>
                <c:pt idx="113">
                  <c:v>217.38848377910713</c:v>
                </c:pt>
                <c:pt idx="114">
                  <c:v>216.29417205458495</c:v>
                </c:pt>
                <c:pt idx="115">
                  <c:v>215.2053690075561</c:v>
                </c:pt>
                <c:pt idx="116">
                  <c:v>214.12204690789272</c:v>
                </c:pt>
                <c:pt idx="117">
                  <c:v>213.04417816505816</c:v>
                </c:pt>
                <c:pt idx="118">
                  <c:v>211.97173532740413</c:v>
                </c:pt>
                <c:pt idx="119">
                  <c:v>210.90469108147227</c:v>
                </c:pt>
                <c:pt idx="120">
                  <c:v>209.84301825129739</c:v>
                </c:pt>
                <c:pt idx="121">
                  <c:v>208.78668979771626</c:v>
                </c:pt>
                <c:pt idx="122">
                  <c:v>207.73567881767832</c:v>
                </c:pt>
                <c:pt idx="123">
                  <c:v>206.68995854356149</c:v>
                </c:pt>
                <c:pt idx="124">
                  <c:v>205.64950234248897</c:v>
                </c:pt>
                <c:pt idx="125">
                  <c:v>204.61428371565225</c:v>
                </c:pt>
                <c:pt idx="126">
                  <c:v>203.58427629763545</c:v>
                </c:pt>
                <c:pt idx="127">
                  <c:v>202.55945385574415</c:v>
                </c:pt>
                <c:pt idx="128">
                  <c:v>201.5397902893375</c:v>
                </c:pt>
                <c:pt idx="129">
                  <c:v>200.52525962916295</c:v>
                </c:pt>
                <c:pt idx="130">
                  <c:v>199.51583603669513</c:v>
                </c:pt>
                <c:pt idx="131">
                  <c:v>198.51149380347763</c:v>
                </c:pt>
                <c:pt idx="132">
                  <c:v>197.51220735046888</c:v>
                </c:pt>
                <c:pt idx="133">
                  <c:v>196.51795122738972</c:v>
                </c:pt>
                <c:pt idx="134">
                  <c:v>195.52870011207582</c:v>
                </c:pt>
                <c:pt idx="135">
                  <c:v>194.54442880983271</c:v>
                </c:pt>
                <c:pt idx="136">
                  <c:v>193.5651122527938</c:v>
                </c:pt>
                <c:pt idx="137">
                  <c:v>192.59072549928271</c:v>
                </c:pt>
                <c:pt idx="138">
                  <c:v>191.62124373317701</c:v>
                </c:pt>
                <c:pt idx="139">
                  <c:v>190.65664226327664</c:v>
                </c:pt>
                <c:pt idx="140">
                  <c:v>189.69689652267573</c:v>
                </c:pt>
                <c:pt idx="141">
                  <c:v>188.74198206813571</c:v>
                </c:pt>
                <c:pt idx="142">
                  <c:v>187.79187457946358</c:v>
                </c:pt>
                <c:pt idx="143">
                  <c:v>186.8465498588923</c:v>
                </c:pt>
                <c:pt idx="144">
                  <c:v>185.90598383046438</c:v>
                </c:pt>
                <c:pt idx="145">
                  <c:v>184.97015253941925</c:v>
                </c:pt>
                <c:pt idx="146">
                  <c:v>184.03903215158235</c:v>
                </c:pt>
                <c:pt idx="147">
                  <c:v>183.11259895275853</c:v>
                </c:pt>
                <c:pt idx="148">
                  <c:v>182.19082934812843</c:v>
                </c:pt>
                <c:pt idx="149">
                  <c:v>181.27369986164692</c:v>
                </c:pt>
                <c:pt idx="150">
                  <c:v>180.36118713544548</c:v>
                </c:pt>
                <c:pt idx="151">
                  <c:v>179.45326792923737</c:v>
                </c:pt>
                <c:pt idx="152">
                  <c:v>178.54991911972553</c:v>
                </c:pt>
                <c:pt idx="153">
                  <c:v>177.65111770001428</c:v>
                </c:pt>
                <c:pt idx="154">
                  <c:v>176.75684077902247</c:v>
                </c:pt>
                <c:pt idx="155">
                  <c:v>175.86706558090097</c:v>
                </c:pt>
                <c:pt idx="156">
                  <c:v>174.98176944445271</c:v>
                </c:pt>
                <c:pt idx="157">
                  <c:v>174.10092982255503</c:v>
                </c:pt>
                <c:pt idx="158">
                  <c:v>173.22452428158633</c:v>
                </c:pt>
                <c:pt idx="159">
                  <c:v>172.35253050085382</c:v>
                </c:pt>
                <c:pt idx="160">
                  <c:v>171.48492627202529</c:v>
                </c:pt>
                <c:pt idx="161">
                  <c:v>170.62168949856417</c:v>
                </c:pt>
                <c:pt idx="162">
                  <c:v>169.7627981951652</c:v>
                </c:pt>
                <c:pt idx="163">
                  <c:v>168.90823048719665</c:v>
                </c:pt>
                <c:pt idx="164">
                  <c:v>168.05796461014125</c:v>
                </c:pt>
                <c:pt idx="165">
                  <c:v>167.2119789090429</c:v>
                </c:pt>
                <c:pt idx="166">
                  <c:v>166.37025183795529</c:v>
                </c:pt>
                <c:pt idx="167">
                  <c:v>165.5327619593923</c:v>
                </c:pt>
                <c:pt idx="168">
                  <c:v>164.69948794378283</c:v>
                </c:pt>
                <c:pt idx="169">
                  <c:v>163.87040856892719</c:v>
                </c:pt>
                <c:pt idx="170">
                  <c:v>163.04550271945644</c:v>
                </c:pt>
                <c:pt idx="171">
                  <c:v>162.22474938629549</c:v>
                </c:pt>
                <c:pt idx="172">
                  <c:v>161.4081276661268</c:v>
                </c:pt>
                <c:pt idx="173">
                  <c:v>160.59561676085877</c:v>
                </c:pt>
                <c:pt idx="174">
                  <c:v>159.78719597709593</c:v>
                </c:pt>
                <c:pt idx="175">
                  <c:v>158.98284472561195</c:v>
                </c:pt>
                <c:pt idx="176">
                  <c:v>158.18254252082497</c:v>
                </c:pt>
                <c:pt idx="177">
                  <c:v>157.38626898027621</c:v>
                </c:pt>
                <c:pt idx="178">
                  <c:v>156.59400382411044</c:v>
                </c:pt>
                <c:pt idx="179">
                  <c:v>155.80572687456038</c:v>
                </c:pt>
                <c:pt idx="180">
                  <c:v>155.02141805543152</c:v>
                </c:pt>
                <c:pt idx="181">
                  <c:v>154.24105739159182</c:v>
                </c:pt>
                <c:pt idx="182">
                  <c:v>153.46462500846255</c:v>
                </c:pt>
                <c:pt idx="183">
                  <c:v>152.69210113151203</c:v>
                </c:pt>
                <c:pt idx="184">
                  <c:v>151.92346608575261</c:v>
                </c:pt>
                <c:pt idx="185">
                  <c:v>151.1587002952387</c:v>
                </c:pt>
                <c:pt idx="186">
                  <c:v>150.39778428256881</c:v>
                </c:pt>
                <c:pt idx="187">
                  <c:v>149.64069866838909</c:v>
                </c:pt>
                <c:pt idx="188">
                  <c:v>148.88742417090054</c:v>
                </c:pt>
                <c:pt idx="189">
                  <c:v>148.13794160536696</c:v>
                </c:pt>
                <c:pt idx="190">
                  <c:v>147.39223188362672</c:v>
                </c:pt>
                <c:pt idx="191">
                  <c:v>146.65027601360671</c:v>
                </c:pt>
                <c:pt idx="192">
                  <c:v>145.91205509883898</c:v>
                </c:pt>
                <c:pt idx="193">
                  <c:v>145.1775503379786</c:v>
                </c:pt>
                <c:pt idx="194">
                  <c:v>144.44674302432557</c:v>
                </c:pt>
                <c:pt idx="195">
                  <c:v>143.71961454534789</c:v>
                </c:pt>
                <c:pt idx="196">
                  <c:v>142.99614638220817</c:v>
                </c:pt>
                <c:pt idx="197">
                  <c:v>142.27632010929128</c:v>
                </c:pt>
                <c:pt idx="198">
                  <c:v>141.56011739373542</c:v>
                </c:pt>
                <c:pt idx="199">
                  <c:v>140.84751999496518</c:v>
                </c:pt>
                <c:pt idx="200">
                  <c:v>140.13850976422691</c:v>
                </c:pt>
                <c:pt idx="201">
                  <c:v>139.43306864412688</c:v>
                </c:pt>
                <c:pt idx="202">
                  <c:v>138.7311786681706</c:v>
                </c:pt>
                <c:pt idx="203">
                  <c:v>138.03282196030599</c:v>
                </c:pt>
                <c:pt idx="204">
                  <c:v>137.33798073446766</c:v>
                </c:pt>
                <c:pt idx="205">
                  <c:v>136.64663729412436</c:v>
                </c:pt>
                <c:pt idx="206">
                  <c:v>135.95877403182774</c:v>
                </c:pt>
                <c:pt idx="207">
                  <c:v>135.27437342876416</c:v>
                </c:pt>
                <c:pt idx="208">
                  <c:v>134.59341805430896</c:v>
                </c:pt>
                <c:pt idx="209">
                  <c:v>133.91589056558132</c:v>
                </c:pt>
                <c:pt idx="210">
                  <c:v>133.24177370700414</c:v>
                </c:pt>
                <c:pt idx="211">
                  <c:v>132.57105030986327</c:v>
                </c:pt>
                <c:pt idx="212">
                  <c:v>131.90370329187084</c:v>
                </c:pt>
                <c:pt idx="213">
                  <c:v>131.23971565673043</c:v>
                </c:pt>
                <c:pt idx="214">
                  <c:v>130.57907049370348</c:v>
                </c:pt>
                <c:pt idx="215">
                  <c:v>129.9217509771791</c:v>
                </c:pt>
                <c:pt idx="216">
                  <c:v>129.26774036624556</c:v>
                </c:pt>
                <c:pt idx="217">
                  <c:v>128.61702200426365</c:v>
                </c:pt>
                <c:pt idx="218">
                  <c:v>127.96957931844285</c:v>
                </c:pt>
                <c:pt idx="219">
                  <c:v>127.3253958194189</c:v>
                </c:pt>
                <c:pt idx="220">
                  <c:v>126.68445510083389</c:v>
                </c:pt>
                <c:pt idx="221">
                  <c:v>126.04674083891855</c:v>
                </c:pt>
                <c:pt idx="222">
                  <c:v>125.41223679207636</c:v>
                </c:pt>
                <c:pt idx="223">
                  <c:v>124.78092680047024</c:v>
                </c:pt>
                <c:pt idx="224">
                  <c:v>124.15279478561055</c:v>
                </c:pt>
                <c:pt idx="225">
                  <c:v>123.52782474994561</c:v>
                </c:pt>
                <c:pt idx="226">
                  <c:v>122.90600077645492</c:v>
                </c:pt>
                <c:pt idx="227">
                  <c:v>122.28730702824258</c:v>
                </c:pt>
                <c:pt idx="228">
                  <c:v>121.67172774813541</c:v>
                </c:pt>
                <c:pt idx="229">
                  <c:v>121.05924725828038</c:v>
                </c:pt>
                <c:pt idx="230">
                  <c:v>120.44984995974592</c:v>
                </c:pt>
                <c:pt idx="231">
                  <c:v>119.84352033212484</c:v>
                </c:pt>
                <c:pt idx="232">
                  <c:v>119.2402429331384</c:v>
                </c:pt>
                <c:pt idx="233">
                  <c:v>118.6400023982435</c:v>
                </c:pt>
                <c:pt idx="234">
                  <c:v>118.04278344024128</c:v>
                </c:pt>
                <c:pt idx="235">
                  <c:v>117.44857084888758</c:v>
                </c:pt>
                <c:pt idx="236">
                  <c:v>116.85734949050611</c:v>
                </c:pt>
                <c:pt idx="237">
                  <c:v>116.26910430760219</c:v>
                </c:pt>
                <c:pt idx="238">
                  <c:v>115.68382031847986</c:v>
                </c:pt>
                <c:pt idx="239">
                  <c:v>115.10148261686035</c:v>
                </c:pt>
                <c:pt idx="240">
                  <c:v>114.52207637150195</c:v>
                </c:pt>
                <c:pt idx="241">
                  <c:v>113.94558682582276</c:v>
                </c:pt>
                <c:pt idx="242">
                  <c:v>113.37199929752455</c:v>
                </c:pt>
                <c:pt idx="243">
                  <c:v>112.80129917821897</c:v>
                </c:pt>
                <c:pt idx="244">
                  <c:v>112.23347193305575</c:v>
                </c:pt>
                <c:pt idx="245">
                  <c:v>111.66850310035187</c:v>
                </c:pt>
                <c:pt idx="246">
                  <c:v>111.10637829122379</c:v>
                </c:pt>
                <c:pt idx="247">
                  <c:v>110.5470831892211</c:v>
                </c:pt>
                <c:pt idx="248">
                  <c:v>109.99060354996089</c:v>
                </c:pt>
                <c:pt idx="249">
                  <c:v>109.43692520076652</c:v>
                </c:pt>
                <c:pt idx="250">
                  <c:v>108.88603404030536</c:v>
                </c:pt>
                <c:pt idx="251">
                  <c:v>108.3379160382302</c:v>
                </c:pt>
                <c:pt idx="252">
                  <c:v>107.79255723482207</c:v>
                </c:pt>
                <c:pt idx="253">
                  <c:v>107.24994374063421</c:v>
                </c:pt>
                <c:pt idx="254">
                  <c:v>106.71006173613878</c:v>
                </c:pt>
                <c:pt idx="255">
                  <c:v>106.17289747137465</c:v>
                </c:pt>
                <c:pt idx="256">
                  <c:v>105.63843726559732</c:v>
                </c:pt>
                <c:pt idx="257">
                  <c:v>105.10666750693046</c:v>
                </c:pt>
                <c:pt idx="258">
                  <c:v>104.57757465201925</c:v>
                </c:pt>
                <c:pt idx="259">
                  <c:v>104.0511452256854</c:v>
                </c:pt>
                <c:pt idx="260">
                  <c:v>103.5273658205839</c:v>
                </c:pt>
                <c:pt idx="261">
                  <c:v>103.00622309686193</c:v>
                </c:pt>
                <c:pt idx="262">
                  <c:v>102.48770378181855</c:v>
                </c:pt>
                <c:pt idx="263">
                  <c:v>101.97179466956709</c:v>
                </c:pt>
                <c:pt idx="264">
                  <c:v>101.45848262069853</c:v>
                </c:pt>
                <c:pt idx="265">
                  <c:v>100.94775456194725</c:v>
                </c:pt>
                <c:pt idx="266">
                  <c:v>100.43959748585766</c:v>
                </c:pt>
                <c:pt idx="267">
                  <c:v>99.933998450453117</c:v>
                </c:pt>
                <c:pt idx="268">
                  <c:v>99.430944578906193</c:v>
                </c:pt>
                <c:pt idx="269">
                  <c:v>98.930423059210909</c:v>
                </c:pt>
                <c:pt idx="270">
                  <c:v>98.432421143856459</c:v>
                </c:pt>
                <c:pt idx="271">
                  <c:v>97.936926149502156</c:v>
                </c:pt>
                <c:pt idx="272">
                  <c:v>97.443925456654824</c:v>
                </c:pt>
                <c:pt idx="273">
                  <c:v>96.95340650934736</c:v>
                </c:pt>
                <c:pt idx="274">
                  <c:v>96.465356814818634</c:v>
                </c:pt>
                <c:pt idx="275">
                  <c:v>95.97976394319565</c:v>
                </c:pt>
                <c:pt idx="276">
                  <c:v>95.496615527176786</c:v>
                </c:pt>
                <c:pt idx="277">
                  <c:v>95.015899261716854</c:v>
                </c:pt>
                <c:pt idx="278">
                  <c:v>94.537602903713989</c:v>
                </c:pt>
                <c:pt idx="279">
                  <c:v>94.061714271697355</c:v>
                </c:pt>
                <c:pt idx="280">
                  <c:v>93.588221245517119</c:v>
                </c:pt>
                <c:pt idx="281">
                  <c:v>93.117111766035904</c:v>
                </c:pt>
                <c:pt idx="282">
                  <c:v>92.648373834821371</c:v>
                </c:pt>
                <c:pt idx="283">
                  <c:v>92.181995513841116</c:v>
                </c:pt>
                <c:pt idx="284">
                  <c:v>91.7179649251581</c:v>
                </c:pt>
                <c:pt idx="285">
                  <c:v>91.256270250628305</c:v>
                </c:pt>
                <c:pt idx="286">
                  <c:v>90.796899731599922</c:v>
                </c:pt>
                <c:pt idx="287">
                  <c:v>90.339841668613587</c:v>
                </c:pt>
                <c:pt idx="288">
                  <c:v>89.885084421104864</c:v>
                </c:pt>
                <c:pt idx="289">
                  <c:v>89.432616407107218</c:v>
                </c:pt>
                <c:pt idx="290">
                  <c:v>88.982426102957362</c:v>
                </c:pt>
                <c:pt idx="291">
                  <c:v>88.534502043001865</c:v>
                </c:pt>
                <c:pt idx="292">
                  <c:v>88.088832819304798</c:v>
                </c:pt>
                <c:pt idx="293">
                  <c:v>87.64540708135749</c:v>
                </c:pt>
                <c:pt idx="294">
                  <c:v>87.204213535789293</c:v>
                </c:pt>
                <c:pt idx="295">
                  <c:v>86.765240946079913</c:v>
                </c:pt>
                <c:pt idx="296">
                  <c:v>86.328478132273588</c:v>
                </c:pt>
                <c:pt idx="297">
                  <c:v>85.893913970693887</c:v>
                </c:pt>
                <c:pt idx="298">
                  <c:v>85.461537393660606</c:v>
                </c:pt>
                <c:pt idx="299">
                  <c:v>85.031337389207863</c:v>
                </c:pt>
                <c:pt idx="300">
                  <c:v>84.603303000803905</c:v>
                </c:pt>
                <c:pt idx="301">
                  <c:v>84.177423327071565</c:v>
                </c:pt>
                <c:pt idx="302">
                  <c:v>83.753687521510955</c:v>
                </c:pt>
                <c:pt idx="303">
                  <c:v>83.3320847922231</c:v>
                </c:pt>
                <c:pt idx="304">
                  <c:v>82.912604401635321</c:v>
                </c:pt>
                <c:pt idx="305">
                  <c:v>82.495235666227416</c:v>
                </c:pt>
                <c:pt idx="306">
                  <c:v>82.079967956259708</c:v>
                </c:pt>
                <c:pt idx="307">
                  <c:v>81.666790695502414</c:v>
                </c:pt>
                <c:pt idx="308">
                  <c:v>81.25569336096612</c:v>
                </c:pt>
                <c:pt idx="309">
                  <c:v>80.84666548263408</c:v>
                </c:pt>
                <c:pt idx="310">
                  <c:v>80.439696643195106</c:v>
                </c:pt>
                <c:pt idx="311">
                  <c:v>80.03477647777855</c:v>
                </c:pt>
                <c:pt idx="312">
                  <c:v>79.63189467369051</c:v>
                </c:pt>
                <c:pt idx="313">
                  <c:v>79.231040970150474</c:v>
                </c:pt>
                <c:pt idx="314">
                  <c:v>78.832205158030931</c:v>
                </c:pt>
                <c:pt idx="315">
                  <c:v>78.43537707959662</c:v>
                </c:pt>
                <c:pt idx="316">
                  <c:v>78.040546628246162</c:v>
                </c:pt>
                <c:pt idx="317">
                  <c:v>77.647703748254671</c:v>
                </c:pt>
                <c:pt idx="318">
                  <c:v>77.256838434517562</c:v>
                </c:pt>
                <c:pt idx="319">
                  <c:v>76.867940732295594</c:v>
                </c:pt>
                <c:pt idx="320">
                  <c:v>76.48100073696169</c:v>
                </c:pt>
                <c:pt idx="321">
                  <c:v>76.096008593748309</c:v>
                </c:pt>
                <c:pt idx="322">
                  <c:v>75.712954497496824</c:v>
                </c:pt>
                <c:pt idx="323">
                  <c:v>75.331828692407512</c:v>
                </c:pt>
                <c:pt idx="324">
                  <c:v>74.952621471791105</c:v>
                </c:pt>
                <c:pt idx="325">
                  <c:v>74.575323177821872</c:v>
                </c:pt>
                <c:pt idx="326">
                  <c:v>74.199924201291296</c:v>
                </c:pt>
                <c:pt idx="327">
                  <c:v>73.826414981363399</c:v>
                </c:pt>
                <c:pt idx="328">
                  <c:v>73.454786005331513</c:v>
                </c:pt>
                <c:pt idx="329">
                  <c:v>73.0850278083756</c:v>
                </c:pt>
                <c:pt idx="330">
                  <c:v>72.717130973321687</c:v>
                </c:pt>
                <c:pt idx="331">
                  <c:v>72.351086130401512</c:v>
                </c:pt>
                <c:pt idx="332">
                  <c:v>71.986883957014243</c:v>
                </c:pt>
                <c:pt idx="333">
                  <c:v>71.624515177488902</c:v>
                </c:pt>
                <c:pt idx="334">
                  <c:v>71.263970562848073</c:v>
                </c:pt>
                <c:pt idx="335">
                  <c:v>70.905240930573171</c:v>
                </c:pt>
                <c:pt idx="336">
                  <c:v>70.548317144370131</c:v>
                </c:pt>
                <c:pt idx="337">
                  <c:v>70.193190113936978</c:v>
                </c:pt>
                <c:pt idx="338">
                  <c:v>69.839850794732214</c:v>
                </c:pt>
                <c:pt idx="339">
                  <c:v>69.488290187744738</c:v>
                </c:pt>
                <c:pt idx="340">
                  <c:v>69.1384993392642</c:v>
                </c:pt>
                <c:pt idx="341">
                  <c:v>68.790469340653274</c:v>
                </c:pt>
                <c:pt idx="342">
                  <c:v>68.444191328120652</c:v>
                </c:pt>
                <c:pt idx="343">
                  <c:v>68.099656482495504</c:v>
                </c:pt>
                <c:pt idx="344">
                  <c:v>67.756856029002506</c:v>
                </c:pt>
                <c:pt idx="345">
                  <c:v>67.415781237038601</c:v>
                </c:pt>
                <c:pt idx="346">
                  <c:v>67.076423419950586</c:v>
                </c:pt>
                <c:pt idx="347">
                  <c:v>66.738773934814034</c:v>
                </c:pt>
                <c:pt idx="348">
                  <c:v>66.402824182212839</c:v>
                </c:pt>
                <c:pt idx="349">
                  <c:v>66.068565606020414</c:v>
                </c:pt>
                <c:pt idx="350">
                  <c:v>65.735989693181779</c:v>
                </c:pt>
                <c:pt idx="351">
                  <c:v>65.405087973496791</c:v>
                </c:pt>
                <c:pt idx="352">
                  <c:v>65.075852019404238</c:v>
                </c:pt>
                <c:pt idx="353">
                  <c:v>64.748273445767353</c:v>
                </c:pt>
                <c:pt idx="354">
                  <c:v>64.422343909660185</c:v>
                </c:pt>
                <c:pt idx="355">
                  <c:v>64.098055110155144</c:v>
                </c:pt>
                <c:pt idx="356">
                  <c:v>63.775398788111694</c:v>
                </c:pt>
                <c:pt idx="357">
                  <c:v>63.454366725965791</c:v>
                </c:pt>
                <c:pt idx="358">
                  <c:v>63.134950747520691</c:v>
                </c:pt>
                <c:pt idx="359">
                  <c:v>62.817142717738832</c:v>
                </c:pt>
                <c:pt idx="360">
                  <c:v>62.500934542534381</c:v>
                </c:pt>
                <c:pt idx="361">
                  <c:v>62.186318168567453</c:v>
                </c:pt>
                <c:pt idx="362">
                  <c:v>61.873285583038637</c:v>
                </c:pt>
                <c:pt idx="363">
                  <c:v>61.5618288134851</c:v>
                </c:pt>
                <c:pt idx="364">
                  <c:v>61.251939927577673</c:v>
                </c:pt>
                <c:pt idx="365">
                  <c:v>60.943611032918533</c:v>
                </c:pt>
                <c:pt idx="366">
                  <c:v>60.636834276840347</c:v>
                </c:pt>
                <c:pt idx="367">
                  <c:v>60.331601846206311</c:v>
                </c:pt>
                <c:pt idx="368">
                  <c:v>60.027905967211062</c:v>
                </c:pt>
                <c:pt idx="369">
                  <c:v>59.725738905182936</c:v>
                </c:pt>
                <c:pt idx="370">
                  <c:v>59.425092964386536</c:v>
                </c:pt>
                <c:pt idx="371">
                  <c:v>59.125960487827086</c:v>
                </c:pt>
                <c:pt idx="372">
                  <c:v>58.82833385705549</c:v>
                </c:pt>
                <c:pt idx="373">
                  <c:v>58.532205491973741</c:v>
                </c:pt>
                <c:pt idx="374">
                  <c:v>58.237567850642655</c:v>
                </c:pt>
                <c:pt idx="375">
                  <c:v>57.944413429089145</c:v>
                </c:pt>
                <c:pt idx="376">
                  <c:v>57.65273476111539</c:v>
                </c:pt>
                <c:pt idx="377">
                  <c:v>57.362524418108841</c:v>
                </c:pt>
                <c:pt idx="378">
                  <c:v>57.073775008852408</c:v>
                </c:pt>
                <c:pt idx="379">
                  <c:v>56.786479179337078</c:v>
                </c:pt>
                <c:pt idx="380">
                  <c:v>56.500629612573896</c:v>
                </c:pt>
                <c:pt idx="381">
                  <c:v>56.216219028407934</c:v>
                </c:pt>
                <c:pt idx="382">
                  <c:v>55.933240183332963</c:v>
                </c:pt>
                <c:pt idx="383">
                  <c:v>55.651685870306714</c:v>
                </c:pt>
                <c:pt idx="384">
                  <c:v>55.37154891856747</c:v>
                </c:pt>
                <c:pt idx="385">
                  <c:v>55.092822193451383</c:v>
                </c:pt>
                <c:pt idx="386">
                  <c:v>54.815498596210936</c:v>
                </c:pt>
                <c:pt idx="387">
                  <c:v>54.539571063833868</c:v>
                </c:pt>
                <c:pt idx="388">
                  <c:v>54.265032568863525</c:v>
                </c:pt>
                <c:pt idx="389">
                  <c:v>53.991876119219661</c:v>
                </c:pt>
                <c:pt idx="390">
                  <c:v>53.720094758020693</c:v>
                </c:pt>
                <c:pt idx="391">
                  <c:v>53.449681563406116</c:v>
                </c:pt>
                <c:pt idx="392">
                  <c:v>53.180629648360515</c:v>
                </c:pt>
                <c:pt idx="393">
                  <c:v>52.912932160538013</c:v>
                </c:pt>
                <c:pt idx="394">
                  <c:v>52.64658228208777</c:v>
                </c:pt>
                <c:pt idx="395">
                  <c:v>52.381573229480502</c:v>
                </c:pt>
                <c:pt idx="396">
                  <c:v>52.117898253335426</c:v>
                </c:pt>
                <c:pt idx="397">
                  <c:v>51.855550638248573</c:v>
                </c:pt>
                <c:pt idx="398">
                  <c:v>51.594523702621736</c:v>
                </c:pt>
                <c:pt idx="399">
                  <c:v>51.334810798492143</c:v>
                </c:pt>
                <c:pt idx="400">
                  <c:v>51.076405311363409</c:v>
                </c:pt>
                <c:pt idx="401">
                  <c:v>50.81930066003693</c:v>
                </c:pt>
                <c:pt idx="402">
                  <c:v>50.563490296444087</c:v>
                </c:pt>
                <c:pt idx="403">
                  <c:v>50.308967705479745</c:v>
                </c:pt>
                <c:pt idx="404">
                  <c:v>50.055726404836371</c:v>
                </c:pt>
                <c:pt idx="405">
                  <c:v>49.803759944838546</c:v>
                </c:pt>
                <c:pt idx="406">
                  <c:v>49.553061908279261</c:v>
                </c:pt>
                <c:pt idx="407">
                  <c:v>49.303625910255789</c:v>
                </c:pt>
                <c:pt idx="408">
                  <c:v>49.055445598007822</c:v>
                </c:pt>
                <c:pt idx="409">
                  <c:v>48.8085146507551</c:v>
                </c:pt>
                <c:pt idx="410">
                  <c:v>48.562826779536636</c:v>
                </c:pt>
                <c:pt idx="411">
                  <c:v>48.318375727050714</c:v>
                </c:pt>
                <c:pt idx="412">
                  <c:v>48.075155267495077</c:v>
                </c:pt>
                <c:pt idx="413">
                  <c:v>47.833159206408908</c:v>
                </c:pt>
                <c:pt idx="414">
                  <c:v>47.592381380514666</c:v>
                </c:pt>
                <c:pt idx="415">
                  <c:v>47.352815657561237</c:v>
                </c:pt>
                <c:pt idx="416">
                  <c:v>47.114455936167872</c:v>
                </c:pt>
                <c:pt idx="417">
                  <c:v>46.877296145668581</c:v>
                </c:pt>
                <c:pt idx="418">
                  <c:v>46.641330245957661</c:v>
                </c:pt>
                <c:pt idx="419">
                  <c:v>46.406552227335851</c:v>
                </c:pt>
                <c:pt idx="420">
                  <c:v>46.172956110357163</c:v>
                </c:pt>
                <c:pt idx="421">
                  <c:v>45.940535945676864</c:v>
                </c:pt>
                <c:pt idx="422">
                  <c:v>45.709285813899598</c:v>
                </c:pt>
                <c:pt idx="423">
                  <c:v>45.479199825428829</c:v>
                </c:pt>
                <c:pt idx="424">
                  <c:v>45.250272120316978</c:v>
                </c:pt>
                <c:pt idx="425">
                  <c:v>45.022496868115709</c:v>
                </c:pt>
                <c:pt idx="426">
                  <c:v>44.795868267728025</c:v>
                </c:pt>
                <c:pt idx="427">
                  <c:v>44.5703805472601</c:v>
                </c:pt>
                <c:pt idx="428">
                  <c:v>44.346027963874391</c:v>
                </c:pt>
                <c:pt idx="429">
                  <c:v>44.122804803643533</c:v>
                </c:pt>
                <c:pt idx="430">
                  <c:v>43.900705381404457</c:v>
                </c:pt>
                <c:pt idx="431">
                  <c:v>43.679724040613984</c:v>
                </c:pt>
                <c:pt idx="432">
                  <c:v>43.45985515320465</c:v>
                </c:pt>
                <c:pt idx="433">
                  <c:v>43.241093119441047</c:v>
                </c:pt>
                <c:pt idx="434">
                  <c:v>43.023432367777779</c:v>
                </c:pt>
                <c:pt idx="435">
                  <c:v>42.806867354716928</c:v>
                </c:pt>
                <c:pt idx="436">
                  <c:v>42.591392564667451</c:v>
                </c:pt>
                <c:pt idx="437">
                  <c:v>42.377002509804413</c:v>
                </c:pt>
                <c:pt idx="438">
                  <c:v>42.163691729929049</c:v>
                </c:pt>
                <c:pt idx="439">
                  <c:v>41.951454792330082</c:v>
                </c:pt>
                <c:pt idx="440">
                  <c:v>41.740286291645241</c:v>
                </c:pt>
                <c:pt idx="441">
                  <c:v>41.530180849723237</c:v>
                </c:pt>
                <c:pt idx="442">
                  <c:v>41.321133115487392</c:v>
                </c:pt>
                <c:pt idx="443">
                  <c:v>41.113137764798871</c:v>
                </c:pt>
                <c:pt idx="444">
                  <c:v>40.906189500321275</c:v>
                </c:pt>
                <c:pt idx="445">
                  <c:v>40.700283051385803</c:v>
                </c:pt>
                <c:pt idx="446">
                  <c:v>40.495413173856704</c:v>
                </c:pt>
                <c:pt idx="447">
                  <c:v>40.291574649998182</c:v>
                </c:pt>
                <c:pt idx="448">
                  <c:v>40.08876228834108</c:v>
                </c:pt>
                <c:pt idx="449">
                  <c:v>39.886970923550848</c:v>
                </c:pt>
                <c:pt idx="450">
                  <c:v>39.686195416296066</c:v>
                </c:pt>
                <c:pt idx="451">
                  <c:v>39.486430653117374</c:v>
                </c:pt>
                <c:pt idx="452">
                  <c:v>39.287671546297318</c:v>
                </c:pt>
                <c:pt idx="453">
                  <c:v>39.089913033730809</c:v>
                </c:pt>
                <c:pt idx="454">
                  <c:v>38.893150078796154</c:v>
                </c:pt>
                <c:pt idx="455">
                  <c:v>38.697377670226793</c:v>
                </c:pt>
                <c:pt idx="456">
                  <c:v>38.502590821983674</c:v>
                </c:pt>
                <c:pt idx="457">
                  <c:v>38.308784573128214</c:v>
                </c:pt>
                <c:pt idx="458">
                  <c:v>38.115953987696045</c:v>
                </c:pt>
                <c:pt idx="459">
                  <c:v>37.924094154571165</c:v>
                </c:pt>
                <c:pt idx="460">
                  <c:v>37.733200187361049</c:v>
                </c:pt>
                <c:pt idx="461">
                  <c:v>37.543267224272</c:v>
                </c:pt>
                <c:pt idx="462">
                  <c:v>37.35429042798544</c:v>
                </c:pt>
                <c:pt idx="463">
                  <c:v>37.166264985534752</c:v>
                </c:pt>
                <c:pt idx="464">
                  <c:v>36.979186108182468</c:v>
                </c:pt>
                <c:pt idx="465">
                  <c:v>36.793049031298636</c:v>
                </c:pt>
                <c:pt idx="466">
                  <c:v>36.607849014239157</c:v>
                </c:pt>
                <c:pt idx="467">
                  <c:v>36.423581340225354</c:v>
                </c:pt>
                <c:pt idx="468">
                  <c:v>36.24024131622356</c:v>
                </c:pt>
                <c:pt idx="469">
                  <c:v>36.057824272825648</c:v>
                </c:pt>
                <c:pt idx="470">
                  <c:v>35.876325564130333</c:v>
                </c:pt>
                <c:pt idx="471">
                  <c:v>35.695740567624604</c:v>
                </c:pt>
                <c:pt idx="472">
                  <c:v>35.51606468406608</c:v>
                </c:pt>
                <c:pt idx="473">
                  <c:v>35.337293337365821</c:v>
                </c:pt>
                <c:pt idx="474">
                  <c:v>35.159421974471847</c:v>
                </c:pt>
                <c:pt idx="475">
                  <c:v>34.982446065253157</c:v>
                </c:pt>
                <c:pt idx="476">
                  <c:v>34.806361102384393</c:v>
                </c:pt>
                <c:pt idx="477">
                  <c:v>34.631162601230919</c:v>
                </c:pt>
                <c:pt idx="478">
                  <c:v>34.456846099734726</c:v>
                </c:pt>
                <c:pt idx="479">
                  <c:v>34.28340715830069</c:v>
                </c:pt>
                <c:pt idx="480">
                  <c:v>34.110841359683612</c:v>
                </c:pt>
                <c:pt idx="481">
                  <c:v>33.939144308875669</c:v>
                </c:pt>
                <c:pt idx="482">
                  <c:v>33.76831163299439</c:v>
                </c:pt>
                <c:pt idx="483">
                  <c:v>33.598338981171416</c:v>
                </c:pt>
                <c:pt idx="484">
                  <c:v>33.429222024441586</c:v>
                </c:pt>
                <c:pt idx="485">
                  <c:v>33.260956455632758</c:v>
                </c:pt>
                <c:pt idx="486">
                  <c:v>33.093537989256077</c:v>
                </c:pt>
                <c:pt idx="487">
                  <c:v>32.926962361396882</c:v>
                </c:pt>
                <c:pt idx="488">
                  <c:v>32.7612253296059</c:v>
                </c:pt>
                <c:pt idx="489">
                  <c:v>32.596322672791473</c:v>
                </c:pt>
                <c:pt idx="490">
                  <c:v>32.432250191111926</c:v>
                </c:pt>
                <c:pt idx="491">
                  <c:v>32.269003705868542</c:v>
                </c:pt>
                <c:pt idx="492">
                  <c:v>32.106579059399323</c:v>
                </c:pt>
                <c:pt idx="493">
                  <c:v>31.944972114972753</c:v>
                </c:pt>
                <c:pt idx="494">
                  <c:v>31.784178756682874</c:v>
                </c:pt>
                <c:pt idx="495">
                  <c:v>31.624194889344121</c:v>
                </c:pt>
                <c:pt idx="496">
                  <c:v>31.46501643838717</c:v>
                </c:pt>
                <c:pt idx="497">
                  <c:v>31.306639349755194</c:v>
                </c:pt>
                <c:pt idx="498">
                  <c:v>31.149059589800409</c:v>
                </c:pt>
                <c:pt idx="499">
                  <c:v>30.992273145181631</c:v>
                </c:pt>
                <c:pt idx="500">
                  <c:v>30.836276022761833</c:v>
                </c:pt>
                <c:pt idx="501">
                  <c:v>30.681064249506512</c:v>
                </c:pt>
                <c:pt idx="502">
                  <c:v>30.526633872382607</c:v>
                </c:pt>
                <c:pt idx="503">
                  <c:v>30.372980958257546</c:v>
                </c:pt>
                <c:pt idx="504">
                  <c:v>30.220101593799416</c:v>
                </c:pt>
                <c:pt idx="505">
                  <c:v>30.067991885377058</c:v>
                </c:pt>
                <c:pt idx="506">
                  <c:v>29.916647958960905</c:v>
                </c:pt>
                <c:pt idx="507">
                  <c:v>29.766065960024541</c:v>
                </c:pt>
                <c:pt idx="508">
                  <c:v>29.616242053446143</c:v>
                </c:pt>
                <c:pt idx="509">
                  <c:v>29.467172423411185</c:v>
                </c:pt>
                <c:pt idx="510">
                  <c:v>29.318853273315106</c:v>
                </c:pt>
                <c:pt idx="511">
                  <c:v>29.171280825666422</c:v>
                </c:pt>
                <c:pt idx="512">
                  <c:v>29.024451321990902</c:v>
                </c:pt>
                <c:pt idx="513">
                  <c:v>28.878361022735504</c:v>
                </c:pt>
                <c:pt idx="514">
                  <c:v>28.733006207173275</c:v>
                </c:pt>
                <c:pt idx="515">
                  <c:v>28.588383173308657</c:v>
                </c:pt>
                <c:pt idx="516">
                  <c:v>28.444488237783002</c:v>
                </c:pt>
                <c:pt idx="517">
                  <c:v>28.301317735780955</c:v>
                </c:pt>
                <c:pt idx="518">
                  <c:v>28.158868020936985</c:v>
                </c:pt>
                <c:pt idx="519">
                  <c:v>28.017135465242564</c:v>
                </c:pt>
                <c:pt idx="520">
                  <c:v>27.87611645895382</c:v>
                </c:pt>
                <c:pt idx="521">
                  <c:v>27.735807410499479</c:v>
                </c:pt>
                <c:pt idx="522">
                  <c:v>27.596204746389475</c:v>
                </c:pt>
                <c:pt idx="523">
                  <c:v>27.457304911123906</c:v>
                </c:pt>
                <c:pt idx="524">
                  <c:v>27.319104367102469</c:v>
                </c:pt>
                <c:pt idx="525">
                  <c:v>27.181599594534415</c:v>
                </c:pt>
                <c:pt idx="526">
                  <c:v>27.044787091348898</c:v>
                </c:pt>
                <c:pt idx="527">
                  <c:v>26.908663373105611</c:v>
                </c:pt>
                <c:pt idx="528">
                  <c:v>26.773224972906263</c:v>
                </c:pt>
                <c:pt idx="529">
                  <c:v>26.638468441306205</c:v>
                </c:pt>
                <c:pt idx="530">
                  <c:v>26.504390346226494</c:v>
                </c:pt>
                <c:pt idx="531">
                  <c:v>26.37098727286665</c:v>
                </c:pt>
                <c:pt idx="532">
                  <c:v>26.238255823617404</c:v>
                </c:pt>
                <c:pt idx="533">
                  <c:v>26.106192617974514</c:v>
                </c:pt>
                <c:pt idx="534">
                  <c:v>25.974794292452387</c:v>
                </c:pt>
                <c:pt idx="535">
                  <c:v>25.844057500498508</c:v>
                </c:pt>
                <c:pt idx="536">
                  <c:v>25.713978912408287</c:v>
                </c:pt>
                <c:pt idx="537">
                  <c:v>25.584555215240094</c:v>
                </c:pt>
                <c:pt idx="538">
                  <c:v>25.455783112731002</c:v>
                </c:pt>
                <c:pt idx="539">
                  <c:v>25.327659325212778</c:v>
                </c:pt>
                <c:pt idx="540">
                  <c:v>25.200180589528347</c:v>
                </c:pt>
                <c:pt idx="541">
                  <c:v>25.073343658948765</c:v>
                </c:pt>
                <c:pt idx="542">
                  <c:v>24.947145303090398</c:v>
                </c:pt>
                <c:pt idx="543">
                  <c:v>24.821582307832724</c:v>
                </c:pt>
                <c:pt idx="544">
                  <c:v>24.696651475236454</c:v>
                </c:pt>
                <c:pt idx="545">
                  <c:v>24.57234962346207</c:v>
                </c:pt>
                <c:pt idx="546">
                  <c:v>24.448673586688844</c:v>
                </c:pt>
                <c:pt idx="547">
                  <c:v>24.325620215034103</c:v>
                </c:pt>
                <c:pt idx="548">
                  <c:v>24.203186374473056</c:v>
                </c:pt>
                <c:pt idx="549">
                  <c:v>24.08136894675906</c:v>
                </c:pt>
                <c:pt idx="550">
                  <c:v>23.960164829343963</c:v>
                </c:pt>
                <c:pt idx="551">
                  <c:v>23.839570935299371</c:v>
                </c:pt>
                <c:pt idx="552">
                  <c:v>23.719584193237807</c:v>
                </c:pt>
                <c:pt idx="553">
                  <c:v>23.600201547234569</c:v>
                </c:pt>
                <c:pt idx="554">
                  <c:v>23.481419956749949</c:v>
                </c:pt>
                <c:pt idx="555">
                  <c:v>23.363236396551613</c:v>
                </c:pt>
                <c:pt idx="556">
                  <c:v>23.24564785663777</c:v>
                </c:pt>
                <c:pt idx="557">
                  <c:v>23.128651342160421</c:v>
                </c:pt>
                <c:pt idx="558">
                  <c:v>23.012243873348922</c:v>
                </c:pt>
                <c:pt idx="559">
                  <c:v>22.896422485434385</c:v>
                </c:pt>
                <c:pt idx="560">
                  <c:v>22.781184228573927</c:v>
                </c:pt>
                <c:pt idx="561">
                  <c:v>22.666526167775633</c:v>
                </c:pt>
                <c:pt idx="562">
                  <c:v>22.552445382823841</c:v>
                </c:pt>
                <c:pt idx="563">
                  <c:v>22.438938968204614</c:v>
                </c:pt>
                <c:pt idx="564">
                  <c:v>22.326004033031939</c:v>
                </c:pt>
                <c:pt idx="565">
                  <c:v>22.213637700973972</c:v>
                </c:pt>
                <c:pt idx="566">
                  <c:v>22.101837110179726</c:v>
                </c:pt>
                <c:pt idx="567">
                  <c:v>21.990599413206354</c:v>
                </c:pt>
                <c:pt idx="568">
                  <c:v>21.879921776946453</c:v>
                </c:pt>
                <c:pt idx="569">
                  <c:v>21.76980138255599</c:v>
                </c:pt>
                <c:pt idx="570">
                  <c:v>21.66023542538256</c:v>
                </c:pt>
                <c:pt idx="571">
                  <c:v>21.551221114893725</c:v>
                </c:pt>
                <c:pt idx="572">
                  <c:v>21.442755674606271</c:v>
                </c:pt>
                <c:pt idx="573">
                  <c:v>21.334836342015194</c:v>
                </c:pt>
                <c:pt idx="574">
                  <c:v>21.227460368523502</c:v>
                </c:pt>
                <c:pt idx="575">
                  <c:v>21.120625019372181</c:v>
                </c:pt>
                <c:pt idx="576">
                  <c:v>21.014327573570501</c:v>
                </c:pt>
                <c:pt idx="577">
                  <c:v>20.908565323826725</c:v>
                </c:pt>
                <c:pt idx="578">
                  <c:v>20.803335576479185</c:v>
                </c:pt>
                <c:pt idx="579">
                  <c:v>20.698635651427612</c:v>
                </c:pt>
                <c:pt idx="580">
                  <c:v>20.594462882064988</c:v>
                </c:pt>
                <c:pt idx="581">
                  <c:v>20.490814615209473</c:v>
                </c:pt>
                <c:pt idx="582">
                  <c:v>20.387688211036942</c:v>
                </c:pt>
                <c:pt idx="583">
                  <c:v>20.285081043013694</c:v>
                </c:pt>
                <c:pt idx="584">
                  <c:v>20.182990497829561</c:v>
                </c:pt>
                <c:pt idx="585">
                  <c:v>20.081413975331412</c:v>
                </c:pt>
                <c:pt idx="586">
                  <c:v>19.980348888456795</c:v>
                </c:pt>
                <c:pt idx="587">
                  <c:v>19.879792663168132</c:v>
                </c:pt>
                <c:pt idx="588">
                  <c:v>19.779742738387206</c:v>
                </c:pt>
                <c:pt idx="589">
                  <c:v>19.68019656592973</c:v>
                </c:pt>
                <c:pt idx="590">
                  <c:v>19.58115161044071</c:v>
                </c:pt>
                <c:pt idx="591">
                  <c:v>19.482605349329646</c:v>
                </c:pt>
                <c:pt idx="592">
                  <c:v>19.384555272706432</c:v>
                </c:pt>
                <c:pt idx="593">
                  <c:v>19.286998883317317</c:v>
                </c:pt>
                <c:pt idx="594">
                  <c:v>19.189933696481326</c:v>
                </c:pt>
                <c:pt idx="595">
                  <c:v>19.093357240027046</c:v>
                </c:pt>
                <c:pt idx="596">
                  <c:v>18.997267054229582</c:v>
                </c:pt>
                <c:pt idx="597">
                  <c:v>18.901660691747917</c:v>
                </c:pt>
                <c:pt idx="598">
                  <c:v>18.806535717562582</c:v>
                </c:pt>
                <c:pt idx="599">
                  <c:v>18.711889708913642</c:v>
                </c:pt>
                <c:pt idx="600">
                  <c:v>18.617720255238979</c:v>
                </c:pt>
                <c:pt idx="601">
                  <c:v>18.524024958112914</c:v>
                </c:pt>
                <c:pt idx="602">
                  <c:v>18.430801431185071</c:v>
                </c:pt>
                <c:pt idx="603">
                  <c:v>18.33804730011963</c:v>
                </c:pt>
                <c:pt idx="604">
                  <c:v>18.245760202534832</c:v>
                </c:pt>
                <c:pt idx="605">
                  <c:v>18.153937787942823</c:v>
                </c:pt>
                <c:pt idx="606">
                  <c:v>18.062577717689791</c:v>
                </c:pt>
                <c:pt idx="607">
                  <c:v>17.971677664896362</c:v>
                </c:pt>
                <c:pt idx="608">
                  <c:v>17.881235314398349</c:v>
                </c:pt>
                <c:pt idx="609">
                  <c:v>17.791248362687796</c:v>
                </c:pt>
                <c:pt idx="610">
                  <c:v>17.701714517854267</c:v>
                </c:pt>
                <c:pt idx="611">
                  <c:v>17.61263149952654</c:v>
                </c:pt>
                <c:pt idx="612">
                  <c:v>17.523997038814493</c:v>
                </c:pt>
                <c:pt idx="613">
                  <c:v>17.435808878251198</c:v>
                </c:pt>
                <c:pt idx="614">
                  <c:v>17.348064771735572</c:v>
                </c:pt>
                <c:pt idx="615">
                  <c:v>17.260762484475165</c:v>
                </c:pt>
                <c:pt idx="616">
                  <c:v>17.173899792929095</c:v>
                </c:pt>
                <c:pt idx="617">
                  <c:v>17.087474484751585</c:v>
                </c:pt>
                <c:pt idx="618">
                  <c:v>17.001484358735414</c:v>
                </c:pt>
                <c:pt idx="619">
                  <c:v>16.915927224756075</c:v>
                </c:pt>
                <c:pt idx="620">
                  <c:v>16.830800903715801</c:v>
                </c:pt>
                <c:pt idx="621">
                  <c:v>16.746103227488145</c:v>
                </c:pt>
                <c:pt idx="622">
                  <c:v>16.661832038862769</c:v>
                </c:pt>
                <c:pt idx="623">
                  <c:v>16.577985191490427</c:v>
                </c:pt>
                <c:pt idx="624">
                  <c:v>16.494560549828361</c:v>
                </c:pt>
                <c:pt idx="625">
                  <c:v>16.411555989085873</c:v>
                </c:pt>
                <c:pt idx="626">
                  <c:v>16.328969395170176</c:v>
                </c:pt>
                <c:pt idx="627">
                  <c:v>16.246798664632635</c:v>
                </c:pt>
                <c:pt idx="628">
                  <c:v>16.165041704615074</c:v>
                </c:pt>
                <c:pt idx="629">
                  <c:v>16.08369643279654</c:v>
                </c:pt>
                <c:pt idx="630">
                  <c:v>16.002760777340235</c:v>
                </c:pt>
                <c:pt idx="631">
                  <c:v>15.922232676840757</c:v>
                </c:pt>
                <c:pt idx="632">
                  <c:v>15.842110080271588</c:v>
                </c:pt>
                <c:pt idx="633">
                  <c:v>15.762390946932811</c:v>
                </c:pt>
                <c:pt idx="634">
                  <c:v>15.683073246399207</c:v>
                </c:pt>
                <c:pt idx="635">
                  <c:v>15.604154958468456</c:v>
                </c:pt>
                <c:pt idx="636">
                  <c:v>15.525634073109716</c:v>
                </c:pt>
                <c:pt idx="637">
                  <c:v>15.44750859041244</c:v>
                </c:pt>
                <c:pt idx="638">
                  <c:v>15.369776520535364</c:v>
                </c:pt>
                <c:pt idx="639">
                  <c:v>15.292435883655937</c:v>
                </c:pt>
                <c:pt idx="640">
                  <c:v>15.215484709919753</c:v>
                </c:pt>
                <c:pt idx="641">
                  <c:v>15.138921039390464</c:v>
                </c:pt>
                <c:pt idx="642">
                  <c:v>15.062742921999851</c:v>
                </c:pt>
                <c:pt idx="643">
                  <c:v>14.986948417498091</c:v>
                </c:pt>
                <c:pt idx="644">
                  <c:v>14.911535595404422</c:v>
                </c:pt>
                <c:pt idx="645">
                  <c:v>14.836502534957869</c:v>
                </c:pt>
                <c:pt idx="646">
                  <c:v>14.761847325068393</c:v>
                </c:pt>
                <c:pt idx="647">
                  <c:v>14.68756806426819</c:v>
                </c:pt>
                <c:pt idx="648">
                  <c:v>14.613662860663206</c:v>
                </c:pt>
                <c:pt idx="649">
                  <c:v>14.540129831885039</c:v>
                </c:pt>
                <c:pt idx="650">
                  <c:v>14.466967105042905</c:v>
                </c:pt>
                <c:pt idx="651">
                  <c:v>14.394172816675951</c:v>
                </c:pt>
                <c:pt idx="652">
                  <c:v>14.321745112705832</c:v>
                </c:pt>
                <c:pt idx="653">
                  <c:v>14.249682148389383</c:v>
                </c:pt>
                <c:pt idx="654">
                  <c:v>14.177982088271765</c:v>
                </c:pt>
                <c:pt idx="655">
                  <c:v>14.106643106139577</c:v>
                </c:pt>
                <c:pt idx="656">
                  <c:v>14.035663384974402</c:v>
                </c:pt>
                <c:pt idx="657">
                  <c:v>13.965041116906526</c:v>
                </c:pt>
                <c:pt idx="658">
                  <c:v>13.89477450316884</c:v>
                </c:pt>
                <c:pt idx="659">
                  <c:v>13.824861754051097</c:v>
                </c:pt>
                <c:pt idx="660">
                  <c:v>13.755301088854212</c:v>
                </c:pt>
                <c:pt idx="661">
                  <c:v>13.686090735844996</c:v>
                </c:pt>
                <c:pt idx="662">
                  <c:v>13.61722893221099</c:v>
                </c:pt>
                <c:pt idx="663">
                  <c:v>13.548713924015518</c:v>
                </c:pt>
                <c:pt idx="664">
                  <c:v>13.480543966153101</c:v>
                </c:pt>
                <c:pt idx="665">
                  <c:v>13.412717322304889</c:v>
                </c:pt>
                <c:pt idx="666">
                  <c:v>13.345232264894522</c:v>
                </c:pt>
                <c:pt idx="667">
                  <c:v>13.27808707504408</c:v>
                </c:pt>
                <c:pt idx="668">
                  <c:v>13.211280042530277</c:v>
                </c:pt>
                <c:pt idx="669">
                  <c:v>13.144809465740954</c:v>
                </c:pt>
                <c:pt idx="670">
                  <c:v>13.078673651631659</c:v>
                </c:pt>
                <c:pt idx="671">
                  <c:v>13.012870915682567</c:v>
                </c:pt>
                <c:pt idx="672">
                  <c:v>12.947399581855555</c:v>
                </c:pt>
                <c:pt idx="673">
                  <c:v>12.882257982551501</c:v>
                </c:pt>
                <c:pt idx="674">
                  <c:v>12.817444458567813</c:v>
                </c:pt>
                <c:pt idx="675">
                  <c:v>12.752957359056127</c:v>
                </c:pt>
                <c:pt idx="676">
                  <c:v>12.688795041480285</c:v>
                </c:pt>
                <c:pt idx="677">
                  <c:v>12.624955871574491</c:v>
                </c:pt>
                <c:pt idx="678">
                  <c:v>12.561438223301668</c:v>
                </c:pt>
                <c:pt idx="679">
                  <c:v>12.49824047881204</c:v>
                </c:pt>
                <c:pt idx="680">
                  <c:v>12.435361028401875</c:v>
                </c:pt>
                <c:pt idx="681">
                  <c:v>12.372798270472556</c:v>
                </c:pt>
                <c:pt idx="682">
                  <c:v>12.310550611489726</c:v>
                </c:pt>
                <c:pt idx="683">
                  <c:v>12.248616465942678</c:v>
                </c:pt>
                <c:pt idx="684">
                  <c:v>12.186994256304022</c:v>
                </c:pt>
                <c:pt idx="685">
                  <c:v>12.125682412989434</c:v>
                </c:pt>
                <c:pt idx="686">
                  <c:v>12.064679374317707</c:v>
                </c:pt>
                <c:pt idx="687">
                  <c:v>12.003983586470961</c:v>
                </c:pt>
                <c:pt idx="688">
                  <c:v>11.943593503455029</c:v>
                </c:pt>
                <c:pt idx="689">
                  <c:v>11.883507587060127</c:v>
                </c:pt>
                <c:pt idx="690">
                  <c:v>11.8237243068216</c:v>
                </c:pt>
                <c:pt idx="691">
                  <c:v>11.764242139980983</c:v>
                </c:pt>
                <c:pt idx="692">
                  <c:v>11.705059571447176</c:v>
                </c:pt>
                <c:pt idx="693">
                  <c:v>11.646175093757869</c:v>
                </c:pt>
                <c:pt idx="694">
                  <c:v>11.587587207041114</c:v>
                </c:pt>
                <c:pt idx="695">
                  <c:v>11.529294418977123</c:v>
                </c:pt>
                <c:pt idx="696">
                  <c:v>11.471295244760245</c:v>
                </c:pt>
                <c:pt idx="697">
                  <c:v>11.413588207061148</c:v>
                </c:pt>
                <c:pt idx="698">
                  <c:v>11.356171835989159</c:v>
                </c:pt>
                <c:pt idx="699">
                  <c:v>11.299044669054851</c:v>
                </c:pt>
                <c:pt idx="700">
                  <c:v>11.242205251132745</c:v>
                </c:pt>
                <c:pt idx="701">
                  <c:v>11.185652134424245</c:v>
                </c:pt>
                <c:pt idx="702">
                  <c:v>11.129383878420787</c:v>
                </c:pt>
                <c:pt idx="703">
                  <c:v>11.073399049867087</c:v>
                </c:pt>
                <c:pt idx="704">
                  <c:v>11.017696222724654</c:v>
                </c:pt>
                <c:pt idx="705">
                  <c:v>10.962273978135466</c:v>
                </c:pt>
                <c:pt idx="706">
                  <c:v>10.907130904385779</c:v>
                </c:pt>
                <c:pt idx="707">
                  <c:v>10.852265596870209</c:v>
                </c:pt>
                <c:pt idx="708">
                  <c:v>10.79767665805592</c:v>
                </c:pt>
                <c:pt idx="709">
                  <c:v>10.74336269744702</c:v>
                </c:pt>
                <c:pt idx="710">
                  <c:v>10.689322331549125</c:v>
                </c:pt>
                <c:pt idx="711">
                  <c:v>10.635554183834113</c:v>
                </c:pt>
                <c:pt idx="712">
                  <c:v>10.582056884705075</c:v>
                </c:pt>
                <c:pt idx="713">
                  <c:v>10.528829071461393</c:v>
                </c:pt>
                <c:pt idx="714">
                  <c:v>10.475869388264028</c:v>
                </c:pt>
                <c:pt idx="715">
                  <c:v>10.423176486100971</c:v>
                </c:pt>
                <c:pt idx="716">
                  <c:v>10.370749022752861</c:v>
                </c:pt>
                <c:pt idx="717">
                  <c:v>10.318585662758842</c:v>
                </c:pt>
                <c:pt idx="718">
                  <c:v>10.266685077382448</c:v>
                </c:pt>
                <c:pt idx="719">
                  <c:v>10.215045944577817</c:v>
                </c:pt>
                <c:pt idx="720">
                  <c:v>10.163666948955976</c:v>
                </c:pt>
                <c:pt idx="721">
                  <c:v>10.112546781751323</c:v>
                </c:pt>
                <c:pt idx="722">
                  <c:v>10.061684140788319</c:v>
                </c:pt>
                <c:pt idx="723">
                  <c:v>10.011077730448227</c:v>
                </c:pt>
                <c:pt idx="724">
                  <c:v>9.9607262616361876</c:v>
                </c:pt>
                <c:pt idx="725">
                  <c:v>9.9106284517483303</c:v>
                </c:pt>
                <c:pt idx="726">
                  <c:v>9.8607830246390691</c:v>
                </c:pt>
                <c:pt idx="727">
                  <c:v>9.8111887105886524</c:v>
                </c:pt>
                <c:pt idx="728">
                  <c:v>9.7618442462707318</c:v>
                </c:pt>
                <c:pt idx="729">
                  <c:v>9.7127483747202383</c:v>
                </c:pt>
                <c:pt idx="730">
                  <c:v>9.6638998453013087</c:v>
                </c:pt>
                <c:pt idx="731">
                  <c:v>9.6152974136754228</c:v>
                </c:pt>
                <c:pt idx="732">
                  <c:v>9.5669398417697344</c:v>
                </c:pt>
                <c:pt idx="733">
                  <c:v>9.5188258977454776</c:v>
                </c:pt>
                <c:pt idx="734">
                  <c:v>9.4709543559665974</c:v>
                </c:pt>
                <c:pt idx="735">
                  <c:v>9.4233239969685147</c:v>
                </c:pt>
                <c:pt idx="736">
                  <c:v>9.3759336074270543</c:v>
                </c:pt>
                <c:pt idx="737">
                  <c:v>9.3287819801275411</c:v>
                </c:pt>
                <c:pt idx="738">
                  <c:v>9.2818679139339952</c:v>
                </c:pt>
                <c:pt idx="739">
                  <c:v>9.2351902137585693</c:v>
                </c:pt>
                <c:pt idx="740">
                  <c:v>9.1887476905310788</c:v>
                </c:pt>
                <c:pt idx="741">
                  <c:v>9.1425391611686742</c:v>
                </c:pt>
                <c:pt idx="742">
                  <c:v>9.096563448545762</c:v>
                </c:pt>
                <c:pt idx="743">
                  <c:v>9.0508193814639064</c:v>
                </c:pt>
                <c:pt idx="744">
                  <c:v>9.0053057946221031</c:v>
                </c:pt>
                <c:pt idx="745">
                  <c:v>8.9600215285869762</c:v>
                </c:pt>
                <c:pt idx="746">
                  <c:v>8.9149654297632761</c:v>
                </c:pt>
                <c:pt idx="747">
                  <c:v>8.870136350364513</c:v>
                </c:pt>
                <c:pt idx="748">
                  <c:v>8.8255331483836432</c:v>
                </c:pt>
                <c:pt idx="749">
                  <c:v>8.7811546875640332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621-4875-B88C-B488B95351CA}"/>
            </c:ext>
          </c:extLst>
        </c:ser>
        <c:ser>
          <c:idx val="4"/>
          <c:order val="4"/>
          <c:tx>
            <c:strRef>
              <c:f>'sheet 1'!$R$38</c:f>
              <c:strCache>
                <c:ptCount val="1"/>
                <c:pt idx="0">
                  <c:v>I3</c:v>
                </c:pt>
              </c:strCache>
            </c:strRef>
          </c:tx>
          <c:spPr>
            <a:ln w="28575">
              <a:noFill/>
            </a:ln>
          </c:spPr>
          <c:xVal>
            <c:numRef>
              <c:f>'sheet 1'!$B$39:$B$841</c:f>
              <c:numCache>
                <c:formatCode>General</c:formatCode>
                <c:ptCount val="803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</c:numCache>
            </c:numRef>
          </c:xVal>
          <c:yVal>
            <c:numRef>
              <c:f>'sheet 1'!$R$39:$R$841</c:f>
              <c:numCache>
                <c:formatCode>General</c:formatCode>
                <c:ptCount val="8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621-4875-B88C-B488B95351CA}"/>
            </c:ext>
          </c:extLst>
        </c:ser>
        <c:ser>
          <c:idx val="5"/>
          <c:order val="5"/>
          <c:tx>
            <c:strRef>
              <c:f>'sheet 1'!$S$38</c:f>
              <c:strCache>
                <c:ptCount val="1"/>
                <c:pt idx="0">
                  <c:v>I4</c:v>
                </c:pt>
              </c:strCache>
            </c:strRef>
          </c:tx>
          <c:spPr>
            <a:ln w="28575">
              <a:noFill/>
            </a:ln>
          </c:spPr>
          <c:xVal>
            <c:numRef>
              <c:f>'sheet 1'!$B$39:$B$841</c:f>
              <c:numCache>
                <c:formatCode>General</c:formatCode>
                <c:ptCount val="803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</c:numCache>
            </c:numRef>
          </c:xVal>
          <c:yVal>
            <c:numRef>
              <c:f>'sheet 1'!$S$39:$S$841</c:f>
              <c:numCache>
                <c:formatCode>General</c:formatCode>
                <c:ptCount val="8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621-4875-B88C-B488B95351CA}"/>
            </c:ext>
          </c:extLst>
        </c:ser>
        <c:ser>
          <c:idx val="6"/>
          <c:order val="6"/>
          <c:tx>
            <c:strRef>
              <c:f>'sheet 1'!$T$38</c:f>
              <c:strCache>
                <c:ptCount val="1"/>
                <c:pt idx="0">
                  <c:v>I5</c:v>
                </c:pt>
              </c:strCache>
            </c:strRef>
          </c:tx>
          <c:spPr>
            <a:ln w="28575">
              <a:noFill/>
            </a:ln>
          </c:spPr>
          <c:xVal>
            <c:numRef>
              <c:f>'sheet 1'!$B$39:$B$841</c:f>
              <c:numCache>
                <c:formatCode>General</c:formatCode>
                <c:ptCount val="803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</c:numCache>
            </c:numRef>
          </c:xVal>
          <c:yVal>
            <c:numRef>
              <c:f>'sheet 1'!$T$39:$T$841</c:f>
              <c:numCache>
                <c:formatCode>General</c:formatCode>
                <c:ptCount val="8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621-4875-B88C-B488B9535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29312"/>
        <c:axId val="90530176"/>
      </c:scatterChart>
      <c:valAx>
        <c:axId val="8682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Τ(</a:t>
                </a:r>
                <a:r>
                  <a:rPr lang="en-US"/>
                  <a:t>s)</a:t>
                </a:r>
                <a:endParaRPr lang="el-G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90530176"/>
        <c:crosses val="autoZero"/>
        <c:crossBetween val="midCat"/>
      </c:valAx>
      <c:valAx>
        <c:axId val="90530176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CW OSL Intensity (au)</a:t>
                </a:r>
                <a:endParaRPr lang="el-G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868293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142874</xdr:colOff>
      <xdr:row>2</xdr:row>
      <xdr:rowOff>33868</xdr:rowOff>
    </xdr:from>
    <xdr:to>
      <xdr:col>8</xdr:col>
      <xdr:colOff>173355</xdr:colOff>
      <xdr:row>14</xdr:row>
      <xdr:rowOff>5293</xdr:rowOff>
    </xdr:to>
    <xdr:sp macro="" textlink="">
      <xdr:nvSpPr>
        <xdr:cNvPr id="2" name="1 - TextBox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52474" y="406401"/>
          <a:ext cx="5212081" cy="220662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 u="sng"/>
            <a:t>CW - OSL fitting</a:t>
          </a:r>
          <a:r>
            <a:rPr lang="en-US" sz="1100" b="1" u="sng" baseline="0"/>
            <a:t> with Lambert W0 function:</a:t>
          </a:r>
        </a:p>
        <a:p>
          <a:endParaRPr lang="en-US" sz="1100" b="1" baseline="0"/>
        </a:p>
        <a:p>
          <a:r>
            <a:rPr lang="en-US" sz="1100" b="1" baseline="0"/>
            <a:t>Ri = An/Am</a:t>
          </a:r>
        </a:p>
        <a:p>
          <a:endParaRPr lang="en-US" sz="1100" b="1"/>
        </a:p>
        <a:p>
          <a:r>
            <a:rPr lang="en-US" sz="1100" b="1"/>
            <a:t>C=(n0/N)*[(1-Ri)/Ri]&gt;0,</a:t>
          </a:r>
          <a:r>
            <a:rPr lang="en-US" sz="1100" b="1" baseline="0"/>
            <a:t> </a:t>
          </a:r>
          <a:r>
            <a:rPr lang="el-GR" sz="1100" b="1" baseline="0"/>
            <a:t>όπου  </a:t>
          </a:r>
          <a:r>
            <a:rPr lang="en-US" sz="1100" b="1" baseline="0"/>
            <a:t>n0=N</a:t>
          </a:r>
          <a:r>
            <a:rPr lang="el-GR" sz="1100" b="1" baseline="0"/>
            <a:t>, άρα </a:t>
          </a:r>
          <a:r>
            <a:rPr lang="en-US" sz="1100" b="1" baseline="0"/>
            <a:t>C=(1-Ri)/Ri</a:t>
          </a:r>
        </a:p>
        <a:p>
          <a:endParaRPr lang="en-US" sz="1100" b="1" baseline="0"/>
        </a:p>
        <a:p>
          <a:r>
            <a:rPr lang="en-US" sz="1100" b="1" baseline="0"/>
            <a:t>zi=Ri/(</a:t>
          </a:r>
          <a:r>
            <a:rPr lang="el-GR" sz="1100" b="1" baseline="0"/>
            <a:t>1-</a:t>
          </a:r>
          <a:r>
            <a:rPr lang="en-US" sz="1100" b="1" baseline="0"/>
            <a:t>Ri)-ln[(1-Ri)/Ri]+</a:t>
          </a:r>
          <a:r>
            <a:rPr lang="el-GR" sz="1100" b="1" baseline="0"/>
            <a:t>λ</a:t>
          </a:r>
          <a:r>
            <a:rPr lang="en-US" sz="1100" b="1" baseline="0"/>
            <a:t>i*t/(1-Ri)</a:t>
          </a:r>
        </a:p>
        <a:p>
          <a:endParaRPr lang="en-US" sz="1100" b="1" baseline="0"/>
        </a:p>
        <a:p>
          <a:r>
            <a:rPr lang="en-US" sz="1100" b="1" baseline="0"/>
            <a:t>Ioi=N*Ri/(1-Ri)^2</a:t>
          </a:r>
        </a:p>
        <a:p>
          <a:endParaRPr lang="en-US" sz="1100" b="1" baseline="0"/>
        </a:p>
        <a:p>
          <a:r>
            <a:rPr lang="en-US" sz="1100" b="1" baseline="0"/>
            <a:t>Itot= </a:t>
          </a:r>
          <a:r>
            <a:rPr lang="el-GR" sz="1100" b="1" baseline="0"/>
            <a:t>Σ</a:t>
          </a:r>
          <a:r>
            <a:rPr lang="en-US" sz="1100" b="1" baseline="0"/>
            <a:t>(Ii)=[Io1*</a:t>
          </a:r>
          <a:r>
            <a:rPr lang="el-GR" sz="1100" b="1" baseline="0"/>
            <a:t>λ1/</a:t>
          </a:r>
          <a:r>
            <a:rPr lang="en-US" sz="1100" b="1" baseline="0"/>
            <a:t>(W(e^z1)+W(e^z1)^2)+ I02*</a:t>
          </a:r>
          <a:r>
            <a:rPr lang="el-GR" sz="1100" b="1" baseline="0"/>
            <a:t>λ2/(</a:t>
          </a:r>
          <a:r>
            <a:rPr lang="en-US" sz="1100" b="1" baseline="0"/>
            <a:t>W(e^z2)+W(e^z2)+...</a:t>
          </a:r>
          <a:endParaRPr lang="el-GR" sz="1100" b="1"/>
        </a:p>
      </xdr:txBody>
    </xdr:sp>
    <xdr:clientData/>
  </xdr:twoCellAnchor>
  <xdr:twoCellAnchor>
    <xdr:from>
      <xdr:col>8</xdr:col>
      <xdr:colOff>233895</xdr:colOff>
      <xdr:row>19</xdr:row>
      <xdr:rowOff>91014</xdr:rowOff>
    </xdr:from>
    <xdr:to>
      <xdr:col>19</xdr:col>
      <xdr:colOff>389471</xdr:colOff>
      <xdr:row>46</xdr:row>
      <xdr:rowOff>135465</xdr:rowOff>
    </xdr:to>
    <xdr:graphicFrame macro="">
      <xdr:nvGraphicFramePr>
        <xdr:cNvPr id="4" name="3 - Γράφημα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____2"/>
  <dimension ref="A2:AB838"/>
  <sheetViews>
    <sheetView tabSelected="1" topLeftCell="A19" zoomScale="90" zoomScaleNormal="90" workbookViewId="0">
      <selection activeCell="H29" sqref="H29"/>
    </sheetView>
  </sheetViews>
  <sheetFormatPr defaultRowHeight="14.4" x14ac:dyDescent="0.3"/>
  <cols>
    <col min="2" max="3" width="14.44140625" customWidth="1"/>
    <col min="5" max="5" width="11.109375" customWidth="1"/>
    <col min="9" max="9" width="5.88671875" customWidth="1"/>
    <col min="10" max="10" width="12" customWidth="1"/>
    <col min="11" max="11" width="13" customWidth="1"/>
    <col min="12" max="12" width="14.109375" customWidth="1"/>
    <col min="13" max="13" width="15.5546875" customWidth="1"/>
    <col min="14" max="14" width="14" customWidth="1"/>
    <col min="15" max="15" width="5.88671875" customWidth="1"/>
    <col min="21" max="21" width="4.6640625" customWidth="1"/>
    <col min="22" max="22" width="15.44140625" customWidth="1"/>
    <col min="23" max="23" width="6.109375" customWidth="1"/>
    <col min="24" max="24" width="23.33203125" customWidth="1"/>
    <col min="25" max="25" width="19.5546875" customWidth="1"/>
    <col min="26" max="26" width="12.21875" bestFit="1" customWidth="1"/>
  </cols>
  <sheetData>
    <row r="2" spans="11:11" x14ac:dyDescent="0.3">
      <c r="K2" s="23" t="s">
        <v>30</v>
      </c>
    </row>
    <row r="3" spans="11:11" x14ac:dyDescent="0.3">
      <c r="K3" s="24" t="s">
        <v>31</v>
      </c>
    </row>
    <row r="4" spans="11:11" x14ac:dyDescent="0.3">
      <c r="K4" s="24" t="s">
        <v>32</v>
      </c>
    </row>
    <row r="5" spans="11:11" x14ac:dyDescent="0.3">
      <c r="K5" s="24" t="s">
        <v>33</v>
      </c>
    </row>
    <row r="6" spans="11:11" x14ac:dyDescent="0.3">
      <c r="K6" s="24" t="s">
        <v>34</v>
      </c>
    </row>
    <row r="19" spans="1:7" x14ac:dyDescent="0.3">
      <c r="E19" s="27" t="s">
        <v>36</v>
      </c>
    </row>
    <row r="20" spans="1:7" x14ac:dyDescent="0.3">
      <c r="A20" s="26" t="s">
        <v>35</v>
      </c>
      <c r="B20" s="8"/>
      <c r="C20" s="1">
        <v>1</v>
      </c>
      <c r="D20" s="1">
        <v>2</v>
      </c>
      <c r="E20" s="1">
        <v>3</v>
      </c>
      <c r="F20" s="1">
        <v>4</v>
      </c>
      <c r="G20" s="1">
        <v>5</v>
      </c>
    </row>
    <row r="21" spans="1:7" x14ac:dyDescent="0.3">
      <c r="A21">
        <v>1000</v>
      </c>
      <c r="B21" s="6" t="s">
        <v>2</v>
      </c>
      <c r="C21" s="20">
        <v>101.52047303452061</v>
      </c>
      <c r="D21" s="20">
        <v>6.1757460164354738E-3</v>
      </c>
      <c r="E21" s="20">
        <v>0</v>
      </c>
      <c r="F21" s="9">
        <v>0</v>
      </c>
      <c r="G21" s="9">
        <v>0</v>
      </c>
    </row>
    <row r="22" spans="1:7" x14ac:dyDescent="0.3">
      <c r="B22" s="6" t="s">
        <v>0</v>
      </c>
      <c r="C22" s="20">
        <v>0.18699396909924867</v>
      </c>
      <c r="D22" s="20">
        <v>5.0425621223899847E-2</v>
      </c>
      <c r="E22" s="20">
        <v>0.1</v>
      </c>
      <c r="F22" s="9">
        <v>0.1</v>
      </c>
      <c r="G22" s="9">
        <v>0.1</v>
      </c>
    </row>
    <row r="23" spans="1:7" x14ac:dyDescent="0.3">
      <c r="B23" s="6" t="s">
        <v>1</v>
      </c>
      <c r="C23" s="20">
        <v>0.75126563537933544</v>
      </c>
      <c r="D23" s="20">
        <v>8.0454297746890247E-4</v>
      </c>
      <c r="E23" s="20">
        <v>0.1</v>
      </c>
      <c r="F23" s="9">
        <v>0.1</v>
      </c>
      <c r="G23" s="9">
        <v>0.1</v>
      </c>
    </row>
    <row r="24" spans="1:7" x14ac:dyDescent="0.3">
      <c r="G24" s="25"/>
    </row>
    <row r="25" spans="1:7" x14ac:dyDescent="0.3">
      <c r="B25" s="6" t="s">
        <v>37</v>
      </c>
      <c r="C25">
        <f>1/C22</f>
        <v>5.3477660526540367</v>
      </c>
      <c r="D25" s="20">
        <f t="shared" ref="D25:G25" si="0">1/D22</f>
        <v>19.831188505537689</v>
      </c>
      <c r="E25" s="20">
        <f t="shared" si="0"/>
        <v>10</v>
      </c>
      <c r="F25" s="20">
        <f t="shared" si="0"/>
        <v>10</v>
      </c>
      <c r="G25" s="20">
        <f t="shared" si="0"/>
        <v>10</v>
      </c>
    </row>
    <row r="26" spans="1:7" s="20" customFormat="1" x14ac:dyDescent="0.3">
      <c r="B26" s="6" t="s">
        <v>39</v>
      </c>
      <c r="C26" s="20">
        <f>10^(-17)*C22/1.13</f>
        <v>1.6548138858340593E-18</v>
      </c>
      <c r="D26" s="20">
        <f t="shared" ref="D26:G26" si="1">10^(-17)*D22/1.13</f>
        <v>4.4624443560973323E-19</v>
      </c>
      <c r="E26" s="20">
        <f t="shared" si="1"/>
        <v>8.8495575221238944E-19</v>
      </c>
      <c r="F26" s="20">
        <f t="shared" si="1"/>
        <v>8.8495575221238944E-19</v>
      </c>
      <c r="G26" s="20">
        <f t="shared" si="1"/>
        <v>8.8495575221238944E-19</v>
      </c>
    </row>
    <row r="28" spans="1:7" x14ac:dyDescent="0.3">
      <c r="C28" s="1">
        <v>1</v>
      </c>
      <c r="D28" s="1">
        <v>2</v>
      </c>
      <c r="E28" s="1">
        <v>3</v>
      </c>
      <c r="F28" s="1">
        <v>4</v>
      </c>
      <c r="G28" s="1">
        <v>5</v>
      </c>
    </row>
    <row r="29" spans="1:7" x14ac:dyDescent="0.3">
      <c r="B29" s="14" t="s">
        <v>16</v>
      </c>
      <c r="C29">
        <f>SUM(P39:P838)</f>
        <v>78359.150944972745</v>
      </c>
      <c r="D29" s="20">
        <f t="shared" ref="D29:G29" si="2">SUM(Q39:Q838)</f>
        <v>74649.112537102948</v>
      </c>
      <c r="E29" s="20">
        <f t="shared" si="2"/>
        <v>0</v>
      </c>
      <c r="F29" s="20">
        <f t="shared" si="2"/>
        <v>0</v>
      </c>
      <c r="G29" s="20">
        <f t="shared" si="2"/>
        <v>0</v>
      </c>
    </row>
    <row r="30" spans="1:7" x14ac:dyDescent="0.3">
      <c r="B30" s="14" t="s">
        <v>38</v>
      </c>
      <c r="C30">
        <f>100*C29/SUM($C$29:$G$29)</f>
        <v>51.212365372770996</v>
      </c>
      <c r="D30" s="20">
        <f t="shared" ref="D30:G30" si="3">100*D29/SUM($C$29:$G$29)</f>
        <v>48.787634627228996</v>
      </c>
      <c r="E30" s="20">
        <f t="shared" si="3"/>
        <v>0</v>
      </c>
      <c r="F30" s="20">
        <f t="shared" si="3"/>
        <v>0</v>
      </c>
      <c r="G30" s="20">
        <f t="shared" si="3"/>
        <v>0</v>
      </c>
    </row>
    <row r="31" spans="1:7" s="20" customFormat="1" x14ac:dyDescent="0.3">
      <c r="B31" s="22"/>
    </row>
    <row r="32" spans="1:7" x14ac:dyDescent="0.3">
      <c r="B32" s="14" t="s">
        <v>17</v>
      </c>
      <c r="C32">
        <f>SUM(X39:X138)</f>
        <v>96880.416939437258</v>
      </c>
    </row>
    <row r="33" spans="2:28" x14ac:dyDescent="0.3">
      <c r="B33" s="14" t="s">
        <v>18</v>
      </c>
      <c r="C33">
        <f>SUM(AA39:AA838)*100</f>
        <v>5.0230556066996579</v>
      </c>
    </row>
    <row r="37" spans="2:28" x14ac:dyDescent="0.3">
      <c r="B37" s="5"/>
      <c r="C37" s="7" t="s">
        <v>3</v>
      </c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2" t="s">
        <v>25</v>
      </c>
      <c r="W37" s="3"/>
      <c r="X37" s="17"/>
      <c r="Y37" s="17"/>
      <c r="Z37" s="17"/>
      <c r="AA37" s="17"/>
      <c r="AB37" s="17"/>
    </row>
    <row r="38" spans="2:28" x14ac:dyDescent="0.3">
      <c r="B38" s="11" t="s">
        <v>4</v>
      </c>
      <c r="C38" s="13" t="s">
        <v>5</v>
      </c>
      <c r="D38" s="10" t="s">
        <v>6</v>
      </c>
      <c r="E38" s="10" t="s">
        <v>7</v>
      </c>
      <c r="F38" s="10" t="s">
        <v>8</v>
      </c>
      <c r="G38" s="10" t="s">
        <v>9</v>
      </c>
      <c r="H38" s="10" t="s">
        <v>10</v>
      </c>
      <c r="I38" s="3"/>
      <c r="J38" s="16" t="s">
        <v>11</v>
      </c>
      <c r="K38" s="16" t="s">
        <v>12</v>
      </c>
      <c r="L38" s="16" t="s">
        <v>13</v>
      </c>
      <c r="M38" s="16" t="s">
        <v>14</v>
      </c>
      <c r="N38" s="16" t="s">
        <v>15</v>
      </c>
      <c r="O38" s="3"/>
      <c r="P38" s="4" t="s">
        <v>19</v>
      </c>
      <c r="Q38" s="4" t="s">
        <v>20</v>
      </c>
      <c r="R38" s="4" t="s">
        <v>21</v>
      </c>
      <c r="S38" s="4" t="s">
        <v>22</v>
      </c>
      <c r="T38" s="4" t="s">
        <v>23</v>
      </c>
      <c r="U38" s="3"/>
      <c r="V38" s="21" t="s">
        <v>24</v>
      </c>
      <c r="W38" s="3"/>
      <c r="X38" s="14" t="s">
        <v>28</v>
      </c>
      <c r="Y38" s="14" t="s">
        <v>29</v>
      </c>
      <c r="Z38" s="22" t="s">
        <v>26</v>
      </c>
      <c r="AA38" s="22" t="s">
        <v>27</v>
      </c>
      <c r="AB38" s="17"/>
    </row>
    <row r="39" spans="2:28" x14ac:dyDescent="0.3">
      <c r="B39" s="28">
        <v>0.1</v>
      </c>
      <c r="C39" s="20">
        <v>1713.7857100000001</v>
      </c>
      <c r="D39">
        <f>$C$23/(1-$C$23)-LN((1-$C$23)/$C$23)+$C$22/(1-$C$23)*B39</f>
        <v>4.2009051651643672</v>
      </c>
      <c r="E39" s="12">
        <f>$D$23/(1-$D$23)-LN((1-$D$23)/$D$23)+$D$22*B39/(1-$D$23)</f>
        <v>-7.1185794916867327</v>
      </c>
      <c r="F39" s="12">
        <f>$E$23/(1-$E$23)-LN((1-$E$23)/$E$23)+$E$22*B39/(1-$E$23)</f>
        <v>-2.0750023551139973</v>
      </c>
      <c r="G39" s="12">
        <f>$F$23/(1-$F$23)-LN((1-$F$23)/$F$23)+$F$22*B39/(1-$F$23)</f>
        <v>-2.0750023551139973</v>
      </c>
      <c r="H39" s="12">
        <f>$G$23/(1-$G$23)-LN((1-$G$23)/$G$23)+$G$22*B39/(1-$G$23)</f>
        <v>-2.0750023551139973</v>
      </c>
      <c r="I39" s="3"/>
      <c r="J39">
        <f>lmb_2(D39)</f>
        <v>3.0769623159194586</v>
      </c>
      <c r="K39" s="18">
        <f>lmb_2(E39)</f>
        <v>8.0926125853640336E-4</v>
      </c>
      <c r="L39" s="18">
        <f t="shared" ref="L39:N39" si="4">lmb_2(F39)</f>
        <v>0.11222723389509251</v>
      </c>
      <c r="M39" s="18">
        <f t="shared" si="4"/>
        <v>0.11222723389509251</v>
      </c>
      <c r="N39" s="18">
        <f t="shared" si="4"/>
        <v>0.11222723389509251</v>
      </c>
      <c r="O39" s="3"/>
      <c r="P39" s="20">
        <f>($C$21*$A$21*$C$22)/(J39+J39^2)</f>
        <v>1513.2906823416856</v>
      </c>
      <c r="Q39" s="19">
        <f>($D$21*$A$21*$D$22)/(K39+K39^2)</f>
        <v>384.50378432671516</v>
      </c>
      <c r="R39" s="19">
        <f>($E$21*$A$21*$E$22)/(L39+L39^2)</f>
        <v>0</v>
      </c>
      <c r="S39" s="19">
        <f>($F$21*$A$21*$F$22)/(M39+M39^2)</f>
        <v>0</v>
      </c>
      <c r="T39" s="19">
        <f>($G$21*$A$21*$G$22)/(N39+N39^2)</f>
        <v>0</v>
      </c>
      <c r="U39" s="3"/>
      <c r="V39">
        <f>SUM(P39:T39)</f>
        <v>1897.7944666684007</v>
      </c>
      <c r="W39" s="3"/>
      <c r="X39">
        <f>(V39-C39)^2</f>
        <v>33859.222530650652</v>
      </c>
      <c r="Y39">
        <f>ABS(V39-C39)</f>
        <v>184.00875666840057</v>
      </c>
      <c r="Z39">
        <f>SUM(V39:V838)</f>
        <v>153008.26348207623</v>
      </c>
      <c r="AA39">
        <f>Y39/$Z$39</f>
        <v>1.2026066598027616E-3</v>
      </c>
      <c r="AB39" s="17"/>
    </row>
    <row r="40" spans="2:28" x14ac:dyDescent="0.3">
      <c r="B40" s="28">
        <v>0.2</v>
      </c>
      <c r="C40" s="20">
        <v>1908.2857200000001</v>
      </c>
      <c r="D40" s="18">
        <f t="shared" ref="D40:D103" si="5">$C$23/(1-$C$23)-LN((1-$C$23)/$C$23)+$C$22/(1-$C$23)*B40</f>
        <v>4.2760833454630269</v>
      </c>
      <c r="E40" s="18">
        <f t="shared" ref="E40:E103" si="6">$D$23/(1-$D$23)-LN((1-$D$23)/$D$23)+$D$22*B40/(1-$D$23)</f>
        <v>-7.1135328693397737</v>
      </c>
      <c r="F40" s="18">
        <f>$E$23/(1-$E$23)-LN((1-$E$23)/$E$23)+$E$22*B40/(1-$E$23)</f>
        <v>-2.0638912440028863</v>
      </c>
      <c r="G40" s="18">
        <f t="shared" ref="G40:G103" si="7">$F$23/(1-$F$23)-LN((1-$F$23)/$F$23)+$F$22*B40/(1-$F$23)</f>
        <v>-2.0638912440028863</v>
      </c>
      <c r="H40" s="18">
        <f t="shared" ref="H40:H103" si="8">$G$23/(1-$G$23)-LN((1-$G$23)/$G$23)+$G$22*B40/(1-$G$23)</f>
        <v>-2.0638912440028863</v>
      </c>
      <c r="I40" s="3"/>
      <c r="J40" s="18">
        <f t="shared" ref="J40:J103" si="9">lmb_2(D40)</f>
        <v>3.1338280644192045</v>
      </c>
      <c r="K40" s="18">
        <f t="shared" ref="K40:K103" si="10">lmb_2(E40)</f>
        <v>8.1335228968299042E-4</v>
      </c>
      <c r="L40" s="18">
        <f t="shared" ref="L40:L103" si="11">lmb_2(F40)</f>
        <v>0.11335342676517898</v>
      </c>
      <c r="M40" s="18">
        <f t="shared" ref="M40:M103" si="12">lmb_2(G40)</f>
        <v>0.11335342676517898</v>
      </c>
      <c r="N40" s="18">
        <f t="shared" ref="N40:N103" si="13">lmb_2(H40)</f>
        <v>0.11335342676517898</v>
      </c>
      <c r="O40" s="3"/>
      <c r="P40" s="19">
        <f>($C$21*$A$21*$C$22)/(J40+J40^2)</f>
        <v>1465.3914653734071</v>
      </c>
      <c r="Q40" s="20">
        <f t="shared" ref="Q40:Q103" si="14">($D$21*$A$21*$D$22)/(K40+K40^2)</f>
        <v>382.56822832623163</v>
      </c>
      <c r="R40" s="20">
        <f t="shared" ref="R40:R103" si="15">($E$21*$A$21*$E$22)/(L40+L40^2)</f>
        <v>0</v>
      </c>
      <c r="S40" s="20">
        <f t="shared" ref="S40:S103" si="16">($F$21*$A$21*$F$22)/(M40+M40^2)</f>
        <v>0</v>
      </c>
      <c r="T40" s="20">
        <f t="shared" ref="T40:T103" si="17">($G$21*$A$21*$G$22)/(N40+N40^2)</f>
        <v>0</v>
      </c>
      <c r="U40" s="3"/>
      <c r="V40" s="20">
        <f t="shared" ref="V40:V103" si="18">SUM(P40:T40)</f>
        <v>1847.9596936996386</v>
      </c>
      <c r="W40" s="3"/>
      <c r="X40" s="15">
        <f t="shared" ref="X40:X103" si="19">(V40-C40)^2</f>
        <v>3639.2294491919065</v>
      </c>
      <c r="Y40" s="15">
        <f t="shared" ref="Y40:Y103" si="20">ABS(V40-C40)</f>
        <v>60.326026300361491</v>
      </c>
      <c r="AA40" s="15">
        <f t="shared" ref="AA40:AA103" si="21">Y40/$Z$39</f>
        <v>3.942664593891573E-4</v>
      </c>
      <c r="AB40" s="17"/>
    </row>
    <row r="41" spans="2:28" x14ac:dyDescent="0.3">
      <c r="B41" s="28">
        <v>0.3</v>
      </c>
      <c r="C41" s="20">
        <v>1891.5357100000001</v>
      </c>
      <c r="D41" s="18">
        <f t="shared" si="5"/>
        <v>4.3512615257616867</v>
      </c>
      <c r="E41" s="18">
        <f t="shared" si="6"/>
        <v>-7.1084862469928138</v>
      </c>
      <c r="F41" s="18">
        <f t="shared" ref="F41:F103" si="22">$E$23/(1-$E$23)-LN((1-$E$23)/$E$23)+$E$22*B41/(1-$E$23)</f>
        <v>-2.0527801328917752</v>
      </c>
      <c r="G41" s="18">
        <f t="shared" si="7"/>
        <v>-2.0527801328917752</v>
      </c>
      <c r="H41" s="18">
        <f t="shared" si="8"/>
        <v>-2.0527801328917752</v>
      </c>
      <c r="I41" s="3"/>
      <c r="J41" s="18">
        <f t="shared" si="9"/>
        <v>3.1909445542747257</v>
      </c>
      <c r="K41" s="18">
        <f t="shared" si="10"/>
        <v>8.1746398518898664E-4</v>
      </c>
      <c r="L41" s="18">
        <f t="shared" si="11"/>
        <v>0.11448975993936825</v>
      </c>
      <c r="M41" s="18">
        <f t="shared" si="12"/>
        <v>0.11448975993936825</v>
      </c>
      <c r="N41" s="18">
        <f t="shared" si="13"/>
        <v>0.11448975993936825</v>
      </c>
      <c r="O41" s="3"/>
      <c r="P41" s="20">
        <f t="shared" ref="P41:P104" si="23">($C$21*$A$21*$C$22)/(J41+J41^2)</f>
        <v>1419.5479258278804</v>
      </c>
      <c r="Q41" s="20">
        <f t="shared" si="14"/>
        <v>380.64241574596787</v>
      </c>
      <c r="R41" s="20">
        <f t="shared" si="15"/>
        <v>0</v>
      </c>
      <c r="S41" s="20">
        <f t="shared" si="16"/>
        <v>0</v>
      </c>
      <c r="T41" s="20">
        <f t="shared" si="17"/>
        <v>0</v>
      </c>
      <c r="U41" s="3"/>
      <c r="V41" s="20">
        <f t="shared" si="18"/>
        <v>1800.1903415738482</v>
      </c>
      <c r="W41" s="3"/>
      <c r="X41" s="15">
        <f t="shared" si="19"/>
        <v>8343.9763329094349</v>
      </c>
      <c r="Y41" s="15">
        <f t="shared" si="20"/>
        <v>91.345368426151936</v>
      </c>
      <c r="AA41" s="15">
        <f t="shared" si="21"/>
        <v>5.9699630822130311E-4</v>
      </c>
      <c r="AB41" s="17"/>
    </row>
    <row r="42" spans="2:28" x14ac:dyDescent="0.3">
      <c r="B42" s="28">
        <v>0.4</v>
      </c>
      <c r="C42" s="20">
        <v>1856.5357200000001</v>
      </c>
      <c r="D42" s="18">
        <f t="shared" si="5"/>
        <v>4.4264397060603464</v>
      </c>
      <c r="E42" s="18">
        <f t="shared" si="6"/>
        <v>-7.1034396246458549</v>
      </c>
      <c r="F42" s="18">
        <f t="shared" si="22"/>
        <v>-2.0416690217806641</v>
      </c>
      <c r="G42" s="18">
        <f t="shared" si="7"/>
        <v>-2.0416690217806641</v>
      </c>
      <c r="H42" s="18">
        <f t="shared" si="8"/>
        <v>-2.0416690217806641</v>
      </c>
      <c r="I42" s="3"/>
      <c r="J42" s="18">
        <f t="shared" si="9"/>
        <v>3.248306058397942</v>
      </c>
      <c r="K42" s="18">
        <f t="shared" si="10"/>
        <v>8.2159644926182377E-4</v>
      </c>
      <c r="L42" s="18">
        <f t="shared" si="11"/>
        <v>0.11563630377437138</v>
      </c>
      <c r="M42" s="18">
        <f t="shared" si="12"/>
        <v>0.11563630377437138</v>
      </c>
      <c r="N42" s="18">
        <f t="shared" si="13"/>
        <v>0.11563630377437138</v>
      </c>
      <c r="O42" s="3"/>
      <c r="P42" s="20">
        <f t="shared" si="23"/>
        <v>1375.6517142244884</v>
      </c>
      <c r="Q42" s="20">
        <f t="shared" si="14"/>
        <v>378.72629753846047</v>
      </c>
      <c r="R42" s="20">
        <f t="shared" si="15"/>
        <v>0</v>
      </c>
      <c r="S42" s="20">
        <f t="shared" si="16"/>
        <v>0</v>
      </c>
      <c r="T42" s="20">
        <f t="shared" si="17"/>
        <v>0</v>
      </c>
      <c r="U42" s="3"/>
      <c r="V42" s="20">
        <f t="shared" si="18"/>
        <v>1754.378011762949</v>
      </c>
      <c r="W42" s="3"/>
      <c r="X42" s="15">
        <f t="shared" si="19"/>
        <v>10436.19735224646</v>
      </c>
      <c r="Y42" s="15">
        <f t="shared" si="20"/>
        <v>102.15770823705111</v>
      </c>
      <c r="AA42" s="15">
        <f t="shared" si="21"/>
        <v>6.6766137927588539E-4</v>
      </c>
      <c r="AB42" s="17"/>
    </row>
    <row r="43" spans="2:28" x14ac:dyDescent="0.3">
      <c r="B43" s="28">
        <v>0.5</v>
      </c>
      <c r="C43" s="20">
        <v>1752.5357200000001</v>
      </c>
      <c r="D43" s="18">
        <f t="shared" si="5"/>
        <v>4.5016178863590053</v>
      </c>
      <c r="E43" s="18">
        <f t="shared" si="6"/>
        <v>-7.0983930022988959</v>
      </c>
      <c r="F43" s="18">
        <f t="shared" si="22"/>
        <v>-2.030557910669553</v>
      </c>
      <c r="G43" s="18">
        <f t="shared" si="7"/>
        <v>-2.030557910669553</v>
      </c>
      <c r="H43" s="18">
        <f t="shared" si="8"/>
        <v>-2.030557910669553</v>
      </c>
      <c r="I43" s="3"/>
      <c r="J43" s="18">
        <f t="shared" si="9"/>
        <v>3.3059070138406974</v>
      </c>
      <c r="K43" s="18">
        <f t="shared" si="10"/>
        <v>8.2574978663270675E-4</v>
      </c>
      <c r="L43" s="18">
        <f t="shared" si="11"/>
        <v>0.116793128759848</v>
      </c>
      <c r="M43" s="18">
        <f t="shared" si="12"/>
        <v>0.116793128759848</v>
      </c>
      <c r="N43" s="18">
        <f t="shared" si="13"/>
        <v>0.116793128759848</v>
      </c>
      <c r="O43" s="3"/>
      <c r="P43" s="20">
        <f t="shared" si="23"/>
        <v>1333.6011206732351</v>
      </c>
      <c r="Q43" s="20">
        <f t="shared" si="14"/>
        <v>376.81982490314596</v>
      </c>
      <c r="R43" s="20">
        <f t="shared" si="15"/>
        <v>0</v>
      </c>
      <c r="S43" s="20">
        <f t="shared" si="16"/>
        <v>0</v>
      </c>
      <c r="T43" s="20">
        <f t="shared" si="17"/>
        <v>0</v>
      </c>
      <c r="U43" s="3"/>
      <c r="V43" s="20">
        <f t="shared" si="18"/>
        <v>1710.420945576381</v>
      </c>
      <c r="W43" s="3"/>
      <c r="X43" s="15">
        <f t="shared" si="19"/>
        <v>1773.6542247523223</v>
      </c>
      <c r="Y43" s="15">
        <f t="shared" si="20"/>
        <v>42.11477442361911</v>
      </c>
      <c r="AA43" s="15">
        <f t="shared" si="21"/>
        <v>2.7524509765155619E-4</v>
      </c>
      <c r="AB43" s="17"/>
    </row>
    <row r="44" spans="2:28" x14ac:dyDescent="0.3">
      <c r="B44" s="28">
        <v>0.6</v>
      </c>
      <c r="C44" s="20">
        <v>1711.5357200000001</v>
      </c>
      <c r="D44" s="18">
        <f t="shared" si="5"/>
        <v>4.576796066657665</v>
      </c>
      <c r="E44" s="18">
        <f t="shared" si="6"/>
        <v>-7.093346379951937</v>
      </c>
      <c r="F44" s="18">
        <f t="shared" si="22"/>
        <v>-2.0194467995584415</v>
      </c>
      <c r="G44" s="18">
        <f t="shared" si="7"/>
        <v>-2.0194467995584415</v>
      </c>
      <c r="H44" s="18">
        <f t="shared" si="8"/>
        <v>-2.0194467995584415</v>
      </c>
      <c r="I44" s="3"/>
      <c r="J44" s="18">
        <f t="shared" si="9"/>
        <v>3.3637420168810208</v>
      </c>
      <c r="K44" s="18">
        <f t="shared" si="10"/>
        <v>8.2992410255922642E-4</v>
      </c>
      <c r="L44" s="18">
        <f t="shared" si="11"/>
        <v>0.11796030551255654</v>
      </c>
      <c r="M44" s="18">
        <f t="shared" si="12"/>
        <v>0.11796030551255654</v>
      </c>
      <c r="N44" s="18">
        <f t="shared" si="13"/>
        <v>0.11796030551255654</v>
      </c>
      <c r="O44" s="3"/>
      <c r="P44" s="20">
        <f t="shared" si="23"/>
        <v>1293.3006184923936</v>
      </c>
      <c r="Q44" s="20">
        <f t="shared" si="14"/>
        <v>374.92294928511888</v>
      </c>
      <c r="R44" s="20">
        <f t="shared" si="15"/>
        <v>0</v>
      </c>
      <c r="S44" s="20">
        <f t="shared" si="16"/>
        <v>0</v>
      </c>
      <c r="T44" s="20">
        <f t="shared" si="17"/>
        <v>0</v>
      </c>
      <c r="U44" s="3"/>
      <c r="V44" s="20">
        <f t="shared" si="18"/>
        <v>1668.2235677775125</v>
      </c>
      <c r="W44" s="3"/>
      <c r="X44" s="15">
        <f t="shared" si="19"/>
        <v>1875.9425301439385</v>
      </c>
      <c r="Y44" s="15">
        <f t="shared" si="20"/>
        <v>43.312152222487612</v>
      </c>
      <c r="AA44" s="15">
        <f t="shared" si="21"/>
        <v>2.8307067368006113E-4</v>
      </c>
      <c r="AB44" s="17"/>
    </row>
    <row r="45" spans="2:28" x14ac:dyDescent="0.3">
      <c r="B45" s="28">
        <v>0.7</v>
      </c>
      <c r="C45" s="20">
        <v>1660.2857100000001</v>
      </c>
      <c r="D45" s="18">
        <f t="shared" si="5"/>
        <v>4.6519742469563248</v>
      </c>
      <c r="E45" s="18">
        <f t="shared" si="6"/>
        <v>-7.0882997576049771</v>
      </c>
      <c r="F45" s="18">
        <f t="shared" si="22"/>
        <v>-2.0083356884473305</v>
      </c>
      <c r="G45" s="18">
        <f t="shared" si="7"/>
        <v>-2.0083356884473305</v>
      </c>
      <c r="H45" s="18">
        <f t="shared" si="8"/>
        <v>-2.0083356884473305</v>
      </c>
      <c r="I45" s="3"/>
      <c r="J45" s="18">
        <f t="shared" si="9"/>
        <v>3.4218058182125373</v>
      </c>
      <c r="K45" s="18">
        <f t="shared" si="10"/>
        <v>8.341195028279888E-4</v>
      </c>
      <c r="L45" s="18">
        <f t="shared" si="11"/>
        <v>0.11913790477042034</v>
      </c>
      <c r="M45" s="18">
        <f t="shared" si="12"/>
        <v>0.11913790477042034</v>
      </c>
      <c r="N45" s="18">
        <f t="shared" si="13"/>
        <v>0.11913790477042034</v>
      </c>
      <c r="O45" s="3"/>
      <c r="P45" s="20">
        <f t="shared" si="23"/>
        <v>1254.6604420966351</v>
      </c>
      <c r="Q45" s="20">
        <f t="shared" si="14"/>
        <v>373.03562237389451</v>
      </c>
      <c r="R45" s="20">
        <f t="shared" si="15"/>
        <v>0</v>
      </c>
      <c r="S45" s="20">
        <f t="shared" si="16"/>
        <v>0</v>
      </c>
      <c r="T45" s="20">
        <f t="shared" si="17"/>
        <v>0</v>
      </c>
      <c r="U45" s="3"/>
      <c r="V45" s="20">
        <f t="shared" si="18"/>
        <v>1627.6960644705296</v>
      </c>
      <c r="W45" s="3"/>
      <c r="X45" s="15">
        <f t="shared" si="19"/>
        <v>1062.0849957365394</v>
      </c>
      <c r="Y45" s="15">
        <f t="shared" si="20"/>
        <v>32.589645529470545</v>
      </c>
      <c r="AA45" s="15">
        <f t="shared" si="21"/>
        <v>2.1299271547701852E-4</v>
      </c>
      <c r="AB45" s="17"/>
    </row>
    <row r="46" spans="2:28" x14ac:dyDescent="0.3">
      <c r="B46" s="28">
        <v>0.8</v>
      </c>
      <c r="C46" s="20">
        <v>1652.0357200000001</v>
      </c>
      <c r="D46" s="18">
        <f t="shared" si="5"/>
        <v>4.7271524272549845</v>
      </c>
      <c r="E46" s="18">
        <f t="shared" si="6"/>
        <v>-7.0832531352580181</v>
      </c>
      <c r="F46" s="18">
        <f t="shared" si="22"/>
        <v>-1.9972245773362194</v>
      </c>
      <c r="G46" s="18">
        <f t="shared" si="7"/>
        <v>-1.9972245773362194</v>
      </c>
      <c r="H46" s="18">
        <f t="shared" si="8"/>
        <v>-1.9972245773362194</v>
      </c>
      <c r="I46" s="3"/>
      <c r="J46" s="18">
        <f t="shared" si="9"/>
        <v>3.4800933182414959</v>
      </c>
      <c r="K46" s="18">
        <f t="shared" si="10"/>
        <v>8.3833609375725258E-4</v>
      </c>
      <c r="L46" s="18">
        <f t="shared" si="11"/>
        <v>0.1203259973865097</v>
      </c>
      <c r="M46" s="18">
        <f t="shared" si="12"/>
        <v>0.1203259973865097</v>
      </c>
      <c r="N46" s="18">
        <f t="shared" si="13"/>
        <v>0.1203259973865097</v>
      </c>
      <c r="O46" s="3"/>
      <c r="P46" s="20">
        <f t="shared" si="23"/>
        <v>1217.5961964045373</v>
      </c>
      <c r="Q46" s="20">
        <f t="shared" si="14"/>
        <v>371.15779610218027</v>
      </c>
      <c r="R46" s="20">
        <f t="shared" si="15"/>
        <v>0</v>
      </c>
      <c r="S46" s="20">
        <f t="shared" si="16"/>
        <v>0</v>
      </c>
      <c r="T46" s="20">
        <f t="shared" si="17"/>
        <v>0</v>
      </c>
      <c r="U46" s="3"/>
      <c r="V46" s="20">
        <f t="shared" si="18"/>
        <v>1588.7539925067176</v>
      </c>
      <c r="W46" s="3"/>
      <c r="X46" s="15">
        <f t="shared" si="19"/>
        <v>4004.5770345340611</v>
      </c>
      <c r="Y46" s="15">
        <f t="shared" si="20"/>
        <v>63.28172749328246</v>
      </c>
      <c r="AA46" s="15">
        <f t="shared" si="21"/>
        <v>4.1358372452018216E-4</v>
      </c>
      <c r="AB46" s="17"/>
    </row>
    <row r="47" spans="2:28" x14ac:dyDescent="0.3">
      <c r="B47" s="28">
        <v>0.9</v>
      </c>
      <c r="C47" s="20">
        <v>1569.0357200000001</v>
      </c>
      <c r="D47" s="18">
        <f t="shared" si="5"/>
        <v>4.8023306075536443</v>
      </c>
      <c r="E47" s="18">
        <f t="shared" si="6"/>
        <v>-7.0782065129110592</v>
      </c>
      <c r="F47" s="18">
        <f t="shared" si="22"/>
        <v>-1.9861134662251083</v>
      </c>
      <c r="G47" s="18">
        <f t="shared" si="7"/>
        <v>-1.9861134662251083</v>
      </c>
      <c r="H47" s="18">
        <f t="shared" si="8"/>
        <v>-1.9861134662251083</v>
      </c>
      <c r="I47" s="3"/>
      <c r="J47" s="18">
        <f t="shared" si="9"/>
        <v>3.5385995624948174</v>
      </c>
      <c r="K47" s="18">
        <f t="shared" si="10"/>
        <v>8.4257398219958815E-4</v>
      </c>
      <c r="L47" s="18">
        <f t="shared" si="11"/>
        <v>0.12152465432294123</v>
      </c>
      <c r="M47" s="18">
        <f t="shared" si="12"/>
        <v>0.12152465432294123</v>
      </c>
      <c r="N47" s="18">
        <f t="shared" si="13"/>
        <v>0.12152465432294123</v>
      </c>
      <c r="O47" s="3"/>
      <c r="P47" s="20">
        <f t="shared" si="23"/>
        <v>1182.0284952458139</v>
      </c>
      <c r="Q47" s="20">
        <f t="shared" si="14"/>
        <v>369.28942264464877</v>
      </c>
      <c r="R47" s="20">
        <f t="shared" si="15"/>
        <v>0</v>
      </c>
      <c r="S47" s="20">
        <f t="shared" si="16"/>
        <v>0</v>
      </c>
      <c r="T47" s="20">
        <f t="shared" si="17"/>
        <v>0</v>
      </c>
      <c r="U47" s="3"/>
      <c r="V47" s="20">
        <f t="shared" si="18"/>
        <v>1551.3179178904627</v>
      </c>
      <c r="W47" s="3"/>
      <c r="X47" s="15">
        <f t="shared" si="19"/>
        <v>313.92051159272751</v>
      </c>
      <c r="Y47" s="15">
        <f t="shared" si="20"/>
        <v>17.717802109537388</v>
      </c>
      <c r="AA47" s="15">
        <f t="shared" si="21"/>
        <v>1.1579637404101966E-4</v>
      </c>
      <c r="AB47" s="17"/>
    </row>
    <row r="48" spans="2:28" x14ac:dyDescent="0.3">
      <c r="B48" s="28">
        <v>1</v>
      </c>
      <c r="C48" s="20">
        <v>1515.2857200000001</v>
      </c>
      <c r="D48" s="18">
        <f t="shared" si="5"/>
        <v>4.877508787852304</v>
      </c>
      <c r="E48" s="18">
        <f t="shared" si="6"/>
        <v>-7.0731598905641002</v>
      </c>
      <c r="F48" s="18">
        <f t="shared" si="22"/>
        <v>-1.9750023551139972</v>
      </c>
      <c r="G48" s="18">
        <f t="shared" si="7"/>
        <v>-1.9750023551139972</v>
      </c>
      <c r="H48" s="18">
        <f t="shared" si="8"/>
        <v>-1.9750023551139972</v>
      </c>
      <c r="I48" s="3"/>
      <c r="J48" s="18">
        <f t="shared" si="9"/>
        <v>3.5973197371416559</v>
      </c>
      <c r="K48" s="18">
        <f t="shared" si="10"/>
        <v>8.4683327554454157E-4</v>
      </c>
      <c r="L48" s="18">
        <f t="shared" si="11"/>
        <v>0.1227339466446947</v>
      </c>
      <c r="M48" s="18">
        <f t="shared" si="12"/>
        <v>0.1227339466446947</v>
      </c>
      <c r="N48" s="18">
        <f t="shared" si="13"/>
        <v>0.1227339466446947</v>
      </c>
      <c r="O48" s="3"/>
      <c r="P48" s="20">
        <f t="shared" si="23"/>
        <v>1147.8826264600318</v>
      </c>
      <c r="Q48" s="20">
        <f t="shared" si="14"/>
        <v>367.4304544167216</v>
      </c>
      <c r="R48" s="20">
        <f t="shared" si="15"/>
        <v>0</v>
      </c>
      <c r="S48" s="20">
        <f t="shared" si="16"/>
        <v>0</v>
      </c>
      <c r="T48" s="20">
        <f t="shared" si="17"/>
        <v>0</v>
      </c>
      <c r="U48" s="3"/>
      <c r="V48" s="20">
        <f t="shared" si="18"/>
        <v>1515.3130808767535</v>
      </c>
      <c r="W48" s="3"/>
      <c r="X48" s="15">
        <f t="shared" si="19"/>
        <v>7.4861757671427912E-4</v>
      </c>
      <c r="Y48" s="15">
        <f t="shared" si="20"/>
        <v>2.7360876753391494E-2</v>
      </c>
      <c r="AA48" s="15">
        <f t="shared" si="21"/>
        <v>1.7881960183540423E-7</v>
      </c>
      <c r="AB48" s="17"/>
    </row>
    <row r="49" spans="2:28" x14ac:dyDescent="0.3">
      <c r="B49" s="28">
        <v>1.1000000000000001</v>
      </c>
      <c r="C49" s="20">
        <v>1478.2857200000001</v>
      </c>
      <c r="D49" s="18">
        <f t="shared" si="5"/>
        <v>4.9526869681509638</v>
      </c>
      <c r="E49" s="18">
        <f t="shared" si="6"/>
        <v>-7.0681132682171404</v>
      </c>
      <c r="F49" s="18">
        <f t="shared" si="22"/>
        <v>-1.9638912440028862</v>
      </c>
      <c r="G49" s="18">
        <f t="shared" si="7"/>
        <v>-1.9638912440028862</v>
      </c>
      <c r="H49" s="18">
        <f t="shared" si="8"/>
        <v>-1.9638912440028862</v>
      </c>
      <c r="I49" s="3"/>
      <c r="J49" s="18">
        <f t="shared" si="9"/>
        <v>3.6562491646301769</v>
      </c>
      <c r="K49" s="18">
        <f t="shared" si="10"/>
        <v>8.5111408172131519E-4</v>
      </c>
      <c r="L49" s="18">
        <f t="shared" si="11"/>
        <v>0.1239539455133484</v>
      </c>
      <c r="M49" s="18">
        <f t="shared" si="12"/>
        <v>0.1239539455133484</v>
      </c>
      <c r="N49" s="18">
        <f t="shared" si="13"/>
        <v>0.1239539455133484</v>
      </c>
      <c r="O49" s="3"/>
      <c r="P49" s="20">
        <f t="shared" si="23"/>
        <v>1115.0882415717924</v>
      </c>
      <c r="Q49" s="20">
        <f t="shared" si="14"/>
        <v>365.58084407335673</v>
      </c>
      <c r="R49" s="20">
        <f t="shared" si="15"/>
        <v>0</v>
      </c>
      <c r="S49" s="20">
        <f t="shared" si="16"/>
        <v>0</v>
      </c>
      <c r="T49" s="20">
        <f t="shared" si="17"/>
        <v>0</v>
      </c>
      <c r="U49" s="3"/>
      <c r="V49" s="20">
        <f t="shared" si="18"/>
        <v>1480.6690856451492</v>
      </c>
      <c r="W49" s="3"/>
      <c r="X49" s="15">
        <f t="shared" si="19"/>
        <v>5.6804317984768415</v>
      </c>
      <c r="Y49" s="15">
        <f t="shared" si="20"/>
        <v>2.3833656451490697</v>
      </c>
      <c r="AA49" s="15">
        <f t="shared" si="21"/>
        <v>1.5576711942935443E-5</v>
      </c>
      <c r="AB49" s="17"/>
    </row>
    <row r="50" spans="2:28" x14ac:dyDescent="0.3">
      <c r="B50" s="28">
        <v>1.2</v>
      </c>
      <c r="C50" s="20">
        <v>1483.7857200000001</v>
      </c>
      <c r="D50" s="18">
        <f t="shared" si="5"/>
        <v>5.0278651484496226</v>
      </c>
      <c r="E50" s="18">
        <f t="shared" si="6"/>
        <v>-7.0630666458701814</v>
      </c>
      <c r="F50" s="18">
        <f t="shared" si="22"/>
        <v>-1.9527801328917751</v>
      </c>
      <c r="G50" s="18">
        <f t="shared" si="7"/>
        <v>-1.9527801328917751</v>
      </c>
      <c r="H50" s="18">
        <f t="shared" si="8"/>
        <v>-1.9527801328917751</v>
      </c>
      <c r="I50" s="3"/>
      <c r="J50" s="18">
        <f t="shared" si="9"/>
        <v>3.7153832994405414</v>
      </c>
      <c r="K50" s="18">
        <f t="shared" si="10"/>
        <v>8.5541650920145933E-4</v>
      </c>
      <c r="L50" s="18">
        <f t="shared" si="11"/>
        <v>0.12518472218073393</v>
      </c>
      <c r="M50" s="18">
        <f t="shared" si="12"/>
        <v>0.12518472218073393</v>
      </c>
      <c r="N50" s="18">
        <f t="shared" si="13"/>
        <v>0.12518472218073393</v>
      </c>
      <c r="O50" s="3"/>
      <c r="P50" s="20">
        <f t="shared" si="23"/>
        <v>1083.5790681038889</v>
      </c>
      <c r="Q50" s="20">
        <f t="shared" si="14"/>
        <v>363.74054450784388</v>
      </c>
      <c r="R50" s="20">
        <f t="shared" si="15"/>
        <v>0</v>
      </c>
      <c r="S50" s="20">
        <f t="shared" si="16"/>
        <v>0</v>
      </c>
      <c r="T50" s="20">
        <f t="shared" si="17"/>
        <v>0</v>
      </c>
      <c r="U50" s="3"/>
      <c r="V50" s="20">
        <f t="shared" si="18"/>
        <v>1447.3196126117327</v>
      </c>
      <c r="W50" s="3"/>
      <c r="X50" s="15">
        <f t="shared" si="19"/>
        <v>1329.7769880526464</v>
      </c>
      <c r="Y50" s="15">
        <f t="shared" si="20"/>
        <v>36.466107388267346</v>
      </c>
      <c r="AA50" s="15">
        <f t="shared" si="21"/>
        <v>2.383276991607651E-4</v>
      </c>
      <c r="AB50" s="17"/>
    </row>
    <row r="51" spans="2:28" x14ac:dyDescent="0.3">
      <c r="B51" s="28">
        <v>1.3</v>
      </c>
      <c r="C51" s="20">
        <v>1420.5357200000001</v>
      </c>
      <c r="D51" s="18">
        <f t="shared" si="5"/>
        <v>5.1030433287482824</v>
      </c>
      <c r="E51" s="18">
        <f t="shared" si="6"/>
        <v>-7.0580200235232224</v>
      </c>
      <c r="F51" s="18">
        <f t="shared" si="22"/>
        <v>-1.941669021780664</v>
      </c>
      <c r="G51" s="18">
        <f t="shared" si="7"/>
        <v>-1.941669021780664</v>
      </c>
      <c r="H51" s="18">
        <f t="shared" si="8"/>
        <v>-1.941669021780664</v>
      </c>
      <c r="I51" s="3"/>
      <c r="J51" s="18">
        <f t="shared" si="9"/>
        <v>3.7747177239544865</v>
      </c>
      <c r="K51" s="18">
        <f t="shared" si="10"/>
        <v>8.5974066700158201E-4</v>
      </c>
      <c r="L51" s="18">
        <f t="shared" si="11"/>
        <v>0.12642634798251107</v>
      </c>
      <c r="M51" s="18">
        <f t="shared" si="12"/>
        <v>0.12642634798251107</v>
      </c>
      <c r="N51" s="18">
        <f t="shared" si="13"/>
        <v>0.12642634798251107</v>
      </c>
      <c r="O51" s="3"/>
      <c r="P51" s="20">
        <f t="shared" si="23"/>
        <v>1053.2926427512466</v>
      </c>
      <c r="Q51" s="20">
        <f t="shared" si="14"/>
        <v>361.90950885060289</v>
      </c>
      <c r="R51" s="20">
        <f t="shared" si="15"/>
        <v>0</v>
      </c>
      <c r="S51" s="20">
        <f t="shared" si="16"/>
        <v>0</v>
      </c>
      <c r="T51" s="20">
        <f t="shared" si="17"/>
        <v>0</v>
      </c>
      <c r="U51" s="3"/>
      <c r="V51" s="20">
        <f t="shared" si="18"/>
        <v>1415.2021516018494</v>
      </c>
      <c r="W51" s="3"/>
      <c r="X51" s="15">
        <f t="shared" si="19"/>
        <v>28.446951857751252</v>
      </c>
      <c r="Y51" s="15">
        <f t="shared" si="20"/>
        <v>5.3335683981506463</v>
      </c>
      <c r="AA51" s="15">
        <f t="shared" si="21"/>
        <v>3.4858041499016386E-5</v>
      </c>
      <c r="AB51" s="17"/>
    </row>
    <row r="52" spans="2:28" x14ac:dyDescent="0.3">
      <c r="B52" s="28">
        <v>1.4</v>
      </c>
      <c r="C52" s="20">
        <v>1413.5357200000001</v>
      </c>
      <c r="D52" s="18">
        <f t="shared" si="5"/>
        <v>5.1782215090469421</v>
      </c>
      <c r="E52" s="18">
        <f t="shared" si="6"/>
        <v>-7.0529734011762635</v>
      </c>
      <c r="F52" s="18">
        <f t="shared" si="22"/>
        <v>-1.930557910669553</v>
      </c>
      <c r="G52" s="18">
        <f t="shared" si="7"/>
        <v>-1.930557910669553</v>
      </c>
      <c r="H52" s="18">
        <f t="shared" si="8"/>
        <v>-1.930557910669553</v>
      </c>
      <c r="I52" s="3"/>
      <c r="J52" s="18">
        <f t="shared" si="9"/>
        <v>3.8342481444413576</v>
      </c>
      <c r="K52" s="18">
        <f t="shared" si="10"/>
        <v>8.6408666468606695E-4</v>
      </c>
      <c r="L52" s="18">
        <f t="shared" si="11"/>
        <v>0.12767889433166393</v>
      </c>
      <c r="M52" s="18">
        <f t="shared" si="12"/>
        <v>0.12767889433166393</v>
      </c>
      <c r="N52" s="18">
        <f t="shared" si="13"/>
        <v>0.12767889433166393</v>
      </c>
      <c r="O52" s="3"/>
      <c r="P52" s="20">
        <f t="shared" si="23"/>
        <v>1024.1700637858846</v>
      </c>
      <c r="Q52" s="20">
        <f t="shared" si="14"/>
        <v>360.08769046799114</v>
      </c>
      <c r="R52" s="20">
        <f t="shared" si="15"/>
        <v>0</v>
      </c>
      <c r="S52" s="20">
        <f t="shared" si="16"/>
        <v>0</v>
      </c>
      <c r="T52" s="20">
        <f t="shared" si="17"/>
        <v>0</v>
      </c>
      <c r="U52" s="3"/>
      <c r="V52" s="20">
        <f t="shared" si="18"/>
        <v>1384.2577542538756</v>
      </c>
      <c r="W52" s="3"/>
      <c r="X52" s="15">
        <f t="shared" si="19"/>
        <v>857.19927823123589</v>
      </c>
      <c r="Y52" s="15">
        <f t="shared" si="20"/>
        <v>29.277965746124437</v>
      </c>
      <c r="AA52" s="15">
        <f t="shared" si="21"/>
        <v>1.9134891854748833E-4</v>
      </c>
      <c r="AB52" s="17"/>
    </row>
    <row r="53" spans="2:28" x14ac:dyDescent="0.3">
      <c r="B53" s="28">
        <v>1.5</v>
      </c>
      <c r="C53" s="20">
        <v>1340.5357200000001</v>
      </c>
      <c r="D53" s="18">
        <f t="shared" si="5"/>
        <v>5.2533996893456019</v>
      </c>
      <c r="E53" s="18">
        <f t="shared" si="6"/>
        <v>-7.0479267788293045</v>
      </c>
      <c r="F53" s="18">
        <f t="shared" si="22"/>
        <v>-1.9194467995584417</v>
      </c>
      <c r="G53" s="18">
        <f t="shared" si="7"/>
        <v>-1.9194467995584417</v>
      </c>
      <c r="H53" s="18">
        <f t="shared" si="8"/>
        <v>-1.9194467995584417</v>
      </c>
      <c r="I53" s="3"/>
      <c r="J53" s="18">
        <f t="shared" si="9"/>
        <v>3.8939703871600004</v>
      </c>
      <c r="K53" s="18">
        <f t="shared" si="10"/>
        <v>8.6845461236980629E-4</v>
      </c>
      <c r="L53" s="18">
        <f t="shared" si="11"/>
        <v>0.12894243271191896</v>
      </c>
      <c r="M53" s="18">
        <f t="shared" si="12"/>
        <v>0.12894243271191896</v>
      </c>
      <c r="N53" s="18">
        <f t="shared" si="13"/>
        <v>0.12894243271191896</v>
      </c>
      <c r="O53" s="3"/>
      <c r="P53" s="20">
        <f t="shared" si="23"/>
        <v>996.15576119784589</v>
      </c>
      <c r="Q53" s="20">
        <f t="shared" si="14"/>
        <v>358.27504296111607</v>
      </c>
      <c r="R53" s="20">
        <f t="shared" si="15"/>
        <v>0</v>
      </c>
      <c r="S53" s="20">
        <f t="shared" si="16"/>
        <v>0</v>
      </c>
      <c r="T53" s="20">
        <f t="shared" si="17"/>
        <v>0</v>
      </c>
      <c r="U53" s="3"/>
      <c r="V53" s="20">
        <f t="shared" si="18"/>
        <v>1354.430804158962</v>
      </c>
      <c r="W53" s="3"/>
      <c r="X53" s="15">
        <f t="shared" si="19"/>
        <v>193.07336378463492</v>
      </c>
      <c r="Y53" s="15">
        <f t="shared" si="20"/>
        <v>13.895084158961936</v>
      </c>
      <c r="AA53" s="15">
        <f t="shared" si="21"/>
        <v>9.0812638760452569E-5</v>
      </c>
      <c r="AB53" s="17"/>
    </row>
    <row r="54" spans="2:28" x14ac:dyDescent="0.3">
      <c r="B54" s="28">
        <v>1.6</v>
      </c>
      <c r="C54" s="20">
        <v>1289.5357200000001</v>
      </c>
      <c r="D54" s="18">
        <f t="shared" si="5"/>
        <v>5.3285778696442616</v>
      </c>
      <c r="E54" s="18">
        <f t="shared" si="6"/>
        <v>-7.0428801564823447</v>
      </c>
      <c r="F54" s="18">
        <f t="shared" si="22"/>
        <v>-1.9083356884473306</v>
      </c>
      <c r="G54" s="18">
        <f t="shared" si="7"/>
        <v>-1.9083356884473306</v>
      </c>
      <c r="H54" s="18">
        <f t="shared" si="8"/>
        <v>-1.9083356884473306</v>
      </c>
      <c r="I54" s="3"/>
      <c r="J54" s="18">
        <f t="shared" si="9"/>
        <v>3.9538803945755268</v>
      </c>
      <c r="K54" s="18">
        <f t="shared" si="10"/>
        <v>8.7284462072094915E-4</v>
      </c>
      <c r="L54" s="18">
        <f t="shared" si="11"/>
        <v>0.13021703467108597</v>
      </c>
      <c r="M54" s="18">
        <f t="shared" si="12"/>
        <v>0.13021703467108597</v>
      </c>
      <c r="N54" s="18">
        <f t="shared" si="13"/>
        <v>0.13021703467108597</v>
      </c>
      <c r="O54" s="3"/>
      <c r="P54" s="20">
        <f t="shared" si="23"/>
        <v>969.19728320019726</v>
      </c>
      <c r="Q54" s="20">
        <f t="shared" si="14"/>
        <v>356.47152016465253</v>
      </c>
      <c r="R54" s="20">
        <f t="shared" si="15"/>
        <v>0</v>
      </c>
      <c r="S54" s="20">
        <f t="shared" si="16"/>
        <v>0</v>
      </c>
      <c r="T54" s="20">
        <f t="shared" si="17"/>
        <v>0</v>
      </c>
      <c r="U54" s="3"/>
      <c r="V54" s="20">
        <f t="shared" si="18"/>
        <v>1325.6688033648497</v>
      </c>
      <c r="W54" s="3"/>
      <c r="X54" s="15">
        <f t="shared" si="19"/>
        <v>1305.5997134511747</v>
      </c>
      <c r="Y54" s="15">
        <f t="shared" si="20"/>
        <v>36.133083364849654</v>
      </c>
      <c r="AA54" s="15">
        <f t="shared" si="21"/>
        <v>2.3615118910935403E-4</v>
      </c>
      <c r="AB54" s="17"/>
    </row>
    <row r="55" spans="2:28" x14ac:dyDescent="0.3">
      <c r="B55" s="28">
        <v>1.7</v>
      </c>
      <c r="C55" s="20">
        <v>1276.0357200000001</v>
      </c>
      <c r="D55" s="18">
        <f t="shared" si="5"/>
        <v>5.4037560499429214</v>
      </c>
      <c r="E55" s="18">
        <f t="shared" si="6"/>
        <v>-7.0378335341353857</v>
      </c>
      <c r="F55" s="18">
        <f t="shared" si="22"/>
        <v>-1.8972245773362195</v>
      </c>
      <c r="G55" s="18">
        <f t="shared" si="7"/>
        <v>-1.8972245773362195</v>
      </c>
      <c r="H55" s="18">
        <f t="shared" si="8"/>
        <v>-1.8972245773362195</v>
      </c>
      <c r="I55" s="3"/>
      <c r="J55" s="18">
        <f t="shared" si="9"/>
        <v>4.0139742216896366</v>
      </c>
      <c r="K55" s="18">
        <f t="shared" si="10"/>
        <v>8.772568009636579E-4</v>
      </c>
      <c r="L55" s="18">
        <f t="shared" si="11"/>
        <v>0.13150277181432371</v>
      </c>
      <c r="M55" s="18">
        <f t="shared" si="12"/>
        <v>0.13150277181432371</v>
      </c>
      <c r="N55" s="18">
        <f t="shared" si="13"/>
        <v>0.13150277181432371</v>
      </c>
      <c r="O55" s="3"/>
      <c r="P55" s="20">
        <f t="shared" si="23"/>
        <v>943.24509783879626</v>
      </c>
      <c r="Q55" s="20">
        <f t="shared" si="14"/>
        <v>354.67707614566882</v>
      </c>
      <c r="R55" s="20">
        <f t="shared" si="15"/>
        <v>0</v>
      </c>
      <c r="S55" s="20">
        <f t="shared" si="16"/>
        <v>0</v>
      </c>
      <c r="T55" s="20">
        <f t="shared" si="17"/>
        <v>0</v>
      </c>
      <c r="U55" s="3"/>
      <c r="V55" s="20">
        <f t="shared" si="18"/>
        <v>1297.9221739844652</v>
      </c>
      <c r="W55" s="3"/>
      <c r="X55" s="15">
        <f t="shared" si="19"/>
        <v>479.01686801410852</v>
      </c>
      <c r="Y55" s="15">
        <f t="shared" si="20"/>
        <v>21.886453984465106</v>
      </c>
      <c r="AA55" s="15">
        <f t="shared" si="21"/>
        <v>1.4304099325347183E-4</v>
      </c>
      <c r="AB55" s="17"/>
    </row>
    <row r="56" spans="2:28" x14ac:dyDescent="0.3">
      <c r="B56" s="28">
        <v>1.8</v>
      </c>
      <c r="C56" s="20">
        <v>1279.0357200000001</v>
      </c>
      <c r="D56" s="18">
        <f t="shared" si="5"/>
        <v>5.4789342302415811</v>
      </c>
      <c r="E56" s="18">
        <f t="shared" si="6"/>
        <v>-7.0327869117884267</v>
      </c>
      <c r="F56" s="18">
        <f t="shared" si="22"/>
        <v>-1.8861134662251084</v>
      </c>
      <c r="G56" s="18">
        <f t="shared" si="7"/>
        <v>-1.8861134662251084</v>
      </c>
      <c r="H56" s="18">
        <f t="shared" si="8"/>
        <v>-1.8861134662251084</v>
      </c>
      <c r="I56" s="3"/>
      <c r="J56" s="18">
        <f t="shared" si="9"/>
        <v>4.0742480324828989</v>
      </c>
      <c r="K56" s="18">
        <f t="shared" si="10"/>
        <v>8.8169126488088761E-4</v>
      </c>
      <c r="L56" s="18">
        <f t="shared" si="11"/>
        <v>0.13279971579733016</v>
      </c>
      <c r="M56" s="18">
        <f t="shared" si="12"/>
        <v>0.13279971579733016</v>
      </c>
      <c r="N56" s="18">
        <f t="shared" si="13"/>
        <v>0.13279971579733016</v>
      </c>
      <c r="O56" s="3"/>
      <c r="P56" s="20">
        <f t="shared" si="23"/>
        <v>918.25240855045877</v>
      </c>
      <c r="Q56" s="20">
        <f t="shared" si="14"/>
        <v>352.89166520245431</v>
      </c>
      <c r="R56" s="20">
        <f t="shared" si="15"/>
        <v>0</v>
      </c>
      <c r="S56" s="20">
        <f t="shared" si="16"/>
        <v>0</v>
      </c>
      <c r="T56" s="20">
        <f t="shared" si="17"/>
        <v>0</v>
      </c>
      <c r="U56" s="3"/>
      <c r="V56" s="20">
        <f t="shared" si="18"/>
        <v>1271.1440737529131</v>
      </c>
      <c r="W56" s="3"/>
      <c r="X56" s="15">
        <f t="shared" si="19"/>
        <v>62.278080489162491</v>
      </c>
      <c r="Y56" s="15">
        <f t="shared" si="20"/>
        <v>7.8916462470870101</v>
      </c>
      <c r="AA56" s="15">
        <f t="shared" si="21"/>
        <v>5.1576601599765605E-5</v>
      </c>
      <c r="AB56" s="17"/>
    </row>
    <row r="57" spans="2:28" x14ac:dyDescent="0.3">
      <c r="B57" s="28">
        <v>1.9</v>
      </c>
      <c r="C57" s="20">
        <v>1213.5357200000001</v>
      </c>
      <c r="D57" s="18">
        <f t="shared" si="5"/>
        <v>5.55411241054024</v>
      </c>
      <c r="E57" s="18">
        <f t="shared" si="6"/>
        <v>-7.0277402894414678</v>
      </c>
      <c r="F57" s="18">
        <f t="shared" si="22"/>
        <v>-1.8750023551139974</v>
      </c>
      <c r="G57" s="18">
        <f t="shared" si="7"/>
        <v>-1.8750023551139974</v>
      </c>
      <c r="H57" s="18">
        <f t="shared" si="8"/>
        <v>-1.8750023551139974</v>
      </c>
      <c r="I57" s="3"/>
      <c r="J57" s="18">
        <f t="shared" si="9"/>
        <v>4.1346980964671562</v>
      </c>
      <c r="K57" s="18">
        <f t="shared" si="10"/>
        <v>8.8614812481716931E-4</v>
      </c>
      <c r="L57" s="18">
        <f t="shared" si="11"/>
        <v>0.13410793831945955</v>
      </c>
      <c r="M57" s="18">
        <f t="shared" si="12"/>
        <v>0.13410793831945955</v>
      </c>
      <c r="N57" s="18">
        <f t="shared" si="13"/>
        <v>0.13410793831945955</v>
      </c>
      <c r="O57" s="3"/>
      <c r="P57" s="20">
        <f t="shared" si="23"/>
        <v>894.17498260732214</v>
      </c>
      <c r="Q57" s="20">
        <f t="shared" si="14"/>
        <v>351.1152418633572</v>
      </c>
      <c r="R57" s="20">
        <f t="shared" si="15"/>
        <v>0</v>
      </c>
      <c r="S57" s="20">
        <f t="shared" si="16"/>
        <v>0</v>
      </c>
      <c r="T57" s="20">
        <f t="shared" si="17"/>
        <v>0</v>
      </c>
      <c r="U57" s="3"/>
      <c r="V57" s="20">
        <f t="shared" si="18"/>
        <v>1245.2902244706793</v>
      </c>
      <c r="W57" s="3"/>
      <c r="X57" s="15">
        <f t="shared" si="19"/>
        <v>1008.3485541783849</v>
      </c>
      <c r="Y57" s="15">
        <f t="shared" si="20"/>
        <v>31.754504470679194</v>
      </c>
      <c r="AA57" s="15">
        <f t="shared" si="21"/>
        <v>2.0753457197688539E-4</v>
      </c>
      <c r="AB57" s="17"/>
    </row>
    <row r="58" spans="2:28" x14ac:dyDescent="0.3">
      <c r="B58" s="28">
        <v>2</v>
      </c>
      <c r="C58" s="20">
        <v>1210.0357200000001</v>
      </c>
      <c r="D58" s="18">
        <f t="shared" si="5"/>
        <v>5.6292905908389006</v>
      </c>
      <c r="E58" s="18">
        <f t="shared" si="6"/>
        <v>-7.0226936670945079</v>
      </c>
      <c r="F58" s="18">
        <f t="shared" si="22"/>
        <v>-1.8638912440028861</v>
      </c>
      <c r="G58" s="18">
        <f t="shared" si="7"/>
        <v>-1.8638912440028861</v>
      </c>
      <c r="H58" s="18">
        <f t="shared" si="8"/>
        <v>-1.8638912440028861</v>
      </c>
      <c r="I58" s="3"/>
      <c r="J58" s="18">
        <f t="shared" si="9"/>
        <v>4.1953207853460315</v>
      </c>
      <c r="K58" s="18">
        <f t="shared" si="10"/>
        <v>8.9062749368141222E-4</v>
      </c>
      <c r="L58" s="18">
        <f t="shared" si="11"/>
        <v>0.13542751111676668</v>
      </c>
      <c r="M58" s="18">
        <f t="shared" si="12"/>
        <v>0.13542751111676668</v>
      </c>
      <c r="N58" s="18">
        <f t="shared" si="13"/>
        <v>0.13542751111676668</v>
      </c>
      <c r="O58" s="3"/>
      <c r="P58" s="20">
        <f t="shared" si="23"/>
        <v>870.97099147133224</v>
      </c>
      <c r="Q58" s="20">
        <f t="shared" si="14"/>
        <v>349.34776088562626</v>
      </c>
      <c r="R58" s="20">
        <f t="shared" si="15"/>
        <v>0</v>
      </c>
      <c r="S58" s="20">
        <f t="shared" si="16"/>
        <v>0</v>
      </c>
      <c r="T58" s="20">
        <f t="shared" si="17"/>
        <v>0</v>
      </c>
      <c r="U58" s="3"/>
      <c r="V58" s="20">
        <f t="shared" si="18"/>
        <v>1220.3187523569586</v>
      </c>
      <c r="W58" s="3"/>
      <c r="X58" s="15">
        <f t="shared" si="19"/>
        <v>105.74075445425608</v>
      </c>
      <c r="Y58" s="15">
        <f t="shared" si="20"/>
        <v>10.283032356958529</v>
      </c>
      <c r="AA58" s="15">
        <f t="shared" si="21"/>
        <v>6.7205732049649135E-5</v>
      </c>
      <c r="AB58" s="17"/>
    </row>
    <row r="59" spans="2:28" x14ac:dyDescent="0.3">
      <c r="B59" s="28">
        <v>2.1</v>
      </c>
      <c r="C59" s="20">
        <v>1225.2857200000001</v>
      </c>
      <c r="D59" s="18">
        <f t="shared" si="5"/>
        <v>5.7044687711375595</v>
      </c>
      <c r="E59" s="18">
        <f t="shared" si="6"/>
        <v>-7.017647044747549</v>
      </c>
      <c r="F59" s="18">
        <f t="shared" si="22"/>
        <v>-1.852780132891775</v>
      </c>
      <c r="G59" s="18">
        <f t="shared" si="7"/>
        <v>-1.852780132891775</v>
      </c>
      <c r="H59" s="18">
        <f t="shared" si="8"/>
        <v>-1.852780132891775</v>
      </c>
      <c r="I59" s="3"/>
      <c r="J59" s="18">
        <f t="shared" si="9"/>
        <v>4.2561125697813358</v>
      </c>
      <c r="K59" s="18">
        <f t="shared" si="10"/>
        <v>8.9512948494971747E-4</v>
      </c>
      <c r="L59" s="18">
        <f t="shared" si="11"/>
        <v>0.13675850595498007</v>
      </c>
      <c r="M59" s="18">
        <f t="shared" si="12"/>
        <v>0.13675850595498007</v>
      </c>
      <c r="N59" s="18">
        <f t="shared" si="13"/>
        <v>0.13675850595498007</v>
      </c>
      <c r="O59" s="3"/>
      <c r="P59" s="20">
        <f t="shared" si="23"/>
        <v>848.60086216159584</v>
      </c>
      <c r="Q59" s="20">
        <f t="shared" si="14"/>
        <v>347.58917725425857</v>
      </c>
      <c r="R59" s="20">
        <f t="shared" si="15"/>
        <v>0</v>
      </c>
      <c r="S59" s="20">
        <f t="shared" si="16"/>
        <v>0</v>
      </c>
      <c r="T59" s="20">
        <f t="shared" si="17"/>
        <v>0</v>
      </c>
      <c r="U59" s="3"/>
      <c r="V59" s="20">
        <f t="shared" si="18"/>
        <v>1196.1900394158545</v>
      </c>
      <c r="W59" s="3"/>
      <c r="X59" s="15">
        <f t="shared" si="19"/>
        <v>846.55862865462791</v>
      </c>
      <c r="Y59" s="15">
        <f t="shared" si="20"/>
        <v>29.095680584145612</v>
      </c>
      <c r="AA59" s="15">
        <f t="shared" si="21"/>
        <v>1.9015757660405022E-4</v>
      </c>
      <c r="AB59" s="17"/>
    </row>
    <row r="60" spans="2:28" x14ac:dyDescent="0.3">
      <c r="B60" s="28">
        <v>2.2000000000000002</v>
      </c>
      <c r="C60" s="20">
        <v>1162.0357200000001</v>
      </c>
      <c r="D60" s="18">
        <f t="shared" si="5"/>
        <v>5.7796469514362201</v>
      </c>
      <c r="E60" s="18">
        <f t="shared" si="6"/>
        <v>-7.01260042240059</v>
      </c>
      <c r="F60" s="18">
        <f t="shared" si="22"/>
        <v>-1.8416690217806639</v>
      </c>
      <c r="G60" s="18">
        <f t="shared" si="7"/>
        <v>-1.8416690217806639</v>
      </c>
      <c r="H60" s="18">
        <f t="shared" si="8"/>
        <v>-1.8416690217806639</v>
      </c>
      <c r="I60" s="3"/>
      <c r="J60" s="18">
        <f t="shared" si="9"/>
        <v>4.3170700162630871</v>
      </c>
      <c r="K60" s="18">
        <f t="shared" si="10"/>
        <v>8.9965421266820905E-4</v>
      </c>
      <c r="L60" s="18">
        <f t="shared" si="11"/>
        <v>0.13810099462240541</v>
      </c>
      <c r="M60" s="18">
        <f t="shared" si="12"/>
        <v>0.13810099462240541</v>
      </c>
      <c r="N60" s="18">
        <f t="shared" si="13"/>
        <v>0.13810099462240541</v>
      </c>
      <c r="O60" s="3"/>
      <c r="P60" s="20">
        <f t="shared" si="23"/>
        <v>827.02713880946942</v>
      </c>
      <c r="Q60" s="20">
        <f t="shared" si="14"/>
        <v>345.83944618085241</v>
      </c>
      <c r="R60" s="20">
        <f t="shared" si="15"/>
        <v>0</v>
      </c>
      <c r="S60" s="20">
        <f t="shared" si="16"/>
        <v>0</v>
      </c>
      <c r="T60" s="20">
        <f t="shared" si="17"/>
        <v>0</v>
      </c>
      <c r="U60" s="3"/>
      <c r="V60" s="20">
        <f t="shared" si="18"/>
        <v>1172.8665849903218</v>
      </c>
      <c r="W60" s="3"/>
      <c r="X60" s="15">
        <f t="shared" si="19"/>
        <v>117.30763643857721</v>
      </c>
      <c r="Y60" s="15">
        <f t="shared" si="20"/>
        <v>10.830864990321743</v>
      </c>
      <c r="AA60" s="15">
        <f t="shared" si="21"/>
        <v>7.0786144119533103E-5</v>
      </c>
      <c r="AB60" s="17"/>
    </row>
    <row r="61" spans="2:28" x14ac:dyDescent="0.3">
      <c r="B61" s="28">
        <v>2.2999999999999998</v>
      </c>
      <c r="C61" s="20">
        <v>1123.0357200000001</v>
      </c>
      <c r="D61" s="18">
        <f t="shared" si="5"/>
        <v>5.854825131734879</v>
      </c>
      <c r="E61" s="18">
        <f t="shared" si="6"/>
        <v>-7.007553800053631</v>
      </c>
      <c r="F61" s="18">
        <f t="shared" si="22"/>
        <v>-1.8305579106695529</v>
      </c>
      <c r="G61" s="18">
        <f t="shared" si="7"/>
        <v>-1.8305579106695529</v>
      </c>
      <c r="H61" s="18">
        <f t="shared" si="8"/>
        <v>-1.8305579106695529</v>
      </c>
      <c r="I61" s="3"/>
      <c r="J61" s="18">
        <f t="shared" si="9"/>
        <v>4.3781897840806927</v>
      </c>
      <c r="K61" s="18">
        <f t="shared" si="10"/>
        <v>9.0420179145587543E-4</v>
      </c>
      <c r="L61" s="18">
        <f t="shared" si="11"/>
        <v>0.13945504892276003</v>
      </c>
      <c r="M61" s="18">
        <f t="shared" si="12"/>
        <v>0.13945504892276003</v>
      </c>
      <c r="N61" s="18">
        <f t="shared" si="13"/>
        <v>0.13945504892276003</v>
      </c>
      <c r="O61" s="3"/>
      <c r="P61" s="20">
        <f t="shared" si="23"/>
        <v>806.21435364230899</v>
      </c>
      <c r="Q61" s="20">
        <f t="shared" si="14"/>
        <v>344.09852310246703</v>
      </c>
      <c r="R61" s="20">
        <f t="shared" si="15"/>
        <v>0</v>
      </c>
      <c r="S61" s="20">
        <f t="shared" si="16"/>
        <v>0</v>
      </c>
      <c r="T61" s="20">
        <f t="shared" si="17"/>
        <v>0</v>
      </c>
      <c r="U61" s="3"/>
      <c r="V61" s="20">
        <f t="shared" si="18"/>
        <v>1150.3128767447761</v>
      </c>
      <c r="W61" s="3"/>
      <c r="X61" s="15">
        <f t="shared" si="19"/>
        <v>744.0432800790785</v>
      </c>
      <c r="Y61" s="15">
        <f t="shared" si="20"/>
        <v>27.277156744775994</v>
      </c>
      <c r="AA61" s="15">
        <f t="shared" si="21"/>
        <v>1.7827244178855286E-4</v>
      </c>
      <c r="AB61" s="17"/>
    </row>
    <row r="62" spans="2:28" x14ac:dyDescent="0.3">
      <c r="B62" s="28">
        <v>2.4</v>
      </c>
      <c r="C62" s="20">
        <v>1102.2857200000001</v>
      </c>
      <c r="D62" s="18">
        <f t="shared" si="5"/>
        <v>5.9300033120335387</v>
      </c>
      <c r="E62" s="18">
        <f t="shared" si="6"/>
        <v>-7.0025071777066712</v>
      </c>
      <c r="F62" s="18">
        <f t="shared" si="22"/>
        <v>-1.8194467995584418</v>
      </c>
      <c r="G62" s="18">
        <f t="shared" si="7"/>
        <v>-1.8194467995584418</v>
      </c>
      <c r="H62" s="18">
        <f t="shared" si="8"/>
        <v>-1.8194467995584418</v>
      </c>
      <c r="I62" s="3"/>
      <c r="J62" s="18">
        <f t="shared" si="9"/>
        <v>4.4394686223928375</v>
      </c>
      <c r="K62" s="18">
        <f t="shared" si="10"/>
        <v>9.0877233650742584E-4</v>
      </c>
      <c r="L62" s="18">
        <f t="shared" si="11"/>
        <v>0.1408207406679404</v>
      </c>
      <c r="M62" s="18">
        <f t="shared" si="12"/>
        <v>0.1408207406679404</v>
      </c>
      <c r="N62" s="18">
        <f t="shared" si="13"/>
        <v>0.1408207406679404</v>
      </c>
      <c r="O62" s="3"/>
      <c r="P62" s="20">
        <f t="shared" si="23"/>
        <v>786.12890669726812</v>
      </c>
      <c r="Q62" s="20">
        <f t="shared" si="14"/>
        <v>342.36636368048755</v>
      </c>
      <c r="R62" s="20">
        <f t="shared" si="15"/>
        <v>0</v>
      </c>
      <c r="S62" s="20">
        <f t="shared" si="16"/>
        <v>0</v>
      </c>
      <c r="T62" s="20">
        <f t="shared" si="17"/>
        <v>0</v>
      </c>
      <c r="U62" s="3"/>
      <c r="V62" s="20">
        <f t="shared" si="18"/>
        <v>1128.4952703777558</v>
      </c>
      <c r="W62" s="3"/>
      <c r="X62" s="15">
        <f t="shared" si="19"/>
        <v>686.94053100411418</v>
      </c>
      <c r="Y62" s="15">
        <f t="shared" si="20"/>
        <v>26.209550377755704</v>
      </c>
      <c r="AA62" s="15">
        <f t="shared" si="21"/>
        <v>1.712949992457496E-4</v>
      </c>
      <c r="AB62" s="17"/>
    </row>
    <row r="63" spans="2:28" x14ac:dyDescent="0.3">
      <c r="B63" s="28">
        <v>2.5</v>
      </c>
      <c r="C63" s="20">
        <v>1107.2857200000001</v>
      </c>
      <c r="D63" s="18">
        <f t="shared" si="5"/>
        <v>6.0051814923321984</v>
      </c>
      <c r="E63" s="18">
        <f t="shared" si="6"/>
        <v>-6.9974605553597122</v>
      </c>
      <c r="F63" s="18">
        <f t="shared" si="22"/>
        <v>-1.8083356884473307</v>
      </c>
      <c r="G63" s="18">
        <f t="shared" si="7"/>
        <v>-1.8083356884473307</v>
      </c>
      <c r="H63" s="18">
        <f t="shared" si="8"/>
        <v>-1.8083356884473307</v>
      </c>
      <c r="I63" s="3"/>
      <c r="J63" s="18">
        <f t="shared" si="9"/>
        <v>4.5009033673935024</v>
      </c>
      <c r="K63" s="18">
        <f t="shared" si="10"/>
        <v>9.1336596359615943E-4</v>
      </c>
      <c r="L63" s="18">
        <f t="shared" si="11"/>
        <v>0.14219814167072359</v>
      </c>
      <c r="M63" s="18">
        <f t="shared" si="12"/>
        <v>0.14219814167072359</v>
      </c>
      <c r="N63" s="18">
        <f t="shared" si="13"/>
        <v>0.14219814167072359</v>
      </c>
      <c r="O63" s="3"/>
      <c r="P63" s="20">
        <f t="shared" si="23"/>
        <v>766.73895362195003</v>
      </c>
      <c r="Q63" s="20">
        <f t="shared" si="14"/>
        <v>340.6429237994966</v>
      </c>
      <c r="R63" s="20">
        <f t="shared" si="15"/>
        <v>0</v>
      </c>
      <c r="S63" s="20">
        <f t="shared" si="16"/>
        <v>0</v>
      </c>
      <c r="T63" s="20">
        <f t="shared" si="17"/>
        <v>0</v>
      </c>
      <c r="U63" s="3"/>
      <c r="V63" s="20">
        <f t="shared" si="18"/>
        <v>1107.3818774214467</v>
      </c>
      <c r="W63" s="3"/>
      <c r="X63" s="15">
        <f t="shared" si="19"/>
        <v>9.2462496992600958E-3</v>
      </c>
      <c r="Y63" s="15">
        <f t="shared" si="20"/>
        <v>9.615742144660544E-2</v>
      </c>
      <c r="AA63" s="15">
        <f t="shared" si="21"/>
        <v>6.2844593656779559E-7</v>
      </c>
      <c r="AB63" s="17"/>
    </row>
    <row r="64" spans="2:28" x14ac:dyDescent="0.3">
      <c r="B64" s="28">
        <v>2.6</v>
      </c>
      <c r="C64" s="20">
        <v>1038.7857200000001</v>
      </c>
      <c r="D64" s="18">
        <f t="shared" si="5"/>
        <v>6.0803596726308582</v>
      </c>
      <c r="E64" s="18">
        <f t="shared" si="6"/>
        <v>-6.9924139330127533</v>
      </c>
      <c r="F64" s="18">
        <f t="shared" si="22"/>
        <v>-1.7972245773362194</v>
      </c>
      <c r="G64" s="18">
        <f t="shared" si="7"/>
        <v>-1.7972245773362194</v>
      </c>
      <c r="H64" s="18">
        <f t="shared" si="8"/>
        <v>-1.7972245773362194</v>
      </c>
      <c r="I64" s="3"/>
      <c r="J64" s="18">
        <f t="shared" si="9"/>
        <v>4.5624909395715516</v>
      </c>
      <c r="K64" s="18">
        <f t="shared" si="10"/>
        <v>9.1798278907685292E-4</v>
      </c>
      <c r="L64" s="18">
        <f t="shared" si="11"/>
        <v>0.14358732373740454</v>
      </c>
      <c r="M64" s="18">
        <f t="shared" si="12"/>
        <v>0.14358732373740454</v>
      </c>
      <c r="N64" s="18">
        <f t="shared" si="13"/>
        <v>0.14358732373740454</v>
      </c>
      <c r="O64" s="3"/>
      <c r="P64" s="20">
        <f t="shared" si="23"/>
        <v>748.01430096947649</v>
      </c>
      <c r="Q64" s="20">
        <f t="shared" si="14"/>
        <v>338.92815956614913</v>
      </c>
      <c r="R64" s="20">
        <f t="shared" si="15"/>
        <v>0</v>
      </c>
      <c r="S64" s="20">
        <f t="shared" si="16"/>
        <v>0</v>
      </c>
      <c r="T64" s="20">
        <f t="shared" si="17"/>
        <v>0</v>
      </c>
      <c r="U64" s="3"/>
      <c r="V64" s="20">
        <f t="shared" si="18"/>
        <v>1086.9424605356257</v>
      </c>
      <c r="W64" s="3"/>
      <c r="X64" s="15">
        <f t="shared" si="19"/>
        <v>2319.0716590155716</v>
      </c>
      <c r="Y64" s="15">
        <f t="shared" si="20"/>
        <v>48.156740535625659</v>
      </c>
      <c r="AA64" s="15">
        <f t="shared" si="21"/>
        <v>3.1473293951386397E-4</v>
      </c>
      <c r="AB64" s="17"/>
    </row>
    <row r="65" spans="2:28" x14ac:dyDescent="0.3">
      <c r="B65" s="28">
        <v>2.7</v>
      </c>
      <c r="C65" s="20">
        <v>1054.0357200000001</v>
      </c>
      <c r="D65" s="18">
        <f t="shared" si="5"/>
        <v>6.1555378529295179</v>
      </c>
      <c r="E65" s="18">
        <f t="shared" si="6"/>
        <v>-6.9873673106657943</v>
      </c>
      <c r="F65" s="18">
        <f t="shared" si="22"/>
        <v>-1.7861134662251084</v>
      </c>
      <c r="G65" s="18">
        <f t="shared" si="7"/>
        <v>-1.7861134662251084</v>
      </c>
      <c r="H65" s="18">
        <f t="shared" si="8"/>
        <v>-1.7861134662251084</v>
      </c>
      <c r="I65" s="3"/>
      <c r="J65" s="18">
        <f t="shared" si="9"/>
        <v>4.6242283410612748</v>
      </c>
      <c r="K65" s="18">
        <f t="shared" si="10"/>
        <v>9.2262292988865783E-4</v>
      </c>
      <c r="L65" s="18">
        <f t="shared" si="11"/>
        <v>0.14498835866037027</v>
      </c>
      <c r="M65" s="18">
        <f t="shared" si="12"/>
        <v>0.14498835866037027</v>
      </c>
      <c r="N65" s="18">
        <f t="shared" si="13"/>
        <v>0.14498835866037027</v>
      </c>
      <c r="O65" s="3"/>
      <c r="P65" s="20">
        <f t="shared" si="23"/>
        <v>729.92630844207952</v>
      </c>
      <c r="Q65" s="20">
        <f t="shared" si="14"/>
        <v>337.22202730805583</v>
      </c>
      <c r="R65" s="20">
        <f t="shared" si="15"/>
        <v>0</v>
      </c>
      <c r="S65" s="20">
        <f t="shared" si="16"/>
        <v>0</v>
      </c>
      <c r="T65" s="20">
        <f t="shared" si="17"/>
        <v>0</v>
      </c>
      <c r="U65" s="3"/>
      <c r="V65" s="20">
        <f t="shared" si="18"/>
        <v>1067.1483357501354</v>
      </c>
      <c r="W65" s="3"/>
      <c r="X65" s="15">
        <f t="shared" si="19"/>
        <v>171.94069181069685</v>
      </c>
      <c r="Y65" s="15">
        <f t="shared" si="20"/>
        <v>13.112615750135319</v>
      </c>
      <c r="AA65" s="15">
        <f t="shared" si="21"/>
        <v>8.5698742353685771E-5</v>
      </c>
      <c r="AB65" s="17"/>
    </row>
    <row r="66" spans="2:28" x14ac:dyDescent="0.3">
      <c r="B66" s="28">
        <v>2.8</v>
      </c>
      <c r="C66" s="20">
        <v>1048.2857200000001</v>
      </c>
      <c r="D66" s="18">
        <f t="shared" si="5"/>
        <v>6.2307160332281768</v>
      </c>
      <c r="E66" s="18">
        <f t="shared" si="6"/>
        <v>-6.9823206883188345</v>
      </c>
      <c r="F66" s="18">
        <f t="shared" si="22"/>
        <v>-1.7750023551139973</v>
      </c>
      <c r="G66" s="18">
        <f t="shared" si="7"/>
        <v>-1.7750023551139973</v>
      </c>
      <c r="H66" s="18">
        <f t="shared" si="8"/>
        <v>-1.7750023551139973</v>
      </c>
      <c r="I66" s="3"/>
      <c r="J66" s="18">
        <f t="shared" si="9"/>
        <v>4.6861126530812847</v>
      </c>
      <c r="K66" s="18">
        <f t="shared" si="10"/>
        <v>9.2728650355801412E-4</v>
      </c>
      <c r="L66" s="18">
        <f t="shared" si="11"/>
        <v>0.14640131821061289</v>
      </c>
      <c r="M66" s="18">
        <f t="shared" si="12"/>
        <v>0.14640131821061289</v>
      </c>
      <c r="N66" s="18">
        <f t="shared" si="13"/>
        <v>0.14640131821061289</v>
      </c>
      <c r="O66" s="3"/>
      <c r="P66" s="20">
        <f t="shared" si="23"/>
        <v>712.44779757999379</v>
      </c>
      <c r="Q66" s="20">
        <f t="shared" si="14"/>
        <v>335.52448357266996</v>
      </c>
      <c r="R66" s="20">
        <f t="shared" si="15"/>
        <v>0</v>
      </c>
      <c r="S66" s="20">
        <f t="shared" si="16"/>
        <v>0</v>
      </c>
      <c r="T66" s="20">
        <f t="shared" si="17"/>
        <v>0</v>
      </c>
      <c r="U66" s="3"/>
      <c r="V66" s="20">
        <f t="shared" si="18"/>
        <v>1047.9722811526638</v>
      </c>
      <c r="W66" s="3"/>
      <c r="X66" s="15">
        <f t="shared" si="19"/>
        <v>9.8243911019526411E-2</v>
      </c>
      <c r="Y66" s="15">
        <f t="shared" si="20"/>
        <v>0.31343884733632876</v>
      </c>
      <c r="AA66" s="15">
        <f t="shared" si="21"/>
        <v>2.0485092778864573E-6</v>
      </c>
      <c r="AB66" s="17"/>
    </row>
    <row r="67" spans="2:28" x14ac:dyDescent="0.3">
      <c r="B67" s="28">
        <v>2.9</v>
      </c>
      <c r="C67" s="20">
        <v>999.03570999999999</v>
      </c>
      <c r="D67" s="18">
        <f t="shared" si="5"/>
        <v>6.3058942135268374</v>
      </c>
      <c r="E67" s="18">
        <f t="shared" si="6"/>
        <v>-6.9772740659718755</v>
      </c>
      <c r="F67" s="18">
        <f t="shared" si="22"/>
        <v>-1.7638912440028862</v>
      </c>
      <c r="G67" s="18">
        <f t="shared" si="7"/>
        <v>-1.7638912440028862</v>
      </c>
      <c r="H67" s="18">
        <f t="shared" si="8"/>
        <v>-1.7638912440028862</v>
      </c>
      <c r="I67" s="3"/>
      <c r="J67" s="18">
        <f t="shared" si="9"/>
        <v>4.7481410334591576</v>
      </c>
      <c r="K67" s="18">
        <f t="shared" si="10"/>
        <v>9.3197362820157486E-4</v>
      </c>
      <c r="L67" s="18">
        <f t="shared" si="11"/>
        <v>0.1478262741301829</v>
      </c>
      <c r="M67" s="18">
        <f t="shared" si="12"/>
        <v>0.1478262741301829</v>
      </c>
      <c r="N67" s="18">
        <f t="shared" si="13"/>
        <v>0.1478262741301829</v>
      </c>
      <c r="O67" s="3"/>
      <c r="P67" s="20">
        <f t="shared" si="23"/>
        <v>695.55296643157124</v>
      </c>
      <c r="Q67" s="20">
        <f t="shared" si="14"/>
        <v>333.83548512618216</v>
      </c>
      <c r="R67" s="20">
        <f t="shared" si="15"/>
        <v>0</v>
      </c>
      <c r="S67" s="20">
        <f t="shared" si="16"/>
        <v>0</v>
      </c>
      <c r="T67" s="20">
        <f t="shared" si="17"/>
        <v>0</v>
      </c>
      <c r="U67" s="3"/>
      <c r="V67" s="20">
        <f t="shared" si="18"/>
        <v>1029.3884515577533</v>
      </c>
      <c r="W67" s="3"/>
      <c r="X67" s="15">
        <f t="shared" si="19"/>
        <v>921.28892007176705</v>
      </c>
      <c r="Y67" s="15">
        <f t="shared" si="20"/>
        <v>30.352741557753347</v>
      </c>
      <c r="AA67" s="15">
        <f t="shared" si="21"/>
        <v>1.9837321767467115E-4</v>
      </c>
      <c r="AB67" s="17"/>
    </row>
    <row r="68" spans="2:28" x14ac:dyDescent="0.3">
      <c r="B68" s="28">
        <v>3</v>
      </c>
      <c r="C68" s="20">
        <v>1001.53572</v>
      </c>
      <c r="D68" s="18">
        <f t="shared" si="5"/>
        <v>6.3810723938254963</v>
      </c>
      <c r="E68" s="18">
        <f t="shared" si="6"/>
        <v>-6.9722274436249165</v>
      </c>
      <c r="F68" s="18">
        <f t="shared" si="22"/>
        <v>-1.7527801328917749</v>
      </c>
      <c r="G68" s="18">
        <f t="shared" si="7"/>
        <v>-1.7527801328917749</v>
      </c>
      <c r="H68" s="18">
        <f t="shared" si="8"/>
        <v>-1.7527801328917749</v>
      </c>
      <c r="I68" s="3"/>
      <c r="J68" s="18">
        <f t="shared" si="9"/>
        <v>4.8103107142392263</v>
      </c>
      <c r="K68" s="18">
        <f t="shared" si="10"/>
        <v>9.3668442252915253E-4</v>
      </c>
      <c r="L68" s="18">
        <f t="shared" si="11"/>
        <v>0.14926329812458419</v>
      </c>
      <c r="M68" s="18">
        <f t="shared" si="12"/>
        <v>0.14926329812458419</v>
      </c>
      <c r="N68" s="18">
        <f t="shared" si="13"/>
        <v>0.14926329812458419</v>
      </c>
      <c r="O68" s="3"/>
      <c r="P68" s="20">
        <f t="shared" si="23"/>
        <v>679.21730977646189</v>
      </c>
      <c r="Q68" s="20">
        <f t="shared" si="14"/>
        <v>332.1549889524174</v>
      </c>
      <c r="R68" s="20">
        <f t="shared" si="15"/>
        <v>0</v>
      </c>
      <c r="S68" s="20">
        <f t="shared" si="16"/>
        <v>0</v>
      </c>
      <c r="T68" s="20">
        <f t="shared" si="17"/>
        <v>0</v>
      </c>
      <c r="U68" s="3"/>
      <c r="V68" s="20">
        <f t="shared" si="18"/>
        <v>1011.3722987288793</v>
      </c>
      <c r="W68" s="3"/>
      <c r="X68" s="15">
        <f t="shared" si="19"/>
        <v>96.758281089441041</v>
      </c>
      <c r="Y68" s="15">
        <f t="shared" si="20"/>
        <v>9.8365787288793172</v>
      </c>
      <c r="AA68" s="15">
        <f t="shared" si="21"/>
        <v>6.428789207212719E-5</v>
      </c>
      <c r="AB68" s="17"/>
    </row>
    <row r="69" spans="2:28" x14ac:dyDescent="0.3">
      <c r="B69" s="28">
        <v>3.1</v>
      </c>
      <c r="C69" s="20">
        <v>991.78570999999999</v>
      </c>
      <c r="D69" s="18">
        <f t="shared" si="5"/>
        <v>6.456250574124156</v>
      </c>
      <c r="E69" s="18">
        <f t="shared" si="6"/>
        <v>-6.9671808212779576</v>
      </c>
      <c r="F69" s="18">
        <f t="shared" si="22"/>
        <v>-1.7416690217806639</v>
      </c>
      <c r="G69" s="18">
        <f t="shared" si="7"/>
        <v>-1.7416690217806639</v>
      </c>
      <c r="H69" s="18">
        <f t="shared" si="8"/>
        <v>-1.7416690217806639</v>
      </c>
      <c r="I69" s="3"/>
      <c r="J69" s="18">
        <f t="shared" si="9"/>
        <v>4.8726189993709861</v>
      </c>
      <c r="K69" s="18">
        <f t="shared" si="10"/>
        <v>9.4141900584667219E-4</v>
      </c>
      <c r="L69" s="18">
        <f t="shared" si="11"/>
        <v>0.15071246185511286</v>
      </c>
      <c r="M69" s="18">
        <f t="shared" si="12"/>
        <v>0.15071246185511286</v>
      </c>
      <c r="N69" s="18">
        <f t="shared" si="13"/>
        <v>0.15071246185511286</v>
      </c>
      <c r="O69" s="3"/>
      <c r="P69" s="20">
        <f t="shared" si="23"/>
        <v>663.41754450666372</v>
      </c>
      <c r="Q69" s="20">
        <f t="shared" si="14"/>
        <v>330.48295225174064</v>
      </c>
      <c r="R69" s="20">
        <f t="shared" si="15"/>
        <v>0</v>
      </c>
      <c r="S69" s="20">
        <f t="shared" si="16"/>
        <v>0</v>
      </c>
      <c r="T69" s="20">
        <f t="shared" si="17"/>
        <v>0</v>
      </c>
      <c r="U69" s="3"/>
      <c r="V69" s="20">
        <f t="shared" si="18"/>
        <v>993.90049675840442</v>
      </c>
      <c r="W69" s="3"/>
      <c r="X69" s="15">
        <f t="shared" si="19"/>
        <v>4.4723230335226773</v>
      </c>
      <c r="Y69" s="15">
        <f t="shared" si="20"/>
        <v>2.1147867584044207</v>
      </c>
      <c r="AA69" s="15">
        <f t="shared" si="21"/>
        <v>1.3821389186945134E-5</v>
      </c>
      <c r="AB69" s="17"/>
    </row>
    <row r="70" spans="2:28" x14ac:dyDescent="0.3">
      <c r="B70" s="28">
        <v>3.2</v>
      </c>
      <c r="C70" s="20">
        <v>945.53570999999999</v>
      </c>
      <c r="D70" s="18">
        <f t="shared" si="5"/>
        <v>6.5314287544228158</v>
      </c>
      <c r="E70" s="18">
        <f t="shared" si="6"/>
        <v>-6.9621341989309986</v>
      </c>
      <c r="F70" s="18">
        <f t="shared" si="22"/>
        <v>-1.7305579106695528</v>
      </c>
      <c r="G70" s="18">
        <f t="shared" si="7"/>
        <v>-1.7305579106695528</v>
      </c>
      <c r="H70" s="18">
        <f t="shared" si="8"/>
        <v>-1.7305579106695528</v>
      </c>
      <c r="I70" s="3"/>
      <c r="J70" s="18">
        <f t="shared" si="9"/>
        <v>4.9350632624755528</v>
      </c>
      <c r="K70" s="18">
        <f t="shared" si="10"/>
        <v>9.4617749805914306E-4</v>
      </c>
      <c r="L70" s="18">
        <f t="shared" si="11"/>
        <v>0.15217383693114109</v>
      </c>
      <c r="M70" s="18">
        <f t="shared" si="12"/>
        <v>0.15217383693114109</v>
      </c>
      <c r="N70" s="18">
        <f t="shared" si="13"/>
        <v>0.15217383693114109</v>
      </c>
      <c r="O70" s="3"/>
      <c r="P70" s="20">
        <f t="shared" si="23"/>
        <v>648.13153980054005</v>
      </c>
      <c r="Q70" s="20">
        <f t="shared" si="14"/>
        <v>328.81933243996656</v>
      </c>
      <c r="R70" s="20">
        <f t="shared" si="15"/>
        <v>0</v>
      </c>
      <c r="S70" s="20">
        <f t="shared" si="16"/>
        <v>0</v>
      </c>
      <c r="T70" s="20">
        <f t="shared" si="17"/>
        <v>0</v>
      </c>
      <c r="U70" s="3"/>
      <c r="V70" s="20">
        <f t="shared" si="18"/>
        <v>976.95087224050667</v>
      </c>
      <c r="W70" s="3"/>
      <c r="X70" s="15">
        <f t="shared" si="19"/>
        <v>986.91241859735635</v>
      </c>
      <c r="Y70" s="15">
        <f t="shared" si="20"/>
        <v>31.415162240506675</v>
      </c>
      <c r="AA70" s="15">
        <f t="shared" si="21"/>
        <v>2.0531676868672342E-4</v>
      </c>
      <c r="AB70" s="17"/>
    </row>
    <row r="71" spans="2:28" x14ac:dyDescent="0.3">
      <c r="B71" s="28">
        <v>3.3</v>
      </c>
      <c r="C71" s="20">
        <v>980.53570999999999</v>
      </c>
      <c r="D71" s="18">
        <f t="shared" si="5"/>
        <v>6.6066069347214746</v>
      </c>
      <c r="E71" s="18">
        <f t="shared" si="6"/>
        <v>-6.9570875765840388</v>
      </c>
      <c r="F71" s="18">
        <f t="shared" si="22"/>
        <v>-1.7194467995584417</v>
      </c>
      <c r="G71" s="18">
        <f t="shared" si="7"/>
        <v>-1.7194467995584417</v>
      </c>
      <c r="H71" s="18">
        <f t="shared" si="8"/>
        <v>-1.7194467995584417</v>
      </c>
      <c r="I71" s="3"/>
      <c r="J71" s="18">
        <f t="shared" si="9"/>
        <v>4.9976409446876957</v>
      </c>
      <c r="K71" s="18">
        <f t="shared" si="10"/>
        <v>9.5096001967364394E-4</v>
      </c>
      <c r="L71" s="18">
        <f t="shared" si="11"/>
        <v>0.15364749490234839</v>
      </c>
      <c r="M71" s="18">
        <f t="shared" si="12"/>
        <v>0.15364749490234839</v>
      </c>
      <c r="N71" s="18">
        <f t="shared" si="13"/>
        <v>0.15364749490234839</v>
      </c>
      <c r="O71" s="3"/>
      <c r="P71" s="20">
        <f t="shared" si="23"/>
        <v>633.33825175270272</v>
      </c>
      <c r="Q71" s="20">
        <f t="shared" si="14"/>
        <v>327.16408714727464</v>
      </c>
      <c r="R71" s="20">
        <f t="shared" si="15"/>
        <v>0</v>
      </c>
      <c r="S71" s="20">
        <f t="shared" si="16"/>
        <v>0</v>
      </c>
      <c r="T71" s="20">
        <f t="shared" si="17"/>
        <v>0</v>
      </c>
      <c r="U71" s="3"/>
      <c r="V71" s="20">
        <f t="shared" si="18"/>
        <v>960.5023388999773</v>
      </c>
      <c r="W71" s="3"/>
      <c r="X71" s="15">
        <f t="shared" si="19"/>
        <v>401.3359576312244</v>
      </c>
      <c r="Y71" s="15">
        <f t="shared" si="20"/>
        <v>20.033371100022691</v>
      </c>
      <c r="AA71" s="15">
        <f t="shared" si="21"/>
        <v>1.3092999452522675E-4</v>
      </c>
      <c r="AB71" s="17"/>
    </row>
    <row r="72" spans="2:28" x14ac:dyDescent="0.3">
      <c r="B72" s="28">
        <v>3.4</v>
      </c>
      <c r="C72" s="20">
        <v>941.03570999999999</v>
      </c>
      <c r="D72" s="18">
        <f t="shared" si="5"/>
        <v>6.6817851150201353</v>
      </c>
      <c r="E72" s="18">
        <f t="shared" si="6"/>
        <v>-6.9520409542370798</v>
      </c>
      <c r="F72" s="18">
        <f t="shared" si="22"/>
        <v>-1.7083356884473306</v>
      </c>
      <c r="G72" s="18">
        <f t="shared" si="7"/>
        <v>-1.7083356884473306</v>
      </c>
      <c r="H72" s="18">
        <f t="shared" si="8"/>
        <v>-1.7083356884473306</v>
      </c>
      <c r="I72" s="3"/>
      <c r="J72" s="18">
        <f t="shared" si="9"/>
        <v>5.060349552571008</v>
      </c>
      <c r="K72" s="18">
        <f t="shared" si="10"/>
        <v>9.5576669180232109E-4</v>
      </c>
      <c r="L72" s="18">
        <f t="shared" si="11"/>
        <v>0.1551335072509013</v>
      </c>
      <c r="M72" s="18">
        <f t="shared" si="12"/>
        <v>0.1551335072509013</v>
      </c>
      <c r="N72" s="18">
        <f t="shared" si="13"/>
        <v>0.1551335072509013</v>
      </c>
      <c r="O72" s="3"/>
      <c r="P72" s="20">
        <f t="shared" si="23"/>
        <v>619.01766214822032</v>
      </c>
      <c r="Q72" s="20">
        <f t="shared" si="14"/>
        <v>325.51717421713124</v>
      </c>
      <c r="R72" s="20">
        <f t="shared" si="15"/>
        <v>0</v>
      </c>
      <c r="S72" s="20">
        <f t="shared" si="16"/>
        <v>0</v>
      </c>
      <c r="T72" s="20">
        <f t="shared" si="17"/>
        <v>0</v>
      </c>
      <c r="U72" s="3"/>
      <c r="V72" s="20">
        <f t="shared" si="18"/>
        <v>944.53483636535157</v>
      </c>
      <c r="W72" s="3"/>
      <c r="X72" s="15">
        <f t="shared" si="19"/>
        <v>12.243885320698499</v>
      </c>
      <c r="Y72" s="15">
        <f t="shared" si="20"/>
        <v>3.4991263653515716</v>
      </c>
      <c r="AA72" s="15">
        <f t="shared" si="21"/>
        <v>2.2868871822478188E-5</v>
      </c>
      <c r="AB72" s="17"/>
    </row>
    <row r="73" spans="2:28" x14ac:dyDescent="0.3">
      <c r="B73" s="28">
        <v>3.5</v>
      </c>
      <c r="C73" s="20">
        <v>909.28570999999999</v>
      </c>
      <c r="D73" s="18">
        <f t="shared" si="5"/>
        <v>6.7569632953187941</v>
      </c>
      <c r="E73" s="18">
        <f t="shared" si="6"/>
        <v>-6.9469943318901208</v>
      </c>
      <c r="F73" s="18">
        <f t="shared" si="22"/>
        <v>-1.6972245773362196</v>
      </c>
      <c r="G73" s="18">
        <f t="shared" si="7"/>
        <v>-1.6972245773362196</v>
      </c>
      <c r="H73" s="18">
        <f t="shared" si="8"/>
        <v>-1.6972245773362196</v>
      </c>
      <c r="I73" s="3"/>
      <c r="J73" s="18">
        <f t="shared" si="9"/>
        <v>5.1231866561037815</v>
      </c>
      <c r="K73" s="18">
        <f t="shared" si="10"/>
        <v>9.6059763616540615E-4</v>
      </c>
      <c r="L73" s="18">
        <f t="shared" si="11"/>
        <v>0.15663194538358413</v>
      </c>
      <c r="M73" s="18">
        <f t="shared" si="12"/>
        <v>0.15663194538358413</v>
      </c>
      <c r="N73" s="18">
        <f t="shared" si="13"/>
        <v>0.15663194538358413</v>
      </c>
      <c r="O73" s="3"/>
      <c r="P73" s="20">
        <f t="shared" si="23"/>
        <v>605.15072109312143</v>
      </c>
      <c r="Q73" s="20">
        <f t="shared" si="14"/>
        <v>323.87855170521431</v>
      </c>
      <c r="R73" s="20">
        <f t="shared" si="15"/>
        <v>0</v>
      </c>
      <c r="S73" s="20">
        <f t="shared" si="16"/>
        <v>0</v>
      </c>
      <c r="T73" s="20">
        <f t="shared" si="17"/>
        <v>0</v>
      </c>
      <c r="U73" s="3"/>
      <c r="V73" s="20">
        <f t="shared" si="18"/>
        <v>929.0292727983358</v>
      </c>
      <c r="W73" s="3"/>
      <c r="X73" s="15">
        <f t="shared" si="19"/>
        <v>389.80827197182941</v>
      </c>
      <c r="Y73" s="15">
        <f t="shared" si="20"/>
        <v>19.743562798335802</v>
      </c>
      <c r="AA73" s="15">
        <f t="shared" si="21"/>
        <v>1.2903592491688275E-4</v>
      </c>
      <c r="AB73" s="17"/>
    </row>
    <row r="74" spans="2:28" x14ac:dyDescent="0.3">
      <c r="B74" s="28">
        <v>3.6</v>
      </c>
      <c r="C74" s="20">
        <v>907.78570999999999</v>
      </c>
      <c r="D74" s="18">
        <f t="shared" si="5"/>
        <v>6.8321414756174548</v>
      </c>
      <c r="E74" s="18">
        <f t="shared" si="6"/>
        <v>-6.9419477095431619</v>
      </c>
      <c r="F74" s="18">
        <f t="shared" si="22"/>
        <v>-1.6861134662251085</v>
      </c>
      <c r="G74" s="18">
        <f t="shared" si="7"/>
        <v>-1.6861134662251085</v>
      </c>
      <c r="H74" s="18">
        <f t="shared" si="8"/>
        <v>-1.6861134662251085</v>
      </c>
      <c r="I74" s="3"/>
      <c r="J74" s="18">
        <f t="shared" si="9"/>
        <v>5.1861498867332818</v>
      </c>
      <c r="K74" s="18">
        <f t="shared" si="10"/>
        <v>9.6545297509424374E-4</v>
      </c>
      <c r="L74" s="18">
        <f t="shared" si="11"/>
        <v>0.15814288062388229</v>
      </c>
      <c r="M74" s="18">
        <f t="shared" si="12"/>
        <v>0.15814288062388229</v>
      </c>
      <c r="N74" s="18">
        <f t="shared" si="13"/>
        <v>0.15814288062388229</v>
      </c>
      <c r="O74" s="3"/>
      <c r="P74" s="20">
        <f t="shared" si="23"/>
        <v>591.71929323475217</v>
      </c>
      <c r="Q74" s="20">
        <f t="shared" si="14"/>
        <v>322.2481778783461</v>
      </c>
      <c r="R74" s="20">
        <f t="shared" si="15"/>
        <v>0</v>
      </c>
      <c r="S74" s="20">
        <f t="shared" si="16"/>
        <v>0</v>
      </c>
      <c r="T74" s="20">
        <f t="shared" si="17"/>
        <v>0</v>
      </c>
      <c r="U74" s="3"/>
      <c r="V74" s="20">
        <f t="shared" si="18"/>
        <v>913.96747111309833</v>
      </c>
      <c r="W74" s="3"/>
      <c r="X74" s="15">
        <f t="shared" si="19"/>
        <v>38.214170459414731</v>
      </c>
      <c r="Y74" s="15">
        <f t="shared" si="20"/>
        <v>6.1817611130983323</v>
      </c>
      <c r="AA74" s="15">
        <f t="shared" si="21"/>
        <v>4.0401485334303394E-5</v>
      </c>
      <c r="AB74" s="17"/>
    </row>
    <row r="75" spans="2:28" x14ac:dyDescent="0.3">
      <c r="B75" s="28">
        <v>3.7</v>
      </c>
      <c r="C75" s="20">
        <v>896.53570999999999</v>
      </c>
      <c r="D75" s="18">
        <f t="shared" si="5"/>
        <v>6.9073196559161136</v>
      </c>
      <c r="E75" s="18">
        <f t="shared" si="6"/>
        <v>-6.936901087196202</v>
      </c>
      <c r="F75" s="18">
        <f t="shared" si="22"/>
        <v>-1.6750023551139972</v>
      </c>
      <c r="G75" s="18">
        <f t="shared" si="7"/>
        <v>-1.6750023551139972</v>
      </c>
      <c r="H75" s="18">
        <f t="shared" si="8"/>
        <v>-1.6750023551139972</v>
      </c>
      <c r="I75" s="3"/>
      <c r="J75" s="18">
        <f t="shared" si="9"/>
        <v>5.2492369354960751</v>
      </c>
      <c r="K75" s="18">
        <f t="shared" si="10"/>
        <v>9.7033283153433636E-4</v>
      </c>
      <c r="L75" s="18">
        <f t="shared" si="11"/>
        <v>0.15966638420401974</v>
      </c>
      <c r="M75" s="18">
        <f t="shared" si="12"/>
        <v>0.15966638420401974</v>
      </c>
      <c r="N75" s="18">
        <f t="shared" si="13"/>
        <v>0.15966638420401974</v>
      </c>
      <c r="O75" s="3"/>
      <c r="P75" s="20">
        <f t="shared" si="23"/>
        <v>578.70610732545936</v>
      </c>
      <c r="Q75" s="20">
        <f t="shared" si="14"/>
        <v>320.62601121342982</v>
      </c>
      <c r="R75" s="20">
        <f t="shared" si="15"/>
        <v>0</v>
      </c>
      <c r="S75" s="20">
        <f t="shared" si="16"/>
        <v>0</v>
      </c>
      <c r="T75" s="20">
        <f t="shared" si="17"/>
        <v>0</v>
      </c>
      <c r="U75" s="3"/>
      <c r="V75" s="20">
        <f t="shared" si="18"/>
        <v>899.33211853888918</v>
      </c>
      <c r="W75" s="3"/>
      <c r="X75" s="15">
        <f t="shared" si="19"/>
        <v>7.8199007163723282</v>
      </c>
      <c r="Y75" s="15">
        <f t="shared" si="20"/>
        <v>2.7964085388891817</v>
      </c>
      <c r="AA75" s="15">
        <f t="shared" si="21"/>
        <v>1.8276192901285754E-5</v>
      </c>
      <c r="AB75" s="17"/>
    </row>
    <row r="76" spans="2:28" x14ac:dyDescent="0.3">
      <c r="B76" s="28">
        <v>3.8</v>
      </c>
      <c r="C76" s="20">
        <v>882.53570999999999</v>
      </c>
      <c r="D76" s="18">
        <f t="shared" si="5"/>
        <v>6.9824978362147734</v>
      </c>
      <c r="E76" s="18">
        <f t="shared" si="6"/>
        <v>-6.9318544648492431</v>
      </c>
      <c r="F76" s="18">
        <f t="shared" si="22"/>
        <v>-1.6638912440028861</v>
      </c>
      <c r="G76" s="18">
        <f t="shared" si="7"/>
        <v>-1.6638912440028861</v>
      </c>
      <c r="H76" s="18">
        <f t="shared" si="8"/>
        <v>-1.6638912440028861</v>
      </c>
      <c r="I76" s="3"/>
      <c r="J76" s="18">
        <f t="shared" si="9"/>
        <v>5.3124455512022246</v>
      </c>
      <c r="K76" s="18">
        <f t="shared" si="10"/>
        <v>9.7523732904840051E-4</v>
      </c>
      <c r="L76" s="18">
        <f t="shared" si="11"/>
        <v>0.16120252725695353</v>
      </c>
      <c r="M76" s="18">
        <f t="shared" si="12"/>
        <v>0.16120252725695353</v>
      </c>
      <c r="N76" s="18">
        <f t="shared" si="13"/>
        <v>0.16120252725695353</v>
      </c>
      <c r="O76" s="3"/>
      <c r="P76" s="20">
        <f t="shared" si="23"/>
        <v>566.09470890134185</v>
      </c>
      <c r="Q76" s="20">
        <f t="shared" si="14"/>
        <v>319.01201039639335</v>
      </c>
      <c r="R76" s="20">
        <f t="shared" si="15"/>
        <v>0</v>
      </c>
      <c r="S76" s="20">
        <f t="shared" si="16"/>
        <v>0</v>
      </c>
      <c r="T76" s="20">
        <f t="shared" si="17"/>
        <v>0</v>
      </c>
      <c r="U76" s="3"/>
      <c r="V76" s="20">
        <f t="shared" si="18"/>
        <v>885.10671929773525</v>
      </c>
      <c r="W76" s="3"/>
      <c r="X76" s="15">
        <f t="shared" si="19"/>
        <v>6.610088809041148</v>
      </c>
      <c r="Y76" s="15">
        <f t="shared" si="20"/>
        <v>2.5710092977352588</v>
      </c>
      <c r="AA76" s="15">
        <f t="shared" si="21"/>
        <v>1.6803074809331674E-5</v>
      </c>
      <c r="AB76" s="17"/>
    </row>
    <row r="77" spans="2:28" x14ac:dyDescent="0.3">
      <c r="B77" s="28">
        <v>3.9</v>
      </c>
      <c r="C77" s="20">
        <v>849.28570999999999</v>
      </c>
      <c r="D77" s="18">
        <f t="shared" si="5"/>
        <v>7.0576760165134331</v>
      </c>
      <c r="E77" s="18">
        <f t="shared" si="6"/>
        <v>-6.9268078425022841</v>
      </c>
      <c r="F77" s="18">
        <f t="shared" si="22"/>
        <v>-1.6527801328917751</v>
      </c>
      <c r="G77" s="18">
        <f t="shared" si="7"/>
        <v>-1.6527801328917751</v>
      </c>
      <c r="H77" s="18">
        <f t="shared" si="8"/>
        <v>-1.6527801328917751</v>
      </c>
      <c r="I77" s="3"/>
      <c r="J77" s="18">
        <f t="shared" si="9"/>
        <v>5.3757735386811252</v>
      </c>
      <c r="K77" s="18">
        <f t="shared" si="10"/>
        <v>9.8016659181944673E-4</v>
      </c>
      <c r="L77" s="18">
        <f t="shared" si="11"/>
        <v>0.16275138080832635</v>
      </c>
      <c r="M77" s="18">
        <f t="shared" si="12"/>
        <v>0.16275138080832635</v>
      </c>
      <c r="N77" s="18">
        <f t="shared" si="13"/>
        <v>0.16275138080832635</v>
      </c>
      <c r="O77" s="3"/>
      <c r="P77" s="20">
        <f t="shared" si="23"/>
        <v>553.8694158646922</v>
      </c>
      <c r="Q77" s="20">
        <f t="shared" si="14"/>
        <v>317.40613432113503</v>
      </c>
      <c r="R77" s="20">
        <f t="shared" si="15"/>
        <v>0</v>
      </c>
      <c r="S77" s="20">
        <f t="shared" si="16"/>
        <v>0</v>
      </c>
      <c r="T77" s="20">
        <f t="shared" si="17"/>
        <v>0</v>
      </c>
      <c r="U77" s="3"/>
      <c r="V77" s="20">
        <f t="shared" si="18"/>
        <v>871.27555018582723</v>
      </c>
      <c r="W77" s="3"/>
      <c r="X77" s="15">
        <f t="shared" si="19"/>
        <v>483.5530713982223</v>
      </c>
      <c r="Y77" s="15">
        <f t="shared" si="20"/>
        <v>21.989840185827234</v>
      </c>
      <c r="AA77" s="15">
        <f t="shared" si="21"/>
        <v>1.4371668356593812E-4</v>
      </c>
      <c r="AB77" s="17"/>
    </row>
    <row r="78" spans="2:28" x14ac:dyDescent="0.3">
      <c r="B78" s="28">
        <v>4</v>
      </c>
      <c r="C78" s="20">
        <v>827.78570999999999</v>
      </c>
      <c r="D78" s="18">
        <f t="shared" si="5"/>
        <v>7.1328541968120929</v>
      </c>
      <c r="E78" s="18">
        <f t="shared" si="6"/>
        <v>-6.9217612201553251</v>
      </c>
      <c r="F78" s="18">
        <f t="shared" si="22"/>
        <v>-1.641669021780664</v>
      </c>
      <c r="G78" s="18">
        <f t="shared" si="7"/>
        <v>-1.641669021780664</v>
      </c>
      <c r="H78" s="18">
        <f t="shared" si="8"/>
        <v>-1.641669021780664</v>
      </c>
      <c r="I78" s="3"/>
      <c r="J78" s="18">
        <f t="shared" si="9"/>
        <v>5.4392187570868815</v>
      </c>
      <c r="K78" s="18">
        <f t="shared" si="10"/>
        <v>9.8512074465386366E-4</v>
      </c>
      <c r="L78" s="18">
        <f t="shared" si="11"/>
        <v>0.16431301576838003</v>
      </c>
      <c r="M78" s="18">
        <f t="shared" si="12"/>
        <v>0.16431301576838003</v>
      </c>
      <c r="N78" s="18">
        <f t="shared" si="13"/>
        <v>0.16431301576838003</v>
      </c>
      <c r="O78" s="3"/>
      <c r="P78" s="20">
        <f t="shared" si="23"/>
        <v>542.01527677425418</v>
      </c>
      <c r="Q78" s="20">
        <f t="shared" si="14"/>
        <v>315.80834208847813</v>
      </c>
      <c r="R78" s="20">
        <f t="shared" si="15"/>
        <v>0</v>
      </c>
      <c r="S78" s="20">
        <f t="shared" si="16"/>
        <v>0</v>
      </c>
      <c r="T78" s="20">
        <f t="shared" si="17"/>
        <v>0</v>
      </c>
      <c r="U78" s="3"/>
      <c r="V78" s="20">
        <f t="shared" si="18"/>
        <v>857.82361886273225</v>
      </c>
      <c r="W78" s="3"/>
      <c r="X78" s="15">
        <f t="shared" si="19"/>
        <v>902.27596884580873</v>
      </c>
      <c r="Y78" s="15">
        <f t="shared" si="20"/>
        <v>30.037908862732252</v>
      </c>
      <c r="AA78" s="15">
        <f t="shared" si="21"/>
        <v>1.9631559877320592E-4</v>
      </c>
      <c r="AB78" s="17"/>
    </row>
    <row r="79" spans="2:28" x14ac:dyDescent="0.3">
      <c r="B79" s="28">
        <v>4.0999999999999996</v>
      </c>
      <c r="C79" s="20">
        <v>807.53570999999999</v>
      </c>
      <c r="D79" s="18">
        <f t="shared" si="5"/>
        <v>7.2080323771107526</v>
      </c>
      <c r="E79" s="18">
        <f t="shared" si="6"/>
        <v>-6.9167145978083653</v>
      </c>
      <c r="F79" s="18">
        <f t="shared" si="22"/>
        <v>-1.6305579106695529</v>
      </c>
      <c r="G79" s="18">
        <f t="shared" si="7"/>
        <v>-1.6305579106695529</v>
      </c>
      <c r="H79" s="18">
        <f t="shared" si="8"/>
        <v>-1.6305579106695529</v>
      </c>
      <c r="I79" s="3"/>
      <c r="J79" s="18">
        <f t="shared" si="9"/>
        <v>5.5027791182611656</v>
      </c>
      <c r="K79" s="18">
        <f t="shared" si="10"/>
        <v>9.9009991298452601E-4</v>
      </c>
      <c r="L79" s="18">
        <f t="shared" si="11"/>
        <v>0.16588750292383114</v>
      </c>
      <c r="M79" s="18">
        <f t="shared" si="12"/>
        <v>0.16588750292383114</v>
      </c>
      <c r="N79" s="18">
        <f t="shared" si="13"/>
        <v>0.16588750292383114</v>
      </c>
      <c r="O79" s="3"/>
      <c r="P79" s="20">
        <f t="shared" si="23"/>
        <v>530.51803166173727</v>
      </c>
      <c r="Q79" s="20">
        <f t="shared" si="14"/>
        <v>314.21859300512858</v>
      </c>
      <c r="R79" s="20">
        <f t="shared" si="15"/>
        <v>0</v>
      </c>
      <c r="S79" s="20">
        <f t="shared" si="16"/>
        <v>0</v>
      </c>
      <c r="T79" s="20">
        <f t="shared" si="17"/>
        <v>0</v>
      </c>
      <c r="U79" s="3"/>
      <c r="V79" s="20">
        <f t="shared" si="18"/>
        <v>844.73662466686585</v>
      </c>
      <c r="W79" s="3"/>
      <c r="X79" s="15">
        <f t="shared" si="19"/>
        <v>1383.9080520514351</v>
      </c>
      <c r="Y79" s="15">
        <f t="shared" si="20"/>
        <v>37.200914666865856</v>
      </c>
      <c r="AA79" s="15">
        <f t="shared" si="21"/>
        <v>2.4313010173613049E-4</v>
      </c>
      <c r="AB79" s="17"/>
    </row>
    <row r="80" spans="2:28" x14ac:dyDescent="0.3">
      <c r="B80" s="28">
        <v>4.2</v>
      </c>
      <c r="C80" s="20">
        <v>810.78570999999999</v>
      </c>
      <c r="D80" s="18">
        <f t="shared" si="5"/>
        <v>7.2832105574094124</v>
      </c>
      <c r="E80" s="18">
        <f t="shared" si="6"/>
        <v>-6.9116679754614063</v>
      </c>
      <c r="F80" s="18">
        <f t="shared" si="22"/>
        <v>-1.6194467995584416</v>
      </c>
      <c r="G80" s="18">
        <f t="shared" si="7"/>
        <v>-1.6194467995584416</v>
      </c>
      <c r="H80" s="18">
        <f t="shared" si="8"/>
        <v>-1.6194467995584416</v>
      </c>
      <c r="I80" s="3"/>
      <c r="J80" s="18">
        <f t="shared" si="9"/>
        <v>5.5664525851515396</v>
      </c>
      <c r="K80" s="18">
        <f t="shared" si="10"/>
        <v>9.9510422287390913E-4</v>
      </c>
      <c r="L80" s="18">
        <f t="shared" si="11"/>
        <v>0.16747491292971192</v>
      </c>
      <c r="M80" s="18">
        <f t="shared" si="12"/>
        <v>0.16747491292971192</v>
      </c>
      <c r="N80" s="18">
        <f t="shared" si="13"/>
        <v>0.16747491292971192</v>
      </c>
      <c r="O80" s="3"/>
      <c r="P80" s="20">
        <f t="shared" si="23"/>
        <v>519.36407520621594</v>
      </c>
      <c r="Q80" s="20">
        <f t="shared" si="14"/>
        <v>312.63684658263986</v>
      </c>
      <c r="R80" s="20">
        <f t="shared" si="15"/>
        <v>0</v>
      </c>
      <c r="S80" s="20">
        <f t="shared" si="16"/>
        <v>0</v>
      </c>
      <c r="T80" s="20">
        <f t="shared" si="17"/>
        <v>0</v>
      </c>
      <c r="U80" s="3"/>
      <c r="V80" s="20">
        <f t="shared" si="18"/>
        <v>832.00092178885575</v>
      </c>
      <c r="W80" s="3"/>
      <c r="X80" s="15">
        <f t="shared" si="19"/>
        <v>450.08521124600418</v>
      </c>
      <c r="Y80" s="15">
        <f t="shared" si="20"/>
        <v>21.215211788855754</v>
      </c>
      <c r="AA80" s="15">
        <f t="shared" si="21"/>
        <v>1.3865402629931133E-4</v>
      </c>
      <c r="AB80" s="17"/>
    </row>
    <row r="81" spans="2:28" x14ac:dyDescent="0.3">
      <c r="B81" s="28">
        <v>4.3</v>
      </c>
      <c r="C81" s="20">
        <v>821.03570999999999</v>
      </c>
      <c r="D81" s="18">
        <f t="shared" si="5"/>
        <v>7.3583887377080721</v>
      </c>
      <c r="E81" s="18">
        <f t="shared" si="6"/>
        <v>-6.9066213531144474</v>
      </c>
      <c r="F81" s="18">
        <f t="shared" si="22"/>
        <v>-1.6083356884473305</v>
      </c>
      <c r="G81" s="18">
        <f t="shared" si="7"/>
        <v>-1.6083356884473305</v>
      </c>
      <c r="H81" s="18">
        <f t="shared" si="8"/>
        <v>-1.6083356884473305</v>
      </c>
      <c r="I81" s="3"/>
      <c r="J81" s="18">
        <f t="shared" si="9"/>
        <v>5.6302371702833094</v>
      </c>
      <c r="K81" s="18">
        <f t="shared" si="10"/>
        <v>1.0001338010172302E-3</v>
      </c>
      <c r="L81" s="18">
        <f t="shared" si="11"/>
        <v>0.1690753163011775</v>
      </c>
      <c r="M81" s="18">
        <f t="shared" si="12"/>
        <v>0.1690753163011775</v>
      </c>
      <c r="N81" s="18">
        <f t="shared" si="13"/>
        <v>0.1690753163011775</v>
      </c>
      <c r="O81" s="3"/>
      <c r="P81" s="20">
        <f t="shared" si="23"/>
        <v>508.54042211020459</v>
      </c>
      <c r="Q81" s="20">
        <f t="shared" si="14"/>
        <v>311.06306253637979</v>
      </c>
      <c r="R81" s="20">
        <f t="shared" si="15"/>
        <v>0</v>
      </c>
      <c r="S81" s="20">
        <f t="shared" si="16"/>
        <v>0</v>
      </c>
      <c r="T81" s="20">
        <f t="shared" si="17"/>
        <v>0</v>
      </c>
      <c r="U81" s="3"/>
      <c r="V81" s="20">
        <f t="shared" si="18"/>
        <v>819.60348464658432</v>
      </c>
      <c r="W81" s="3"/>
      <c r="X81" s="15">
        <f t="shared" si="19"/>
        <v>2.0512694629666535</v>
      </c>
      <c r="Y81" s="15">
        <f t="shared" si="20"/>
        <v>1.4322253534156744</v>
      </c>
      <c r="AA81" s="15">
        <f t="shared" si="21"/>
        <v>9.3604444676509167E-6</v>
      </c>
      <c r="AB81" s="17"/>
    </row>
    <row r="82" spans="2:28" x14ac:dyDescent="0.3">
      <c r="B82" s="28">
        <v>4.4000000000000004</v>
      </c>
      <c r="C82" s="20">
        <v>847.78570999999999</v>
      </c>
      <c r="D82" s="18">
        <f t="shared" si="5"/>
        <v>7.4335669180067319</v>
      </c>
      <c r="E82" s="18">
        <f t="shared" si="6"/>
        <v>-6.9015747307674884</v>
      </c>
      <c r="F82" s="18">
        <f t="shared" si="22"/>
        <v>-1.5972245773362195</v>
      </c>
      <c r="G82" s="18">
        <f t="shared" si="7"/>
        <v>-1.5972245773362195</v>
      </c>
      <c r="H82" s="18">
        <f t="shared" si="8"/>
        <v>-1.5972245773362195</v>
      </c>
      <c r="I82" s="3"/>
      <c r="J82" s="18">
        <f t="shared" si="9"/>
        <v>5.694130934283022</v>
      </c>
      <c r="K82" s="18">
        <f t="shared" si="10"/>
        <v>1.0051887747455942E-3</v>
      </c>
      <c r="L82" s="18">
        <f t="shared" si="11"/>
        <v>0.17068878340528293</v>
      </c>
      <c r="M82" s="18">
        <f t="shared" si="12"/>
        <v>0.17068878340528293</v>
      </c>
      <c r="N82" s="18">
        <f t="shared" si="13"/>
        <v>0.17068878340528293</v>
      </c>
      <c r="O82" s="3"/>
      <c r="P82" s="20">
        <f t="shared" si="23"/>
        <v>498.03467453242121</v>
      </c>
      <c r="Q82" s="20">
        <f t="shared" si="14"/>
        <v>309.49720078450599</v>
      </c>
      <c r="R82" s="20">
        <f t="shared" si="15"/>
        <v>0</v>
      </c>
      <c r="S82" s="20">
        <f t="shared" si="16"/>
        <v>0</v>
      </c>
      <c r="T82" s="20">
        <f t="shared" si="17"/>
        <v>0</v>
      </c>
      <c r="U82" s="3"/>
      <c r="V82" s="20">
        <f t="shared" si="18"/>
        <v>807.5318753169272</v>
      </c>
      <c r="W82" s="3"/>
      <c r="X82" s="15">
        <f t="shared" si="19"/>
        <v>1620.3712066921544</v>
      </c>
      <c r="Y82" s="15">
        <f t="shared" si="20"/>
        <v>40.253834683072796</v>
      </c>
      <c r="AA82" s="15">
        <f t="shared" si="21"/>
        <v>2.6308274969598768E-4</v>
      </c>
      <c r="AB82" s="17"/>
    </row>
    <row r="83" spans="2:28" x14ac:dyDescent="0.3">
      <c r="B83" s="28">
        <v>4.5</v>
      </c>
      <c r="C83" s="20">
        <v>778.78570999999999</v>
      </c>
      <c r="D83" s="18">
        <f t="shared" si="5"/>
        <v>7.5087450983053916</v>
      </c>
      <c r="E83" s="18">
        <f t="shared" si="6"/>
        <v>-6.8965281084205294</v>
      </c>
      <c r="F83" s="18">
        <f t="shared" si="22"/>
        <v>-1.5861134662251084</v>
      </c>
      <c r="G83" s="18">
        <f t="shared" si="7"/>
        <v>-1.5861134662251084</v>
      </c>
      <c r="H83" s="18">
        <f t="shared" si="8"/>
        <v>-1.5861134662251084</v>
      </c>
      <c r="I83" s="3"/>
      <c r="J83" s="18">
        <f t="shared" si="9"/>
        <v>5.7581319844517846</v>
      </c>
      <c r="K83" s="18">
        <f t="shared" si="10"/>
        <v>1.0102692720291612E-3</v>
      </c>
      <c r="L83" s="18">
        <f t="shared" si="11"/>
        <v>0.17231538445273076</v>
      </c>
      <c r="M83" s="18">
        <f t="shared" si="12"/>
        <v>0.17231538445273076</v>
      </c>
      <c r="N83" s="18">
        <f t="shared" si="13"/>
        <v>0.17231538445273076</v>
      </c>
      <c r="O83" s="3"/>
      <c r="P83" s="20">
        <f t="shared" si="23"/>
        <v>487.83499144261572</v>
      </c>
      <c r="Q83" s="20">
        <f t="shared" si="14"/>
        <v>307.93922144694449</v>
      </c>
      <c r="R83" s="20">
        <f t="shared" si="15"/>
        <v>0</v>
      </c>
      <c r="S83" s="20">
        <f t="shared" si="16"/>
        <v>0</v>
      </c>
      <c r="T83" s="20">
        <f t="shared" si="17"/>
        <v>0</v>
      </c>
      <c r="U83" s="3"/>
      <c r="V83" s="20">
        <f t="shared" si="18"/>
        <v>795.7742128895602</v>
      </c>
      <c r="W83" s="3"/>
      <c r="X83" s="15">
        <f t="shared" si="19"/>
        <v>288.60923042859559</v>
      </c>
      <c r="Y83" s="15">
        <f t="shared" si="20"/>
        <v>16.988502889560209</v>
      </c>
      <c r="AA83" s="15">
        <f t="shared" si="21"/>
        <v>1.1102996990453581E-4</v>
      </c>
      <c r="AB83" s="17"/>
    </row>
    <row r="84" spans="2:28" x14ac:dyDescent="0.3">
      <c r="B84" s="28">
        <v>4.5999999999999996</v>
      </c>
      <c r="C84" s="20">
        <v>772.53570999999999</v>
      </c>
      <c r="D84" s="18">
        <f t="shared" si="5"/>
        <v>7.5839232786040505</v>
      </c>
      <c r="E84" s="18">
        <f t="shared" si="6"/>
        <v>-6.8914814860735696</v>
      </c>
      <c r="F84" s="18">
        <f t="shared" si="22"/>
        <v>-1.5750023551139973</v>
      </c>
      <c r="G84" s="18">
        <f t="shared" si="7"/>
        <v>-1.5750023551139973</v>
      </c>
      <c r="H84" s="18">
        <f t="shared" si="8"/>
        <v>-1.5750023551139973</v>
      </c>
      <c r="I84" s="3"/>
      <c r="J84" s="18">
        <f t="shared" si="9"/>
        <v>5.8222384733866388</v>
      </c>
      <c r="K84" s="18">
        <f t="shared" si="10"/>
        <v>1.015375421480327E-3</v>
      </c>
      <c r="L84" s="18">
        <f t="shared" si="11"/>
        <v>0.17395518948959274</v>
      </c>
      <c r="M84" s="18">
        <f t="shared" si="12"/>
        <v>0.17395518948959274</v>
      </c>
      <c r="N84" s="18">
        <f t="shared" si="13"/>
        <v>0.17395518948959274</v>
      </c>
      <c r="O84" s="3"/>
      <c r="P84" s="20">
        <f t="shared" si="23"/>
        <v>477.93005977340113</v>
      </c>
      <c r="Q84" s="20">
        <f t="shared" si="14"/>
        <v>306.38908484437405</v>
      </c>
      <c r="R84" s="20">
        <f t="shared" si="15"/>
        <v>0</v>
      </c>
      <c r="S84" s="20">
        <f t="shared" si="16"/>
        <v>0</v>
      </c>
      <c r="T84" s="20">
        <f t="shared" si="17"/>
        <v>0</v>
      </c>
      <c r="U84" s="3"/>
      <c r="V84" s="20">
        <f t="shared" si="18"/>
        <v>784.31914461777524</v>
      </c>
      <c r="W84" s="3"/>
      <c r="X84" s="15">
        <f t="shared" si="19"/>
        <v>138.84933139138397</v>
      </c>
      <c r="Y84" s="15">
        <f t="shared" si="20"/>
        <v>11.783434617775242</v>
      </c>
      <c r="AA84" s="15">
        <f t="shared" si="21"/>
        <v>7.701175315381305E-5</v>
      </c>
      <c r="AB84" s="17"/>
    </row>
    <row r="85" spans="2:28" x14ac:dyDescent="0.3">
      <c r="B85" s="28">
        <v>4.7</v>
      </c>
      <c r="C85" s="20">
        <v>730.28570999999999</v>
      </c>
      <c r="D85" s="18">
        <f t="shared" si="5"/>
        <v>7.6591014589027111</v>
      </c>
      <c r="E85" s="18">
        <f t="shared" si="6"/>
        <v>-6.8864348637266106</v>
      </c>
      <c r="F85" s="18">
        <f t="shared" si="22"/>
        <v>-1.5638912440028863</v>
      </c>
      <c r="G85" s="18">
        <f t="shared" si="7"/>
        <v>-1.5638912440028863</v>
      </c>
      <c r="H85" s="18">
        <f t="shared" si="8"/>
        <v>-1.5638912440028863</v>
      </c>
      <c r="I85" s="3"/>
      <c r="J85" s="18">
        <f t="shared" si="9"/>
        <v>5.8864485976482834</v>
      </c>
      <c r="K85" s="18">
        <f t="shared" si="10"/>
        <v>1.0205073523569185E-3</v>
      </c>
      <c r="L85" s="18">
        <f t="shared" si="11"/>
        <v>0.17560826838900701</v>
      </c>
      <c r="M85" s="18">
        <f t="shared" si="12"/>
        <v>0.17560826838900701</v>
      </c>
      <c r="N85" s="18">
        <f t="shared" si="13"/>
        <v>0.17560826838900701</v>
      </c>
      <c r="O85" s="3"/>
      <c r="P85" s="20">
        <f t="shared" si="23"/>
        <v>468.30906725286582</v>
      </c>
      <c r="Q85" s="20">
        <f t="shared" si="14"/>
        <v>304.84675149721647</v>
      </c>
      <c r="R85" s="20">
        <f t="shared" si="15"/>
        <v>0</v>
      </c>
      <c r="S85" s="20">
        <f t="shared" si="16"/>
        <v>0</v>
      </c>
      <c r="T85" s="20">
        <f t="shared" si="17"/>
        <v>0</v>
      </c>
      <c r="U85" s="3"/>
      <c r="V85" s="20">
        <f t="shared" si="18"/>
        <v>773.15581875008229</v>
      </c>
      <c r="W85" s="3"/>
      <c r="X85" s="15">
        <f t="shared" si="19"/>
        <v>1837.8462242438825</v>
      </c>
      <c r="Y85" s="15">
        <f t="shared" si="20"/>
        <v>42.870108750082295</v>
      </c>
      <c r="AA85" s="15">
        <f t="shared" si="21"/>
        <v>2.8018165669270673E-4</v>
      </c>
      <c r="AB85" s="17"/>
    </row>
    <row r="86" spans="2:28" x14ac:dyDescent="0.3">
      <c r="B86" s="28">
        <v>4.8</v>
      </c>
      <c r="C86" s="20">
        <v>772.28570999999999</v>
      </c>
      <c r="D86" s="18">
        <f t="shared" si="5"/>
        <v>7.73427963920137</v>
      </c>
      <c r="E86" s="18">
        <f t="shared" si="6"/>
        <v>-6.8813882413796517</v>
      </c>
      <c r="F86" s="18">
        <f t="shared" si="22"/>
        <v>-1.5527801328917752</v>
      </c>
      <c r="G86" s="18">
        <f t="shared" si="7"/>
        <v>-1.5527801328917752</v>
      </c>
      <c r="H86" s="18">
        <f t="shared" si="8"/>
        <v>-1.5527801328917752</v>
      </c>
      <c r="I86" s="3"/>
      <c r="J86" s="18">
        <f t="shared" si="9"/>
        <v>5.9507605964734802</v>
      </c>
      <c r="K86" s="18">
        <f t="shared" si="10"/>
        <v>1.0256651945654085E-3</v>
      </c>
      <c r="L86" s="18">
        <f t="shared" si="11"/>
        <v>0.17727469084285363</v>
      </c>
      <c r="M86" s="18">
        <f t="shared" si="12"/>
        <v>0.17727469084285363</v>
      </c>
      <c r="N86" s="18">
        <f t="shared" si="13"/>
        <v>0.17727469084285363</v>
      </c>
      <c r="O86" s="3"/>
      <c r="P86" s="20">
        <f t="shared" si="23"/>
        <v>458.96167680991533</v>
      </c>
      <c r="Q86" s="20">
        <f t="shared" si="14"/>
        <v>303.31218212462983</v>
      </c>
      <c r="R86" s="20">
        <f t="shared" si="15"/>
        <v>0</v>
      </c>
      <c r="S86" s="20">
        <f t="shared" si="16"/>
        <v>0</v>
      </c>
      <c r="T86" s="20">
        <f t="shared" si="17"/>
        <v>0</v>
      </c>
      <c r="U86" s="3"/>
      <c r="V86" s="20">
        <f t="shared" si="18"/>
        <v>762.27385893454516</v>
      </c>
      <c r="W86" s="3"/>
      <c r="X86" s="15">
        <f t="shared" si="19"/>
        <v>100.2371617568491</v>
      </c>
      <c r="Y86" s="15">
        <f t="shared" si="20"/>
        <v>10.011851065454834</v>
      </c>
      <c r="AA86" s="15">
        <f t="shared" si="21"/>
        <v>6.5433401030838103E-5</v>
      </c>
      <c r="AB86" s="17"/>
    </row>
    <row r="87" spans="2:28" x14ac:dyDescent="0.3">
      <c r="B87" s="28">
        <v>4.9000000000000004</v>
      </c>
      <c r="C87" s="20">
        <v>731.78570999999999</v>
      </c>
      <c r="D87" s="18">
        <f t="shared" si="5"/>
        <v>7.8094578195000297</v>
      </c>
      <c r="E87" s="18">
        <f t="shared" si="6"/>
        <v>-6.8763416190326927</v>
      </c>
      <c r="F87" s="18">
        <f t="shared" si="22"/>
        <v>-1.5416690217806639</v>
      </c>
      <c r="G87" s="18">
        <f t="shared" si="7"/>
        <v>-1.5416690217806639</v>
      </c>
      <c r="H87" s="18">
        <f t="shared" si="8"/>
        <v>-1.5416690217806639</v>
      </c>
      <c r="I87" s="3"/>
      <c r="J87" s="18">
        <f t="shared" si="9"/>
        <v>6.0151727505305876</v>
      </c>
      <c r="K87" s="18">
        <f t="shared" si="10"/>
        <v>1.030849078664143E-3</v>
      </c>
      <c r="L87" s="18">
        <f t="shared" si="11"/>
        <v>0.17895452635341083</v>
      </c>
      <c r="M87" s="18">
        <f t="shared" si="12"/>
        <v>0.17895452635341083</v>
      </c>
      <c r="N87" s="18">
        <f t="shared" si="13"/>
        <v>0.17895452635341083</v>
      </c>
      <c r="O87" s="3"/>
      <c r="P87" s="20">
        <f t="shared" si="23"/>
        <v>449.87800245183303</v>
      </c>
      <c r="Q87" s="20">
        <f t="shared" si="14"/>
        <v>301.78533764350834</v>
      </c>
      <c r="R87" s="20">
        <f t="shared" si="15"/>
        <v>0</v>
      </c>
      <c r="S87" s="20">
        <f t="shared" si="16"/>
        <v>0</v>
      </c>
      <c r="T87" s="20">
        <f t="shared" si="17"/>
        <v>0</v>
      </c>
      <c r="U87" s="3"/>
      <c r="V87" s="20">
        <f t="shared" si="18"/>
        <v>751.66334009534137</v>
      </c>
      <c r="W87" s="3"/>
      <c r="X87" s="15">
        <f t="shared" si="19"/>
        <v>395.1201782072211</v>
      </c>
      <c r="Y87" s="15">
        <f t="shared" si="20"/>
        <v>19.877630095341374</v>
      </c>
      <c r="AA87" s="15">
        <f t="shared" si="21"/>
        <v>1.2991213443625473E-4</v>
      </c>
      <c r="AB87" s="17"/>
    </row>
    <row r="88" spans="2:28" x14ac:dyDescent="0.3">
      <c r="B88" s="28">
        <v>5</v>
      </c>
      <c r="C88" s="20">
        <v>740.03570999999999</v>
      </c>
      <c r="D88" s="18">
        <f t="shared" si="5"/>
        <v>7.8846359997986895</v>
      </c>
      <c r="E88" s="18">
        <f t="shared" si="6"/>
        <v>-6.8712949966857328</v>
      </c>
      <c r="F88" s="18">
        <f t="shared" si="22"/>
        <v>-1.5305579106695528</v>
      </c>
      <c r="G88" s="18">
        <f t="shared" si="7"/>
        <v>-1.5305579106695528</v>
      </c>
      <c r="H88" s="18">
        <f t="shared" si="8"/>
        <v>-1.5305579106695528</v>
      </c>
      <c r="I88" s="3"/>
      <c r="J88" s="18">
        <f t="shared" si="9"/>
        <v>6.0796833807166211</v>
      </c>
      <c r="K88" s="18">
        <f t="shared" si="10"/>
        <v>1.0360591358665849E-3</v>
      </c>
      <c r="L88" s="18">
        <f t="shared" si="11"/>
        <v>0.18064784422499353</v>
      </c>
      <c r="M88" s="18">
        <f t="shared" si="12"/>
        <v>0.18064784422499353</v>
      </c>
      <c r="N88" s="18">
        <f t="shared" si="13"/>
        <v>0.18064784422499353</v>
      </c>
      <c r="O88" s="3"/>
      <c r="P88" s="20">
        <f t="shared" si="23"/>
        <v>441.04858652055202</v>
      </c>
      <c r="Q88" s="20">
        <f t="shared" si="14"/>
        <v>300.26617916748756</v>
      </c>
      <c r="R88" s="20">
        <f t="shared" si="15"/>
        <v>0</v>
      </c>
      <c r="S88" s="20">
        <f t="shared" si="16"/>
        <v>0</v>
      </c>
      <c r="T88" s="20">
        <f t="shared" si="17"/>
        <v>0</v>
      </c>
      <c r="U88" s="3"/>
      <c r="V88" s="20">
        <f t="shared" si="18"/>
        <v>741.31476568803964</v>
      </c>
      <c r="W88" s="3"/>
      <c r="X88" s="15">
        <f t="shared" si="19"/>
        <v>1.6359834531065773</v>
      </c>
      <c r="Y88" s="15">
        <f t="shared" si="20"/>
        <v>1.279055688039648</v>
      </c>
      <c r="AA88" s="15">
        <f t="shared" si="21"/>
        <v>8.3593896102838892E-6</v>
      </c>
      <c r="AB88" s="17"/>
    </row>
    <row r="89" spans="2:28" x14ac:dyDescent="0.3">
      <c r="B89" s="28">
        <v>5.0999999999999996</v>
      </c>
      <c r="C89" s="20">
        <v>730.28570999999999</v>
      </c>
      <c r="D89" s="18">
        <f t="shared" si="5"/>
        <v>7.9598141800973483</v>
      </c>
      <c r="E89" s="18">
        <f t="shared" si="6"/>
        <v>-6.8662483743387739</v>
      </c>
      <c r="F89" s="18">
        <f t="shared" si="22"/>
        <v>-1.5194467995584418</v>
      </c>
      <c r="G89" s="18">
        <f t="shared" si="7"/>
        <v>-1.5194467995584418</v>
      </c>
      <c r="H89" s="18">
        <f t="shared" si="8"/>
        <v>-1.5194467995584418</v>
      </c>
      <c r="I89" s="3"/>
      <c r="J89" s="18">
        <f t="shared" si="9"/>
        <v>6.1442908469944069</v>
      </c>
      <c r="K89" s="18">
        <f t="shared" si="10"/>
        <v>1.0412954980445705E-3</v>
      </c>
      <c r="L89" s="18">
        <f t="shared" si="11"/>
        <v>0.18235471355557781</v>
      </c>
      <c r="M89" s="18">
        <f t="shared" si="12"/>
        <v>0.18235471355557781</v>
      </c>
      <c r="N89" s="18">
        <f t="shared" si="13"/>
        <v>0.18235471355557781</v>
      </c>
      <c r="O89" s="3"/>
      <c r="P89" s="20">
        <f t="shared" si="23"/>
        <v>432.46437824057358</v>
      </c>
      <c r="Q89" s="20">
        <f t="shared" si="14"/>
        <v>298.75466800595422</v>
      </c>
      <c r="R89" s="20">
        <f t="shared" si="15"/>
        <v>0</v>
      </c>
      <c r="S89" s="20">
        <f t="shared" si="16"/>
        <v>0</v>
      </c>
      <c r="T89" s="20">
        <f t="shared" si="17"/>
        <v>0</v>
      </c>
      <c r="U89" s="3"/>
      <c r="V89" s="20">
        <f t="shared" si="18"/>
        <v>731.2190462465278</v>
      </c>
      <c r="W89" s="3"/>
      <c r="X89" s="15">
        <f t="shared" si="19"/>
        <v>0.87111654908260494</v>
      </c>
      <c r="Y89" s="15">
        <f t="shared" si="20"/>
        <v>0.93333624652780145</v>
      </c>
      <c r="AA89" s="15">
        <f t="shared" si="21"/>
        <v>6.0999074513196786E-6</v>
      </c>
      <c r="AB89" s="17"/>
    </row>
    <row r="90" spans="2:28" x14ac:dyDescent="0.3">
      <c r="B90" s="28">
        <v>5.2</v>
      </c>
      <c r="C90" s="20">
        <v>712.03570999999999</v>
      </c>
      <c r="D90" s="18">
        <f t="shared" si="5"/>
        <v>8.0349923603960089</v>
      </c>
      <c r="E90" s="18">
        <f t="shared" si="6"/>
        <v>-6.8612017519918149</v>
      </c>
      <c r="F90" s="18">
        <f t="shared" si="22"/>
        <v>-1.5083356884473305</v>
      </c>
      <c r="G90" s="18">
        <f t="shared" si="7"/>
        <v>-1.5083356884473305</v>
      </c>
      <c r="H90" s="18">
        <f t="shared" si="8"/>
        <v>-1.5083356884473305</v>
      </c>
      <c r="I90" s="3"/>
      <c r="J90" s="18">
        <f t="shared" si="9"/>
        <v>6.2089935472683653</v>
      </c>
      <c r="K90" s="18">
        <f t="shared" si="10"/>
        <v>1.0465582977315919E-3</v>
      </c>
      <c r="L90" s="18">
        <f t="shared" si="11"/>
        <v>0.18407520322841289</v>
      </c>
      <c r="M90" s="18">
        <f t="shared" si="12"/>
        <v>0.18407520322841289</v>
      </c>
      <c r="N90" s="18">
        <f t="shared" si="13"/>
        <v>0.18407520322841289</v>
      </c>
      <c r="O90" s="3"/>
      <c r="P90" s="20">
        <f t="shared" si="23"/>
        <v>424.11671347746636</v>
      </c>
      <c r="Q90" s="20">
        <f t="shared" si="14"/>
        <v>297.25076566305921</v>
      </c>
      <c r="R90" s="20">
        <f t="shared" si="15"/>
        <v>0</v>
      </c>
      <c r="S90" s="20">
        <f t="shared" si="16"/>
        <v>0</v>
      </c>
      <c r="T90" s="20">
        <f t="shared" si="17"/>
        <v>0</v>
      </c>
      <c r="U90" s="3"/>
      <c r="V90" s="20">
        <f t="shared" si="18"/>
        <v>721.36747914052557</v>
      </c>
      <c r="W90" s="3"/>
      <c r="X90" s="15">
        <f t="shared" si="19"/>
        <v>87.081915292065517</v>
      </c>
      <c r="Y90" s="15">
        <f t="shared" si="20"/>
        <v>9.33176914052558</v>
      </c>
      <c r="AA90" s="15">
        <f t="shared" si="21"/>
        <v>6.0988661188346383E-5</v>
      </c>
      <c r="AB90" s="17"/>
    </row>
    <row r="91" spans="2:28" x14ac:dyDescent="0.3">
      <c r="B91" s="28">
        <v>5.3</v>
      </c>
      <c r="C91" s="20">
        <v>692.28570999999999</v>
      </c>
      <c r="D91" s="18">
        <f t="shared" si="5"/>
        <v>8.1101705406946678</v>
      </c>
      <c r="E91" s="18">
        <f t="shared" si="6"/>
        <v>-6.856155129644856</v>
      </c>
      <c r="F91" s="18">
        <f t="shared" si="22"/>
        <v>-1.4972245773362194</v>
      </c>
      <c r="G91" s="18">
        <f t="shared" si="7"/>
        <v>-1.4972245773362194</v>
      </c>
      <c r="H91" s="18">
        <f t="shared" si="8"/>
        <v>-1.4972245773362194</v>
      </c>
      <c r="I91" s="3"/>
      <c r="J91" s="18">
        <f t="shared" si="9"/>
        <v>6.2737899162975319</v>
      </c>
      <c r="K91" s="18">
        <f t="shared" si="10"/>
        <v>1.0518476681260832E-3</v>
      </c>
      <c r="L91" s="18">
        <f t="shared" si="11"/>
        <v>0.18580938190362295</v>
      </c>
      <c r="M91" s="18">
        <f t="shared" si="12"/>
        <v>0.18580938190362295</v>
      </c>
      <c r="N91" s="18">
        <f t="shared" si="13"/>
        <v>0.18580938190362295</v>
      </c>
      <c r="O91" s="3"/>
      <c r="P91" s="20">
        <f t="shared" si="23"/>
        <v>415.99729563141523</v>
      </c>
      <c r="Q91" s="20">
        <f t="shared" si="14"/>
        <v>295.75443383673917</v>
      </c>
      <c r="R91" s="20">
        <f t="shared" si="15"/>
        <v>0</v>
      </c>
      <c r="S91" s="20">
        <f t="shared" si="16"/>
        <v>0</v>
      </c>
      <c r="T91" s="20">
        <f t="shared" si="17"/>
        <v>0</v>
      </c>
      <c r="U91" s="3"/>
      <c r="V91" s="20">
        <f t="shared" si="18"/>
        <v>711.75172946815439</v>
      </c>
      <c r="W91" s="3"/>
      <c r="X91" s="15">
        <f t="shared" si="19"/>
        <v>378.9259139345661</v>
      </c>
      <c r="Y91" s="15">
        <f t="shared" si="20"/>
        <v>19.4660194681544</v>
      </c>
      <c r="AA91" s="15">
        <f t="shared" si="21"/>
        <v>1.2722201419163677E-4</v>
      </c>
      <c r="AB91" s="17"/>
    </row>
    <row r="92" spans="2:28" x14ac:dyDescent="0.3">
      <c r="B92" s="28">
        <v>5.4</v>
      </c>
      <c r="C92" s="20">
        <v>736.03570999999999</v>
      </c>
      <c r="D92" s="18">
        <f t="shared" si="5"/>
        <v>8.1853487209933284</v>
      </c>
      <c r="E92" s="18">
        <f t="shared" si="6"/>
        <v>-6.8511085072978961</v>
      </c>
      <c r="F92" s="18">
        <f t="shared" si="22"/>
        <v>-1.4861134662251083</v>
      </c>
      <c r="G92" s="18">
        <f t="shared" si="7"/>
        <v>-1.4861134662251083</v>
      </c>
      <c r="H92" s="18">
        <f t="shared" si="8"/>
        <v>-1.4861134662251083</v>
      </c>
      <c r="I92" s="3"/>
      <c r="J92" s="18">
        <f t="shared" si="9"/>
        <v>6.3386784246445194</v>
      </c>
      <c r="K92" s="18">
        <f t="shared" si="10"/>
        <v>1.0571637430947306E-3</v>
      </c>
      <c r="L92" s="18">
        <f t="shared" si="11"/>
        <v>0.1875573180098023</v>
      </c>
      <c r="M92" s="18">
        <f t="shared" si="12"/>
        <v>0.1875573180098023</v>
      </c>
      <c r="N92" s="18">
        <f t="shared" si="13"/>
        <v>0.1875573180098023</v>
      </c>
      <c r="O92" s="3"/>
      <c r="P92" s="20">
        <f t="shared" si="23"/>
        <v>408.09817759541886</v>
      </c>
      <c r="Q92" s="20">
        <f t="shared" si="14"/>
        <v>294.26563441773925</v>
      </c>
      <c r="R92" s="20">
        <f t="shared" si="15"/>
        <v>0</v>
      </c>
      <c r="S92" s="20">
        <f t="shared" si="16"/>
        <v>0</v>
      </c>
      <c r="T92" s="20">
        <f t="shared" si="17"/>
        <v>0</v>
      </c>
      <c r="U92" s="3"/>
      <c r="V92" s="20">
        <f t="shared" si="18"/>
        <v>702.36381201315817</v>
      </c>
      <c r="W92" s="3"/>
      <c r="X92" s="15">
        <f t="shared" si="19"/>
        <v>1133.7967140362828</v>
      </c>
      <c r="Y92" s="15">
        <f t="shared" si="20"/>
        <v>33.671897986841827</v>
      </c>
      <c r="AA92" s="15">
        <f t="shared" si="21"/>
        <v>2.2006587893069082E-4</v>
      </c>
      <c r="AB92" s="17"/>
    </row>
    <row r="93" spans="2:28" x14ac:dyDescent="0.3">
      <c r="B93" s="28">
        <v>5.5</v>
      </c>
      <c r="C93" s="20">
        <v>692.28570999999999</v>
      </c>
      <c r="D93" s="18">
        <f t="shared" si="5"/>
        <v>8.2605269012919873</v>
      </c>
      <c r="E93" s="18">
        <f t="shared" si="6"/>
        <v>-6.8460618849509371</v>
      </c>
      <c r="F93" s="18">
        <f t="shared" si="22"/>
        <v>-1.4750023551139972</v>
      </c>
      <c r="G93" s="18">
        <f t="shared" si="7"/>
        <v>-1.4750023551139972</v>
      </c>
      <c r="H93" s="18">
        <f t="shared" si="8"/>
        <v>-1.4750023551139972</v>
      </c>
      <c r="I93" s="3"/>
      <c r="J93" s="18">
        <f t="shared" si="9"/>
        <v>6.4036575776590698</v>
      </c>
      <c r="K93" s="18">
        <f t="shared" si="10"/>
        <v>1.062506657175794E-3</v>
      </c>
      <c r="L93" s="18">
        <f t="shared" si="11"/>
        <v>0.18931907973560502</v>
      </c>
      <c r="M93" s="18">
        <f t="shared" si="12"/>
        <v>0.18931907973560502</v>
      </c>
      <c r="N93" s="18">
        <f t="shared" si="13"/>
        <v>0.18931907973560502</v>
      </c>
      <c r="O93" s="3"/>
      <c r="P93" s="20">
        <f t="shared" si="23"/>
        <v>400.41174471250372</v>
      </c>
      <c r="Q93" s="20">
        <f t="shared" si="14"/>
        <v>292.78432948864435</v>
      </c>
      <c r="R93" s="20">
        <f t="shared" si="15"/>
        <v>0</v>
      </c>
      <c r="S93" s="20">
        <f t="shared" si="16"/>
        <v>0</v>
      </c>
      <c r="T93" s="20">
        <f t="shared" si="17"/>
        <v>0</v>
      </c>
      <c r="U93" s="3"/>
      <c r="V93" s="20">
        <f t="shared" si="18"/>
        <v>693.19607420114812</v>
      </c>
      <c r="W93" s="3"/>
      <c r="X93" s="15">
        <f t="shared" si="19"/>
        <v>0.82876297873206739</v>
      </c>
      <c r="Y93" s="15">
        <f t="shared" si="20"/>
        <v>0.91036420114812699</v>
      </c>
      <c r="AA93" s="15">
        <f t="shared" si="21"/>
        <v>5.9497714726680058E-6</v>
      </c>
      <c r="AB93" s="17"/>
    </row>
    <row r="94" spans="2:28" x14ac:dyDescent="0.3">
      <c r="B94" s="28">
        <v>5.6</v>
      </c>
      <c r="C94" s="20">
        <v>699.53570999999999</v>
      </c>
      <c r="D94" s="18">
        <f t="shared" si="5"/>
        <v>8.3357050815906462</v>
      </c>
      <c r="E94" s="18">
        <f t="shared" si="6"/>
        <v>-6.8410152626039782</v>
      </c>
      <c r="F94" s="18">
        <f t="shared" si="22"/>
        <v>-1.4638912440028862</v>
      </c>
      <c r="G94" s="18">
        <f t="shared" si="7"/>
        <v>-1.4638912440028862</v>
      </c>
      <c r="H94" s="18">
        <f t="shared" si="8"/>
        <v>-1.4638912440028862</v>
      </c>
      <c r="I94" s="3"/>
      <c r="J94" s="18">
        <f t="shared" si="9"/>
        <v>6.4687259144950238</v>
      </c>
      <c r="K94" s="18">
        <f t="shared" si="10"/>
        <v>1.0678765455824507E-3</v>
      </c>
      <c r="L94" s="18">
        <f t="shared" si="11"/>
        <v>0.1910947350213329</v>
      </c>
      <c r="M94" s="18">
        <f t="shared" si="12"/>
        <v>0.1910947350213329</v>
      </c>
      <c r="N94" s="18">
        <f t="shared" si="13"/>
        <v>0.1910947350213329</v>
      </c>
      <c r="O94" s="3"/>
      <c r="P94" s="20">
        <f t="shared" si="23"/>
        <v>392.93069867072018</v>
      </c>
      <c r="Q94" s="20">
        <f t="shared" si="14"/>
        <v>291.31048132291153</v>
      </c>
      <c r="R94" s="20">
        <f t="shared" si="15"/>
        <v>0</v>
      </c>
      <c r="S94" s="20">
        <f t="shared" si="16"/>
        <v>0</v>
      </c>
      <c r="T94" s="20">
        <f t="shared" si="17"/>
        <v>0</v>
      </c>
      <c r="U94" s="3"/>
      <c r="V94" s="20">
        <f t="shared" si="18"/>
        <v>684.2411799936317</v>
      </c>
      <c r="W94" s="3"/>
      <c r="X94" s="15">
        <f t="shared" si="19"/>
        <v>233.92264811570001</v>
      </c>
      <c r="Y94" s="15">
        <f t="shared" si="20"/>
        <v>15.294530006368291</v>
      </c>
      <c r="AA94" s="15">
        <f t="shared" si="21"/>
        <v>9.9958849661475503E-5</v>
      </c>
      <c r="AB94" s="17"/>
    </row>
    <row r="95" spans="2:28" x14ac:dyDescent="0.3">
      <c r="B95" s="28">
        <v>5.7</v>
      </c>
      <c r="C95" s="20">
        <v>649.28570999999999</v>
      </c>
      <c r="D95" s="18">
        <f t="shared" si="5"/>
        <v>8.4108832618893068</v>
      </c>
      <c r="E95" s="18">
        <f t="shared" si="6"/>
        <v>-6.8359686402570192</v>
      </c>
      <c r="F95" s="18">
        <f t="shared" si="22"/>
        <v>-1.4527801328917751</v>
      </c>
      <c r="G95" s="18">
        <f t="shared" si="7"/>
        <v>-1.4527801328917751</v>
      </c>
      <c r="H95" s="18">
        <f t="shared" si="8"/>
        <v>-1.4527801328917751</v>
      </c>
      <c r="I95" s="3"/>
      <c r="J95" s="18">
        <f t="shared" si="9"/>
        <v>6.5338820071594537</v>
      </c>
      <c r="K95" s="18">
        <f t="shared" si="10"/>
        <v>1.0732735442061494E-3</v>
      </c>
      <c r="L95" s="18">
        <f t="shared" si="11"/>
        <v>0.19288435155052291</v>
      </c>
      <c r="M95" s="18">
        <f t="shared" si="12"/>
        <v>0.19288435155052291</v>
      </c>
      <c r="N95" s="18">
        <f t="shared" si="13"/>
        <v>0.19288435155052291</v>
      </c>
      <c r="O95" s="3"/>
      <c r="P95" s="20">
        <f t="shared" si="23"/>
        <v>385.64804227879256</v>
      </c>
      <c r="Q95" s="20">
        <f t="shared" si="14"/>
        <v>289.84405238391054</v>
      </c>
      <c r="R95" s="20">
        <f t="shared" si="15"/>
        <v>0</v>
      </c>
      <c r="S95" s="20">
        <f t="shared" si="16"/>
        <v>0</v>
      </c>
      <c r="T95" s="20">
        <f t="shared" si="17"/>
        <v>0</v>
      </c>
      <c r="U95" s="3"/>
      <c r="V95" s="20">
        <f t="shared" si="18"/>
        <v>675.49209466270304</v>
      </c>
      <c r="W95" s="3"/>
      <c r="X95" s="15">
        <f t="shared" si="19"/>
        <v>686.77459708955735</v>
      </c>
      <c r="Y95" s="15">
        <f t="shared" si="20"/>
        <v>26.206384662703044</v>
      </c>
      <c r="AA95" s="15">
        <f t="shared" si="21"/>
        <v>1.7127430941514426E-4</v>
      </c>
      <c r="AB95" s="17"/>
    </row>
    <row r="96" spans="2:28" x14ac:dyDescent="0.3">
      <c r="B96" s="28">
        <v>5.8</v>
      </c>
      <c r="C96" s="20">
        <v>666.53570999999999</v>
      </c>
      <c r="D96" s="18">
        <f t="shared" si="5"/>
        <v>8.4860614421879674</v>
      </c>
      <c r="E96" s="18">
        <f t="shared" si="6"/>
        <v>-6.8309220179100603</v>
      </c>
      <c r="F96" s="18">
        <f t="shared" si="22"/>
        <v>-1.441669021780664</v>
      </c>
      <c r="G96" s="18">
        <f t="shared" si="7"/>
        <v>-1.441669021780664</v>
      </c>
      <c r="H96" s="18">
        <f t="shared" si="8"/>
        <v>-1.441669021780664</v>
      </c>
      <c r="I96" s="3"/>
      <c r="J96" s="18">
        <f t="shared" si="9"/>
        <v>6.5991244595928391</v>
      </c>
      <c r="K96" s="18">
        <f t="shared" si="10"/>
        <v>1.078697789619984E-3</v>
      </c>
      <c r="L96" s="18">
        <f t="shared" si="11"/>
        <v>0.19468799674153842</v>
      </c>
      <c r="M96" s="18">
        <f t="shared" si="12"/>
        <v>0.19468799674153842</v>
      </c>
      <c r="N96" s="18">
        <f t="shared" si="13"/>
        <v>0.19468799674153842</v>
      </c>
      <c r="O96" s="3"/>
      <c r="P96" s="20">
        <f t="shared" si="23"/>
        <v>378.55706506908177</v>
      </c>
      <c r="Q96" s="20">
        <f t="shared" si="14"/>
        <v>288.38500532396711</v>
      </c>
      <c r="R96" s="20">
        <f t="shared" si="15"/>
        <v>0</v>
      </c>
      <c r="S96" s="20">
        <f t="shared" si="16"/>
        <v>0</v>
      </c>
      <c r="T96" s="20">
        <f t="shared" si="17"/>
        <v>0</v>
      </c>
      <c r="U96" s="3"/>
      <c r="V96" s="20">
        <f t="shared" si="18"/>
        <v>666.94207039304888</v>
      </c>
      <c r="W96" s="3"/>
      <c r="X96" s="15">
        <f t="shared" si="19"/>
        <v>0.16512876903884452</v>
      </c>
      <c r="Y96" s="15">
        <f t="shared" si="20"/>
        <v>0.40636039304888527</v>
      </c>
      <c r="AA96" s="15">
        <f t="shared" si="21"/>
        <v>2.655806842069594E-6</v>
      </c>
      <c r="AB96" s="17"/>
    </row>
    <row r="97" spans="2:28" x14ac:dyDescent="0.3">
      <c r="B97" s="28">
        <v>5.9</v>
      </c>
      <c r="C97" s="20">
        <v>675.28570999999999</v>
      </c>
      <c r="D97" s="18">
        <f t="shared" si="5"/>
        <v>8.5612396224866263</v>
      </c>
      <c r="E97" s="18">
        <f t="shared" si="6"/>
        <v>-6.8258753955631004</v>
      </c>
      <c r="F97" s="18">
        <f t="shared" si="22"/>
        <v>-1.4305579106695527</v>
      </c>
      <c r="G97" s="18">
        <f t="shared" si="7"/>
        <v>-1.4305579106695527</v>
      </c>
      <c r="H97" s="18">
        <f t="shared" si="8"/>
        <v>-1.4305579106695527</v>
      </c>
      <c r="I97" s="3"/>
      <c r="J97" s="18">
        <f t="shared" si="9"/>
        <v>6.6644519067791608</v>
      </c>
      <c r="K97" s="18">
        <f t="shared" si="10"/>
        <v>1.0841494190820828E-3</v>
      </c>
      <c r="L97" s="18">
        <f t="shared" si="11"/>
        <v>0.19650573773916485</v>
      </c>
      <c r="M97" s="18">
        <f t="shared" si="12"/>
        <v>0.19650573773916485</v>
      </c>
      <c r="N97" s="18">
        <f t="shared" si="13"/>
        <v>0.19650573773916485</v>
      </c>
      <c r="O97" s="3"/>
      <c r="P97" s="20">
        <f t="shared" si="23"/>
        <v>371.65132967805147</v>
      </c>
      <c r="Q97" s="20">
        <f t="shared" si="14"/>
        <v>286.93330298341192</v>
      </c>
      <c r="R97" s="20">
        <f t="shared" si="15"/>
        <v>0</v>
      </c>
      <c r="S97" s="20">
        <f t="shared" si="16"/>
        <v>0</v>
      </c>
      <c r="T97" s="20">
        <f t="shared" si="17"/>
        <v>0</v>
      </c>
      <c r="U97" s="3"/>
      <c r="V97" s="20">
        <f t="shared" si="18"/>
        <v>658.58463266146339</v>
      </c>
      <c r="W97" s="3"/>
      <c r="X97" s="15">
        <f t="shared" si="19"/>
        <v>278.92598426778096</v>
      </c>
      <c r="Y97" s="15">
        <f t="shared" si="20"/>
        <v>16.701077338536606</v>
      </c>
      <c r="AA97" s="15">
        <f t="shared" si="21"/>
        <v>1.0915147298886254E-4</v>
      </c>
      <c r="AB97" s="17"/>
    </row>
    <row r="98" spans="2:28" x14ac:dyDescent="0.3">
      <c r="B98" s="28">
        <v>6</v>
      </c>
      <c r="C98" s="20">
        <v>639.28570999999999</v>
      </c>
      <c r="D98" s="18">
        <f t="shared" si="5"/>
        <v>8.6364178027852851</v>
      </c>
      <c r="E98" s="18">
        <f t="shared" si="6"/>
        <v>-6.8208287732161414</v>
      </c>
      <c r="F98" s="18">
        <f t="shared" si="22"/>
        <v>-1.4194467995584417</v>
      </c>
      <c r="G98" s="18">
        <f t="shared" si="7"/>
        <v>-1.4194467995584417</v>
      </c>
      <c r="H98" s="18">
        <f t="shared" si="8"/>
        <v>-1.4194467995584417</v>
      </c>
      <c r="I98" s="3"/>
      <c r="J98" s="18">
        <f t="shared" si="9"/>
        <v>6.7298630138848603</v>
      </c>
      <c r="K98" s="18">
        <f t="shared" si="10"/>
        <v>1.0896285705390132E-3</v>
      </c>
      <c r="L98" s="18">
        <f t="shared" si="11"/>
        <v>0.19833764140621366</v>
      </c>
      <c r="M98" s="18">
        <f t="shared" si="12"/>
        <v>0.19833764140621366</v>
      </c>
      <c r="N98" s="18">
        <f t="shared" si="13"/>
        <v>0.19833764140621366</v>
      </c>
      <c r="O98" s="3"/>
      <c r="P98" s="20">
        <f t="shared" si="23"/>
        <v>364.92465895769908</v>
      </c>
      <c r="Q98" s="20">
        <f t="shared" si="14"/>
        <v>285.48890838963473</v>
      </c>
      <c r="R98" s="20">
        <f t="shared" si="15"/>
        <v>0</v>
      </c>
      <c r="S98" s="20">
        <f t="shared" si="16"/>
        <v>0</v>
      </c>
      <c r="T98" s="20">
        <f t="shared" si="17"/>
        <v>0</v>
      </c>
      <c r="U98" s="3"/>
      <c r="V98" s="20">
        <f t="shared" si="18"/>
        <v>650.41356734733381</v>
      </c>
      <c r="W98" s="3"/>
      <c r="X98" s="15">
        <f t="shared" si="19"/>
        <v>123.82920914261118</v>
      </c>
      <c r="Y98" s="15">
        <f t="shared" si="20"/>
        <v>11.127857347333816</v>
      </c>
      <c r="AA98" s="15">
        <f t="shared" si="21"/>
        <v>7.2727165801978792E-5</v>
      </c>
      <c r="AB98" s="17"/>
    </row>
    <row r="99" spans="2:28" x14ac:dyDescent="0.3">
      <c r="B99" s="28">
        <v>6.1</v>
      </c>
      <c r="C99" s="20">
        <v>660.03570999999999</v>
      </c>
      <c r="D99" s="18">
        <f t="shared" si="5"/>
        <v>8.7115959830839458</v>
      </c>
      <c r="E99" s="18">
        <f t="shared" si="6"/>
        <v>-6.8157821508691825</v>
      </c>
      <c r="F99" s="18">
        <f t="shared" si="22"/>
        <v>-1.4083356884473308</v>
      </c>
      <c r="G99" s="18">
        <f t="shared" si="7"/>
        <v>-1.4083356884473308</v>
      </c>
      <c r="H99" s="18">
        <f t="shared" si="8"/>
        <v>-1.4083356884473308</v>
      </c>
      <c r="I99" s="3"/>
      <c r="J99" s="18">
        <f t="shared" si="9"/>
        <v>6.7953564754256037</v>
      </c>
      <c r="K99" s="18">
        <f t="shared" si="10"/>
        <v>1.0951353826292062E-3</v>
      </c>
      <c r="L99" s="18">
        <f t="shared" si="11"/>
        <v>0.20018377431513754</v>
      </c>
      <c r="M99" s="18">
        <f t="shared" si="12"/>
        <v>0.20018377431513754</v>
      </c>
      <c r="N99" s="18">
        <f t="shared" si="13"/>
        <v>0.20018377431513754</v>
      </c>
      <c r="O99" s="3"/>
      <c r="P99" s="20">
        <f t="shared" si="23"/>
        <v>358.37112377445783</v>
      </c>
      <c r="Q99" s="20">
        <f t="shared" si="14"/>
        <v>284.05178475614201</v>
      </c>
      <c r="R99" s="20">
        <f t="shared" si="15"/>
        <v>0</v>
      </c>
      <c r="S99" s="20">
        <f t="shared" si="16"/>
        <v>0</v>
      </c>
      <c r="T99" s="20">
        <f t="shared" si="17"/>
        <v>0</v>
      </c>
      <c r="U99" s="3"/>
      <c r="V99" s="20">
        <f t="shared" si="18"/>
        <v>642.4229085305999</v>
      </c>
      <c r="W99" s="3"/>
      <c r="X99" s="15">
        <f t="shared" si="19"/>
        <v>310.21077560050219</v>
      </c>
      <c r="Y99" s="15">
        <f t="shared" si="20"/>
        <v>17.612801469400097</v>
      </c>
      <c r="AA99" s="15">
        <f t="shared" si="21"/>
        <v>1.1511013241100736E-4</v>
      </c>
      <c r="AB99" s="17"/>
    </row>
    <row r="100" spans="2:28" x14ac:dyDescent="0.3">
      <c r="B100" s="28">
        <v>6.2</v>
      </c>
      <c r="C100" s="20">
        <v>641.28570999999999</v>
      </c>
      <c r="D100" s="18">
        <f t="shared" si="5"/>
        <v>8.7867741633826046</v>
      </c>
      <c r="E100" s="18">
        <f t="shared" si="6"/>
        <v>-6.8107355285222235</v>
      </c>
      <c r="F100" s="18">
        <f t="shared" si="22"/>
        <v>-1.3972245773362193</v>
      </c>
      <c r="G100" s="18">
        <f t="shared" si="7"/>
        <v>-1.3972245773362193</v>
      </c>
      <c r="H100" s="18">
        <f t="shared" si="8"/>
        <v>-1.3972245773362193</v>
      </c>
      <c r="I100" s="3"/>
      <c r="J100" s="18">
        <f t="shared" si="9"/>
        <v>6.8609310144598785</v>
      </c>
      <c r="K100" s="18">
        <f t="shared" si="10"/>
        <v>1.1006699946863956E-3</v>
      </c>
      <c r="L100" s="18">
        <f t="shared" si="11"/>
        <v>0.20204420273965776</v>
      </c>
      <c r="M100" s="18">
        <f t="shared" si="12"/>
        <v>0.20204420273965776</v>
      </c>
      <c r="N100" s="18">
        <f t="shared" si="13"/>
        <v>0.20204420273965776</v>
      </c>
      <c r="O100" s="3"/>
      <c r="P100" s="20">
        <f t="shared" si="23"/>
        <v>351.98503145490332</v>
      </c>
      <c r="Q100" s="20">
        <f t="shared" si="14"/>
        <v>282.62189548162002</v>
      </c>
      <c r="R100" s="20">
        <f t="shared" si="15"/>
        <v>0</v>
      </c>
      <c r="S100" s="20">
        <f t="shared" si="16"/>
        <v>0</v>
      </c>
      <c r="T100" s="20">
        <f t="shared" si="17"/>
        <v>0</v>
      </c>
      <c r="U100" s="3"/>
      <c r="V100" s="20">
        <f>SUM(P100:T100)</f>
        <v>634.60692693652334</v>
      </c>
      <c r="W100" s="3"/>
      <c r="X100" s="15">
        <f t="shared" si="19"/>
        <v>44.606143208982651</v>
      </c>
      <c r="Y100" s="15">
        <f t="shared" si="20"/>
        <v>6.6787830634766578</v>
      </c>
      <c r="AA100" s="15">
        <f t="shared" si="21"/>
        <v>4.3649819372396364E-5</v>
      </c>
      <c r="AB100" s="17"/>
    </row>
    <row r="101" spans="2:28" x14ac:dyDescent="0.3">
      <c r="B101" s="28">
        <v>6.3</v>
      </c>
      <c r="C101" s="20">
        <v>600.53570999999999</v>
      </c>
      <c r="D101" s="18">
        <f t="shared" si="5"/>
        <v>8.8619523436812635</v>
      </c>
      <c r="E101" s="18">
        <f t="shared" si="6"/>
        <v>-6.8056889061752637</v>
      </c>
      <c r="F101" s="18">
        <f t="shared" si="22"/>
        <v>-1.3861134662251084</v>
      </c>
      <c r="G101" s="18">
        <f t="shared" si="7"/>
        <v>-1.3861134662251084</v>
      </c>
      <c r="H101" s="18">
        <f t="shared" si="8"/>
        <v>-1.3861134662251084</v>
      </c>
      <c r="I101" s="3"/>
      <c r="J101" s="18">
        <f t="shared" si="9"/>
        <v>6.9265853818084837</v>
      </c>
      <c r="K101" s="18">
        <f t="shared" si="10"/>
        <v>1.1062325467430727E-3</v>
      </c>
      <c r="L101" s="18">
        <f t="shared" si="11"/>
        <v>0.20391899264640789</v>
      </c>
      <c r="M101" s="18">
        <f t="shared" si="12"/>
        <v>0.20391899264640789</v>
      </c>
      <c r="N101" s="18">
        <f t="shared" si="13"/>
        <v>0.20391899264640789</v>
      </c>
      <c r="O101" s="3"/>
      <c r="P101" s="20">
        <f t="shared" si="23"/>
        <v>345.76091484022072</v>
      </c>
      <c r="Q101" s="20">
        <f t="shared" si="14"/>
        <v>281.19920414900315</v>
      </c>
      <c r="R101" s="20">
        <f t="shared" si="15"/>
        <v>0</v>
      </c>
      <c r="S101" s="20">
        <f t="shared" si="16"/>
        <v>0</v>
      </c>
      <c r="T101" s="20">
        <f t="shared" si="17"/>
        <v>0</v>
      </c>
      <c r="U101" s="3"/>
      <c r="V101" s="20">
        <f t="shared" si="18"/>
        <v>626.96011898922393</v>
      </c>
      <c r="W101" s="3"/>
      <c r="X101" s="15">
        <f t="shared" si="19"/>
        <v>698.24939042977871</v>
      </c>
      <c r="Y101" s="15">
        <f t="shared" si="20"/>
        <v>26.424408989223934</v>
      </c>
      <c r="AA101" s="15">
        <f t="shared" si="21"/>
        <v>1.7269922805391067E-4</v>
      </c>
      <c r="AB101" s="17"/>
    </row>
    <row r="102" spans="2:28" x14ac:dyDescent="0.3">
      <c r="B102" s="28">
        <v>6.4</v>
      </c>
      <c r="C102" s="20">
        <v>607.78570999999999</v>
      </c>
      <c r="D102" s="18">
        <f t="shared" si="5"/>
        <v>8.9371305239799241</v>
      </c>
      <c r="E102" s="18">
        <f t="shared" si="6"/>
        <v>-6.8006422838283047</v>
      </c>
      <c r="F102" s="18">
        <f t="shared" si="22"/>
        <v>-1.3750023551139972</v>
      </c>
      <c r="G102" s="18">
        <f t="shared" si="7"/>
        <v>-1.3750023551139972</v>
      </c>
      <c r="H102" s="18">
        <f t="shared" si="8"/>
        <v>-1.3750023551139972</v>
      </c>
      <c r="I102" s="3"/>
      <c r="J102" s="18">
        <f t="shared" si="9"/>
        <v>6.992318355298945</v>
      </c>
      <c r="K102" s="18">
        <f t="shared" si="10"/>
        <v>1.1118231795339581E-3</v>
      </c>
      <c r="L102" s="18">
        <f t="shared" si="11"/>
        <v>0.20580820968659641</v>
      </c>
      <c r="M102" s="18">
        <f t="shared" si="12"/>
        <v>0.20580820968659641</v>
      </c>
      <c r="N102" s="18">
        <f t="shared" si="13"/>
        <v>0.20580820968659641</v>
      </c>
      <c r="O102" s="3"/>
      <c r="P102" s="20">
        <f t="shared" si="23"/>
        <v>339.69352191384797</v>
      </c>
      <c r="Q102" s="20">
        <f t="shared" si="14"/>
        <v>279.78367452454677</v>
      </c>
      <c r="R102" s="20">
        <f t="shared" si="15"/>
        <v>0</v>
      </c>
      <c r="S102" s="20">
        <f t="shared" si="16"/>
        <v>0</v>
      </c>
      <c r="T102" s="20">
        <f t="shared" si="17"/>
        <v>0</v>
      </c>
      <c r="U102" s="3"/>
      <c r="V102" s="20">
        <f t="shared" si="18"/>
        <v>619.47719643839469</v>
      </c>
      <c r="W102" s="3"/>
      <c r="X102" s="15">
        <f t="shared" si="19"/>
        <v>136.69085513916696</v>
      </c>
      <c r="Y102" s="15">
        <f t="shared" si="20"/>
        <v>11.691486438394691</v>
      </c>
      <c r="AA102" s="15">
        <f t="shared" si="21"/>
        <v>7.6410817117496802E-5</v>
      </c>
      <c r="AB102" s="17"/>
    </row>
    <row r="103" spans="2:28" x14ac:dyDescent="0.3">
      <c r="B103" s="28">
        <v>6.5</v>
      </c>
      <c r="C103" s="20">
        <v>627.78570999999999</v>
      </c>
      <c r="D103" s="18">
        <f t="shared" si="5"/>
        <v>9.0123087042785848</v>
      </c>
      <c r="E103" s="18">
        <f t="shared" si="6"/>
        <v>-6.7955956614813458</v>
      </c>
      <c r="F103" s="18">
        <f t="shared" si="22"/>
        <v>-1.3638912440028861</v>
      </c>
      <c r="G103" s="18">
        <f t="shared" si="7"/>
        <v>-1.3638912440028861</v>
      </c>
      <c r="H103" s="18">
        <f t="shared" si="8"/>
        <v>-1.3638912440028861</v>
      </c>
      <c r="I103" s="3"/>
      <c r="J103" s="18">
        <f t="shared" si="9"/>
        <v>7.0581287390340188</v>
      </c>
      <c r="K103" s="18">
        <f t="shared" si="10"/>
        <v>1.1174420344994952E-3</v>
      </c>
      <c r="L103" s="18">
        <f t="shared" si="11"/>
        <v>0.20771191918768955</v>
      </c>
      <c r="M103" s="18">
        <f t="shared" si="12"/>
        <v>0.20771191918768955</v>
      </c>
      <c r="N103" s="18">
        <f t="shared" si="13"/>
        <v>0.20771191918768955</v>
      </c>
      <c r="O103" s="3"/>
      <c r="P103" s="20">
        <f t="shared" si="23"/>
        <v>333.77780596896991</v>
      </c>
      <c r="Q103" s="20">
        <f t="shared" si="14"/>
        <v>278.37527055690299</v>
      </c>
      <c r="R103" s="20">
        <f t="shared" si="15"/>
        <v>0</v>
      </c>
      <c r="S103" s="20">
        <f t="shared" si="16"/>
        <v>0</v>
      </c>
      <c r="T103" s="20">
        <f t="shared" si="17"/>
        <v>0</v>
      </c>
      <c r="U103" s="3"/>
      <c r="V103" s="20">
        <f t="shared" si="18"/>
        <v>612.15307652587285</v>
      </c>
      <c r="W103" s="3"/>
      <c r="X103" s="15">
        <f t="shared" si="19"/>
        <v>244.37922933640058</v>
      </c>
      <c r="Y103" s="15">
        <f t="shared" si="20"/>
        <v>15.632633474127147</v>
      </c>
      <c r="AA103" s="15">
        <f t="shared" si="21"/>
        <v>1.0216855690253875E-4</v>
      </c>
      <c r="AB103" s="17"/>
    </row>
    <row r="104" spans="2:28" x14ac:dyDescent="0.3">
      <c r="B104" s="28">
        <v>6.6</v>
      </c>
      <c r="C104" s="20">
        <v>588.28570999999999</v>
      </c>
      <c r="D104" s="18">
        <f t="shared" ref="D104:D113" si="24">$C$23/(1-$C$23)-LN((1-$C$23)/$C$23)+$C$22/(1-$C$23)*B104</f>
        <v>9.0874868845772419</v>
      </c>
      <c r="E104" s="18">
        <f t="shared" ref="E104:E113" si="25">$D$23/(1-$D$23)-LN((1-$D$23)/$D$23)+$D$22*B104/(1-$D$23)</f>
        <v>-6.7905490391343868</v>
      </c>
      <c r="F104" s="18">
        <f t="shared" ref="F104:F113" si="26">$E$23/(1-$E$23)-LN((1-$E$23)/$E$23)+$E$22*B104/(1-$E$23)</f>
        <v>-1.352780132891775</v>
      </c>
      <c r="G104" s="18">
        <f t="shared" ref="G104:G113" si="27">$F$23/(1-$F$23)-LN((1-$F$23)/$F$23)+$F$22*B104/(1-$F$23)</f>
        <v>-1.352780132891775</v>
      </c>
      <c r="H104" s="18">
        <f t="shared" ref="H104:H113" si="28">$G$23/(1-$G$23)-LN((1-$G$23)/$G$23)+$G$22*B104/(1-$G$23)</f>
        <v>-1.352780132891775</v>
      </c>
      <c r="I104" s="3"/>
      <c r="J104" s="18">
        <f t="shared" ref="J104:J113" si="29">lmb_2(D104)</f>
        <v>7.1240153626833989</v>
      </c>
      <c r="K104" s="18">
        <f t="shared" ref="K104:K113" si="30">lmb_2(E104)</f>
        <v>1.1230892537893546E-3</v>
      </c>
      <c r="L104" s="18">
        <f t="shared" ref="L104:L113" si="31">lmb_2(F104)</f>
        <v>0.20963018614511889</v>
      </c>
      <c r="M104" s="18">
        <f t="shared" ref="M104:M113" si="32">lmb_2(G104)</f>
        <v>0.20963018614511889</v>
      </c>
      <c r="N104" s="18">
        <f t="shared" ref="N104:N113" si="33">lmb_2(H104)</f>
        <v>0.20963018614511889</v>
      </c>
      <c r="O104" s="3"/>
      <c r="P104" s="20">
        <f t="shared" si="23"/>
        <v>328.00891628466923</v>
      </c>
      <c r="Q104" s="20">
        <f t="shared" ref="Q104:Q113" si="34">($D$21*$A$21*$D$22)/(K104+K104^2)</f>
        <v>276.97395637620394</v>
      </c>
      <c r="R104" s="20">
        <f t="shared" ref="R104:R113" si="35">($E$21*$A$21*$E$22)/(L104+L104^2)</f>
        <v>0</v>
      </c>
      <c r="S104" s="20">
        <f t="shared" ref="S104:S113" si="36">($F$21*$A$21*$F$22)/(M104+M104^2)</f>
        <v>0</v>
      </c>
      <c r="T104" s="20">
        <f t="shared" ref="T104:T113" si="37">($G$21*$A$21*$G$22)/(N104+N104^2)</f>
        <v>0</v>
      </c>
      <c r="U104" s="3"/>
      <c r="V104" s="20">
        <f t="shared" ref="V104:V113" si="38">SUM(P104:T104)</f>
        <v>604.98287266087323</v>
      </c>
      <c r="W104" s="3"/>
      <c r="X104" s="15">
        <f t="shared" ref="X104:X113" si="39">(V104-C104)^2</f>
        <v>278.79524092365926</v>
      </c>
      <c r="Y104" s="15">
        <f t="shared" ref="Y104:Y113" si="40">ABS(V104-C104)</f>
        <v>16.697162660873232</v>
      </c>
      <c r="AA104" s="15">
        <f t="shared" ref="AA104:AA113" si="41">Y104/$Z$39</f>
        <v>1.0912588824216791E-4</v>
      </c>
      <c r="AB104" s="17"/>
    </row>
    <row r="105" spans="2:28" x14ac:dyDescent="0.3">
      <c r="B105" s="28">
        <v>6.7</v>
      </c>
      <c r="C105" s="20">
        <v>602.78570999999999</v>
      </c>
      <c r="D105" s="18">
        <f t="shared" si="24"/>
        <v>9.1626650648759025</v>
      </c>
      <c r="E105" s="18">
        <f t="shared" si="25"/>
        <v>-6.7855024167874269</v>
      </c>
      <c r="F105" s="18">
        <f t="shared" si="26"/>
        <v>-1.3416690217806639</v>
      </c>
      <c r="G105" s="18">
        <f t="shared" si="27"/>
        <v>-1.3416690217806639</v>
      </c>
      <c r="H105" s="18">
        <f t="shared" si="28"/>
        <v>-1.3416690217806639</v>
      </c>
      <c r="I105" s="3"/>
      <c r="J105" s="18">
        <f t="shared" si="29"/>
        <v>7.1899770807978411</v>
      </c>
      <c r="K105" s="18">
        <f t="shared" si="30"/>
        <v>1.1287649802659593E-3</v>
      </c>
      <c r="L105" s="18">
        <f t="shared" si="31"/>
        <v>0.2115630752140148</v>
      </c>
      <c r="M105" s="18">
        <f t="shared" si="32"/>
        <v>0.2115630752140148</v>
      </c>
      <c r="N105" s="18">
        <f t="shared" si="33"/>
        <v>0.2115630752140148</v>
      </c>
      <c r="O105" s="3"/>
      <c r="P105" s="20">
        <f t="shared" ref="P105:P113" si="42">($C$21*$A$21*$C$22)/(J105+J105^2)</f>
        <v>322.38218928150468</v>
      </c>
      <c r="Q105" s="20">
        <f t="shared" si="34"/>
        <v>275.57969629314715</v>
      </c>
      <c r="R105" s="20">
        <f t="shared" si="35"/>
        <v>0</v>
      </c>
      <c r="S105" s="20">
        <f t="shared" si="36"/>
        <v>0</v>
      </c>
      <c r="T105" s="20">
        <f t="shared" si="37"/>
        <v>0</v>
      </c>
      <c r="U105" s="3"/>
      <c r="V105" s="20">
        <f t="shared" si="38"/>
        <v>597.96188557465189</v>
      </c>
      <c r="W105" s="3"/>
      <c r="X105" s="15">
        <f t="shared" si="39"/>
        <v>23.269282086584994</v>
      </c>
      <c r="Y105" s="15">
        <f t="shared" si="40"/>
        <v>4.8238244253481071</v>
      </c>
      <c r="AA105" s="15">
        <f t="shared" si="41"/>
        <v>3.1526561478251022E-5</v>
      </c>
      <c r="AB105" s="17"/>
    </row>
    <row r="106" spans="2:28" x14ac:dyDescent="0.3">
      <c r="B106" s="28">
        <v>6.8</v>
      </c>
      <c r="C106" s="20">
        <v>577.03570999999999</v>
      </c>
      <c r="D106" s="18">
        <f t="shared" si="24"/>
        <v>9.2378432451745631</v>
      </c>
      <c r="E106" s="18">
        <f t="shared" si="25"/>
        <v>-6.780455794440468</v>
      </c>
      <c r="F106" s="18">
        <f t="shared" si="26"/>
        <v>-1.3305579106695529</v>
      </c>
      <c r="G106" s="18">
        <f t="shared" si="27"/>
        <v>-1.3305579106695529</v>
      </c>
      <c r="H106" s="18">
        <f t="shared" si="28"/>
        <v>-1.3305579106695529</v>
      </c>
      <c r="I106" s="3"/>
      <c r="J106" s="18">
        <f t="shared" si="29"/>
        <v>7.2560127721448566</v>
      </c>
      <c r="K106" s="18">
        <f t="shared" si="30"/>
        <v>1.1344693575080222E-3</v>
      </c>
      <c r="L106" s="18">
        <f t="shared" si="31"/>
        <v>0.21351065070096936</v>
      </c>
      <c r="M106" s="18">
        <f t="shared" si="32"/>
        <v>0.21351065070096936</v>
      </c>
      <c r="N106" s="18">
        <f t="shared" si="33"/>
        <v>0.21351065070096936</v>
      </c>
      <c r="O106" s="3"/>
      <c r="P106" s="20">
        <f t="shared" si="42"/>
        <v>316.89314012913275</v>
      </c>
      <c r="Q106" s="20">
        <f t="shared" si="34"/>
        <v>274.19245479808774</v>
      </c>
      <c r="R106" s="20">
        <f t="shared" si="35"/>
        <v>0</v>
      </c>
      <c r="S106" s="20">
        <f t="shared" si="36"/>
        <v>0</v>
      </c>
      <c r="T106" s="20">
        <f t="shared" si="37"/>
        <v>0</v>
      </c>
      <c r="U106" s="3"/>
      <c r="V106" s="20">
        <f t="shared" si="38"/>
        <v>591.08559492722043</v>
      </c>
      <c r="W106" s="3"/>
      <c r="X106" s="15">
        <f t="shared" si="39"/>
        <v>197.39926646813589</v>
      </c>
      <c r="Y106" s="15">
        <f t="shared" si="40"/>
        <v>14.049884927220432</v>
      </c>
      <c r="AA106" s="15">
        <f t="shared" si="41"/>
        <v>9.1824353845217457E-5</v>
      </c>
      <c r="AB106" s="17"/>
    </row>
    <row r="107" spans="2:28" x14ac:dyDescent="0.3">
      <c r="B107" s="28">
        <v>6.9</v>
      </c>
      <c r="C107" s="20">
        <v>599.53570999999999</v>
      </c>
      <c r="D107" s="18">
        <f t="shared" si="24"/>
        <v>9.3130214254732238</v>
      </c>
      <c r="E107" s="18">
        <f t="shared" si="25"/>
        <v>-6.775409172093509</v>
      </c>
      <c r="F107" s="18">
        <f t="shared" si="26"/>
        <v>-1.3194467995584418</v>
      </c>
      <c r="G107" s="18">
        <f t="shared" si="27"/>
        <v>-1.3194467995584418</v>
      </c>
      <c r="H107" s="18">
        <f t="shared" si="28"/>
        <v>-1.3194467995584418</v>
      </c>
      <c r="I107" s="3"/>
      <c r="J107" s="18">
        <f t="shared" si="29"/>
        <v>7.32212133906528</v>
      </c>
      <c r="K107" s="18">
        <f t="shared" si="30"/>
        <v>1.1402025298141102E-3</v>
      </c>
      <c r="L107" s="18">
        <f t="shared" si="31"/>
        <v>0.21547297655583092</v>
      </c>
      <c r="M107" s="18">
        <f t="shared" si="32"/>
        <v>0.21547297655583092</v>
      </c>
      <c r="N107" s="18">
        <f t="shared" si="33"/>
        <v>0.21547297655583092</v>
      </c>
      <c r="O107" s="3"/>
      <c r="P107" s="20">
        <f t="shared" si="42"/>
        <v>311.53745478029293</v>
      </c>
      <c r="Q107" s="20">
        <f t="shared" si="34"/>
        <v>272.81219656013292</v>
      </c>
      <c r="R107" s="20">
        <f t="shared" si="35"/>
        <v>0</v>
      </c>
      <c r="S107" s="20">
        <f t="shared" si="36"/>
        <v>0</v>
      </c>
      <c r="T107" s="20">
        <f t="shared" si="37"/>
        <v>0</v>
      </c>
      <c r="U107" s="3"/>
      <c r="V107" s="20">
        <f t="shared" si="38"/>
        <v>584.34965134042591</v>
      </c>
      <c r="W107" s="3"/>
      <c r="X107" s="15">
        <f t="shared" si="39"/>
        <v>230.6163776120251</v>
      </c>
      <c r="Y107" s="15">
        <f t="shared" si="40"/>
        <v>15.186058659574087</v>
      </c>
      <c r="AA107" s="15">
        <f t="shared" si="41"/>
        <v>9.9249924899337346E-5</v>
      </c>
      <c r="AB107" s="17"/>
    </row>
    <row r="108" spans="2:28" x14ac:dyDescent="0.3">
      <c r="B108" s="28">
        <v>7</v>
      </c>
      <c r="C108" s="20">
        <v>597.53570999999999</v>
      </c>
      <c r="D108" s="18">
        <f t="shared" si="24"/>
        <v>9.3881996057718808</v>
      </c>
      <c r="E108" s="18">
        <f t="shared" si="25"/>
        <v>-6.7703625497465501</v>
      </c>
      <c r="F108" s="18">
        <f t="shared" si="26"/>
        <v>-1.3083356884473307</v>
      </c>
      <c r="G108" s="18">
        <f t="shared" si="27"/>
        <v>-1.3083356884473307</v>
      </c>
      <c r="H108" s="18">
        <f t="shared" si="28"/>
        <v>-1.3083356884473307</v>
      </c>
      <c r="I108" s="3"/>
      <c r="J108" s="18">
        <f t="shared" si="29"/>
        <v>7.3883017068499335</v>
      </c>
      <c r="K108" s="18">
        <f t="shared" si="30"/>
        <v>1.1459646422062166E-3</v>
      </c>
      <c r="L108" s="18">
        <f t="shared" si="31"/>
        <v>0.21745011636353331</v>
      </c>
      <c r="M108" s="18">
        <f t="shared" si="32"/>
        <v>0.21745011636353331</v>
      </c>
      <c r="N108" s="18">
        <f t="shared" si="33"/>
        <v>0.21745011636353331</v>
      </c>
      <c r="O108" s="3"/>
      <c r="P108" s="20">
        <f t="shared" si="42"/>
        <v>306.31098240708167</v>
      </c>
      <c r="Q108" s="20">
        <f t="shared" si="34"/>
        <v>271.43888642624268</v>
      </c>
      <c r="R108" s="20">
        <f t="shared" si="35"/>
        <v>0</v>
      </c>
      <c r="S108" s="20">
        <f t="shared" si="36"/>
        <v>0</v>
      </c>
      <c r="T108" s="20">
        <f t="shared" si="37"/>
        <v>0</v>
      </c>
      <c r="U108" s="3"/>
      <c r="V108" s="20">
        <f t="shared" si="38"/>
        <v>577.7498688333244</v>
      </c>
      <c r="W108" s="3"/>
      <c r="X108" s="15">
        <f t="shared" si="39"/>
        <v>391.47951067291467</v>
      </c>
      <c r="Y108" s="15">
        <f t="shared" si="40"/>
        <v>19.785841166675596</v>
      </c>
      <c r="AA108" s="15">
        <f t="shared" si="41"/>
        <v>1.2931223919807023E-4</v>
      </c>
      <c r="AB108" s="17"/>
    </row>
    <row r="109" spans="2:28" x14ac:dyDescent="0.3">
      <c r="B109" s="28">
        <v>7.1</v>
      </c>
      <c r="C109" s="20">
        <v>573.53570999999999</v>
      </c>
      <c r="D109" s="18">
        <f t="shared" si="24"/>
        <v>9.4633777860705415</v>
      </c>
      <c r="E109" s="18">
        <f t="shared" si="25"/>
        <v>-6.7653159273995911</v>
      </c>
      <c r="F109" s="18">
        <f t="shared" si="26"/>
        <v>-1.2972245773362197</v>
      </c>
      <c r="G109" s="18">
        <f t="shared" si="27"/>
        <v>-1.2972245773362197</v>
      </c>
      <c r="H109" s="18">
        <f t="shared" si="28"/>
        <v>-1.2972245773362197</v>
      </c>
      <c r="I109" s="3"/>
      <c r="J109" s="18">
        <f t="shared" si="29"/>
        <v>7.454552823135721</v>
      </c>
      <c r="K109" s="18">
        <f t="shared" si="30"/>
        <v>1.1517558404333542E-3</v>
      </c>
      <c r="L109" s="18">
        <f t="shared" si="31"/>
        <v>0.21944213333596227</v>
      </c>
      <c r="M109" s="18">
        <f t="shared" si="32"/>
        <v>0.21944213333596227</v>
      </c>
      <c r="N109" s="18">
        <f t="shared" si="33"/>
        <v>0.21944213333596227</v>
      </c>
      <c r="O109" s="3"/>
      <c r="P109" s="20">
        <f t="shared" si="42"/>
        <v>301.20972821692334</v>
      </c>
      <c r="Q109" s="20">
        <f t="shared" si="34"/>
        <v>270.07248942033448</v>
      </c>
      <c r="R109" s="20">
        <f t="shared" si="35"/>
        <v>0</v>
      </c>
      <c r="S109" s="20">
        <f t="shared" si="36"/>
        <v>0</v>
      </c>
      <c r="T109" s="20">
        <f t="shared" si="37"/>
        <v>0</v>
      </c>
      <c r="U109" s="3"/>
      <c r="V109" s="20">
        <f t="shared" si="38"/>
        <v>571.28221763725787</v>
      </c>
      <c r="W109" s="3"/>
      <c r="X109" s="15">
        <f t="shared" si="39"/>
        <v>5.0782278289370719</v>
      </c>
      <c r="Y109" s="15">
        <f t="shared" si="40"/>
        <v>2.2534923627421222</v>
      </c>
      <c r="AA109" s="15">
        <f t="shared" si="41"/>
        <v>1.4727912803259165E-5</v>
      </c>
      <c r="AB109" s="17"/>
    </row>
    <row r="110" spans="2:28" x14ac:dyDescent="0.3">
      <c r="B110" s="28">
        <v>7.2</v>
      </c>
      <c r="C110" s="20">
        <v>574.53570999999999</v>
      </c>
      <c r="D110" s="18">
        <f t="shared" si="24"/>
        <v>9.5385559663692021</v>
      </c>
      <c r="E110" s="18">
        <f t="shared" si="25"/>
        <v>-6.7602693050526312</v>
      </c>
      <c r="F110" s="18">
        <f t="shared" si="26"/>
        <v>-1.2861134662251084</v>
      </c>
      <c r="G110" s="18">
        <f t="shared" si="27"/>
        <v>-1.2861134662251084</v>
      </c>
      <c r="H110" s="18">
        <f t="shared" si="28"/>
        <v>-1.2861134662251084</v>
      </c>
      <c r="I110" s="3"/>
      <c r="J110" s="18">
        <f t="shared" si="29"/>
        <v>7.520873657320414</v>
      </c>
      <c r="K110" s="18">
        <f t="shared" si="30"/>
        <v>1.1575762709751681E-3</v>
      </c>
      <c r="L110" s="18">
        <f t="shared" si="31"/>
        <v>0.22144909030386142</v>
      </c>
      <c r="M110" s="18">
        <f t="shared" si="32"/>
        <v>0.22144909030386142</v>
      </c>
      <c r="N110" s="18">
        <f t="shared" si="33"/>
        <v>0.22144909030386142</v>
      </c>
      <c r="O110" s="3"/>
      <c r="P110" s="20">
        <f t="shared" si="42"/>
        <v>296.22984662704363</v>
      </c>
      <c r="Q110" s="20">
        <f t="shared" si="34"/>
        <v>268.71297074239232</v>
      </c>
      <c r="R110" s="20">
        <f t="shared" si="35"/>
        <v>0</v>
      </c>
      <c r="S110" s="20">
        <f t="shared" si="36"/>
        <v>0</v>
      </c>
      <c r="T110" s="20">
        <f t="shared" si="37"/>
        <v>0</v>
      </c>
      <c r="U110" s="3"/>
      <c r="V110" s="20">
        <f t="shared" si="38"/>
        <v>564.94281736943594</v>
      </c>
      <c r="W110" s="3"/>
      <c r="X110" s="15">
        <f t="shared" si="39"/>
        <v>92.023589021530086</v>
      </c>
      <c r="Y110" s="15">
        <f t="shared" si="40"/>
        <v>9.5928926305640516</v>
      </c>
      <c r="AA110" s="15">
        <f t="shared" si="41"/>
        <v>6.2695258492936144E-5</v>
      </c>
      <c r="AB110" s="17"/>
    </row>
    <row r="111" spans="2:28" x14ac:dyDescent="0.3">
      <c r="B111" s="28">
        <v>7.3</v>
      </c>
      <c r="C111" s="20">
        <v>546.03570999999999</v>
      </c>
      <c r="D111" s="18">
        <f t="shared" si="24"/>
        <v>9.613734146667861</v>
      </c>
      <c r="E111" s="18">
        <f t="shared" si="25"/>
        <v>-6.7552226827056723</v>
      </c>
      <c r="F111" s="18">
        <f t="shared" si="26"/>
        <v>-1.2750023551139973</v>
      </c>
      <c r="G111" s="18">
        <f t="shared" si="27"/>
        <v>-1.2750023551139973</v>
      </c>
      <c r="H111" s="18">
        <f t="shared" si="28"/>
        <v>-1.2750023551139973</v>
      </c>
      <c r="I111" s="3"/>
      <c r="J111" s="18">
        <f t="shared" si="29"/>
        <v>7.5872631999955491</v>
      </c>
      <c r="K111" s="18">
        <f t="shared" si="30"/>
        <v>1.1634260810455587E-3</v>
      </c>
      <c r="L111" s="18">
        <f t="shared" si="31"/>
        <v>0.22347104970878109</v>
      </c>
      <c r="M111" s="18">
        <f t="shared" si="32"/>
        <v>0.22347104970878109</v>
      </c>
      <c r="N111" s="18">
        <f t="shared" si="33"/>
        <v>0.22347104970878109</v>
      </c>
      <c r="O111" s="3"/>
      <c r="P111" s="20">
        <f t="shared" si="42"/>
        <v>291.36763477753914</v>
      </c>
      <c r="Q111" s="20">
        <f t="shared" si="34"/>
        <v>267.36029576758125</v>
      </c>
      <c r="R111" s="20">
        <f t="shared" si="35"/>
        <v>0</v>
      </c>
      <c r="S111" s="20">
        <f t="shared" si="36"/>
        <v>0</v>
      </c>
      <c r="T111" s="20">
        <f t="shared" si="37"/>
        <v>0</v>
      </c>
      <c r="U111" s="3"/>
      <c r="V111" s="20">
        <f t="shared" si="38"/>
        <v>558.72793054512044</v>
      </c>
      <c r="W111" s="3"/>
      <c r="X111" s="15">
        <f t="shared" si="39"/>
        <v>161.09246236597764</v>
      </c>
      <c r="Y111" s="15">
        <f t="shared" si="40"/>
        <v>12.692220545120449</v>
      </c>
      <c r="AA111" s="15">
        <f t="shared" si="41"/>
        <v>8.295120966853694E-5</v>
      </c>
      <c r="AB111" s="17"/>
    </row>
    <row r="112" spans="2:28" x14ac:dyDescent="0.3">
      <c r="B112" s="28">
        <v>7.4</v>
      </c>
      <c r="C112" s="20">
        <v>564.78570999999999</v>
      </c>
      <c r="D112" s="18">
        <f t="shared" si="24"/>
        <v>9.6889123269665198</v>
      </c>
      <c r="E112" s="18">
        <f t="shared" si="25"/>
        <v>-6.7501760603587133</v>
      </c>
      <c r="F112" s="18">
        <f t="shared" si="26"/>
        <v>-1.263891244002886</v>
      </c>
      <c r="G112" s="18">
        <f t="shared" si="27"/>
        <v>-1.263891244002886</v>
      </c>
      <c r="H112" s="18">
        <f t="shared" si="28"/>
        <v>-1.263891244002886</v>
      </c>
      <c r="I112" s="3"/>
      <c r="J112" s="18">
        <f t="shared" si="29"/>
        <v>7.6537204623967643</v>
      </c>
      <c r="K112" s="18">
        <f t="shared" si="30"/>
        <v>1.1693054185963358E-3</v>
      </c>
      <c r="L112" s="18">
        <f t="shared" si="31"/>
        <v>0.22550807359507233</v>
      </c>
      <c r="M112" s="18">
        <f t="shared" si="32"/>
        <v>0.22550807359507233</v>
      </c>
      <c r="N112" s="18">
        <f t="shared" si="33"/>
        <v>0.22550807359507233</v>
      </c>
      <c r="O112" s="3"/>
      <c r="P112" s="20">
        <f t="shared" si="42"/>
        <v>286.6195263643541</v>
      </c>
      <c r="Q112" s="20">
        <f t="shared" si="34"/>
        <v>266.01443004536389</v>
      </c>
      <c r="R112" s="20">
        <f t="shared" si="35"/>
        <v>0</v>
      </c>
      <c r="S112" s="20">
        <f t="shared" si="36"/>
        <v>0</v>
      </c>
      <c r="T112" s="20">
        <f t="shared" si="37"/>
        <v>0</v>
      </c>
      <c r="U112" s="3"/>
      <c r="V112" s="20">
        <f t="shared" si="38"/>
        <v>552.63395640971794</v>
      </c>
      <c r="W112" s="3"/>
      <c r="X112" s="15">
        <f t="shared" si="39"/>
        <v>147.66511531893283</v>
      </c>
      <c r="Y112" s="15">
        <f t="shared" si="40"/>
        <v>12.151753590282055</v>
      </c>
      <c r="AA112" s="15">
        <f t="shared" si="41"/>
        <v>7.941893668838051E-5</v>
      </c>
      <c r="AB112" s="17"/>
    </row>
    <row r="113" spans="2:28" x14ac:dyDescent="0.3">
      <c r="B113" s="28">
        <v>7.5</v>
      </c>
      <c r="C113" s="20">
        <v>582.53570999999999</v>
      </c>
      <c r="D113" s="18">
        <f t="shared" si="24"/>
        <v>9.7640905072651805</v>
      </c>
      <c r="E113" s="18">
        <f t="shared" si="25"/>
        <v>-6.7451294380117544</v>
      </c>
      <c r="F113" s="18">
        <f t="shared" si="26"/>
        <v>-1.2527801328917751</v>
      </c>
      <c r="G113" s="18">
        <f t="shared" si="27"/>
        <v>-1.2527801328917751</v>
      </c>
      <c r="H113" s="18">
        <f t="shared" si="28"/>
        <v>-1.2527801328917751</v>
      </c>
      <c r="I113" s="3"/>
      <c r="J113" s="18">
        <f t="shared" si="29"/>
        <v>7.7202444758709765</v>
      </c>
      <c r="K113" s="18">
        <f t="shared" si="30"/>
        <v>1.1752144323208752E-3</v>
      </c>
      <c r="L113" s="18">
        <f t="shared" si="31"/>
        <v>0.22756022360192826</v>
      </c>
      <c r="M113" s="18">
        <f t="shared" si="32"/>
        <v>0.22756022360192826</v>
      </c>
      <c r="N113" s="18">
        <f t="shared" si="33"/>
        <v>0.22756022360192826</v>
      </c>
      <c r="O113" s="3"/>
      <c r="P113" s="20">
        <f t="shared" si="42"/>
        <v>281.98208577460639</v>
      </c>
      <c r="Q113" s="20">
        <f t="shared" si="34"/>
        <v>264.67533929862464</v>
      </c>
      <c r="R113" s="20">
        <f t="shared" si="35"/>
        <v>0</v>
      </c>
      <c r="S113" s="20">
        <f t="shared" si="36"/>
        <v>0</v>
      </c>
      <c r="T113" s="20">
        <f t="shared" si="37"/>
        <v>0</v>
      </c>
      <c r="U113" s="3"/>
      <c r="V113" s="20">
        <f t="shared" si="38"/>
        <v>546.65742507323102</v>
      </c>
      <c r="W113" s="3"/>
      <c r="X113" s="15">
        <f t="shared" si="39"/>
        <v>1287.2513292864176</v>
      </c>
      <c r="Y113" s="15">
        <f t="shared" si="40"/>
        <v>35.87828492676897</v>
      </c>
      <c r="AA113" s="15">
        <f t="shared" si="41"/>
        <v>2.3448592978098754E-4</v>
      </c>
      <c r="AB113" s="17"/>
    </row>
    <row r="114" spans="2:28" x14ac:dyDescent="0.3">
      <c r="B114" s="28">
        <v>7.6</v>
      </c>
      <c r="C114" s="20">
        <v>531.78570999999999</v>
      </c>
      <c r="D114" s="20">
        <f t="shared" ref="D114:D177" si="43">$C$23/(1-$C$23)-LN((1-$C$23)/$C$23)+$C$22/(1-$C$23)*B114</f>
        <v>9.8392686875638393</v>
      </c>
      <c r="E114" s="20">
        <f t="shared" ref="E114:E177" si="44">$D$23/(1-$D$23)-LN((1-$D$23)/$D$23)+$D$22*B114/(1-$D$23)</f>
        <v>-6.7400828156647945</v>
      </c>
      <c r="F114" s="20">
        <f t="shared" ref="F114:F177" si="45">$E$23/(1-$E$23)-LN((1-$E$23)/$E$23)+$E$22*B114/(1-$E$23)</f>
        <v>-1.2416690217806639</v>
      </c>
      <c r="G114" s="20">
        <f t="shared" ref="G114:G177" si="46">$F$23/(1-$F$23)-LN((1-$F$23)/$F$23)+$F$22*B114/(1-$F$23)</f>
        <v>-1.2416690217806639</v>
      </c>
      <c r="H114" s="20">
        <f t="shared" ref="H114:H177" si="47">$G$23/(1-$G$23)-LN((1-$G$23)/$G$23)+$G$22*B114/(1-$G$23)</f>
        <v>-1.2416690217806639</v>
      </c>
      <c r="I114" s="17"/>
      <c r="J114" s="20">
        <f t="shared" ref="J114:J177" si="48">lmb_2(D114)</f>
        <v>7.7868342913598161</v>
      </c>
      <c r="K114" s="20">
        <f t="shared" ref="K114:K177" si="49">lmb_2(E114)</f>
        <v>1.1811532716578059E-3</v>
      </c>
      <c r="L114" s="20">
        <f t="shared" ref="L114:L177" si="50">lmb_2(F114)</f>
        <v>0.22962756095547679</v>
      </c>
      <c r="M114" s="20">
        <f t="shared" ref="M114:M177" si="51">lmb_2(G114)</f>
        <v>0.22962756095547679</v>
      </c>
      <c r="N114" s="20">
        <f t="shared" ref="N114:N177" si="52">lmb_2(H114)</f>
        <v>0.22962756095547679</v>
      </c>
      <c r="O114" s="17"/>
      <c r="P114" s="20">
        <f t="shared" ref="P114:P177" si="53">($C$21*$A$21*$C$22)/(J114+J114^2)</f>
        <v>277.45200250775883</v>
      </c>
      <c r="Q114" s="20">
        <f t="shared" ref="Q114:Q177" si="54">($D$21*$A$21*$D$22)/(K114+K114^2)</f>
        <v>263.34298942279526</v>
      </c>
      <c r="R114" s="20">
        <f t="shared" ref="R114:R177" si="55">($E$21*$A$21*$E$22)/(L114+L114^2)</f>
        <v>0</v>
      </c>
      <c r="S114" s="20">
        <f t="shared" ref="S114:S177" si="56">($F$21*$A$21*$F$22)/(M114+M114^2)</f>
        <v>0</v>
      </c>
      <c r="T114" s="20">
        <f t="shared" ref="T114:T177" si="57">($G$21*$A$21*$G$22)/(N114+N114^2)</f>
        <v>0</v>
      </c>
      <c r="U114" s="17"/>
      <c r="V114" s="20">
        <f t="shared" ref="V114:V177" si="58">SUM(P114:T114)</f>
        <v>540.79499193055403</v>
      </c>
      <c r="W114" s="17"/>
      <c r="X114" s="20">
        <f t="shared" ref="X114:X177" si="59">(V114-C114)^2</f>
        <v>81.167160904207506</v>
      </c>
      <c r="Y114" s="20">
        <f t="shared" ref="Y114:Y177" si="60">ABS(V114-C114)</f>
        <v>9.0092819305540388</v>
      </c>
      <c r="Z114" s="20"/>
      <c r="AA114" s="20">
        <f t="shared" ref="AA114:AA177" si="61">Y114/$Z$39</f>
        <v>5.8881015479333297E-5</v>
      </c>
      <c r="AB114" s="17"/>
    </row>
    <row r="115" spans="2:28" x14ac:dyDescent="0.3">
      <c r="B115" s="28">
        <v>7.7</v>
      </c>
      <c r="C115" s="20">
        <v>546.53570999999999</v>
      </c>
      <c r="D115" s="20">
        <f t="shared" si="43"/>
        <v>9.9144468678625</v>
      </c>
      <c r="E115" s="20">
        <f t="shared" si="44"/>
        <v>-6.7350361933178355</v>
      </c>
      <c r="F115" s="20">
        <f t="shared" si="45"/>
        <v>-1.2305579106695528</v>
      </c>
      <c r="G115" s="20">
        <f t="shared" si="46"/>
        <v>-1.2305579106695528</v>
      </c>
      <c r="H115" s="20">
        <f t="shared" si="47"/>
        <v>-1.2305579106695528</v>
      </c>
      <c r="I115" s="17"/>
      <c r="J115" s="20">
        <f t="shared" si="48"/>
        <v>7.8534889788987821</v>
      </c>
      <c r="K115" s="20">
        <f t="shared" si="49"/>
        <v>1.1871220867947019E-3</v>
      </c>
      <c r="L115" s="20">
        <f t="shared" si="50"/>
        <v>0.23171014646092541</v>
      </c>
      <c r="M115" s="20">
        <f t="shared" si="51"/>
        <v>0.23171014646092541</v>
      </c>
      <c r="N115" s="20">
        <f t="shared" si="52"/>
        <v>0.23171014646092541</v>
      </c>
      <c r="O115" s="17"/>
      <c r="P115" s="20">
        <f t="shared" si="53"/>
        <v>273.0260858671225</v>
      </c>
      <c r="Q115" s="20">
        <f t="shared" si="54"/>
        <v>262.0173464849882</v>
      </c>
      <c r="R115" s="20">
        <f t="shared" si="55"/>
        <v>0</v>
      </c>
      <c r="S115" s="20">
        <f t="shared" si="56"/>
        <v>0</v>
      </c>
      <c r="T115" s="20">
        <f t="shared" si="57"/>
        <v>0</v>
      </c>
      <c r="U115" s="17"/>
      <c r="V115" s="20">
        <f t="shared" si="58"/>
        <v>535.0434323521107</v>
      </c>
      <c r="W115" s="17"/>
      <c r="X115" s="20">
        <f t="shared" si="59"/>
        <v>132.07244553617593</v>
      </c>
      <c r="Y115" s="20">
        <f t="shared" si="60"/>
        <v>11.492277647889296</v>
      </c>
      <c r="Z115" s="20"/>
      <c r="AA115" s="20">
        <f t="shared" si="61"/>
        <v>7.5108869196698842E-5</v>
      </c>
      <c r="AB115" s="17"/>
    </row>
    <row r="116" spans="2:28" x14ac:dyDescent="0.3">
      <c r="B116" s="28">
        <v>7.8</v>
      </c>
      <c r="C116" s="20">
        <v>517.28570999999999</v>
      </c>
      <c r="D116" s="20">
        <f t="shared" si="43"/>
        <v>9.9896250481611588</v>
      </c>
      <c r="E116" s="20">
        <f t="shared" si="44"/>
        <v>-6.7299895709708766</v>
      </c>
      <c r="F116" s="20">
        <f t="shared" si="45"/>
        <v>-1.2194467995584417</v>
      </c>
      <c r="G116" s="20">
        <f t="shared" si="46"/>
        <v>-1.2194467995584417</v>
      </c>
      <c r="H116" s="20">
        <f t="shared" si="47"/>
        <v>-1.2194467995584417</v>
      </c>
      <c r="I116" s="17"/>
      <c r="J116" s="20">
        <f t="shared" si="48"/>
        <v>7.9202076271315347</v>
      </c>
      <c r="K116" s="20">
        <f t="shared" si="49"/>
        <v>1.1931210286718083E-3</v>
      </c>
      <c r="L116" s="20">
        <f t="shared" si="50"/>
        <v>0.23380804049476264</v>
      </c>
      <c r="M116" s="20">
        <f t="shared" si="51"/>
        <v>0.23380804049476264</v>
      </c>
      <c r="N116" s="20">
        <f t="shared" si="52"/>
        <v>0.23380804049476264</v>
      </c>
      <c r="O116" s="17"/>
      <c r="P116" s="20">
        <f t="shared" si="53"/>
        <v>268.70125990710233</v>
      </c>
      <c r="Q116" s="20">
        <f t="shared" si="54"/>
        <v>260.69837672313037</v>
      </c>
      <c r="R116" s="20">
        <f t="shared" si="55"/>
        <v>0</v>
      </c>
      <c r="S116" s="20">
        <f t="shared" si="56"/>
        <v>0</v>
      </c>
      <c r="T116" s="20">
        <f t="shared" si="57"/>
        <v>0</v>
      </c>
      <c r="U116" s="17"/>
      <c r="V116" s="20">
        <f t="shared" si="58"/>
        <v>529.39963663023264</v>
      </c>
      <c r="W116" s="17"/>
      <c r="X116" s="20">
        <f t="shared" si="59"/>
        <v>146.74721840265954</v>
      </c>
      <c r="Y116" s="20">
        <f t="shared" si="60"/>
        <v>12.11392663023264</v>
      </c>
      <c r="Z116" s="20"/>
      <c r="AA116" s="20">
        <f t="shared" si="61"/>
        <v>7.9171715007743325E-5</v>
      </c>
      <c r="AB116" s="17"/>
    </row>
    <row r="117" spans="2:28" x14ac:dyDescent="0.3">
      <c r="B117" s="28">
        <v>7.9</v>
      </c>
      <c r="C117" s="20">
        <v>527.03570999999999</v>
      </c>
      <c r="D117" s="20">
        <f t="shared" si="43"/>
        <v>10.064803228459819</v>
      </c>
      <c r="E117" s="20">
        <f t="shared" si="44"/>
        <v>-6.7249429486239176</v>
      </c>
      <c r="F117" s="20">
        <f t="shared" si="45"/>
        <v>-1.2083356884473306</v>
      </c>
      <c r="G117" s="20">
        <f t="shared" si="46"/>
        <v>-1.2083356884473306</v>
      </c>
      <c r="H117" s="20">
        <f t="shared" si="47"/>
        <v>-1.2083356884473306</v>
      </c>
      <c r="I117" s="17"/>
      <c r="J117" s="20">
        <f t="shared" si="48"/>
        <v>7.9869893428388599</v>
      </c>
      <c r="K117" s="20">
        <f t="shared" si="49"/>
        <v>1.1991502489857714E-3</v>
      </c>
      <c r="L117" s="20">
        <f t="shared" si="50"/>
        <v>0.23592130299701713</v>
      </c>
      <c r="M117" s="20">
        <f t="shared" si="51"/>
        <v>0.23592130299701713</v>
      </c>
      <c r="N117" s="20">
        <f t="shared" si="52"/>
        <v>0.23592130299701713</v>
      </c>
      <c r="O117" s="17"/>
      <c r="P117" s="20">
        <f t="shared" si="53"/>
        <v>264.47455862245738</v>
      </c>
      <c r="Q117" s="20">
        <f t="shared" si="54"/>
        <v>259.38604654510431</v>
      </c>
      <c r="R117" s="20">
        <f t="shared" si="55"/>
        <v>0</v>
      </c>
      <c r="S117" s="20">
        <f t="shared" si="56"/>
        <v>0</v>
      </c>
      <c r="T117" s="20">
        <f t="shared" si="57"/>
        <v>0</v>
      </c>
      <c r="U117" s="17"/>
      <c r="V117" s="20">
        <f t="shared" si="58"/>
        <v>523.86060516756174</v>
      </c>
      <c r="W117" s="17"/>
      <c r="X117" s="20">
        <f t="shared" si="59"/>
        <v>10.081290696972733</v>
      </c>
      <c r="Y117" s="20">
        <f t="shared" si="60"/>
        <v>3.1751048324382509</v>
      </c>
      <c r="Z117" s="20"/>
      <c r="AA117" s="20">
        <f t="shared" si="61"/>
        <v>2.0751198400537307E-5</v>
      </c>
      <c r="AB117" s="17"/>
    </row>
    <row r="118" spans="2:28" x14ac:dyDescent="0.3">
      <c r="B118" s="28">
        <v>8</v>
      </c>
      <c r="C118" s="20">
        <v>513.53570999999999</v>
      </c>
      <c r="D118" s="20">
        <f t="shared" si="43"/>
        <v>10.139981408758478</v>
      </c>
      <c r="E118" s="20">
        <f t="shared" si="44"/>
        <v>-6.7198963262769578</v>
      </c>
      <c r="F118" s="20">
        <f t="shared" si="45"/>
        <v>-1.1972245773362196</v>
      </c>
      <c r="G118" s="20">
        <f t="shared" si="46"/>
        <v>-1.1972245773362196</v>
      </c>
      <c r="H118" s="20">
        <f t="shared" si="47"/>
        <v>-1.1972245773362196</v>
      </c>
      <c r="I118" s="17"/>
      <c r="J118" s="20">
        <f t="shared" si="48"/>
        <v>8.0538332504817447</v>
      </c>
      <c r="K118" s="20">
        <f t="shared" si="49"/>
        <v>1.2052099001933958E-3</v>
      </c>
      <c r="L118" s="20">
        <f t="shared" si="50"/>
        <v>0.2380499934635783</v>
      </c>
      <c r="M118" s="20">
        <f t="shared" si="51"/>
        <v>0.2380499934635783</v>
      </c>
      <c r="N118" s="20">
        <f t="shared" si="52"/>
        <v>0.2380499934635783</v>
      </c>
      <c r="O118" s="17"/>
      <c r="P118" s="20">
        <f t="shared" si="53"/>
        <v>260.34312136666256</v>
      </c>
      <c r="Q118" s="20">
        <f t="shared" si="54"/>
        <v>258.08032252789218</v>
      </c>
      <c r="R118" s="20">
        <f t="shared" si="55"/>
        <v>0</v>
      </c>
      <c r="S118" s="20">
        <f t="shared" si="56"/>
        <v>0</v>
      </c>
      <c r="T118" s="20">
        <f t="shared" si="57"/>
        <v>0</v>
      </c>
      <c r="U118" s="17"/>
      <c r="V118" s="20">
        <f t="shared" si="58"/>
        <v>518.42344389455479</v>
      </c>
      <c r="W118" s="17"/>
      <c r="X118" s="20">
        <f t="shared" si="59"/>
        <v>23.889942623979824</v>
      </c>
      <c r="Y118" s="20">
        <f t="shared" si="60"/>
        <v>4.887733894554799</v>
      </c>
      <c r="Z118" s="20"/>
      <c r="AA118" s="20">
        <f t="shared" si="61"/>
        <v>3.1944247868203275E-5</v>
      </c>
      <c r="AB118" s="17"/>
    </row>
    <row r="119" spans="2:28" x14ac:dyDescent="0.3">
      <c r="B119" s="28">
        <v>8.1</v>
      </c>
      <c r="C119" s="20">
        <v>509.53570999999999</v>
      </c>
      <c r="D119" s="20">
        <f t="shared" si="43"/>
        <v>10.215159589057137</v>
      </c>
      <c r="E119" s="20">
        <f t="shared" si="44"/>
        <v>-6.7148497039299988</v>
      </c>
      <c r="F119" s="20">
        <f t="shared" si="45"/>
        <v>-1.1861134662251085</v>
      </c>
      <c r="G119" s="20">
        <f t="shared" si="46"/>
        <v>-1.1861134662251085</v>
      </c>
      <c r="H119" s="20">
        <f t="shared" si="47"/>
        <v>-1.1861134662251085</v>
      </c>
      <c r="I119" s="17"/>
      <c r="J119" s="20">
        <f t="shared" si="48"/>
        <v>8.1207384917581464</v>
      </c>
      <c r="K119" s="20">
        <f t="shared" si="49"/>
        <v>1.2113001355154103E-3</v>
      </c>
      <c r="L119" s="20">
        <f t="shared" si="50"/>
        <v>0.24019417093857987</v>
      </c>
      <c r="M119" s="20">
        <f t="shared" si="51"/>
        <v>0.24019417093857987</v>
      </c>
      <c r="N119" s="20">
        <f t="shared" si="52"/>
        <v>0.24019417093857987</v>
      </c>
      <c r="O119" s="17"/>
      <c r="P119" s="20">
        <f t="shared" si="53"/>
        <v>256.30418848720723</v>
      </c>
      <c r="Q119" s="20">
        <f t="shared" si="54"/>
        <v>256.78117141672573</v>
      </c>
      <c r="R119" s="20">
        <f t="shared" si="55"/>
        <v>0</v>
      </c>
      <c r="S119" s="20">
        <f t="shared" si="56"/>
        <v>0</v>
      </c>
      <c r="T119" s="20">
        <f t="shared" si="57"/>
        <v>0</v>
      </c>
      <c r="U119" s="17"/>
      <c r="V119" s="20">
        <f t="shared" si="58"/>
        <v>513.08535990393295</v>
      </c>
      <c r="W119" s="17"/>
      <c r="X119" s="20">
        <f t="shared" si="59"/>
        <v>12.600014440491266</v>
      </c>
      <c r="Y119" s="20">
        <f t="shared" si="60"/>
        <v>3.5496499039329592</v>
      </c>
      <c r="Z119" s="20"/>
      <c r="AA119" s="20">
        <f t="shared" si="61"/>
        <v>2.3199073194819796E-5</v>
      </c>
      <c r="AB119" s="17"/>
    </row>
    <row r="120" spans="2:28" x14ac:dyDescent="0.3">
      <c r="B120" s="28">
        <v>8.1999999999999993</v>
      </c>
      <c r="C120" s="20">
        <v>514.03570999999999</v>
      </c>
      <c r="D120" s="20">
        <f t="shared" si="43"/>
        <v>10.290337769355798</v>
      </c>
      <c r="E120" s="20">
        <f t="shared" si="44"/>
        <v>-6.7098030815830398</v>
      </c>
      <c r="F120" s="20">
        <f t="shared" si="45"/>
        <v>-1.1750023551139974</v>
      </c>
      <c r="G120" s="20">
        <f t="shared" si="46"/>
        <v>-1.1750023551139974</v>
      </c>
      <c r="H120" s="20">
        <f t="shared" si="47"/>
        <v>-1.1750023551139974</v>
      </c>
      <c r="I120" s="17"/>
      <c r="J120" s="20">
        <f t="shared" si="48"/>
        <v>8.1877042251729399</v>
      </c>
      <c r="K120" s="20">
        <f t="shared" si="49"/>
        <v>1.2174211089402667E-3</v>
      </c>
      <c r="L120" s="20">
        <f t="shared" si="50"/>
        <v>0.24235389400684992</v>
      </c>
      <c r="M120" s="20">
        <f t="shared" si="51"/>
        <v>0.24235389400684992</v>
      </c>
      <c r="N120" s="20">
        <f t="shared" si="52"/>
        <v>0.24235389400684992</v>
      </c>
      <c r="O120" s="17"/>
      <c r="P120" s="20">
        <f t="shared" si="53"/>
        <v>252.35509716638262</v>
      </c>
      <c r="Q120" s="20">
        <f t="shared" si="54"/>
        <v>255.48856012423758</v>
      </c>
      <c r="R120" s="20">
        <f t="shared" si="55"/>
        <v>0</v>
      </c>
      <c r="S120" s="20">
        <f t="shared" si="56"/>
        <v>0</v>
      </c>
      <c r="T120" s="20">
        <f t="shared" si="57"/>
        <v>0</v>
      </c>
      <c r="U120" s="17"/>
      <c r="V120" s="20">
        <f t="shared" si="58"/>
        <v>507.84365729062017</v>
      </c>
      <c r="W120" s="17"/>
      <c r="X120" s="20">
        <f t="shared" si="59"/>
        <v>38.341516755738006</v>
      </c>
      <c r="Y120" s="20">
        <f t="shared" si="60"/>
        <v>6.1920527093798228</v>
      </c>
      <c r="Z120" s="20"/>
      <c r="AA120" s="20">
        <f t="shared" si="61"/>
        <v>4.0468747036693057E-5</v>
      </c>
      <c r="AB120" s="17"/>
    </row>
    <row r="121" spans="2:28" x14ac:dyDescent="0.3">
      <c r="B121" s="28">
        <v>8.3000000000000007</v>
      </c>
      <c r="C121" s="20">
        <v>503.78570999999999</v>
      </c>
      <c r="D121" s="20">
        <f t="shared" si="43"/>
        <v>10.365515949654458</v>
      </c>
      <c r="E121" s="20">
        <f t="shared" si="44"/>
        <v>-6.7047564592360809</v>
      </c>
      <c r="F121" s="20">
        <f t="shared" si="45"/>
        <v>-1.1638912440028861</v>
      </c>
      <c r="G121" s="20">
        <f t="shared" si="46"/>
        <v>-1.1638912440028861</v>
      </c>
      <c r="H121" s="20">
        <f t="shared" si="47"/>
        <v>-1.1638912440028861</v>
      </c>
      <c r="I121" s="17"/>
      <c r="J121" s="20">
        <f t="shared" si="48"/>
        <v>8.254729625620616</v>
      </c>
      <c r="K121" s="20">
        <f t="shared" si="49"/>
        <v>1.2235729752279416E-3</v>
      </c>
      <c r="L121" s="20">
        <f t="shared" si="50"/>
        <v>0.24452922078642958</v>
      </c>
      <c r="M121" s="20">
        <f t="shared" si="51"/>
        <v>0.24452922078642958</v>
      </c>
      <c r="N121" s="20">
        <f t="shared" si="52"/>
        <v>0.24452922078642958</v>
      </c>
      <c r="O121" s="17"/>
      <c r="P121" s="20">
        <f t="shared" si="53"/>
        <v>248.49327745677132</v>
      </c>
      <c r="Q121" s="20">
        <f t="shared" si="54"/>
        <v>254.20245572961983</v>
      </c>
      <c r="R121" s="20">
        <f t="shared" si="55"/>
        <v>0</v>
      </c>
      <c r="S121" s="20">
        <f t="shared" si="56"/>
        <v>0</v>
      </c>
      <c r="T121" s="20">
        <f t="shared" si="57"/>
        <v>0</v>
      </c>
      <c r="U121" s="17"/>
      <c r="V121" s="20">
        <f t="shared" si="58"/>
        <v>502.69573318639118</v>
      </c>
      <c r="W121" s="17"/>
      <c r="X121" s="20">
        <f t="shared" si="59"/>
        <v>1.1880494542048237</v>
      </c>
      <c r="Y121" s="20">
        <f t="shared" si="60"/>
        <v>1.0899768136088142</v>
      </c>
      <c r="Z121" s="20"/>
      <c r="AA121" s="20">
        <f t="shared" si="61"/>
        <v>7.1236467155677298E-6</v>
      </c>
      <c r="AB121" s="17"/>
    </row>
    <row r="122" spans="2:28" x14ac:dyDescent="0.3">
      <c r="B122" s="28">
        <v>8.4</v>
      </c>
      <c r="C122" s="20">
        <v>506.78570999999999</v>
      </c>
      <c r="D122" s="20">
        <f t="shared" si="43"/>
        <v>10.440694129953117</v>
      </c>
      <c r="E122" s="20">
        <f t="shared" si="44"/>
        <v>-6.6997098368891219</v>
      </c>
      <c r="F122" s="20">
        <f t="shared" si="45"/>
        <v>-1.1527801328917751</v>
      </c>
      <c r="G122" s="20">
        <f t="shared" si="46"/>
        <v>-1.1527801328917751</v>
      </c>
      <c r="H122" s="20">
        <f t="shared" si="47"/>
        <v>-1.1527801328917751</v>
      </c>
      <c r="I122" s="17"/>
      <c r="J122" s="20">
        <f t="shared" si="48"/>
        <v>8.3218138839803153</v>
      </c>
      <c r="K122" s="20">
        <f t="shared" si="49"/>
        <v>1.2297558899137682E-3</v>
      </c>
      <c r="L122" s="20">
        <f t="shared" si="50"/>
        <v>0.24672020892116217</v>
      </c>
      <c r="M122" s="20">
        <f t="shared" si="51"/>
        <v>0.24672020892116217</v>
      </c>
      <c r="N122" s="20">
        <f t="shared" si="52"/>
        <v>0.24672020892116217</v>
      </c>
      <c r="O122" s="17"/>
      <c r="P122" s="20">
        <f t="shared" si="53"/>
        <v>244.716248501271</v>
      </c>
      <c r="Q122" s="20">
        <f t="shared" si="54"/>
        <v>252.92282547778481</v>
      </c>
      <c r="R122" s="20">
        <f t="shared" si="55"/>
        <v>0</v>
      </c>
      <c r="S122" s="20">
        <f t="shared" si="56"/>
        <v>0</v>
      </c>
      <c r="T122" s="20">
        <f t="shared" si="57"/>
        <v>0</v>
      </c>
      <c r="U122" s="17"/>
      <c r="V122" s="20">
        <f t="shared" si="58"/>
        <v>497.63907397905581</v>
      </c>
      <c r="W122" s="17"/>
      <c r="X122" s="20">
        <f t="shared" si="59"/>
        <v>83.660950499633685</v>
      </c>
      <c r="Y122" s="20">
        <f t="shared" si="60"/>
        <v>9.1466360209441859</v>
      </c>
      <c r="Z122" s="20"/>
      <c r="AA122" s="20">
        <f t="shared" si="61"/>
        <v>5.9778706148218237E-5</v>
      </c>
      <c r="AB122" s="17"/>
    </row>
    <row r="123" spans="2:28" x14ac:dyDescent="0.3">
      <c r="B123" s="28">
        <v>8.5</v>
      </c>
      <c r="C123" s="20">
        <v>489.03570999999999</v>
      </c>
      <c r="D123" s="20">
        <f t="shared" si="43"/>
        <v>10.515872310251776</v>
      </c>
      <c r="E123" s="20">
        <f t="shared" si="44"/>
        <v>-6.6946632145421621</v>
      </c>
      <c r="F123" s="20">
        <f t="shared" si="45"/>
        <v>-1.1416690217806638</v>
      </c>
      <c r="G123" s="20">
        <f t="shared" si="46"/>
        <v>-1.1416690217806638</v>
      </c>
      <c r="H123" s="20">
        <f t="shared" si="47"/>
        <v>-1.1416690217806638</v>
      </c>
      <c r="I123" s="17"/>
      <c r="J123" s="20">
        <f t="shared" si="48"/>
        <v>8.3889562067227654</v>
      </c>
      <c r="K123" s="20">
        <f t="shared" si="49"/>
        <v>1.23597000931228E-3</v>
      </c>
      <c r="L123" s="20">
        <f t="shared" si="50"/>
        <v>0.24892691557335703</v>
      </c>
      <c r="M123" s="20">
        <f t="shared" si="51"/>
        <v>0.24892691557335703</v>
      </c>
      <c r="N123" s="20">
        <f t="shared" si="52"/>
        <v>0.24892691557335703</v>
      </c>
      <c r="O123" s="17"/>
      <c r="P123" s="20">
        <f t="shared" si="53"/>
        <v>241.02161492807366</v>
      </c>
      <c r="Q123" s="20">
        <f t="shared" si="54"/>
        <v>251.6496367785314</v>
      </c>
      <c r="R123" s="20">
        <f t="shared" si="55"/>
        <v>0</v>
      </c>
      <c r="S123" s="20">
        <f t="shared" si="56"/>
        <v>0</v>
      </c>
      <c r="T123" s="20">
        <f t="shared" si="57"/>
        <v>0</v>
      </c>
      <c r="U123" s="17"/>
      <c r="V123" s="20">
        <f t="shared" si="58"/>
        <v>492.67125170660506</v>
      </c>
      <c r="W123" s="17"/>
      <c r="X123" s="20">
        <f t="shared" si="59"/>
        <v>13.217163500464888</v>
      </c>
      <c r="Y123" s="20">
        <f t="shared" si="60"/>
        <v>3.6355417066050677</v>
      </c>
      <c r="Z123" s="20"/>
      <c r="AA123" s="20">
        <f t="shared" si="61"/>
        <v>2.3760427207455656E-5</v>
      </c>
      <c r="AB123" s="17"/>
    </row>
    <row r="124" spans="2:28" x14ac:dyDescent="0.3">
      <c r="B124" s="28">
        <v>8.6</v>
      </c>
      <c r="C124" s="20">
        <v>485.53570999999999</v>
      </c>
      <c r="D124" s="20">
        <f t="shared" si="43"/>
        <v>10.591050490550437</v>
      </c>
      <c r="E124" s="20">
        <f t="shared" si="44"/>
        <v>-6.6896165921952031</v>
      </c>
      <c r="F124" s="20">
        <f t="shared" si="45"/>
        <v>-1.1305579106695529</v>
      </c>
      <c r="G124" s="20">
        <f t="shared" si="46"/>
        <v>-1.1305579106695529</v>
      </c>
      <c r="H124" s="20">
        <f t="shared" si="47"/>
        <v>-1.1305579106695529</v>
      </c>
      <c r="I124" s="17"/>
      <c r="J124" s="20">
        <f t="shared" si="48"/>
        <v>8.4561558155287209</v>
      </c>
      <c r="K124" s="20">
        <f t="shared" si="49"/>
        <v>1.2422154905210724E-3</v>
      </c>
      <c r="L124" s="20">
        <f t="shared" si="50"/>
        <v>0.25114939741652836</v>
      </c>
      <c r="M124" s="20">
        <f t="shared" si="51"/>
        <v>0.25114939741652836</v>
      </c>
      <c r="N124" s="20">
        <f t="shared" si="52"/>
        <v>0.25114939741652836</v>
      </c>
      <c r="O124" s="17"/>
      <c r="P124" s="20">
        <f t="shared" si="53"/>
        <v>237.40706341156479</v>
      </c>
      <c r="Q124" s="20">
        <f t="shared" si="54"/>
        <v>250.38285720571534</v>
      </c>
      <c r="R124" s="20">
        <f t="shared" si="55"/>
        <v>0</v>
      </c>
      <c r="S124" s="20">
        <f t="shared" si="56"/>
        <v>0</v>
      </c>
      <c r="T124" s="20">
        <f t="shared" si="57"/>
        <v>0</v>
      </c>
      <c r="U124" s="17"/>
      <c r="V124" s="20">
        <f t="shared" si="58"/>
        <v>487.78992061728013</v>
      </c>
      <c r="W124" s="17"/>
      <c r="X124" s="20">
        <f t="shared" si="59"/>
        <v>5.0814655070584953</v>
      </c>
      <c r="Y124" s="20">
        <f t="shared" si="60"/>
        <v>2.2542106172801368</v>
      </c>
      <c r="Z124" s="20"/>
      <c r="AA124" s="20">
        <f t="shared" si="61"/>
        <v>1.4732607023830453E-5</v>
      </c>
      <c r="AB124" s="17"/>
    </row>
    <row r="125" spans="2:28" x14ac:dyDescent="0.3">
      <c r="B125" s="28">
        <v>8.6999999999999993</v>
      </c>
      <c r="C125" s="20">
        <v>492.28570999999999</v>
      </c>
      <c r="D125" s="20">
        <f t="shared" si="43"/>
        <v>10.666228670849096</v>
      </c>
      <c r="E125" s="20">
        <f t="shared" si="44"/>
        <v>-6.6845699698482441</v>
      </c>
      <c r="F125" s="20">
        <f t="shared" si="45"/>
        <v>-1.1194467995584416</v>
      </c>
      <c r="G125" s="20">
        <f t="shared" si="46"/>
        <v>-1.1194467995584416</v>
      </c>
      <c r="H125" s="20">
        <f t="shared" si="47"/>
        <v>-1.1194467995584416</v>
      </c>
      <c r="I125" s="17"/>
      <c r="J125" s="20">
        <f t="shared" si="48"/>
        <v>8.5234119469185305</v>
      </c>
      <c r="K125" s="20">
        <f t="shared" si="49"/>
        <v>1.2484924914246934E-3</v>
      </c>
      <c r="L125" s="20">
        <f t="shared" si="50"/>
        <v>0.25338771062821352</v>
      </c>
      <c r="M125" s="20">
        <f t="shared" si="51"/>
        <v>0.25338771062821352</v>
      </c>
      <c r="N125" s="20">
        <f t="shared" si="52"/>
        <v>0.25338771062821352</v>
      </c>
      <c r="O125" s="17"/>
      <c r="P125" s="20">
        <f t="shared" si="53"/>
        <v>233.87035939062045</v>
      </c>
      <c r="Q125" s="20">
        <f t="shared" si="54"/>
        <v>249.12245449642211</v>
      </c>
      <c r="R125" s="20">
        <f t="shared" si="55"/>
        <v>0</v>
      </c>
      <c r="S125" s="20">
        <f t="shared" si="56"/>
        <v>0</v>
      </c>
      <c r="T125" s="20">
        <f t="shared" si="57"/>
        <v>0</v>
      </c>
      <c r="U125" s="17"/>
      <c r="V125" s="20">
        <f t="shared" si="58"/>
        <v>482.99281388704253</v>
      </c>
      <c r="W125" s="17"/>
      <c r="X125" s="20">
        <f t="shared" si="59"/>
        <v>86.35791816621996</v>
      </c>
      <c r="Y125" s="20">
        <f t="shared" si="60"/>
        <v>9.2928961129574645</v>
      </c>
      <c r="Z125" s="20"/>
      <c r="AA125" s="20">
        <f t="shared" si="61"/>
        <v>6.0734602834349908E-5</v>
      </c>
      <c r="AB125" s="17"/>
    </row>
    <row r="126" spans="2:28" x14ac:dyDescent="0.3">
      <c r="B126" s="28">
        <v>8.8000000000000007</v>
      </c>
      <c r="C126" s="20">
        <v>482.78570999999999</v>
      </c>
      <c r="D126" s="20">
        <f t="shared" si="43"/>
        <v>10.741406851147756</v>
      </c>
      <c r="E126" s="20">
        <f t="shared" si="44"/>
        <v>-6.6795233475012852</v>
      </c>
      <c r="F126" s="20">
        <f t="shared" si="45"/>
        <v>-1.1083356884473305</v>
      </c>
      <c r="G126" s="20">
        <f t="shared" si="46"/>
        <v>-1.1083356884473305</v>
      </c>
      <c r="H126" s="20">
        <f t="shared" si="47"/>
        <v>-1.1083356884473305</v>
      </c>
      <c r="I126" s="17"/>
      <c r="J126" s="20">
        <f t="shared" si="48"/>
        <v>8.5907238518924718</v>
      </c>
      <c r="K126" s="20">
        <f t="shared" si="49"/>
        <v>1.2548011706985389E-3</v>
      </c>
      <c r="L126" s="20">
        <f t="shared" si="50"/>
        <v>0.2556419108828713</v>
      </c>
      <c r="M126" s="20">
        <f t="shared" si="51"/>
        <v>0.2556419108828713</v>
      </c>
      <c r="N126" s="20">
        <f t="shared" si="52"/>
        <v>0.2556419108828713</v>
      </c>
      <c r="O126" s="17"/>
      <c r="P126" s="20">
        <f t="shared" si="53"/>
        <v>230.40934393626156</v>
      </c>
      <c r="Q126" s="20">
        <f t="shared" si="54"/>
        <v>247.86839655014651</v>
      </c>
      <c r="R126" s="20">
        <f t="shared" si="55"/>
        <v>0</v>
      </c>
      <c r="S126" s="20">
        <f t="shared" si="56"/>
        <v>0</v>
      </c>
      <c r="T126" s="20">
        <f t="shared" si="57"/>
        <v>0</v>
      </c>
      <c r="U126" s="17"/>
      <c r="V126" s="20">
        <f t="shared" si="58"/>
        <v>478.27774048640811</v>
      </c>
      <c r="W126" s="17"/>
      <c r="X126" s="20">
        <f t="shared" si="59"/>
        <v>20.321789135473885</v>
      </c>
      <c r="Y126" s="20">
        <f t="shared" si="60"/>
        <v>4.5079695135918882</v>
      </c>
      <c r="Z126" s="20"/>
      <c r="AA126" s="20">
        <f t="shared" si="61"/>
        <v>2.9462261782481851E-5</v>
      </c>
      <c r="AB126" s="17"/>
    </row>
    <row r="127" spans="2:28" x14ac:dyDescent="0.3">
      <c r="B127" s="28">
        <v>8.9</v>
      </c>
      <c r="C127" s="20">
        <v>467.53570999999999</v>
      </c>
      <c r="D127" s="20">
        <f t="shared" si="43"/>
        <v>10.816585031446415</v>
      </c>
      <c r="E127" s="20">
        <f t="shared" si="44"/>
        <v>-6.6744767251543253</v>
      </c>
      <c r="F127" s="20">
        <f t="shared" si="45"/>
        <v>-1.0972245773362195</v>
      </c>
      <c r="G127" s="20">
        <f t="shared" si="46"/>
        <v>-1.0972245773362195</v>
      </c>
      <c r="H127" s="20">
        <f t="shared" si="47"/>
        <v>-1.0972245773362195</v>
      </c>
      <c r="I127" s="17"/>
      <c r="J127" s="20">
        <f t="shared" si="48"/>
        <v>8.658090795581467</v>
      </c>
      <c r="K127" s="20">
        <f t="shared" si="49"/>
        <v>1.2611416878127793E-3</v>
      </c>
      <c r="L127" s="20">
        <f t="shared" si="50"/>
        <v>0.25791205334486411</v>
      </c>
      <c r="M127" s="20">
        <f t="shared" si="51"/>
        <v>0.25791205334486411</v>
      </c>
      <c r="N127" s="20">
        <f t="shared" si="52"/>
        <v>0.25791205334486411</v>
      </c>
      <c r="O127" s="17"/>
      <c r="P127" s="20">
        <f t="shared" si="53"/>
        <v>227.0219307610781</v>
      </c>
      <c r="Q127" s="20">
        <f t="shared" si="54"/>
        <v>246.62065142797414</v>
      </c>
      <c r="R127" s="20">
        <f t="shared" si="55"/>
        <v>0</v>
      </c>
      <c r="S127" s="20">
        <f t="shared" si="56"/>
        <v>0</v>
      </c>
      <c r="T127" s="20">
        <f t="shared" si="57"/>
        <v>0</v>
      </c>
      <c r="U127" s="17"/>
      <c r="V127" s="20">
        <f t="shared" si="58"/>
        <v>473.64258218905223</v>
      </c>
      <c r="W127" s="17"/>
      <c r="X127" s="20">
        <f t="shared" si="59"/>
        <v>37.293887933419697</v>
      </c>
      <c r="Y127" s="20">
        <f t="shared" si="60"/>
        <v>6.1068721890522397</v>
      </c>
      <c r="Z127" s="20"/>
      <c r="AA127" s="20">
        <f t="shared" si="61"/>
        <v>3.991204167719748E-5</v>
      </c>
      <c r="AB127" s="17"/>
    </row>
    <row r="128" spans="2:28" x14ac:dyDescent="0.3">
      <c r="B128" s="28">
        <v>9</v>
      </c>
      <c r="C128" s="20">
        <v>485.03570999999999</v>
      </c>
      <c r="D128" s="20">
        <f t="shared" si="43"/>
        <v>10.891763211745076</v>
      </c>
      <c r="E128" s="20">
        <f t="shared" si="44"/>
        <v>-6.6694301028073664</v>
      </c>
      <c r="F128" s="20">
        <f t="shared" si="45"/>
        <v>-1.0861134662251084</v>
      </c>
      <c r="G128" s="20">
        <f t="shared" si="46"/>
        <v>-1.0861134662251084</v>
      </c>
      <c r="H128" s="20">
        <f t="shared" si="47"/>
        <v>-1.0861134662251084</v>
      </c>
      <c r="I128" s="17"/>
      <c r="J128" s="20">
        <f t="shared" si="48"/>
        <v>8.7255120569078706</v>
      </c>
      <c r="K128" s="20">
        <f t="shared" si="49"/>
        <v>1.2675142030362917E-3</v>
      </c>
      <c r="L128" s="20">
        <f t="shared" si="50"/>
        <v>0.26019819266152577</v>
      </c>
      <c r="M128" s="20">
        <f t="shared" si="51"/>
        <v>0.26019819266152577</v>
      </c>
      <c r="N128" s="20">
        <f t="shared" si="52"/>
        <v>0.26019819266152577</v>
      </c>
      <c r="O128" s="17"/>
      <c r="P128" s="20">
        <f t="shared" si="53"/>
        <v>223.70610336325657</v>
      </c>
      <c r="Q128" s="20">
        <f t="shared" si="54"/>
        <v>245.37918735176939</v>
      </c>
      <c r="R128" s="20">
        <f t="shared" si="55"/>
        <v>0</v>
      </c>
      <c r="S128" s="20">
        <f t="shared" si="56"/>
        <v>0</v>
      </c>
      <c r="T128" s="20">
        <f t="shared" si="57"/>
        <v>0</v>
      </c>
      <c r="U128" s="17"/>
      <c r="V128" s="20">
        <f t="shared" si="58"/>
        <v>469.08529071502596</v>
      </c>
      <c r="W128" s="17"/>
      <c r="X128" s="20">
        <f t="shared" si="59"/>
        <v>254.41587536647151</v>
      </c>
      <c r="Y128" s="20">
        <f t="shared" si="60"/>
        <v>15.950419284974032</v>
      </c>
      <c r="Z128" s="20"/>
      <c r="AA128" s="20">
        <f t="shared" si="61"/>
        <v>1.0424547617222324E-4</v>
      </c>
      <c r="AB128" s="17"/>
    </row>
    <row r="129" spans="2:28" x14ac:dyDescent="0.3">
      <c r="B129" s="28">
        <v>9.1</v>
      </c>
      <c r="C129" s="20">
        <v>491.28570999999999</v>
      </c>
      <c r="D129" s="20">
        <f t="shared" si="43"/>
        <v>10.966941392043733</v>
      </c>
      <c r="E129" s="20">
        <f t="shared" si="44"/>
        <v>-6.6643834804604074</v>
      </c>
      <c r="F129" s="20">
        <f t="shared" si="45"/>
        <v>-1.0750023551139973</v>
      </c>
      <c r="G129" s="20">
        <f t="shared" si="46"/>
        <v>-1.0750023551139973</v>
      </c>
      <c r="H129" s="20">
        <f t="shared" si="47"/>
        <v>-1.0750023551139973</v>
      </c>
      <c r="I129" s="17"/>
      <c r="J129" s="20">
        <f t="shared" si="48"/>
        <v>8.7929869282559601</v>
      </c>
      <c r="K129" s="20">
        <f t="shared" si="49"/>
        <v>1.2739188774406288E-3</v>
      </c>
      <c r="L129" s="20">
        <f t="shared" si="50"/>
        <v>0.26250038295631722</v>
      </c>
      <c r="M129" s="20">
        <f t="shared" si="51"/>
        <v>0.26250038295631722</v>
      </c>
      <c r="N129" s="20">
        <f t="shared" si="52"/>
        <v>0.26250038295631722</v>
      </c>
      <c r="O129" s="17"/>
      <c r="P129" s="20">
        <f t="shared" si="53"/>
        <v>220.45991229844773</v>
      </c>
      <c r="Q129" s="20">
        <f t="shared" si="54"/>
        <v>244.1439727033642</v>
      </c>
      <c r="R129" s="20">
        <f t="shared" si="55"/>
        <v>0</v>
      </c>
      <c r="S129" s="20">
        <f t="shared" si="56"/>
        <v>0</v>
      </c>
      <c r="T129" s="20">
        <f t="shared" si="57"/>
        <v>0</v>
      </c>
      <c r="U129" s="17"/>
      <c r="V129" s="20">
        <f t="shared" si="58"/>
        <v>464.60388500181193</v>
      </c>
      <c r="W129" s="17"/>
      <c r="X129" s="20">
        <f t="shared" si="59"/>
        <v>711.91978523393345</v>
      </c>
      <c r="Y129" s="20">
        <f t="shared" si="60"/>
        <v>26.681824998188063</v>
      </c>
      <c r="Z129" s="20"/>
      <c r="AA129" s="20">
        <f t="shared" si="61"/>
        <v>1.7438159476474051E-4</v>
      </c>
      <c r="AB129" s="17"/>
    </row>
    <row r="130" spans="2:28" x14ac:dyDescent="0.3">
      <c r="B130" s="28">
        <v>9.1999999999999993</v>
      </c>
      <c r="C130" s="20">
        <v>454.28570999999999</v>
      </c>
      <c r="D130" s="20">
        <f t="shared" si="43"/>
        <v>11.042119572342393</v>
      </c>
      <c r="E130" s="20">
        <f t="shared" si="44"/>
        <v>-6.6593368581134484</v>
      </c>
      <c r="F130" s="20">
        <f t="shared" si="45"/>
        <v>-1.0638912440028863</v>
      </c>
      <c r="G130" s="20">
        <f t="shared" si="46"/>
        <v>-1.0638912440028863</v>
      </c>
      <c r="H130" s="20">
        <f t="shared" si="47"/>
        <v>-1.0638912440028863</v>
      </c>
      <c r="I130" s="17"/>
      <c r="J130" s="20">
        <f t="shared" si="48"/>
        <v>8.8605147151518757</v>
      </c>
      <c r="K130" s="20">
        <f t="shared" si="49"/>
        <v>1.2803558729039917E-3</v>
      </c>
      <c r="L130" s="20">
        <f t="shared" si="50"/>
        <v>0.26481867782207197</v>
      </c>
      <c r="M130" s="20">
        <f t="shared" si="51"/>
        <v>0.26481867782207197</v>
      </c>
      <c r="N130" s="20">
        <f t="shared" si="52"/>
        <v>0.26481867782207197</v>
      </c>
      <c r="O130" s="17"/>
      <c r="P130" s="20">
        <f t="shared" si="53"/>
        <v>217.28147257307816</v>
      </c>
      <c r="Q130" s="20">
        <f t="shared" si="54"/>
        <v>242.91497602375404</v>
      </c>
      <c r="R130" s="20">
        <f t="shared" si="55"/>
        <v>0</v>
      </c>
      <c r="S130" s="20">
        <f t="shared" si="56"/>
        <v>0</v>
      </c>
      <c r="T130" s="20">
        <f t="shared" si="57"/>
        <v>0</v>
      </c>
      <c r="U130" s="17"/>
      <c r="V130" s="20">
        <f t="shared" si="58"/>
        <v>460.19644859683217</v>
      </c>
      <c r="W130" s="17"/>
      <c r="X130" s="20">
        <f t="shared" si="59"/>
        <v>34.936830760081591</v>
      </c>
      <c r="Y130" s="20">
        <f t="shared" si="60"/>
        <v>5.9107385968321751</v>
      </c>
      <c r="Z130" s="20"/>
      <c r="AA130" s="20">
        <f t="shared" si="61"/>
        <v>3.8630192006097587E-5</v>
      </c>
      <c r="AB130" s="17"/>
    </row>
    <row r="131" spans="2:28" x14ac:dyDescent="0.3">
      <c r="B131" s="28">
        <v>9.3000000000000007</v>
      </c>
      <c r="C131" s="20">
        <v>457.53570999999999</v>
      </c>
      <c r="D131" s="20">
        <f t="shared" si="43"/>
        <v>11.117297752641054</v>
      </c>
      <c r="E131" s="20">
        <f t="shared" si="44"/>
        <v>-6.6542902357664886</v>
      </c>
      <c r="F131" s="20">
        <f t="shared" si="45"/>
        <v>-1.052780132891775</v>
      </c>
      <c r="G131" s="20">
        <f t="shared" si="46"/>
        <v>-1.052780132891775</v>
      </c>
      <c r="H131" s="20">
        <f t="shared" si="47"/>
        <v>-1.052780132891775</v>
      </c>
      <c r="I131" s="17"/>
      <c r="J131" s="20">
        <f t="shared" si="48"/>
        <v>8.9280947359525946</v>
      </c>
      <c r="K131" s="20">
        <f t="shared" si="49"/>
        <v>1.2868253521152286E-3</v>
      </c>
      <c r="L131" s="20">
        <f t="shared" si="50"/>
        <v>0.26715313031433519</v>
      </c>
      <c r="M131" s="20">
        <f t="shared" si="51"/>
        <v>0.26715313031433519</v>
      </c>
      <c r="N131" s="20">
        <f t="shared" si="52"/>
        <v>0.26715313031433519</v>
      </c>
      <c r="O131" s="17"/>
      <c r="P131" s="20">
        <f t="shared" si="53"/>
        <v>214.16896115307225</v>
      </c>
      <c r="Q131" s="20">
        <f t="shared" si="54"/>
        <v>241.69216601229647</v>
      </c>
      <c r="R131" s="20">
        <f t="shared" si="55"/>
        <v>0</v>
      </c>
      <c r="S131" s="20">
        <f t="shared" si="56"/>
        <v>0</v>
      </c>
      <c r="T131" s="20">
        <f t="shared" si="57"/>
        <v>0</v>
      </c>
      <c r="U131" s="17"/>
      <c r="V131" s="20">
        <f t="shared" si="58"/>
        <v>455.86112716536871</v>
      </c>
      <c r="W131" s="17"/>
      <c r="X131" s="20">
        <f t="shared" si="59"/>
        <v>2.8042276700417346</v>
      </c>
      <c r="Y131" s="20">
        <f t="shared" si="60"/>
        <v>1.6745828346312805</v>
      </c>
      <c r="Z131" s="20"/>
      <c r="AA131" s="20">
        <f t="shared" si="61"/>
        <v>1.0944394743931235E-5</v>
      </c>
      <c r="AB131" s="17"/>
    </row>
    <row r="132" spans="2:28" x14ac:dyDescent="0.3">
      <c r="B132" s="28">
        <v>9.4</v>
      </c>
      <c r="C132" s="20">
        <v>451.53570999999999</v>
      </c>
      <c r="D132" s="20">
        <f t="shared" si="43"/>
        <v>11.192475932939715</v>
      </c>
      <c r="E132" s="20">
        <f t="shared" si="44"/>
        <v>-6.6492436134195296</v>
      </c>
      <c r="F132" s="20">
        <f t="shared" si="45"/>
        <v>-1.0416690217806639</v>
      </c>
      <c r="G132" s="20">
        <f t="shared" si="46"/>
        <v>-1.0416690217806639</v>
      </c>
      <c r="H132" s="20">
        <f t="shared" si="47"/>
        <v>-1.0416690217806639</v>
      </c>
      <c r="I132" s="17"/>
      <c r="J132" s="20">
        <f t="shared" si="48"/>
        <v>8.9957263215437653</v>
      </c>
      <c r="K132" s="20">
        <f t="shared" si="49"/>
        <v>1.29332747857785E-3</v>
      </c>
      <c r="L132" s="20">
        <f t="shared" si="50"/>
        <v>0.26950379294479576</v>
      </c>
      <c r="M132" s="20">
        <f t="shared" si="51"/>
        <v>0.26950379294479576</v>
      </c>
      <c r="N132" s="20">
        <f t="shared" si="52"/>
        <v>0.26950379294479576</v>
      </c>
      <c r="O132" s="17"/>
      <c r="P132" s="20">
        <f t="shared" si="53"/>
        <v>211.12061458226816</v>
      </c>
      <c r="Q132" s="20">
        <f t="shared" si="54"/>
        <v>240.47551152591419</v>
      </c>
      <c r="R132" s="20">
        <f t="shared" si="55"/>
        <v>0</v>
      </c>
      <c r="S132" s="20">
        <f t="shared" si="56"/>
        <v>0</v>
      </c>
      <c r="T132" s="20">
        <f t="shared" si="57"/>
        <v>0</v>
      </c>
      <c r="U132" s="17"/>
      <c r="V132" s="20">
        <f t="shared" si="58"/>
        <v>451.59612610818237</v>
      </c>
      <c r="W132" s="17"/>
      <c r="X132" s="20">
        <f t="shared" si="59"/>
        <v>3.6501061279050934E-3</v>
      </c>
      <c r="Y132" s="20">
        <f t="shared" si="60"/>
        <v>6.0416108182380412E-2</v>
      </c>
      <c r="Z132" s="20"/>
      <c r="AA132" s="20">
        <f t="shared" si="61"/>
        <v>3.9485519806227791E-7</v>
      </c>
      <c r="AB132" s="17"/>
    </row>
    <row r="133" spans="2:28" x14ac:dyDescent="0.3">
      <c r="B133" s="28">
        <v>9.5</v>
      </c>
      <c r="C133" s="20">
        <v>489.53570999999999</v>
      </c>
      <c r="D133" s="20">
        <f t="shared" si="43"/>
        <v>11.267654113238372</v>
      </c>
      <c r="E133" s="20">
        <f t="shared" si="44"/>
        <v>-6.6441969910725707</v>
      </c>
      <c r="F133" s="20">
        <f t="shared" si="45"/>
        <v>-1.0305579106695528</v>
      </c>
      <c r="G133" s="20">
        <f t="shared" si="46"/>
        <v>-1.0305579106695528</v>
      </c>
      <c r="H133" s="20">
        <f t="shared" si="47"/>
        <v>-1.0305579106695528</v>
      </c>
      <c r="I133" s="17"/>
      <c r="J133" s="20">
        <f t="shared" si="48"/>
        <v>9.0634088150460244</v>
      </c>
      <c r="K133" s="20">
        <f t="shared" si="49"/>
        <v>1.2998624166140702E-3</v>
      </c>
      <c r="L133" s="20">
        <f t="shared" si="50"/>
        <v>0.27187071767481724</v>
      </c>
      <c r="M133" s="20">
        <f t="shared" si="51"/>
        <v>0.27187071767481724</v>
      </c>
      <c r="N133" s="20">
        <f t="shared" si="52"/>
        <v>0.27187071767481724</v>
      </c>
      <c r="O133" s="17"/>
      <c r="P133" s="20">
        <f t="shared" si="53"/>
        <v>208.13472670513499</v>
      </c>
      <c r="Q133" s="20">
        <f t="shared" si="54"/>
        <v>239.26498157830116</v>
      </c>
      <c r="R133" s="20">
        <f t="shared" si="55"/>
        <v>0</v>
      </c>
      <c r="S133" s="20">
        <f t="shared" si="56"/>
        <v>0</v>
      </c>
      <c r="T133" s="20">
        <f t="shared" si="57"/>
        <v>0</v>
      </c>
      <c r="U133" s="17"/>
      <c r="V133" s="20">
        <f t="shared" si="58"/>
        <v>447.39970828343615</v>
      </c>
      <c r="W133" s="17"/>
      <c r="X133" s="20">
        <f t="shared" si="59"/>
        <v>1775.4426406582709</v>
      </c>
      <c r="Y133" s="20">
        <f t="shared" si="60"/>
        <v>42.13600171656384</v>
      </c>
      <c r="Z133" s="20"/>
      <c r="AA133" s="20">
        <f t="shared" si="61"/>
        <v>2.753838306353941E-4</v>
      </c>
      <c r="AB133" s="17"/>
    </row>
    <row r="134" spans="2:28" x14ac:dyDescent="0.3">
      <c r="B134" s="28">
        <v>9.6</v>
      </c>
      <c r="C134" s="20">
        <v>441.03570999999999</v>
      </c>
      <c r="D134" s="20">
        <f t="shared" si="43"/>
        <v>11.342832293537032</v>
      </c>
      <c r="E134" s="20">
        <f t="shared" si="44"/>
        <v>-6.6391503687256117</v>
      </c>
      <c r="F134" s="20">
        <f t="shared" si="45"/>
        <v>-1.0194467995584418</v>
      </c>
      <c r="G134" s="20">
        <f t="shared" si="46"/>
        <v>-1.0194467995584418</v>
      </c>
      <c r="H134" s="20">
        <f t="shared" si="47"/>
        <v>-1.0194467995584418</v>
      </c>
      <c r="I134" s="17"/>
      <c r="J134" s="20">
        <f t="shared" si="48"/>
        <v>9.1311415715295841</v>
      </c>
      <c r="K134" s="20">
        <f t="shared" si="49"/>
        <v>1.3064303313688604E-3</v>
      </c>
      <c r="L134" s="20">
        <f t="shared" si="50"/>
        <v>0.27425395590906587</v>
      </c>
      <c r="M134" s="20">
        <f t="shared" si="51"/>
        <v>0.27425395590906587</v>
      </c>
      <c r="N134" s="20">
        <f t="shared" si="52"/>
        <v>0.27425395590906587</v>
      </c>
      <c r="O134" s="17"/>
      <c r="P134" s="20">
        <f t="shared" si="53"/>
        <v>205.20964648868193</v>
      </c>
      <c r="Q134" s="20">
        <f t="shared" si="54"/>
        <v>238.06054533913388</v>
      </c>
      <c r="R134" s="20">
        <f t="shared" si="55"/>
        <v>0</v>
      </c>
      <c r="S134" s="20">
        <f t="shared" si="56"/>
        <v>0</v>
      </c>
      <c r="T134" s="20">
        <f t="shared" si="57"/>
        <v>0</v>
      </c>
      <c r="U134" s="17"/>
      <c r="V134" s="20">
        <f t="shared" si="58"/>
        <v>443.27019182781578</v>
      </c>
      <c r="W134" s="17"/>
      <c r="X134" s="20">
        <f t="shared" si="59"/>
        <v>4.9929090388389694</v>
      </c>
      <c r="Y134" s="20">
        <f t="shared" si="60"/>
        <v>2.2344818278157845</v>
      </c>
      <c r="Z134" s="20"/>
      <c r="AA134" s="20">
        <f t="shared" si="61"/>
        <v>1.4603667651437253E-5</v>
      </c>
      <c r="AB134" s="17"/>
    </row>
    <row r="135" spans="2:28" x14ac:dyDescent="0.3">
      <c r="B135" s="28">
        <v>9.6999999999999993</v>
      </c>
      <c r="C135" s="20">
        <v>446.03570999999999</v>
      </c>
      <c r="D135" s="20">
        <f t="shared" si="43"/>
        <v>11.418010473835691</v>
      </c>
      <c r="E135" s="20">
        <f t="shared" si="44"/>
        <v>-6.6341037463786527</v>
      </c>
      <c r="F135" s="20">
        <f t="shared" si="45"/>
        <v>-1.0083356884473307</v>
      </c>
      <c r="G135" s="20">
        <f t="shared" si="46"/>
        <v>-1.0083356884473307</v>
      </c>
      <c r="H135" s="20">
        <f t="shared" si="47"/>
        <v>-1.0083356884473307</v>
      </c>
      <c r="I135" s="17"/>
      <c r="J135" s="20">
        <f t="shared" si="48"/>
        <v>9.198923957736751</v>
      </c>
      <c r="K135" s="20">
        <f t="shared" si="49"/>
        <v>1.313031388814024E-3</v>
      </c>
      <c r="L135" s="20">
        <f t="shared" si="50"/>
        <v>0.27665355848924106</v>
      </c>
      <c r="M135" s="20">
        <f t="shared" si="51"/>
        <v>0.27665355848924106</v>
      </c>
      <c r="N135" s="20">
        <f t="shared" si="52"/>
        <v>0.27665355848924106</v>
      </c>
      <c r="O135" s="17"/>
      <c r="P135" s="20">
        <f t="shared" si="53"/>
        <v>202.34377593873211</v>
      </c>
      <c r="Q135" s="20">
        <f t="shared" si="54"/>
        <v>236.86217213328635</v>
      </c>
      <c r="R135" s="20">
        <f t="shared" si="55"/>
        <v>0</v>
      </c>
      <c r="S135" s="20">
        <f t="shared" si="56"/>
        <v>0</v>
      </c>
      <c r="T135" s="20">
        <f t="shared" si="57"/>
        <v>0</v>
      </c>
      <c r="U135" s="17"/>
      <c r="V135" s="20">
        <f t="shared" si="58"/>
        <v>439.20594807201849</v>
      </c>
      <c r="W135" s="17"/>
      <c r="X135" s="20">
        <f t="shared" si="59"/>
        <v>46.645647992905687</v>
      </c>
      <c r="Y135" s="20">
        <f t="shared" si="60"/>
        <v>6.8297619279815081</v>
      </c>
      <c r="Z135" s="20"/>
      <c r="AA135" s="20">
        <f t="shared" si="61"/>
        <v>4.4636556043141833E-5</v>
      </c>
      <c r="AB135" s="17"/>
    </row>
    <row r="136" spans="2:28" x14ac:dyDescent="0.3">
      <c r="B136" s="28">
        <v>9.8000000000000007</v>
      </c>
      <c r="C136" s="20">
        <v>439.03570999999999</v>
      </c>
      <c r="D136" s="20">
        <f t="shared" si="43"/>
        <v>11.493188654134352</v>
      </c>
      <c r="E136" s="20">
        <f t="shared" si="44"/>
        <v>-6.6290571240316929</v>
      </c>
      <c r="F136" s="20">
        <f t="shared" si="45"/>
        <v>-0.99722457733621939</v>
      </c>
      <c r="G136" s="20">
        <f t="shared" si="46"/>
        <v>-0.99722457733621939</v>
      </c>
      <c r="H136" s="20">
        <f t="shared" si="47"/>
        <v>-0.99722457733621939</v>
      </c>
      <c r="I136" s="17"/>
      <c r="J136" s="20">
        <f t="shared" si="48"/>
        <v>9.2667553518122183</v>
      </c>
      <c r="K136" s="20">
        <f t="shared" si="49"/>
        <v>1.3196657557522945E-3</v>
      </c>
      <c r="L136" s="20">
        <f t="shared" si="50"/>
        <v>0.27906957568790813</v>
      </c>
      <c r="M136" s="20">
        <f t="shared" si="51"/>
        <v>0.27906957568790813</v>
      </c>
      <c r="N136" s="20">
        <f t="shared" si="52"/>
        <v>0.27906957568790813</v>
      </c>
      <c r="O136" s="17"/>
      <c r="P136" s="20">
        <f t="shared" si="53"/>
        <v>199.53556810598639</v>
      </c>
      <c r="Q136" s="20">
        <f t="shared" si="54"/>
        <v>235.6698314400484</v>
      </c>
      <c r="R136" s="20">
        <f t="shared" si="55"/>
        <v>0</v>
      </c>
      <c r="S136" s="20">
        <f t="shared" si="56"/>
        <v>0</v>
      </c>
      <c r="T136" s="20">
        <f t="shared" si="57"/>
        <v>0</v>
      </c>
      <c r="U136" s="17"/>
      <c r="V136" s="20">
        <f t="shared" si="58"/>
        <v>435.20539954603476</v>
      </c>
      <c r="W136" s="17"/>
      <c r="X136" s="20">
        <f t="shared" si="59"/>
        <v>14.671278173755399</v>
      </c>
      <c r="Y136" s="20">
        <f t="shared" si="60"/>
        <v>3.8303104539652395</v>
      </c>
      <c r="Z136" s="20"/>
      <c r="AA136" s="20">
        <f t="shared" si="61"/>
        <v>2.5033356805686063E-5</v>
      </c>
      <c r="AB136" s="17"/>
    </row>
    <row r="137" spans="2:28" x14ac:dyDescent="0.3">
      <c r="B137" s="28">
        <v>9.9</v>
      </c>
      <c r="C137" s="20">
        <v>438.03570999999999</v>
      </c>
      <c r="D137" s="20">
        <f t="shared" si="43"/>
        <v>11.568366834433011</v>
      </c>
      <c r="E137" s="20">
        <f t="shared" si="44"/>
        <v>-6.6240105016847339</v>
      </c>
      <c r="F137" s="20">
        <f t="shared" si="45"/>
        <v>-0.98611346622510831</v>
      </c>
      <c r="G137" s="20">
        <f t="shared" si="46"/>
        <v>-0.98611346622510831</v>
      </c>
      <c r="H137" s="20">
        <f t="shared" si="47"/>
        <v>-0.98611346622510831</v>
      </c>
      <c r="I137" s="17"/>
      <c r="J137" s="20">
        <f t="shared" si="48"/>
        <v>9.3346351430407815</v>
      </c>
      <c r="K137" s="20">
        <f t="shared" si="49"/>
        <v>1.3263335998214469E-3</v>
      </c>
      <c r="L137" s="20">
        <f t="shared" si="50"/>
        <v>0.28150205720243648</v>
      </c>
      <c r="M137" s="20">
        <f t="shared" si="51"/>
        <v>0.28150205720243648</v>
      </c>
      <c r="N137" s="20">
        <f t="shared" si="52"/>
        <v>0.28150205720243648</v>
      </c>
      <c r="O137" s="17"/>
      <c r="P137" s="20">
        <f t="shared" si="53"/>
        <v>196.78352517755334</v>
      </c>
      <c r="Q137" s="20">
        <f t="shared" si="54"/>
        <v>234.48349289234903</v>
      </c>
      <c r="R137" s="20">
        <f t="shared" si="55"/>
        <v>0</v>
      </c>
      <c r="S137" s="20">
        <f t="shared" si="56"/>
        <v>0</v>
      </c>
      <c r="T137" s="20">
        <f t="shared" si="57"/>
        <v>0</v>
      </c>
      <c r="U137" s="17"/>
      <c r="V137" s="20">
        <f t="shared" si="58"/>
        <v>431.26701806990241</v>
      </c>
      <c r="W137" s="17"/>
      <c r="X137" s="20">
        <f t="shared" si="59"/>
        <v>45.815190444568223</v>
      </c>
      <c r="Y137" s="20">
        <f t="shared" si="60"/>
        <v>6.7686919300975887</v>
      </c>
      <c r="Z137" s="20"/>
      <c r="AA137" s="20">
        <f t="shared" si="61"/>
        <v>4.4237427286994141E-5</v>
      </c>
      <c r="AB137" s="17"/>
    </row>
    <row r="138" spans="2:28" x14ac:dyDescent="0.3">
      <c r="B138" s="28">
        <v>10</v>
      </c>
      <c r="C138" s="20">
        <v>418.28572000000003</v>
      </c>
      <c r="D138" s="20">
        <f t="shared" si="43"/>
        <v>11.643545014731671</v>
      </c>
      <c r="E138" s="20">
        <f t="shared" si="44"/>
        <v>-6.618963879337775</v>
      </c>
      <c r="F138" s="20">
        <f t="shared" si="45"/>
        <v>-0.97500235511399724</v>
      </c>
      <c r="G138" s="20">
        <f t="shared" si="46"/>
        <v>-0.97500235511399724</v>
      </c>
      <c r="H138" s="20">
        <f t="shared" si="47"/>
        <v>-0.97500235511399724</v>
      </c>
      <c r="I138" s="17"/>
      <c r="J138" s="20">
        <f t="shared" si="48"/>
        <v>9.4025627315923348</v>
      </c>
      <c r="K138" s="20">
        <f t="shared" si="49"/>
        <v>1.3330350894984382E-3</v>
      </c>
      <c r="L138" s="20">
        <f t="shared" si="50"/>
        <v>0.28395105214904504</v>
      </c>
      <c r="M138" s="20">
        <f t="shared" si="51"/>
        <v>0.28395105214904504</v>
      </c>
      <c r="N138" s="20">
        <f t="shared" si="52"/>
        <v>0.28395105214904504</v>
      </c>
      <c r="O138" s="17"/>
      <c r="P138" s="20">
        <f t="shared" si="53"/>
        <v>194.0861966498446</v>
      </c>
      <c r="Q138" s="20">
        <f t="shared" si="54"/>
        <v>233.30312627598227</v>
      </c>
      <c r="R138" s="20">
        <f t="shared" si="55"/>
        <v>0</v>
      </c>
      <c r="S138" s="20">
        <f t="shared" si="56"/>
        <v>0</v>
      </c>
      <c r="T138" s="20">
        <f t="shared" si="57"/>
        <v>0</v>
      </c>
      <c r="U138" s="17"/>
      <c r="V138" s="20">
        <f t="shared" si="58"/>
        <v>427.38932292582683</v>
      </c>
      <c r="W138" s="17"/>
      <c r="X138" s="20">
        <f t="shared" si="59"/>
        <v>82.875586231122384</v>
      </c>
      <c r="Y138" s="20">
        <f t="shared" si="60"/>
        <v>9.1036029258268059</v>
      </c>
      <c r="Z138" s="20"/>
      <c r="AA138" s="20">
        <f t="shared" si="61"/>
        <v>5.9497459278682844E-5</v>
      </c>
      <c r="AB138" s="17"/>
    </row>
    <row r="139" spans="2:28" x14ac:dyDescent="0.3">
      <c r="B139" s="28">
        <v>10.1</v>
      </c>
      <c r="C139" s="20">
        <v>423.03570999999999</v>
      </c>
      <c r="D139" s="20">
        <f t="shared" si="43"/>
        <v>11.71872319503033</v>
      </c>
      <c r="E139" s="20">
        <f t="shared" si="44"/>
        <v>-6.6139172569908151</v>
      </c>
      <c r="F139" s="20">
        <f t="shared" si="45"/>
        <v>-0.96389124400288617</v>
      </c>
      <c r="G139" s="20">
        <f t="shared" si="46"/>
        <v>-0.96389124400288617</v>
      </c>
      <c r="H139" s="20">
        <f t="shared" si="47"/>
        <v>-0.96389124400288617</v>
      </c>
      <c r="I139" s="17"/>
      <c r="J139" s="20">
        <f t="shared" si="48"/>
        <v>9.4705375282738373</v>
      </c>
      <c r="K139" s="20">
        <f t="shared" si="49"/>
        <v>1.3397703941035604E-3</v>
      </c>
      <c r="L139" s="20">
        <f t="shared" si="50"/>
        <v>0.28641660905695621</v>
      </c>
      <c r="M139" s="20">
        <f t="shared" si="51"/>
        <v>0.28641660905695621</v>
      </c>
      <c r="N139" s="20">
        <f t="shared" si="52"/>
        <v>0.28641660905695621</v>
      </c>
      <c r="O139" s="17"/>
      <c r="P139" s="20">
        <f t="shared" si="53"/>
        <v>191.44217757895808</v>
      </c>
      <c r="Q139" s="20">
        <f t="shared" si="54"/>
        <v>232.12870152883772</v>
      </c>
      <c r="R139" s="20">
        <f t="shared" si="55"/>
        <v>0</v>
      </c>
      <c r="S139" s="20">
        <f t="shared" si="56"/>
        <v>0</v>
      </c>
      <c r="T139" s="20">
        <f t="shared" si="57"/>
        <v>0</v>
      </c>
      <c r="U139" s="17"/>
      <c r="V139" s="20">
        <f t="shared" si="58"/>
        <v>423.5708791077958</v>
      </c>
      <c r="W139" s="17"/>
      <c r="X139" s="20">
        <f t="shared" si="59"/>
        <v>0.28640597393896267</v>
      </c>
      <c r="Y139" s="20">
        <f t="shared" si="60"/>
        <v>0.5351691077958094</v>
      </c>
      <c r="Z139" s="20"/>
      <c r="AA139" s="20">
        <f t="shared" si="61"/>
        <v>3.4976483989604941E-6</v>
      </c>
    </row>
    <row r="140" spans="2:28" x14ac:dyDescent="0.3">
      <c r="B140" s="28">
        <v>10.199999999999999</v>
      </c>
      <c r="C140" s="28">
        <v>432.53570999999999</v>
      </c>
      <c r="D140" s="20">
        <f t="shared" si="43"/>
        <v>11.793901375328989</v>
      </c>
      <c r="E140" s="20">
        <f t="shared" si="44"/>
        <v>-6.6088706346438562</v>
      </c>
      <c r="F140" s="20">
        <f t="shared" si="45"/>
        <v>-0.9527801328917751</v>
      </c>
      <c r="G140" s="20">
        <f t="shared" si="46"/>
        <v>-0.9527801328917751</v>
      </c>
      <c r="H140" s="20">
        <f t="shared" si="47"/>
        <v>-0.9527801328917751</v>
      </c>
      <c r="I140" s="17"/>
      <c r="J140" s="20">
        <f t="shared" si="48"/>
        <v>9.5385589542880833</v>
      </c>
      <c r="K140" s="20">
        <f t="shared" si="49"/>
        <v>1.3465396838046135E-3</v>
      </c>
      <c r="L140" s="20">
        <f t="shared" si="50"/>
        <v>0.28889877586266083</v>
      </c>
      <c r="M140" s="20">
        <f t="shared" si="51"/>
        <v>0.28889877586266083</v>
      </c>
      <c r="N140" s="20">
        <f t="shared" si="52"/>
        <v>0.28889877586266083</v>
      </c>
      <c r="O140" s="17"/>
      <c r="P140" s="20">
        <f t="shared" si="53"/>
        <v>188.85010690486936</v>
      </c>
      <c r="Q140" s="20">
        <f t="shared" si="54"/>
        <v>230.960188740136</v>
      </c>
      <c r="R140" s="20">
        <f t="shared" si="55"/>
        <v>0</v>
      </c>
      <c r="S140" s="20">
        <f t="shared" si="56"/>
        <v>0</v>
      </c>
      <c r="T140" s="20">
        <f t="shared" si="57"/>
        <v>0</v>
      </c>
      <c r="U140" s="17"/>
      <c r="V140" s="20">
        <f t="shared" si="58"/>
        <v>419.81029564500534</v>
      </c>
      <c r="W140" s="17"/>
      <c r="X140" s="20">
        <f t="shared" si="59"/>
        <v>161.93617050630402</v>
      </c>
      <c r="Y140" s="20">
        <f t="shared" si="60"/>
        <v>12.725414354994655</v>
      </c>
      <c r="Z140" s="20"/>
      <c r="AA140" s="20">
        <f t="shared" si="61"/>
        <v>8.3168150957319643E-5</v>
      </c>
    </row>
    <row r="141" spans="2:28" x14ac:dyDescent="0.3">
      <c r="B141" s="28">
        <v>10.3</v>
      </c>
      <c r="C141" s="29">
        <v>416.53572000000003</v>
      </c>
      <c r="D141" s="20">
        <f t="shared" si="43"/>
        <v>11.86907955562765</v>
      </c>
      <c r="E141" s="20">
        <f t="shared" si="44"/>
        <v>-6.6038240122968972</v>
      </c>
      <c r="F141" s="20">
        <f t="shared" si="45"/>
        <v>-0.94166902178066403</v>
      </c>
      <c r="G141" s="20">
        <f t="shared" si="46"/>
        <v>-0.94166902178066403</v>
      </c>
      <c r="H141" s="20">
        <f t="shared" si="47"/>
        <v>-0.94166902178066403</v>
      </c>
      <c r="I141" s="17"/>
      <c r="J141" s="20">
        <f t="shared" si="48"/>
        <v>9.6066264409990385</v>
      </c>
      <c r="K141" s="20">
        <f t="shared" si="49"/>
        <v>1.3533431296211069E-3</v>
      </c>
      <c r="L141" s="20">
        <f t="shared" si="50"/>
        <v>0.29139759990429576</v>
      </c>
      <c r="M141" s="20">
        <f t="shared" si="51"/>
        <v>0.29139759990429576</v>
      </c>
      <c r="N141" s="20">
        <f t="shared" si="52"/>
        <v>0.29139759990429576</v>
      </c>
      <c r="O141" s="17"/>
      <c r="P141" s="20">
        <f t="shared" si="53"/>
        <v>186.3086658459485</v>
      </c>
      <c r="Q141" s="20">
        <f t="shared" si="54"/>
        <v>229.79755814966529</v>
      </c>
      <c r="R141" s="20">
        <f t="shared" si="55"/>
        <v>0</v>
      </c>
      <c r="S141" s="20">
        <f t="shared" si="56"/>
        <v>0</v>
      </c>
      <c r="T141" s="20">
        <f t="shared" si="57"/>
        <v>0</v>
      </c>
      <c r="U141" s="17"/>
      <c r="V141" s="20">
        <f t="shared" si="58"/>
        <v>416.10622399561379</v>
      </c>
      <c r="W141" s="17"/>
      <c r="X141" s="20">
        <f t="shared" si="59"/>
        <v>0.18446681778374291</v>
      </c>
      <c r="Y141" s="20">
        <f t="shared" si="60"/>
        <v>0.42949600438623747</v>
      </c>
      <c r="Z141" s="20"/>
      <c r="AA141" s="20">
        <f t="shared" si="61"/>
        <v>2.8070118215317808E-6</v>
      </c>
    </row>
    <row r="142" spans="2:28" x14ac:dyDescent="0.3">
      <c r="B142" s="28">
        <v>10.4</v>
      </c>
      <c r="C142" s="28">
        <v>416.28570999999999</v>
      </c>
      <c r="D142" s="20">
        <f t="shared" si="43"/>
        <v>11.94425773592631</v>
      </c>
      <c r="E142" s="20">
        <f t="shared" si="44"/>
        <v>-6.5987773899499382</v>
      </c>
      <c r="F142" s="20">
        <f t="shared" si="45"/>
        <v>-0.93055791066955273</v>
      </c>
      <c r="G142" s="20">
        <f t="shared" si="46"/>
        <v>-0.93055791066955273</v>
      </c>
      <c r="H142" s="20">
        <f t="shared" si="47"/>
        <v>-0.93055791066955273</v>
      </c>
      <c r="I142" s="17"/>
      <c r="J142" s="20">
        <f t="shared" si="48"/>
        <v>9.6747394297035303</v>
      </c>
      <c r="K142" s="20">
        <f t="shared" si="49"/>
        <v>1.3601809034284704E-3</v>
      </c>
      <c r="L142" s="20">
        <f t="shared" si="50"/>
        <v>0.29391312791613627</v>
      </c>
      <c r="M142" s="20">
        <f t="shared" si="51"/>
        <v>0.29391312791613627</v>
      </c>
      <c r="N142" s="20">
        <f t="shared" si="52"/>
        <v>0.29391312791613627</v>
      </c>
      <c r="O142" s="17"/>
      <c r="P142" s="20">
        <f t="shared" si="53"/>
        <v>183.81657636049911</v>
      </c>
      <c r="Q142" s="20">
        <f t="shared" si="54"/>
        <v>228.64078014702471</v>
      </c>
      <c r="R142" s="20">
        <f t="shared" si="55"/>
        <v>0</v>
      </c>
      <c r="S142" s="20">
        <f t="shared" si="56"/>
        <v>0</v>
      </c>
      <c r="T142" s="20">
        <f t="shared" si="57"/>
        <v>0</v>
      </c>
      <c r="U142" s="17"/>
      <c r="V142" s="20">
        <f t="shared" si="58"/>
        <v>412.45735650752385</v>
      </c>
      <c r="W142" s="17"/>
      <c r="X142" s="20">
        <f t="shared" si="59"/>
        <v>14.656290463354257</v>
      </c>
      <c r="Y142" s="20">
        <f t="shared" si="60"/>
        <v>3.8283534924761398</v>
      </c>
      <c r="Z142" s="20"/>
      <c r="AA142" s="20">
        <f t="shared" si="61"/>
        <v>2.5020566898496974E-5</v>
      </c>
    </row>
    <row r="143" spans="2:28" x14ac:dyDescent="0.3">
      <c r="B143" s="28">
        <v>10.5</v>
      </c>
      <c r="C143" s="28">
        <v>383.78570999999999</v>
      </c>
      <c r="D143" s="20">
        <f t="shared" si="43"/>
        <v>12.019435916224969</v>
      </c>
      <c r="E143" s="20">
        <f t="shared" si="44"/>
        <v>-6.5937307676029793</v>
      </c>
      <c r="F143" s="20">
        <f t="shared" si="45"/>
        <v>-0.91944679955844166</v>
      </c>
      <c r="G143" s="20">
        <f t="shared" si="46"/>
        <v>-0.91944679955844166</v>
      </c>
      <c r="H143" s="20">
        <f t="shared" si="47"/>
        <v>-0.91944679955844166</v>
      </c>
      <c r="I143" s="17"/>
      <c r="J143" s="20">
        <f t="shared" si="48"/>
        <v>9.7428973714091285</v>
      </c>
      <c r="K143" s="20">
        <f t="shared" si="49"/>
        <v>1.3670531779622936E-3</v>
      </c>
      <c r="L143" s="20">
        <f t="shared" si="50"/>
        <v>0.29644540602320335</v>
      </c>
      <c r="M143" s="20">
        <f t="shared" si="51"/>
        <v>0.29644540602320335</v>
      </c>
      <c r="N143" s="20">
        <f t="shared" si="52"/>
        <v>0.29644540602320335</v>
      </c>
      <c r="O143" s="17"/>
      <c r="P143" s="20">
        <f t="shared" si="53"/>
        <v>181.37259967218608</v>
      </c>
      <c r="Q143" s="20">
        <f t="shared" si="54"/>
        <v>227.48982527086952</v>
      </c>
      <c r="R143" s="20">
        <f t="shared" si="55"/>
        <v>0</v>
      </c>
      <c r="S143" s="20">
        <f t="shared" si="56"/>
        <v>0</v>
      </c>
      <c r="T143" s="20">
        <f t="shared" si="57"/>
        <v>0</v>
      </c>
      <c r="U143" s="17"/>
      <c r="V143" s="20">
        <f t="shared" si="58"/>
        <v>408.8624249430556</v>
      </c>
      <c r="W143" s="17"/>
      <c r="X143" s="20">
        <f t="shared" si="59"/>
        <v>628.84163233526829</v>
      </c>
      <c r="Y143" s="20">
        <f t="shared" si="60"/>
        <v>25.076714943055606</v>
      </c>
      <c r="Z143" s="20"/>
      <c r="AA143" s="20">
        <f t="shared" si="61"/>
        <v>1.6389124595217144E-4</v>
      </c>
    </row>
    <row r="144" spans="2:28" x14ac:dyDescent="0.3">
      <c r="B144" s="28">
        <v>10.6</v>
      </c>
      <c r="C144" s="28">
        <v>403.78570999999999</v>
      </c>
      <c r="D144" s="20">
        <f t="shared" si="43"/>
        <v>12.094614096523628</v>
      </c>
      <c r="E144" s="20">
        <f t="shared" si="44"/>
        <v>-6.5886841452560194</v>
      </c>
      <c r="F144" s="20">
        <f t="shared" si="45"/>
        <v>-0.90833568844733059</v>
      </c>
      <c r="G144" s="20">
        <f t="shared" si="46"/>
        <v>-0.90833568844733059</v>
      </c>
      <c r="H144" s="20">
        <f t="shared" si="47"/>
        <v>-0.90833568844733059</v>
      </c>
      <c r="I144" s="17"/>
      <c r="J144" s="20">
        <f t="shared" si="48"/>
        <v>9.8110997266179698</v>
      </c>
      <c r="K144" s="20">
        <f t="shared" si="49"/>
        <v>1.3739601268225813E-3</v>
      </c>
      <c r="L144" s="20">
        <f t="shared" si="50"/>
        <v>0.29899447973599019</v>
      </c>
      <c r="M144" s="20">
        <f t="shared" si="51"/>
        <v>0.29899447973599019</v>
      </c>
      <c r="N144" s="20">
        <f t="shared" si="52"/>
        <v>0.29899447973599019</v>
      </c>
      <c r="O144" s="17"/>
      <c r="P144" s="20">
        <f t="shared" si="53"/>
        <v>178.97553485638383</v>
      </c>
      <c r="Q144" s="20">
        <f t="shared" si="54"/>
        <v>226.34466420816105</v>
      </c>
      <c r="R144" s="20">
        <f t="shared" si="55"/>
        <v>0</v>
      </c>
      <c r="S144" s="20">
        <f t="shared" si="56"/>
        <v>0</v>
      </c>
      <c r="T144" s="20">
        <f t="shared" si="57"/>
        <v>0</v>
      </c>
      <c r="U144" s="17"/>
      <c r="V144" s="20">
        <f t="shared" si="58"/>
        <v>405.32019906454491</v>
      </c>
      <c r="W144" s="17"/>
      <c r="X144" s="20">
        <f t="shared" si="59"/>
        <v>2.3546566892079253</v>
      </c>
      <c r="Y144" s="20">
        <f t="shared" si="60"/>
        <v>1.5344890645449141</v>
      </c>
      <c r="Z144" s="20"/>
      <c r="AA144" s="20">
        <f t="shared" si="61"/>
        <v>1.0028798638870037E-5</v>
      </c>
    </row>
    <row r="145" spans="2:27" x14ac:dyDescent="0.3">
      <c r="B145" s="28">
        <v>10.7</v>
      </c>
      <c r="C145" s="28">
        <v>407.53570999999999</v>
      </c>
      <c r="D145" s="20">
        <f t="shared" si="43"/>
        <v>12.169792276822289</v>
      </c>
      <c r="E145" s="20">
        <f t="shared" si="44"/>
        <v>-6.5836375229090605</v>
      </c>
      <c r="F145" s="20">
        <f t="shared" si="45"/>
        <v>-0.89722457733621952</v>
      </c>
      <c r="G145" s="20">
        <f t="shared" si="46"/>
        <v>-0.89722457733621952</v>
      </c>
      <c r="H145" s="20">
        <f t="shared" si="47"/>
        <v>-0.89722457733621952</v>
      </c>
      <c r="I145" s="17"/>
      <c r="J145" s="20">
        <f t="shared" si="48"/>
        <v>9.8793459651164</v>
      </c>
      <c r="K145" s="20">
        <f t="shared" si="49"/>
        <v>1.3809019244780303E-3</v>
      </c>
      <c r="L145" s="20">
        <f t="shared" si="50"/>
        <v>0.3015603939453072</v>
      </c>
      <c r="M145" s="20">
        <f t="shared" si="51"/>
        <v>0.3015603939453072</v>
      </c>
      <c r="N145" s="20">
        <f t="shared" si="52"/>
        <v>0.3015603939453072</v>
      </c>
      <c r="O145" s="17"/>
      <c r="P145" s="20">
        <f t="shared" si="53"/>
        <v>176.62421748462523</v>
      </c>
      <c r="Q145" s="20">
        <f t="shared" si="54"/>
        <v>225.20526779342026</v>
      </c>
      <c r="R145" s="20">
        <f t="shared" si="55"/>
        <v>0</v>
      </c>
      <c r="S145" s="20">
        <f t="shared" si="56"/>
        <v>0</v>
      </c>
      <c r="T145" s="20">
        <f t="shared" si="57"/>
        <v>0</v>
      </c>
      <c r="U145" s="17"/>
      <c r="V145" s="20">
        <f t="shared" si="58"/>
        <v>401.82948527804547</v>
      </c>
      <c r="W145" s="17"/>
      <c r="X145" s="20">
        <f t="shared" si="59"/>
        <v>32.561000577445022</v>
      </c>
      <c r="Y145" s="20">
        <f t="shared" si="60"/>
        <v>5.706224721954527</v>
      </c>
      <c r="Z145" s="20"/>
      <c r="AA145" s="20">
        <f t="shared" si="61"/>
        <v>3.7293572203850075E-5</v>
      </c>
    </row>
    <row r="146" spans="2:27" x14ac:dyDescent="0.3">
      <c r="B146" s="28">
        <v>10.8</v>
      </c>
      <c r="C146" s="28">
        <v>415.78570999999999</v>
      </c>
      <c r="D146" s="20">
        <f t="shared" si="43"/>
        <v>12.244970457120949</v>
      </c>
      <c r="E146" s="20">
        <f t="shared" si="44"/>
        <v>-6.5785909005621015</v>
      </c>
      <c r="F146" s="20">
        <f t="shared" si="45"/>
        <v>-0.88611346622510845</v>
      </c>
      <c r="G146" s="20">
        <f t="shared" si="46"/>
        <v>-0.88611346622510845</v>
      </c>
      <c r="H146" s="20">
        <f t="shared" si="47"/>
        <v>-0.88611346622510845</v>
      </c>
      <c r="I146" s="17"/>
      <c r="J146" s="20">
        <f t="shared" si="48"/>
        <v>9.9476355657701916</v>
      </c>
      <c r="K146" s="20">
        <f t="shared" si="49"/>
        <v>1.3878787462703298E-3</v>
      </c>
      <c r="L146" s="20">
        <f t="shared" si="50"/>
        <v>0.30414319291724784</v>
      </c>
      <c r="M146" s="20">
        <f t="shared" si="51"/>
        <v>0.30414319291724784</v>
      </c>
      <c r="N146" s="20">
        <f t="shared" si="52"/>
        <v>0.30414319291724784</v>
      </c>
      <c r="O146" s="17"/>
      <c r="P146" s="20">
        <f t="shared" si="53"/>
        <v>174.31751832447793</v>
      </c>
      <c r="Q146" s="20">
        <f t="shared" si="54"/>
        <v>224.07160700798462</v>
      </c>
      <c r="R146" s="20">
        <f t="shared" si="55"/>
        <v>0</v>
      </c>
      <c r="S146" s="20">
        <f t="shared" si="56"/>
        <v>0</v>
      </c>
      <c r="T146" s="20">
        <f t="shared" si="57"/>
        <v>0</v>
      </c>
      <c r="U146" s="17"/>
      <c r="V146" s="20">
        <f t="shared" si="58"/>
        <v>398.38912533246253</v>
      </c>
      <c r="W146" s="17"/>
      <c r="X146" s="20">
        <f t="shared" si="59"/>
        <v>302.64115809479972</v>
      </c>
      <c r="Y146" s="20">
        <f t="shared" si="60"/>
        <v>17.396584667537468</v>
      </c>
      <c r="Z146" s="20"/>
      <c r="AA146" s="20">
        <f t="shared" si="61"/>
        <v>1.136970270208664E-4</v>
      </c>
    </row>
    <row r="147" spans="2:27" x14ac:dyDescent="0.3">
      <c r="B147" s="28">
        <v>10.9</v>
      </c>
      <c r="C147" s="28">
        <v>409.78570999999999</v>
      </c>
      <c r="D147" s="20">
        <f t="shared" si="43"/>
        <v>12.320148637419608</v>
      </c>
      <c r="E147" s="20">
        <f t="shared" si="44"/>
        <v>-6.5735442782151425</v>
      </c>
      <c r="F147" s="20">
        <f t="shared" si="45"/>
        <v>-0.87500235511399715</v>
      </c>
      <c r="G147" s="20">
        <f t="shared" si="46"/>
        <v>-0.87500235511399715</v>
      </c>
      <c r="H147" s="20">
        <f t="shared" si="47"/>
        <v>-0.87500235511399715</v>
      </c>
      <c r="I147" s="17"/>
      <c r="J147" s="20">
        <f t="shared" si="48"/>
        <v>10.015968016325228</v>
      </c>
      <c r="K147" s="20">
        <f t="shared" si="49"/>
        <v>1.3948907684184801E-3</v>
      </c>
      <c r="L147" s="20">
        <f t="shared" si="50"/>
        <v>0.30674292028827738</v>
      </c>
      <c r="M147" s="20">
        <f t="shared" si="51"/>
        <v>0.30674292028827738</v>
      </c>
      <c r="N147" s="20">
        <f t="shared" si="52"/>
        <v>0.30674292028827738</v>
      </c>
      <c r="O147" s="17"/>
      <c r="P147" s="20">
        <f t="shared" si="53"/>
        <v>172.05434209230864</v>
      </c>
      <c r="Q147" s="20">
        <f t="shared" si="54"/>
        <v>222.94365297926899</v>
      </c>
      <c r="R147" s="20">
        <f t="shared" si="55"/>
        <v>0</v>
      </c>
      <c r="S147" s="20">
        <f t="shared" si="56"/>
        <v>0</v>
      </c>
      <c r="T147" s="20">
        <f t="shared" si="57"/>
        <v>0</v>
      </c>
      <c r="U147" s="17"/>
      <c r="V147" s="20">
        <f t="shared" si="58"/>
        <v>394.99799507157763</v>
      </c>
      <c r="W147" s="17"/>
      <c r="X147" s="20">
        <f t="shared" si="59"/>
        <v>218.67651280428555</v>
      </c>
      <c r="Y147" s="20">
        <f t="shared" si="60"/>
        <v>14.787714928422361</v>
      </c>
      <c r="Z147" s="20"/>
      <c r="AA147" s="20">
        <f t="shared" si="61"/>
        <v>9.6646511710490925E-5</v>
      </c>
    </row>
    <row r="148" spans="2:27" x14ac:dyDescent="0.3">
      <c r="B148" s="28">
        <v>11</v>
      </c>
      <c r="C148" s="28">
        <v>411.03570999999999</v>
      </c>
      <c r="D148" s="20">
        <f t="shared" si="43"/>
        <v>12.395326817718267</v>
      </c>
      <c r="E148" s="20">
        <f t="shared" si="44"/>
        <v>-6.5684976558681827</v>
      </c>
      <c r="F148" s="20">
        <f t="shared" si="45"/>
        <v>-0.86389124400288608</v>
      </c>
      <c r="G148" s="20">
        <f t="shared" si="46"/>
        <v>-0.86389124400288608</v>
      </c>
      <c r="H148" s="20">
        <f t="shared" si="47"/>
        <v>-0.86389124400288608</v>
      </c>
      <c r="I148" s="17"/>
      <c r="J148" s="20">
        <f t="shared" si="48"/>
        <v>10.08434281321345</v>
      </c>
      <c r="K148" s="20">
        <f t="shared" si="49"/>
        <v>1.4019381680231316E-3</v>
      </c>
      <c r="L148" s="20">
        <f t="shared" si="50"/>
        <v>0.30935961906044485</v>
      </c>
      <c r="M148" s="20">
        <f t="shared" si="51"/>
        <v>0.30935961906044485</v>
      </c>
      <c r="N148" s="20">
        <f t="shared" si="52"/>
        <v>0.30935961906044485</v>
      </c>
      <c r="O148" s="17"/>
      <c r="P148" s="20">
        <f t="shared" si="53"/>
        <v>169.83362625652592</v>
      </c>
      <c r="Q148" s="20">
        <f t="shared" si="54"/>
        <v>221.82137698003061</v>
      </c>
      <c r="R148" s="20">
        <f t="shared" si="55"/>
        <v>0</v>
      </c>
      <c r="S148" s="20">
        <f t="shared" si="56"/>
        <v>0</v>
      </c>
      <c r="T148" s="20">
        <f t="shared" si="57"/>
        <v>0</v>
      </c>
      <c r="U148" s="17"/>
      <c r="V148" s="20">
        <f t="shared" si="58"/>
        <v>391.65500323655652</v>
      </c>
      <c r="W148" s="17"/>
      <c r="X148" s="20">
        <f t="shared" si="59"/>
        <v>375.61179465058348</v>
      </c>
      <c r="Y148" s="20">
        <f t="shared" si="60"/>
        <v>19.38070676344347</v>
      </c>
      <c r="Z148" s="20"/>
      <c r="AA148" s="20">
        <f t="shared" si="61"/>
        <v>1.2666444492858239E-4</v>
      </c>
    </row>
    <row r="149" spans="2:27" x14ac:dyDescent="0.3">
      <c r="B149" s="28">
        <v>11.1</v>
      </c>
      <c r="C149" s="28">
        <v>397.53570999999999</v>
      </c>
      <c r="D149" s="20">
        <f t="shared" si="43"/>
        <v>12.470504998016926</v>
      </c>
      <c r="E149" s="20">
        <f t="shared" si="44"/>
        <v>-6.5634510335212237</v>
      </c>
      <c r="F149" s="20">
        <f t="shared" si="45"/>
        <v>-0.85278013289177501</v>
      </c>
      <c r="G149" s="20">
        <f t="shared" si="46"/>
        <v>-0.85278013289177501</v>
      </c>
      <c r="H149" s="20">
        <f t="shared" si="47"/>
        <v>-0.85278013289177501</v>
      </c>
      <c r="I149" s="17"/>
      <c r="J149" s="20">
        <f t="shared" si="48"/>
        <v>10.1527594613639</v>
      </c>
      <c r="K149" s="20">
        <f t="shared" si="49"/>
        <v>1.4090211230709429E-3</v>
      </c>
      <c r="L149" s="20">
        <f t="shared" si="50"/>
        <v>0.31199333159672077</v>
      </c>
      <c r="M149" s="20">
        <f t="shared" si="51"/>
        <v>0.31199333159672077</v>
      </c>
      <c r="N149" s="20">
        <f t="shared" si="52"/>
        <v>0.31199333159672077</v>
      </c>
      <c r="O149" s="17"/>
      <c r="P149" s="20">
        <f t="shared" si="53"/>
        <v>167.65433988901256</v>
      </c>
      <c r="Q149" s="20">
        <f t="shared" si="54"/>
        <v>220.70475042763766</v>
      </c>
      <c r="R149" s="20">
        <f t="shared" si="55"/>
        <v>0</v>
      </c>
      <c r="S149" s="20">
        <f t="shared" si="56"/>
        <v>0</v>
      </c>
      <c r="T149" s="20">
        <f t="shared" si="57"/>
        <v>0</v>
      </c>
      <c r="U149" s="17"/>
      <c r="V149" s="20">
        <f t="shared" si="58"/>
        <v>388.35909031665022</v>
      </c>
      <c r="W149" s="17"/>
      <c r="X149" s="20">
        <f t="shared" si="59"/>
        <v>84.21034881284244</v>
      </c>
      <c r="Y149" s="20">
        <f t="shared" si="60"/>
        <v>9.1766196833497702</v>
      </c>
      <c r="Z149" s="20"/>
      <c r="AA149" s="20">
        <f t="shared" si="61"/>
        <v>5.9974667214132148E-5</v>
      </c>
    </row>
    <row r="150" spans="2:27" x14ac:dyDescent="0.3">
      <c r="B150" s="28">
        <v>11.2</v>
      </c>
      <c r="C150" s="28">
        <v>382.28570999999999</v>
      </c>
      <c r="D150" s="20">
        <f t="shared" si="43"/>
        <v>12.545683178315587</v>
      </c>
      <c r="E150" s="20">
        <f t="shared" si="44"/>
        <v>-6.5584044111742648</v>
      </c>
      <c r="F150" s="20">
        <f t="shared" si="45"/>
        <v>-0.84166902178066416</v>
      </c>
      <c r="G150" s="20">
        <f t="shared" si="46"/>
        <v>-0.84166902178066416</v>
      </c>
      <c r="H150" s="20">
        <f t="shared" si="47"/>
        <v>-0.84166902178066416</v>
      </c>
      <c r="I150" s="17"/>
      <c r="J150" s="20">
        <f t="shared" si="48"/>
        <v>10.221217474018726</v>
      </c>
      <c r="K150" s="20">
        <f t="shared" si="49"/>
        <v>1.416139812438968E-3</v>
      </c>
      <c r="L150" s="20">
        <f t="shared" si="50"/>
        <v>0.31464409961646095</v>
      </c>
      <c r="M150" s="20">
        <f t="shared" si="51"/>
        <v>0.31464409961646095</v>
      </c>
      <c r="N150" s="20">
        <f t="shared" si="52"/>
        <v>0.31464409961646095</v>
      </c>
      <c r="O150" s="17"/>
      <c r="P150" s="20">
        <f t="shared" si="53"/>
        <v>165.51548256257314</v>
      </c>
      <c r="Q150" s="20">
        <f t="shared" si="54"/>
        <v>219.59374488334058</v>
      </c>
      <c r="R150" s="20">
        <f t="shared" si="55"/>
        <v>0</v>
      </c>
      <c r="S150" s="20">
        <f t="shared" si="56"/>
        <v>0</v>
      </c>
      <c r="T150" s="20">
        <f t="shared" si="57"/>
        <v>0</v>
      </c>
      <c r="U150" s="17"/>
      <c r="V150" s="20">
        <f t="shared" si="58"/>
        <v>385.10922744591369</v>
      </c>
      <c r="W150" s="17"/>
      <c r="X150" s="20">
        <f t="shared" si="59"/>
        <v>7.9722507673789913</v>
      </c>
      <c r="Y150" s="20">
        <f t="shared" si="60"/>
        <v>2.8235174459136942</v>
      </c>
      <c r="Z150" s="20"/>
      <c r="AA150" s="20">
        <f t="shared" si="61"/>
        <v>1.8453365731089735E-5</v>
      </c>
    </row>
    <row r="151" spans="2:27" x14ac:dyDescent="0.3">
      <c r="B151" s="28">
        <v>11.3</v>
      </c>
      <c r="C151" s="28">
        <v>369.78570999999999</v>
      </c>
      <c r="D151" s="20">
        <f t="shared" si="43"/>
        <v>12.620861358614247</v>
      </c>
      <c r="E151" s="20">
        <f t="shared" si="44"/>
        <v>-6.5533577888273058</v>
      </c>
      <c r="F151" s="20">
        <f t="shared" si="45"/>
        <v>-0.83055791066955265</v>
      </c>
      <c r="G151" s="20">
        <f t="shared" si="46"/>
        <v>-0.83055791066955265</v>
      </c>
      <c r="H151" s="20">
        <f t="shared" si="47"/>
        <v>-0.83055791066955265</v>
      </c>
      <c r="I151" s="17"/>
      <c r="J151" s="20">
        <f t="shared" si="48"/>
        <v>10.289716372553999</v>
      </c>
      <c r="K151" s="20">
        <f t="shared" si="49"/>
        <v>1.4232944158990564E-3</v>
      </c>
      <c r="L151" s="20">
        <f t="shared" si="50"/>
        <v>0.31731196419099861</v>
      </c>
      <c r="M151" s="20">
        <f t="shared" si="51"/>
        <v>0.31731196419099861</v>
      </c>
      <c r="N151" s="20">
        <f t="shared" si="52"/>
        <v>0.31731196419099861</v>
      </c>
      <c r="O151" s="17"/>
      <c r="P151" s="20">
        <f t="shared" si="53"/>
        <v>163.41608329233051</v>
      </c>
      <c r="Q151" s="20">
        <f t="shared" si="54"/>
        <v>218.48833205154824</v>
      </c>
      <c r="R151" s="20">
        <f t="shared" si="55"/>
        <v>0</v>
      </c>
      <c r="S151" s="20">
        <f t="shared" si="56"/>
        <v>0</v>
      </c>
      <c r="T151" s="20">
        <f t="shared" si="57"/>
        <v>0</v>
      </c>
      <c r="U151" s="17"/>
      <c r="V151" s="20">
        <f t="shared" si="58"/>
        <v>381.90441534387878</v>
      </c>
      <c r="W151" s="17"/>
      <c r="X151" s="20">
        <f t="shared" si="59"/>
        <v>146.86301921175627</v>
      </c>
      <c r="Y151" s="20">
        <f t="shared" si="60"/>
        <v>12.118705343878787</v>
      </c>
      <c r="Z151" s="20"/>
      <c r="AA151" s="20">
        <f t="shared" si="61"/>
        <v>7.9202946743450907E-5</v>
      </c>
    </row>
    <row r="152" spans="2:27" x14ac:dyDescent="0.3">
      <c r="B152" s="28">
        <v>11.4</v>
      </c>
      <c r="C152" s="28">
        <v>399.53570999999999</v>
      </c>
      <c r="D152" s="20">
        <f t="shared" si="43"/>
        <v>12.696039538912906</v>
      </c>
      <c r="E152" s="20">
        <f t="shared" si="44"/>
        <v>-6.5483111664803459</v>
      </c>
      <c r="F152" s="20">
        <f t="shared" si="45"/>
        <v>-0.81944679955844157</v>
      </c>
      <c r="G152" s="20">
        <f t="shared" si="46"/>
        <v>-0.81944679955844157</v>
      </c>
      <c r="H152" s="20">
        <f t="shared" si="47"/>
        <v>-0.81944679955844157</v>
      </c>
      <c r="I152" s="17"/>
      <c r="J152" s="20">
        <f t="shared" si="48"/>
        <v>10.358255686305162</v>
      </c>
      <c r="K152" s="20">
        <f t="shared" si="49"/>
        <v>1.4304851141222785E-3</v>
      </c>
      <c r="L152" s="20">
        <f t="shared" si="50"/>
        <v>0.31999696573936443</v>
      </c>
      <c r="M152" s="20">
        <f t="shared" si="51"/>
        <v>0.31999696573936443</v>
      </c>
      <c r="N152" s="20">
        <f t="shared" si="52"/>
        <v>0.31999696573936443</v>
      </c>
      <c r="O152" s="17"/>
      <c r="P152" s="20">
        <f t="shared" si="53"/>
        <v>161.35519951910831</v>
      </c>
      <c r="Q152" s="20">
        <f t="shared" si="54"/>
        <v>217.38848377910713</v>
      </c>
      <c r="R152" s="20">
        <f t="shared" si="55"/>
        <v>0</v>
      </c>
      <c r="S152" s="20">
        <f t="shared" si="56"/>
        <v>0</v>
      </c>
      <c r="T152" s="20">
        <f t="shared" si="57"/>
        <v>0</v>
      </c>
      <c r="U152" s="17"/>
      <c r="V152" s="20">
        <f t="shared" si="58"/>
        <v>378.74368329821544</v>
      </c>
      <c r="W152" s="17"/>
      <c r="X152" s="20">
        <f t="shared" si="59"/>
        <v>432.30837436772174</v>
      </c>
      <c r="Y152" s="20">
        <f t="shared" si="60"/>
        <v>20.79202670178455</v>
      </c>
      <c r="Z152" s="20"/>
      <c r="AA152" s="20">
        <f t="shared" si="61"/>
        <v>1.3588826007570617E-4</v>
      </c>
    </row>
    <row r="153" spans="2:27" x14ac:dyDescent="0.3">
      <c r="B153" s="28">
        <v>11.5</v>
      </c>
      <c r="C153" s="28">
        <v>384.28570999999999</v>
      </c>
      <c r="D153" s="20">
        <f t="shared" si="43"/>
        <v>12.771217719211565</v>
      </c>
      <c r="E153" s="20">
        <f t="shared" si="44"/>
        <v>-6.543264544133387</v>
      </c>
      <c r="F153" s="20">
        <f t="shared" si="45"/>
        <v>-0.8083356884473305</v>
      </c>
      <c r="G153" s="20">
        <f t="shared" si="46"/>
        <v>-0.8083356884473305</v>
      </c>
      <c r="H153" s="20">
        <f t="shared" si="47"/>
        <v>-0.8083356884473305</v>
      </c>
      <c r="I153" s="17"/>
      <c r="J153" s="20">
        <f t="shared" si="48"/>
        <v>10.426834952397035</v>
      </c>
      <c r="K153" s="20">
        <f t="shared" si="49"/>
        <v>1.4377120886833671E-3</v>
      </c>
      <c r="L153" s="20">
        <f t="shared" si="50"/>
        <v>0.32269914402413835</v>
      </c>
      <c r="M153" s="20">
        <f t="shared" si="51"/>
        <v>0.32269914402413835</v>
      </c>
      <c r="N153" s="20">
        <f t="shared" si="52"/>
        <v>0.32269914402413835</v>
      </c>
      <c r="O153" s="17"/>
      <c r="P153" s="20">
        <f t="shared" si="53"/>
        <v>159.33191613293141</v>
      </c>
      <c r="Q153" s="20">
        <f t="shared" si="54"/>
        <v>216.29417205458495</v>
      </c>
      <c r="R153" s="20">
        <f t="shared" si="55"/>
        <v>0</v>
      </c>
      <c r="S153" s="20">
        <f t="shared" si="56"/>
        <v>0</v>
      </c>
      <c r="T153" s="20">
        <f t="shared" si="57"/>
        <v>0</v>
      </c>
      <c r="U153" s="17"/>
      <c r="V153" s="20">
        <f t="shared" si="58"/>
        <v>375.62608818751636</v>
      </c>
      <c r="W153" s="17"/>
      <c r="X153" s="20">
        <f t="shared" si="59"/>
        <v>74.989049935242363</v>
      </c>
      <c r="Y153" s="20">
        <f t="shared" si="60"/>
        <v>8.6596218124836355</v>
      </c>
      <c r="Z153" s="20"/>
      <c r="AA153" s="20">
        <f t="shared" si="61"/>
        <v>5.6595778655432195E-5</v>
      </c>
    </row>
    <row r="154" spans="2:27" x14ac:dyDescent="0.3">
      <c r="B154" s="28">
        <v>11.6</v>
      </c>
      <c r="C154" s="28">
        <v>379.53570999999999</v>
      </c>
      <c r="D154" s="20">
        <f t="shared" si="43"/>
        <v>12.846395899510226</v>
      </c>
      <c r="E154" s="20">
        <f t="shared" si="44"/>
        <v>-6.538217921786428</v>
      </c>
      <c r="F154" s="20">
        <f t="shared" si="45"/>
        <v>-0.79722457733621965</v>
      </c>
      <c r="G154" s="20">
        <f t="shared" si="46"/>
        <v>-0.79722457733621965</v>
      </c>
      <c r="H154" s="20">
        <f t="shared" si="47"/>
        <v>-0.79722457733621965</v>
      </c>
      <c r="I154" s="17"/>
      <c r="J154" s="20">
        <f t="shared" si="48"/>
        <v>10.49545371557817</v>
      </c>
      <c r="K154" s="20">
        <f t="shared" si="49"/>
        <v>1.4449755220651912E-3</v>
      </c>
      <c r="L154" s="20">
        <f t="shared" si="50"/>
        <v>0.32541853814743105</v>
      </c>
      <c r="M154" s="20">
        <f t="shared" si="51"/>
        <v>0.32541853814743105</v>
      </c>
      <c r="N154" s="20">
        <f t="shared" si="52"/>
        <v>0.32541853814743105</v>
      </c>
      <c r="O154" s="17"/>
      <c r="P154" s="20">
        <f t="shared" si="53"/>
        <v>157.3453445348716</v>
      </c>
      <c r="Q154" s="20">
        <f t="shared" si="54"/>
        <v>215.2053690075561</v>
      </c>
      <c r="R154" s="20">
        <f t="shared" si="55"/>
        <v>0</v>
      </c>
      <c r="S154" s="20">
        <f t="shared" si="56"/>
        <v>0</v>
      </c>
      <c r="T154" s="20">
        <f t="shared" si="57"/>
        <v>0</v>
      </c>
      <c r="U154" s="17"/>
      <c r="V154" s="20">
        <f t="shared" si="58"/>
        <v>372.55071354242773</v>
      </c>
      <c r="W154" s="17"/>
      <c r="X154" s="20">
        <f t="shared" si="59"/>
        <v>48.79017551229709</v>
      </c>
      <c r="Y154" s="20">
        <f t="shared" si="60"/>
        <v>6.9849964575722652</v>
      </c>
      <c r="Z154" s="20"/>
      <c r="AA154" s="20">
        <f t="shared" si="61"/>
        <v>4.5651106016182616E-5</v>
      </c>
    </row>
    <row r="155" spans="2:27" x14ac:dyDescent="0.3">
      <c r="B155" s="28">
        <v>11.7</v>
      </c>
      <c r="C155" s="28">
        <v>361.78570999999999</v>
      </c>
      <c r="D155" s="20">
        <f t="shared" si="43"/>
        <v>12.921574079808885</v>
      </c>
      <c r="E155" s="20">
        <f t="shared" si="44"/>
        <v>-6.5331712994394691</v>
      </c>
      <c r="F155" s="20">
        <f t="shared" si="45"/>
        <v>-0.78611346622510858</v>
      </c>
      <c r="G155" s="20">
        <f t="shared" si="46"/>
        <v>-0.78611346622510858</v>
      </c>
      <c r="H155" s="20">
        <f t="shared" si="47"/>
        <v>-0.78611346622510858</v>
      </c>
      <c r="I155" s="17"/>
      <c r="J155" s="20">
        <f t="shared" si="48"/>
        <v>10.564111528059463</v>
      </c>
      <c r="K155" s="20">
        <f t="shared" si="49"/>
        <v>1.4522755976632397E-3</v>
      </c>
      <c r="L155" s="20">
        <f t="shared" si="50"/>
        <v>0.3281551865469986</v>
      </c>
      <c r="M155" s="20">
        <f t="shared" si="51"/>
        <v>0.3281551865469986</v>
      </c>
      <c r="N155" s="20">
        <f t="shared" si="52"/>
        <v>0.3281551865469986</v>
      </c>
      <c r="O155" s="17"/>
      <c r="P155" s="20">
        <f t="shared" si="53"/>
        <v>155.39462173554821</v>
      </c>
      <c r="Q155" s="20">
        <f t="shared" si="54"/>
        <v>214.12204690789272</v>
      </c>
      <c r="R155" s="20">
        <f t="shared" si="55"/>
        <v>0</v>
      </c>
      <c r="S155" s="20">
        <f t="shared" si="56"/>
        <v>0</v>
      </c>
      <c r="T155" s="20">
        <f t="shared" si="57"/>
        <v>0</v>
      </c>
      <c r="U155" s="17"/>
      <c r="V155" s="20">
        <f t="shared" si="58"/>
        <v>369.51666864344094</v>
      </c>
      <c r="W155" s="17"/>
      <c r="X155" s="20">
        <f t="shared" si="59"/>
        <v>59.767721546594217</v>
      </c>
      <c r="Y155" s="20">
        <f t="shared" si="60"/>
        <v>7.7309586434409425</v>
      </c>
      <c r="Z155" s="20"/>
      <c r="AA155" s="20">
        <f t="shared" si="61"/>
        <v>5.052641254468303E-5</v>
      </c>
    </row>
    <row r="156" spans="2:27" x14ac:dyDescent="0.3">
      <c r="B156" s="28">
        <v>11.8</v>
      </c>
      <c r="C156" s="28">
        <v>394.78570999999999</v>
      </c>
      <c r="D156" s="20">
        <f t="shared" si="43"/>
        <v>12.996752260107545</v>
      </c>
      <c r="E156" s="20">
        <f t="shared" si="44"/>
        <v>-6.5281246770925101</v>
      </c>
      <c r="F156" s="20">
        <f t="shared" si="45"/>
        <v>-0.77500235511399707</v>
      </c>
      <c r="G156" s="20">
        <f t="shared" si="46"/>
        <v>-0.77500235511399707</v>
      </c>
      <c r="H156" s="20">
        <f t="shared" si="47"/>
        <v>-0.77500235511399707</v>
      </c>
      <c r="I156" s="17"/>
      <c r="J156" s="20">
        <f t="shared" si="48"/>
        <v>10.632807949356916</v>
      </c>
      <c r="K156" s="20">
        <f t="shared" si="49"/>
        <v>1.4596124997901336E-3</v>
      </c>
      <c r="L156" s="20">
        <f t="shared" si="50"/>
        <v>0.33090912699249025</v>
      </c>
      <c r="M156" s="20">
        <f t="shared" si="51"/>
        <v>0.33090912699249025</v>
      </c>
      <c r="N156" s="20">
        <f t="shared" si="52"/>
        <v>0.33090912699249025</v>
      </c>
      <c r="O156" s="17"/>
      <c r="P156" s="20">
        <f t="shared" si="53"/>
        <v>153.47890948867803</v>
      </c>
      <c r="Q156" s="20">
        <f t="shared" si="54"/>
        <v>213.04417816505816</v>
      </c>
      <c r="R156" s="20">
        <f t="shared" si="55"/>
        <v>0</v>
      </c>
      <c r="S156" s="20">
        <f t="shared" si="56"/>
        <v>0</v>
      </c>
      <c r="T156" s="20">
        <f t="shared" si="57"/>
        <v>0</v>
      </c>
      <c r="U156" s="17"/>
      <c r="V156" s="20">
        <f t="shared" si="58"/>
        <v>366.52308765373618</v>
      </c>
      <c r="W156" s="17"/>
      <c r="X156" s="20">
        <f t="shared" si="59"/>
        <v>798.77582188753047</v>
      </c>
      <c r="Y156" s="20">
        <f t="shared" si="60"/>
        <v>28.262622346263811</v>
      </c>
      <c r="Z156" s="20"/>
      <c r="AA156" s="20">
        <f t="shared" si="61"/>
        <v>1.8471304557727083E-4</v>
      </c>
    </row>
    <row r="157" spans="2:27" x14ac:dyDescent="0.3">
      <c r="B157" s="28">
        <v>11.9</v>
      </c>
      <c r="C157" s="28">
        <v>364.03570999999999</v>
      </c>
      <c r="D157" s="20">
        <f t="shared" si="43"/>
        <v>13.071930440406204</v>
      </c>
      <c r="E157" s="20">
        <f t="shared" si="44"/>
        <v>-6.5230780547455502</v>
      </c>
      <c r="F157" s="20">
        <f t="shared" si="45"/>
        <v>-0.76389124400288599</v>
      </c>
      <c r="G157" s="20">
        <f t="shared" si="46"/>
        <v>-0.76389124400288599</v>
      </c>
      <c r="H157" s="20">
        <f t="shared" si="47"/>
        <v>-0.76389124400288599</v>
      </c>
      <c r="I157" s="17"/>
      <c r="J157" s="20">
        <f t="shared" si="48"/>
        <v>10.701542546138358</v>
      </c>
      <c r="K157" s="20">
        <f t="shared" si="49"/>
        <v>1.4669864136801587E-3</v>
      </c>
      <c r="L157" s="20">
        <f t="shared" si="50"/>
        <v>0.33368039658182935</v>
      </c>
      <c r="M157" s="20">
        <f t="shared" si="51"/>
        <v>0.33368039658182935</v>
      </c>
      <c r="N157" s="20">
        <f t="shared" si="52"/>
        <v>0.33368039658182935</v>
      </c>
      <c r="O157" s="17"/>
      <c r="P157" s="20">
        <f t="shared" si="53"/>
        <v>151.59739345814759</v>
      </c>
      <c r="Q157" s="20">
        <f t="shared" si="54"/>
        <v>211.97173532740413</v>
      </c>
      <c r="R157" s="20">
        <f t="shared" si="55"/>
        <v>0</v>
      </c>
      <c r="S157" s="20">
        <f t="shared" si="56"/>
        <v>0</v>
      </c>
      <c r="T157" s="20">
        <f t="shared" si="57"/>
        <v>0</v>
      </c>
      <c r="U157" s="17"/>
      <c r="V157" s="20">
        <f t="shared" si="58"/>
        <v>363.5691287855517</v>
      </c>
      <c r="W157" s="17"/>
      <c r="X157" s="20">
        <f t="shared" si="59"/>
        <v>0.21769802967604773</v>
      </c>
      <c r="Y157" s="20">
        <f t="shared" si="60"/>
        <v>0.46658121444829703</v>
      </c>
      <c r="Z157" s="20"/>
      <c r="AA157" s="20">
        <f t="shared" si="61"/>
        <v>3.0493857248628503E-6</v>
      </c>
    </row>
    <row r="158" spans="2:27" x14ac:dyDescent="0.3">
      <c r="B158" s="28">
        <v>12</v>
      </c>
      <c r="C158" s="28">
        <v>371.03570999999999</v>
      </c>
      <c r="D158" s="20">
        <f t="shared" si="43"/>
        <v>13.147108620704863</v>
      </c>
      <c r="E158" s="20">
        <f t="shared" si="44"/>
        <v>-6.5180314323985913</v>
      </c>
      <c r="F158" s="20">
        <f t="shared" si="45"/>
        <v>-0.75278013289177492</v>
      </c>
      <c r="G158" s="20">
        <f t="shared" si="46"/>
        <v>-0.75278013289177492</v>
      </c>
      <c r="H158" s="20">
        <f t="shared" si="47"/>
        <v>-0.75278013289177492</v>
      </c>
      <c r="I158" s="17"/>
      <c r="J158" s="20">
        <f t="shared" si="48"/>
        <v>10.770314892074095</v>
      </c>
      <c r="K158" s="20">
        <f t="shared" si="49"/>
        <v>1.4743975254938144E-3</v>
      </c>
      <c r="L158" s="20">
        <f t="shared" si="50"/>
        <v>0.33646903173773085</v>
      </c>
      <c r="M158" s="20">
        <f t="shared" si="51"/>
        <v>0.33646903173773085</v>
      </c>
      <c r="N158" s="20">
        <f t="shared" si="52"/>
        <v>0.33646903173773085</v>
      </c>
      <c r="O158" s="17"/>
      <c r="P158" s="20">
        <f t="shared" si="53"/>
        <v>149.74928241715079</v>
      </c>
      <c r="Q158" s="20">
        <f t="shared" si="54"/>
        <v>210.90469108147227</v>
      </c>
      <c r="R158" s="20">
        <f t="shared" si="55"/>
        <v>0</v>
      </c>
      <c r="S158" s="20">
        <f t="shared" si="56"/>
        <v>0</v>
      </c>
      <c r="T158" s="20">
        <f t="shared" si="57"/>
        <v>0</v>
      </c>
      <c r="U158" s="17"/>
      <c r="V158" s="20">
        <f t="shared" si="58"/>
        <v>360.65397349862303</v>
      </c>
      <c r="W158" s="17"/>
      <c r="X158" s="20">
        <f t="shared" si="59"/>
        <v>107.78045278402278</v>
      </c>
      <c r="Y158" s="20">
        <f t="shared" si="60"/>
        <v>10.381736501376963</v>
      </c>
      <c r="Z158" s="20"/>
      <c r="AA158" s="20">
        <f t="shared" si="61"/>
        <v>6.7850822335442724E-5</v>
      </c>
    </row>
    <row r="159" spans="2:27" x14ac:dyDescent="0.3">
      <c r="B159" s="28">
        <v>12.1</v>
      </c>
      <c r="C159" s="28">
        <v>347.28570999999999</v>
      </c>
      <c r="D159" s="20">
        <f t="shared" si="43"/>
        <v>13.222286801003523</v>
      </c>
      <c r="E159" s="20">
        <f t="shared" si="44"/>
        <v>-6.5129848100516323</v>
      </c>
      <c r="F159" s="20">
        <f t="shared" si="45"/>
        <v>-0.74166902178066407</v>
      </c>
      <c r="G159" s="20">
        <f t="shared" si="46"/>
        <v>-0.74166902178066407</v>
      </c>
      <c r="H159" s="20">
        <f t="shared" si="47"/>
        <v>-0.74166902178066407</v>
      </c>
      <c r="I159" s="17"/>
      <c r="J159" s="20">
        <f t="shared" si="48"/>
        <v>10.839124567691313</v>
      </c>
      <c r="K159" s="20">
        <f t="shared" si="49"/>
        <v>1.4818460223223978E-3</v>
      </c>
      <c r="L159" s="20">
        <f t="shared" si="50"/>
        <v>0.33927506820435333</v>
      </c>
      <c r="M159" s="20">
        <f t="shared" si="51"/>
        <v>0.33927506820435333</v>
      </c>
      <c r="N159" s="20">
        <f t="shared" si="52"/>
        <v>0.33927506820435333</v>
      </c>
      <c r="O159" s="17"/>
      <c r="P159" s="20">
        <f t="shared" si="53"/>
        <v>147.93380747800873</v>
      </c>
      <c r="Q159" s="20">
        <f t="shared" si="54"/>
        <v>209.84301825129739</v>
      </c>
      <c r="R159" s="20">
        <f t="shared" si="55"/>
        <v>0</v>
      </c>
      <c r="S159" s="20">
        <f t="shared" si="56"/>
        <v>0</v>
      </c>
      <c r="T159" s="20">
        <f t="shared" si="57"/>
        <v>0</v>
      </c>
      <c r="U159" s="17"/>
      <c r="V159" s="20">
        <f t="shared" si="58"/>
        <v>357.7768257293061</v>
      </c>
      <c r="W159" s="17"/>
      <c r="X159" s="20">
        <f t="shared" si="59"/>
        <v>110.06350924569391</v>
      </c>
      <c r="Y159" s="20">
        <f t="shared" si="60"/>
        <v>10.491115729306102</v>
      </c>
      <c r="Z159" s="20"/>
      <c r="AA159" s="20">
        <f t="shared" si="61"/>
        <v>6.8565680640739101E-5</v>
      </c>
    </row>
    <row r="160" spans="2:27" x14ac:dyDescent="0.3">
      <c r="B160" s="28">
        <v>12.2</v>
      </c>
      <c r="C160" s="28">
        <v>354.53570999999999</v>
      </c>
      <c r="D160" s="20">
        <f t="shared" si="43"/>
        <v>13.297464981302182</v>
      </c>
      <c r="E160" s="20">
        <f t="shared" si="44"/>
        <v>-6.5079381877046734</v>
      </c>
      <c r="F160" s="20">
        <f t="shared" si="45"/>
        <v>-0.730557910669553</v>
      </c>
      <c r="G160" s="20">
        <f t="shared" si="46"/>
        <v>-0.730557910669553</v>
      </c>
      <c r="H160" s="20">
        <f t="shared" si="47"/>
        <v>-0.730557910669553</v>
      </c>
      <c r="I160" s="17"/>
      <c r="J160" s="20">
        <f t="shared" si="48"/>
        <v>10.907971160232115</v>
      </c>
      <c r="K160" s="20">
        <f t="shared" si="49"/>
        <v>1.489332092192595E-3</v>
      </c>
      <c r="L160" s="20">
        <f t="shared" si="50"/>
        <v>0.34209854104408799</v>
      </c>
      <c r="M160" s="20">
        <f t="shared" si="51"/>
        <v>0.34209854104408799</v>
      </c>
      <c r="N160" s="20">
        <f t="shared" si="52"/>
        <v>0.34209854104408799</v>
      </c>
      <c r="O160" s="17"/>
      <c r="P160" s="20">
        <f t="shared" si="53"/>
        <v>146.15022135135263</v>
      </c>
      <c r="Q160" s="20">
        <f t="shared" si="54"/>
        <v>208.78668979771626</v>
      </c>
      <c r="R160" s="20">
        <f t="shared" si="55"/>
        <v>0</v>
      </c>
      <c r="S160" s="20">
        <f t="shared" si="56"/>
        <v>0</v>
      </c>
      <c r="T160" s="20">
        <f t="shared" si="57"/>
        <v>0</v>
      </c>
      <c r="U160" s="17"/>
      <c r="V160" s="20">
        <f t="shared" si="58"/>
        <v>354.93691114906892</v>
      </c>
      <c r="W160" s="17"/>
      <c r="X160" s="20">
        <f t="shared" si="59"/>
        <v>0.16096236201422554</v>
      </c>
      <c r="Y160" s="20">
        <f t="shared" si="60"/>
        <v>0.40120114906892468</v>
      </c>
      <c r="Z160" s="20"/>
      <c r="AA160" s="20">
        <f t="shared" si="61"/>
        <v>2.6220881143188869E-6</v>
      </c>
    </row>
    <row r="161" spans="2:27" x14ac:dyDescent="0.3">
      <c r="B161" s="28">
        <v>12.3</v>
      </c>
      <c r="C161" s="28">
        <v>345.03570999999999</v>
      </c>
      <c r="D161" s="20">
        <f t="shared" si="43"/>
        <v>13.372643161600843</v>
      </c>
      <c r="E161" s="20">
        <f t="shared" si="44"/>
        <v>-6.5028915653577135</v>
      </c>
      <c r="F161" s="20">
        <f t="shared" si="45"/>
        <v>-0.71944679955844149</v>
      </c>
      <c r="G161" s="20">
        <f t="shared" si="46"/>
        <v>-0.71944679955844149</v>
      </c>
      <c r="H161" s="20">
        <f t="shared" si="47"/>
        <v>-0.71944679955844149</v>
      </c>
      <c r="I161" s="17"/>
      <c r="J161" s="20">
        <f t="shared" si="48"/>
        <v>10.976854263515166</v>
      </c>
      <c r="K161" s="20">
        <f t="shared" si="49"/>
        <v>1.4968559240711057E-3</v>
      </c>
      <c r="L161" s="20">
        <f t="shared" si="50"/>
        <v>0.34493948463448443</v>
      </c>
      <c r="M161" s="20">
        <f t="shared" si="51"/>
        <v>0.34493948463448443</v>
      </c>
      <c r="N161" s="20">
        <f t="shared" si="52"/>
        <v>0.34493948463448443</v>
      </c>
      <c r="O161" s="17"/>
      <c r="P161" s="20">
        <f t="shared" si="53"/>
        <v>144.39779763341261</v>
      </c>
      <c r="Q161" s="20">
        <f t="shared" si="54"/>
        <v>207.73567881767832</v>
      </c>
      <c r="R161" s="20">
        <f t="shared" si="55"/>
        <v>0</v>
      </c>
      <c r="S161" s="20">
        <f t="shared" si="56"/>
        <v>0</v>
      </c>
      <c r="T161" s="20">
        <f t="shared" si="57"/>
        <v>0</v>
      </c>
      <c r="U161" s="17"/>
      <c r="V161" s="20">
        <f t="shared" si="58"/>
        <v>352.13347645109093</v>
      </c>
      <c r="W161" s="17"/>
      <c r="X161" s="20">
        <f t="shared" si="59"/>
        <v>50.378288594231982</v>
      </c>
      <c r="Y161" s="20">
        <f t="shared" si="60"/>
        <v>7.0977664510909335</v>
      </c>
      <c r="Z161" s="20"/>
      <c r="AA161" s="20">
        <f t="shared" si="61"/>
        <v>4.6388124991186398E-5</v>
      </c>
    </row>
    <row r="162" spans="2:27" x14ac:dyDescent="0.3">
      <c r="B162" s="28">
        <v>12.4</v>
      </c>
      <c r="C162" s="28">
        <v>356.53570999999999</v>
      </c>
      <c r="D162" s="20">
        <f t="shared" si="43"/>
        <v>13.447821341899502</v>
      </c>
      <c r="E162" s="20">
        <f t="shared" si="44"/>
        <v>-6.4978449430107545</v>
      </c>
      <c r="F162" s="20">
        <f t="shared" si="45"/>
        <v>-0.70833568844733041</v>
      </c>
      <c r="G162" s="20">
        <f t="shared" si="46"/>
        <v>-0.70833568844733041</v>
      </c>
      <c r="H162" s="20">
        <f t="shared" si="47"/>
        <v>-0.70833568844733041</v>
      </c>
      <c r="I162" s="17"/>
      <c r="J162" s="20">
        <f t="shared" si="48"/>
        <v>11.045773477800731</v>
      </c>
      <c r="K162" s="20">
        <f t="shared" si="49"/>
        <v>1.5044177078692774E-3</v>
      </c>
      <c r="L162" s="20">
        <f t="shared" si="50"/>
        <v>0.34779793266531411</v>
      </c>
      <c r="M162" s="20">
        <f t="shared" si="51"/>
        <v>0.34779793266531411</v>
      </c>
      <c r="N162" s="20">
        <f t="shared" si="52"/>
        <v>0.34779793266531411</v>
      </c>
      <c r="O162" s="17"/>
      <c r="P162" s="20">
        <f t="shared" si="53"/>
        <v>142.67583012021768</v>
      </c>
      <c r="Q162" s="20">
        <f t="shared" si="54"/>
        <v>206.68995854356149</v>
      </c>
      <c r="R162" s="20">
        <f t="shared" si="55"/>
        <v>0</v>
      </c>
      <c r="S162" s="20">
        <f t="shared" si="56"/>
        <v>0</v>
      </c>
      <c r="T162" s="20">
        <f t="shared" si="57"/>
        <v>0</v>
      </c>
      <c r="U162" s="17"/>
      <c r="V162" s="20">
        <f t="shared" si="58"/>
        <v>349.3657886637792</v>
      </c>
      <c r="W162" s="17"/>
      <c r="X162" s="20">
        <f t="shared" si="59"/>
        <v>51.407771967594201</v>
      </c>
      <c r="Y162" s="20">
        <f t="shared" si="60"/>
        <v>7.1699213362207956</v>
      </c>
      <c r="Z162" s="20"/>
      <c r="AA162" s="20">
        <f t="shared" si="61"/>
        <v>4.6859700077967995E-5</v>
      </c>
    </row>
    <row r="163" spans="2:27" x14ac:dyDescent="0.3">
      <c r="B163" s="28">
        <v>12.5</v>
      </c>
      <c r="C163" s="28">
        <v>342.03570999999999</v>
      </c>
      <c r="D163" s="20">
        <f t="shared" si="43"/>
        <v>13.522999522198162</v>
      </c>
      <c r="E163" s="20">
        <f t="shared" si="44"/>
        <v>-6.4927983206637956</v>
      </c>
      <c r="F163" s="20">
        <f t="shared" si="45"/>
        <v>-0.69722457733621956</v>
      </c>
      <c r="G163" s="20">
        <f t="shared" si="46"/>
        <v>-0.69722457733621956</v>
      </c>
      <c r="H163" s="20">
        <f t="shared" si="47"/>
        <v>-0.69722457733621956</v>
      </c>
      <c r="I163" s="17"/>
      <c r="J163" s="20">
        <f t="shared" si="48"/>
        <v>11.11472840965911</v>
      </c>
      <c r="K163" s="20">
        <f t="shared" si="49"/>
        <v>1.5120176344477819E-3</v>
      </c>
      <c r="L163" s="20">
        <f t="shared" si="50"/>
        <v>0.3506739181357727</v>
      </c>
      <c r="M163" s="20">
        <f t="shared" si="51"/>
        <v>0.3506739181357727</v>
      </c>
      <c r="N163" s="20">
        <f t="shared" si="52"/>
        <v>0.3506739181357727</v>
      </c>
      <c r="O163" s="17"/>
      <c r="P163" s="20">
        <f t="shared" si="53"/>
        <v>140.98363214756381</v>
      </c>
      <c r="Q163" s="20">
        <f t="shared" si="54"/>
        <v>205.64950234248897</v>
      </c>
      <c r="R163" s="20">
        <f t="shared" si="55"/>
        <v>0</v>
      </c>
      <c r="S163" s="20">
        <f t="shared" si="56"/>
        <v>0</v>
      </c>
      <c r="T163" s="20">
        <f t="shared" si="57"/>
        <v>0</v>
      </c>
      <c r="U163" s="17"/>
      <c r="V163" s="20">
        <f t="shared" si="58"/>
        <v>346.63313449005278</v>
      </c>
      <c r="W163" s="17"/>
      <c r="X163" s="20">
        <f t="shared" si="59"/>
        <v>21.136311941737137</v>
      </c>
      <c r="Y163" s="20">
        <f t="shared" si="60"/>
        <v>4.5974244900527879</v>
      </c>
      <c r="Z163" s="20"/>
      <c r="AA163" s="20">
        <f t="shared" si="61"/>
        <v>3.00469032549431E-5</v>
      </c>
    </row>
    <row r="164" spans="2:27" x14ac:dyDescent="0.3">
      <c r="B164" s="28">
        <v>12.6</v>
      </c>
      <c r="C164" s="28">
        <v>348.28570999999999</v>
      </c>
      <c r="D164" s="20">
        <f t="shared" si="43"/>
        <v>13.598177702496821</v>
      </c>
      <c r="E164" s="20">
        <f t="shared" si="44"/>
        <v>-6.4877516983168366</v>
      </c>
      <c r="F164" s="20">
        <f t="shared" si="45"/>
        <v>-0.68611346622510849</v>
      </c>
      <c r="G164" s="20">
        <f t="shared" si="46"/>
        <v>-0.68611346622510849</v>
      </c>
      <c r="H164" s="20">
        <f t="shared" si="47"/>
        <v>-0.68611346622510849</v>
      </c>
      <c r="I164" s="17"/>
      <c r="J164" s="20">
        <f t="shared" si="48"/>
        <v>11.183718671842287</v>
      </c>
      <c r="K164" s="20">
        <f t="shared" si="49"/>
        <v>1.5196558956212924E-3</v>
      </c>
      <c r="L164" s="20">
        <f t="shared" si="50"/>
        <v>0.35356747335182037</v>
      </c>
      <c r="M164" s="20">
        <f t="shared" si="51"/>
        <v>0.35356747335182037</v>
      </c>
      <c r="N164" s="20">
        <f t="shared" si="52"/>
        <v>0.35356747335182037</v>
      </c>
      <c r="O164" s="17"/>
      <c r="P164" s="20">
        <f t="shared" si="53"/>
        <v>139.32053595566626</v>
      </c>
      <c r="Q164" s="20">
        <f t="shared" si="54"/>
        <v>204.61428371565225</v>
      </c>
      <c r="R164" s="20">
        <f t="shared" si="55"/>
        <v>0</v>
      </c>
      <c r="S164" s="20">
        <f t="shared" si="56"/>
        <v>0</v>
      </c>
      <c r="T164" s="20">
        <f t="shared" si="57"/>
        <v>0</v>
      </c>
      <c r="U164" s="17"/>
      <c r="V164" s="20">
        <f t="shared" si="58"/>
        <v>343.93481967131851</v>
      </c>
      <c r="W164" s="17"/>
      <c r="X164" s="20">
        <f t="shared" si="59"/>
        <v>18.930246652214098</v>
      </c>
      <c r="Y164" s="20">
        <f t="shared" si="60"/>
        <v>4.3508903286814871</v>
      </c>
      <c r="Z164" s="20"/>
      <c r="AA164" s="20">
        <f t="shared" si="61"/>
        <v>2.8435655889860884E-5</v>
      </c>
    </row>
    <row r="165" spans="2:27" x14ac:dyDescent="0.3">
      <c r="B165" s="28">
        <v>12.7</v>
      </c>
      <c r="C165" s="28">
        <v>343.78570999999999</v>
      </c>
      <c r="D165" s="20">
        <f t="shared" si="43"/>
        <v>13.67335588279548</v>
      </c>
      <c r="E165" s="20">
        <f t="shared" si="44"/>
        <v>-6.4827050759698777</v>
      </c>
      <c r="F165" s="20">
        <f t="shared" si="45"/>
        <v>-0.6750023551139972</v>
      </c>
      <c r="G165" s="20">
        <f t="shared" si="46"/>
        <v>-0.6750023551139972</v>
      </c>
      <c r="H165" s="20">
        <f t="shared" si="47"/>
        <v>-0.6750023551139972</v>
      </c>
      <c r="I165" s="17"/>
      <c r="J165" s="20">
        <f t="shared" si="48"/>
        <v>11.252743883158773</v>
      </c>
      <c r="K165" s="20">
        <f t="shared" si="49"/>
        <v>1.5273326841631987E-3</v>
      </c>
      <c r="L165" s="20">
        <f t="shared" si="50"/>
        <v>0.35647862992366131</v>
      </c>
      <c r="M165" s="20">
        <f t="shared" si="51"/>
        <v>0.35647862992366131</v>
      </c>
      <c r="N165" s="20">
        <f t="shared" si="52"/>
        <v>0.35647862992366131</v>
      </c>
      <c r="O165" s="17"/>
      <c r="P165" s="20">
        <f t="shared" si="53"/>
        <v>137.68589207745717</v>
      </c>
      <c r="Q165" s="20">
        <f t="shared" si="54"/>
        <v>203.58427629763545</v>
      </c>
      <c r="R165" s="20">
        <f t="shared" si="55"/>
        <v>0</v>
      </c>
      <c r="S165" s="20">
        <f t="shared" si="56"/>
        <v>0</v>
      </c>
      <c r="T165" s="20">
        <f t="shared" si="57"/>
        <v>0</v>
      </c>
      <c r="U165" s="17"/>
      <c r="V165" s="20">
        <f t="shared" si="58"/>
        <v>341.27016837509262</v>
      </c>
      <c r="W165" s="17"/>
      <c r="X165" s="20">
        <f t="shared" si="59"/>
        <v>6.327949666641616</v>
      </c>
      <c r="Y165" s="20">
        <f t="shared" si="60"/>
        <v>2.515541624907371</v>
      </c>
      <c r="Z165" s="20"/>
      <c r="AA165" s="20">
        <f t="shared" si="61"/>
        <v>1.6440560579279091E-5</v>
      </c>
    </row>
    <row r="166" spans="2:27" x14ac:dyDescent="0.3">
      <c r="B166" s="28">
        <v>12.8</v>
      </c>
      <c r="C166" s="28">
        <v>337.53570999999999</v>
      </c>
      <c r="D166" s="20">
        <f t="shared" si="43"/>
        <v>13.748534063094141</v>
      </c>
      <c r="E166" s="20">
        <f t="shared" si="44"/>
        <v>-6.4776584536229178</v>
      </c>
      <c r="F166" s="20">
        <f t="shared" si="45"/>
        <v>-0.66389124400288591</v>
      </c>
      <c r="G166" s="20">
        <f t="shared" si="46"/>
        <v>-0.66389124400288591</v>
      </c>
      <c r="H166" s="20">
        <f t="shared" si="47"/>
        <v>-0.66389124400288591</v>
      </c>
      <c r="I166" s="17"/>
      <c r="J166" s="20">
        <f t="shared" si="48"/>
        <v>11.321803668351496</v>
      </c>
      <c r="K166" s="20">
        <f t="shared" si="49"/>
        <v>1.5350481938103367E-3</v>
      </c>
      <c r="L166" s="20">
        <f t="shared" si="50"/>
        <v>0.35940741876336302</v>
      </c>
      <c r="M166" s="20">
        <f t="shared" si="51"/>
        <v>0.35940741876336302</v>
      </c>
      <c r="N166" s="20">
        <f t="shared" si="52"/>
        <v>0.35940741876336302</v>
      </c>
      <c r="O166" s="17"/>
      <c r="P166" s="20">
        <f t="shared" si="53"/>
        <v>136.07906874954193</v>
      </c>
      <c r="Q166" s="20">
        <f t="shared" si="54"/>
        <v>202.55945385574415</v>
      </c>
      <c r="R166" s="20">
        <f t="shared" si="55"/>
        <v>0</v>
      </c>
      <c r="S166" s="20">
        <f t="shared" si="56"/>
        <v>0</v>
      </c>
      <c r="T166" s="20">
        <f t="shared" si="57"/>
        <v>0</v>
      </c>
      <c r="U166" s="17"/>
      <c r="V166" s="20">
        <f t="shared" si="58"/>
        <v>338.63852260528608</v>
      </c>
      <c r="W166" s="17"/>
      <c r="X166" s="20">
        <f t="shared" si="59"/>
        <v>1.216195642377893</v>
      </c>
      <c r="Y166" s="20">
        <f t="shared" si="60"/>
        <v>1.1028126052860898</v>
      </c>
      <c r="Z166" s="20"/>
      <c r="AA166" s="20">
        <f t="shared" si="61"/>
        <v>7.2075362479705286E-6</v>
      </c>
    </row>
    <row r="167" spans="2:27" x14ac:dyDescent="0.3">
      <c r="B167" s="28">
        <v>12.9</v>
      </c>
      <c r="C167" s="28">
        <v>337.03570999999999</v>
      </c>
      <c r="D167" s="20">
        <f t="shared" si="43"/>
        <v>13.823712243392801</v>
      </c>
      <c r="E167" s="20">
        <f t="shared" si="44"/>
        <v>-6.4726118312759588</v>
      </c>
      <c r="F167" s="20">
        <f t="shared" si="45"/>
        <v>-0.65278013289177506</v>
      </c>
      <c r="G167" s="20">
        <f t="shared" si="46"/>
        <v>-0.65278013289177506</v>
      </c>
      <c r="H167" s="20">
        <f t="shared" si="47"/>
        <v>-0.65278013289177506</v>
      </c>
      <c r="I167" s="17"/>
      <c r="J167" s="20">
        <f t="shared" si="48"/>
        <v>11.390897657978677</v>
      </c>
      <c r="K167" s="20">
        <f t="shared" si="49"/>
        <v>1.5428026192677426E-3</v>
      </c>
      <c r="L167" s="20">
        <f t="shared" si="50"/>
        <v>0.36235387008261477</v>
      </c>
      <c r="M167" s="20">
        <f t="shared" si="51"/>
        <v>0.36235387008261477</v>
      </c>
      <c r="N167" s="20">
        <f t="shared" si="52"/>
        <v>0.36235387008261477</v>
      </c>
      <c r="O167" s="17"/>
      <c r="P167" s="20">
        <f t="shared" si="53"/>
        <v>134.49945134487186</v>
      </c>
      <c r="Q167" s="20">
        <f t="shared" si="54"/>
        <v>201.5397902893375</v>
      </c>
      <c r="R167" s="20">
        <f t="shared" si="55"/>
        <v>0</v>
      </c>
      <c r="S167" s="20">
        <f t="shared" si="56"/>
        <v>0</v>
      </c>
      <c r="T167" s="20">
        <f t="shared" si="57"/>
        <v>0</v>
      </c>
      <c r="U167" s="17"/>
      <c r="V167" s="20">
        <f t="shared" si="58"/>
        <v>336.03924163420936</v>
      </c>
      <c r="W167" s="17"/>
      <c r="X167" s="20">
        <f t="shared" si="59"/>
        <v>0.9929492040214557</v>
      </c>
      <c r="Y167" s="20">
        <f t="shared" si="60"/>
        <v>0.99646836579063347</v>
      </c>
      <c r="Z167" s="20"/>
      <c r="AA167" s="20">
        <f t="shared" si="61"/>
        <v>6.5125133970778136E-6</v>
      </c>
    </row>
    <row r="168" spans="2:27" x14ac:dyDescent="0.3">
      <c r="B168" s="28">
        <v>13</v>
      </c>
      <c r="C168" s="28">
        <v>320.53570999999999</v>
      </c>
      <c r="D168" s="20">
        <f t="shared" si="43"/>
        <v>13.89889042369146</v>
      </c>
      <c r="E168" s="20">
        <f t="shared" si="44"/>
        <v>-6.4675652089289999</v>
      </c>
      <c r="F168" s="20">
        <f t="shared" si="45"/>
        <v>-0.64166902178066398</v>
      </c>
      <c r="G168" s="20">
        <f t="shared" si="46"/>
        <v>-0.64166902178066398</v>
      </c>
      <c r="H168" s="20">
        <f t="shared" si="47"/>
        <v>-0.64166902178066398</v>
      </c>
      <c r="I168" s="17"/>
      <c r="J168" s="20">
        <f t="shared" si="48"/>
        <v>11.460025488297601</v>
      </c>
      <c r="K168" s="20">
        <f t="shared" si="49"/>
        <v>1.5505961562134341E-3</v>
      </c>
      <c r="L168" s="20">
        <f t="shared" si="50"/>
        <v>0.36531801339062692</v>
      </c>
      <c r="M168" s="20">
        <f t="shared" si="51"/>
        <v>0.36531801339062692</v>
      </c>
      <c r="N168" s="20">
        <f t="shared" si="52"/>
        <v>0.36531801339062692</v>
      </c>
      <c r="O168" s="17"/>
      <c r="P168" s="20">
        <f t="shared" si="53"/>
        <v>132.94644182623333</v>
      </c>
      <c r="Q168" s="20">
        <f t="shared" si="54"/>
        <v>200.52525962916295</v>
      </c>
      <c r="R168" s="20">
        <f t="shared" si="55"/>
        <v>0</v>
      </c>
      <c r="S168" s="20">
        <f t="shared" si="56"/>
        <v>0</v>
      </c>
      <c r="T168" s="20">
        <f t="shared" si="57"/>
        <v>0</v>
      </c>
      <c r="U168" s="17"/>
      <c r="V168" s="20">
        <f t="shared" si="58"/>
        <v>333.47170145539627</v>
      </c>
      <c r="W168" s="17"/>
      <c r="X168" s="20">
        <f t="shared" si="59"/>
        <v>167.33987493408549</v>
      </c>
      <c r="Y168" s="20">
        <f t="shared" si="60"/>
        <v>12.935991455396277</v>
      </c>
      <c r="Z168" s="20"/>
      <c r="AA168" s="20">
        <f t="shared" si="61"/>
        <v>8.4544397544330214E-5</v>
      </c>
    </row>
    <row r="169" spans="2:27" x14ac:dyDescent="0.3">
      <c r="B169" s="28">
        <v>13.1</v>
      </c>
      <c r="C169" s="28">
        <v>352.53570999999999</v>
      </c>
      <c r="D169" s="20">
        <f t="shared" si="43"/>
        <v>13.974068603990119</v>
      </c>
      <c r="E169" s="20">
        <f t="shared" si="44"/>
        <v>-6.4625185865820409</v>
      </c>
      <c r="F169" s="20">
        <f t="shared" si="45"/>
        <v>-0.63055791066955291</v>
      </c>
      <c r="G169" s="20">
        <f t="shared" si="46"/>
        <v>-0.63055791066955291</v>
      </c>
      <c r="H169" s="20">
        <f t="shared" si="47"/>
        <v>-0.63055791066955291</v>
      </c>
      <c r="I169" s="17"/>
      <c r="J169" s="20">
        <f t="shared" si="48"/>
        <v>11.529186801151228</v>
      </c>
      <c r="K169" s="20">
        <f t="shared" si="49"/>
        <v>1.5584290013032093E-3</v>
      </c>
      <c r="L169" s="20">
        <f t="shared" si="50"/>
        <v>0.3682998774921688</v>
      </c>
      <c r="M169" s="20">
        <f t="shared" si="51"/>
        <v>0.3682998774921688</v>
      </c>
      <c r="N169" s="20">
        <f t="shared" si="52"/>
        <v>0.3682998774921688</v>
      </c>
      <c r="O169" s="17"/>
      <c r="P169" s="20">
        <f t="shared" si="53"/>
        <v>131.41945821969563</v>
      </c>
      <c r="Q169" s="20">
        <f t="shared" si="54"/>
        <v>199.51583603669513</v>
      </c>
      <c r="R169" s="20">
        <f t="shared" si="55"/>
        <v>0</v>
      </c>
      <c r="S169" s="20">
        <f t="shared" si="56"/>
        <v>0</v>
      </c>
      <c r="T169" s="20">
        <f t="shared" si="57"/>
        <v>0</v>
      </c>
      <c r="U169" s="17"/>
      <c r="V169" s="20">
        <f t="shared" si="58"/>
        <v>330.93529425639076</v>
      </c>
      <c r="W169" s="17"/>
      <c r="X169" s="20">
        <f t="shared" si="59"/>
        <v>466.5779602967616</v>
      </c>
      <c r="Y169" s="20">
        <f t="shared" si="60"/>
        <v>21.600415743609233</v>
      </c>
      <c r="Z169" s="20"/>
      <c r="AA169" s="20">
        <f t="shared" si="61"/>
        <v>1.4117156323481547E-4</v>
      </c>
    </row>
    <row r="170" spans="2:27" x14ac:dyDescent="0.3">
      <c r="B170" s="28">
        <v>13.2</v>
      </c>
      <c r="C170" s="28">
        <v>318.03570999999999</v>
      </c>
      <c r="D170" s="20">
        <f t="shared" si="43"/>
        <v>14.049246784288778</v>
      </c>
      <c r="E170" s="20">
        <f t="shared" si="44"/>
        <v>-6.4574719642350811</v>
      </c>
      <c r="F170" s="20">
        <f t="shared" si="45"/>
        <v>-0.61944679955844162</v>
      </c>
      <c r="G170" s="20">
        <f t="shared" si="46"/>
        <v>-0.61944679955844162</v>
      </c>
      <c r="H170" s="20">
        <f t="shared" si="47"/>
        <v>-0.61944679955844162</v>
      </c>
      <c r="I170" s="17"/>
      <c r="J170" s="20">
        <f t="shared" si="48"/>
        <v>11.598381243857498</v>
      </c>
      <c r="K170" s="20">
        <f t="shared" si="49"/>
        <v>1.5663013521754715E-3</v>
      </c>
      <c r="L170" s="20">
        <f t="shared" si="50"/>
        <v>0.37129949048574862</v>
      </c>
      <c r="M170" s="20">
        <f t="shared" si="51"/>
        <v>0.37129949048574862</v>
      </c>
      <c r="N170" s="20">
        <f t="shared" si="52"/>
        <v>0.37129949048574862</v>
      </c>
      <c r="O170" s="17"/>
      <c r="P170" s="20">
        <f t="shared" si="53"/>
        <v>129.91793410720001</v>
      </c>
      <c r="Q170" s="20">
        <f t="shared" si="54"/>
        <v>198.51149380347763</v>
      </c>
      <c r="R170" s="20">
        <f t="shared" si="55"/>
        <v>0</v>
      </c>
      <c r="S170" s="20">
        <f t="shared" si="56"/>
        <v>0</v>
      </c>
      <c r="T170" s="20">
        <f t="shared" si="57"/>
        <v>0</v>
      </c>
      <c r="U170" s="17"/>
      <c r="V170" s="20">
        <f t="shared" si="58"/>
        <v>328.42942791067765</v>
      </c>
      <c r="W170" s="17"/>
      <c r="X170" s="20">
        <f t="shared" si="59"/>
        <v>108.0293720067414</v>
      </c>
      <c r="Y170" s="20">
        <f t="shared" si="60"/>
        <v>10.393717910677651</v>
      </c>
      <c r="Z170" s="20"/>
      <c r="AA170" s="20">
        <f t="shared" si="61"/>
        <v>6.7929127970890252E-5</v>
      </c>
    </row>
    <row r="171" spans="2:27" x14ac:dyDescent="0.3">
      <c r="B171" s="28">
        <v>13.3</v>
      </c>
      <c r="C171" s="28">
        <v>319.53570999999999</v>
      </c>
      <c r="D171" s="20">
        <f t="shared" si="43"/>
        <v>14.124424964587439</v>
      </c>
      <c r="E171" s="20">
        <f t="shared" si="44"/>
        <v>-6.4524253418881221</v>
      </c>
      <c r="F171" s="20">
        <f t="shared" si="45"/>
        <v>-0.60833568844733055</v>
      </c>
      <c r="G171" s="20">
        <f t="shared" si="46"/>
        <v>-0.60833568844733055</v>
      </c>
      <c r="H171" s="20">
        <f t="shared" si="47"/>
        <v>-0.60833568844733055</v>
      </c>
      <c r="I171" s="17"/>
      <c r="J171" s="20">
        <f t="shared" si="48"/>
        <v>11.667608469101326</v>
      </c>
      <c r="K171" s="20">
        <f t="shared" si="49"/>
        <v>1.5742134074560722E-3</v>
      </c>
      <c r="L171" s="20">
        <f t="shared" si="50"/>
        <v>0.37431687976193145</v>
      </c>
      <c r="M171" s="20">
        <f t="shared" si="51"/>
        <v>0.37431687976193145</v>
      </c>
      <c r="N171" s="20">
        <f t="shared" si="52"/>
        <v>0.37431687976193145</v>
      </c>
      <c r="O171" s="17"/>
      <c r="P171" s="20">
        <f t="shared" si="53"/>
        <v>128.44131813750644</v>
      </c>
      <c r="Q171" s="20">
        <f t="shared" si="54"/>
        <v>197.51220735046888</v>
      </c>
      <c r="R171" s="20">
        <f t="shared" si="55"/>
        <v>0</v>
      </c>
      <c r="S171" s="20">
        <f t="shared" si="56"/>
        <v>0</v>
      </c>
      <c r="T171" s="20">
        <f t="shared" si="57"/>
        <v>0</v>
      </c>
      <c r="U171" s="17"/>
      <c r="V171" s="20">
        <f t="shared" si="58"/>
        <v>325.9535254879753</v>
      </c>
      <c r="W171" s="17"/>
      <c r="X171" s="20">
        <f t="shared" si="59"/>
        <v>41.188355637695686</v>
      </c>
      <c r="Y171" s="20">
        <f t="shared" si="60"/>
        <v>6.4178154879753038</v>
      </c>
      <c r="Z171" s="20"/>
      <c r="AA171" s="20">
        <f t="shared" si="61"/>
        <v>4.1944241062033247E-5</v>
      </c>
    </row>
    <row r="172" spans="2:27" x14ac:dyDescent="0.3">
      <c r="B172" s="28">
        <v>13.4</v>
      </c>
      <c r="C172" s="28">
        <v>333.78570999999999</v>
      </c>
      <c r="D172" s="20">
        <f t="shared" si="43"/>
        <v>14.199603144886099</v>
      </c>
      <c r="E172" s="20">
        <f t="shared" si="44"/>
        <v>-6.4473787195411632</v>
      </c>
      <c r="F172" s="20">
        <f t="shared" si="45"/>
        <v>-0.59722457733621948</v>
      </c>
      <c r="G172" s="20">
        <f t="shared" si="46"/>
        <v>-0.59722457733621948</v>
      </c>
      <c r="H172" s="20">
        <f t="shared" si="47"/>
        <v>-0.59722457733621948</v>
      </c>
      <c r="I172" s="17"/>
      <c r="J172" s="20">
        <f t="shared" si="48"/>
        <v>11.736868134829166</v>
      </c>
      <c r="K172" s="20">
        <f t="shared" si="49"/>
        <v>1.5821653667631877E-3</v>
      </c>
      <c r="L172" s="20">
        <f t="shared" si="50"/>
        <v>0.37735207200179982</v>
      </c>
      <c r="M172" s="20">
        <f t="shared" si="51"/>
        <v>0.37735207200179982</v>
      </c>
      <c r="N172" s="20">
        <f t="shared" si="52"/>
        <v>0.37735207200179982</v>
      </c>
      <c r="O172" s="17"/>
      <c r="P172" s="20">
        <f t="shared" si="53"/>
        <v>126.98907355475384</v>
      </c>
      <c r="Q172" s="20">
        <f t="shared" si="54"/>
        <v>196.51795122738972</v>
      </c>
      <c r="R172" s="20">
        <f t="shared" si="55"/>
        <v>0</v>
      </c>
      <c r="S172" s="20">
        <f t="shared" si="56"/>
        <v>0</v>
      </c>
      <c r="T172" s="20">
        <f t="shared" si="57"/>
        <v>0</v>
      </c>
      <c r="U172" s="17"/>
      <c r="V172" s="20">
        <f t="shared" si="58"/>
        <v>323.50702478214356</v>
      </c>
      <c r="W172" s="17"/>
      <c r="X172" s="20">
        <f t="shared" si="59"/>
        <v>105.65136980778038</v>
      </c>
      <c r="Y172" s="20">
        <f t="shared" si="60"/>
        <v>10.278685217856435</v>
      </c>
      <c r="Z172" s="20"/>
      <c r="AA172" s="20">
        <f t="shared" si="61"/>
        <v>6.7177320910255967E-5</v>
      </c>
    </row>
    <row r="173" spans="2:27" x14ac:dyDescent="0.3">
      <c r="B173" s="28">
        <v>13.5</v>
      </c>
      <c r="C173" s="28">
        <v>325.28570999999999</v>
      </c>
      <c r="D173" s="20">
        <f t="shared" si="43"/>
        <v>14.274781325184758</v>
      </c>
      <c r="E173" s="20">
        <f t="shared" si="44"/>
        <v>-6.4423320971942042</v>
      </c>
      <c r="F173" s="20">
        <f t="shared" si="45"/>
        <v>-0.5861134662251084</v>
      </c>
      <c r="G173" s="20">
        <f t="shared" si="46"/>
        <v>-0.5861134662251084</v>
      </c>
      <c r="H173" s="20">
        <f t="shared" si="47"/>
        <v>-0.5861134662251084</v>
      </c>
      <c r="I173" s="17"/>
      <c r="J173" s="20">
        <f t="shared" si="48"/>
        <v>11.806159904146099</v>
      </c>
      <c r="K173" s="20">
        <f t="shared" si="49"/>
        <v>1.5901574307122092E-3</v>
      </c>
      <c r="L173" s="20">
        <f t="shared" si="50"/>
        <v>0.38040509317555188</v>
      </c>
      <c r="M173" s="20">
        <f t="shared" si="51"/>
        <v>0.38040509317555188</v>
      </c>
      <c r="N173" s="20">
        <f t="shared" si="52"/>
        <v>0.38040509317555188</v>
      </c>
      <c r="O173" s="17"/>
      <c r="P173" s="20">
        <f t="shared" si="53"/>
        <v>125.56067774391882</v>
      </c>
      <c r="Q173" s="20">
        <f t="shared" si="54"/>
        <v>195.52870011207582</v>
      </c>
      <c r="R173" s="20">
        <f t="shared" si="55"/>
        <v>0</v>
      </c>
      <c r="S173" s="20">
        <f t="shared" si="56"/>
        <v>0</v>
      </c>
      <c r="T173" s="20">
        <f t="shared" si="57"/>
        <v>0</v>
      </c>
      <c r="U173" s="17"/>
      <c r="V173" s="20">
        <f t="shared" si="58"/>
        <v>321.08937785599466</v>
      </c>
      <c r="W173" s="17"/>
      <c r="X173" s="20">
        <f t="shared" si="59"/>
        <v>17.609203462812445</v>
      </c>
      <c r="Y173" s="20">
        <f t="shared" si="60"/>
        <v>4.1963321440053392</v>
      </c>
      <c r="Z173" s="20"/>
      <c r="AA173" s="20">
        <f t="shared" si="61"/>
        <v>2.7425526233077654E-5</v>
      </c>
    </row>
    <row r="174" spans="2:27" x14ac:dyDescent="0.3">
      <c r="B174" s="28">
        <v>13.6</v>
      </c>
      <c r="C174" s="28">
        <v>302.28570999999999</v>
      </c>
      <c r="D174" s="20">
        <f t="shared" si="43"/>
        <v>14.349959505483417</v>
      </c>
      <c r="E174" s="20">
        <f t="shared" si="44"/>
        <v>-6.4372854748472452</v>
      </c>
      <c r="F174" s="20">
        <f t="shared" si="45"/>
        <v>-0.57500235511399733</v>
      </c>
      <c r="G174" s="20">
        <f t="shared" si="46"/>
        <v>-0.57500235511399733</v>
      </c>
      <c r="H174" s="20">
        <f t="shared" si="47"/>
        <v>-0.57500235511399733</v>
      </c>
      <c r="I174" s="17"/>
      <c r="J174" s="20">
        <f t="shared" si="48"/>
        <v>11.875483445215359</v>
      </c>
      <c r="K174" s="20">
        <f t="shared" si="49"/>
        <v>1.5981898009206604E-3</v>
      </c>
      <c r="L174" s="20">
        <f t="shared" si="50"/>
        <v>0.38347596854124116</v>
      </c>
      <c r="M174" s="20">
        <f t="shared" si="51"/>
        <v>0.38347596854124116</v>
      </c>
      <c r="N174" s="20">
        <f t="shared" si="52"/>
        <v>0.38347596854124116</v>
      </c>
      <c r="O174" s="17"/>
      <c r="P174" s="20">
        <f t="shared" si="53"/>
        <v>124.15562179249467</v>
      </c>
      <c r="Q174" s="20">
        <f t="shared" si="54"/>
        <v>194.54442880983271</v>
      </c>
      <c r="R174" s="20">
        <f t="shared" si="55"/>
        <v>0</v>
      </c>
      <c r="S174" s="20">
        <f t="shared" si="56"/>
        <v>0</v>
      </c>
      <c r="T174" s="20">
        <f t="shared" si="57"/>
        <v>0</v>
      </c>
      <c r="U174" s="17"/>
      <c r="V174" s="20">
        <f t="shared" si="58"/>
        <v>318.70005060232739</v>
      </c>
      <c r="W174" s="17"/>
      <c r="X174" s="20">
        <f t="shared" si="59"/>
        <v>269.43057740921381</v>
      </c>
      <c r="Y174" s="20">
        <f t="shared" si="60"/>
        <v>16.4143406023274</v>
      </c>
      <c r="Z174" s="20"/>
      <c r="AA174" s="20">
        <f t="shared" si="61"/>
        <v>1.0727747788765811E-4</v>
      </c>
    </row>
    <row r="175" spans="2:27" x14ac:dyDescent="0.3">
      <c r="B175" s="28">
        <v>13.7</v>
      </c>
      <c r="C175" s="28">
        <v>344.78570999999999</v>
      </c>
      <c r="D175" s="20">
        <f t="shared" si="43"/>
        <v>14.425137685782078</v>
      </c>
      <c r="E175" s="20">
        <f t="shared" si="44"/>
        <v>-6.4322388525002854</v>
      </c>
      <c r="F175" s="20">
        <f t="shared" si="45"/>
        <v>-0.56389124400288604</v>
      </c>
      <c r="G175" s="20">
        <f t="shared" si="46"/>
        <v>-0.56389124400288604</v>
      </c>
      <c r="H175" s="20">
        <f t="shared" si="47"/>
        <v>-0.56389124400288604</v>
      </c>
      <c r="I175" s="17"/>
      <c r="J175" s="20">
        <f t="shared" si="48"/>
        <v>11.944838431160226</v>
      </c>
      <c r="K175" s="20">
        <f t="shared" si="49"/>
        <v>1.6062626800131398E-3</v>
      </c>
      <c r="L175" s="20">
        <f t="shared" si="50"/>
        <v>0.38656472264365577</v>
      </c>
      <c r="M175" s="20">
        <f t="shared" si="51"/>
        <v>0.38656472264365577</v>
      </c>
      <c r="N175" s="20">
        <f t="shared" si="52"/>
        <v>0.38656472264365577</v>
      </c>
      <c r="O175" s="17"/>
      <c r="P175" s="20">
        <f t="shared" si="53"/>
        <v>122.7734100677383</v>
      </c>
      <c r="Q175" s="20">
        <f t="shared" si="54"/>
        <v>193.5651122527938</v>
      </c>
      <c r="R175" s="20">
        <f t="shared" si="55"/>
        <v>0</v>
      </c>
      <c r="S175" s="20">
        <f t="shared" si="56"/>
        <v>0</v>
      </c>
      <c r="T175" s="20">
        <f t="shared" si="57"/>
        <v>0</v>
      </c>
      <c r="U175" s="17"/>
      <c r="V175" s="20">
        <f t="shared" si="58"/>
        <v>316.33852232053209</v>
      </c>
      <c r="W175" s="17"/>
      <c r="X175" s="20">
        <f t="shared" si="59"/>
        <v>809.24248687087038</v>
      </c>
      <c r="Y175" s="20">
        <f t="shared" si="60"/>
        <v>28.447187679467902</v>
      </c>
      <c r="Z175" s="20"/>
      <c r="AA175" s="20">
        <f t="shared" si="61"/>
        <v>1.8591928979574542E-4</v>
      </c>
    </row>
    <row r="176" spans="2:27" x14ac:dyDescent="0.3">
      <c r="B176" s="28">
        <v>13.8</v>
      </c>
      <c r="C176" s="28">
        <v>319.03570999999999</v>
      </c>
      <c r="D176" s="20">
        <f t="shared" si="43"/>
        <v>14.500315866080738</v>
      </c>
      <c r="E176" s="20">
        <f t="shared" si="44"/>
        <v>-6.4271922301533264</v>
      </c>
      <c r="F176" s="20">
        <f t="shared" si="45"/>
        <v>-0.55278013289177497</v>
      </c>
      <c r="G176" s="20">
        <f t="shared" si="46"/>
        <v>-0.55278013289177497</v>
      </c>
      <c r="H176" s="20">
        <f t="shared" si="47"/>
        <v>-0.55278013289177497</v>
      </c>
      <c r="I176" s="17"/>
      <c r="J176" s="20">
        <f t="shared" si="48"/>
        <v>12.014224539968238</v>
      </c>
      <c r="K176" s="20">
        <f t="shared" si="49"/>
        <v>1.6143762716262797E-3</v>
      </c>
      <c r="L176" s="20">
        <f t="shared" si="50"/>
        <v>0.3896713793133359</v>
      </c>
      <c r="M176" s="20">
        <f t="shared" si="51"/>
        <v>0.3896713793133359</v>
      </c>
      <c r="N176" s="20">
        <f t="shared" si="52"/>
        <v>0.3896713793133359</v>
      </c>
      <c r="O176" s="17"/>
      <c r="P176" s="20">
        <f t="shared" si="53"/>
        <v>121.41355980886463</v>
      </c>
      <c r="Q176" s="20">
        <f t="shared" si="54"/>
        <v>192.59072549928271</v>
      </c>
      <c r="R176" s="20">
        <f t="shared" si="55"/>
        <v>0</v>
      </c>
      <c r="S176" s="20">
        <f t="shared" si="56"/>
        <v>0</v>
      </c>
      <c r="T176" s="20">
        <f t="shared" si="57"/>
        <v>0</v>
      </c>
      <c r="U176" s="17"/>
      <c r="V176" s="20">
        <f t="shared" si="58"/>
        <v>314.00428530814736</v>
      </c>
      <c r="W176" s="17"/>
      <c r="X176" s="20">
        <f t="shared" si="59"/>
        <v>25.315234429784383</v>
      </c>
      <c r="Y176" s="20">
        <f t="shared" si="60"/>
        <v>5.0314246918526351</v>
      </c>
      <c r="Z176" s="20"/>
      <c r="AA176" s="20">
        <f t="shared" si="61"/>
        <v>3.2883352685340612E-5</v>
      </c>
    </row>
    <row r="177" spans="2:27" x14ac:dyDescent="0.3">
      <c r="B177" s="28">
        <v>13.9</v>
      </c>
      <c r="C177" s="28">
        <v>300.53570999999999</v>
      </c>
      <c r="D177" s="20">
        <f t="shared" si="43"/>
        <v>14.575494046379397</v>
      </c>
      <c r="E177" s="20">
        <f t="shared" si="44"/>
        <v>-6.4221456078063675</v>
      </c>
      <c r="F177" s="20">
        <f t="shared" si="45"/>
        <v>-0.5416690217806639</v>
      </c>
      <c r="G177" s="20">
        <f t="shared" si="46"/>
        <v>-0.5416690217806639</v>
      </c>
      <c r="H177" s="20">
        <f t="shared" si="47"/>
        <v>-0.5416690217806639</v>
      </c>
      <c r="I177" s="17"/>
      <c r="J177" s="20">
        <f t="shared" si="48"/>
        <v>12.083641454397647</v>
      </c>
      <c r="K177" s="20">
        <f t="shared" si="49"/>
        <v>1.6225307804137432E-3</v>
      </c>
      <c r="L177" s="20">
        <f t="shared" si="50"/>
        <v>0.392795961665732</v>
      </c>
      <c r="M177" s="20">
        <f t="shared" si="51"/>
        <v>0.392795961665732</v>
      </c>
      <c r="N177" s="20">
        <f t="shared" si="52"/>
        <v>0.392795961665732</v>
      </c>
      <c r="O177" s="17"/>
      <c r="P177" s="20">
        <f t="shared" si="53"/>
        <v>120.07560073359389</v>
      </c>
      <c r="Q177" s="20">
        <f t="shared" si="54"/>
        <v>191.62124373317701</v>
      </c>
      <c r="R177" s="20">
        <f t="shared" si="55"/>
        <v>0</v>
      </c>
      <c r="S177" s="20">
        <f t="shared" si="56"/>
        <v>0</v>
      </c>
      <c r="T177" s="20">
        <f t="shared" si="57"/>
        <v>0</v>
      </c>
      <c r="U177" s="17"/>
      <c r="V177" s="20">
        <f t="shared" si="58"/>
        <v>311.69684446677093</v>
      </c>
      <c r="W177" s="17"/>
      <c r="X177" s="20">
        <f t="shared" si="59"/>
        <v>124.57092258534205</v>
      </c>
      <c r="Y177" s="20">
        <f t="shared" si="60"/>
        <v>11.161134466770932</v>
      </c>
      <c r="Z177" s="20"/>
      <c r="AA177" s="20">
        <f t="shared" si="61"/>
        <v>7.2944651568301576E-5</v>
      </c>
    </row>
    <row r="178" spans="2:27" x14ac:dyDescent="0.3">
      <c r="B178" s="28">
        <v>14</v>
      </c>
      <c r="C178" s="28">
        <v>318.78570999999999</v>
      </c>
      <c r="D178" s="20">
        <f t="shared" ref="D178:D241" si="62">$C$23/(1-$C$23)-LN((1-$C$23)/$C$23)+$C$22/(1-$C$23)*B178</f>
        <v>14.650672226678056</v>
      </c>
      <c r="E178" s="20">
        <f t="shared" ref="E178:E241" si="63">$D$23/(1-$D$23)-LN((1-$D$23)/$D$23)+$D$22*B178/(1-$D$23)</f>
        <v>-6.4170989854594076</v>
      </c>
      <c r="F178" s="20">
        <f t="shared" ref="F178:F241" si="64">$E$23/(1-$E$23)-LN((1-$E$23)/$E$23)+$E$22*B178/(1-$E$23)</f>
        <v>-0.53055791066955282</v>
      </c>
      <c r="G178" s="20">
        <f t="shared" ref="G178:G241" si="65">$F$23/(1-$F$23)-LN((1-$F$23)/$F$23)+$F$22*B178/(1-$F$23)</f>
        <v>-0.53055791066955282</v>
      </c>
      <c r="H178" s="20">
        <f t="shared" ref="H178:H241" si="66">$G$23/(1-$G$23)-LN((1-$G$23)/$G$23)+$G$22*B178/(1-$G$23)</f>
        <v>-0.53055791066955282</v>
      </c>
      <c r="I178" s="17"/>
      <c r="J178" s="20">
        <f t="shared" ref="J178:J241" si="67">lmb_2(D178)</f>
        <v>12.153088861886062</v>
      </c>
      <c r="K178" s="20">
        <f t="shared" ref="K178:K241" si="68">lmb_2(E178)</f>
        <v>1.630726412051232E-3</v>
      </c>
      <c r="L178" s="20">
        <f t="shared" ref="L178:L241" si="69">lmb_2(F178)</f>
        <v>0.39593849210050058</v>
      </c>
      <c r="M178" s="20">
        <f t="shared" ref="M178:M241" si="70">lmb_2(G178)</f>
        <v>0.39593849210050058</v>
      </c>
      <c r="N178" s="20">
        <f t="shared" ref="N178:N241" si="71">lmb_2(H178)</f>
        <v>0.39593849210050058</v>
      </c>
      <c r="O178" s="17"/>
      <c r="P178" s="20">
        <f t="shared" ref="P178:P241" si="72">($C$21*$A$21*$C$22)/(J178+J178^2)</f>
        <v>118.75907465848415</v>
      </c>
      <c r="Q178" s="20">
        <f t="shared" ref="Q178:Q241" si="73">($D$21*$A$21*$D$22)/(K178+K178^2)</f>
        <v>190.65664226327664</v>
      </c>
      <c r="R178" s="20">
        <f t="shared" ref="R178:R241" si="74">($E$21*$A$21*$E$22)/(L178+L178^2)</f>
        <v>0</v>
      </c>
      <c r="S178" s="20">
        <f t="shared" ref="S178:S241" si="75">($F$21*$A$21*$F$22)/(M178+M178^2)</f>
        <v>0</v>
      </c>
      <c r="T178" s="20">
        <f t="shared" ref="T178:T241" si="76">($G$21*$A$21*$G$22)/(N178+N178^2)</f>
        <v>0</v>
      </c>
      <c r="U178" s="17"/>
      <c r="V178" s="20">
        <f t="shared" ref="V178:V241" si="77">SUM(P178:T178)</f>
        <v>309.4157169217608</v>
      </c>
      <c r="W178" s="17"/>
      <c r="X178" s="20">
        <f t="shared" ref="X178:X241" si="78">(V178-C178)^2</f>
        <v>87.796770286250336</v>
      </c>
      <c r="Y178" s="20">
        <f t="shared" ref="Y178:Y241" si="79">ABS(V178-C178)</f>
        <v>9.3699930782391903</v>
      </c>
      <c r="Z178" s="20"/>
      <c r="AA178" s="20">
        <f t="shared" ref="AA178:AA241" si="80">Y178/$Z$39</f>
        <v>6.1238477354112414E-5</v>
      </c>
    </row>
    <row r="179" spans="2:27" x14ac:dyDescent="0.3">
      <c r="B179" s="28">
        <v>14.1</v>
      </c>
      <c r="C179" s="28">
        <v>288.03570999999999</v>
      </c>
      <c r="D179" s="20">
        <f t="shared" si="62"/>
        <v>14.725850406976717</v>
      </c>
      <c r="E179" s="20">
        <f t="shared" si="63"/>
        <v>-6.4120523631124486</v>
      </c>
      <c r="F179" s="20">
        <f t="shared" si="64"/>
        <v>-0.51944679955844153</v>
      </c>
      <c r="G179" s="20">
        <f t="shared" si="65"/>
        <v>-0.51944679955844153</v>
      </c>
      <c r="H179" s="20">
        <f t="shared" si="66"/>
        <v>-0.51944679955844153</v>
      </c>
      <c r="I179" s="17"/>
      <c r="J179" s="20">
        <f t="shared" si="67"/>
        <v>12.222566454461214</v>
      </c>
      <c r="K179" s="20">
        <f t="shared" si="68"/>
        <v>1.6389633732415178E-3</v>
      </c>
      <c r="L179" s="20">
        <f t="shared" si="69"/>
        <v>0.39909899230093843</v>
      </c>
      <c r="M179" s="20">
        <f t="shared" si="70"/>
        <v>0.39909899230093843</v>
      </c>
      <c r="N179" s="20">
        <f t="shared" si="71"/>
        <v>0.39909899230093843</v>
      </c>
      <c r="O179" s="17"/>
      <c r="P179" s="20">
        <f t="shared" si="72"/>
        <v>117.46353513250649</v>
      </c>
      <c r="Q179" s="20">
        <f t="shared" si="73"/>
        <v>189.69689652267573</v>
      </c>
      <c r="R179" s="20">
        <f t="shared" si="74"/>
        <v>0</v>
      </c>
      <c r="S179" s="20">
        <f t="shared" si="75"/>
        <v>0</v>
      </c>
      <c r="T179" s="20">
        <f t="shared" si="76"/>
        <v>0</v>
      </c>
      <c r="U179" s="17"/>
      <c r="V179" s="20">
        <f t="shared" si="77"/>
        <v>307.16043165518221</v>
      </c>
      <c r="W179" s="17"/>
      <c r="X179" s="20">
        <f t="shared" si="78"/>
        <v>365.75497838819552</v>
      </c>
      <c r="Y179" s="20">
        <f t="shared" si="79"/>
        <v>19.124721655182213</v>
      </c>
      <c r="Z179" s="20"/>
      <c r="AA179" s="20">
        <f t="shared" si="80"/>
        <v>1.2499143000484108E-4</v>
      </c>
    </row>
    <row r="180" spans="2:27" x14ac:dyDescent="0.3">
      <c r="B180" s="28">
        <v>14.2</v>
      </c>
      <c r="C180" s="28">
        <v>310.28570999999999</v>
      </c>
      <c r="D180" s="20">
        <f t="shared" si="62"/>
        <v>14.801028587275376</v>
      </c>
      <c r="E180" s="20">
        <f t="shared" si="63"/>
        <v>-6.4070057407654897</v>
      </c>
      <c r="F180" s="20">
        <f t="shared" si="64"/>
        <v>-0.50833568844733068</v>
      </c>
      <c r="G180" s="20">
        <f t="shared" si="65"/>
        <v>-0.50833568844733068</v>
      </c>
      <c r="H180" s="20">
        <f t="shared" si="66"/>
        <v>-0.50833568844733068</v>
      </c>
      <c r="I180" s="17"/>
      <c r="J180" s="20">
        <f t="shared" si="67"/>
        <v>12.29207392865378</v>
      </c>
      <c r="K180" s="20">
        <f t="shared" si="68"/>
        <v>1.6472418717195121E-3</v>
      </c>
      <c r="L180" s="20">
        <f t="shared" si="69"/>
        <v>0.40227748323355456</v>
      </c>
      <c r="M180" s="20">
        <f t="shared" si="70"/>
        <v>0.40227748323355456</v>
      </c>
      <c r="N180" s="20">
        <f t="shared" si="71"/>
        <v>0.40227748323355456</v>
      </c>
      <c r="O180" s="17"/>
      <c r="P180" s="20">
        <f t="shared" si="72"/>
        <v>116.18854708334254</v>
      </c>
      <c r="Q180" s="20">
        <f t="shared" si="73"/>
        <v>188.74198206813571</v>
      </c>
      <c r="R180" s="20">
        <f t="shared" si="74"/>
        <v>0</v>
      </c>
      <c r="S180" s="20">
        <f t="shared" si="75"/>
        <v>0</v>
      </c>
      <c r="T180" s="20">
        <f t="shared" si="76"/>
        <v>0</v>
      </c>
      <c r="U180" s="17"/>
      <c r="V180" s="20">
        <f t="shared" si="77"/>
        <v>304.93052915147825</v>
      </c>
      <c r="W180" s="17"/>
      <c r="X180" s="20">
        <f t="shared" si="78"/>
        <v>28.677961920374031</v>
      </c>
      <c r="Y180" s="20">
        <f t="shared" si="79"/>
        <v>5.3551808485217407</v>
      </c>
      <c r="Z180" s="20"/>
      <c r="AA180" s="20">
        <f t="shared" si="80"/>
        <v>3.4999291715699131E-5</v>
      </c>
    </row>
    <row r="181" spans="2:27" x14ac:dyDescent="0.3">
      <c r="B181" s="28">
        <v>14.3</v>
      </c>
      <c r="C181" s="28">
        <v>306.03570999999999</v>
      </c>
      <c r="D181" s="20">
        <f t="shared" si="62"/>
        <v>14.876206767574036</v>
      </c>
      <c r="E181" s="20">
        <f t="shared" si="63"/>
        <v>-6.4019591184185307</v>
      </c>
      <c r="F181" s="20">
        <f t="shared" si="64"/>
        <v>-0.49722457733621939</v>
      </c>
      <c r="G181" s="20">
        <f t="shared" si="65"/>
        <v>-0.49722457733621939</v>
      </c>
      <c r="H181" s="20">
        <f t="shared" si="66"/>
        <v>-0.49722457733621939</v>
      </c>
      <c r="I181" s="17"/>
      <c r="J181" s="20">
        <f t="shared" si="67"/>
        <v>12.361610985412245</v>
      </c>
      <c r="K181" s="20">
        <f t="shared" si="68"/>
        <v>1.6555621162573449E-3</v>
      </c>
      <c r="L181" s="20">
        <f t="shared" si="69"/>
        <v>0.40547398514777988</v>
      </c>
      <c r="M181" s="20">
        <f t="shared" si="70"/>
        <v>0.40547398514777988</v>
      </c>
      <c r="N181" s="20">
        <f t="shared" si="71"/>
        <v>0.40547398514777988</v>
      </c>
      <c r="O181" s="17"/>
      <c r="P181" s="20">
        <f t="shared" si="72"/>
        <v>114.93368647590856</v>
      </c>
      <c r="Q181" s="20">
        <f t="shared" si="73"/>
        <v>187.79187457946358</v>
      </c>
      <c r="R181" s="20">
        <f t="shared" si="74"/>
        <v>0</v>
      </c>
      <c r="S181" s="20">
        <f t="shared" si="75"/>
        <v>0</v>
      </c>
      <c r="T181" s="20">
        <f t="shared" si="76"/>
        <v>0</v>
      </c>
      <c r="U181" s="17"/>
      <c r="V181" s="20">
        <f t="shared" si="77"/>
        <v>302.72556105537217</v>
      </c>
      <c r="W181" s="17"/>
      <c r="X181" s="20">
        <f t="shared" si="78"/>
        <v>10.957086035620714</v>
      </c>
      <c r="Y181" s="20">
        <f t="shared" si="79"/>
        <v>3.3101489446278265</v>
      </c>
      <c r="Z181" s="20"/>
      <c r="AA181" s="20">
        <f t="shared" si="80"/>
        <v>2.1633791988075112E-5</v>
      </c>
    </row>
    <row r="182" spans="2:27" x14ac:dyDescent="0.3">
      <c r="B182" s="28">
        <v>14.4</v>
      </c>
      <c r="C182" s="28">
        <v>318.78570999999999</v>
      </c>
      <c r="D182" s="20">
        <f t="shared" si="62"/>
        <v>14.951384947872695</v>
      </c>
      <c r="E182" s="20">
        <f t="shared" si="63"/>
        <v>-6.3969124960715718</v>
      </c>
      <c r="F182" s="20">
        <f t="shared" si="64"/>
        <v>-0.48611346622510831</v>
      </c>
      <c r="G182" s="20">
        <f t="shared" si="65"/>
        <v>-0.48611346622510831</v>
      </c>
      <c r="H182" s="20">
        <f t="shared" si="66"/>
        <v>-0.48611346622510831</v>
      </c>
      <c r="I182" s="17"/>
      <c r="J182" s="20">
        <f t="shared" si="67"/>
        <v>12.431177330019686</v>
      </c>
      <c r="K182" s="20">
        <f t="shared" si="68"/>
        <v>1.6639243166694747E-3</v>
      </c>
      <c r="L182" s="20">
        <f t="shared" si="69"/>
        <v>0.40868851757581198</v>
      </c>
      <c r="M182" s="20">
        <f t="shared" si="70"/>
        <v>0.40868851757581198</v>
      </c>
      <c r="N182" s="20">
        <f t="shared" si="71"/>
        <v>0.40868851757581198</v>
      </c>
      <c r="O182" s="17"/>
      <c r="P182" s="20">
        <f t="shared" si="72"/>
        <v>113.69853998263044</v>
      </c>
      <c r="Q182" s="20">
        <f t="shared" si="73"/>
        <v>186.8465498588923</v>
      </c>
      <c r="R182" s="20">
        <f t="shared" si="74"/>
        <v>0</v>
      </c>
      <c r="S182" s="20">
        <f t="shared" si="75"/>
        <v>0</v>
      </c>
      <c r="T182" s="20">
        <f t="shared" si="76"/>
        <v>0</v>
      </c>
      <c r="U182" s="17"/>
      <c r="V182" s="20">
        <f t="shared" si="77"/>
        <v>300.54508984152272</v>
      </c>
      <c r="W182" s="17"/>
      <c r="X182" s="20">
        <f t="shared" si="78"/>
        <v>332.72022376584738</v>
      </c>
      <c r="Y182" s="20">
        <f t="shared" si="79"/>
        <v>18.24062015847727</v>
      </c>
      <c r="Z182" s="20"/>
      <c r="AA182" s="20">
        <f t="shared" si="80"/>
        <v>1.1921330092484856E-4</v>
      </c>
    </row>
    <row r="183" spans="2:27" x14ac:dyDescent="0.3">
      <c r="B183" s="28">
        <v>14.5</v>
      </c>
      <c r="C183" s="28">
        <v>281.53570999999999</v>
      </c>
      <c r="D183" s="20">
        <f t="shared" si="62"/>
        <v>15.026563128171354</v>
      </c>
      <c r="E183" s="20">
        <f t="shared" si="63"/>
        <v>-6.3918658737246119</v>
      </c>
      <c r="F183" s="20">
        <f t="shared" si="64"/>
        <v>-0.47500235511399724</v>
      </c>
      <c r="G183" s="20">
        <f t="shared" si="65"/>
        <v>-0.47500235511399724</v>
      </c>
      <c r="H183" s="20">
        <f t="shared" si="66"/>
        <v>-0.47500235511399724</v>
      </c>
      <c r="I183" s="17"/>
      <c r="J183" s="20">
        <f t="shared" si="67"/>
        <v>12.500772672012491</v>
      </c>
      <c r="K183" s="20">
        <f t="shared" si="68"/>
        <v>1.6723286838178236E-3</v>
      </c>
      <c r="L183" s="20">
        <f t="shared" si="69"/>
        <v>0.41192109933259763</v>
      </c>
      <c r="M183" s="20">
        <f t="shared" si="70"/>
        <v>0.41192109933259763</v>
      </c>
      <c r="N183" s="20">
        <f t="shared" si="71"/>
        <v>0.41192109933259763</v>
      </c>
      <c r="O183" s="17"/>
      <c r="P183" s="20">
        <f t="shared" si="72"/>
        <v>112.48270466501461</v>
      </c>
      <c r="Q183" s="20">
        <f t="shared" si="73"/>
        <v>185.90598383046438</v>
      </c>
      <c r="R183" s="20">
        <f t="shared" si="74"/>
        <v>0</v>
      </c>
      <c r="S183" s="20">
        <f t="shared" si="75"/>
        <v>0</v>
      </c>
      <c r="T183" s="20">
        <f t="shared" si="76"/>
        <v>0</v>
      </c>
      <c r="U183" s="17"/>
      <c r="V183" s="20">
        <f t="shared" si="77"/>
        <v>298.38868849547896</v>
      </c>
      <c r="W183" s="17"/>
      <c r="X183" s="20">
        <f t="shared" si="78"/>
        <v>284.02288416907641</v>
      </c>
      <c r="Y183" s="20">
        <f t="shared" si="79"/>
        <v>16.852978495478965</v>
      </c>
      <c r="Z183" s="20"/>
      <c r="AA183" s="20">
        <f t="shared" si="80"/>
        <v>1.1014423738919934E-4</v>
      </c>
    </row>
    <row r="184" spans="2:27" x14ac:dyDescent="0.3">
      <c r="B184" s="28">
        <v>14.6</v>
      </c>
      <c r="C184" s="28">
        <v>299.53570999999999</v>
      </c>
      <c r="D184" s="20">
        <f t="shared" si="62"/>
        <v>15.101741308470015</v>
      </c>
      <c r="E184" s="20">
        <f t="shared" si="63"/>
        <v>-6.3868192513776529</v>
      </c>
      <c r="F184" s="20">
        <f t="shared" si="64"/>
        <v>-0.46389124400288617</v>
      </c>
      <c r="G184" s="20">
        <f t="shared" si="65"/>
        <v>-0.46389124400288617</v>
      </c>
      <c r="H184" s="20">
        <f t="shared" si="66"/>
        <v>-0.46389124400288617</v>
      </c>
      <c r="I184" s="17"/>
      <c r="J184" s="20">
        <f t="shared" si="67"/>
        <v>12.570396725100915</v>
      </c>
      <c r="K184" s="20">
        <f t="shared" si="68"/>
        <v>1.6807754296169297E-3</v>
      </c>
      <c r="L184" s="20">
        <f t="shared" si="69"/>
        <v>0.41517174851594851</v>
      </c>
      <c r="M184" s="20">
        <f t="shared" si="70"/>
        <v>0.41517174851594851</v>
      </c>
      <c r="N184" s="20">
        <f t="shared" si="71"/>
        <v>0.41517174851594851</v>
      </c>
      <c r="O184" s="17"/>
      <c r="P184" s="20">
        <f t="shared" si="72"/>
        <v>111.2857876660801</v>
      </c>
      <c r="Q184" s="20">
        <f t="shared" si="73"/>
        <v>184.97015253941925</v>
      </c>
      <c r="R184" s="20">
        <f t="shared" si="74"/>
        <v>0</v>
      </c>
      <c r="S184" s="20">
        <f t="shared" si="75"/>
        <v>0</v>
      </c>
      <c r="T184" s="20">
        <f t="shared" si="76"/>
        <v>0</v>
      </c>
      <c r="U184" s="17"/>
      <c r="V184" s="20">
        <f t="shared" si="77"/>
        <v>296.25594020549931</v>
      </c>
      <c r="W184" s="17"/>
      <c r="X184" s="20">
        <f t="shared" si="78"/>
        <v>10.756889904919035</v>
      </c>
      <c r="Y184" s="20">
        <f t="shared" si="79"/>
        <v>3.2797697945006803</v>
      </c>
      <c r="Z184" s="20"/>
      <c r="AA184" s="20">
        <f t="shared" si="80"/>
        <v>2.1435246174693569E-5</v>
      </c>
    </row>
    <row r="185" spans="2:27" x14ac:dyDescent="0.3">
      <c r="B185" s="28">
        <v>14.7</v>
      </c>
      <c r="C185" s="28">
        <v>282.28570999999999</v>
      </c>
      <c r="D185" s="20">
        <f t="shared" si="62"/>
        <v>15.176919488768673</v>
      </c>
      <c r="E185" s="20">
        <f t="shared" si="63"/>
        <v>-6.381772629030694</v>
      </c>
      <c r="F185" s="20">
        <f t="shared" si="64"/>
        <v>-0.4527801328917751</v>
      </c>
      <c r="G185" s="20">
        <f t="shared" si="65"/>
        <v>-0.4527801328917751</v>
      </c>
      <c r="H185" s="20">
        <f t="shared" si="66"/>
        <v>-0.4527801328917751</v>
      </c>
      <c r="I185" s="17"/>
      <c r="J185" s="20">
        <f t="shared" si="67"/>
        <v>12.640049207091444</v>
      </c>
      <c r="K185" s="20">
        <f t="shared" si="68"/>
        <v>1.6892647670391384E-3</v>
      </c>
      <c r="L185" s="20">
        <f t="shared" si="69"/>
        <v>0.41844048250679333</v>
      </c>
      <c r="M185" s="20">
        <f t="shared" si="70"/>
        <v>0.41844048250679333</v>
      </c>
      <c r="N185" s="20">
        <f t="shared" si="71"/>
        <v>0.41844048250679333</v>
      </c>
      <c r="O185" s="17"/>
      <c r="P185" s="20">
        <f t="shared" si="72"/>
        <v>110.10740591323462</v>
      </c>
      <c r="Q185" s="20">
        <f t="shared" si="73"/>
        <v>184.03903215158235</v>
      </c>
      <c r="R185" s="20">
        <f t="shared" si="74"/>
        <v>0</v>
      </c>
      <c r="S185" s="20">
        <f t="shared" si="75"/>
        <v>0</v>
      </c>
      <c r="T185" s="20">
        <f t="shared" si="76"/>
        <v>0</v>
      </c>
      <c r="U185" s="17"/>
      <c r="V185" s="20">
        <f t="shared" si="77"/>
        <v>294.14643806481695</v>
      </c>
      <c r="W185" s="17"/>
      <c r="X185" s="20">
        <f t="shared" si="78"/>
        <v>140.67687022753651</v>
      </c>
      <c r="Y185" s="20">
        <f t="shared" si="79"/>
        <v>11.860728064816954</v>
      </c>
      <c r="Z185" s="20"/>
      <c r="AA185" s="20">
        <f t="shared" si="80"/>
        <v>7.751691179873006E-5</v>
      </c>
    </row>
    <row r="186" spans="2:27" x14ac:dyDescent="0.3">
      <c r="B186" s="28">
        <v>14.8</v>
      </c>
      <c r="C186" s="28">
        <v>293.03570999999999</v>
      </c>
      <c r="D186" s="20">
        <f t="shared" si="62"/>
        <v>15.252097669067334</v>
      </c>
      <c r="E186" s="20">
        <f t="shared" si="63"/>
        <v>-6.3767260066837341</v>
      </c>
      <c r="F186" s="20">
        <f t="shared" si="64"/>
        <v>-0.44166902178066381</v>
      </c>
      <c r="G186" s="20">
        <f t="shared" si="65"/>
        <v>-0.44166902178066381</v>
      </c>
      <c r="H186" s="20">
        <f t="shared" si="66"/>
        <v>-0.44166902178066381</v>
      </c>
      <c r="I186" s="17"/>
      <c r="J186" s="20">
        <f t="shared" si="67"/>
        <v>12.709729839810924</v>
      </c>
      <c r="K186" s="20">
        <f t="shared" si="68"/>
        <v>1.6977969101198047E-3</v>
      </c>
      <c r="L186" s="20">
        <f t="shared" si="69"/>
        <v>0.42172731796956092</v>
      </c>
      <c r="M186" s="20">
        <f t="shared" si="70"/>
        <v>0.42172731796956092</v>
      </c>
      <c r="N186" s="20">
        <f t="shared" si="71"/>
        <v>0.42172731796956092</v>
      </c>
      <c r="O186" s="17"/>
      <c r="P186" s="20">
        <f t="shared" si="72"/>
        <v>108.94718583119571</v>
      </c>
      <c r="Q186" s="20">
        <f t="shared" si="73"/>
        <v>183.11259895275853</v>
      </c>
      <c r="R186" s="20">
        <f t="shared" si="74"/>
        <v>0</v>
      </c>
      <c r="S186" s="20">
        <f t="shared" si="75"/>
        <v>0</v>
      </c>
      <c r="T186" s="20">
        <f t="shared" si="76"/>
        <v>0</v>
      </c>
      <c r="U186" s="17"/>
      <c r="V186" s="20">
        <f t="shared" si="77"/>
        <v>292.05978478395423</v>
      </c>
      <c r="W186" s="17"/>
      <c r="X186" s="20">
        <f t="shared" si="78"/>
        <v>0.95243002731397564</v>
      </c>
      <c r="Y186" s="20">
        <f t="shared" si="79"/>
        <v>0.97592521604576632</v>
      </c>
      <c r="Z186" s="20"/>
      <c r="AA186" s="20">
        <f t="shared" si="80"/>
        <v>6.3782516959294071E-6</v>
      </c>
    </row>
    <row r="187" spans="2:27" x14ac:dyDescent="0.3">
      <c r="B187" s="28">
        <v>14.9</v>
      </c>
      <c r="C187" s="28">
        <v>261.28570999999999</v>
      </c>
      <c r="D187" s="20">
        <f t="shared" si="62"/>
        <v>15.327275849365993</v>
      </c>
      <c r="E187" s="20">
        <f t="shared" si="63"/>
        <v>-6.3716793843367752</v>
      </c>
      <c r="F187" s="20">
        <f t="shared" si="64"/>
        <v>-0.43055791066955273</v>
      </c>
      <c r="G187" s="20">
        <f t="shared" si="65"/>
        <v>-0.43055791066955273</v>
      </c>
      <c r="H187" s="20">
        <f t="shared" si="66"/>
        <v>-0.43055791066955273</v>
      </c>
      <c r="I187" s="17"/>
      <c r="J187" s="20">
        <f t="shared" si="67"/>
        <v>12.779438349032379</v>
      </c>
      <c r="K187" s="20">
        <f t="shared" si="68"/>
        <v>1.7063720739625234E-3</v>
      </c>
      <c r="L187" s="20">
        <f t="shared" si="69"/>
        <v>0.42503227085269824</v>
      </c>
      <c r="M187" s="20">
        <f t="shared" si="70"/>
        <v>0.42503227085269824</v>
      </c>
      <c r="N187" s="20">
        <f t="shared" si="71"/>
        <v>0.42503227085269824</v>
      </c>
      <c r="O187" s="17"/>
      <c r="P187" s="20">
        <f t="shared" si="72"/>
        <v>107.80476306457548</v>
      </c>
      <c r="Q187" s="20">
        <f t="shared" si="73"/>
        <v>182.19082934812843</v>
      </c>
      <c r="R187" s="20">
        <f t="shared" si="74"/>
        <v>0</v>
      </c>
      <c r="S187" s="20">
        <f t="shared" si="75"/>
        <v>0</v>
      </c>
      <c r="T187" s="20">
        <f t="shared" si="76"/>
        <v>0</v>
      </c>
      <c r="U187" s="17"/>
      <c r="V187" s="20">
        <f t="shared" si="77"/>
        <v>289.9955924127039</v>
      </c>
      <c r="W187" s="17"/>
      <c r="X187" s="20">
        <f t="shared" si="78"/>
        <v>824.25734815128499</v>
      </c>
      <c r="Y187" s="20">
        <f t="shared" si="79"/>
        <v>28.709882412703905</v>
      </c>
      <c r="Z187" s="20"/>
      <c r="AA187" s="20">
        <f t="shared" si="80"/>
        <v>1.876361561090918E-4</v>
      </c>
    </row>
    <row r="188" spans="2:27" x14ac:dyDescent="0.3">
      <c r="B188" s="28">
        <v>15</v>
      </c>
      <c r="C188" s="28">
        <v>273.03570999999999</v>
      </c>
      <c r="D188" s="20">
        <f t="shared" si="62"/>
        <v>15.402454029664653</v>
      </c>
      <c r="E188" s="20">
        <f t="shared" si="63"/>
        <v>-6.3666327619898162</v>
      </c>
      <c r="F188" s="20">
        <f t="shared" si="64"/>
        <v>-0.41944679955844189</v>
      </c>
      <c r="G188" s="20">
        <f t="shared" si="65"/>
        <v>-0.41944679955844189</v>
      </c>
      <c r="H188" s="20">
        <f t="shared" si="66"/>
        <v>-0.41944679955844189</v>
      </c>
      <c r="I188" s="17"/>
      <c r="J188" s="20">
        <f t="shared" si="67"/>
        <v>12.849174464402527</v>
      </c>
      <c r="K188" s="20">
        <f t="shared" si="68"/>
        <v>1.7149904747443916E-3</v>
      </c>
      <c r="L188" s="20">
        <f t="shared" si="69"/>
        <v>0.42835535638931871</v>
      </c>
      <c r="M188" s="20">
        <f t="shared" si="70"/>
        <v>0.42835535638931871</v>
      </c>
      <c r="N188" s="20">
        <f t="shared" si="71"/>
        <v>0.42835535638931871</v>
      </c>
      <c r="O188" s="17"/>
      <c r="P188" s="20">
        <f t="shared" si="72"/>
        <v>106.67978220976167</v>
      </c>
      <c r="Q188" s="20">
        <f t="shared" si="73"/>
        <v>181.27369986164692</v>
      </c>
      <c r="R188" s="20">
        <f t="shared" si="74"/>
        <v>0</v>
      </c>
      <c r="S188" s="20">
        <f t="shared" si="75"/>
        <v>0</v>
      </c>
      <c r="T188" s="20">
        <f t="shared" si="76"/>
        <v>0</v>
      </c>
      <c r="U188" s="17"/>
      <c r="V188" s="20">
        <f t="shared" si="77"/>
        <v>287.95348207140859</v>
      </c>
      <c r="W188" s="17"/>
      <c r="X188" s="20">
        <f t="shared" si="78"/>
        <v>222.5399235744982</v>
      </c>
      <c r="Y188" s="20">
        <f t="shared" si="79"/>
        <v>14.917772071408592</v>
      </c>
      <c r="Z188" s="20"/>
      <c r="AA188" s="20">
        <f t="shared" si="80"/>
        <v>9.7496512488399662E-5</v>
      </c>
    </row>
    <row r="189" spans="2:27" x14ac:dyDescent="0.3">
      <c r="B189" s="28">
        <v>15.1</v>
      </c>
      <c r="C189" s="28">
        <v>297.53570999999999</v>
      </c>
      <c r="D189" s="20">
        <f t="shared" si="62"/>
        <v>15.477632209963312</v>
      </c>
      <c r="E189" s="20">
        <f t="shared" si="63"/>
        <v>-6.3615861396428572</v>
      </c>
      <c r="F189" s="20">
        <f t="shared" si="64"/>
        <v>-0.40833568844733059</v>
      </c>
      <c r="G189" s="20">
        <f t="shared" si="65"/>
        <v>-0.40833568844733059</v>
      </c>
      <c r="H189" s="20">
        <f t="shared" si="66"/>
        <v>-0.40833568844733059</v>
      </c>
      <c r="I189" s="17"/>
      <c r="J189" s="20">
        <f t="shared" si="67"/>
        <v>12.918937919370881</v>
      </c>
      <c r="K189" s="20">
        <f t="shared" si="68"/>
        <v>1.7236523297212893E-3</v>
      </c>
      <c r="L189" s="20">
        <f t="shared" si="69"/>
        <v>0.43169658909798198</v>
      </c>
      <c r="M189" s="20">
        <f t="shared" si="70"/>
        <v>0.43169658909798198</v>
      </c>
      <c r="N189" s="20">
        <f t="shared" si="71"/>
        <v>0.43169658909798198</v>
      </c>
      <c r="O189" s="17"/>
      <c r="P189" s="20">
        <f t="shared" si="72"/>
        <v>105.57189655574609</v>
      </c>
      <c r="Q189" s="20">
        <f t="shared" si="73"/>
        <v>180.36118713544548</v>
      </c>
      <c r="R189" s="20">
        <f t="shared" si="74"/>
        <v>0</v>
      </c>
      <c r="S189" s="20">
        <f t="shared" si="75"/>
        <v>0</v>
      </c>
      <c r="T189" s="20">
        <f t="shared" si="76"/>
        <v>0</v>
      </c>
      <c r="U189" s="17"/>
      <c r="V189" s="20">
        <f t="shared" si="77"/>
        <v>285.93308369119154</v>
      </c>
      <c r="W189" s="17"/>
      <c r="X189" s="20">
        <f t="shared" si="78"/>
        <v>134.62093726185407</v>
      </c>
      <c r="Y189" s="20">
        <f t="shared" si="79"/>
        <v>11.602626308808453</v>
      </c>
      <c r="Z189" s="20"/>
      <c r="AA189" s="20">
        <f t="shared" si="80"/>
        <v>7.5830063323132962E-5</v>
      </c>
    </row>
    <row r="190" spans="2:27" x14ac:dyDescent="0.3">
      <c r="B190" s="28">
        <v>15.2</v>
      </c>
      <c r="C190" s="28">
        <v>289.28570999999999</v>
      </c>
      <c r="D190" s="20">
        <f t="shared" si="62"/>
        <v>15.552810390261971</v>
      </c>
      <c r="E190" s="20">
        <f t="shared" si="63"/>
        <v>-6.3565395172958983</v>
      </c>
      <c r="F190" s="20">
        <f t="shared" si="64"/>
        <v>-0.39722457733621952</v>
      </c>
      <c r="G190" s="20">
        <f t="shared" si="65"/>
        <v>-0.39722457733621952</v>
      </c>
      <c r="H190" s="20">
        <f t="shared" si="66"/>
        <v>-0.39722457733621952</v>
      </c>
      <c r="I190" s="17"/>
      <c r="J190" s="20">
        <f t="shared" si="67"/>
        <v>12.988728451120457</v>
      </c>
      <c r="K190" s="20">
        <f t="shared" si="68"/>
        <v>1.732357857233186E-3</v>
      </c>
      <c r="L190" s="20">
        <f t="shared" si="69"/>
        <v>0.43505598278360225</v>
      </c>
      <c r="M190" s="20">
        <f t="shared" si="70"/>
        <v>0.43505598278360225</v>
      </c>
      <c r="N190" s="20">
        <f t="shared" si="71"/>
        <v>0.43505598278360225</v>
      </c>
      <c r="O190" s="17"/>
      <c r="P190" s="20">
        <f t="shared" si="72"/>
        <v>104.48076783356319</v>
      </c>
      <c r="Q190" s="20">
        <f t="shared" si="73"/>
        <v>179.45326792923737</v>
      </c>
      <c r="R190" s="20">
        <f t="shared" si="74"/>
        <v>0</v>
      </c>
      <c r="S190" s="20">
        <f t="shared" si="75"/>
        <v>0</v>
      </c>
      <c r="T190" s="20">
        <f t="shared" si="76"/>
        <v>0</v>
      </c>
      <c r="U190" s="17"/>
      <c r="V190" s="20">
        <f t="shared" si="77"/>
        <v>283.93403576280059</v>
      </c>
      <c r="W190" s="17"/>
      <c r="X190" s="20">
        <f t="shared" si="78"/>
        <v>28.640417141103825</v>
      </c>
      <c r="Y190" s="20">
        <f t="shared" si="79"/>
        <v>5.3516742371994042</v>
      </c>
      <c r="Z190" s="20"/>
      <c r="AA190" s="20">
        <f t="shared" si="80"/>
        <v>3.4976373925231251E-5</v>
      </c>
    </row>
    <row r="191" spans="2:27" x14ac:dyDescent="0.3">
      <c r="B191" s="28">
        <v>15.3</v>
      </c>
      <c r="C191" s="28">
        <v>291.28570999999999</v>
      </c>
      <c r="D191" s="20">
        <f t="shared" si="62"/>
        <v>15.627988570560632</v>
      </c>
      <c r="E191" s="20">
        <f t="shared" si="63"/>
        <v>-6.3514928949489384</v>
      </c>
      <c r="F191" s="20">
        <f t="shared" si="64"/>
        <v>-0.38611346622510823</v>
      </c>
      <c r="G191" s="20">
        <f t="shared" si="65"/>
        <v>-0.38611346622510823</v>
      </c>
      <c r="H191" s="20">
        <f t="shared" si="66"/>
        <v>-0.38611346622510823</v>
      </c>
      <c r="I191" s="17"/>
      <c r="J191" s="20">
        <f t="shared" si="67"/>
        <v>13.058545800500005</v>
      </c>
      <c r="K191" s="20">
        <f t="shared" si="68"/>
        <v>1.7411072767094763E-3</v>
      </c>
      <c r="L191" s="20">
        <f t="shared" si="69"/>
        <v>0.43843355053848632</v>
      </c>
      <c r="M191" s="20">
        <f t="shared" si="70"/>
        <v>0.43843355053848632</v>
      </c>
      <c r="N191" s="20">
        <f t="shared" si="71"/>
        <v>0.43843355053848632</v>
      </c>
      <c r="O191" s="17"/>
      <c r="P191" s="20">
        <f t="shared" si="72"/>
        <v>103.40606597401718</v>
      </c>
      <c r="Q191" s="20">
        <f t="shared" si="73"/>
        <v>178.54991911972553</v>
      </c>
      <c r="R191" s="20">
        <f t="shared" si="74"/>
        <v>0</v>
      </c>
      <c r="S191" s="20">
        <f t="shared" si="75"/>
        <v>0</v>
      </c>
      <c r="T191" s="20">
        <f t="shared" si="76"/>
        <v>0</v>
      </c>
      <c r="U191" s="17"/>
      <c r="V191" s="20">
        <f t="shared" si="77"/>
        <v>281.9559850937427</v>
      </c>
      <c r="W191" s="17"/>
      <c r="X191" s="20">
        <f t="shared" si="78"/>
        <v>87.043766826437732</v>
      </c>
      <c r="Y191" s="20">
        <f t="shared" si="79"/>
        <v>9.3297249062572973</v>
      </c>
      <c r="Z191" s="20"/>
      <c r="AA191" s="20">
        <f t="shared" si="80"/>
        <v>6.0975300901641851E-5</v>
      </c>
    </row>
    <row r="192" spans="2:27" x14ac:dyDescent="0.3">
      <c r="B192" s="28">
        <v>15.4</v>
      </c>
      <c r="C192" s="28">
        <v>280.28570999999999</v>
      </c>
      <c r="D192" s="20">
        <f t="shared" si="62"/>
        <v>15.703166750859292</v>
      </c>
      <c r="E192" s="20">
        <f t="shared" si="63"/>
        <v>-6.3464462726019795</v>
      </c>
      <c r="F192" s="20">
        <f t="shared" si="64"/>
        <v>-0.37500235511399738</v>
      </c>
      <c r="G192" s="20">
        <f t="shared" si="65"/>
        <v>-0.37500235511399738</v>
      </c>
      <c r="H192" s="20">
        <f t="shared" si="66"/>
        <v>-0.37500235511399738</v>
      </c>
      <c r="I192" s="17"/>
      <c r="J192" s="20">
        <f t="shared" si="67"/>
        <v>13.128389711957743</v>
      </c>
      <c r="K192" s="20">
        <f t="shared" si="68"/>
        <v>1.7499008086743319E-3</v>
      </c>
      <c r="L192" s="20">
        <f t="shared" si="69"/>
        <v>0.44182930474349819</v>
      </c>
      <c r="M192" s="20">
        <f t="shared" si="70"/>
        <v>0.44182930474349819</v>
      </c>
      <c r="N192" s="20">
        <f t="shared" si="71"/>
        <v>0.44182930474349819</v>
      </c>
      <c r="O192" s="17"/>
      <c r="P192" s="20">
        <f t="shared" si="72"/>
        <v>102.34746887338943</v>
      </c>
      <c r="Q192" s="20">
        <f t="shared" si="73"/>
        <v>177.65111770001428</v>
      </c>
      <c r="R192" s="20">
        <f t="shared" si="74"/>
        <v>0</v>
      </c>
      <c r="S192" s="20">
        <f t="shared" si="75"/>
        <v>0</v>
      </c>
      <c r="T192" s="20">
        <f t="shared" si="76"/>
        <v>0</v>
      </c>
      <c r="U192" s="17"/>
      <c r="V192" s="20">
        <f t="shared" si="77"/>
        <v>279.99858657340371</v>
      </c>
      <c r="W192" s="17"/>
      <c r="X192" s="20">
        <f t="shared" si="78"/>
        <v>8.2439862100390088E-2</v>
      </c>
      <c r="Y192" s="20">
        <f t="shared" si="79"/>
        <v>0.28712342659628121</v>
      </c>
      <c r="Z192" s="20"/>
      <c r="AA192" s="20">
        <f t="shared" si="80"/>
        <v>1.8765223528591681E-6</v>
      </c>
    </row>
    <row r="193" spans="2:27" x14ac:dyDescent="0.3">
      <c r="B193" s="28">
        <v>15.5</v>
      </c>
      <c r="C193" s="28">
        <v>291.53570999999999</v>
      </c>
      <c r="D193" s="20">
        <f t="shared" si="62"/>
        <v>15.778344931157951</v>
      </c>
      <c r="E193" s="20">
        <f t="shared" si="63"/>
        <v>-6.3413996502550205</v>
      </c>
      <c r="F193" s="20">
        <f t="shared" si="64"/>
        <v>-0.36389124400288608</v>
      </c>
      <c r="G193" s="20">
        <f t="shared" si="65"/>
        <v>-0.36389124400288608</v>
      </c>
      <c r="H193" s="20">
        <f t="shared" si="66"/>
        <v>-0.36389124400288608</v>
      </c>
      <c r="I193" s="17"/>
      <c r="J193" s="20">
        <f t="shared" si="67"/>
        <v>13.198259933476544</v>
      </c>
      <c r="K193" s="20">
        <f t="shared" si="68"/>
        <v>1.7587386747520953E-3</v>
      </c>
      <c r="L193" s="20">
        <f t="shared" si="69"/>
        <v>0.44524325706935092</v>
      </c>
      <c r="M193" s="20">
        <f t="shared" si="70"/>
        <v>0.44524325706935092</v>
      </c>
      <c r="N193" s="20">
        <f t="shared" si="71"/>
        <v>0.44524325706935092</v>
      </c>
      <c r="O193" s="17"/>
      <c r="P193" s="20">
        <f t="shared" si="72"/>
        <v>101.30466216682993</v>
      </c>
      <c r="Q193" s="20">
        <f t="shared" si="73"/>
        <v>176.75684077902247</v>
      </c>
      <c r="R193" s="20">
        <f t="shared" si="74"/>
        <v>0</v>
      </c>
      <c r="S193" s="20">
        <f t="shared" si="75"/>
        <v>0</v>
      </c>
      <c r="T193" s="20">
        <f t="shared" si="76"/>
        <v>0</v>
      </c>
      <c r="U193" s="17"/>
      <c r="V193" s="20">
        <f t="shared" si="77"/>
        <v>278.0615029458524</v>
      </c>
      <c r="W193" s="17"/>
      <c r="X193" s="20">
        <f t="shared" si="78"/>
        <v>181.55425573804089</v>
      </c>
      <c r="Y193" s="20">
        <f t="shared" si="79"/>
        <v>13.474207054147598</v>
      </c>
      <c r="Z193" s="20"/>
      <c r="AA193" s="20">
        <f t="shared" si="80"/>
        <v>8.8061956573515395E-5</v>
      </c>
    </row>
    <row r="194" spans="2:27" x14ac:dyDescent="0.3">
      <c r="B194" s="28">
        <v>15.6</v>
      </c>
      <c r="C194" s="28">
        <v>285.78570999999999</v>
      </c>
      <c r="D194" s="20">
        <f t="shared" si="62"/>
        <v>15.85352311145661</v>
      </c>
      <c r="E194" s="20">
        <f t="shared" si="63"/>
        <v>-6.3363530279080615</v>
      </c>
      <c r="F194" s="20">
        <f t="shared" si="64"/>
        <v>-0.35278013289177501</v>
      </c>
      <c r="G194" s="20">
        <f t="shared" si="65"/>
        <v>-0.35278013289177501</v>
      </c>
      <c r="H194" s="20">
        <f t="shared" si="66"/>
        <v>-0.35278013289177501</v>
      </c>
      <c r="I194" s="17"/>
      <c r="J194" s="20">
        <f t="shared" si="67"/>
        <v>13.268156216510564</v>
      </c>
      <c r="K194" s="20">
        <f t="shared" si="68"/>
        <v>1.7676210976726831E-3</v>
      </c>
      <c r="L194" s="20">
        <f t="shared" si="69"/>
        <v>0.44867541847802178</v>
      </c>
      <c r="M194" s="20">
        <f t="shared" si="70"/>
        <v>0.44867541847802178</v>
      </c>
      <c r="N194" s="20">
        <f t="shared" si="71"/>
        <v>0.44867541847802178</v>
      </c>
      <c r="O194" s="17"/>
      <c r="P194" s="20">
        <f t="shared" si="72"/>
        <v>100.27733900914895</v>
      </c>
      <c r="Q194" s="20">
        <f t="shared" si="73"/>
        <v>175.86706558090097</v>
      </c>
      <c r="R194" s="20">
        <f t="shared" si="74"/>
        <v>0</v>
      </c>
      <c r="S194" s="20">
        <f t="shared" si="75"/>
        <v>0</v>
      </c>
      <c r="T194" s="20">
        <f t="shared" si="76"/>
        <v>0</v>
      </c>
      <c r="U194" s="17"/>
      <c r="V194" s="20">
        <f t="shared" si="77"/>
        <v>276.14440459004993</v>
      </c>
      <c r="W194" s="17"/>
      <c r="X194" s="20">
        <f t="shared" si="78"/>
        <v>92.954770007932368</v>
      </c>
      <c r="Y194" s="20">
        <f t="shared" si="79"/>
        <v>9.6413054099500641</v>
      </c>
      <c r="Z194" s="20"/>
      <c r="AA194" s="20">
        <f t="shared" si="80"/>
        <v>6.30116647986105E-5</v>
      </c>
    </row>
    <row r="195" spans="2:27" x14ac:dyDescent="0.3">
      <c r="B195" s="28">
        <v>15.7</v>
      </c>
      <c r="C195" s="28">
        <v>259.03570999999999</v>
      </c>
      <c r="D195" s="20">
        <f t="shared" si="62"/>
        <v>15.928701291755269</v>
      </c>
      <c r="E195" s="20">
        <f t="shared" si="63"/>
        <v>-6.3313064055611026</v>
      </c>
      <c r="F195" s="20">
        <f t="shared" si="64"/>
        <v>-0.34166902178066394</v>
      </c>
      <c r="G195" s="20">
        <f t="shared" si="65"/>
        <v>-0.34166902178066394</v>
      </c>
      <c r="H195" s="20">
        <f t="shared" si="66"/>
        <v>-0.34166902178066394</v>
      </c>
      <c r="I195" s="17"/>
      <c r="J195" s="20">
        <f t="shared" si="67"/>
        <v>13.338078315923225</v>
      </c>
      <c r="K195" s="20">
        <f t="shared" si="68"/>
        <v>1.7765483012770237E-3</v>
      </c>
      <c r="L195" s="20">
        <f t="shared" si="69"/>
        <v>0.45212579922429263</v>
      </c>
      <c r="M195" s="20">
        <f t="shared" si="70"/>
        <v>0.45212579922429263</v>
      </c>
      <c r="N195" s="20">
        <f t="shared" si="71"/>
        <v>0.45212579922429263</v>
      </c>
      <c r="O195" s="17"/>
      <c r="P195" s="20">
        <f t="shared" si="72"/>
        <v>99.265199862737347</v>
      </c>
      <c r="Q195" s="20">
        <f t="shared" si="73"/>
        <v>174.98176944445271</v>
      </c>
      <c r="R195" s="20">
        <f t="shared" si="74"/>
        <v>0</v>
      </c>
      <c r="S195" s="20">
        <f t="shared" si="75"/>
        <v>0</v>
      </c>
      <c r="T195" s="20">
        <f t="shared" si="76"/>
        <v>0</v>
      </c>
      <c r="U195" s="17"/>
      <c r="V195" s="20">
        <f t="shared" si="77"/>
        <v>274.24696930719006</v>
      </c>
      <c r="W195" s="17"/>
      <c r="X195" s="20">
        <f t="shared" si="78"/>
        <v>231.38240971057627</v>
      </c>
      <c r="Y195" s="20">
        <f t="shared" si="79"/>
        <v>15.211259307190062</v>
      </c>
      <c r="Z195" s="20"/>
      <c r="AA195" s="20">
        <f t="shared" si="80"/>
        <v>9.9414626119013157E-5</v>
      </c>
    </row>
    <row r="196" spans="2:27" x14ac:dyDescent="0.3">
      <c r="B196" s="28">
        <v>15.8</v>
      </c>
      <c r="C196" s="28">
        <v>267.28570999999999</v>
      </c>
      <c r="D196" s="20">
        <f t="shared" si="62"/>
        <v>16.003879472053931</v>
      </c>
      <c r="E196" s="20">
        <f t="shared" si="63"/>
        <v>-6.3262597832141427</v>
      </c>
      <c r="F196" s="20">
        <f t="shared" si="64"/>
        <v>-0.33055791066955287</v>
      </c>
      <c r="G196" s="20">
        <f t="shared" si="65"/>
        <v>-0.33055791066955287</v>
      </c>
      <c r="H196" s="20">
        <f t="shared" si="66"/>
        <v>-0.33055791066955287</v>
      </c>
      <c r="I196" s="17"/>
      <c r="J196" s="20">
        <f t="shared" si="67"/>
        <v>13.408025989926571</v>
      </c>
      <c r="K196" s="20">
        <f t="shared" si="68"/>
        <v>1.7855205105225202E-3</v>
      </c>
      <c r="L196" s="20">
        <f t="shared" si="69"/>
        <v>0.45559440885741265</v>
      </c>
      <c r="M196" s="20">
        <f t="shared" si="70"/>
        <v>0.45559440885741265</v>
      </c>
      <c r="N196" s="20">
        <f t="shared" si="71"/>
        <v>0.45559440885741265</v>
      </c>
      <c r="O196" s="17"/>
      <c r="P196" s="20">
        <f t="shared" si="72"/>
        <v>98.267952292354124</v>
      </c>
      <c r="Q196" s="20">
        <f t="shared" si="73"/>
        <v>174.10092982255503</v>
      </c>
      <c r="R196" s="20">
        <f t="shared" si="74"/>
        <v>0</v>
      </c>
      <c r="S196" s="20">
        <f t="shared" si="75"/>
        <v>0</v>
      </c>
      <c r="T196" s="20">
        <f t="shared" si="76"/>
        <v>0</v>
      </c>
      <c r="U196" s="17"/>
      <c r="V196" s="20">
        <f t="shared" si="77"/>
        <v>272.36888211490918</v>
      </c>
      <c r="W196" s="17"/>
      <c r="X196" s="20">
        <f t="shared" si="78"/>
        <v>25.838638749790359</v>
      </c>
      <c r="Y196" s="20">
        <f t="shared" si="79"/>
        <v>5.0831721149091891</v>
      </c>
      <c r="Z196" s="20"/>
      <c r="AA196" s="20">
        <f t="shared" si="80"/>
        <v>3.3221552870604562E-5</v>
      </c>
    </row>
    <row r="197" spans="2:27" x14ac:dyDescent="0.3">
      <c r="B197" s="28">
        <v>15.9</v>
      </c>
      <c r="C197" s="28">
        <v>269.78570999999999</v>
      </c>
      <c r="D197" s="20">
        <f t="shared" si="62"/>
        <v>16.079057652352589</v>
      </c>
      <c r="E197" s="20">
        <f t="shared" si="63"/>
        <v>-6.3212131608671838</v>
      </c>
      <c r="F197" s="20">
        <f t="shared" si="64"/>
        <v>-0.3194467995584418</v>
      </c>
      <c r="G197" s="20">
        <f t="shared" si="65"/>
        <v>-0.3194467995584418</v>
      </c>
      <c r="H197" s="20">
        <f t="shared" si="66"/>
        <v>-0.3194467995584418</v>
      </c>
      <c r="I197" s="17"/>
      <c r="J197" s="20">
        <f t="shared" si="67"/>
        <v>13.477999000021924</v>
      </c>
      <c r="K197" s="20">
        <f t="shared" si="68"/>
        <v>1.7945379514885313E-3</v>
      </c>
      <c r="L197" s="20">
        <f t="shared" si="69"/>
        <v>0.45908125622288098</v>
      </c>
      <c r="M197" s="20">
        <f t="shared" si="70"/>
        <v>0.45908125622288098</v>
      </c>
      <c r="N197" s="20">
        <f t="shared" si="71"/>
        <v>0.45908125622288098</v>
      </c>
      <c r="O197" s="17"/>
      <c r="P197" s="20">
        <f t="shared" si="72"/>
        <v>97.285310766531012</v>
      </c>
      <c r="Q197" s="20">
        <f t="shared" si="73"/>
        <v>173.22452428158633</v>
      </c>
      <c r="R197" s="20">
        <f t="shared" si="74"/>
        <v>0</v>
      </c>
      <c r="S197" s="20">
        <f t="shared" si="75"/>
        <v>0</v>
      </c>
      <c r="T197" s="20">
        <f t="shared" si="76"/>
        <v>0</v>
      </c>
      <c r="U197" s="17"/>
      <c r="V197" s="20">
        <f t="shared" si="77"/>
        <v>270.50983504811734</v>
      </c>
      <c r="W197" s="17"/>
      <c r="X197" s="20">
        <f t="shared" si="78"/>
        <v>0.52435708531094549</v>
      </c>
      <c r="Y197" s="20">
        <f t="shared" si="79"/>
        <v>0.72412504811734379</v>
      </c>
      <c r="Z197" s="20"/>
      <c r="AA197" s="20">
        <f t="shared" si="80"/>
        <v>4.7325878461601498E-6</v>
      </c>
    </row>
    <row r="198" spans="2:27" x14ac:dyDescent="0.3">
      <c r="B198" s="28">
        <v>16</v>
      </c>
      <c r="C198" s="28">
        <v>278.28570999999999</v>
      </c>
      <c r="D198" s="20">
        <f t="shared" si="62"/>
        <v>16.154235832651249</v>
      </c>
      <c r="E198" s="20">
        <f t="shared" si="63"/>
        <v>-6.3161665385202248</v>
      </c>
      <c r="F198" s="20">
        <f t="shared" si="64"/>
        <v>-0.3083356884473305</v>
      </c>
      <c r="G198" s="20">
        <f t="shared" si="65"/>
        <v>-0.3083356884473305</v>
      </c>
      <c r="H198" s="20">
        <f t="shared" si="66"/>
        <v>-0.3083356884473305</v>
      </c>
      <c r="I198" s="17"/>
      <c r="J198" s="20">
        <f t="shared" si="67"/>
        <v>13.547997110941846</v>
      </c>
      <c r="K198" s="20">
        <f t="shared" si="68"/>
        <v>1.8036008513818947E-3</v>
      </c>
      <c r="L198" s="20">
        <f t="shared" si="69"/>
        <v>0.46258634946435012</v>
      </c>
      <c r="M198" s="20">
        <f t="shared" si="70"/>
        <v>0.46258634946435012</v>
      </c>
      <c r="N198" s="20">
        <f t="shared" si="71"/>
        <v>0.46258634946435012</v>
      </c>
      <c r="O198" s="17"/>
      <c r="P198" s="20">
        <f t="shared" si="72"/>
        <v>96.316996465353498</v>
      </c>
      <c r="Q198" s="20">
        <f t="shared" si="73"/>
        <v>172.35253050085382</v>
      </c>
      <c r="R198" s="20">
        <f t="shared" si="74"/>
        <v>0</v>
      </c>
      <c r="S198" s="20">
        <f t="shared" si="75"/>
        <v>0</v>
      </c>
      <c r="T198" s="20">
        <f t="shared" si="76"/>
        <v>0</v>
      </c>
      <c r="U198" s="17"/>
      <c r="V198" s="20">
        <f t="shared" si="77"/>
        <v>268.66952696620729</v>
      </c>
      <c r="W198" s="17"/>
      <c r="X198" s="20">
        <f t="shared" si="78"/>
        <v>92.470976139402737</v>
      </c>
      <c r="Y198" s="20">
        <f t="shared" si="79"/>
        <v>9.6161830337927086</v>
      </c>
      <c r="Z198" s="20"/>
      <c r="AA198" s="20">
        <f t="shared" si="80"/>
        <v>6.2847475129466929E-5</v>
      </c>
    </row>
    <row r="199" spans="2:27" x14ac:dyDescent="0.3">
      <c r="B199" s="28">
        <v>16.100000000000001</v>
      </c>
      <c r="C199" s="28">
        <v>239.03570999999999</v>
      </c>
      <c r="D199" s="20">
        <f t="shared" si="62"/>
        <v>16.22941401294991</v>
      </c>
      <c r="E199" s="20">
        <f t="shared" si="63"/>
        <v>-6.311119916173265</v>
      </c>
      <c r="F199" s="20">
        <f t="shared" si="64"/>
        <v>-0.29722457733621921</v>
      </c>
      <c r="G199" s="20">
        <f t="shared" si="65"/>
        <v>-0.29722457733621921</v>
      </c>
      <c r="H199" s="20">
        <f t="shared" si="66"/>
        <v>-0.29722457733621921</v>
      </c>
      <c r="I199" s="17"/>
      <c r="J199" s="20">
        <f t="shared" si="67"/>
        <v>13.618020090593314</v>
      </c>
      <c r="K199" s="20">
        <f t="shared" si="68"/>
        <v>1.8127094385424621E-3</v>
      </c>
      <c r="L199" s="20">
        <f t="shared" si="69"/>
        <v>0.46610969602564739</v>
      </c>
      <c r="M199" s="20">
        <f t="shared" si="70"/>
        <v>0.46610969602564739</v>
      </c>
      <c r="N199" s="20">
        <f t="shared" si="71"/>
        <v>0.46610969602564739</v>
      </c>
      <c r="O199" s="17"/>
      <c r="P199" s="20">
        <f t="shared" si="72"/>
        <v>95.362737094388322</v>
      </c>
      <c r="Q199" s="20">
        <f t="shared" si="73"/>
        <v>171.48492627202529</v>
      </c>
      <c r="R199" s="20">
        <f t="shared" si="74"/>
        <v>0</v>
      </c>
      <c r="S199" s="20">
        <f t="shared" si="75"/>
        <v>0</v>
      </c>
      <c r="T199" s="20">
        <f t="shared" si="76"/>
        <v>0</v>
      </c>
      <c r="U199" s="17"/>
      <c r="V199" s="20">
        <f t="shared" si="77"/>
        <v>266.8476633664136</v>
      </c>
      <c r="W199" s="17"/>
      <c r="X199" s="20">
        <f t="shared" si="78"/>
        <v>773.50475005556507</v>
      </c>
      <c r="Y199" s="20">
        <f t="shared" si="79"/>
        <v>27.811953366413604</v>
      </c>
      <c r="Z199" s="20"/>
      <c r="AA199" s="20">
        <f t="shared" si="80"/>
        <v>1.8176765576894197E-4</v>
      </c>
    </row>
    <row r="200" spans="2:27" x14ac:dyDescent="0.3">
      <c r="B200" s="28">
        <v>16.2</v>
      </c>
      <c r="C200" s="28">
        <v>287.03570999999999</v>
      </c>
      <c r="D200" s="20">
        <f t="shared" si="62"/>
        <v>16.304592193248567</v>
      </c>
      <c r="E200" s="20">
        <f t="shared" si="63"/>
        <v>-6.3060732938263069</v>
      </c>
      <c r="F200" s="20">
        <f t="shared" si="64"/>
        <v>-0.28611346622510836</v>
      </c>
      <c r="G200" s="20">
        <f t="shared" si="65"/>
        <v>-0.28611346622510836</v>
      </c>
      <c r="H200" s="20">
        <f t="shared" si="66"/>
        <v>-0.28611346622510836</v>
      </c>
      <c r="I200" s="17"/>
      <c r="J200" s="20">
        <f t="shared" si="67"/>
        <v>13.688067710002139</v>
      </c>
      <c r="K200" s="20">
        <f t="shared" si="68"/>
        <v>1.821863942448661E-3</v>
      </c>
      <c r="L200" s="20">
        <f t="shared" si="69"/>
        <v>0.46965130265291249</v>
      </c>
      <c r="M200" s="20">
        <f t="shared" si="70"/>
        <v>0.46965130265291249</v>
      </c>
      <c r="N200" s="20">
        <f t="shared" si="71"/>
        <v>0.46965130265291249</v>
      </c>
      <c r="O200" s="17"/>
      <c r="P200" s="20">
        <f t="shared" si="72"/>
        <v>94.422266704535573</v>
      </c>
      <c r="Q200" s="20">
        <f t="shared" si="73"/>
        <v>170.62168949856417</v>
      </c>
      <c r="R200" s="20">
        <f t="shared" si="74"/>
        <v>0</v>
      </c>
      <c r="S200" s="20">
        <f t="shared" si="75"/>
        <v>0</v>
      </c>
      <c r="T200" s="20">
        <f t="shared" si="76"/>
        <v>0</v>
      </c>
      <c r="U200" s="17"/>
      <c r="V200" s="20">
        <f t="shared" si="77"/>
        <v>265.04395620309975</v>
      </c>
      <c r="W200" s="17"/>
      <c r="X200" s="20">
        <f t="shared" si="78"/>
        <v>483.63723506347617</v>
      </c>
      <c r="Y200" s="20">
        <f t="shared" si="79"/>
        <v>21.991753796900241</v>
      </c>
      <c r="Z200" s="20"/>
      <c r="AA200" s="20">
        <f t="shared" si="80"/>
        <v>1.4372919015237637E-4</v>
      </c>
    </row>
    <row r="201" spans="2:27" x14ac:dyDescent="0.3">
      <c r="B201" s="28">
        <v>16.3</v>
      </c>
      <c r="C201" s="28">
        <v>263.78570999999999</v>
      </c>
      <c r="D201" s="20">
        <f t="shared" si="62"/>
        <v>16.379770373547231</v>
      </c>
      <c r="E201" s="20">
        <f t="shared" si="63"/>
        <v>-6.301026671479347</v>
      </c>
      <c r="F201" s="20">
        <f t="shared" si="64"/>
        <v>-0.27500235511399729</v>
      </c>
      <c r="G201" s="20">
        <f t="shared" si="65"/>
        <v>-0.27500235511399729</v>
      </c>
      <c r="H201" s="20">
        <f t="shared" si="66"/>
        <v>-0.27500235511399729</v>
      </c>
      <c r="I201" s="17"/>
      <c r="J201" s="20">
        <f t="shared" si="67"/>
        <v>13.75813974325858</v>
      </c>
      <c r="K201" s="20">
        <f t="shared" si="68"/>
        <v>1.831064593723102E-3</v>
      </c>
      <c r="L201" s="20">
        <f t="shared" si="69"/>
        <v>0.4732111753968517</v>
      </c>
      <c r="M201" s="20">
        <f t="shared" si="70"/>
        <v>0.4732111753968517</v>
      </c>
      <c r="N201" s="20">
        <f t="shared" si="71"/>
        <v>0.4732111753968517</v>
      </c>
      <c r="O201" s="17"/>
      <c r="P201" s="20">
        <f t="shared" si="72"/>
        <v>93.495325517593017</v>
      </c>
      <c r="Q201" s="20">
        <f t="shared" si="73"/>
        <v>169.7627981951652</v>
      </c>
      <c r="R201" s="20">
        <f t="shared" si="74"/>
        <v>0</v>
      </c>
      <c r="S201" s="20">
        <f t="shared" si="75"/>
        <v>0</v>
      </c>
      <c r="T201" s="20">
        <f t="shared" si="76"/>
        <v>0</v>
      </c>
      <c r="U201" s="17"/>
      <c r="V201" s="20">
        <f t="shared" si="77"/>
        <v>263.25812371275822</v>
      </c>
      <c r="W201" s="17"/>
      <c r="X201" s="20">
        <f t="shared" si="78"/>
        <v>0.27834729048556039</v>
      </c>
      <c r="Y201" s="20">
        <f t="shared" si="79"/>
        <v>0.5275862872417747</v>
      </c>
      <c r="Z201" s="20"/>
      <c r="AA201" s="20">
        <f t="shared" si="80"/>
        <v>3.4480901569318018E-6</v>
      </c>
    </row>
    <row r="202" spans="2:27" x14ac:dyDescent="0.3">
      <c r="B202" s="28">
        <v>16.399999999999999</v>
      </c>
      <c r="C202" s="28">
        <v>230.03570999999999</v>
      </c>
      <c r="D202" s="20">
        <f t="shared" si="62"/>
        <v>16.454948553845888</v>
      </c>
      <c r="E202" s="20">
        <f t="shared" si="63"/>
        <v>-6.2959800491323881</v>
      </c>
      <c r="F202" s="20">
        <f t="shared" si="64"/>
        <v>-0.26389124400288644</v>
      </c>
      <c r="G202" s="20">
        <f t="shared" si="65"/>
        <v>-0.26389124400288644</v>
      </c>
      <c r="H202" s="20">
        <f t="shared" si="66"/>
        <v>-0.26389124400288644</v>
      </c>
      <c r="I202" s="17"/>
      <c r="J202" s="20">
        <f t="shared" si="67"/>
        <v>13.828235967464066</v>
      </c>
      <c r="K202" s="20">
        <f t="shared" si="68"/>
        <v>1.8403116241381785E-3</v>
      </c>
      <c r="L202" s="20">
        <f t="shared" si="69"/>
        <v>0.47678931961510429</v>
      </c>
      <c r="M202" s="20">
        <f t="shared" si="70"/>
        <v>0.47678931961510429</v>
      </c>
      <c r="N202" s="20">
        <f t="shared" si="71"/>
        <v>0.47678931961510429</v>
      </c>
      <c r="O202" s="17"/>
      <c r="P202" s="20">
        <f t="shared" si="72"/>
        <v>92.581659757329135</v>
      </c>
      <c r="Q202" s="20">
        <f t="shared" si="73"/>
        <v>168.90823048719665</v>
      </c>
      <c r="R202" s="20">
        <f t="shared" si="74"/>
        <v>0</v>
      </c>
      <c r="S202" s="20">
        <f t="shared" si="75"/>
        <v>0</v>
      </c>
      <c r="T202" s="20">
        <f t="shared" si="76"/>
        <v>0</v>
      </c>
      <c r="U202" s="17"/>
      <c r="V202" s="20">
        <f t="shared" si="77"/>
        <v>261.48989024452578</v>
      </c>
      <c r="W202" s="17"/>
      <c r="X202" s="20">
        <f t="shared" si="78"/>
        <v>989.36545485511635</v>
      </c>
      <c r="Y202" s="20">
        <f t="shared" si="79"/>
        <v>31.454180244525787</v>
      </c>
      <c r="Z202" s="20"/>
      <c r="AA202" s="20">
        <f t="shared" si="80"/>
        <v>2.0557177454804857E-4</v>
      </c>
    </row>
    <row r="203" spans="2:27" x14ac:dyDescent="0.3">
      <c r="B203" s="28">
        <v>16.5</v>
      </c>
      <c r="C203" s="28">
        <v>266.53570999999999</v>
      </c>
      <c r="D203" s="20">
        <f t="shared" si="62"/>
        <v>16.530126734144545</v>
      </c>
      <c r="E203" s="20">
        <f t="shared" si="63"/>
        <v>-6.2909334267854291</v>
      </c>
      <c r="F203" s="20">
        <f t="shared" si="64"/>
        <v>-0.25278013289177492</v>
      </c>
      <c r="G203" s="20">
        <f t="shared" si="65"/>
        <v>-0.25278013289177492</v>
      </c>
      <c r="H203" s="20">
        <f t="shared" si="66"/>
        <v>-0.25278013289177492</v>
      </c>
      <c r="I203" s="17"/>
      <c r="J203" s="20">
        <f t="shared" si="67"/>
        <v>13.898356162679123</v>
      </c>
      <c r="K203" s="20">
        <f t="shared" si="68"/>
        <v>1.8496052666217297E-3</v>
      </c>
      <c r="L203" s="20">
        <f t="shared" si="69"/>
        <v>0.48038573997472234</v>
      </c>
      <c r="M203" s="20">
        <f t="shared" si="70"/>
        <v>0.48038573997472234</v>
      </c>
      <c r="N203" s="20">
        <f t="shared" si="71"/>
        <v>0.48038573997472234</v>
      </c>
      <c r="O203" s="17"/>
      <c r="P203" s="20">
        <f t="shared" si="72"/>
        <v>91.681021485867632</v>
      </c>
      <c r="Q203" s="20">
        <f t="shared" si="73"/>
        <v>168.05796461014125</v>
      </c>
      <c r="R203" s="20">
        <f t="shared" si="74"/>
        <v>0</v>
      </c>
      <c r="S203" s="20">
        <f t="shared" si="75"/>
        <v>0</v>
      </c>
      <c r="T203" s="20">
        <f t="shared" si="76"/>
        <v>0</v>
      </c>
      <c r="U203" s="17"/>
      <c r="V203" s="20">
        <f t="shared" si="77"/>
        <v>259.73898609600889</v>
      </c>
      <c r="W203" s="17"/>
      <c r="X203" s="20">
        <f t="shared" si="78"/>
        <v>46.195455827084125</v>
      </c>
      <c r="Y203" s="20">
        <f t="shared" si="79"/>
        <v>6.7967239039911078</v>
      </c>
      <c r="Z203" s="20"/>
      <c r="AA203" s="20">
        <f t="shared" si="80"/>
        <v>4.442063290775987E-5</v>
      </c>
    </row>
    <row r="204" spans="2:27" x14ac:dyDescent="0.3">
      <c r="B204" s="28">
        <v>16.600000000000001</v>
      </c>
      <c r="C204" s="28">
        <v>260.53570999999999</v>
      </c>
      <c r="D204" s="20">
        <f t="shared" si="62"/>
        <v>16.605304914443209</v>
      </c>
      <c r="E204" s="20">
        <f t="shared" si="63"/>
        <v>-6.2858868044384693</v>
      </c>
      <c r="F204" s="20">
        <f t="shared" si="64"/>
        <v>-0.24166902178066385</v>
      </c>
      <c r="G204" s="20">
        <f t="shared" si="65"/>
        <v>-0.24166902178066385</v>
      </c>
      <c r="H204" s="20">
        <f t="shared" si="66"/>
        <v>-0.24166902178066385</v>
      </c>
      <c r="I204" s="17"/>
      <c r="J204" s="20">
        <f t="shared" si="67"/>
        <v>13.968500111872343</v>
      </c>
      <c r="K204" s="20">
        <f t="shared" si="68"/>
        <v>1.8589457552627068E-3</v>
      </c>
      <c r="L204" s="20">
        <f t="shared" si="69"/>
        <v>0.48400044045475993</v>
      </c>
      <c r="M204" s="20">
        <f t="shared" si="70"/>
        <v>0.48400044045475993</v>
      </c>
      <c r="N204" s="20">
        <f t="shared" si="71"/>
        <v>0.48400044045475993</v>
      </c>
      <c r="O204" s="17"/>
      <c r="P204" s="20">
        <f t="shared" si="72"/>
        <v>90.793168445196983</v>
      </c>
      <c r="Q204" s="20">
        <f t="shared" si="73"/>
        <v>167.2119789090429</v>
      </c>
      <c r="R204" s="20">
        <f t="shared" si="74"/>
        <v>0</v>
      </c>
      <c r="S204" s="20">
        <f t="shared" si="75"/>
        <v>0</v>
      </c>
      <c r="T204" s="20">
        <f t="shared" si="76"/>
        <v>0</v>
      </c>
      <c r="U204" s="17"/>
      <c r="V204" s="20">
        <f t="shared" si="77"/>
        <v>258.00514735423985</v>
      </c>
      <c r="W204" s="17"/>
      <c r="X204" s="20">
        <f t="shared" si="78"/>
        <v>6.4037473041165702</v>
      </c>
      <c r="Y204" s="20">
        <f t="shared" si="79"/>
        <v>2.530562645760142</v>
      </c>
      <c r="Z204" s="20"/>
      <c r="AA204" s="20">
        <f t="shared" si="80"/>
        <v>1.6538731883958532E-5</v>
      </c>
    </row>
    <row r="205" spans="2:27" x14ac:dyDescent="0.3">
      <c r="B205" s="28">
        <v>16.7</v>
      </c>
      <c r="C205" s="28">
        <v>243.28570999999999</v>
      </c>
      <c r="D205" s="20">
        <f t="shared" si="62"/>
        <v>16.680483094741867</v>
      </c>
      <c r="E205" s="20">
        <f t="shared" si="63"/>
        <v>-6.2808401820915103</v>
      </c>
      <c r="F205" s="20">
        <f t="shared" si="64"/>
        <v>-0.230557910669553</v>
      </c>
      <c r="G205" s="20">
        <f t="shared" si="65"/>
        <v>-0.230557910669553</v>
      </c>
      <c r="H205" s="20">
        <f t="shared" si="66"/>
        <v>-0.230557910669553</v>
      </c>
      <c r="I205" s="17"/>
      <c r="J205" s="20">
        <f t="shared" si="67"/>
        <v>14.038667600870417</v>
      </c>
      <c r="K205" s="20">
        <f t="shared" si="68"/>
        <v>1.8683333253168685E-3</v>
      </c>
      <c r="L205" s="20">
        <f t="shared" si="69"/>
        <v>0.48763342434897261</v>
      </c>
      <c r="M205" s="20">
        <f t="shared" si="70"/>
        <v>0.48763342434897261</v>
      </c>
      <c r="N205" s="20">
        <f t="shared" si="71"/>
        <v>0.48763342434897261</v>
      </c>
      <c r="O205" s="17"/>
      <c r="P205" s="20">
        <f t="shared" si="72"/>
        <v>89.917863903622916</v>
      </c>
      <c r="Q205" s="20">
        <f t="shared" si="73"/>
        <v>166.37025183795529</v>
      </c>
      <c r="R205" s="20">
        <f t="shared" si="74"/>
        <v>0</v>
      </c>
      <c r="S205" s="20">
        <f t="shared" si="75"/>
        <v>0</v>
      </c>
      <c r="T205" s="20">
        <f t="shared" si="76"/>
        <v>0</v>
      </c>
      <c r="U205" s="17"/>
      <c r="V205" s="20">
        <f t="shared" si="77"/>
        <v>256.28811574157822</v>
      </c>
      <c r="W205" s="17"/>
      <c r="X205" s="20">
        <f t="shared" si="78"/>
        <v>169.06255506862649</v>
      </c>
      <c r="Y205" s="20">
        <f t="shared" si="79"/>
        <v>13.002405741578229</v>
      </c>
      <c r="Z205" s="20"/>
      <c r="AA205" s="20">
        <f t="shared" si="80"/>
        <v>8.4978454402898079E-5</v>
      </c>
    </row>
    <row r="206" spans="2:27" x14ac:dyDescent="0.3">
      <c r="B206" s="28">
        <v>16.8</v>
      </c>
      <c r="C206" s="28">
        <v>245.53570999999999</v>
      </c>
      <c r="D206" s="20">
        <f t="shared" si="62"/>
        <v>16.755661275040527</v>
      </c>
      <c r="E206" s="20">
        <f t="shared" si="63"/>
        <v>-6.2757935597445513</v>
      </c>
      <c r="F206" s="20">
        <f t="shared" si="64"/>
        <v>-0.21944679955844171</v>
      </c>
      <c r="G206" s="20">
        <f t="shared" si="65"/>
        <v>-0.21944679955844171</v>
      </c>
      <c r="H206" s="20">
        <f t="shared" si="66"/>
        <v>-0.21944679955844171</v>
      </c>
      <c r="I206" s="17"/>
      <c r="J206" s="20">
        <f t="shared" si="67"/>
        <v>14.108858418309293</v>
      </c>
      <c r="K206" s="20">
        <f t="shared" si="68"/>
        <v>1.8777682132125196E-3</v>
      </c>
      <c r="L206" s="20">
        <f t="shared" si="69"/>
        <v>0.49128469426862337</v>
      </c>
      <c r="M206" s="20">
        <f t="shared" si="70"/>
        <v>0.49128469426862337</v>
      </c>
      <c r="N206" s="20">
        <f t="shared" si="71"/>
        <v>0.49128469426862337</v>
      </c>
      <c r="O206" s="17"/>
      <c r="P206" s="20">
        <f t="shared" si="72"/>
        <v>89.054876506990098</v>
      </c>
      <c r="Q206" s="20">
        <f t="shared" si="73"/>
        <v>165.5327619593923</v>
      </c>
      <c r="R206" s="20">
        <f t="shared" si="74"/>
        <v>0</v>
      </c>
      <c r="S206" s="20">
        <f t="shared" si="75"/>
        <v>0</v>
      </c>
      <c r="T206" s="20">
        <f t="shared" si="76"/>
        <v>0</v>
      </c>
      <c r="U206" s="17"/>
      <c r="V206" s="20">
        <f t="shared" si="77"/>
        <v>254.5876384663824</v>
      </c>
      <c r="W206" s="17"/>
      <c r="X206" s="20">
        <f t="shared" si="78"/>
        <v>81.937408960504143</v>
      </c>
      <c r="Y206" s="20">
        <f t="shared" si="79"/>
        <v>9.0519284663824067</v>
      </c>
      <c r="Z206" s="20"/>
      <c r="AA206" s="20">
        <f t="shared" si="80"/>
        <v>5.9159735954017753E-5</v>
      </c>
    </row>
    <row r="207" spans="2:27" x14ac:dyDescent="0.3">
      <c r="B207" s="28">
        <v>16.899999999999999</v>
      </c>
      <c r="C207" s="28">
        <v>275.03570999999999</v>
      </c>
      <c r="D207" s="20">
        <f t="shared" si="62"/>
        <v>16.830839455339184</v>
      </c>
      <c r="E207" s="20">
        <f t="shared" si="63"/>
        <v>-6.2707469373975924</v>
      </c>
      <c r="F207" s="20">
        <f t="shared" si="64"/>
        <v>-0.20833568844733064</v>
      </c>
      <c r="G207" s="20">
        <f t="shared" si="65"/>
        <v>-0.20833568844733064</v>
      </c>
      <c r="H207" s="20">
        <f t="shared" si="66"/>
        <v>-0.20833568844733064</v>
      </c>
      <c r="I207" s="17"/>
      <c r="J207" s="20">
        <f t="shared" si="67"/>
        <v>14.179072355586257</v>
      </c>
      <c r="K207" s="20">
        <f t="shared" si="68"/>
        <v>1.8872506565562554E-3</v>
      </c>
      <c r="L207" s="20">
        <f t="shared" si="69"/>
        <v>0.49495425214539401</v>
      </c>
      <c r="M207" s="20">
        <f t="shared" si="70"/>
        <v>0.49495425214539401</v>
      </c>
      <c r="N207" s="20">
        <f t="shared" si="71"/>
        <v>0.49495425214539401</v>
      </c>
      <c r="O207" s="17"/>
      <c r="P207" s="20">
        <f t="shared" si="72"/>
        <v>88.203980134507233</v>
      </c>
      <c r="Q207" s="20">
        <f t="shared" si="73"/>
        <v>164.69948794378283</v>
      </c>
      <c r="R207" s="20">
        <f t="shared" si="74"/>
        <v>0</v>
      </c>
      <c r="S207" s="20">
        <f t="shared" si="75"/>
        <v>0</v>
      </c>
      <c r="T207" s="20">
        <f t="shared" si="76"/>
        <v>0</v>
      </c>
      <c r="U207" s="17"/>
      <c r="V207" s="20">
        <f t="shared" si="77"/>
        <v>252.90346807829008</v>
      </c>
      <c r="W207" s="17"/>
      <c r="X207" s="20">
        <f t="shared" si="78"/>
        <v>489.83613248109401</v>
      </c>
      <c r="Y207" s="20">
        <f t="shared" si="79"/>
        <v>22.13224192170992</v>
      </c>
      <c r="Z207" s="20"/>
      <c r="AA207" s="20">
        <f t="shared" si="80"/>
        <v>1.4464736360008781E-4</v>
      </c>
    </row>
    <row r="208" spans="2:27" x14ac:dyDescent="0.3">
      <c r="B208" s="28">
        <v>17</v>
      </c>
      <c r="C208" s="28">
        <v>240.78570999999999</v>
      </c>
      <c r="D208" s="20">
        <f t="shared" si="62"/>
        <v>16.906017635637845</v>
      </c>
      <c r="E208" s="20">
        <f t="shared" si="63"/>
        <v>-6.2657003150506334</v>
      </c>
      <c r="F208" s="20">
        <f t="shared" si="64"/>
        <v>-0.19722457733621934</v>
      </c>
      <c r="G208" s="20">
        <f t="shared" si="65"/>
        <v>-0.19722457733621934</v>
      </c>
      <c r="H208" s="20">
        <f t="shared" si="66"/>
        <v>-0.19722457733621934</v>
      </c>
      <c r="I208" s="17"/>
      <c r="J208" s="20">
        <f t="shared" si="67"/>
        <v>14.24930920681309</v>
      </c>
      <c r="K208" s="20">
        <f t="shared" si="68"/>
        <v>1.8967808941387477E-3</v>
      </c>
      <c r="L208" s="20">
        <f t="shared" si="69"/>
        <v>0.49864209923440084</v>
      </c>
      <c r="M208" s="20">
        <f t="shared" si="70"/>
        <v>0.49864209923440084</v>
      </c>
      <c r="N208" s="20">
        <f t="shared" si="71"/>
        <v>0.49864209923440084</v>
      </c>
      <c r="O208" s="17"/>
      <c r="P208" s="20">
        <f t="shared" si="72"/>
        <v>87.364953759013602</v>
      </c>
      <c r="Q208" s="20">
        <f t="shared" si="73"/>
        <v>163.87040856892719</v>
      </c>
      <c r="R208" s="20">
        <f t="shared" si="74"/>
        <v>0</v>
      </c>
      <c r="S208" s="20">
        <f t="shared" si="75"/>
        <v>0</v>
      </c>
      <c r="T208" s="20">
        <f t="shared" si="76"/>
        <v>0</v>
      </c>
      <c r="U208" s="17"/>
      <c r="V208" s="20">
        <f t="shared" si="77"/>
        <v>251.23536232794078</v>
      </c>
      <c r="W208" s="17"/>
      <c r="X208" s="20">
        <f t="shared" si="78"/>
        <v>109.19523377483821</v>
      </c>
      <c r="Y208" s="20">
        <f t="shared" si="79"/>
        <v>10.449652327940782</v>
      </c>
      <c r="Z208" s="20"/>
      <c r="AA208" s="20">
        <f t="shared" si="80"/>
        <v>6.8294692653412674E-5</v>
      </c>
    </row>
    <row r="209" spans="2:27" x14ac:dyDescent="0.3">
      <c r="B209" s="28">
        <v>17.100000000000001</v>
      </c>
      <c r="C209" s="28">
        <v>260.78570999999999</v>
      </c>
      <c r="D209" s="20">
        <f t="shared" si="62"/>
        <v>16.981195815936506</v>
      </c>
      <c r="E209" s="20">
        <f t="shared" si="63"/>
        <v>-6.2606536927036736</v>
      </c>
      <c r="F209" s="20">
        <f t="shared" si="64"/>
        <v>-0.18611346622510827</v>
      </c>
      <c r="G209" s="20">
        <f t="shared" si="65"/>
        <v>-0.18611346622510827</v>
      </c>
      <c r="H209" s="20">
        <f t="shared" si="66"/>
        <v>-0.18611346622510827</v>
      </c>
      <c r="I209" s="17"/>
      <c r="J209" s="20">
        <f t="shared" si="67"/>
        <v>14.319568768770139</v>
      </c>
      <c r="K209" s="20">
        <f t="shared" si="68"/>
        <v>1.9063591659405554E-3</v>
      </c>
      <c r="L209" s="20">
        <f t="shared" si="69"/>
        <v>0.50234823611731216</v>
      </c>
      <c r="M209" s="20">
        <f t="shared" si="70"/>
        <v>0.50234823611731216</v>
      </c>
      <c r="N209" s="20">
        <f t="shared" si="71"/>
        <v>0.50234823611731216</v>
      </c>
      <c r="O209" s="17"/>
      <c r="P209" s="20">
        <f t="shared" si="72"/>
        <v>86.537581311534069</v>
      </c>
      <c r="Q209" s="20">
        <f t="shared" si="73"/>
        <v>163.04550271945644</v>
      </c>
      <c r="R209" s="20">
        <f t="shared" si="74"/>
        <v>0</v>
      </c>
      <c r="S209" s="20">
        <f t="shared" si="75"/>
        <v>0</v>
      </c>
      <c r="T209" s="20">
        <f t="shared" si="76"/>
        <v>0</v>
      </c>
      <c r="U209" s="17"/>
      <c r="V209" s="20">
        <f t="shared" si="77"/>
        <v>249.58308403099051</v>
      </c>
      <c r="W209" s="17"/>
      <c r="X209" s="20">
        <f t="shared" si="78"/>
        <v>125.49882860152579</v>
      </c>
      <c r="Y209" s="20">
        <f t="shared" si="79"/>
        <v>11.202625969009489</v>
      </c>
      <c r="Z209" s="20"/>
      <c r="AA209" s="20">
        <f t="shared" si="80"/>
        <v>7.3215823211546954E-5</v>
      </c>
    </row>
    <row r="210" spans="2:27" x14ac:dyDescent="0.3">
      <c r="B210" s="28">
        <v>17.2</v>
      </c>
      <c r="C210" s="28">
        <v>260.03570999999999</v>
      </c>
      <c r="D210" s="20">
        <f t="shared" si="62"/>
        <v>17.056373996235166</v>
      </c>
      <c r="E210" s="20">
        <f t="shared" si="63"/>
        <v>-6.2556070703567146</v>
      </c>
      <c r="F210" s="20">
        <f t="shared" si="64"/>
        <v>-0.17500235511399742</v>
      </c>
      <c r="G210" s="20">
        <f t="shared" si="65"/>
        <v>-0.17500235511399742</v>
      </c>
      <c r="H210" s="20">
        <f t="shared" si="66"/>
        <v>-0.17500235511399742</v>
      </c>
      <c r="I210" s="17"/>
      <c r="J210" s="20">
        <f t="shared" si="67"/>
        <v>14.389850840861373</v>
      </c>
      <c r="K210" s="20">
        <f t="shared" si="68"/>
        <v>1.9159857131379537E-3</v>
      </c>
      <c r="L210" s="20">
        <f t="shared" si="69"/>
        <v>0.50607266270556661</v>
      </c>
      <c r="M210" s="20">
        <f t="shared" si="70"/>
        <v>0.50607266270556661</v>
      </c>
      <c r="N210" s="20">
        <f t="shared" si="71"/>
        <v>0.50607266270556661</v>
      </c>
      <c r="O210" s="17"/>
      <c r="P210" s="20">
        <f t="shared" si="72"/>
        <v>85.721651549973515</v>
      </c>
      <c r="Q210" s="20">
        <f t="shared" si="73"/>
        <v>162.22474938629549</v>
      </c>
      <c r="R210" s="20">
        <f t="shared" si="74"/>
        <v>0</v>
      </c>
      <c r="S210" s="20">
        <f t="shared" si="75"/>
        <v>0</v>
      </c>
      <c r="T210" s="20">
        <f t="shared" si="76"/>
        <v>0</v>
      </c>
      <c r="U210" s="17"/>
      <c r="V210" s="20">
        <f t="shared" si="77"/>
        <v>247.94640093626901</v>
      </c>
      <c r="W210" s="17"/>
      <c r="X210" s="20">
        <f t="shared" si="78"/>
        <v>146.15139363840802</v>
      </c>
      <c r="Y210" s="20">
        <f t="shared" si="79"/>
        <v>12.08930906373098</v>
      </c>
      <c r="Z210" s="20"/>
      <c r="AA210" s="20">
        <f t="shared" si="80"/>
        <v>7.9010824569923643E-5</v>
      </c>
    </row>
    <row r="211" spans="2:27" x14ac:dyDescent="0.3">
      <c r="B211" s="28">
        <v>17.3</v>
      </c>
      <c r="C211" s="28">
        <v>222.78570999999999</v>
      </c>
      <c r="D211" s="20">
        <f t="shared" si="62"/>
        <v>17.131552176533823</v>
      </c>
      <c r="E211" s="20">
        <f t="shared" si="63"/>
        <v>-6.2505604480097556</v>
      </c>
      <c r="F211" s="20">
        <f t="shared" si="64"/>
        <v>-0.16389124400288591</v>
      </c>
      <c r="G211" s="20">
        <f t="shared" si="65"/>
        <v>-0.16389124400288591</v>
      </c>
      <c r="H211" s="20">
        <f t="shared" si="66"/>
        <v>-0.16389124400288591</v>
      </c>
      <c r="I211" s="17"/>
      <c r="J211" s="20">
        <f t="shared" si="67"/>
        <v>14.460155225070341</v>
      </c>
      <c r="K211" s="20">
        <f t="shared" si="68"/>
        <v>1.9256607781088092E-3</v>
      </c>
      <c r="L211" s="20">
        <f t="shared" si="69"/>
        <v>0.50981537824368961</v>
      </c>
      <c r="M211" s="20">
        <f t="shared" si="70"/>
        <v>0.50981537824368961</v>
      </c>
      <c r="N211" s="20">
        <f t="shared" si="71"/>
        <v>0.50981537824368961</v>
      </c>
      <c r="O211" s="17"/>
      <c r="P211" s="20">
        <f t="shared" si="72"/>
        <v>84.916957931808199</v>
      </c>
      <c r="Q211" s="20">
        <f t="shared" si="73"/>
        <v>161.4081276661268</v>
      </c>
      <c r="R211" s="20">
        <f t="shared" si="74"/>
        <v>0</v>
      </c>
      <c r="S211" s="20">
        <f t="shared" si="75"/>
        <v>0</v>
      </c>
      <c r="T211" s="20">
        <f t="shared" si="76"/>
        <v>0</v>
      </c>
      <c r="U211" s="17"/>
      <c r="V211" s="20">
        <f t="shared" si="77"/>
        <v>246.32508559793501</v>
      </c>
      <c r="W211" s="17"/>
      <c r="X211" s="20">
        <f t="shared" si="78"/>
        <v>554.10220354065871</v>
      </c>
      <c r="Y211" s="20">
        <f t="shared" si="79"/>
        <v>23.53937559793502</v>
      </c>
      <c r="Z211" s="20"/>
      <c r="AA211" s="20">
        <f t="shared" si="80"/>
        <v>1.5384381903460058E-4</v>
      </c>
    </row>
    <row r="212" spans="2:27" x14ac:dyDescent="0.3">
      <c r="B212" s="28">
        <v>17.399999999999999</v>
      </c>
      <c r="C212" s="28">
        <v>237.28570999999999</v>
      </c>
      <c r="D212" s="20">
        <f t="shared" si="62"/>
        <v>17.206730356832484</v>
      </c>
      <c r="E212" s="20">
        <f t="shared" si="63"/>
        <v>-6.2455138256627967</v>
      </c>
      <c r="F212" s="20">
        <f t="shared" si="64"/>
        <v>-0.15278013289177506</v>
      </c>
      <c r="G212" s="20">
        <f t="shared" si="65"/>
        <v>-0.15278013289177506</v>
      </c>
      <c r="H212" s="20">
        <f t="shared" si="66"/>
        <v>-0.15278013289177506</v>
      </c>
      <c r="I212" s="17"/>
      <c r="J212" s="20">
        <f t="shared" si="67"/>
        <v>14.53048172591707</v>
      </c>
      <c r="K212" s="20">
        <f t="shared" si="68"/>
        <v>1.9353846044384653E-3</v>
      </c>
      <c r="L212" s="20">
        <f t="shared" si="69"/>
        <v>0.51357638131270589</v>
      </c>
      <c r="M212" s="20">
        <f t="shared" si="70"/>
        <v>0.51357638131270589</v>
      </c>
      <c r="N212" s="20">
        <f t="shared" si="71"/>
        <v>0.51357638131270589</v>
      </c>
      <c r="O212" s="17"/>
      <c r="P212" s="20">
        <f t="shared" si="72"/>
        <v>84.123298490636884</v>
      </c>
      <c r="Q212" s="20">
        <f t="shared" si="73"/>
        <v>160.59561676085877</v>
      </c>
      <c r="R212" s="20">
        <f t="shared" si="74"/>
        <v>0</v>
      </c>
      <c r="S212" s="20">
        <f t="shared" si="75"/>
        <v>0</v>
      </c>
      <c r="T212" s="20">
        <f t="shared" si="76"/>
        <v>0</v>
      </c>
      <c r="U212" s="17"/>
      <c r="V212" s="20">
        <f t="shared" si="77"/>
        <v>244.71891525149567</v>
      </c>
      <c r="W212" s="17"/>
      <c r="X212" s="20">
        <f t="shared" si="78"/>
        <v>55.252540310862933</v>
      </c>
      <c r="Y212" s="20">
        <f t="shared" si="79"/>
        <v>7.4332052514956786</v>
      </c>
      <c r="Z212" s="20"/>
      <c r="AA212" s="20">
        <f t="shared" si="80"/>
        <v>4.8580417046340915E-5</v>
      </c>
    </row>
    <row r="213" spans="2:27" x14ac:dyDescent="0.3">
      <c r="B213" s="28">
        <v>17.5</v>
      </c>
      <c r="C213" s="28">
        <v>242.28572</v>
      </c>
      <c r="D213" s="20">
        <f t="shared" si="62"/>
        <v>17.281908537131144</v>
      </c>
      <c r="E213" s="20">
        <f t="shared" si="63"/>
        <v>-6.2404672033158368</v>
      </c>
      <c r="F213" s="20">
        <f t="shared" si="64"/>
        <v>-0.14166902178066398</v>
      </c>
      <c r="G213" s="20">
        <f t="shared" si="65"/>
        <v>-0.14166902178066398</v>
      </c>
      <c r="H213" s="20">
        <f t="shared" si="66"/>
        <v>-0.14166902178066398</v>
      </c>
      <c r="I213" s="17"/>
      <c r="J213" s="20">
        <f t="shared" si="67"/>
        <v>14.600830150415781</v>
      </c>
      <c r="K213" s="20">
        <f t="shared" si="68"/>
        <v>1.9451574369256644E-3</v>
      </c>
      <c r="L213" s="20">
        <f t="shared" si="69"/>
        <v>0.51735566983364867</v>
      </c>
      <c r="M213" s="20">
        <f t="shared" si="70"/>
        <v>0.51735566983364867</v>
      </c>
      <c r="N213" s="20">
        <f t="shared" si="71"/>
        <v>0.51735566983364867</v>
      </c>
      <c r="O213" s="17"/>
      <c r="P213" s="20">
        <f t="shared" si="72"/>
        <v>83.340475716460531</v>
      </c>
      <c r="Q213" s="20">
        <f t="shared" si="73"/>
        <v>159.78719597709593</v>
      </c>
      <c r="R213" s="20">
        <f t="shared" si="74"/>
        <v>0</v>
      </c>
      <c r="S213" s="20">
        <f t="shared" si="75"/>
        <v>0</v>
      </c>
      <c r="T213" s="20">
        <f t="shared" si="76"/>
        <v>0</v>
      </c>
      <c r="U213" s="17"/>
      <c r="V213" s="20">
        <f t="shared" si="77"/>
        <v>243.12767169355647</v>
      </c>
      <c r="W213" s="17"/>
      <c r="X213" s="20">
        <f t="shared" si="78"/>
        <v>0.70888265428260333</v>
      </c>
      <c r="Y213" s="20">
        <f t="shared" si="79"/>
        <v>0.84195169355646726</v>
      </c>
      <c r="Z213" s="20"/>
      <c r="AA213" s="20">
        <f t="shared" si="80"/>
        <v>5.5026550487915026E-6</v>
      </c>
    </row>
    <row r="214" spans="2:27" x14ac:dyDescent="0.3">
      <c r="B214" s="28">
        <v>17.600000000000001</v>
      </c>
      <c r="C214" s="28">
        <v>231.78572</v>
      </c>
      <c r="D214" s="20">
        <f t="shared" si="62"/>
        <v>17.357086717429805</v>
      </c>
      <c r="E214" s="20">
        <f t="shared" si="63"/>
        <v>-6.2354205809688779</v>
      </c>
      <c r="F214" s="20">
        <f t="shared" si="64"/>
        <v>-0.13055791066955269</v>
      </c>
      <c r="G214" s="20">
        <f t="shared" si="65"/>
        <v>-0.13055791066955269</v>
      </c>
      <c r="H214" s="20">
        <f t="shared" si="66"/>
        <v>-0.13055791066955269</v>
      </c>
      <c r="I214" s="17"/>
      <c r="J214" s="20">
        <f t="shared" si="67"/>
        <v>14.671200308033521</v>
      </c>
      <c r="K214" s="20">
        <f t="shared" si="68"/>
        <v>1.9549795215884928E-3</v>
      </c>
      <c r="L214" s="20">
        <f t="shared" si="69"/>
        <v>0.52115324107116068</v>
      </c>
      <c r="M214" s="20">
        <f t="shared" si="70"/>
        <v>0.52115324107116068</v>
      </c>
      <c r="N214" s="20">
        <f t="shared" si="71"/>
        <v>0.52115324107116068</v>
      </c>
      <c r="O214" s="17"/>
      <c r="P214" s="20">
        <f t="shared" si="72"/>
        <v>82.568296439562303</v>
      </c>
      <c r="Q214" s="20">
        <f t="shared" si="73"/>
        <v>158.98284472561195</v>
      </c>
      <c r="R214" s="20">
        <f t="shared" si="74"/>
        <v>0</v>
      </c>
      <c r="S214" s="20">
        <f t="shared" si="75"/>
        <v>0</v>
      </c>
      <c r="T214" s="20">
        <f t="shared" si="76"/>
        <v>0</v>
      </c>
      <c r="U214" s="17"/>
      <c r="V214" s="20">
        <f t="shared" si="77"/>
        <v>241.55114116517427</v>
      </c>
      <c r="W214" s="17"/>
      <c r="X214" s="20">
        <f t="shared" si="78"/>
        <v>95.363450533233674</v>
      </c>
      <c r="Y214" s="20">
        <f t="shared" si="79"/>
        <v>9.7654211651742742</v>
      </c>
      <c r="Z214" s="20"/>
      <c r="AA214" s="20">
        <f t="shared" si="80"/>
        <v>6.3822835073990751E-5</v>
      </c>
    </row>
    <row r="215" spans="2:27" x14ac:dyDescent="0.3">
      <c r="B215" s="28">
        <v>17.7</v>
      </c>
      <c r="C215" s="28">
        <v>253.03570999999999</v>
      </c>
      <c r="D215" s="20">
        <f t="shared" si="62"/>
        <v>17.432264897728462</v>
      </c>
      <c r="E215" s="20">
        <f t="shared" si="63"/>
        <v>-6.2303739586219189</v>
      </c>
      <c r="F215" s="20">
        <f t="shared" si="64"/>
        <v>-0.11944679955844184</v>
      </c>
      <c r="G215" s="20">
        <f t="shared" si="65"/>
        <v>-0.11944679955844184</v>
      </c>
      <c r="H215" s="20">
        <f t="shared" si="66"/>
        <v>-0.11944679955844184</v>
      </c>
      <c r="I215" s="17"/>
      <c r="J215" s="20">
        <f t="shared" si="67"/>
        <v>14.74159201064961</v>
      </c>
      <c r="K215" s="20">
        <f t="shared" si="68"/>
        <v>1.9648511056703645E-3</v>
      </c>
      <c r="L215" s="20">
        <f t="shared" si="69"/>
        <v>0.52496909163718586</v>
      </c>
      <c r="M215" s="20">
        <f t="shared" si="70"/>
        <v>0.52496909163718586</v>
      </c>
      <c r="N215" s="20">
        <f t="shared" si="71"/>
        <v>0.52496909163718586</v>
      </c>
      <c r="O215" s="17"/>
      <c r="P215" s="20">
        <f t="shared" si="72"/>
        <v>81.806571717866817</v>
      </c>
      <c r="Q215" s="20">
        <f t="shared" si="73"/>
        <v>158.18254252082497</v>
      </c>
      <c r="R215" s="20">
        <f t="shared" si="74"/>
        <v>0</v>
      </c>
      <c r="S215" s="20">
        <f t="shared" si="75"/>
        <v>0</v>
      </c>
      <c r="T215" s="20">
        <f t="shared" si="76"/>
        <v>0</v>
      </c>
      <c r="U215" s="17"/>
      <c r="V215" s="20">
        <f t="shared" si="77"/>
        <v>239.9891142386918</v>
      </c>
      <c r="W215" s="17"/>
      <c r="X215" s="20">
        <f t="shared" si="78"/>
        <v>170.213660958985</v>
      </c>
      <c r="Y215" s="20">
        <f t="shared" si="79"/>
        <v>13.046595761308197</v>
      </c>
      <c r="Z215" s="20"/>
      <c r="AA215" s="20">
        <f t="shared" si="80"/>
        <v>8.5267262462831019E-5</v>
      </c>
    </row>
    <row r="216" spans="2:27" x14ac:dyDescent="0.3">
      <c r="B216" s="28">
        <v>17.8</v>
      </c>
      <c r="C216" s="28">
        <v>244.03570999999999</v>
      </c>
      <c r="D216" s="20">
        <f t="shared" si="62"/>
        <v>17.507443078027123</v>
      </c>
      <c r="E216" s="20">
        <f t="shared" si="63"/>
        <v>-6.2253273362749599</v>
      </c>
      <c r="F216" s="20">
        <f t="shared" si="64"/>
        <v>-0.10833568844733032</v>
      </c>
      <c r="G216" s="20">
        <f t="shared" si="65"/>
        <v>-0.10833568844733032</v>
      </c>
      <c r="H216" s="20">
        <f t="shared" si="66"/>
        <v>-0.10833568844733032</v>
      </c>
      <c r="I216" s="17"/>
      <c r="J216" s="20">
        <f t="shared" si="67"/>
        <v>14.812005072515923</v>
      </c>
      <c r="K216" s="20">
        <f t="shared" si="68"/>
        <v>1.9747724376460193E-3</v>
      </c>
      <c r="L216" s="20">
        <f t="shared" si="69"/>
        <v>0.52880321749475179</v>
      </c>
      <c r="M216" s="20">
        <f t="shared" si="70"/>
        <v>0.52880321749475179</v>
      </c>
      <c r="N216" s="20">
        <f t="shared" si="71"/>
        <v>0.52880321749475179</v>
      </c>
      <c r="O216" s="17"/>
      <c r="P216" s="20">
        <f t="shared" si="72"/>
        <v>81.05511672766059</v>
      </c>
      <c r="Q216" s="20">
        <f t="shared" si="73"/>
        <v>157.38626898027621</v>
      </c>
      <c r="R216" s="20">
        <f t="shared" si="74"/>
        <v>0</v>
      </c>
      <c r="S216" s="20">
        <f t="shared" si="75"/>
        <v>0</v>
      </c>
      <c r="T216" s="20">
        <f t="shared" si="76"/>
        <v>0</v>
      </c>
      <c r="U216" s="17"/>
      <c r="V216" s="20">
        <f t="shared" si="77"/>
        <v>238.4413857079368</v>
      </c>
      <c r="W216" s="17"/>
      <c r="X216" s="20">
        <f t="shared" si="78"/>
        <v>31.29646428476833</v>
      </c>
      <c r="Y216" s="20">
        <f t="shared" si="79"/>
        <v>5.5943242920631917</v>
      </c>
      <c r="Z216" s="20"/>
      <c r="AA216" s="20">
        <f t="shared" si="80"/>
        <v>3.6562236344303882E-5</v>
      </c>
    </row>
    <row r="217" spans="2:27" x14ac:dyDescent="0.3">
      <c r="B217" s="28">
        <v>17.899999999999999</v>
      </c>
      <c r="C217" s="28">
        <v>219.28572</v>
      </c>
      <c r="D217" s="20">
        <f t="shared" si="62"/>
        <v>17.58262125832578</v>
      </c>
      <c r="E217" s="20">
        <f t="shared" si="63"/>
        <v>-6.2202807139280001</v>
      </c>
      <c r="F217" s="20">
        <f t="shared" si="64"/>
        <v>-9.7224577336219475E-2</v>
      </c>
      <c r="G217" s="20">
        <f t="shared" si="65"/>
        <v>-9.7224577336219475E-2</v>
      </c>
      <c r="H217" s="20">
        <f t="shared" si="66"/>
        <v>-9.7224577336219475E-2</v>
      </c>
      <c r="I217" s="17"/>
      <c r="J217" s="20">
        <f t="shared" si="67"/>
        <v>14.882439310217936</v>
      </c>
      <c r="K217" s="20">
        <f t="shared" si="68"/>
        <v>1.9847437672275607E-3</v>
      </c>
      <c r="L217" s="20">
        <f t="shared" si="69"/>
        <v>0.53265561396183825</v>
      </c>
      <c r="M217" s="20">
        <f t="shared" si="70"/>
        <v>0.53265561396183825</v>
      </c>
      <c r="N217" s="20">
        <f t="shared" si="71"/>
        <v>0.53265561396183825</v>
      </c>
      <c r="O217" s="17"/>
      <c r="P217" s="20">
        <f t="shared" si="72"/>
        <v>80.313750657561215</v>
      </c>
      <c r="Q217" s="20">
        <f t="shared" si="73"/>
        <v>156.59400382411044</v>
      </c>
      <c r="R217" s="20">
        <f t="shared" si="74"/>
        <v>0</v>
      </c>
      <c r="S217" s="20">
        <f t="shared" si="75"/>
        <v>0</v>
      </c>
      <c r="T217" s="20">
        <f t="shared" si="76"/>
        <v>0</v>
      </c>
      <c r="U217" s="17"/>
      <c r="V217" s="20">
        <f t="shared" si="77"/>
        <v>236.90775448167165</v>
      </c>
      <c r="W217" s="17"/>
      <c r="X217" s="20">
        <f t="shared" si="78"/>
        <v>310.53609927322452</v>
      </c>
      <c r="Y217" s="20">
        <f t="shared" si="79"/>
        <v>17.622034481671648</v>
      </c>
      <c r="Z217" s="20"/>
      <c r="AA217" s="20">
        <f t="shared" si="80"/>
        <v>1.1517047563732358E-4</v>
      </c>
    </row>
    <row r="218" spans="2:27" x14ac:dyDescent="0.3">
      <c r="B218" s="28">
        <v>18</v>
      </c>
      <c r="C218" s="28">
        <v>236.03572</v>
      </c>
      <c r="D218" s="20">
        <f t="shared" si="62"/>
        <v>17.657799438624444</v>
      </c>
      <c r="E218" s="20">
        <f t="shared" si="63"/>
        <v>-6.2152340915810411</v>
      </c>
      <c r="F218" s="20">
        <f t="shared" si="64"/>
        <v>-8.6113466225108404E-2</v>
      </c>
      <c r="G218" s="20">
        <f t="shared" si="65"/>
        <v>-8.6113466225108404E-2</v>
      </c>
      <c r="H218" s="20">
        <f t="shared" si="66"/>
        <v>-8.6113466225108404E-2</v>
      </c>
      <c r="I218" s="17"/>
      <c r="J218" s="20">
        <f t="shared" si="67"/>
        <v>14.952894542636612</v>
      </c>
      <c r="K218" s="20">
        <f t="shared" si="68"/>
        <v>1.9947653453705094E-3</v>
      </c>
      <c r="L218" s="20">
        <f t="shared" si="69"/>
        <v>0.53652627571533207</v>
      </c>
      <c r="M218" s="20">
        <f t="shared" si="70"/>
        <v>0.53652627571533207</v>
      </c>
      <c r="N218" s="20">
        <f t="shared" si="71"/>
        <v>0.53652627571533207</v>
      </c>
      <c r="O218" s="17"/>
      <c r="P218" s="20">
        <f t="shared" si="72"/>
        <v>79.582296605625231</v>
      </c>
      <c r="Q218" s="20">
        <f t="shared" si="73"/>
        <v>155.80572687456038</v>
      </c>
      <c r="R218" s="20">
        <f t="shared" si="74"/>
        <v>0</v>
      </c>
      <c r="S218" s="20">
        <f t="shared" si="75"/>
        <v>0</v>
      </c>
      <c r="T218" s="20">
        <f t="shared" si="76"/>
        <v>0</v>
      </c>
      <c r="U218" s="17"/>
      <c r="V218" s="20">
        <f t="shared" si="77"/>
        <v>235.38802348018561</v>
      </c>
      <c r="W218" s="17"/>
      <c r="X218" s="20">
        <f t="shared" si="78"/>
        <v>0.41951078177967083</v>
      </c>
      <c r="Y218" s="20">
        <f t="shared" si="79"/>
        <v>0.64769651981438869</v>
      </c>
      <c r="Z218" s="20"/>
      <c r="AA218" s="20">
        <f t="shared" si="80"/>
        <v>4.2330819595914277E-6</v>
      </c>
    </row>
    <row r="219" spans="2:27" x14ac:dyDescent="0.3">
      <c r="B219" s="28">
        <v>18.100000000000001</v>
      </c>
      <c r="C219" s="28">
        <v>246.03570999999999</v>
      </c>
      <c r="D219" s="20">
        <f t="shared" si="62"/>
        <v>17.732977618923101</v>
      </c>
      <c r="E219" s="20">
        <f t="shared" si="63"/>
        <v>-6.2101874692340822</v>
      </c>
      <c r="F219" s="20">
        <f t="shared" si="64"/>
        <v>-7.5002355113996888E-2</v>
      </c>
      <c r="G219" s="20">
        <f t="shared" si="65"/>
        <v>-7.5002355113996888E-2</v>
      </c>
      <c r="H219" s="20">
        <f t="shared" si="66"/>
        <v>-7.5002355113996888E-2</v>
      </c>
      <c r="I219" s="17"/>
      <c r="J219" s="20">
        <f t="shared" si="67"/>
        <v>15.023370590910968</v>
      </c>
      <c r="K219" s="20">
        <f t="shared" si="68"/>
        <v>2.0048374242799057E-3</v>
      </c>
      <c r="L219" s="20">
        <f t="shared" si="69"/>
        <v>0.54041519679506511</v>
      </c>
      <c r="M219" s="20">
        <f t="shared" si="70"/>
        <v>0.54041519679506511</v>
      </c>
      <c r="N219" s="20">
        <f t="shared" si="71"/>
        <v>0.54041519679506511</v>
      </c>
      <c r="O219" s="17"/>
      <c r="P219" s="20">
        <f t="shared" si="72"/>
        <v>78.860581479491429</v>
      </c>
      <c r="Q219" s="20">
        <f t="shared" si="73"/>
        <v>155.02141805543152</v>
      </c>
      <c r="R219" s="20">
        <f t="shared" si="74"/>
        <v>0</v>
      </c>
      <c r="S219" s="20">
        <f t="shared" si="75"/>
        <v>0</v>
      </c>
      <c r="T219" s="20">
        <f t="shared" si="76"/>
        <v>0</v>
      </c>
      <c r="U219" s="17"/>
      <c r="V219" s="20">
        <f t="shared" si="77"/>
        <v>233.88199953492295</v>
      </c>
      <c r="W219" s="17"/>
      <c r="X219" s="20">
        <f t="shared" si="78"/>
        <v>147.71267806892317</v>
      </c>
      <c r="Y219" s="20">
        <f t="shared" si="79"/>
        <v>12.15371046507704</v>
      </c>
      <c r="Z219" s="20"/>
      <c r="AA219" s="20">
        <f t="shared" si="80"/>
        <v>7.9431726028972001E-5</v>
      </c>
    </row>
    <row r="220" spans="2:27" x14ac:dyDescent="0.3">
      <c r="B220" s="28">
        <v>18.2</v>
      </c>
      <c r="C220" s="28">
        <v>238.78570999999999</v>
      </c>
      <c r="D220" s="20">
        <f t="shared" si="62"/>
        <v>17.808155799221758</v>
      </c>
      <c r="E220" s="20">
        <f t="shared" si="63"/>
        <v>-6.2051408468871232</v>
      </c>
      <c r="F220" s="20">
        <f t="shared" si="64"/>
        <v>-6.389124400288626E-2</v>
      </c>
      <c r="G220" s="20">
        <f t="shared" si="65"/>
        <v>-6.389124400288626E-2</v>
      </c>
      <c r="H220" s="20">
        <f t="shared" si="66"/>
        <v>-6.389124400288626E-2</v>
      </c>
      <c r="I220" s="17"/>
      <c r="J220" s="20">
        <f t="shared" si="67"/>
        <v>15.093867278401484</v>
      </c>
      <c r="K220" s="20">
        <f t="shared" si="68"/>
        <v>2.0149602574164207E-3</v>
      </c>
      <c r="L220" s="20">
        <f t="shared" si="69"/>
        <v>0.54432237060793309</v>
      </c>
      <c r="M220" s="20">
        <f t="shared" si="70"/>
        <v>0.54432237060793309</v>
      </c>
      <c r="N220" s="20">
        <f t="shared" si="71"/>
        <v>0.54432237060793309</v>
      </c>
      <c r="O220" s="17"/>
      <c r="P220" s="20">
        <f t="shared" si="72"/>
        <v>78.148435899456828</v>
      </c>
      <c r="Q220" s="20">
        <f t="shared" si="73"/>
        <v>154.24105739159182</v>
      </c>
      <c r="R220" s="20">
        <f t="shared" si="74"/>
        <v>0</v>
      </c>
      <c r="S220" s="20">
        <f t="shared" si="75"/>
        <v>0</v>
      </c>
      <c r="T220" s="20">
        <f t="shared" si="76"/>
        <v>0</v>
      </c>
      <c r="U220" s="17"/>
      <c r="V220" s="20">
        <f t="shared" si="77"/>
        <v>232.38949329104867</v>
      </c>
      <c r="W220" s="17"/>
      <c r="X220" s="20">
        <f t="shared" si="78"/>
        <v>40.911588187868169</v>
      </c>
      <c r="Y220" s="20">
        <f t="shared" si="79"/>
        <v>6.3962167089513287</v>
      </c>
      <c r="Z220" s="20"/>
      <c r="AA220" s="20">
        <f t="shared" si="80"/>
        <v>4.1803080195734642E-5</v>
      </c>
    </row>
    <row r="221" spans="2:27" x14ac:dyDescent="0.3">
      <c r="B221" s="28">
        <v>18.3</v>
      </c>
      <c r="C221" s="28">
        <v>206.53570999999999</v>
      </c>
      <c r="D221" s="20">
        <f t="shared" si="62"/>
        <v>17.883333979520422</v>
      </c>
      <c r="E221" s="20">
        <f t="shared" si="63"/>
        <v>-6.2000942245401642</v>
      </c>
      <c r="F221" s="20">
        <f t="shared" si="64"/>
        <v>-5.2780132891775189E-2</v>
      </c>
      <c r="G221" s="20">
        <f t="shared" si="65"/>
        <v>-5.2780132891775189E-2</v>
      </c>
      <c r="H221" s="20">
        <f t="shared" si="66"/>
        <v>-5.2780132891775189E-2</v>
      </c>
      <c r="I221" s="17"/>
      <c r="J221" s="20">
        <f t="shared" si="67"/>
        <v>15.164384430654167</v>
      </c>
      <c r="K221" s="20">
        <f t="shared" si="68"/>
        <v>2.0251340995025061E-3</v>
      </c>
      <c r="L221" s="20">
        <f t="shared" si="69"/>
        <v>0.54824778993209644</v>
      </c>
      <c r="M221" s="20">
        <f t="shared" si="70"/>
        <v>0.54824778993209644</v>
      </c>
      <c r="N221" s="20">
        <f t="shared" si="71"/>
        <v>0.54824778993209644</v>
      </c>
      <c r="O221" s="17"/>
      <c r="P221" s="20">
        <f t="shared" si="72"/>
        <v>77.445694104389858</v>
      </c>
      <c r="Q221" s="20">
        <f t="shared" si="73"/>
        <v>153.46462500846255</v>
      </c>
      <c r="R221" s="20">
        <f t="shared" si="74"/>
        <v>0</v>
      </c>
      <c r="S221" s="20">
        <f t="shared" si="75"/>
        <v>0</v>
      </c>
      <c r="T221" s="20">
        <f t="shared" si="76"/>
        <v>0</v>
      </c>
      <c r="U221" s="17"/>
      <c r="V221" s="20">
        <f t="shared" si="77"/>
        <v>230.91031911285239</v>
      </c>
      <c r="W221" s="17"/>
      <c r="X221" s="20">
        <f t="shared" si="78"/>
        <v>594.12156940434716</v>
      </c>
      <c r="Y221" s="20">
        <f t="shared" si="79"/>
        <v>24.374609112852397</v>
      </c>
      <c r="Z221" s="20"/>
      <c r="AA221" s="20">
        <f t="shared" si="80"/>
        <v>1.5930256679050345E-4</v>
      </c>
    </row>
    <row r="222" spans="2:27" x14ac:dyDescent="0.3">
      <c r="B222" s="28">
        <v>18.399999999999999</v>
      </c>
      <c r="C222" s="28">
        <v>248.53572</v>
      </c>
      <c r="D222" s="20">
        <f t="shared" si="62"/>
        <v>17.95851215981908</v>
      </c>
      <c r="E222" s="20">
        <f t="shared" si="63"/>
        <v>-6.1950476021932044</v>
      </c>
      <c r="F222" s="20">
        <f t="shared" si="64"/>
        <v>-4.1669021780664117E-2</v>
      </c>
      <c r="G222" s="20">
        <f t="shared" si="65"/>
        <v>-4.1669021780664117E-2</v>
      </c>
      <c r="H222" s="20">
        <f t="shared" si="66"/>
        <v>-4.1669021780664117E-2</v>
      </c>
      <c r="I222" s="17"/>
      <c r="J222" s="20">
        <f t="shared" si="67"/>
        <v>15.234921875365325</v>
      </c>
      <c r="K222" s="20">
        <f t="shared" si="68"/>
        <v>2.0353592065285742E-3</v>
      </c>
      <c r="L222" s="20">
        <f t="shared" si="69"/>
        <v>0.55219144692125544</v>
      </c>
      <c r="M222" s="20">
        <f t="shared" si="70"/>
        <v>0.55219144692125544</v>
      </c>
      <c r="N222" s="20">
        <f t="shared" si="71"/>
        <v>0.55219144692125544</v>
      </c>
      <c r="O222" s="17"/>
      <c r="P222" s="20">
        <f t="shared" si="72"/>
        <v>76.752193860386114</v>
      </c>
      <c r="Q222" s="20">
        <f t="shared" si="73"/>
        <v>152.69210113151203</v>
      </c>
      <c r="R222" s="20">
        <f t="shared" si="74"/>
        <v>0</v>
      </c>
      <c r="S222" s="20">
        <f t="shared" si="75"/>
        <v>0</v>
      </c>
      <c r="T222" s="20">
        <f t="shared" si="76"/>
        <v>0</v>
      </c>
      <c r="U222" s="17"/>
      <c r="V222" s="20">
        <f t="shared" si="77"/>
        <v>229.44429499189815</v>
      </c>
      <c r="W222" s="17"/>
      <c r="X222" s="20">
        <f t="shared" si="78"/>
        <v>364.48250883997673</v>
      </c>
      <c r="Y222" s="20">
        <f t="shared" si="79"/>
        <v>19.091425008101851</v>
      </c>
      <c r="Z222" s="20"/>
      <c r="AA222" s="20">
        <f t="shared" si="80"/>
        <v>1.2477381661375609E-4</v>
      </c>
    </row>
    <row r="223" spans="2:27" x14ac:dyDescent="0.3">
      <c r="B223" s="28">
        <v>18.5</v>
      </c>
      <c r="C223" s="28">
        <v>218.28570999999999</v>
      </c>
      <c r="D223" s="20">
        <f t="shared" si="62"/>
        <v>18.03369034011774</v>
      </c>
      <c r="E223" s="20">
        <f t="shared" si="63"/>
        <v>-6.1900009798462454</v>
      </c>
      <c r="F223" s="20">
        <f t="shared" si="64"/>
        <v>-3.0557910669552601E-2</v>
      </c>
      <c r="G223" s="20">
        <f t="shared" si="65"/>
        <v>-3.0557910669552601E-2</v>
      </c>
      <c r="H223" s="20">
        <f t="shared" si="66"/>
        <v>-3.0557910669552601E-2</v>
      </c>
      <c r="I223" s="17"/>
      <c r="J223" s="20">
        <f t="shared" si="67"/>
        <v>15.305479442347101</v>
      </c>
      <c r="K223" s="20">
        <f t="shared" si="68"/>
        <v>2.0456358357591963E-3</v>
      </c>
      <c r="L223" s="20">
        <f t="shared" si="69"/>
        <v>0.55615333310900417</v>
      </c>
      <c r="M223" s="20">
        <f t="shared" si="70"/>
        <v>0.55615333310900417</v>
      </c>
      <c r="N223" s="20">
        <f t="shared" si="71"/>
        <v>0.55615333310900417</v>
      </c>
      <c r="O223" s="17"/>
      <c r="P223" s="20">
        <f t="shared" si="72"/>
        <v>76.067776372076437</v>
      </c>
      <c r="Q223" s="20">
        <f t="shared" si="73"/>
        <v>151.92346608575261</v>
      </c>
      <c r="R223" s="20">
        <f t="shared" si="74"/>
        <v>0</v>
      </c>
      <c r="S223" s="20">
        <f t="shared" si="75"/>
        <v>0</v>
      </c>
      <c r="T223" s="20">
        <f t="shared" si="76"/>
        <v>0</v>
      </c>
      <c r="U223" s="17"/>
      <c r="V223" s="20">
        <f t="shared" si="77"/>
        <v>227.99124245782906</v>
      </c>
      <c r="W223" s="17"/>
      <c r="X223" s="20">
        <f t="shared" si="78"/>
        <v>94.197360289973489</v>
      </c>
      <c r="Y223" s="20">
        <f t="shared" si="79"/>
        <v>9.7055324578290652</v>
      </c>
      <c r="Z223" s="20"/>
      <c r="AA223" s="20">
        <f t="shared" si="80"/>
        <v>6.3431426754058913E-5</v>
      </c>
    </row>
    <row r="224" spans="2:27" x14ac:dyDescent="0.3">
      <c r="B224" s="28">
        <v>18.600000000000001</v>
      </c>
      <c r="C224" s="28">
        <v>205.78570999999999</v>
      </c>
      <c r="D224" s="20">
        <f t="shared" si="62"/>
        <v>18.108868520416401</v>
      </c>
      <c r="E224" s="20">
        <f t="shared" si="63"/>
        <v>-6.1849543574992865</v>
      </c>
      <c r="F224" s="20">
        <f t="shared" si="64"/>
        <v>-1.944679955844153E-2</v>
      </c>
      <c r="G224" s="20">
        <f t="shared" si="65"/>
        <v>-1.944679955844153E-2</v>
      </c>
      <c r="H224" s="20">
        <f t="shared" si="66"/>
        <v>-1.944679955844153E-2</v>
      </c>
      <c r="I224" s="17"/>
      <c r="J224" s="20">
        <f t="shared" si="67"/>
        <v>15.376056963493609</v>
      </c>
      <c r="K224" s="20">
        <f t="shared" si="68"/>
        <v>2.0559642457393503E-3</v>
      </c>
      <c r="L224" s="20">
        <f t="shared" si="69"/>
        <v>0.56013343941325533</v>
      </c>
      <c r="M224" s="20">
        <f t="shared" si="70"/>
        <v>0.56013343941325533</v>
      </c>
      <c r="N224" s="20">
        <f t="shared" si="71"/>
        <v>0.56013343941325533</v>
      </c>
      <c r="O224" s="17"/>
      <c r="P224" s="20">
        <f t="shared" si="72"/>
        <v>75.392286196501075</v>
      </c>
      <c r="Q224" s="20">
        <f t="shared" si="73"/>
        <v>151.1587002952387</v>
      </c>
      <c r="R224" s="20">
        <f t="shared" si="74"/>
        <v>0</v>
      </c>
      <c r="S224" s="20">
        <f t="shared" si="75"/>
        <v>0</v>
      </c>
      <c r="T224" s="20">
        <f t="shared" si="76"/>
        <v>0</v>
      </c>
      <c r="U224" s="17"/>
      <c r="V224" s="20">
        <f t="shared" si="77"/>
        <v>226.55098649173976</v>
      </c>
      <c r="W224" s="17"/>
      <c r="X224" s="20">
        <f t="shared" si="78"/>
        <v>431.19670777840031</v>
      </c>
      <c r="Y224" s="20">
        <f t="shared" si="79"/>
        <v>20.765276491739769</v>
      </c>
      <c r="Z224" s="20"/>
      <c r="AA224" s="20">
        <f t="shared" si="80"/>
        <v>1.3571343154399152E-4</v>
      </c>
    </row>
    <row r="225" spans="2:27" x14ac:dyDescent="0.3">
      <c r="B225" s="28">
        <v>18.7</v>
      </c>
      <c r="C225" s="28">
        <v>228.03570999999999</v>
      </c>
      <c r="D225" s="20">
        <f t="shared" si="62"/>
        <v>18.184046700715058</v>
      </c>
      <c r="E225" s="20">
        <f t="shared" si="63"/>
        <v>-6.1799077351523275</v>
      </c>
      <c r="F225" s="20">
        <f t="shared" si="64"/>
        <v>-8.3356884473304582E-3</v>
      </c>
      <c r="G225" s="20">
        <f t="shared" si="65"/>
        <v>-8.3356884473304582E-3</v>
      </c>
      <c r="H225" s="20">
        <f t="shared" si="66"/>
        <v>-8.3356884473304582E-3</v>
      </c>
      <c r="I225" s="17"/>
      <c r="J225" s="20">
        <f t="shared" si="67"/>
        <v>15.446654272747768</v>
      </c>
      <c r="K225" s="20">
        <f t="shared" si="68"/>
        <v>2.0663446963006772E-3</v>
      </c>
      <c r="L225" s="20">
        <f t="shared" si="69"/>
        <v>0.56413175614073985</v>
      </c>
      <c r="M225" s="20">
        <f t="shared" si="70"/>
        <v>0.56413175614073985</v>
      </c>
      <c r="N225" s="20">
        <f t="shared" si="71"/>
        <v>0.56413175614073985</v>
      </c>
      <c r="O225" s="17"/>
      <c r="P225" s="20">
        <f t="shared" si="72"/>
        <v>74.725571159465744</v>
      </c>
      <c r="Q225" s="20">
        <f t="shared" si="73"/>
        <v>150.39778428256881</v>
      </c>
      <c r="R225" s="20">
        <f t="shared" si="74"/>
        <v>0</v>
      </c>
      <c r="S225" s="20">
        <f t="shared" si="75"/>
        <v>0</v>
      </c>
      <c r="T225" s="20">
        <f t="shared" si="76"/>
        <v>0</v>
      </c>
      <c r="U225" s="17"/>
      <c r="V225" s="20">
        <f t="shared" si="77"/>
        <v>225.12335544203455</v>
      </c>
      <c r="W225" s="17"/>
      <c r="X225" s="20">
        <f t="shared" si="78"/>
        <v>8.4818090713020933</v>
      </c>
      <c r="Y225" s="20">
        <f t="shared" si="79"/>
        <v>2.9123545579654433</v>
      </c>
      <c r="Z225" s="20"/>
      <c r="AA225" s="20">
        <f t="shared" si="80"/>
        <v>1.9033969092176541E-5</v>
      </c>
    </row>
    <row r="226" spans="2:27" x14ac:dyDescent="0.3">
      <c r="B226" s="28">
        <v>18.8</v>
      </c>
      <c r="C226" s="28">
        <v>224.28570999999999</v>
      </c>
      <c r="D226" s="20">
        <f t="shared" si="62"/>
        <v>18.259224881013722</v>
      </c>
      <c r="E226" s="20">
        <f t="shared" si="63"/>
        <v>-6.1748611128053676</v>
      </c>
      <c r="F226" s="20">
        <f t="shared" si="64"/>
        <v>2.7754226637806134E-3</v>
      </c>
      <c r="G226" s="20">
        <f t="shared" si="65"/>
        <v>2.7754226637806134E-3</v>
      </c>
      <c r="H226" s="20">
        <f t="shared" si="66"/>
        <v>2.7754226637806134E-3</v>
      </c>
      <c r="I226" s="17"/>
      <c r="J226" s="20">
        <f t="shared" si="67"/>
        <v>15.5172712060688</v>
      </c>
      <c r="K226" s="20">
        <f t="shared" si="68"/>
        <v>2.0767774485677803E-3</v>
      </c>
      <c r="L226" s="20">
        <f t="shared" si="69"/>
        <v>0.56814827299157356</v>
      </c>
      <c r="M226" s="20">
        <f t="shared" si="70"/>
        <v>0.56814827299157356</v>
      </c>
      <c r="N226" s="20">
        <f t="shared" si="71"/>
        <v>0.56814827299157356</v>
      </c>
      <c r="O226" s="17"/>
      <c r="P226" s="20">
        <f t="shared" si="72"/>
        <v>74.067482274298627</v>
      </c>
      <c r="Q226" s="20">
        <f t="shared" si="73"/>
        <v>149.64069866838909</v>
      </c>
      <c r="R226" s="20">
        <f t="shared" si="74"/>
        <v>0</v>
      </c>
      <c r="S226" s="20">
        <f t="shared" si="75"/>
        <v>0</v>
      </c>
      <c r="T226" s="20">
        <f t="shared" si="76"/>
        <v>0</v>
      </c>
      <c r="U226" s="17"/>
      <c r="V226" s="20">
        <f t="shared" si="77"/>
        <v>223.7081809426877</v>
      </c>
      <c r="W226" s="17"/>
      <c r="X226" s="20">
        <f t="shared" si="78"/>
        <v>0.33353981204002259</v>
      </c>
      <c r="Y226" s="20">
        <f t="shared" si="79"/>
        <v>0.57752905731229021</v>
      </c>
      <c r="Z226" s="20"/>
      <c r="AA226" s="20">
        <f t="shared" si="80"/>
        <v>3.7744958616561479E-6</v>
      </c>
    </row>
    <row r="227" spans="2:27" x14ac:dyDescent="0.3">
      <c r="B227" s="28">
        <v>18.899999999999999</v>
      </c>
      <c r="C227" s="28">
        <v>206.28570999999999</v>
      </c>
      <c r="D227" s="20">
        <f t="shared" si="62"/>
        <v>18.334403061312379</v>
      </c>
      <c r="E227" s="20">
        <f t="shared" si="63"/>
        <v>-6.1698144904584087</v>
      </c>
      <c r="F227" s="20">
        <f t="shared" si="64"/>
        <v>1.3886533774891241E-2</v>
      </c>
      <c r="G227" s="20">
        <f t="shared" si="65"/>
        <v>1.3886533774891241E-2</v>
      </c>
      <c r="H227" s="20">
        <f t="shared" si="66"/>
        <v>1.3886533774891241E-2</v>
      </c>
      <c r="I227" s="17"/>
      <c r="J227" s="20">
        <f t="shared" si="67"/>
        <v>15.587907601400296</v>
      </c>
      <c r="K227" s="20">
        <f t="shared" si="68"/>
        <v>2.087262764964543E-3</v>
      </c>
      <c r="L227" s="20">
        <f t="shared" si="69"/>
        <v>0.57218297906389282</v>
      </c>
      <c r="M227" s="20">
        <f t="shared" si="70"/>
        <v>0.57218297906389282</v>
      </c>
      <c r="N227" s="20">
        <f t="shared" si="71"/>
        <v>0.57218297906389282</v>
      </c>
      <c r="O227" s="17"/>
      <c r="P227" s="20">
        <f t="shared" si="72"/>
        <v>73.417873662931584</v>
      </c>
      <c r="Q227" s="20">
        <f t="shared" si="73"/>
        <v>148.88742417090054</v>
      </c>
      <c r="R227" s="20">
        <f t="shared" si="74"/>
        <v>0</v>
      </c>
      <c r="S227" s="20">
        <f t="shared" si="75"/>
        <v>0</v>
      </c>
      <c r="T227" s="20">
        <f t="shared" si="76"/>
        <v>0</v>
      </c>
      <c r="U227" s="17"/>
      <c r="V227" s="20">
        <f t="shared" si="77"/>
        <v>222.30529783383213</v>
      </c>
      <c r="W227" s="17"/>
      <c r="X227" s="20">
        <f t="shared" si="78"/>
        <v>256.62719436586252</v>
      </c>
      <c r="Y227" s="20">
        <f t="shared" si="79"/>
        <v>16.019587833832134</v>
      </c>
      <c r="Z227" s="20"/>
      <c r="AA227" s="20">
        <f t="shared" si="80"/>
        <v>1.0469753377541408E-4</v>
      </c>
    </row>
    <row r="228" spans="2:27" x14ac:dyDescent="0.3">
      <c r="B228" s="28">
        <v>19</v>
      </c>
      <c r="C228" s="28">
        <v>208.28570999999999</v>
      </c>
      <c r="D228" s="20">
        <f t="shared" si="62"/>
        <v>18.409581241611036</v>
      </c>
      <c r="E228" s="20">
        <f t="shared" si="63"/>
        <v>-6.1647678681114497</v>
      </c>
      <c r="F228" s="20">
        <f t="shared" si="64"/>
        <v>2.4997644886002757E-2</v>
      </c>
      <c r="G228" s="20">
        <f t="shared" si="65"/>
        <v>2.4997644886002757E-2</v>
      </c>
      <c r="H228" s="20">
        <f t="shared" si="66"/>
        <v>2.4997644886002757E-2</v>
      </c>
      <c r="I228" s="17"/>
      <c r="J228" s="20">
        <f t="shared" si="67"/>
        <v>15.65856329863899</v>
      </c>
      <c r="K228" s="20">
        <f t="shared" si="68"/>
        <v>2.0978009092204922E-3</v>
      </c>
      <c r="L228" s="20">
        <f t="shared" si="69"/>
        <v>0.57623586285855644</v>
      </c>
      <c r="M228" s="20">
        <f t="shared" si="70"/>
        <v>0.57623586285855644</v>
      </c>
      <c r="N228" s="20">
        <f t="shared" si="71"/>
        <v>0.57623586285855644</v>
      </c>
      <c r="O228" s="17"/>
      <c r="P228" s="20">
        <f t="shared" si="72"/>
        <v>72.776602479228927</v>
      </c>
      <c r="Q228" s="20">
        <f t="shared" si="73"/>
        <v>148.13794160536696</v>
      </c>
      <c r="R228" s="20">
        <f t="shared" si="74"/>
        <v>0</v>
      </c>
      <c r="S228" s="20">
        <f t="shared" si="75"/>
        <v>0</v>
      </c>
      <c r="T228" s="20">
        <f t="shared" si="76"/>
        <v>0</v>
      </c>
      <c r="U228" s="17"/>
      <c r="V228" s="20">
        <f t="shared" si="77"/>
        <v>220.91454408459589</v>
      </c>
      <c r="W228" s="17"/>
      <c r="X228" s="20">
        <f t="shared" si="78"/>
        <v>159.48745033625102</v>
      </c>
      <c r="Y228" s="20">
        <f t="shared" si="79"/>
        <v>12.628834084595894</v>
      </c>
      <c r="Z228" s="20"/>
      <c r="AA228" s="20">
        <f t="shared" si="80"/>
        <v>8.2536941451369822E-5</v>
      </c>
    </row>
    <row r="229" spans="2:27" x14ac:dyDescent="0.3">
      <c r="B229" s="28">
        <v>19.100000000000001</v>
      </c>
      <c r="C229" s="28">
        <v>219.53572</v>
      </c>
      <c r="D229" s="20">
        <f t="shared" si="62"/>
        <v>18.4847594219097</v>
      </c>
      <c r="E229" s="20">
        <f t="shared" si="63"/>
        <v>-6.1597212457644908</v>
      </c>
      <c r="F229" s="20">
        <f t="shared" si="64"/>
        <v>3.6108755997113828E-2</v>
      </c>
      <c r="G229" s="20">
        <f t="shared" si="65"/>
        <v>3.6108755997113828E-2</v>
      </c>
      <c r="H229" s="20">
        <f t="shared" si="66"/>
        <v>3.6108755997113828E-2</v>
      </c>
      <c r="I229" s="17"/>
      <c r="J229" s="20">
        <f t="shared" si="67"/>
        <v>15.729238139604062</v>
      </c>
      <c r="K229" s="20">
        <f t="shared" si="68"/>
        <v>2.1083921463771788E-3</v>
      </c>
      <c r="L229" s="20">
        <f t="shared" si="69"/>
        <v>0.58030691228390918</v>
      </c>
      <c r="M229" s="20">
        <f t="shared" si="70"/>
        <v>0.58030691228390918</v>
      </c>
      <c r="N229" s="20">
        <f t="shared" si="71"/>
        <v>0.58030691228390918</v>
      </c>
      <c r="O229" s="17"/>
      <c r="P229" s="20">
        <f t="shared" si="72"/>
        <v>72.143528834493267</v>
      </c>
      <c r="Q229" s="20">
        <f t="shared" si="73"/>
        <v>147.39223188362672</v>
      </c>
      <c r="R229" s="20">
        <f t="shared" si="74"/>
        <v>0</v>
      </c>
      <c r="S229" s="20">
        <f t="shared" si="75"/>
        <v>0</v>
      </c>
      <c r="T229" s="20">
        <f t="shared" si="76"/>
        <v>0</v>
      </c>
      <c r="U229" s="17"/>
      <c r="V229" s="20">
        <f t="shared" si="77"/>
        <v>219.53576071812</v>
      </c>
      <c r="W229" s="17"/>
      <c r="X229" s="20">
        <f t="shared" si="78"/>
        <v>1.6579652967100247E-9</v>
      </c>
      <c r="Y229" s="20">
        <f t="shared" si="79"/>
        <v>4.0718120004612501E-5</v>
      </c>
      <c r="Z229" s="20"/>
      <c r="AA229" s="20">
        <f t="shared" si="80"/>
        <v>2.6611713039526339E-10</v>
      </c>
    </row>
    <row r="230" spans="2:27" x14ac:dyDescent="0.3">
      <c r="B230" s="28">
        <v>19.2</v>
      </c>
      <c r="C230" s="28">
        <v>214.28570999999999</v>
      </c>
      <c r="D230" s="20">
        <f t="shared" si="62"/>
        <v>18.559937602208358</v>
      </c>
      <c r="E230" s="20">
        <f t="shared" si="63"/>
        <v>-6.1546746234175309</v>
      </c>
      <c r="F230" s="20">
        <f t="shared" si="64"/>
        <v>4.72198671082249E-2</v>
      </c>
      <c r="G230" s="20">
        <f t="shared" si="65"/>
        <v>4.72198671082249E-2</v>
      </c>
      <c r="H230" s="20">
        <f t="shared" si="66"/>
        <v>4.72198671082249E-2</v>
      </c>
      <c r="I230" s="17"/>
      <c r="J230" s="20">
        <f t="shared" si="67"/>
        <v>15.799931968007046</v>
      </c>
      <c r="K230" s="20">
        <f t="shared" si="68"/>
        <v>2.1190367427945918E-3</v>
      </c>
      <c r="L230" s="20">
        <f t="shared" si="69"/>
        <v>0.58439611466061014</v>
      </c>
      <c r="M230" s="20">
        <f t="shared" si="70"/>
        <v>0.58439611466061014</v>
      </c>
      <c r="N230" s="20">
        <f t="shared" si="71"/>
        <v>0.58439611466061014</v>
      </c>
      <c r="O230" s="17"/>
      <c r="P230" s="20">
        <f t="shared" si="72"/>
        <v>71.518515725077563</v>
      </c>
      <c r="Q230" s="20">
        <f t="shared" si="73"/>
        <v>146.65027601360671</v>
      </c>
      <c r="R230" s="20">
        <f t="shared" si="74"/>
        <v>0</v>
      </c>
      <c r="S230" s="20">
        <f t="shared" si="75"/>
        <v>0</v>
      </c>
      <c r="T230" s="20">
        <f t="shared" si="76"/>
        <v>0</v>
      </c>
      <c r="U230" s="17"/>
      <c r="V230" s="20">
        <f t="shared" si="77"/>
        <v>218.16879173868426</v>
      </c>
      <c r="W230" s="17"/>
      <c r="X230" s="20">
        <f t="shared" si="78"/>
        <v>15.078323789303239</v>
      </c>
      <c r="Y230" s="20">
        <f t="shared" si="79"/>
        <v>3.8830817386842682</v>
      </c>
      <c r="Z230" s="20"/>
      <c r="AA230" s="20">
        <f t="shared" si="80"/>
        <v>2.5378248535832458E-5</v>
      </c>
    </row>
    <row r="231" spans="2:27" x14ac:dyDescent="0.3">
      <c r="B231" s="28">
        <v>19.3</v>
      </c>
      <c r="C231" s="28">
        <v>216.28570999999999</v>
      </c>
      <c r="D231" s="20">
        <f t="shared" si="62"/>
        <v>18.635115782507018</v>
      </c>
      <c r="E231" s="20">
        <f t="shared" si="63"/>
        <v>-6.1496280010705719</v>
      </c>
      <c r="F231" s="20">
        <f t="shared" si="64"/>
        <v>5.8330978219335972E-2</v>
      </c>
      <c r="G231" s="20">
        <f t="shared" si="65"/>
        <v>5.8330978219335972E-2</v>
      </c>
      <c r="H231" s="20">
        <f t="shared" si="66"/>
        <v>5.8330978219335972E-2</v>
      </c>
      <c r="I231" s="17"/>
      <c r="J231" s="20">
        <f t="shared" si="67"/>
        <v>15.870644629422356</v>
      </c>
      <c r="K231" s="20">
        <f t="shared" si="68"/>
        <v>2.1297349661575974E-3</v>
      </c>
      <c r="L231" s="20">
        <f t="shared" si="69"/>
        <v>0.58850345672651794</v>
      </c>
      <c r="M231" s="20">
        <f t="shared" si="70"/>
        <v>0.58850345672651794</v>
      </c>
      <c r="N231" s="20">
        <f t="shared" si="71"/>
        <v>0.58850345672651794</v>
      </c>
      <c r="O231" s="17"/>
      <c r="P231" s="20">
        <f t="shared" si="72"/>
        <v>70.901428962036206</v>
      </c>
      <c r="Q231" s="20">
        <f t="shared" si="73"/>
        <v>145.91205509883898</v>
      </c>
      <c r="R231" s="20">
        <f t="shared" si="74"/>
        <v>0</v>
      </c>
      <c r="S231" s="20">
        <f t="shared" si="75"/>
        <v>0</v>
      </c>
      <c r="T231" s="20">
        <f t="shared" si="76"/>
        <v>0</v>
      </c>
      <c r="U231" s="17"/>
      <c r="V231" s="20">
        <f t="shared" si="77"/>
        <v>216.81348406087517</v>
      </c>
      <c r="W231" s="17"/>
      <c r="X231" s="20">
        <f t="shared" si="78"/>
        <v>0.27854545933267211</v>
      </c>
      <c r="Y231" s="20">
        <f t="shared" si="79"/>
        <v>0.5277740608751742</v>
      </c>
      <c r="Z231" s="20"/>
      <c r="AA231" s="20">
        <f t="shared" si="80"/>
        <v>3.449317369300116E-6</v>
      </c>
    </row>
    <row r="232" spans="2:27" x14ac:dyDescent="0.3">
      <c r="B232" s="28">
        <v>19.399999999999999</v>
      </c>
      <c r="C232" s="28">
        <v>201.53570999999999</v>
      </c>
      <c r="D232" s="20">
        <f t="shared" si="62"/>
        <v>18.710293962805675</v>
      </c>
      <c r="E232" s="20">
        <f t="shared" si="63"/>
        <v>-6.144581378723613</v>
      </c>
      <c r="F232" s="20">
        <f t="shared" si="64"/>
        <v>6.9442089330447043E-2</v>
      </c>
      <c r="G232" s="20">
        <f t="shared" si="65"/>
        <v>6.9442089330447043E-2</v>
      </c>
      <c r="H232" s="20">
        <f t="shared" si="66"/>
        <v>6.9442089330447043E-2</v>
      </c>
      <c r="I232" s="17"/>
      <c r="J232" s="20">
        <f t="shared" si="67"/>
        <v>15.941375971258317</v>
      </c>
      <c r="K232" s="20">
        <f t="shared" si="68"/>
        <v>2.1404870854824253E-3</v>
      </c>
      <c r="L232" s="20">
        <f t="shared" si="69"/>
        <v>0.59262892464163586</v>
      </c>
      <c r="M232" s="20">
        <f t="shared" si="70"/>
        <v>0.59262892464163586</v>
      </c>
      <c r="N232" s="20">
        <f t="shared" si="71"/>
        <v>0.59262892464163586</v>
      </c>
      <c r="O232" s="17"/>
      <c r="P232" s="20">
        <f t="shared" si="72"/>
        <v>70.292137102751084</v>
      </c>
      <c r="Q232" s="20">
        <f t="shared" si="73"/>
        <v>145.1775503379786</v>
      </c>
      <c r="R232" s="20">
        <f t="shared" si="74"/>
        <v>0</v>
      </c>
      <c r="S232" s="20">
        <f t="shared" si="75"/>
        <v>0</v>
      </c>
      <c r="T232" s="20">
        <f t="shared" si="76"/>
        <v>0</v>
      </c>
      <c r="U232" s="17"/>
      <c r="V232" s="20">
        <f t="shared" si="77"/>
        <v>215.46968744072967</v>
      </c>
      <c r="W232" s="17"/>
      <c r="X232" s="20">
        <f t="shared" si="78"/>
        <v>194.15572731876355</v>
      </c>
      <c r="Y232" s="20">
        <f t="shared" si="79"/>
        <v>13.933977440729677</v>
      </c>
      <c r="Z232" s="20"/>
      <c r="AA232" s="20">
        <f t="shared" si="80"/>
        <v>9.1066829487689322E-5</v>
      </c>
    </row>
    <row r="233" spans="2:27" x14ac:dyDescent="0.3">
      <c r="B233" s="28">
        <v>19.5</v>
      </c>
      <c r="C233" s="28">
        <v>195.03570999999999</v>
      </c>
      <c r="D233" s="20">
        <f t="shared" si="62"/>
        <v>18.785472143104336</v>
      </c>
      <c r="E233" s="20">
        <f t="shared" si="63"/>
        <v>-6.139534756376654</v>
      </c>
      <c r="F233" s="20">
        <f t="shared" si="64"/>
        <v>8.0553200441558559E-2</v>
      </c>
      <c r="G233" s="20">
        <f t="shared" si="65"/>
        <v>8.0553200441558559E-2</v>
      </c>
      <c r="H233" s="20">
        <f t="shared" si="66"/>
        <v>8.0553200441558559E-2</v>
      </c>
      <c r="I233" s="17"/>
      <c r="J233" s="20">
        <f t="shared" si="67"/>
        <v>16.0121258427288</v>
      </c>
      <c r="K233" s="20">
        <f t="shared" si="68"/>
        <v>2.1512933711231655E-3</v>
      </c>
      <c r="L233" s="20">
        <f t="shared" si="69"/>
        <v>0.59677250399311144</v>
      </c>
      <c r="M233" s="20">
        <f t="shared" si="70"/>
        <v>0.59677250399311144</v>
      </c>
      <c r="N233" s="20">
        <f t="shared" si="71"/>
        <v>0.59677250399311144</v>
      </c>
      <c r="O233" s="17"/>
      <c r="P233" s="20">
        <f t="shared" si="72"/>
        <v>69.690511384468991</v>
      </c>
      <c r="Q233" s="20">
        <f t="shared" si="73"/>
        <v>144.44674302432557</v>
      </c>
      <c r="R233" s="20">
        <f t="shared" si="74"/>
        <v>0</v>
      </c>
      <c r="S233" s="20">
        <f t="shared" si="75"/>
        <v>0</v>
      </c>
      <c r="T233" s="20">
        <f t="shared" si="76"/>
        <v>0</v>
      </c>
      <c r="U233" s="17"/>
      <c r="V233" s="20">
        <f t="shared" si="77"/>
        <v>214.13725440879455</v>
      </c>
      <c r="W233" s="17"/>
      <c r="X233" s="20">
        <f t="shared" si="78"/>
        <v>364.86899880115044</v>
      </c>
      <c r="Y233" s="20">
        <f t="shared" si="79"/>
        <v>19.101544408794553</v>
      </c>
      <c r="Z233" s="20"/>
      <c r="AA233" s="20">
        <f t="shared" si="80"/>
        <v>1.2483995291556364E-4</v>
      </c>
    </row>
    <row r="234" spans="2:27" x14ac:dyDescent="0.3">
      <c r="B234" s="28">
        <v>19.600000000000001</v>
      </c>
      <c r="C234" s="28">
        <v>219.28572</v>
      </c>
      <c r="D234" s="20">
        <f t="shared" si="62"/>
        <v>18.860650323402997</v>
      </c>
      <c r="E234" s="20">
        <f t="shared" si="63"/>
        <v>-6.1344881340296942</v>
      </c>
      <c r="F234" s="20">
        <f t="shared" si="64"/>
        <v>9.1664311552669631E-2</v>
      </c>
      <c r="G234" s="20">
        <f t="shared" si="65"/>
        <v>9.1664311552669631E-2</v>
      </c>
      <c r="H234" s="20">
        <f t="shared" si="66"/>
        <v>9.1664311552669631E-2</v>
      </c>
      <c r="I234" s="17"/>
      <c r="J234" s="20">
        <f t="shared" si="67"/>
        <v>16.082894094825342</v>
      </c>
      <c r="K234" s="20">
        <f t="shared" si="68"/>
        <v>2.1621540947783092E-3</v>
      </c>
      <c r="L234" s="20">
        <f t="shared" si="69"/>
        <v>0.60093417980028985</v>
      </c>
      <c r="M234" s="20">
        <f t="shared" si="70"/>
        <v>0.60093417980028985</v>
      </c>
      <c r="N234" s="20">
        <f t="shared" si="71"/>
        <v>0.60093417980028985</v>
      </c>
      <c r="O234" s="17"/>
      <c r="P234" s="20">
        <f t="shared" si="72"/>
        <v>69.096425659691121</v>
      </c>
      <c r="Q234" s="20">
        <f t="shared" si="73"/>
        <v>143.71961454534789</v>
      </c>
      <c r="R234" s="20">
        <f t="shared" si="74"/>
        <v>0</v>
      </c>
      <c r="S234" s="20">
        <f t="shared" si="75"/>
        <v>0</v>
      </c>
      <c r="T234" s="20">
        <f t="shared" si="76"/>
        <v>0</v>
      </c>
      <c r="U234" s="17"/>
      <c r="V234" s="20">
        <f t="shared" si="77"/>
        <v>212.81604020503903</v>
      </c>
      <c r="W234" s="17"/>
      <c r="X234" s="20">
        <f t="shared" si="78"/>
        <v>41.856756649326186</v>
      </c>
      <c r="Y234" s="20">
        <f t="shared" si="79"/>
        <v>6.4696797949609675</v>
      </c>
      <c r="Z234" s="20"/>
      <c r="AA234" s="20">
        <f t="shared" si="80"/>
        <v>4.2283205153287961E-5</v>
      </c>
    </row>
    <row r="235" spans="2:27" x14ac:dyDescent="0.3">
      <c r="B235" s="28">
        <v>19.7</v>
      </c>
      <c r="C235" s="28">
        <v>198.53570999999999</v>
      </c>
      <c r="D235" s="20">
        <f t="shared" si="62"/>
        <v>18.935828503701657</v>
      </c>
      <c r="E235" s="20">
        <f t="shared" si="63"/>
        <v>-6.1294415116827352</v>
      </c>
      <c r="F235" s="20">
        <f t="shared" si="64"/>
        <v>0.10277542266378026</v>
      </c>
      <c r="G235" s="20">
        <f t="shared" si="65"/>
        <v>0.10277542266378026</v>
      </c>
      <c r="H235" s="20">
        <f t="shared" si="66"/>
        <v>0.10277542266378026</v>
      </c>
      <c r="I235" s="17"/>
      <c r="J235" s="20">
        <f t="shared" si="67"/>
        <v>16.153680580289837</v>
      </c>
      <c r="K235" s="20">
        <f t="shared" si="68"/>
        <v>2.173069529497309E-3</v>
      </c>
      <c r="L235" s="20">
        <f t="shared" si="69"/>
        <v>0.60511393651982037</v>
      </c>
      <c r="M235" s="20">
        <f t="shared" si="70"/>
        <v>0.60511393651982037</v>
      </c>
      <c r="N235" s="20">
        <f t="shared" si="71"/>
        <v>0.60511393651982037</v>
      </c>
      <c r="O235" s="17"/>
      <c r="P235" s="20">
        <f t="shared" si="72"/>
        <v>68.509756333355568</v>
      </c>
      <c r="Q235" s="20">
        <f t="shared" si="73"/>
        <v>142.99614638220817</v>
      </c>
      <c r="R235" s="20">
        <f t="shared" si="74"/>
        <v>0</v>
      </c>
      <c r="S235" s="20">
        <f t="shared" si="75"/>
        <v>0</v>
      </c>
      <c r="T235" s="20">
        <f t="shared" si="76"/>
        <v>0</v>
      </c>
      <c r="U235" s="17"/>
      <c r="V235" s="20">
        <f t="shared" si="77"/>
        <v>211.50590271556374</v>
      </c>
      <c r="W235" s="17"/>
      <c r="X235" s="20">
        <f t="shared" si="78"/>
        <v>168.22589907886271</v>
      </c>
      <c r="Y235" s="20">
        <f t="shared" si="79"/>
        <v>12.970192715563741</v>
      </c>
      <c r="Z235" s="20"/>
      <c r="AA235" s="20">
        <f t="shared" si="80"/>
        <v>8.4767923119937258E-5</v>
      </c>
    </row>
    <row r="236" spans="2:27" x14ac:dyDescent="0.3">
      <c r="B236" s="28">
        <v>19.8</v>
      </c>
      <c r="C236" s="28">
        <v>215.28572</v>
      </c>
      <c r="D236" s="20">
        <f t="shared" si="62"/>
        <v>19.011006684000314</v>
      </c>
      <c r="E236" s="20">
        <f t="shared" si="63"/>
        <v>-6.1243948893357762</v>
      </c>
      <c r="F236" s="20">
        <f t="shared" si="64"/>
        <v>0.11388653377489177</v>
      </c>
      <c r="G236" s="20">
        <f t="shared" si="65"/>
        <v>0.11388653377489177</v>
      </c>
      <c r="H236" s="20">
        <f t="shared" si="66"/>
        <v>0.11388653377489177</v>
      </c>
      <c r="I236" s="17"/>
      <c r="J236" s="20">
        <f t="shared" si="67"/>
        <v>16.224485153587722</v>
      </c>
      <c r="K236" s="20">
        <f t="shared" si="68"/>
        <v>2.184039949687184E-3</v>
      </c>
      <c r="L236" s="20">
        <f t="shared" si="69"/>
        <v>0.60931175805081217</v>
      </c>
      <c r="M236" s="20">
        <f t="shared" si="70"/>
        <v>0.60931175805081217</v>
      </c>
      <c r="N236" s="20">
        <f t="shared" si="71"/>
        <v>0.60931175805081217</v>
      </c>
      <c r="O236" s="17"/>
      <c r="P236" s="20">
        <f t="shared" si="72"/>
        <v>67.930382301757135</v>
      </c>
      <c r="Q236" s="20">
        <f t="shared" si="73"/>
        <v>142.27632010929128</v>
      </c>
      <c r="R236" s="20">
        <f t="shared" si="74"/>
        <v>0</v>
      </c>
      <c r="S236" s="20">
        <f t="shared" si="75"/>
        <v>0</v>
      </c>
      <c r="T236" s="20">
        <f t="shared" si="76"/>
        <v>0</v>
      </c>
      <c r="U236" s="17"/>
      <c r="V236" s="20">
        <f t="shared" si="77"/>
        <v>210.20670241104841</v>
      </c>
      <c r="W236" s="17"/>
      <c r="X236" s="20">
        <f t="shared" si="78"/>
        <v>25.796419668879587</v>
      </c>
      <c r="Y236" s="20">
        <f t="shared" si="79"/>
        <v>5.0790175889515865</v>
      </c>
      <c r="Z236" s="20"/>
      <c r="AA236" s="20">
        <f t="shared" si="80"/>
        <v>3.3194400572662897E-5</v>
      </c>
    </row>
    <row r="237" spans="2:27" x14ac:dyDescent="0.3">
      <c r="B237" s="28">
        <v>19.899999999999999</v>
      </c>
      <c r="C237" s="28">
        <v>208.03570999999999</v>
      </c>
      <c r="D237" s="20">
        <f t="shared" si="62"/>
        <v>19.086184864298971</v>
      </c>
      <c r="E237" s="20">
        <f t="shared" si="63"/>
        <v>-6.1193482669888173</v>
      </c>
      <c r="F237" s="20">
        <f t="shared" si="64"/>
        <v>0.12499764488600285</v>
      </c>
      <c r="G237" s="20">
        <f t="shared" si="65"/>
        <v>0.12499764488600285</v>
      </c>
      <c r="H237" s="20">
        <f t="shared" si="66"/>
        <v>0.12499764488600285</v>
      </c>
      <c r="I237" s="17"/>
      <c r="J237" s="20">
        <f t="shared" si="67"/>
        <v>16.295307670881673</v>
      </c>
      <c r="K237" s="20">
        <f t="shared" si="68"/>
        <v>2.1950656311191447E-3</v>
      </c>
      <c r="L237" s="20">
        <f t="shared" si="69"/>
        <v>0.61352762774003544</v>
      </c>
      <c r="M237" s="20">
        <f t="shared" si="70"/>
        <v>0.61352762774003544</v>
      </c>
      <c r="N237" s="20">
        <f t="shared" si="71"/>
        <v>0.61352762774003544</v>
      </c>
      <c r="O237" s="17"/>
      <c r="P237" s="20">
        <f t="shared" si="72"/>
        <v>67.358184893149684</v>
      </c>
      <c r="Q237" s="20">
        <f t="shared" si="73"/>
        <v>141.56011739373542</v>
      </c>
      <c r="R237" s="20">
        <f t="shared" si="74"/>
        <v>0</v>
      </c>
      <c r="S237" s="20">
        <f t="shared" si="75"/>
        <v>0</v>
      </c>
      <c r="T237" s="20">
        <f t="shared" si="76"/>
        <v>0</v>
      </c>
      <c r="U237" s="17"/>
      <c r="V237" s="20">
        <f t="shared" si="77"/>
        <v>208.91830228688511</v>
      </c>
      <c r="W237" s="17"/>
      <c r="X237" s="20">
        <f t="shared" si="78"/>
        <v>0.77896914486909485</v>
      </c>
      <c r="Y237" s="20">
        <f t="shared" si="79"/>
        <v>0.88259228688511371</v>
      </c>
      <c r="Z237" s="20"/>
      <c r="AA237" s="20">
        <f t="shared" si="80"/>
        <v>5.7682654962521207E-6</v>
      </c>
    </row>
    <row r="238" spans="2:27" x14ac:dyDescent="0.3">
      <c r="B238" s="28">
        <v>20</v>
      </c>
      <c r="C238" s="28">
        <v>202.78572</v>
      </c>
      <c r="D238" s="20">
        <f t="shared" si="62"/>
        <v>19.161363044597636</v>
      </c>
      <c r="E238" s="20">
        <f t="shared" si="63"/>
        <v>-6.1143016446418583</v>
      </c>
      <c r="F238" s="20">
        <f t="shared" si="64"/>
        <v>0.13610875599711392</v>
      </c>
      <c r="G238" s="20">
        <f t="shared" si="65"/>
        <v>0.13610875599711392</v>
      </c>
      <c r="H238" s="20">
        <f t="shared" si="66"/>
        <v>0.13610875599711392</v>
      </c>
      <c r="I238" s="17"/>
      <c r="J238" s="20">
        <f t="shared" si="67"/>
        <v>16.366147990005786</v>
      </c>
      <c r="K238" s="20">
        <f t="shared" si="68"/>
        <v>2.2061468509352541E-3</v>
      </c>
      <c r="L238" s="20">
        <f t="shared" si="69"/>
        <v>0.61776152838717369</v>
      </c>
      <c r="M238" s="20">
        <f t="shared" si="70"/>
        <v>0.61776152838717369</v>
      </c>
      <c r="N238" s="20">
        <f t="shared" si="71"/>
        <v>0.61776152838717369</v>
      </c>
      <c r="O238" s="17"/>
      <c r="P238" s="20">
        <f t="shared" si="72"/>
        <v>66.793047809979811</v>
      </c>
      <c r="Q238" s="20">
        <f t="shared" si="73"/>
        <v>140.84751999496518</v>
      </c>
      <c r="R238" s="20">
        <f t="shared" si="74"/>
        <v>0</v>
      </c>
      <c r="S238" s="20">
        <f t="shared" si="75"/>
        <v>0</v>
      </c>
      <c r="T238" s="20">
        <f t="shared" si="76"/>
        <v>0</v>
      </c>
      <c r="U238" s="17"/>
      <c r="V238" s="20">
        <f t="shared" si="77"/>
        <v>207.64056780494499</v>
      </c>
      <c r="W238" s="17"/>
      <c r="X238" s="20">
        <f t="shared" si="78"/>
        <v>23.569547209179241</v>
      </c>
      <c r="Y238" s="20">
        <f t="shared" si="79"/>
        <v>4.8548478049449955</v>
      </c>
      <c r="Z238" s="20"/>
      <c r="AA238" s="20">
        <f t="shared" si="80"/>
        <v>3.1729317714357983E-5</v>
      </c>
    </row>
    <row r="239" spans="2:27" x14ac:dyDescent="0.3">
      <c r="B239" s="28">
        <v>20.100000000000001</v>
      </c>
      <c r="C239" s="28">
        <v>197.03570999999999</v>
      </c>
      <c r="D239" s="20">
        <f t="shared" si="62"/>
        <v>19.236541224896296</v>
      </c>
      <c r="E239" s="20">
        <f t="shared" si="63"/>
        <v>-6.1092550222948985</v>
      </c>
      <c r="F239" s="20">
        <f t="shared" si="64"/>
        <v>0.14721986710822499</v>
      </c>
      <c r="G239" s="20">
        <f t="shared" si="65"/>
        <v>0.14721986710822499</v>
      </c>
      <c r="H239" s="20">
        <f t="shared" si="66"/>
        <v>0.14721986710822499</v>
      </c>
      <c r="I239" s="17"/>
      <c r="J239" s="20">
        <f t="shared" si="67"/>
        <v>16.437005970440225</v>
      </c>
      <c r="K239" s="20">
        <f t="shared" si="68"/>
        <v>2.2172838876551191E-3</v>
      </c>
      <c r="L239" s="20">
        <f t="shared" si="69"/>
        <v>0.62201344225011468</v>
      </c>
      <c r="M239" s="20">
        <f t="shared" si="70"/>
        <v>0.62201344225011468</v>
      </c>
      <c r="N239" s="20">
        <f t="shared" si="71"/>
        <v>0.62201344225011468</v>
      </c>
      <c r="O239" s="17"/>
      <c r="P239" s="20">
        <f t="shared" si="72"/>
        <v>66.234857072699853</v>
      </c>
      <c r="Q239" s="20">
        <f t="shared" si="73"/>
        <v>140.13850976422691</v>
      </c>
      <c r="R239" s="20">
        <f t="shared" si="74"/>
        <v>0</v>
      </c>
      <c r="S239" s="20">
        <f t="shared" si="75"/>
        <v>0</v>
      </c>
      <c r="T239" s="20">
        <f t="shared" si="76"/>
        <v>0</v>
      </c>
      <c r="U239" s="17"/>
      <c r="V239" s="20">
        <f t="shared" si="77"/>
        <v>206.37336683692678</v>
      </c>
      <c r="W239" s="17"/>
      <c r="X239" s="20">
        <f t="shared" si="78"/>
        <v>87.191835204205489</v>
      </c>
      <c r="Y239" s="20">
        <f t="shared" si="79"/>
        <v>9.3376568369267829</v>
      </c>
      <c r="Z239" s="20"/>
      <c r="AA239" s="20">
        <f t="shared" si="80"/>
        <v>6.1027140785900228E-5</v>
      </c>
    </row>
    <row r="240" spans="2:27" x14ac:dyDescent="0.3">
      <c r="B240" s="28">
        <v>20.2</v>
      </c>
      <c r="C240" s="28">
        <v>207.78570999999999</v>
      </c>
      <c r="D240" s="20">
        <f t="shared" si="62"/>
        <v>19.311719405194953</v>
      </c>
      <c r="E240" s="20">
        <f t="shared" si="63"/>
        <v>-6.1042083999479395</v>
      </c>
      <c r="F240" s="20">
        <f t="shared" si="64"/>
        <v>0.15833097821933606</v>
      </c>
      <c r="G240" s="20">
        <f t="shared" si="65"/>
        <v>0.15833097821933606</v>
      </c>
      <c r="H240" s="20">
        <f t="shared" si="66"/>
        <v>0.15833097821933606</v>
      </c>
      <c r="I240" s="17"/>
      <c r="J240" s="20">
        <f t="shared" si="67"/>
        <v>16.507881473286393</v>
      </c>
      <c r="K240" s="20">
        <f t="shared" si="68"/>
        <v>2.2284770211826064E-3</v>
      </c>
      <c r="L240" s="20">
        <f t="shared" si="69"/>
        <v>0.62628335105028654</v>
      </c>
      <c r="M240" s="20">
        <f t="shared" si="70"/>
        <v>0.62628335105028654</v>
      </c>
      <c r="N240" s="20">
        <f t="shared" si="71"/>
        <v>0.62628335105028654</v>
      </c>
      <c r="O240" s="17"/>
      <c r="P240" s="20">
        <f t="shared" si="72"/>
        <v>65.683500965112287</v>
      </c>
      <c r="Q240" s="20">
        <f t="shared" si="73"/>
        <v>139.43306864412688</v>
      </c>
      <c r="R240" s="20">
        <f t="shared" si="74"/>
        <v>0</v>
      </c>
      <c r="S240" s="20">
        <f t="shared" si="75"/>
        <v>0</v>
      </c>
      <c r="T240" s="20">
        <f t="shared" si="76"/>
        <v>0</v>
      </c>
      <c r="U240" s="17"/>
      <c r="V240" s="20">
        <f t="shared" si="77"/>
        <v>205.11656960923915</v>
      </c>
      <c r="W240" s="17"/>
      <c r="X240" s="20">
        <f t="shared" si="78"/>
        <v>7.1243104255909548</v>
      </c>
      <c r="Y240" s="20">
        <f t="shared" si="79"/>
        <v>2.6691403907608446</v>
      </c>
      <c r="Z240" s="20"/>
      <c r="AA240" s="20">
        <f t="shared" si="80"/>
        <v>1.7444419863463872E-5</v>
      </c>
    </row>
    <row r="241" spans="2:27" x14ac:dyDescent="0.3">
      <c r="B241" s="28">
        <v>20.3</v>
      </c>
      <c r="C241" s="28">
        <v>182.28570999999999</v>
      </c>
      <c r="D241" s="20">
        <f t="shared" si="62"/>
        <v>19.386897585493614</v>
      </c>
      <c r="E241" s="20">
        <f t="shared" si="63"/>
        <v>-6.0991617776009805</v>
      </c>
      <c r="F241" s="20">
        <f t="shared" si="64"/>
        <v>0.16944208933044758</v>
      </c>
      <c r="G241" s="20">
        <f t="shared" si="65"/>
        <v>0.16944208933044758</v>
      </c>
      <c r="H241" s="20">
        <f t="shared" si="66"/>
        <v>0.16944208933044758</v>
      </c>
      <c r="I241" s="17"/>
      <c r="J241" s="20">
        <f t="shared" si="67"/>
        <v>16.578774361242498</v>
      </c>
      <c r="K241" s="20">
        <f t="shared" si="68"/>
        <v>2.2397265328126087E-3</v>
      </c>
      <c r="L241" s="20">
        <f t="shared" si="69"/>
        <v>0.63057123597803344</v>
      </c>
      <c r="M241" s="20">
        <f t="shared" si="70"/>
        <v>0.63057123597803344</v>
      </c>
      <c r="N241" s="20">
        <f t="shared" si="71"/>
        <v>0.63057123597803344</v>
      </c>
      <c r="O241" s="17"/>
      <c r="P241" s="20">
        <f t="shared" si="72"/>
        <v>65.138869981198468</v>
      </c>
      <c r="Q241" s="20">
        <f t="shared" si="73"/>
        <v>138.7311786681706</v>
      </c>
      <c r="R241" s="20">
        <f t="shared" si="74"/>
        <v>0</v>
      </c>
      <c r="S241" s="20">
        <f t="shared" si="75"/>
        <v>0</v>
      </c>
      <c r="T241" s="20">
        <f t="shared" si="76"/>
        <v>0</v>
      </c>
      <c r="U241" s="17"/>
      <c r="V241" s="20">
        <f t="shared" si="77"/>
        <v>203.87004864936907</v>
      </c>
      <c r="W241" s="17"/>
      <c r="X241" s="20">
        <f t="shared" si="78"/>
        <v>465.88367493064754</v>
      </c>
      <c r="Y241" s="20">
        <f t="shared" si="79"/>
        <v>21.584338649369073</v>
      </c>
      <c r="Z241" s="20"/>
      <c r="AA241" s="20">
        <f t="shared" si="80"/>
        <v>1.4106648986247409E-4</v>
      </c>
    </row>
    <row r="242" spans="2:27" x14ac:dyDescent="0.3">
      <c r="B242" s="28">
        <v>20.399999999999999</v>
      </c>
      <c r="C242" s="28">
        <v>202.53570999999999</v>
      </c>
      <c r="D242" s="20">
        <f t="shared" ref="D242:D305" si="81">$C$23/(1-$C$23)-LN((1-$C$23)/$C$23)+$C$22/(1-$C$23)*B242</f>
        <v>19.462075765792271</v>
      </c>
      <c r="E242" s="20">
        <f t="shared" ref="E242:E305" si="82">$D$23/(1-$D$23)-LN((1-$D$23)/$D$23)+$D$22*B242/(1-$D$23)</f>
        <v>-6.0941151552540216</v>
      </c>
      <c r="F242" s="20">
        <f t="shared" ref="F242:F305" si="83">$E$23/(1-$E$23)-LN((1-$E$23)/$E$23)+$E$22*B242/(1-$E$23)</f>
        <v>0.1805532004415582</v>
      </c>
      <c r="G242" s="20">
        <f t="shared" ref="G242:G305" si="84">$F$23/(1-$F$23)-LN((1-$F$23)/$F$23)+$F$22*B242/(1-$F$23)</f>
        <v>0.1805532004415582</v>
      </c>
      <c r="H242" s="20">
        <f t="shared" ref="H242:H305" si="85">$G$23/(1-$G$23)-LN((1-$G$23)/$G$23)+$G$22*B242/(1-$G$23)</f>
        <v>0.1805532004415582</v>
      </c>
      <c r="I242" s="17"/>
      <c r="J242" s="20">
        <f t="shared" ref="J242:J305" si="86">lmb_2(D242)</f>
        <v>16.64968449857961</v>
      </c>
      <c r="K242" s="20">
        <f t="shared" ref="K242:K305" si="87">lmb_2(E242)</f>
        <v>2.2510327052378222E-3</v>
      </c>
      <c r="L242" s="20">
        <f t="shared" ref="L242:L305" si="88">lmb_2(F242)</f>
        <v>0.63487707769802815</v>
      </c>
      <c r="M242" s="20">
        <f t="shared" ref="M242:M305" si="89">lmb_2(G242)</f>
        <v>0.63487707769802815</v>
      </c>
      <c r="N242" s="20">
        <f t="shared" ref="N242:N305" si="90">lmb_2(H242)</f>
        <v>0.63487707769802815</v>
      </c>
      <c r="O242" s="17"/>
      <c r="P242" s="20">
        <f t="shared" ref="P242:P305" si="91">($C$21*$A$21*$C$22)/(J242+J242^2)</f>
        <v>64.600856773385814</v>
      </c>
      <c r="Q242" s="20">
        <f t="shared" ref="Q242:Q305" si="92">($D$21*$A$21*$D$22)/(K242+K242^2)</f>
        <v>138.03282196030599</v>
      </c>
      <c r="R242" s="20">
        <f t="shared" ref="R242:R305" si="93">($E$21*$A$21*$E$22)/(L242+L242^2)</f>
        <v>0</v>
      </c>
      <c r="S242" s="20">
        <f t="shared" ref="S242:S305" si="94">($F$21*$A$21*$F$22)/(M242+M242^2)</f>
        <v>0</v>
      </c>
      <c r="T242" s="20">
        <f t="shared" ref="T242:T305" si="95">($G$21*$A$21*$G$22)/(N242+N242^2)</f>
        <v>0</v>
      </c>
      <c r="U242" s="17"/>
      <c r="V242" s="20">
        <f t="shared" ref="V242:V305" si="96">SUM(P242:T242)</f>
        <v>202.6336787336918</v>
      </c>
      <c r="W242" s="17"/>
      <c r="X242" s="20">
        <f t="shared" ref="X242:X305" si="97">(V242-C242)^2</f>
        <v>9.597872781174922E-3</v>
      </c>
      <c r="Y242" s="20">
        <f t="shared" ref="Y242:Y305" si="98">ABS(V242-C242)</f>
        <v>9.796873369180048E-2</v>
      </c>
      <c r="Z242" s="20"/>
      <c r="AA242" s="20">
        <f t="shared" ref="AA242:AA305" si="99">Y242/$Z$39</f>
        <v>6.4028393932643242E-7</v>
      </c>
    </row>
    <row r="243" spans="2:27" x14ac:dyDescent="0.3">
      <c r="B243" s="28">
        <v>20.5</v>
      </c>
      <c r="C243" s="28">
        <v>204.78572</v>
      </c>
      <c r="D243" s="20">
        <f t="shared" si="81"/>
        <v>19.537253946090935</v>
      </c>
      <c r="E243" s="20">
        <f t="shared" si="82"/>
        <v>-6.0890685329070617</v>
      </c>
      <c r="F243" s="20">
        <f t="shared" si="83"/>
        <v>0.19166431155266972</v>
      </c>
      <c r="G243" s="20">
        <f t="shared" si="84"/>
        <v>0.19166431155266972</v>
      </c>
      <c r="H243" s="20">
        <f t="shared" si="85"/>
        <v>0.19166431155266972</v>
      </c>
      <c r="I243" s="17"/>
      <c r="J243" s="20">
        <f t="shared" si="86"/>
        <v>16.720611751118167</v>
      </c>
      <c r="K243" s="20">
        <f t="shared" si="87"/>
        <v>2.2623958225555657E-3</v>
      </c>
      <c r="L243" s="20">
        <f t="shared" si="88"/>
        <v>0.63920085635472323</v>
      </c>
      <c r="M243" s="20">
        <f t="shared" si="89"/>
        <v>0.63920085635472323</v>
      </c>
      <c r="N243" s="20">
        <f t="shared" si="90"/>
        <v>0.63920085635472323</v>
      </c>
      <c r="O243" s="17"/>
      <c r="P243" s="20">
        <f t="shared" si="91"/>
        <v>64.069356102209468</v>
      </c>
      <c r="Q243" s="20">
        <f t="shared" si="92"/>
        <v>137.33798073446766</v>
      </c>
      <c r="R243" s="20">
        <f t="shared" si="93"/>
        <v>0</v>
      </c>
      <c r="S243" s="20">
        <f t="shared" si="94"/>
        <v>0</v>
      </c>
      <c r="T243" s="20">
        <f t="shared" si="95"/>
        <v>0</v>
      </c>
      <c r="U243" s="17"/>
      <c r="V243" s="20">
        <f t="shared" si="96"/>
        <v>201.40733683667713</v>
      </c>
      <c r="W243" s="17"/>
      <c r="X243" s="20">
        <f t="shared" si="97"/>
        <v>11.413472798223413</v>
      </c>
      <c r="Y243" s="20">
        <f t="shared" si="98"/>
        <v>3.3783831633228658</v>
      </c>
      <c r="Z243" s="20"/>
      <c r="AA243" s="20">
        <f t="shared" si="99"/>
        <v>2.2079743187978982E-5</v>
      </c>
    </row>
    <row r="244" spans="2:27" x14ac:dyDescent="0.3">
      <c r="B244" s="28">
        <v>20.6</v>
      </c>
      <c r="C244" s="28">
        <v>189.78570999999999</v>
      </c>
      <c r="D244" s="20">
        <f t="shared" si="81"/>
        <v>19.612432126389592</v>
      </c>
      <c r="E244" s="20">
        <f t="shared" si="82"/>
        <v>-6.0840219105601028</v>
      </c>
      <c r="F244" s="20">
        <f t="shared" si="83"/>
        <v>0.20277542266378035</v>
      </c>
      <c r="G244" s="20">
        <f t="shared" si="84"/>
        <v>0.20277542266378035</v>
      </c>
      <c r="H244" s="20">
        <f t="shared" si="85"/>
        <v>0.20277542266378035</v>
      </c>
      <c r="I244" s="17"/>
      <c r="J244" s="20">
        <f t="shared" si="86"/>
        <v>16.791555986204845</v>
      </c>
      <c r="K244" s="20">
        <f t="shared" si="87"/>
        <v>2.273816170274627E-3</v>
      </c>
      <c r="L244" s="20">
        <f t="shared" si="88"/>
        <v>0.64354255157783347</v>
      </c>
      <c r="M244" s="20">
        <f t="shared" si="89"/>
        <v>0.64354255157783347</v>
      </c>
      <c r="N244" s="20">
        <f t="shared" si="90"/>
        <v>0.64354255157783347</v>
      </c>
      <c r="O244" s="17"/>
      <c r="P244" s="20">
        <f t="shared" si="91"/>
        <v>63.544264787326604</v>
      </c>
      <c r="Q244" s="20">
        <f t="shared" si="92"/>
        <v>136.64663729412436</v>
      </c>
      <c r="R244" s="20">
        <f t="shared" si="93"/>
        <v>0</v>
      </c>
      <c r="S244" s="20">
        <f t="shared" si="94"/>
        <v>0</v>
      </c>
      <c r="T244" s="20">
        <f t="shared" si="95"/>
        <v>0</v>
      </c>
      <c r="U244" s="17"/>
      <c r="V244" s="20">
        <f t="shared" si="96"/>
        <v>200.19090208145096</v>
      </c>
      <c r="W244" s="17"/>
      <c r="X244" s="20">
        <f t="shared" si="97"/>
        <v>108.26802225188982</v>
      </c>
      <c r="Y244" s="20">
        <f t="shared" si="98"/>
        <v>10.405192081450963</v>
      </c>
      <c r="Z244" s="20"/>
      <c r="AA244" s="20">
        <f t="shared" si="99"/>
        <v>6.8004118500892944E-5</v>
      </c>
    </row>
    <row r="245" spans="2:27" x14ac:dyDescent="0.3">
      <c r="B245" s="28">
        <v>20.7</v>
      </c>
      <c r="C245" s="28">
        <v>215.78570999999999</v>
      </c>
      <c r="D245" s="20">
        <f t="shared" si="81"/>
        <v>19.687610306688249</v>
      </c>
      <c r="E245" s="20">
        <f t="shared" si="82"/>
        <v>-6.0789752882131438</v>
      </c>
      <c r="F245" s="20">
        <f t="shared" si="83"/>
        <v>0.21388653377489142</v>
      </c>
      <c r="G245" s="20">
        <f t="shared" si="84"/>
        <v>0.21388653377489142</v>
      </c>
      <c r="H245" s="20">
        <f t="shared" si="85"/>
        <v>0.21388653377489142</v>
      </c>
      <c r="I245" s="17"/>
      <c r="J245" s="20">
        <f t="shared" si="86"/>
        <v>16.862517072689954</v>
      </c>
      <c r="K245" s="20">
        <f t="shared" si="87"/>
        <v>2.2852940353221525E-3</v>
      </c>
      <c r="L245" s="20">
        <f t="shared" si="88"/>
        <v>0.64790214248785494</v>
      </c>
      <c r="M245" s="20">
        <f t="shared" si="89"/>
        <v>0.64790214248785494</v>
      </c>
      <c r="N245" s="20">
        <f t="shared" si="90"/>
        <v>0.64790214248785494</v>
      </c>
      <c r="O245" s="17"/>
      <c r="P245" s="20">
        <f t="shared" si="91"/>
        <v>63.025481659841368</v>
      </c>
      <c r="Q245" s="20">
        <f t="shared" si="92"/>
        <v>135.95877403182774</v>
      </c>
      <c r="R245" s="20">
        <f t="shared" si="93"/>
        <v>0</v>
      </c>
      <c r="S245" s="20">
        <f t="shared" si="94"/>
        <v>0</v>
      </c>
      <c r="T245" s="20">
        <f t="shared" si="95"/>
        <v>0</v>
      </c>
      <c r="U245" s="17"/>
      <c r="V245" s="20">
        <f t="shared" si="96"/>
        <v>198.98425569166912</v>
      </c>
      <c r="W245" s="17"/>
      <c r="X245" s="20">
        <f t="shared" si="97"/>
        <v>282.28886687493014</v>
      </c>
      <c r="Y245" s="20">
        <f t="shared" si="98"/>
        <v>16.801454308330875</v>
      </c>
      <c r="Z245" s="20"/>
      <c r="AA245" s="20">
        <f t="shared" si="99"/>
        <v>1.0980749618336162E-4</v>
      </c>
    </row>
    <row r="246" spans="2:27" x14ac:dyDescent="0.3">
      <c r="B246" s="28">
        <v>20.8</v>
      </c>
      <c r="C246" s="28">
        <v>207.03572</v>
      </c>
      <c r="D246" s="20">
        <f t="shared" si="81"/>
        <v>19.762788486986913</v>
      </c>
      <c r="E246" s="20">
        <f t="shared" si="82"/>
        <v>-6.073928665866184</v>
      </c>
      <c r="F246" s="20">
        <f t="shared" si="83"/>
        <v>0.22499764488600293</v>
      </c>
      <c r="G246" s="20">
        <f t="shared" si="84"/>
        <v>0.22499764488600293</v>
      </c>
      <c r="H246" s="20">
        <f t="shared" si="85"/>
        <v>0.22499764488600293</v>
      </c>
      <c r="I246" s="17"/>
      <c r="J246" s="20">
        <f t="shared" si="86"/>
        <v>16.933494880905158</v>
      </c>
      <c r="K246" s="20">
        <f t="shared" si="87"/>
        <v>2.2968297060505564E-3</v>
      </c>
      <c r="L246" s="20">
        <f t="shared" si="88"/>
        <v>0.6522796077016102</v>
      </c>
      <c r="M246" s="20">
        <f t="shared" si="89"/>
        <v>0.6522796077016102</v>
      </c>
      <c r="N246" s="20">
        <f t="shared" si="90"/>
        <v>0.6522796077016102</v>
      </c>
      <c r="O246" s="17"/>
      <c r="P246" s="20">
        <f t="shared" si="91"/>
        <v>62.512907515901745</v>
      </c>
      <c r="Q246" s="20">
        <f t="shared" si="92"/>
        <v>135.27437342876416</v>
      </c>
      <c r="R246" s="20">
        <f t="shared" si="93"/>
        <v>0</v>
      </c>
      <c r="S246" s="20">
        <f t="shared" si="94"/>
        <v>0</v>
      </c>
      <c r="T246" s="20">
        <f t="shared" si="95"/>
        <v>0</v>
      </c>
      <c r="U246" s="17"/>
      <c r="V246" s="20">
        <f t="shared" si="96"/>
        <v>197.78728094466589</v>
      </c>
      <c r="W246" s="17"/>
      <c r="X246" s="20">
        <f t="shared" si="97"/>
        <v>85.533624960229147</v>
      </c>
      <c r="Y246" s="20">
        <f t="shared" si="98"/>
        <v>9.2484390553341029</v>
      </c>
      <c r="Z246" s="20"/>
      <c r="AA246" s="20">
        <f t="shared" si="99"/>
        <v>6.0444049522968984E-5</v>
      </c>
    </row>
    <row r="247" spans="2:27" x14ac:dyDescent="0.3">
      <c r="B247" s="28">
        <v>20.9</v>
      </c>
      <c r="C247" s="28">
        <v>193.78570999999999</v>
      </c>
      <c r="D247" s="20">
        <f t="shared" si="81"/>
        <v>19.837966667285571</v>
      </c>
      <c r="E247" s="20">
        <f t="shared" si="82"/>
        <v>-6.0688820435192259</v>
      </c>
      <c r="F247" s="20">
        <f t="shared" si="83"/>
        <v>0.23610875599711356</v>
      </c>
      <c r="G247" s="20">
        <f t="shared" si="84"/>
        <v>0.23610875599711356</v>
      </c>
      <c r="H247" s="20">
        <f t="shared" si="85"/>
        <v>0.23610875599711356</v>
      </c>
      <c r="I247" s="17"/>
      <c r="J247" s="20">
        <f t="shared" si="86"/>
        <v>17.004489282641632</v>
      </c>
      <c r="K247" s="20">
        <f t="shared" si="87"/>
        <v>2.3084234722444592E-3</v>
      </c>
      <c r="L247" s="20">
        <f t="shared" si="88"/>
        <v>0.65667492533782512</v>
      </c>
      <c r="M247" s="20">
        <f t="shared" si="89"/>
        <v>0.65667492533782512</v>
      </c>
      <c r="N247" s="20">
        <f t="shared" si="90"/>
        <v>0.65667492533782512</v>
      </c>
      <c r="O247" s="17"/>
      <c r="P247" s="20">
        <f t="shared" si="91"/>
        <v>62.006445071529456</v>
      </c>
      <c r="Q247" s="20">
        <f t="shared" si="92"/>
        <v>134.59341805430896</v>
      </c>
      <c r="R247" s="20">
        <f t="shared" si="93"/>
        <v>0</v>
      </c>
      <c r="S247" s="20">
        <f t="shared" si="94"/>
        <v>0</v>
      </c>
      <c r="T247" s="20">
        <f t="shared" si="95"/>
        <v>0</v>
      </c>
      <c r="U247" s="17"/>
      <c r="V247" s="20">
        <f t="shared" si="96"/>
        <v>196.5998631258384</v>
      </c>
      <c r="W247" s="17"/>
      <c r="X247" s="20">
        <f t="shared" si="97"/>
        <v>7.9194578156660489</v>
      </c>
      <c r="Y247" s="20">
        <f t="shared" si="98"/>
        <v>2.814153125838402</v>
      </c>
      <c r="Z247" s="20"/>
      <c r="AA247" s="20">
        <f t="shared" si="99"/>
        <v>1.8392164330183768E-5</v>
      </c>
    </row>
    <row r="248" spans="2:27" x14ac:dyDescent="0.3">
      <c r="B248" s="28">
        <v>21</v>
      </c>
      <c r="C248" s="28">
        <v>200.03570999999999</v>
      </c>
      <c r="D248" s="20">
        <f t="shared" si="81"/>
        <v>19.913144847584231</v>
      </c>
      <c r="E248" s="20">
        <f t="shared" si="82"/>
        <v>-6.063835421172266</v>
      </c>
      <c r="F248" s="20">
        <f t="shared" si="83"/>
        <v>0.24721986710822508</v>
      </c>
      <c r="G248" s="20">
        <f t="shared" si="84"/>
        <v>0.24721986710822508</v>
      </c>
      <c r="H248" s="20">
        <f t="shared" si="85"/>
        <v>0.24721986710822508</v>
      </c>
      <c r="I248" s="17"/>
      <c r="J248" s="20">
        <f t="shared" si="86"/>
        <v>17.075500151128626</v>
      </c>
      <c r="K248" s="20">
        <f t="shared" si="87"/>
        <v>2.3200756251276883E-3</v>
      </c>
      <c r="L248" s="20">
        <f t="shared" si="88"/>
        <v>0.66108807302273354</v>
      </c>
      <c r="M248" s="20">
        <f t="shared" si="89"/>
        <v>0.66108807302273354</v>
      </c>
      <c r="N248" s="20">
        <f t="shared" si="90"/>
        <v>0.66108807302273354</v>
      </c>
      <c r="O248" s="17"/>
      <c r="P248" s="20">
        <f t="shared" si="91"/>
        <v>61.505998918646085</v>
      </c>
      <c r="Q248" s="20">
        <f t="shared" si="92"/>
        <v>133.91589056558132</v>
      </c>
      <c r="R248" s="20">
        <f t="shared" si="93"/>
        <v>0</v>
      </c>
      <c r="S248" s="20">
        <f t="shared" si="94"/>
        <v>0</v>
      </c>
      <c r="T248" s="20">
        <f t="shared" si="95"/>
        <v>0</v>
      </c>
      <c r="U248" s="17"/>
      <c r="V248" s="20">
        <f t="shared" si="96"/>
        <v>195.42188948422739</v>
      </c>
      <c r="W248" s="17"/>
      <c r="X248" s="20">
        <f t="shared" si="97"/>
        <v>21.287339751764158</v>
      </c>
      <c r="Y248" s="20">
        <f t="shared" si="98"/>
        <v>4.613820515772602</v>
      </c>
      <c r="Z248" s="20"/>
      <c r="AA248" s="20">
        <f t="shared" si="99"/>
        <v>3.0154061034181178E-5</v>
      </c>
    </row>
    <row r="249" spans="2:27" x14ac:dyDescent="0.3">
      <c r="B249" s="28">
        <v>21.1</v>
      </c>
      <c r="C249" s="28">
        <v>201.53570999999999</v>
      </c>
      <c r="D249" s="20">
        <f t="shared" si="81"/>
        <v>19.988323027882892</v>
      </c>
      <c r="E249" s="20">
        <f t="shared" si="82"/>
        <v>-6.0587887988253071</v>
      </c>
      <c r="F249" s="20">
        <f t="shared" si="83"/>
        <v>0.25833097821933615</v>
      </c>
      <c r="G249" s="20">
        <f t="shared" si="84"/>
        <v>0.25833097821933615</v>
      </c>
      <c r="H249" s="20">
        <f t="shared" si="85"/>
        <v>0.25833097821933615</v>
      </c>
      <c r="I249" s="17"/>
      <c r="J249" s="20">
        <f t="shared" si="86"/>
        <v>17.146527361012392</v>
      </c>
      <c r="K249" s="20">
        <f t="shared" si="87"/>
        <v>2.3317864573702599E-3</v>
      </c>
      <c r="L249" s="20">
        <f t="shared" si="88"/>
        <v>0.66551902789570327</v>
      </c>
      <c r="M249" s="20">
        <f t="shared" si="89"/>
        <v>0.66551902789570327</v>
      </c>
      <c r="N249" s="20">
        <f t="shared" si="90"/>
        <v>0.66551902789570327</v>
      </c>
      <c r="O249" s="17"/>
      <c r="P249" s="20">
        <f t="shared" si="91"/>
        <v>61.011475482259698</v>
      </c>
      <c r="Q249" s="20">
        <f t="shared" si="92"/>
        <v>133.24177370700414</v>
      </c>
      <c r="R249" s="20">
        <f t="shared" si="93"/>
        <v>0</v>
      </c>
      <c r="S249" s="20">
        <f t="shared" si="94"/>
        <v>0</v>
      </c>
      <c r="T249" s="20">
        <f t="shared" si="95"/>
        <v>0</v>
      </c>
      <c r="U249" s="17"/>
      <c r="V249" s="20">
        <f t="shared" si="96"/>
        <v>194.25324918926384</v>
      </c>
      <c r="W249" s="17"/>
      <c r="X249" s="20">
        <f t="shared" si="97"/>
        <v>53.034235459907883</v>
      </c>
      <c r="Y249" s="20">
        <f t="shared" si="98"/>
        <v>7.2824608107361541</v>
      </c>
      <c r="Z249" s="20"/>
      <c r="AA249" s="20">
        <f t="shared" si="99"/>
        <v>4.7595212474189279E-5</v>
      </c>
    </row>
    <row r="250" spans="2:27" x14ac:dyDescent="0.3">
      <c r="B250" s="28">
        <v>21.2</v>
      </c>
      <c r="C250" s="28">
        <v>187.03570999999999</v>
      </c>
      <c r="D250" s="20">
        <f t="shared" si="81"/>
        <v>20.063501208181549</v>
      </c>
      <c r="E250" s="20">
        <f t="shared" si="82"/>
        <v>-6.0537421764783481</v>
      </c>
      <c r="F250" s="20">
        <f t="shared" si="83"/>
        <v>0.26944208933044722</v>
      </c>
      <c r="G250" s="20">
        <f t="shared" si="84"/>
        <v>0.26944208933044722</v>
      </c>
      <c r="H250" s="20">
        <f t="shared" si="85"/>
        <v>0.26944208933044722</v>
      </c>
      <c r="I250" s="17"/>
      <c r="J250" s="20">
        <f t="shared" si="86"/>
        <v>17.217570788335511</v>
      </c>
      <c r="K250" s="20">
        <f t="shared" si="87"/>
        <v>2.3435562630954492E-3</v>
      </c>
      <c r="L250" s="20">
        <f t="shared" si="88"/>
        <v>0.66996776661488922</v>
      </c>
      <c r="M250" s="20">
        <f t="shared" si="89"/>
        <v>0.66996776661488922</v>
      </c>
      <c r="N250" s="20">
        <f t="shared" si="90"/>
        <v>0.66996776661488922</v>
      </c>
      <c r="O250" s="17"/>
      <c r="P250" s="20">
        <f t="shared" si="91"/>
        <v>60.522782978777137</v>
      </c>
      <c r="Q250" s="20">
        <f t="shared" si="92"/>
        <v>132.57105030986327</v>
      </c>
      <c r="R250" s="20">
        <f t="shared" si="93"/>
        <v>0</v>
      </c>
      <c r="S250" s="20">
        <f t="shared" si="94"/>
        <v>0</v>
      </c>
      <c r="T250" s="20">
        <f t="shared" si="95"/>
        <v>0</v>
      </c>
      <c r="U250" s="17"/>
      <c r="V250" s="20">
        <f t="shared" si="96"/>
        <v>193.09383328864041</v>
      </c>
      <c r="W250" s="17"/>
      <c r="X250" s="20">
        <f t="shared" si="97"/>
        <v>36.700857780367379</v>
      </c>
      <c r="Y250" s="20">
        <f t="shared" si="98"/>
        <v>6.0581232886404166</v>
      </c>
      <c r="Z250" s="20"/>
      <c r="AA250" s="20">
        <f t="shared" si="99"/>
        <v>3.9593438620719205E-5</v>
      </c>
    </row>
    <row r="251" spans="2:27" x14ac:dyDescent="0.3">
      <c r="B251" s="28">
        <v>21.3</v>
      </c>
      <c r="C251" s="28">
        <v>175.03570999999999</v>
      </c>
      <c r="D251" s="20">
        <f t="shared" si="81"/>
        <v>20.13867938848021</v>
      </c>
      <c r="E251" s="20">
        <f t="shared" si="82"/>
        <v>-6.0486955541313883</v>
      </c>
      <c r="F251" s="20">
        <f t="shared" si="83"/>
        <v>0.28055320044155874</v>
      </c>
      <c r="G251" s="20">
        <f t="shared" si="84"/>
        <v>0.28055320044155874</v>
      </c>
      <c r="H251" s="20">
        <f t="shared" si="85"/>
        <v>0.28055320044155874</v>
      </c>
      <c r="I251" s="17"/>
      <c r="J251" s="20">
        <f t="shared" si="86"/>
        <v>17.288630310516574</v>
      </c>
      <c r="K251" s="20">
        <f t="shared" si="87"/>
        <v>2.3553853378868528E-3</v>
      </c>
      <c r="L251" s="20">
        <f t="shared" si="88"/>
        <v>0.67443426536290696</v>
      </c>
      <c r="M251" s="20">
        <f t="shared" si="89"/>
        <v>0.67443426536290696</v>
      </c>
      <c r="N251" s="20">
        <f t="shared" si="90"/>
        <v>0.67443426536290696</v>
      </c>
      <c r="O251" s="17"/>
      <c r="P251" s="20">
        <f t="shared" si="91"/>
        <v>60.039831375408866</v>
      </c>
      <c r="Q251" s="20">
        <f t="shared" si="92"/>
        <v>131.90370329187084</v>
      </c>
      <c r="R251" s="20">
        <f t="shared" si="93"/>
        <v>0</v>
      </c>
      <c r="S251" s="20">
        <f t="shared" si="94"/>
        <v>0</v>
      </c>
      <c r="T251" s="20">
        <f t="shared" si="95"/>
        <v>0</v>
      </c>
      <c r="U251" s="17"/>
      <c r="V251" s="20">
        <f t="shared" si="96"/>
        <v>191.94353466727972</v>
      </c>
      <c r="W251" s="17"/>
      <c r="X251" s="20">
        <f t="shared" si="97"/>
        <v>285.8745349794728</v>
      </c>
      <c r="Y251" s="20">
        <f t="shared" si="98"/>
        <v>16.907824667279726</v>
      </c>
      <c r="Z251" s="20"/>
      <c r="AA251" s="20">
        <f t="shared" si="99"/>
        <v>1.1050268974041621E-4</v>
      </c>
    </row>
    <row r="252" spans="2:27" x14ac:dyDescent="0.3">
      <c r="B252" s="28">
        <v>21.4</v>
      </c>
      <c r="C252" s="28">
        <v>173.28570999999999</v>
      </c>
      <c r="D252" s="20">
        <f t="shared" si="81"/>
        <v>20.21385756877887</v>
      </c>
      <c r="E252" s="20">
        <f t="shared" si="82"/>
        <v>-6.0436489317844293</v>
      </c>
      <c r="F252" s="20">
        <f t="shared" si="83"/>
        <v>0.29166431155266936</v>
      </c>
      <c r="G252" s="20">
        <f t="shared" si="84"/>
        <v>0.29166431155266936</v>
      </c>
      <c r="H252" s="20">
        <f t="shared" si="85"/>
        <v>0.29166431155266936</v>
      </c>
      <c r="I252" s="17"/>
      <c r="J252" s="20">
        <f t="shared" si="86"/>
        <v>17.359705806330226</v>
      </c>
      <c r="K252" s="20">
        <f t="shared" si="87"/>
        <v>2.3672739787954991E-3</v>
      </c>
      <c r="L252" s="20">
        <f t="shared" si="88"/>
        <v>0.67891849985252428</v>
      </c>
      <c r="M252" s="20">
        <f t="shared" si="89"/>
        <v>0.67891849985252428</v>
      </c>
      <c r="N252" s="20">
        <f t="shared" si="90"/>
        <v>0.67891849985252428</v>
      </c>
      <c r="O252" s="17"/>
      <c r="P252" s="20">
        <f t="shared" si="91"/>
        <v>59.562532350633788</v>
      </c>
      <c r="Q252" s="20">
        <f t="shared" si="92"/>
        <v>131.23971565673043</v>
      </c>
      <c r="R252" s="20">
        <f t="shared" si="93"/>
        <v>0</v>
      </c>
      <c r="S252" s="20">
        <f t="shared" si="94"/>
        <v>0</v>
      </c>
      <c r="T252" s="20">
        <f t="shared" si="95"/>
        <v>0</v>
      </c>
      <c r="U252" s="17"/>
      <c r="V252" s="20">
        <f t="shared" si="96"/>
        <v>190.8022480073642</v>
      </c>
      <c r="W252" s="17"/>
      <c r="X252" s="20">
        <f t="shared" si="97"/>
        <v>306.82910376343472</v>
      </c>
      <c r="Y252" s="20">
        <f t="shared" si="98"/>
        <v>17.516538007364204</v>
      </c>
      <c r="Z252" s="20"/>
      <c r="AA252" s="20">
        <f t="shared" si="99"/>
        <v>1.1448099343612336E-4</v>
      </c>
    </row>
    <row r="253" spans="2:27" x14ac:dyDescent="0.3">
      <c r="B253" s="28">
        <v>21.5</v>
      </c>
      <c r="C253" s="28">
        <v>176.28570999999999</v>
      </c>
      <c r="D253" s="20">
        <f t="shared" si="81"/>
        <v>20.289035749077531</v>
      </c>
      <c r="E253" s="20">
        <f t="shared" si="82"/>
        <v>-6.0386023094374703</v>
      </c>
      <c r="F253" s="20">
        <f t="shared" si="83"/>
        <v>0.30277542266378044</v>
      </c>
      <c r="G253" s="20">
        <f t="shared" si="84"/>
        <v>0.30277542266378044</v>
      </c>
      <c r="H253" s="20">
        <f t="shared" si="85"/>
        <v>0.30277542266378044</v>
      </c>
      <c r="I253" s="17"/>
      <c r="J253" s="20">
        <f t="shared" si="86"/>
        <v>17.430797155887582</v>
      </c>
      <c r="K253" s="20">
        <f t="shared" si="87"/>
        <v>2.3792224843469999E-3</v>
      </c>
      <c r="L253" s="20">
        <f t="shared" si="88"/>
        <v>0.683420445332375</v>
      </c>
      <c r="M253" s="20">
        <f t="shared" si="89"/>
        <v>0.683420445332375</v>
      </c>
      <c r="N253" s="20">
        <f t="shared" si="90"/>
        <v>0.683420445332375</v>
      </c>
      <c r="O253" s="17"/>
      <c r="P253" s="20">
        <f t="shared" si="91"/>
        <v>59.090799255692716</v>
      </c>
      <c r="Q253" s="20">
        <f t="shared" si="92"/>
        <v>130.57907049370348</v>
      </c>
      <c r="R253" s="20">
        <f t="shared" si="93"/>
        <v>0</v>
      </c>
      <c r="S253" s="20">
        <f t="shared" si="94"/>
        <v>0</v>
      </c>
      <c r="T253" s="20">
        <f t="shared" si="95"/>
        <v>0</v>
      </c>
      <c r="U253" s="17"/>
      <c r="V253" s="20">
        <f t="shared" si="96"/>
        <v>189.66986974939618</v>
      </c>
      <c r="W253" s="17"/>
      <c r="X253" s="20">
        <f t="shared" si="97"/>
        <v>179.13573219735707</v>
      </c>
      <c r="Y253" s="20">
        <f t="shared" si="98"/>
        <v>13.38415974939619</v>
      </c>
      <c r="Z253" s="20"/>
      <c r="AA253" s="20">
        <f t="shared" si="99"/>
        <v>8.7473443883402048E-5</v>
      </c>
    </row>
    <row r="254" spans="2:27" x14ac:dyDescent="0.3">
      <c r="B254" s="28">
        <v>21.6</v>
      </c>
      <c r="C254" s="28">
        <v>182.03570999999999</v>
      </c>
      <c r="D254" s="20">
        <f t="shared" si="81"/>
        <v>20.364213929376191</v>
      </c>
      <c r="E254" s="20">
        <f t="shared" si="82"/>
        <v>-6.0335556870905114</v>
      </c>
      <c r="F254" s="20">
        <f t="shared" si="83"/>
        <v>0.31388653377489151</v>
      </c>
      <c r="G254" s="20">
        <f t="shared" si="84"/>
        <v>0.31388653377489151</v>
      </c>
      <c r="H254" s="20">
        <f t="shared" si="85"/>
        <v>0.31388653377489151</v>
      </c>
      <c r="I254" s="17"/>
      <c r="J254" s="20">
        <f t="shared" si="86"/>
        <v>17.50190424061697</v>
      </c>
      <c r="K254" s="20">
        <f t="shared" si="87"/>
        <v>2.3912311545487225E-3</v>
      </c>
      <c r="L254" s="20">
        <f t="shared" si="88"/>
        <v>0.68794007659268386</v>
      </c>
      <c r="M254" s="20">
        <f t="shared" si="89"/>
        <v>0.68794007659268386</v>
      </c>
      <c r="N254" s="20">
        <f t="shared" si="90"/>
        <v>0.68794007659268386</v>
      </c>
      <c r="O254" s="17"/>
      <c r="P254" s="20">
        <f t="shared" si="91"/>
        <v>58.624547077080599</v>
      </c>
      <c r="Q254" s="20">
        <f t="shared" si="92"/>
        <v>129.9217509771791</v>
      </c>
      <c r="R254" s="20">
        <f t="shared" si="93"/>
        <v>0</v>
      </c>
      <c r="S254" s="20">
        <f t="shared" si="94"/>
        <v>0</v>
      </c>
      <c r="T254" s="20">
        <f t="shared" si="95"/>
        <v>0</v>
      </c>
      <c r="U254" s="17"/>
      <c r="V254" s="20">
        <f t="shared" si="96"/>
        <v>188.54629805425969</v>
      </c>
      <c r="W254" s="17"/>
      <c r="X254" s="20">
        <f t="shared" si="97"/>
        <v>42.387756812269096</v>
      </c>
      <c r="Y254" s="20">
        <f t="shared" si="98"/>
        <v>6.5105880542596992</v>
      </c>
      <c r="Z254" s="20"/>
      <c r="AA254" s="20">
        <f t="shared" si="99"/>
        <v>4.2550564957051259E-5</v>
      </c>
    </row>
    <row r="255" spans="2:27" x14ac:dyDescent="0.3">
      <c r="B255" s="28">
        <v>21.7</v>
      </c>
      <c r="C255" s="28">
        <v>190.28570999999999</v>
      </c>
      <c r="D255" s="20">
        <f t="shared" si="81"/>
        <v>20.439392109674849</v>
      </c>
      <c r="E255" s="20">
        <f t="shared" si="82"/>
        <v>-6.0285090647435524</v>
      </c>
      <c r="F255" s="20">
        <f t="shared" si="83"/>
        <v>0.32499764488600258</v>
      </c>
      <c r="G255" s="20">
        <f t="shared" si="84"/>
        <v>0.32499764488600258</v>
      </c>
      <c r="H255" s="20">
        <f t="shared" si="85"/>
        <v>0.32499764488600258</v>
      </c>
      <c r="I255" s="17"/>
      <c r="J255" s="20">
        <f t="shared" si="86"/>
        <v>17.573026943245026</v>
      </c>
      <c r="K255" s="20">
        <f t="shared" si="87"/>
        <v>2.4033002908969972E-3</v>
      </c>
      <c r="L255" s="20">
        <f t="shared" si="88"/>
        <v>0.69247736797101112</v>
      </c>
      <c r="M255" s="20">
        <f t="shared" si="89"/>
        <v>0.69247736797101112</v>
      </c>
      <c r="N255" s="20">
        <f t="shared" si="90"/>
        <v>0.69247736797101112</v>
      </c>
      <c r="O255" s="17"/>
      <c r="P255" s="20">
        <f t="shared" si="91"/>
        <v>58.163692400007783</v>
      </c>
      <c r="Q255" s="20">
        <f t="shared" si="92"/>
        <v>129.26774036624556</v>
      </c>
      <c r="R255" s="20">
        <f t="shared" si="93"/>
        <v>0</v>
      </c>
      <c r="S255" s="20">
        <f t="shared" si="94"/>
        <v>0</v>
      </c>
      <c r="T255" s="20">
        <f t="shared" si="95"/>
        <v>0</v>
      </c>
      <c r="U255" s="17"/>
      <c r="V255" s="20">
        <f t="shared" si="96"/>
        <v>187.43143276625335</v>
      </c>
      <c r="W255" s="17"/>
      <c r="X255" s="20">
        <f t="shared" si="97"/>
        <v>8.1468985270843888</v>
      </c>
      <c r="Y255" s="20">
        <f t="shared" si="98"/>
        <v>2.8542772337466431</v>
      </c>
      <c r="Z255" s="20"/>
      <c r="AA255" s="20">
        <f t="shared" si="99"/>
        <v>1.8654399238254216E-5</v>
      </c>
    </row>
    <row r="256" spans="2:27" x14ac:dyDescent="0.3">
      <c r="B256" s="28">
        <v>21.8</v>
      </c>
      <c r="C256" s="28">
        <v>184.28570999999999</v>
      </c>
      <c r="D256" s="20">
        <f t="shared" si="81"/>
        <v>20.514570289973509</v>
      </c>
      <c r="E256" s="20">
        <f t="shared" si="82"/>
        <v>-6.0234624423965926</v>
      </c>
      <c r="F256" s="20">
        <f t="shared" si="83"/>
        <v>0.33610875599711409</v>
      </c>
      <c r="G256" s="20">
        <f t="shared" si="84"/>
        <v>0.33610875599711409</v>
      </c>
      <c r="H256" s="20">
        <f t="shared" si="85"/>
        <v>0.33610875599711409</v>
      </c>
      <c r="I256" s="17"/>
      <c r="J256" s="20">
        <f t="shared" si="86"/>
        <v>17.644165147778128</v>
      </c>
      <c r="K256" s="20">
        <f t="shared" si="87"/>
        <v>2.4154301963843659E-3</v>
      </c>
      <c r="L256" s="20">
        <f t="shared" si="88"/>
        <v>0.69703229335800621</v>
      </c>
      <c r="M256" s="20">
        <f t="shared" si="89"/>
        <v>0.69703229335800621</v>
      </c>
      <c r="N256" s="20">
        <f t="shared" si="90"/>
        <v>0.69703229335800621</v>
      </c>
      <c r="O256" s="17"/>
      <c r="P256" s="20">
        <f t="shared" si="91"/>
        <v>57.708153372802272</v>
      </c>
      <c r="Q256" s="20">
        <f t="shared" si="92"/>
        <v>128.61702200426365</v>
      </c>
      <c r="R256" s="20">
        <f t="shared" si="93"/>
        <v>0</v>
      </c>
      <c r="S256" s="20">
        <f t="shared" si="94"/>
        <v>0</v>
      </c>
      <c r="T256" s="20">
        <f t="shared" si="95"/>
        <v>0</v>
      </c>
      <c r="U256" s="17"/>
      <c r="V256" s="20">
        <f t="shared" si="96"/>
        <v>186.32517537706593</v>
      </c>
      <c r="W256" s="17"/>
      <c r="X256" s="20">
        <f t="shared" si="97"/>
        <v>4.1594190242507061</v>
      </c>
      <c r="Y256" s="20">
        <f t="shared" si="98"/>
        <v>2.0394653770659374</v>
      </c>
      <c r="Z256" s="20"/>
      <c r="AA256" s="20">
        <f t="shared" si="99"/>
        <v>1.3329119164239424E-5</v>
      </c>
    </row>
    <row r="257" spans="2:27" x14ac:dyDescent="0.3">
      <c r="B257" s="28">
        <v>21.9</v>
      </c>
      <c r="C257" s="28">
        <v>166.28570999999999</v>
      </c>
      <c r="D257" s="20">
        <f t="shared" si="81"/>
        <v>20.589748470272166</v>
      </c>
      <c r="E257" s="20">
        <f t="shared" si="82"/>
        <v>-6.0184158200496336</v>
      </c>
      <c r="F257" s="20">
        <f t="shared" si="83"/>
        <v>0.34721986710822472</v>
      </c>
      <c r="G257" s="20">
        <f t="shared" si="84"/>
        <v>0.34721986710822472</v>
      </c>
      <c r="H257" s="20">
        <f t="shared" si="85"/>
        <v>0.34721986710822472</v>
      </c>
      <c r="I257" s="17"/>
      <c r="J257" s="20">
        <f t="shared" si="86"/>
        <v>17.715318739484132</v>
      </c>
      <c r="K257" s="20">
        <f t="shared" si="87"/>
        <v>2.4276211755068521E-3</v>
      </c>
      <c r="L257" s="20">
        <f t="shared" si="88"/>
        <v>0.70160482620317521</v>
      </c>
      <c r="M257" s="20">
        <f t="shared" si="89"/>
        <v>0.70160482620317521</v>
      </c>
      <c r="N257" s="20">
        <f t="shared" si="90"/>
        <v>0.70160482620317521</v>
      </c>
      <c r="O257" s="17"/>
      <c r="P257" s="20">
        <f t="shared" si="91"/>
        <v>57.257849672225788</v>
      </c>
      <c r="Q257" s="20">
        <f t="shared" si="92"/>
        <v>127.96957931844285</v>
      </c>
      <c r="R257" s="20">
        <f t="shared" si="93"/>
        <v>0</v>
      </c>
      <c r="S257" s="20">
        <f t="shared" si="94"/>
        <v>0</v>
      </c>
      <c r="T257" s="20">
        <f t="shared" si="95"/>
        <v>0</v>
      </c>
      <c r="U257" s="17"/>
      <c r="V257" s="20">
        <f t="shared" si="96"/>
        <v>185.22742899066864</v>
      </c>
      <c r="W257" s="17"/>
      <c r="X257" s="20">
        <f t="shared" si="97"/>
        <v>358.78871832145728</v>
      </c>
      <c r="Y257" s="20">
        <f t="shared" si="98"/>
        <v>18.941718990668647</v>
      </c>
      <c r="Z257" s="20"/>
      <c r="AA257" s="20">
        <f t="shared" si="99"/>
        <v>1.2379539875562032E-4</v>
      </c>
    </row>
    <row r="258" spans="2:27" x14ac:dyDescent="0.3">
      <c r="B258" s="28">
        <v>22</v>
      </c>
      <c r="C258" s="28">
        <v>176.53570999999999</v>
      </c>
      <c r="D258" s="20">
        <f t="shared" si="81"/>
        <v>20.664926650570827</v>
      </c>
      <c r="E258" s="20">
        <f t="shared" si="82"/>
        <v>-6.0133691977026746</v>
      </c>
      <c r="F258" s="20">
        <f t="shared" si="83"/>
        <v>0.35833097821933624</v>
      </c>
      <c r="G258" s="20">
        <f t="shared" si="84"/>
        <v>0.35833097821933624</v>
      </c>
      <c r="H258" s="20">
        <f t="shared" si="85"/>
        <v>0.35833097821933624</v>
      </c>
      <c r="I258" s="17"/>
      <c r="J258" s="20">
        <f t="shared" si="86"/>
        <v>17.786487604874459</v>
      </c>
      <c r="K258" s="20">
        <f t="shared" si="87"/>
        <v>2.439873534271283E-3</v>
      </c>
      <c r="L258" s="20">
        <f t="shared" si="88"/>
        <v>0.70619493952065804</v>
      </c>
      <c r="M258" s="20">
        <f t="shared" si="89"/>
        <v>0.70619493952065804</v>
      </c>
      <c r="N258" s="20">
        <f t="shared" si="90"/>
        <v>0.70619493952065804</v>
      </c>
      <c r="O258" s="17"/>
      <c r="P258" s="20">
        <f t="shared" si="91"/>
        <v>56.812702469676537</v>
      </c>
      <c r="Q258" s="20">
        <f t="shared" si="92"/>
        <v>127.3253958194189</v>
      </c>
      <c r="R258" s="20">
        <f t="shared" si="93"/>
        <v>0</v>
      </c>
      <c r="S258" s="20">
        <f t="shared" si="94"/>
        <v>0</v>
      </c>
      <c r="T258" s="20">
        <f t="shared" si="95"/>
        <v>0</v>
      </c>
      <c r="U258" s="17"/>
      <c r="V258" s="20">
        <f t="shared" si="96"/>
        <v>184.13809828909544</v>
      </c>
      <c r="W258" s="17"/>
      <c r="X258" s="20">
        <f t="shared" si="97"/>
        <v>57.796307698175553</v>
      </c>
      <c r="Y258" s="20">
        <f t="shared" si="98"/>
        <v>7.602388289095444</v>
      </c>
      <c r="Z258" s="20"/>
      <c r="AA258" s="20">
        <f t="shared" si="99"/>
        <v>4.9686128814774811E-5</v>
      </c>
    </row>
    <row r="259" spans="2:27" x14ac:dyDescent="0.3">
      <c r="B259" s="28">
        <v>22.1</v>
      </c>
      <c r="C259" s="28">
        <v>176.53570999999999</v>
      </c>
      <c r="D259" s="20">
        <f t="shared" si="81"/>
        <v>20.740104830869488</v>
      </c>
      <c r="E259" s="20">
        <f t="shared" si="82"/>
        <v>-6.0083225753557157</v>
      </c>
      <c r="F259" s="20">
        <f t="shared" si="83"/>
        <v>0.36944208933044775</v>
      </c>
      <c r="G259" s="20">
        <f t="shared" si="84"/>
        <v>0.36944208933044775</v>
      </c>
      <c r="H259" s="20">
        <f t="shared" si="85"/>
        <v>0.36944208933044775</v>
      </c>
      <c r="I259" s="17"/>
      <c r="J259" s="20">
        <f t="shared" si="86"/>
        <v>17.857671631686465</v>
      </c>
      <c r="K259" s="20">
        <f t="shared" si="87"/>
        <v>2.4521875802026275E-3</v>
      </c>
      <c r="L259" s="20">
        <f t="shared" si="88"/>
        <v>0.71080260589501121</v>
      </c>
      <c r="M259" s="20">
        <f t="shared" si="89"/>
        <v>0.71080260589501121</v>
      </c>
      <c r="N259" s="20">
        <f t="shared" si="90"/>
        <v>0.71080260589501121</v>
      </c>
      <c r="O259" s="17"/>
      <c r="P259" s="20">
        <f t="shared" si="91"/>
        <v>56.372634398253773</v>
      </c>
      <c r="Q259" s="20">
        <f t="shared" si="92"/>
        <v>126.68445510083389</v>
      </c>
      <c r="R259" s="20">
        <f t="shared" si="93"/>
        <v>0</v>
      </c>
      <c r="S259" s="20">
        <f t="shared" si="94"/>
        <v>0</v>
      </c>
      <c r="T259" s="20">
        <f t="shared" si="95"/>
        <v>0</v>
      </c>
      <c r="U259" s="17"/>
      <c r="V259" s="20">
        <f t="shared" si="96"/>
        <v>183.05708949908765</v>
      </c>
      <c r="W259" s="17"/>
      <c r="X259" s="20">
        <f t="shared" si="97"/>
        <v>42.528390571120795</v>
      </c>
      <c r="Y259" s="20">
        <f t="shared" si="98"/>
        <v>6.5213794990876579</v>
      </c>
      <c r="Z259" s="20"/>
      <c r="AA259" s="20">
        <f t="shared" si="99"/>
        <v>4.2621093466965515E-5</v>
      </c>
    </row>
    <row r="260" spans="2:27" x14ac:dyDescent="0.3">
      <c r="B260" s="28">
        <v>22.2</v>
      </c>
      <c r="C260" s="28">
        <v>167.03570999999999</v>
      </c>
      <c r="D260" s="20">
        <f t="shared" si="81"/>
        <v>20.815283011168145</v>
      </c>
      <c r="E260" s="20">
        <f t="shared" si="82"/>
        <v>-6.0032759530087567</v>
      </c>
      <c r="F260" s="20">
        <f t="shared" si="83"/>
        <v>0.38055320044155838</v>
      </c>
      <c r="G260" s="20">
        <f t="shared" si="84"/>
        <v>0.38055320044155838</v>
      </c>
      <c r="H260" s="20">
        <f t="shared" si="85"/>
        <v>0.38055320044155838</v>
      </c>
      <c r="I260" s="17"/>
      <c r="J260" s="20">
        <f t="shared" si="86"/>
        <v>17.928870708866139</v>
      </c>
      <c r="K260" s="20">
        <f t="shared" si="87"/>
        <v>2.4645636223513774E-3</v>
      </c>
      <c r="L260" s="20">
        <f t="shared" si="88"/>
        <v>0.71542779748699992</v>
      </c>
      <c r="M260" s="20">
        <f t="shared" si="89"/>
        <v>0.71542779748699992</v>
      </c>
      <c r="N260" s="20">
        <f t="shared" si="90"/>
        <v>0.71542779748699992</v>
      </c>
      <c r="O260" s="17"/>
      <c r="P260" s="20">
        <f t="shared" si="91"/>
        <v>55.937569520658698</v>
      </c>
      <c r="Q260" s="20">
        <f t="shared" si="92"/>
        <v>126.04674083891855</v>
      </c>
      <c r="R260" s="20">
        <f t="shared" si="93"/>
        <v>0</v>
      </c>
      <c r="S260" s="20">
        <f t="shared" si="94"/>
        <v>0</v>
      </c>
      <c r="T260" s="20">
        <f t="shared" si="95"/>
        <v>0</v>
      </c>
      <c r="U260" s="17"/>
      <c r="V260" s="20">
        <f t="shared" si="96"/>
        <v>181.98431035957725</v>
      </c>
      <c r="W260" s="17"/>
      <c r="X260" s="20">
        <f t="shared" si="97"/>
        <v>223.46065271035326</v>
      </c>
      <c r="Y260" s="20">
        <f t="shared" si="98"/>
        <v>14.948600359577256</v>
      </c>
      <c r="Z260" s="20"/>
      <c r="AA260" s="20">
        <f t="shared" si="99"/>
        <v>9.7697993685997049E-5</v>
      </c>
    </row>
    <row r="261" spans="2:27" x14ac:dyDescent="0.3">
      <c r="B261" s="28">
        <v>22.3</v>
      </c>
      <c r="C261" s="28">
        <v>182.03570999999999</v>
      </c>
      <c r="D261" s="20">
        <f t="shared" si="81"/>
        <v>20.890461191466805</v>
      </c>
      <c r="E261" s="20">
        <f t="shared" si="82"/>
        <v>-5.9982293306617969</v>
      </c>
      <c r="F261" s="20">
        <f t="shared" si="83"/>
        <v>0.39166431155266945</v>
      </c>
      <c r="G261" s="20">
        <f t="shared" si="84"/>
        <v>0.39166431155266945</v>
      </c>
      <c r="H261" s="20">
        <f t="shared" si="85"/>
        <v>0.39166431155266945</v>
      </c>
      <c r="I261" s="17"/>
      <c r="J261" s="20">
        <f t="shared" si="86"/>
        <v>18.000084726551101</v>
      </c>
      <c r="K261" s="20">
        <f t="shared" si="87"/>
        <v>2.4770019713009645E-3</v>
      </c>
      <c r="L261" s="20">
        <f t="shared" si="88"/>
        <v>0.72007048603939439</v>
      </c>
      <c r="M261" s="20">
        <f t="shared" si="89"/>
        <v>0.72007048603939439</v>
      </c>
      <c r="N261" s="20">
        <f t="shared" si="90"/>
        <v>0.72007048603939439</v>
      </c>
      <c r="O261" s="17"/>
      <c r="P261" s="20">
        <f t="shared" si="91"/>
        <v>55.507433297908143</v>
      </c>
      <c r="Q261" s="20">
        <f t="shared" si="92"/>
        <v>125.41223679207636</v>
      </c>
      <c r="R261" s="20">
        <f t="shared" si="93"/>
        <v>0</v>
      </c>
      <c r="S261" s="20">
        <f t="shared" si="94"/>
        <v>0</v>
      </c>
      <c r="T261" s="20">
        <f t="shared" si="95"/>
        <v>0</v>
      </c>
      <c r="U261" s="17"/>
      <c r="V261" s="20">
        <f t="shared" si="96"/>
        <v>180.91967008998449</v>
      </c>
      <c r="W261" s="17"/>
      <c r="X261" s="20">
        <f t="shared" si="97"/>
        <v>1.2455450807474095</v>
      </c>
      <c r="Y261" s="20">
        <f t="shared" si="98"/>
        <v>1.1160399100155018</v>
      </c>
      <c r="Z261" s="20"/>
      <c r="AA261" s="20">
        <f t="shared" si="99"/>
        <v>7.2939845510124195E-6</v>
      </c>
    </row>
    <row r="262" spans="2:27" x14ac:dyDescent="0.3">
      <c r="B262" s="28">
        <v>22.4</v>
      </c>
      <c r="C262" s="28">
        <v>156.78570999999999</v>
      </c>
      <c r="D262" s="20">
        <f t="shared" si="81"/>
        <v>20.965639371765466</v>
      </c>
      <c r="E262" s="20">
        <f t="shared" si="82"/>
        <v>-5.9931827083148379</v>
      </c>
      <c r="F262" s="20">
        <f t="shared" si="83"/>
        <v>0.40277542266378008</v>
      </c>
      <c r="G262" s="20">
        <f t="shared" si="84"/>
        <v>0.40277542266378008</v>
      </c>
      <c r="H262" s="20">
        <f t="shared" si="85"/>
        <v>0.40277542266378008</v>
      </c>
      <c r="I262" s="17"/>
      <c r="J262" s="20">
        <f t="shared" si="86"/>
        <v>18.071313576053868</v>
      </c>
      <c r="K262" s="20">
        <f t="shared" si="87"/>
        <v>2.4895029391752001E-3</v>
      </c>
      <c r="L262" s="20">
        <f t="shared" si="88"/>
        <v>0.72473064288276878</v>
      </c>
      <c r="M262" s="20">
        <f t="shared" si="89"/>
        <v>0.72473064288276878</v>
      </c>
      <c r="N262" s="20">
        <f t="shared" si="90"/>
        <v>0.72473064288276878</v>
      </c>
      <c r="O262" s="17"/>
      <c r="P262" s="20">
        <f t="shared" si="91"/>
        <v>55.082152558837592</v>
      </c>
      <c r="Q262" s="20">
        <f t="shared" si="92"/>
        <v>124.78092680047024</v>
      </c>
      <c r="R262" s="20">
        <f t="shared" si="93"/>
        <v>0</v>
      </c>
      <c r="S262" s="20">
        <f t="shared" si="94"/>
        <v>0</v>
      </c>
      <c r="T262" s="20">
        <f t="shared" si="95"/>
        <v>0</v>
      </c>
      <c r="U262" s="17"/>
      <c r="V262" s="20">
        <f t="shared" si="96"/>
        <v>179.86307935930785</v>
      </c>
      <c r="W262" s="17"/>
      <c r="X262" s="20">
        <f t="shared" si="97"/>
        <v>532.5649765459209</v>
      </c>
      <c r="Y262" s="20">
        <f t="shared" si="98"/>
        <v>23.077369359307852</v>
      </c>
      <c r="Z262" s="20"/>
      <c r="AA262" s="20">
        <f t="shared" si="99"/>
        <v>1.5082433349759042E-4</v>
      </c>
    </row>
    <row r="263" spans="2:27" x14ac:dyDescent="0.3">
      <c r="B263" s="28">
        <v>22.5</v>
      </c>
      <c r="C263" s="28">
        <v>181.53570999999999</v>
      </c>
      <c r="D263" s="20">
        <f t="shared" si="81"/>
        <v>21.040817552064127</v>
      </c>
      <c r="E263" s="20">
        <f t="shared" si="82"/>
        <v>-5.9881360859678789</v>
      </c>
      <c r="F263" s="20">
        <f t="shared" si="83"/>
        <v>0.4138865337748916</v>
      </c>
      <c r="G263" s="20">
        <f t="shared" si="84"/>
        <v>0.4138865337748916</v>
      </c>
      <c r="H263" s="20">
        <f t="shared" si="85"/>
        <v>0.4138865337748916</v>
      </c>
      <c r="I263" s="17"/>
      <c r="J263" s="20">
        <f t="shared" si="86"/>
        <v>18.142557149845445</v>
      </c>
      <c r="K263" s="20">
        <f t="shared" si="87"/>
        <v>2.5020668396457694E-3</v>
      </c>
      <c r="L263" s="20">
        <f t="shared" si="88"/>
        <v>0.72940823894130302</v>
      </c>
      <c r="M263" s="20">
        <f t="shared" si="89"/>
        <v>0.72940823894130302</v>
      </c>
      <c r="N263" s="20">
        <f t="shared" si="90"/>
        <v>0.72940823894130302</v>
      </c>
      <c r="O263" s="17"/>
      <c r="P263" s="20">
        <f t="shared" si="91"/>
        <v>54.66165547037086</v>
      </c>
      <c r="Q263" s="20">
        <f t="shared" si="92"/>
        <v>124.15279478561055</v>
      </c>
      <c r="R263" s="20">
        <f t="shared" si="93"/>
        <v>0</v>
      </c>
      <c r="S263" s="20">
        <f t="shared" si="94"/>
        <v>0</v>
      </c>
      <c r="T263" s="20">
        <f t="shared" si="95"/>
        <v>0</v>
      </c>
      <c r="U263" s="17"/>
      <c r="V263" s="20">
        <f t="shared" si="96"/>
        <v>178.8144502559814</v>
      </c>
      <c r="W263" s="17"/>
      <c r="X263" s="20">
        <f t="shared" si="97"/>
        <v>7.4052545944161539</v>
      </c>
      <c r="Y263" s="20">
        <f t="shared" si="98"/>
        <v>2.7212597440185959</v>
      </c>
      <c r="Z263" s="20"/>
      <c r="AA263" s="20">
        <f t="shared" si="99"/>
        <v>1.778505083378958E-5</v>
      </c>
    </row>
    <row r="264" spans="2:27" x14ac:dyDescent="0.3">
      <c r="B264" s="28">
        <v>22.6</v>
      </c>
      <c r="C264" s="28">
        <v>176.03570999999999</v>
      </c>
      <c r="D264" s="20">
        <f t="shared" si="81"/>
        <v>21.115995732362787</v>
      </c>
      <c r="E264" s="20">
        <f t="shared" si="82"/>
        <v>-5.9830894636209191</v>
      </c>
      <c r="F264" s="20">
        <f t="shared" si="83"/>
        <v>0.42499764488600311</v>
      </c>
      <c r="G264" s="20">
        <f t="shared" si="84"/>
        <v>0.42499764488600311</v>
      </c>
      <c r="H264" s="20">
        <f t="shared" si="85"/>
        <v>0.42499764488600311</v>
      </c>
      <c r="I264" s="17"/>
      <c r="J264" s="20">
        <f t="shared" si="86"/>
        <v>18.21381534153916</v>
      </c>
      <c r="K264" s="20">
        <f t="shared" si="87"/>
        <v>2.5146939879397471E-3</v>
      </c>
      <c r="L264" s="20">
        <f t="shared" si="88"/>
        <v>0.73410324473858313</v>
      </c>
      <c r="M264" s="20">
        <f t="shared" si="89"/>
        <v>0.73410324473858313</v>
      </c>
      <c r="N264" s="20">
        <f t="shared" si="90"/>
        <v>0.73410324473858313</v>
      </c>
      <c r="O264" s="17"/>
      <c r="P264" s="20">
        <f t="shared" si="91"/>
        <v>54.245871508535174</v>
      </c>
      <c r="Q264" s="20">
        <f t="shared" si="92"/>
        <v>123.52782474994561</v>
      </c>
      <c r="R264" s="20">
        <f t="shared" si="93"/>
        <v>0</v>
      </c>
      <c r="S264" s="20">
        <f t="shared" si="94"/>
        <v>0</v>
      </c>
      <c r="T264" s="20">
        <f t="shared" si="95"/>
        <v>0</v>
      </c>
      <c r="U264" s="17"/>
      <c r="V264" s="20">
        <f t="shared" si="96"/>
        <v>177.77369625848078</v>
      </c>
      <c r="W264" s="17"/>
      <c r="X264" s="20">
        <f t="shared" si="97"/>
        <v>3.0205962346680488</v>
      </c>
      <c r="Y264" s="20">
        <f t="shared" si="98"/>
        <v>1.7379862584807881</v>
      </c>
      <c r="Z264" s="20"/>
      <c r="AA264" s="20">
        <f t="shared" si="99"/>
        <v>1.1358773826515456E-5</v>
      </c>
    </row>
    <row r="265" spans="2:27" x14ac:dyDescent="0.3">
      <c r="B265" s="28">
        <v>22.7</v>
      </c>
      <c r="C265" s="28">
        <v>176.03570999999999</v>
      </c>
      <c r="D265" s="20">
        <f t="shared" si="81"/>
        <v>21.191173912661444</v>
      </c>
      <c r="E265" s="20">
        <f t="shared" si="82"/>
        <v>-5.978042841273961</v>
      </c>
      <c r="F265" s="20">
        <f t="shared" si="83"/>
        <v>0.43610875599711374</v>
      </c>
      <c r="G265" s="20">
        <f t="shared" si="84"/>
        <v>0.43610875599711374</v>
      </c>
      <c r="H265" s="20">
        <f t="shared" si="85"/>
        <v>0.43610875599711374</v>
      </c>
      <c r="I265" s="17"/>
      <c r="J265" s="20">
        <f t="shared" si="86"/>
        <v>18.285088045874819</v>
      </c>
      <c r="K265" s="20">
        <f t="shared" si="87"/>
        <v>2.527384700847137E-3</v>
      </c>
      <c r="L265" s="20">
        <f t="shared" si="88"/>
        <v>0.73881563040340326</v>
      </c>
      <c r="M265" s="20">
        <f t="shared" si="89"/>
        <v>0.73881563040340326</v>
      </c>
      <c r="N265" s="20">
        <f t="shared" si="90"/>
        <v>0.73881563040340326</v>
      </c>
      <c r="O265" s="17"/>
      <c r="P265" s="20">
        <f t="shared" si="91"/>
        <v>53.834731430199739</v>
      </c>
      <c r="Q265" s="20">
        <f t="shared" si="92"/>
        <v>122.90600077645492</v>
      </c>
      <c r="R265" s="20">
        <f t="shared" si="93"/>
        <v>0</v>
      </c>
      <c r="S265" s="20">
        <f t="shared" si="94"/>
        <v>0</v>
      </c>
      <c r="T265" s="20">
        <f t="shared" si="95"/>
        <v>0</v>
      </c>
      <c r="U265" s="17"/>
      <c r="V265" s="20">
        <f t="shared" si="96"/>
        <v>176.74073220665466</v>
      </c>
      <c r="W265" s="17"/>
      <c r="X265" s="20">
        <f t="shared" si="97"/>
        <v>0.49705631187620747</v>
      </c>
      <c r="Y265" s="20">
        <f t="shared" si="98"/>
        <v>0.70502220665466098</v>
      </c>
      <c r="Z265" s="20"/>
      <c r="AA265" s="20">
        <f t="shared" si="99"/>
        <v>4.6077394162260331E-6</v>
      </c>
    </row>
    <row r="266" spans="2:27" x14ac:dyDescent="0.3">
      <c r="B266" s="28">
        <v>22.8</v>
      </c>
      <c r="C266" s="28">
        <v>178.53570999999999</v>
      </c>
      <c r="D266" s="20">
        <f t="shared" si="81"/>
        <v>21.266352092960105</v>
      </c>
      <c r="E266" s="20">
        <f t="shared" si="82"/>
        <v>-5.9729962189270012</v>
      </c>
      <c r="F266" s="20">
        <f t="shared" si="83"/>
        <v>0.44721986710822526</v>
      </c>
      <c r="G266" s="20">
        <f t="shared" si="84"/>
        <v>0.44721986710822526</v>
      </c>
      <c r="H266" s="20">
        <f t="shared" si="85"/>
        <v>0.44721986710822526</v>
      </c>
      <c r="I266" s="17"/>
      <c r="J266" s="20">
        <f t="shared" si="86"/>
        <v>18.356375158703099</v>
      </c>
      <c r="K266" s="20">
        <f t="shared" si="87"/>
        <v>2.5401392967284863E-3</v>
      </c>
      <c r="L266" s="20">
        <f t="shared" si="88"/>
        <v>0.7435453656755644</v>
      </c>
      <c r="M266" s="20">
        <f t="shared" si="89"/>
        <v>0.7435453656755644</v>
      </c>
      <c r="N266" s="20">
        <f t="shared" si="90"/>
        <v>0.7435453656755644</v>
      </c>
      <c r="O266" s="17"/>
      <c r="P266" s="20">
        <f t="shared" si="91"/>
        <v>53.428167245518111</v>
      </c>
      <c r="Q266" s="20">
        <f t="shared" si="92"/>
        <v>122.28730702824258</v>
      </c>
      <c r="R266" s="20">
        <f t="shared" si="93"/>
        <v>0</v>
      </c>
      <c r="S266" s="20">
        <f t="shared" si="94"/>
        <v>0</v>
      </c>
      <c r="T266" s="20">
        <f t="shared" si="95"/>
        <v>0</v>
      </c>
      <c r="U266" s="17"/>
      <c r="V266" s="20">
        <f t="shared" si="96"/>
        <v>175.71547427376069</v>
      </c>
      <c r="W266" s="17"/>
      <c r="X266" s="20">
        <f t="shared" si="97"/>
        <v>7.9537295515565321</v>
      </c>
      <c r="Y266" s="20">
        <f t="shared" si="98"/>
        <v>2.8202357262393036</v>
      </c>
      <c r="Z266" s="20"/>
      <c r="AA266" s="20">
        <f t="shared" si="99"/>
        <v>1.8431917741290312E-5</v>
      </c>
    </row>
    <row r="267" spans="2:27" x14ac:dyDescent="0.3">
      <c r="B267" s="28">
        <v>22.9</v>
      </c>
      <c r="C267" s="28">
        <v>159.53570999999999</v>
      </c>
      <c r="D267" s="20">
        <f t="shared" si="81"/>
        <v>21.341530273258762</v>
      </c>
      <c r="E267" s="20">
        <f t="shared" si="82"/>
        <v>-5.9679495965800422</v>
      </c>
      <c r="F267" s="20">
        <f t="shared" si="83"/>
        <v>0.45833097821933588</v>
      </c>
      <c r="G267" s="20">
        <f t="shared" si="84"/>
        <v>0.45833097821933588</v>
      </c>
      <c r="H267" s="20">
        <f t="shared" si="85"/>
        <v>0.45833097821933588</v>
      </c>
      <c r="I267" s="17"/>
      <c r="J267" s="20">
        <f t="shared" si="86"/>
        <v>18.4276765769702</v>
      </c>
      <c r="K267" s="20">
        <f t="shared" si="87"/>
        <v>2.5529580955224764E-3</v>
      </c>
      <c r="L267" s="20">
        <f t="shared" si="88"/>
        <v>0.74829241991166662</v>
      </c>
      <c r="M267" s="20">
        <f t="shared" si="89"/>
        <v>0.74829241991166662</v>
      </c>
      <c r="N267" s="20">
        <f t="shared" si="90"/>
        <v>0.74829241991166662</v>
      </c>
      <c r="O267" s="17"/>
      <c r="P267" s="20">
        <f t="shared" si="91"/>
        <v>53.026112191054303</v>
      </c>
      <c r="Q267" s="20">
        <f t="shared" si="92"/>
        <v>121.67172774813541</v>
      </c>
      <c r="R267" s="20">
        <f t="shared" si="93"/>
        <v>0</v>
      </c>
      <c r="S267" s="20">
        <f t="shared" si="94"/>
        <v>0</v>
      </c>
      <c r="T267" s="20">
        <f t="shared" si="95"/>
        <v>0</v>
      </c>
      <c r="U267" s="17"/>
      <c r="V267" s="20">
        <f t="shared" si="96"/>
        <v>174.69783993918972</v>
      </c>
      <c r="W267" s="17"/>
      <c r="X267" s="20">
        <f t="shared" si="97"/>
        <v>229.89018429287341</v>
      </c>
      <c r="Y267" s="20">
        <f t="shared" si="98"/>
        <v>15.162129939189725</v>
      </c>
      <c r="Z267" s="20"/>
      <c r="AA267" s="20">
        <f t="shared" si="99"/>
        <v>9.9093536480569599E-5</v>
      </c>
    </row>
    <row r="268" spans="2:27" x14ac:dyDescent="0.3">
      <c r="B268" s="28">
        <v>23</v>
      </c>
      <c r="C268" s="28">
        <v>179.28570999999999</v>
      </c>
      <c r="D268" s="20">
        <f t="shared" si="81"/>
        <v>21.416708453557423</v>
      </c>
      <c r="E268" s="20">
        <f t="shared" si="82"/>
        <v>-5.9629029742330832</v>
      </c>
      <c r="F268" s="20">
        <f t="shared" si="83"/>
        <v>0.4694420893304474</v>
      </c>
      <c r="G268" s="20">
        <f t="shared" si="84"/>
        <v>0.4694420893304474</v>
      </c>
      <c r="H268" s="20">
        <f t="shared" si="85"/>
        <v>0.4694420893304474</v>
      </c>
      <c r="I268" s="17"/>
      <c r="J268" s="20">
        <f t="shared" si="86"/>
        <v>18.498992198702794</v>
      </c>
      <c r="K268" s="20">
        <f t="shared" si="87"/>
        <v>2.5658414187536092E-3</v>
      </c>
      <c r="L268" s="20">
        <f t="shared" si="88"/>
        <v>0.7530567620909</v>
      </c>
      <c r="M268" s="20">
        <f t="shared" si="89"/>
        <v>0.7530567620909</v>
      </c>
      <c r="N268" s="20">
        <f t="shared" si="90"/>
        <v>0.7530567620909</v>
      </c>
      <c r="O268" s="17"/>
      <c r="P268" s="20">
        <f t="shared" si="91"/>
        <v>52.628500703573145</v>
      </c>
      <c r="Q268" s="20">
        <f t="shared" si="92"/>
        <v>121.05924725828038</v>
      </c>
      <c r="R268" s="20">
        <f t="shared" si="93"/>
        <v>0</v>
      </c>
      <c r="S268" s="20">
        <f t="shared" si="94"/>
        <v>0</v>
      </c>
      <c r="T268" s="20">
        <f t="shared" si="95"/>
        <v>0</v>
      </c>
      <c r="U268" s="17"/>
      <c r="V268" s="20">
        <f t="shared" si="96"/>
        <v>173.68774796185352</v>
      </c>
      <c r="W268" s="17"/>
      <c r="X268" s="20">
        <f t="shared" si="97"/>
        <v>31.337178980529057</v>
      </c>
      <c r="Y268" s="20">
        <f t="shared" si="98"/>
        <v>5.597962038146477</v>
      </c>
      <c r="Z268" s="20"/>
      <c r="AA268" s="20">
        <f t="shared" si="99"/>
        <v>3.6586011178423941E-5</v>
      </c>
    </row>
    <row r="269" spans="2:27" x14ac:dyDescent="0.3">
      <c r="B269" s="28">
        <v>23.1</v>
      </c>
      <c r="C269" s="28">
        <v>145.53570999999999</v>
      </c>
      <c r="D269" s="20">
        <f t="shared" si="81"/>
        <v>21.491886633856083</v>
      </c>
      <c r="E269" s="20">
        <f t="shared" si="82"/>
        <v>-5.9578563518861234</v>
      </c>
      <c r="F269" s="20">
        <f t="shared" si="83"/>
        <v>0.48055320044155847</v>
      </c>
      <c r="G269" s="20">
        <f t="shared" si="84"/>
        <v>0.48055320044155847</v>
      </c>
      <c r="H269" s="20">
        <f t="shared" si="85"/>
        <v>0.48055320044155847</v>
      </c>
      <c r="I269" s="17"/>
      <c r="J269" s="20">
        <f t="shared" si="86"/>
        <v>18.570321922993198</v>
      </c>
      <c r="K269" s="20">
        <f t="shared" si="87"/>
        <v>2.5787895895398867E-3</v>
      </c>
      <c r="L269" s="20">
        <f t="shared" si="88"/>
        <v>0.75783836082082523</v>
      </c>
      <c r="M269" s="20">
        <f t="shared" si="89"/>
        <v>0.75783836082082523</v>
      </c>
      <c r="N269" s="20">
        <f t="shared" si="90"/>
        <v>0.75783836082082523</v>
      </c>
      <c r="O269" s="17"/>
      <c r="P269" s="20">
        <f t="shared" si="91"/>
        <v>52.235268394476812</v>
      </c>
      <c r="Q269" s="20">
        <f t="shared" si="92"/>
        <v>120.44984995974592</v>
      </c>
      <c r="R269" s="20">
        <f t="shared" si="93"/>
        <v>0</v>
      </c>
      <c r="S269" s="20">
        <f t="shared" si="94"/>
        <v>0</v>
      </c>
      <c r="T269" s="20">
        <f t="shared" si="95"/>
        <v>0</v>
      </c>
      <c r="U269" s="17"/>
      <c r="V269" s="20">
        <f t="shared" si="96"/>
        <v>172.68511835422274</v>
      </c>
      <c r="W269" s="17"/>
      <c r="X269" s="20">
        <f t="shared" si="97"/>
        <v>737.09037398433964</v>
      </c>
      <c r="Y269" s="20">
        <f t="shared" si="98"/>
        <v>27.149408354222743</v>
      </c>
      <c r="Z269" s="20"/>
      <c r="AA269" s="20">
        <f t="shared" si="99"/>
        <v>1.7743753008087103E-4</v>
      </c>
    </row>
    <row r="270" spans="2:27" x14ac:dyDescent="0.3">
      <c r="B270" s="28">
        <v>23.2</v>
      </c>
      <c r="C270" s="28">
        <v>170.53570999999999</v>
      </c>
      <c r="D270" s="20">
        <f t="shared" si="81"/>
        <v>21.567064814154744</v>
      </c>
      <c r="E270" s="20">
        <f t="shared" si="82"/>
        <v>-5.9528097295391644</v>
      </c>
      <c r="F270" s="20">
        <f t="shared" si="83"/>
        <v>0.4916643115526691</v>
      </c>
      <c r="G270" s="20">
        <f t="shared" si="84"/>
        <v>0.4916643115526691</v>
      </c>
      <c r="H270" s="20">
        <f t="shared" si="85"/>
        <v>0.4916643115526691</v>
      </c>
      <c r="I270" s="17"/>
      <c r="J270" s="20">
        <f t="shared" si="86"/>
        <v>18.641665649984805</v>
      </c>
      <c r="K270" s="20">
        <f t="shared" si="87"/>
        <v>2.5918029326005383E-3</v>
      </c>
      <c r="L270" s="20">
        <f t="shared" si="88"/>
        <v>0.76263718434314876</v>
      </c>
      <c r="M270" s="20">
        <f t="shared" si="89"/>
        <v>0.76263718434314876</v>
      </c>
      <c r="N270" s="20">
        <f t="shared" si="90"/>
        <v>0.76263718434314876</v>
      </c>
      <c r="O270" s="17"/>
      <c r="P270" s="20">
        <f t="shared" si="91"/>
        <v>51.846352024869205</v>
      </c>
      <c r="Q270" s="20">
        <f t="shared" si="92"/>
        <v>119.84352033212484</v>
      </c>
      <c r="R270" s="20">
        <f t="shared" si="93"/>
        <v>0</v>
      </c>
      <c r="S270" s="20">
        <f t="shared" si="94"/>
        <v>0</v>
      </c>
      <c r="T270" s="20">
        <f t="shared" si="95"/>
        <v>0</v>
      </c>
      <c r="U270" s="17"/>
      <c r="V270" s="20">
        <f t="shared" si="96"/>
        <v>171.68987235699404</v>
      </c>
      <c r="W270" s="17"/>
      <c r="X270" s="20">
        <f t="shared" si="97"/>
        <v>1.3320907463020604</v>
      </c>
      <c r="Y270" s="20">
        <f t="shared" si="98"/>
        <v>1.1541623569940498</v>
      </c>
      <c r="Z270" s="20"/>
      <c r="AA270" s="20">
        <f t="shared" si="99"/>
        <v>7.5431374144655346E-6</v>
      </c>
    </row>
    <row r="271" spans="2:27" x14ac:dyDescent="0.3">
      <c r="B271" s="28">
        <v>23.3</v>
      </c>
      <c r="C271" s="28">
        <v>156.53570999999999</v>
      </c>
      <c r="D271" s="20">
        <f t="shared" si="81"/>
        <v>21.642242994453404</v>
      </c>
      <c r="E271" s="20">
        <f t="shared" si="82"/>
        <v>-5.9477631071922055</v>
      </c>
      <c r="F271" s="20">
        <f t="shared" si="83"/>
        <v>0.50277542266378061</v>
      </c>
      <c r="G271" s="20">
        <f t="shared" si="84"/>
        <v>0.50277542266378061</v>
      </c>
      <c r="H271" s="20">
        <f t="shared" si="85"/>
        <v>0.50277542266378061</v>
      </c>
      <c r="I271" s="17"/>
      <c r="J271" s="20">
        <f t="shared" si="86"/>
        <v>18.713023280857755</v>
      </c>
      <c r="K271" s="20">
        <f t="shared" si="87"/>
        <v>2.6048817742637979E-3</v>
      </c>
      <c r="L271" s="20">
        <f t="shared" si="88"/>
        <v>0.7674532005394884</v>
      </c>
      <c r="M271" s="20">
        <f t="shared" si="89"/>
        <v>0.7674532005394884</v>
      </c>
      <c r="N271" s="20">
        <f t="shared" si="90"/>
        <v>0.7674532005394884</v>
      </c>
      <c r="O271" s="17"/>
      <c r="P271" s="20">
        <f t="shared" si="91"/>
        <v>51.461689481230927</v>
      </c>
      <c r="Q271" s="20">
        <f t="shared" si="92"/>
        <v>119.2402429331384</v>
      </c>
      <c r="R271" s="20">
        <f t="shared" si="93"/>
        <v>0</v>
      </c>
      <c r="S271" s="20">
        <f t="shared" si="94"/>
        <v>0</v>
      </c>
      <c r="T271" s="20">
        <f t="shared" si="95"/>
        <v>0</v>
      </c>
      <c r="U271" s="17"/>
      <c r="V271" s="20">
        <f t="shared" si="96"/>
        <v>170.70193241436934</v>
      </c>
      <c r="W271" s="17"/>
      <c r="X271" s="20">
        <f t="shared" si="97"/>
        <v>200.68185749338039</v>
      </c>
      <c r="Y271" s="20">
        <f t="shared" si="98"/>
        <v>14.166222414369344</v>
      </c>
      <c r="Z271" s="20"/>
      <c r="AA271" s="20">
        <f t="shared" si="99"/>
        <v>9.2584688512779633E-5</v>
      </c>
    </row>
    <row r="272" spans="2:27" x14ac:dyDescent="0.3">
      <c r="B272" s="28">
        <v>23.4</v>
      </c>
      <c r="C272" s="28">
        <v>166.78570999999999</v>
      </c>
      <c r="D272" s="20">
        <f t="shared" si="81"/>
        <v>21.717421174752062</v>
      </c>
      <c r="E272" s="20">
        <f t="shared" si="82"/>
        <v>-5.9427164848452465</v>
      </c>
      <c r="F272" s="20">
        <f t="shared" si="83"/>
        <v>0.51388653377489124</v>
      </c>
      <c r="G272" s="20">
        <f t="shared" si="84"/>
        <v>0.51388653377489124</v>
      </c>
      <c r="H272" s="20">
        <f t="shared" si="85"/>
        <v>0.51388653377489124</v>
      </c>
      <c r="I272" s="17"/>
      <c r="J272" s="20">
        <f t="shared" si="86"/>
        <v>18.784394717814866</v>
      </c>
      <c r="K272" s="20">
        <f t="shared" si="87"/>
        <v>2.6180264424746978E-3</v>
      </c>
      <c r="L272" s="20">
        <f t="shared" si="88"/>
        <v>0.77228637693712465</v>
      </c>
      <c r="M272" s="20">
        <f t="shared" si="89"/>
        <v>0.77228637693712465</v>
      </c>
      <c r="N272" s="20">
        <f t="shared" si="90"/>
        <v>0.77228637693712465</v>
      </c>
      <c r="O272" s="17"/>
      <c r="P272" s="20">
        <f t="shared" si="91"/>
        <v>51.081219751687648</v>
      </c>
      <c r="Q272" s="20">
        <f t="shared" si="92"/>
        <v>118.6400023982435</v>
      </c>
      <c r="R272" s="20">
        <f t="shared" si="93"/>
        <v>0</v>
      </c>
      <c r="S272" s="20">
        <f t="shared" si="94"/>
        <v>0</v>
      </c>
      <c r="T272" s="20">
        <f t="shared" si="95"/>
        <v>0</v>
      </c>
      <c r="U272" s="17"/>
      <c r="V272" s="20">
        <f t="shared" si="96"/>
        <v>169.72122214993115</v>
      </c>
      <c r="W272" s="17"/>
      <c r="X272" s="20">
        <f t="shared" si="97"/>
        <v>8.6172315823934404</v>
      </c>
      <c r="Y272" s="20">
        <f t="shared" si="98"/>
        <v>2.9355121499311565</v>
      </c>
      <c r="Z272" s="20"/>
      <c r="AA272" s="20">
        <f t="shared" si="99"/>
        <v>1.9185317728117538E-5</v>
      </c>
    </row>
    <row r="273" spans="2:27" x14ac:dyDescent="0.3">
      <c r="B273" s="28">
        <v>23.5</v>
      </c>
      <c r="C273" s="28">
        <v>154.53570999999999</v>
      </c>
      <c r="D273" s="20">
        <f t="shared" si="81"/>
        <v>21.792599355050722</v>
      </c>
      <c r="E273" s="20">
        <f t="shared" si="82"/>
        <v>-5.9376698624982875</v>
      </c>
      <c r="F273" s="20">
        <f t="shared" si="83"/>
        <v>0.52499764488600276</v>
      </c>
      <c r="G273" s="20">
        <f t="shared" si="84"/>
        <v>0.52499764488600276</v>
      </c>
      <c r="H273" s="20">
        <f t="shared" si="85"/>
        <v>0.52499764488600276</v>
      </c>
      <c r="I273" s="17"/>
      <c r="J273" s="20">
        <f t="shared" si="86"/>
        <v>18.855779864067785</v>
      </c>
      <c r="K273" s="20">
        <f t="shared" si="87"/>
        <v>2.6312372668029042E-3</v>
      </c>
      <c r="L273" s="20">
        <f t="shared" si="88"/>
        <v>0.7771366807147474</v>
      </c>
      <c r="M273" s="20">
        <f t="shared" si="89"/>
        <v>0.7771366807147474</v>
      </c>
      <c r="N273" s="20">
        <f t="shared" si="90"/>
        <v>0.7771366807147474</v>
      </c>
      <c r="O273" s="17"/>
      <c r="P273" s="20">
        <f t="shared" si="91"/>
        <v>50.704882902855879</v>
      </c>
      <c r="Q273" s="20">
        <f t="shared" si="92"/>
        <v>118.04278344024128</v>
      </c>
      <c r="R273" s="20">
        <f t="shared" si="93"/>
        <v>0</v>
      </c>
      <c r="S273" s="20">
        <f t="shared" si="94"/>
        <v>0</v>
      </c>
      <c r="T273" s="20">
        <f t="shared" si="95"/>
        <v>0</v>
      </c>
      <c r="U273" s="17"/>
      <c r="V273" s="20">
        <f t="shared" si="96"/>
        <v>168.74766634309717</v>
      </c>
      <c r="W273" s="17"/>
      <c r="X273" s="20">
        <f t="shared" si="97"/>
        <v>201.97970309809992</v>
      </c>
      <c r="Y273" s="20">
        <f t="shared" si="98"/>
        <v>14.211956343097171</v>
      </c>
      <c r="Z273" s="20"/>
      <c r="AA273" s="20">
        <f t="shared" si="99"/>
        <v>9.2883586936217956E-5</v>
      </c>
    </row>
    <row r="274" spans="2:27" x14ac:dyDescent="0.3">
      <c r="B274" s="28">
        <v>23.6</v>
      </c>
      <c r="C274" s="28">
        <v>153.78570999999999</v>
      </c>
      <c r="D274" s="20">
        <f t="shared" si="81"/>
        <v>21.867777535349383</v>
      </c>
      <c r="E274" s="20">
        <f t="shared" si="82"/>
        <v>-5.9326232401513277</v>
      </c>
      <c r="F274" s="20">
        <f t="shared" si="83"/>
        <v>0.53610875599711427</v>
      </c>
      <c r="G274" s="20">
        <f t="shared" si="84"/>
        <v>0.53610875599711427</v>
      </c>
      <c r="H274" s="20">
        <f t="shared" si="85"/>
        <v>0.53610875599711427</v>
      </c>
      <c r="I274" s="17"/>
      <c r="J274" s="20">
        <f t="shared" si="86"/>
        <v>18.927178623823352</v>
      </c>
      <c r="K274" s="20">
        <f t="shared" si="87"/>
        <v>2.6445145784505992E-3</v>
      </c>
      <c r="L274" s="20">
        <f t="shared" si="88"/>
        <v>0.78200407870818067</v>
      </c>
      <c r="M274" s="20">
        <f t="shared" si="89"/>
        <v>0.78200407870818067</v>
      </c>
      <c r="N274" s="20">
        <f t="shared" si="90"/>
        <v>0.78200407870818067</v>
      </c>
      <c r="O274" s="17"/>
      <c r="P274" s="20">
        <f t="shared" si="91"/>
        <v>50.332620057250089</v>
      </c>
      <c r="Q274" s="20">
        <f t="shared" si="92"/>
        <v>117.44857084888758</v>
      </c>
      <c r="R274" s="20">
        <f t="shared" si="93"/>
        <v>0</v>
      </c>
      <c r="S274" s="20">
        <f t="shared" si="94"/>
        <v>0</v>
      </c>
      <c r="T274" s="20">
        <f t="shared" si="95"/>
        <v>0</v>
      </c>
      <c r="U274" s="17"/>
      <c r="V274" s="20">
        <f t="shared" si="96"/>
        <v>167.78119090613768</v>
      </c>
      <c r="W274" s="17"/>
      <c r="X274" s="20">
        <f t="shared" si="97"/>
        <v>195.87348579406455</v>
      </c>
      <c r="Y274" s="20">
        <f t="shared" si="98"/>
        <v>13.995480906137686</v>
      </c>
      <c r="Z274" s="20"/>
      <c r="AA274" s="20">
        <f t="shared" si="99"/>
        <v>9.1468791211901781E-5</v>
      </c>
    </row>
    <row r="275" spans="2:27" x14ac:dyDescent="0.3">
      <c r="B275" s="28">
        <v>23.7</v>
      </c>
      <c r="C275" s="28">
        <v>159.53570999999999</v>
      </c>
      <c r="D275" s="20">
        <f t="shared" si="81"/>
        <v>21.94295571564804</v>
      </c>
      <c r="E275" s="20">
        <f t="shared" si="82"/>
        <v>-5.9275766178043687</v>
      </c>
      <c r="F275" s="20">
        <f t="shared" si="83"/>
        <v>0.5472198671082249</v>
      </c>
      <c r="G275" s="20">
        <f t="shared" si="84"/>
        <v>0.5472198671082249</v>
      </c>
      <c r="H275" s="20">
        <f t="shared" si="85"/>
        <v>0.5472198671082249</v>
      </c>
      <c r="I275" s="17"/>
      <c r="J275" s="20">
        <f t="shared" si="86"/>
        <v>18.998590902270223</v>
      </c>
      <c r="K275" s="20">
        <f t="shared" si="87"/>
        <v>2.657858710260376E-3</v>
      </c>
      <c r="L275" s="20">
        <f t="shared" si="88"/>
        <v>0.78688853741609999</v>
      </c>
      <c r="M275" s="20">
        <f t="shared" si="89"/>
        <v>0.78688853741609999</v>
      </c>
      <c r="N275" s="20">
        <f t="shared" si="90"/>
        <v>0.78688853741609999</v>
      </c>
      <c r="O275" s="17"/>
      <c r="P275" s="20">
        <f t="shared" si="91"/>
        <v>49.964373371235709</v>
      </c>
      <c r="Q275" s="20">
        <f t="shared" si="92"/>
        <v>116.85734949050611</v>
      </c>
      <c r="R275" s="20">
        <f t="shared" si="93"/>
        <v>0</v>
      </c>
      <c r="S275" s="20">
        <f t="shared" si="94"/>
        <v>0</v>
      </c>
      <c r="T275" s="20">
        <f t="shared" si="95"/>
        <v>0</v>
      </c>
      <c r="U275" s="17"/>
      <c r="V275" s="20">
        <f t="shared" si="96"/>
        <v>166.82172286174182</v>
      </c>
      <c r="W275" s="17"/>
      <c r="X275" s="20">
        <f t="shared" si="97"/>
        <v>53.085983421467283</v>
      </c>
      <c r="Y275" s="20">
        <f t="shared" si="98"/>
        <v>7.2860128617418241</v>
      </c>
      <c r="Z275" s="20"/>
      <c r="AA275" s="20">
        <f t="shared" si="99"/>
        <v>4.7618427240011948E-5</v>
      </c>
    </row>
    <row r="276" spans="2:27" x14ac:dyDescent="0.3">
      <c r="B276" s="28">
        <v>23.8</v>
      </c>
      <c r="C276" s="28">
        <v>143.53570999999999</v>
      </c>
      <c r="D276" s="20">
        <f t="shared" si="81"/>
        <v>22.018133895946701</v>
      </c>
      <c r="E276" s="20">
        <f t="shared" si="82"/>
        <v>-5.9225299954574098</v>
      </c>
      <c r="F276" s="20">
        <f t="shared" si="83"/>
        <v>0.55833097821933642</v>
      </c>
      <c r="G276" s="20">
        <f t="shared" si="84"/>
        <v>0.55833097821933642</v>
      </c>
      <c r="H276" s="20">
        <f t="shared" si="85"/>
        <v>0.55833097821933642</v>
      </c>
      <c r="I276" s="17"/>
      <c r="J276" s="20">
        <f t="shared" si="86"/>
        <v>19.070016605565705</v>
      </c>
      <c r="K276" s="20">
        <f t="shared" si="87"/>
        <v>2.6712699967232053E-3</v>
      </c>
      <c r="L276" s="20">
        <f t="shared" si="88"/>
        <v>0.79179002300573198</v>
      </c>
      <c r="M276" s="20">
        <f t="shared" si="89"/>
        <v>0.79179002300573198</v>
      </c>
      <c r="N276" s="20">
        <f t="shared" si="90"/>
        <v>0.79179002300573198</v>
      </c>
      <c r="O276" s="17"/>
      <c r="P276" s="20">
        <f t="shared" si="91"/>
        <v>49.600086013513078</v>
      </c>
      <c r="Q276" s="20">
        <f t="shared" si="92"/>
        <v>116.26910430760219</v>
      </c>
      <c r="R276" s="20">
        <f t="shared" si="93"/>
        <v>0</v>
      </c>
      <c r="S276" s="20">
        <f t="shared" si="94"/>
        <v>0</v>
      </c>
      <c r="T276" s="20">
        <f t="shared" si="95"/>
        <v>0</v>
      </c>
      <c r="U276" s="17"/>
      <c r="V276" s="20">
        <f t="shared" si="96"/>
        <v>165.86919032111527</v>
      </c>
      <c r="W276" s="17"/>
      <c r="X276" s="20">
        <f t="shared" si="97"/>
        <v>498.78434325364321</v>
      </c>
      <c r="Y276" s="20">
        <f t="shared" si="98"/>
        <v>22.333480321115275</v>
      </c>
      <c r="Z276" s="20"/>
      <c r="AA276" s="20">
        <f t="shared" si="99"/>
        <v>1.4596257622211022E-4</v>
      </c>
    </row>
    <row r="277" spans="2:27" x14ac:dyDescent="0.3">
      <c r="B277" s="28">
        <v>23.9</v>
      </c>
      <c r="C277" s="28">
        <v>175.53570999999999</v>
      </c>
      <c r="D277" s="20">
        <f t="shared" si="81"/>
        <v>22.093312076245358</v>
      </c>
      <c r="E277" s="20">
        <f t="shared" si="82"/>
        <v>-5.9174833731104499</v>
      </c>
      <c r="F277" s="20">
        <f t="shared" si="83"/>
        <v>0.56944208933044704</v>
      </c>
      <c r="G277" s="20">
        <f t="shared" si="84"/>
        <v>0.56944208933044704</v>
      </c>
      <c r="H277" s="20">
        <f t="shared" si="85"/>
        <v>0.56944208933044704</v>
      </c>
      <c r="I277" s="17"/>
      <c r="J277" s="20">
        <f t="shared" si="86"/>
        <v>19.141455640822787</v>
      </c>
      <c r="K277" s="20">
        <f t="shared" si="87"/>
        <v>2.6847487739864043E-3</v>
      </c>
      <c r="L277" s="20">
        <f t="shared" si="88"/>
        <v>0.79670850131853477</v>
      </c>
      <c r="M277" s="20">
        <f t="shared" si="89"/>
        <v>0.79670850131853477</v>
      </c>
      <c r="N277" s="20">
        <f t="shared" si="90"/>
        <v>0.79670850131853477</v>
      </c>
      <c r="O277" s="17"/>
      <c r="P277" s="20">
        <f t="shared" si="91"/>
        <v>49.239702144118141</v>
      </c>
      <c r="Q277" s="20">
        <f t="shared" si="92"/>
        <v>115.68382031847986</v>
      </c>
      <c r="R277" s="20">
        <f t="shared" si="93"/>
        <v>0</v>
      </c>
      <c r="S277" s="20">
        <f t="shared" si="94"/>
        <v>0</v>
      </c>
      <c r="T277" s="20">
        <f t="shared" si="95"/>
        <v>0</v>
      </c>
      <c r="U277" s="17"/>
      <c r="V277" s="20">
        <f t="shared" si="96"/>
        <v>164.92352246259799</v>
      </c>
      <c r="W277" s="17"/>
      <c r="X277" s="20">
        <f t="shared" si="97"/>
        <v>112.61852432899049</v>
      </c>
      <c r="Y277" s="20">
        <f t="shared" si="98"/>
        <v>10.612187537402008</v>
      </c>
      <c r="Z277" s="20"/>
      <c r="AA277" s="20">
        <f t="shared" si="99"/>
        <v>6.9356956911318364E-5</v>
      </c>
    </row>
    <row r="278" spans="2:27" x14ac:dyDescent="0.3">
      <c r="B278" s="28">
        <v>24</v>
      </c>
      <c r="C278" s="28">
        <v>171.28570999999999</v>
      </c>
      <c r="D278" s="20">
        <f t="shared" si="81"/>
        <v>22.168490256544018</v>
      </c>
      <c r="E278" s="20">
        <f t="shared" si="82"/>
        <v>-5.912436750763491</v>
      </c>
      <c r="F278" s="20">
        <f t="shared" si="83"/>
        <v>0.58055320044155856</v>
      </c>
      <c r="G278" s="20">
        <f t="shared" si="84"/>
        <v>0.58055320044155856</v>
      </c>
      <c r="H278" s="20">
        <f t="shared" si="85"/>
        <v>0.58055320044155856</v>
      </c>
      <c r="I278" s="17"/>
      <c r="J278" s="20">
        <f t="shared" si="86"/>
        <v>19.212907916097414</v>
      </c>
      <c r="K278" s="20">
        <f t="shared" si="87"/>
        <v>2.6982953798616563E-3</v>
      </c>
      <c r="L278" s="20">
        <f t="shared" si="88"/>
        <v>0.80164393787586496</v>
      </c>
      <c r="M278" s="20">
        <f t="shared" si="89"/>
        <v>0.80164393787586496</v>
      </c>
      <c r="N278" s="20">
        <f t="shared" si="90"/>
        <v>0.80164393787586496</v>
      </c>
      <c r="O278" s="17"/>
      <c r="P278" s="20">
        <f t="shared" si="91"/>
        <v>48.883166893925626</v>
      </c>
      <c r="Q278" s="20">
        <f t="shared" si="92"/>
        <v>115.10148261686035</v>
      </c>
      <c r="R278" s="20">
        <f t="shared" si="93"/>
        <v>0</v>
      </c>
      <c r="S278" s="20">
        <f t="shared" si="94"/>
        <v>0</v>
      </c>
      <c r="T278" s="20">
        <f t="shared" si="95"/>
        <v>0</v>
      </c>
      <c r="U278" s="17"/>
      <c r="V278" s="20">
        <f t="shared" si="96"/>
        <v>163.98464951078597</v>
      </c>
      <c r="W278" s="17"/>
      <c r="X278" s="20">
        <f t="shared" si="97"/>
        <v>53.305484267162115</v>
      </c>
      <c r="Y278" s="20">
        <f t="shared" si="98"/>
        <v>7.3010604892140236</v>
      </c>
      <c r="Z278" s="20"/>
      <c r="AA278" s="20">
        <f t="shared" si="99"/>
        <v>4.7716772434773027E-5</v>
      </c>
    </row>
    <row r="279" spans="2:27" x14ac:dyDescent="0.3">
      <c r="B279" s="28">
        <v>24.1</v>
      </c>
      <c r="C279" s="28">
        <v>153.03570999999999</v>
      </c>
      <c r="D279" s="20">
        <f t="shared" si="81"/>
        <v>22.243668436842682</v>
      </c>
      <c r="E279" s="20">
        <f t="shared" si="82"/>
        <v>-5.907390128416532</v>
      </c>
      <c r="F279" s="20">
        <f t="shared" si="83"/>
        <v>0.59166431155266963</v>
      </c>
      <c r="G279" s="20">
        <f t="shared" si="84"/>
        <v>0.59166431155266963</v>
      </c>
      <c r="H279" s="20">
        <f t="shared" si="85"/>
        <v>0.59166431155266963</v>
      </c>
      <c r="I279" s="17"/>
      <c r="J279" s="20">
        <f t="shared" si="86"/>
        <v>19.28437334037595</v>
      </c>
      <c r="K279" s="20">
        <f t="shared" si="87"/>
        <v>2.7119101538330805E-3</v>
      </c>
      <c r="L279" s="20">
        <f t="shared" si="88"/>
        <v>0.80659629788462173</v>
      </c>
      <c r="M279" s="20">
        <f t="shared" si="89"/>
        <v>0.80659629788462173</v>
      </c>
      <c r="N279" s="20">
        <f t="shared" si="90"/>
        <v>0.80659629788462173</v>
      </c>
      <c r="O279" s="17"/>
      <c r="P279" s="20">
        <f t="shared" si="91"/>
        <v>48.530426344641015</v>
      </c>
      <c r="Q279" s="20">
        <f t="shared" si="92"/>
        <v>114.52207637150195</v>
      </c>
      <c r="R279" s="20">
        <f t="shared" si="93"/>
        <v>0</v>
      </c>
      <c r="S279" s="20">
        <f t="shared" si="94"/>
        <v>0</v>
      </c>
      <c r="T279" s="20">
        <f t="shared" si="95"/>
        <v>0</v>
      </c>
      <c r="U279" s="17"/>
      <c r="V279" s="20">
        <f t="shared" si="96"/>
        <v>163.05250271614295</v>
      </c>
      <c r="W279" s="17"/>
      <c r="X279" s="20">
        <f t="shared" si="97"/>
        <v>100.33613631817464</v>
      </c>
      <c r="Y279" s="20">
        <f t="shared" si="98"/>
        <v>10.016792716142959</v>
      </c>
      <c r="Z279" s="20"/>
      <c r="AA279" s="20">
        <f t="shared" si="99"/>
        <v>6.546569765701805E-5</v>
      </c>
    </row>
    <row r="280" spans="2:27" x14ac:dyDescent="0.3">
      <c r="B280" s="28">
        <v>24.2</v>
      </c>
      <c r="C280" s="28">
        <v>160.28570999999999</v>
      </c>
      <c r="D280" s="20">
        <f t="shared" si="81"/>
        <v>22.31884661714134</v>
      </c>
      <c r="E280" s="20">
        <f t="shared" si="82"/>
        <v>-5.902343506069573</v>
      </c>
      <c r="F280" s="20">
        <f t="shared" si="83"/>
        <v>0.60277542266378026</v>
      </c>
      <c r="G280" s="20">
        <f t="shared" si="84"/>
        <v>0.60277542266378026</v>
      </c>
      <c r="H280" s="20">
        <f t="shared" si="85"/>
        <v>0.60277542266378026</v>
      </c>
      <c r="I280" s="17"/>
      <c r="J280" s="20">
        <f t="shared" si="86"/>
        <v>19.355851823562837</v>
      </c>
      <c r="K280" s="20">
        <f t="shared" si="87"/>
        <v>2.7255934370653129E-3</v>
      </c>
      <c r="L280" s="20">
        <f t="shared" si="88"/>
        <v>0.81156554624287347</v>
      </c>
      <c r="M280" s="20">
        <f t="shared" si="89"/>
        <v>0.81156554624287347</v>
      </c>
      <c r="N280" s="20">
        <f t="shared" si="90"/>
        <v>0.81156554624287347</v>
      </c>
      <c r="O280" s="17"/>
      <c r="P280" s="20">
        <f t="shared" si="91"/>
        <v>48.181427509268545</v>
      </c>
      <c r="Q280" s="20">
        <f t="shared" si="92"/>
        <v>113.94558682582276</v>
      </c>
      <c r="R280" s="20">
        <f t="shared" si="93"/>
        <v>0</v>
      </c>
      <c r="S280" s="20">
        <f t="shared" si="94"/>
        <v>0</v>
      </c>
      <c r="T280" s="20">
        <f t="shared" si="95"/>
        <v>0</v>
      </c>
      <c r="U280" s="17"/>
      <c r="V280" s="20">
        <f t="shared" si="96"/>
        <v>162.1270143350913</v>
      </c>
      <c r="W280" s="17"/>
      <c r="X280" s="20">
        <f t="shared" si="97"/>
        <v>3.390401654426046</v>
      </c>
      <c r="Y280" s="20">
        <f t="shared" si="98"/>
        <v>1.8413043350913085</v>
      </c>
      <c r="Z280" s="20"/>
      <c r="AA280" s="20">
        <f t="shared" si="99"/>
        <v>1.2034018903214359E-5</v>
      </c>
    </row>
    <row r="281" spans="2:27" x14ac:dyDescent="0.3">
      <c r="B281" s="28">
        <v>24.3</v>
      </c>
      <c r="C281" s="28">
        <v>139.28570999999999</v>
      </c>
      <c r="D281" s="20">
        <f t="shared" si="81"/>
        <v>22.39402479744</v>
      </c>
      <c r="E281" s="20">
        <f t="shared" si="82"/>
        <v>-5.8972968837226141</v>
      </c>
      <c r="F281" s="20">
        <f t="shared" si="83"/>
        <v>0.61388653377489177</v>
      </c>
      <c r="G281" s="20">
        <f t="shared" si="84"/>
        <v>0.61388653377489177</v>
      </c>
      <c r="H281" s="20">
        <f t="shared" si="85"/>
        <v>0.61388653377489177</v>
      </c>
      <c r="I281" s="17"/>
      <c r="J281" s="20">
        <f t="shared" si="86"/>
        <v>19.427343276468513</v>
      </c>
      <c r="K281" s="20">
        <f t="shared" si="87"/>
        <v>2.739345572411647E-3</v>
      </c>
      <c r="L281" s="20">
        <f t="shared" si="88"/>
        <v>0.81655164754546294</v>
      </c>
      <c r="M281" s="20">
        <f t="shared" si="89"/>
        <v>0.81655164754546294</v>
      </c>
      <c r="N281" s="20">
        <f t="shared" si="90"/>
        <v>0.81655164754546294</v>
      </c>
      <c r="O281" s="17"/>
      <c r="P281" s="20">
        <f t="shared" si="91"/>
        <v>47.836118313041737</v>
      </c>
      <c r="Q281" s="20">
        <f t="shared" si="92"/>
        <v>113.37199929752455</v>
      </c>
      <c r="R281" s="20">
        <f t="shared" si="93"/>
        <v>0</v>
      </c>
      <c r="S281" s="20">
        <f t="shared" si="94"/>
        <v>0</v>
      </c>
      <c r="T281" s="20">
        <f t="shared" si="95"/>
        <v>0</v>
      </c>
      <c r="U281" s="17"/>
      <c r="V281" s="20">
        <f t="shared" si="96"/>
        <v>161.20811761056629</v>
      </c>
      <c r="W281" s="17"/>
      <c r="X281" s="20">
        <f t="shared" si="97"/>
        <v>480.59195544381504</v>
      </c>
      <c r="Y281" s="20">
        <f t="shared" si="98"/>
        <v>21.922407610566296</v>
      </c>
      <c r="Z281" s="20"/>
      <c r="AA281" s="20">
        <f t="shared" si="99"/>
        <v>1.4327597158263509E-4</v>
      </c>
    </row>
    <row r="282" spans="2:27" x14ac:dyDescent="0.3">
      <c r="B282" s="28">
        <v>24.4</v>
      </c>
      <c r="C282" s="28">
        <v>172.53570999999999</v>
      </c>
      <c r="D282" s="20">
        <f t="shared" si="81"/>
        <v>22.469202977738657</v>
      </c>
      <c r="E282" s="20">
        <f t="shared" si="82"/>
        <v>-5.8922502613756542</v>
      </c>
      <c r="F282" s="20">
        <f t="shared" si="83"/>
        <v>0.6249976448860024</v>
      </c>
      <c r="G282" s="20">
        <f t="shared" si="84"/>
        <v>0.6249976448860024</v>
      </c>
      <c r="H282" s="20">
        <f t="shared" si="85"/>
        <v>0.6249976448860024</v>
      </c>
      <c r="I282" s="17"/>
      <c r="J282" s="20">
        <f t="shared" si="86"/>
        <v>19.49884761079743</v>
      </c>
      <c r="K282" s="20">
        <f t="shared" si="87"/>
        <v>2.7531669044221995E-3</v>
      </c>
      <c r="L282" s="20">
        <f t="shared" si="88"/>
        <v>0.82155456608958766</v>
      </c>
      <c r="M282" s="20">
        <f t="shared" si="89"/>
        <v>0.82155456608958766</v>
      </c>
      <c r="N282" s="20">
        <f t="shared" si="90"/>
        <v>0.82155456608958766</v>
      </c>
      <c r="O282" s="17"/>
      <c r="P282" s="20">
        <f t="shared" si="91"/>
        <v>47.494447574804937</v>
      </c>
      <c r="Q282" s="20">
        <f t="shared" si="92"/>
        <v>112.80129917821897</v>
      </c>
      <c r="R282" s="20">
        <f t="shared" si="93"/>
        <v>0</v>
      </c>
      <c r="S282" s="20">
        <f t="shared" si="94"/>
        <v>0</v>
      </c>
      <c r="T282" s="20">
        <f t="shared" si="95"/>
        <v>0</v>
      </c>
      <c r="U282" s="17"/>
      <c r="V282" s="20">
        <f t="shared" si="96"/>
        <v>160.29574675302391</v>
      </c>
      <c r="W282" s="17"/>
      <c r="X282" s="20">
        <f t="shared" si="97"/>
        <v>149.81670028732543</v>
      </c>
      <c r="Y282" s="20">
        <f t="shared" si="98"/>
        <v>12.239963246976089</v>
      </c>
      <c r="Z282" s="20"/>
      <c r="AA282" s="20">
        <f t="shared" si="99"/>
        <v>7.9995439255540004E-5</v>
      </c>
    </row>
    <row r="283" spans="2:27" x14ac:dyDescent="0.3">
      <c r="B283" s="28">
        <v>24.5</v>
      </c>
      <c r="C283" s="28">
        <v>161.28570999999999</v>
      </c>
      <c r="D283" s="20">
        <f t="shared" si="81"/>
        <v>22.544381158037318</v>
      </c>
      <c r="E283" s="20">
        <f t="shared" si="82"/>
        <v>-5.8872036390286953</v>
      </c>
      <c r="F283" s="20">
        <f t="shared" si="83"/>
        <v>0.63610875599711392</v>
      </c>
      <c r="G283" s="20">
        <f t="shared" si="84"/>
        <v>0.63610875599711392</v>
      </c>
      <c r="H283" s="20">
        <f t="shared" si="85"/>
        <v>0.63610875599711392</v>
      </c>
      <c r="I283" s="17"/>
      <c r="J283" s="20">
        <f t="shared" si="86"/>
        <v>19.570364739136362</v>
      </c>
      <c r="K283" s="20">
        <f t="shared" si="87"/>
        <v>2.7670577793521087E-3</v>
      </c>
      <c r="L283" s="20">
        <f t="shared" si="88"/>
        <v>0.82657426588036254</v>
      </c>
      <c r="M283" s="20">
        <f t="shared" si="89"/>
        <v>0.82657426588036254</v>
      </c>
      <c r="N283" s="20">
        <f t="shared" si="90"/>
        <v>0.82657426588036254</v>
      </c>
      <c r="O283" s="17"/>
      <c r="P283" s="20">
        <f t="shared" si="91"/>
        <v>47.156364988832983</v>
      </c>
      <c r="Q283" s="20">
        <f t="shared" si="92"/>
        <v>112.23347193305575</v>
      </c>
      <c r="R283" s="20">
        <f t="shared" si="93"/>
        <v>0</v>
      </c>
      <c r="S283" s="20">
        <f t="shared" si="94"/>
        <v>0</v>
      </c>
      <c r="T283" s="20">
        <f t="shared" si="95"/>
        <v>0</v>
      </c>
      <c r="U283" s="17"/>
      <c r="V283" s="20">
        <f t="shared" si="96"/>
        <v>159.38983692188873</v>
      </c>
      <c r="W283" s="17"/>
      <c r="X283" s="20">
        <f t="shared" si="97"/>
        <v>3.5943347283070826</v>
      </c>
      <c r="Y283" s="20">
        <f t="shared" si="98"/>
        <v>1.8958730781112649</v>
      </c>
      <c r="Z283" s="20"/>
      <c r="AA283" s="20">
        <f t="shared" si="99"/>
        <v>1.2390658092354287E-5</v>
      </c>
    </row>
    <row r="284" spans="2:27" x14ac:dyDescent="0.3">
      <c r="B284" s="28">
        <v>24.6</v>
      </c>
      <c r="C284" s="28">
        <v>160.78570999999999</v>
      </c>
      <c r="D284" s="20">
        <f t="shared" si="81"/>
        <v>22.619559338335979</v>
      </c>
      <c r="E284" s="20">
        <f t="shared" si="82"/>
        <v>-5.8821570166817363</v>
      </c>
      <c r="F284" s="20">
        <f t="shared" si="83"/>
        <v>0.64721986710822543</v>
      </c>
      <c r="G284" s="20">
        <f t="shared" si="84"/>
        <v>0.64721986710822543</v>
      </c>
      <c r="H284" s="20">
        <f t="shared" si="85"/>
        <v>0.64721986710822543</v>
      </c>
      <c r="I284" s="17"/>
      <c r="J284" s="20">
        <f t="shared" si="86"/>
        <v>19.641894574942832</v>
      </c>
      <c r="K284" s="20">
        <f t="shared" si="87"/>
        <v>2.7810185451697987E-3</v>
      </c>
      <c r="L284" s="20">
        <f t="shared" si="88"/>
        <v>0.83161071063635228</v>
      </c>
      <c r="M284" s="20">
        <f t="shared" si="89"/>
        <v>0.83161071063635228</v>
      </c>
      <c r="N284" s="20">
        <f t="shared" si="90"/>
        <v>0.83161071063635228</v>
      </c>
      <c r="O284" s="17"/>
      <c r="P284" s="20">
        <f t="shared" si="91"/>
        <v>46.821821107077888</v>
      </c>
      <c r="Q284" s="20">
        <f t="shared" si="92"/>
        <v>111.66850310035187</v>
      </c>
      <c r="R284" s="20">
        <f t="shared" si="93"/>
        <v>0</v>
      </c>
      <c r="S284" s="20">
        <f t="shared" si="94"/>
        <v>0</v>
      </c>
      <c r="T284" s="20">
        <f t="shared" si="95"/>
        <v>0</v>
      </c>
      <c r="U284" s="17"/>
      <c r="V284" s="20">
        <f t="shared" si="96"/>
        <v>158.49032420742975</v>
      </c>
      <c r="W284" s="17"/>
      <c r="X284" s="20">
        <f t="shared" si="97"/>
        <v>5.2687959367333255</v>
      </c>
      <c r="Y284" s="20">
        <f t="shared" si="98"/>
        <v>2.2953857925702437</v>
      </c>
      <c r="Z284" s="20"/>
      <c r="AA284" s="20">
        <f t="shared" si="99"/>
        <v>1.5001711282339538E-5</v>
      </c>
    </row>
    <row r="285" spans="2:27" x14ac:dyDescent="0.3">
      <c r="B285" s="28">
        <v>24.7</v>
      </c>
      <c r="C285" s="28">
        <v>160.78570999999999</v>
      </c>
      <c r="D285" s="20">
        <f t="shared" si="81"/>
        <v>22.694737518634636</v>
      </c>
      <c r="E285" s="20">
        <f t="shared" si="82"/>
        <v>-5.8771103943347764</v>
      </c>
      <c r="F285" s="20">
        <f t="shared" si="83"/>
        <v>0.65833097821933606</v>
      </c>
      <c r="G285" s="20">
        <f t="shared" si="84"/>
        <v>0.65833097821933606</v>
      </c>
      <c r="H285" s="20">
        <f t="shared" si="85"/>
        <v>0.65833097821933606</v>
      </c>
      <c r="I285" s="17"/>
      <c r="J285" s="20">
        <f t="shared" si="86"/>
        <v>19.713437032533758</v>
      </c>
      <c r="K285" s="20">
        <f t="shared" si="87"/>
        <v>2.7950495515652444E-3</v>
      </c>
      <c r="L285" s="20">
        <f t="shared" si="88"/>
        <v>0.83666386379508262</v>
      </c>
      <c r="M285" s="20">
        <f t="shared" si="89"/>
        <v>0.83666386379508262</v>
      </c>
      <c r="N285" s="20">
        <f t="shared" si="90"/>
        <v>0.83666386379508262</v>
      </c>
      <c r="O285" s="17"/>
      <c r="P285" s="20">
        <f t="shared" si="91"/>
        <v>46.49076732183088</v>
      </c>
      <c r="Q285" s="20">
        <f t="shared" si="92"/>
        <v>111.10637829122379</v>
      </c>
      <c r="R285" s="20">
        <f t="shared" si="93"/>
        <v>0</v>
      </c>
      <c r="S285" s="20">
        <f t="shared" si="94"/>
        <v>0</v>
      </c>
      <c r="T285" s="20">
        <f t="shared" si="95"/>
        <v>0</v>
      </c>
      <c r="U285" s="17"/>
      <c r="V285" s="20">
        <f t="shared" si="96"/>
        <v>157.59714561305466</v>
      </c>
      <c r="W285" s="17"/>
      <c r="X285" s="20">
        <f t="shared" si="97"/>
        <v>10.166942849696051</v>
      </c>
      <c r="Y285" s="20">
        <f t="shared" si="98"/>
        <v>3.1885643869453304</v>
      </c>
      <c r="Z285" s="20"/>
      <c r="AA285" s="20">
        <f t="shared" si="99"/>
        <v>2.0839164594001465E-5</v>
      </c>
    </row>
    <row r="286" spans="2:27" x14ac:dyDescent="0.3">
      <c r="B286" s="28">
        <v>24.8</v>
      </c>
      <c r="C286" s="28">
        <v>147.78570999999999</v>
      </c>
      <c r="D286" s="20">
        <f t="shared" si="81"/>
        <v>22.769915698933296</v>
      </c>
      <c r="E286" s="20">
        <f t="shared" si="82"/>
        <v>-5.8720637719878184</v>
      </c>
      <c r="F286" s="20">
        <f t="shared" si="83"/>
        <v>0.66944208933044758</v>
      </c>
      <c r="G286" s="20">
        <f t="shared" si="84"/>
        <v>0.66944208933044758</v>
      </c>
      <c r="H286" s="20">
        <f t="shared" si="85"/>
        <v>0.66944208933044758</v>
      </c>
      <c r="I286" s="17"/>
      <c r="J286" s="20">
        <f t="shared" si="86"/>
        <v>19.784992027074292</v>
      </c>
      <c r="K286" s="20">
        <f t="shared" si="87"/>
        <v>2.8091511499582916E-3</v>
      </c>
      <c r="L286" s="20">
        <f t="shared" si="88"/>
        <v>0.84173368851852637</v>
      </c>
      <c r="M286" s="20">
        <f t="shared" si="89"/>
        <v>0.84173368851852637</v>
      </c>
      <c r="N286" s="20">
        <f t="shared" si="90"/>
        <v>0.84173368851852637</v>
      </c>
      <c r="O286" s="17"/>
      <c r="P286" s="20">
        <f t="shared" si="91"/>
        <v>46.163155848788925</v>
      </c>
      <c r="Q286" s="20">
        <f t="shared" si="92"/>
        <v>110.5470831892211</v>
      </c>
      <c r="R286" s="20">
        <f t="shared" si="93"/>
        <v>0</v>
      </c>
      <c r="S286" s="20">
        <f t="shared" si="94"/>
        <v>0</v>
      </c>
      <c r="T286" s="20">
        <f t="shared" si="95"/>
        <v>0</v>
      </c>
      <c r="U286" s="17"/>
      <c r="V286" s="20">
        <f t="shared" si="96"/>
        <v>156.71023903801003</v>
      </c>
      <c r="W286" s="17"/>
      <c r="X286" s="20">
        <f t="shared" si="97"/>
        <v>79.647218550284336</v>
      </c>
      <c r="Y286" s="20">
        <f t="shared" si="98"/>
        <v>8.9245290380100357</v>
      </c>
      <c r="Z286" s="20"/>
      <c r="AA286" s="20">
        <f t="shared" si="99"/>
        <v>5.8327104921725204E-5</v>
      </c>
    </row>
    <row r="287" spans="2:27" x14ac:dyDescent="0.3">
      <c r="B287" s="28">
        <v>24.9</v>
      </c>
      <c r="C287" s="28">
        <v>153.28570999999999</v>
      </c>
      <c r="D287" s="20">
        <f t="shared" si="81"/>
        <v>22.845093879231957</v>
      </c>
      <c r="E287" s="20">
        <f t="shared" si="82"/>
        <v>-5.8670171496408585</v>
      </c>
      <c r="F287" s="20">
        <f t="shared" si="83"/>
        <v>0.68055320044155865</v>
      </c>
      <c r="G287" s="20">
        <f t="shared" si="84"/>
        <v>0.68055320044155865</v>
      </c>
      <c r="H287" s="20">
        <f t="shared" si="85"/>
        <v>0.68055320044155865</v>
      </c>
      <c r="I287" s="17"/>
      <c r="J287" s="20">
        <f t="shared" si="86"/>
        <v>19.856559474566801</v>
      </c>
      <c r="K287" s="20">
        <f t="shared" si="87"/>
        <v>2.8233236935070391E-3</v>
      </c>
      <c r="L287" s="20">
        <f t="shared" si="88"/>
        <v>0.84682014769855807</v>
      </c>
      <c r="M287" s="20">
        <f t="shared" si="89"/>
        <v>0.84682014769855807</v>
      </c>
      <c r="N287" s="20">
        <f t="shared" si="90"/>
        <v>0.84682014769855807</v>
      </c>
      <c r="O287" s="17"/>
      <c r="P287" s="20">
        <f t="shared" si="91"/>
        <v>45.838939710515184</v>
      </c>
      <c r="Q287" s="20">
        <f t="shared" si="92"/>
        <v>109.99060354996089</v>
      </c>
      <c r="R287" s="20">
        <f t="shared" si="93"/>
        <v>0</v>
      </c>
      <c r="S287" s="20">
        <f t="shared" si="94"/>
        <v>0</v>
      </c>
      <c r="T287" s="20">
        <f t="shared" si="95"/>
        <v>0</v>
      </c>
      <c r="U287" s="17"/>
      <c r="V287" s="20">
        <f t="shared" si="96"/>
        <v>155.82954326047607</v>
      </c>
      <c r="W287" s="17"/>
      <c r="X287" s="20">
        <f t="shared" si="97"/>
        <v>6.4710876571043503</v>
      </c>
      <c r="Y287" s="20">
        <f t="shared" si="98"/>
        <v>2.5438332604760774</v>
      </c>
      <c r="Z287" s="20"/>
      <c r="AA287" s="20">
        <f t="shared" si="99"/>
        <v>1.6625463243519971E-5</v>
      </c>
    </row>
    <row r="288" spans="2:27" x14ac:dyDescent="0.3">
      <c r="B288" s="28">
        <v>25</v>
      </c>
      <c r="C288" s="28">
        <v>154.78570999999999</v>
      </c>
      <c r="D288" s="20">
        <f t="shared" si="81"/>
        <v>22.920272059530618</v>
      </c>
      <c r="E288" s="20">
        <f t="shared" si="82"/>
        <v>-5.8619705272938996</v>
      </c>
      <c r="F288" s="20">
        <f t="shared" si="83"/>
        <v>0.69166431155266928</v>
      </c>
      <c r="G288" s="20">
        <f t="shared" si="84"/>
        <v>0.69166431155266928</v>
      </c>
      <c r="H288" s="20">
        <f t="shared" si="85"/>
        <v>0.69166431155266928</v>
      </c>
      <c r="I288" s="17"/>
      <c r="J288" s="20">
        <f t="shared" si="86"/>
        <v>19.928139291840047</v>
      </c>
      <c r="K288" s="20">
        <f t="shared" si="87"/>
        <v>2.8375675371161996E-3</v>
      </c>
      <c r="L288" s="20">
        <f t="shared" si="88"/>
        <v>0.85192320396238508</v>
      </c>
      <c r="M288" s="20">
        <f t="shared" si="89"/>
        <v>0.85192320396238508</v>
      </c>
      <c r="N288" s="20">
        <f t="shared" si="90"/>
        <v>0.85192320396238508</v>
      </c>
      <c r="O288" s="17"/>
      <c r="P288" s="20">
        <f t="shared" si="91"/>
        <v>45.518072720282724</v>
      </c>
      <c r="Q288" s="20">
        <f t="shared" si="92"/>
        <v>109.43692520076652</v>
      </c>
      <c r="R288" s="20">
        <f t="shared" si="93"/>
        <v>0</v>
      </c>
      <c r="S288" s="20">
        <f t="shared" si="94"/>
        <v>0</v>
      </c>
      <c r="T288" s="20">
        <f t="shared" si="95"/>
        <v>0</v>
      </c>
      <c r="U288" s="17"/>
      <c r="V288" s="20">
        <f t="shared" si="96"/>
        <v>154.95499792104926</v>
      </c>
      <c r="W288" s="17"/>
      <c r="X288" s="20">
        <f t="shared" si="97"/>
        <v>2.8658400213180692E-2</v>
      </c>
      <c r="Y288" s="20">
        <f t="shared" si="98"/>
        <v>0.1692879210492606</v>
      </c>
      <c r="Z288" s="20"/>
      <c r="AA288" s="20">
        <f t="shared" si="99"/>
        <v>1.1063972441533617E-6</v>
      </c>
    </row>
    <row r="289" spans="2:27" x14ac:dyDescent="0.3">
      <c r="B289" s="28">
        <v>25.1</v>
      </c>
      <c r="C289" s="28">
        <v>157.78570999999999</v>
      </c>
      <c r="D289" s="20">
        <f t="shared" si="81"/>
        <v>22.995450239829278</v>
      </c>
      <c r="E289" s="20">
        <f t="shared" si="82"/>
        <v>-5.8569239049469406</v>
      </c>
      <c r="F289" s="20">
        <f t="shared" si="83"/>
        <v>0.70277542266378079</v>
      </c>
      <c r="G289" s="20">
        <f t="shared" si="84"/>
        <v>0.70277542266378079</v>
      </c>
      <c r="H289" s="20">
        <f t="shared" si="85"/>
        <v>0.70277542266378079</v>
      </c>
      <c r="I289" s="17"/>
      <c r="J289" s="20">
        <f t="shared" si="86"/>
        <v>19.999731396538547</v>
      </c>
      <c r="K289" s="20">
        <f t="shared" si="87"/>
        <v>2.8518830374455652E-3</v>
      </c>
      <c r="L289" s="20">
        <f t="shared" si="88"/>
        <v>0.85704281967794993</v>
      </c>
      <c r="M289" s="20">
        <f t="shared" si="89"/>
        <v>0.85704281967794993</v>
      </c>
      <c r="N289" s="20">
        <f t="shared" si="90"/>
        <v>0.85704281967794993</v>
      </c>
      <c r="O289" s="17"/>
      <c r="P289" s="20">
        <f t="shared" si="91"/>
        <v>45.20050946629172</v>
      </c>
      <c r="Q289" s="20">
        <f t="shared" si="92"/>
        <v>108.88603404030536</v>
      </c>
      <c r="R289" s="20">
        <f t="shared" si="93"/>
        <v>0</v>
      </c>
      <c r="S289" s="20">
        <f t="shared" si="94"/>
        <v>0</v>
      </c>
      <c r="T289" s="20">
        <f t="shared" si="95"/>
        <v>0</v>
      </c>
      <c r="U289" s="17"/>
      <c r="V289" s="20">
        <f t="shared" si="96"/>
        <v>154.08654350659708</v>
      </c>
      <c r="W289" s="17"/>
      <c r="X289" s="20">
        <f t="shared" si="97"/>
        <v>13.683832745914804</v>
      </c>
      <c r="Y289" s="20">
        <f t="shared" si="98"/>
        <v>3.6991664934029131</v>
      </c>
      <c r="Z289" s="20"/>
      <c r="AA289" s="20">
        <f t="shared" si="99"/>
        <v>2.4176253028557786E-5</v>
      </c>
    </row>
    <row r="290" spans="2:27" x14ac:dyDescent="0.3">
      <c r="B290" s="28">
        <v>25.2</v>
      </c>
      <c r="C290" s="28">
        <v>144.28570999999999</v>
      </c>
      <c r="D290" s="20">
        <f t="shared" si="81"/>
        <v>23.070628420127935</v>
      </c>
      <c r="E290" s="20">
        <f t="shared" si="82"/>
        <v>-5.8518772825999807</v>
      </c>
      <c r="F290" s="20">
        <f t="shared" si="83"/>
        <v>0.71388653377489142</v>
      </c>
      <c r="G290" s="20">
        <f t="shared" si="84"/>
        <v>0.71388653377489142</v>
      </c>
      <c r="H290" s="20">
        <f t="shared" si="85"/>
        <v>0.71388653377489142</v>
      </c>
      <c r="I290" s="17"/>
      <c r="J290" s="20">
        <f t="shared" si="86"/>
        <v>20.071335707112077</v>
      </c>
      <c r="K290" s="20">
        <f t="shared" si="87"/>
        <v>2.8662705529184694E-3</v>
      </c>
      <c r="L290" s="20">
        <f t="shared" si="88"/>
        <v>0.86217895695929891</v>
      </c>
      <c r="M290" s="20">
        <f t="shared" si="89"/>
        <v>0.86217895695929891</v>
      </c>
      <c r="N290" s="20">
        <f t="shared" si="90"/>
        <v>0.86217895695929891</v>
      </c>
      <c r="O290" s="17"/>
      <c r="P290" s="20">
        <f t="shared" si="91"/>
        <v>44.886205296250203</v>
      </c>
      <c r="Q290" s="20">
        <f t="shared" si="92"/>
        <v>108.3379160382302</v>
      </c>
      <c r="R290" s="20">
        <f t="shared" si="93"/>
        <v>0</v>
      </c>
      <c r="S290" s="20">
        <f t="shared" si="94"/>
        <v>0</v>
      </c>
      <c r="T290" s="20">
        <f t="shared" si="95"/>
        <v>0</v>
      </c>
      <c r="U290" s="17"/>
      <c r="V290" s="20">
        <f t="shared" si="96"/>
        <v>153.2241213344804</v>
      </c>
      <c r="W290" s="17"/>
      <c r="X290" s="20">
        <f t="shared" si="97"/>
        <v>79.895197184367802</v>
      </c>
      <c r="Y290" s="20">
        <f t="shared" si="98"/>
        <v>8.9384113344804064</v>
      </c>
      <c r="Z290" s="20"/>
      <c r="AA290" s="20">
        <f t="shared" si="99"/>
        <v>5.841783398533553E-5</v>
      </c>
    </row>
    <row r="291" spans="2:27" x14ac:dyDescent="0.3">
      <c r="B291" s="28">
        <v>25.3</v>
      </c>
      <c r="C291" s="28">
        <v>158.53570999999999</v>
      </c>
      <c r="D291" s="20">
        <f t="shared" si="81"/>
        <v>23.145806600426596</v>
      </c>
      <c r="E291" s="20">
        <f t="shared" si="82"/>
        <v>-5.8468306602530218</v>
      </c>
      <c r="F291" s="20">
        <f t="shared" si="83"/>
        <v>0.72499764488600293</v>
      </c>
      <c r="G291" s="20">
        <f t="shared" si="84"/>
        <v>0.72499764488600293</v>
      </c>
      <c r="H291" s="20">
        <f t="shared" si="85"/>
        <v>0.72499764488600293</v>
      </c>
      <c r="I291" s="17"/>
      <c r="J291" s="20">
        <f t="shared" si="86"/>
        <v>20.142952142805377</v>
      </c>
      <c r="K291" s="20">
        <f t="shared" si="87"/>
        <v>2.8807304437302966E-3</v>
      </c>
      <c r="L291" s="20">
        <f t="shared" si="88"/>
        <v>0.86733157767192726</v>
      </c>
      <c r="M291" s="20">
        <f t="shared" si="89"/>
        <v>0.86733157767192726</v>
      </c>
      <c r="N291" s="20">
        <f t="shared" si="90"/>
        <v>0.86733157767192726</v>
      </c>
      <c r="O291" s="17"/>
      <c r="P291" s="20">
        <f t="shared" si="91"/>
        <v>44.57511630230897</v>
      </c>
      <c r="Q291" s="20">
        <f t="shared" si="92"/>
        <v>107.79255723482207</v>
      </c>
      <c r="R291" s="20">
        <f t="shared" si="93"/>
        <v>0</v>
      </c>
      <c r="S291" s="20">
        <f t="shared" si="94"/>
        <v>0</v>
      </c>
      <c r="T291" s="20">
        <f t="shared" si="95"/>
        <v>0</v>
      </c>
      <c r="U291" s="17"/>
      <c r="V291" s="20">
        <f t="shared" si="96"/>
        <v>152.36767353713105</v>
      </c>
      <c r="W291" s="17"/>
      <c r="X291" s="20">
        <f t="shared" si="97"/>
        <v>38.044673807280788</v>
      </c>
      <c r="Y291" s="20">
        <f t="shared" si="98"/>
        <v>6.1680364628689404</v>
      </c>
      <c r="Z291" s="20"/>
      <c r="AA291" s="20">
        <f t="shared" si="99"/>
        <v>4.0311786582634341E-5</v>
      </c>
    </row>
    <row r="292" spans="2:27" x14ac:dyDescent="0.3">
      <c r="B292" s="28">
        <v>25.4</v>
      </c>
      <c r="C292" s="28">
        <v>168.28570999999999</v>
      </c>
      <c r="D292" s="20">
        <f t="shared" si="81"/>
        <v>23.220984780725253</v>
      </c>
      <c r="E292" s="20">
        <f t="shared" si="82"/>
        <v>-5.8417840379060628</v>
      </c>
      <c r="F292" s="20">
        <f t="shared" si="83"/>
        <v>0.73610875599711401</v>
      </c>
      <c r="G292" s="20">
        <f t="shared" si="84"/>
        <v>0.73610875599711401</v>
      </c>
      <c r="H292" s="20">
        <f t="shared" si="85"/>
        <v>0.73610875599711401</v>
      </c>
      <c r="I292" s="17"/>
      <c r="J292" s="20">
        <f t="shared" si="86"/>
        <v>20.214580623647965</v>
      </c>
      <c r="K292" s="20">
        <f t="shared" si="87"/>
        <v>2.895263071857045E-3</v>
      </c>
      <c r="L292" s="20">
        <f t="shared" si="88"/>
        <v>0.87250064343808587</v>
      </c>
      <c r="M292" s="20">
        <f t="shared" si="89"/>
        <v>0.87250064343808587</v>
      </c>
      <c r="N292" s="20">
        <f t="shared" si="90"/>
        <v>0.87250064343808587</v>
      </c>
      <c r="O292" s="17"/>
      <c r="P292" s="20">
        <f t="shared" si="91"/>
        <v>44.267199306341503</v>
      </c>
      <c r="Q292" s="20">
        <f t="shared" si="92"/>
        <v>107.24994374063421</v>
      </c>
      <c r="R292" s="20">
        <f t="shared" si="93"/>
        <v>0</v>
      </c>
      <c r="S292" s="20">
        <f t="shared" si="94"/>
        <v>0</v>
      </c>
      <c r="T292" s="20">
        <f t="shared" si="95"/>
        <v>0</v>
      </c>
      <c r="U292" s="17"/>
      <c r="V292" s="20">
        <f t="shared" si="96"/>
        <v>151.51714304697572</v>
      </c>
      <c r="W292" s="17"/>
      <c r="X292" s="20">
        <f t="shared" si="97"/>
        <v>281.18483765805786</v>
      </c>
      <c r="Y292" s="20">
        <f t="shared" si="98"/>
        <v>16.768566953024276</v>
      </c>
      <c r="Z292" s="20"/>
      <c r="AA292" s="20">
        <f t="shared" si="99"/>
        <v>1.0959255775743502E-4</v>
      </c>
    </row>
    <row r="293" spans="2:27" x14ac:dyDescent="0.3">
      <c r="B293" s="28">
        <v>25.5</v>
      </c>
      <c r="C293" s="28">
        <v>159.53570999999999</v>
      </c>
      <c r="D293" s="20">
        <f t="shared" si="81"/>
        <v>23.296162961023914</v>
      </c>
      <c r="E293" s="20">
        <f t="shared" si="82"/>
        <v>-5.8367374155591039</v>
      </c>
      <c r="F293" s="20">
        <f t="shared" si="83"/>
        <v>0.74721986710822508</v>
      </c>
      <c r="G293" s="20">
        <f t="shared" si="84"/>
        <v>0.74721986710822508</v>
      </c>
      <c r="H293" s="20">
        <f t="shared" si="85"/>
        <v>0.74721986710822508</v>
      </c>
      <c r="I293" s="17"/>
      <c r="J293" s="20">
        <f t="shared" si="86"/>
        <v>20.286221070444181</v>
      </c>
      <c r="K293" s="20">
        <f t="shared" si="87"/>
        <v>2.90986880106391E-3</v>
      </c>
      <c r="L293" s="20">
        <f t="shared" si="88"/>
        <v>0.87768611564206356</v>
      </c>
      <c r="M293" s="20">
        <f t="shared" si="89"/>
        <v>0.87768611564206356</v>
      </c>
      <c r="N293" s="20">
        <f t="shared" si="90"/>
        <v>0.87768611564206356</v>
      </c>
      <c r="O293" s="17"/>
      <c r="P293" s="20">
        <f t="shared" si="91"/>
        <v>43.962411845559664</v>
      </c>
      <c r="Q293" s="20">
        <f t="shared" si="92"/>
        <v>106.71006173613878</v>
      </c>
      <c r="R293" s="20">
        <f t="shared" si="93"/>
        <v>0</v>
      </c>
      <c r="S293" s="20">
        <f t="shared" si="94"/>
        <v>0</v>
      </c>
      <c r="T293" s="20">
        <f t="shared" si="95"/>
        <v>0</v>
      </c>
      <c r="U293" s="17"/>
      <c r="V293" s="20">
        <f t="shared" si="96"/>
        <v>150.67247358169845</v>
      </c>
      <c r="W293" s="17"/>
      <c r="X293" s="20">
        <f t="shared" si="97"/>
        <v>78.556959806706701</v>
      </c>
      <c r="Y293" s="20">
        <f t="shared" si="98"/>
        <v>8.8632364183015397</v>
      </c>
      <c r="Z293" s="20"/>
      <c r="AA293" s="20">
        <f t="shared" si="99"/>
        <v>5.79265211995547E-5</v>
      </c>
    </row>
    <row r="294" spans="2:27" x14ac:dyDescent="0.3">
      <c r="B294" s="28">
        <v>25.6</v>
      </c>
      <c r="C294" s="28">
        <v>137.78570999999999</v>
      </c>
      <c r="D294" s="20">
        <f t="shared" si="81"/>
        <v>23.371341141322574</v>
      </c>
      <c r="E294" s="20">
        <f t="shared" si="82"/>
        <v>-5.8316907932121449</v>
      </c>
      <c r="F294" s="20">
        <f t="shared" si="83"/>
        <v>0.75833097821933659</v>
      </c>
      <c r="G294" s="20">
        <f t="shared" si="84"/>
        <v>0.75833097821933659</v>
      </c>
      <c r="H294" s="20">
        <f t="shared" si="85"/>
        <v>0.75833097821933659</v>
      </c>
      <c r="I294" s="17"/>
      <c r="J294" s="20">
        <f t="shared" si="86"/>
        <v>20.357873404763311</v>
      </c>
      <c r="K294" s="20">
        <f t="shared" si="87"/>
        <v>2.9245479969139173E-3</v>
      </c>
      <c r="L294" s="20">
        <f t="shared" si="88"/>
        <v>0.88288795543543153</v>
      </c>
      <c r="M294" s="20">
        <f t="shared" si="89"/>
        <v>0.88288795543543153</v>
      </c>
      <c r="N294" s="20">
        <f t="shared" si="90"/>
        <v>0.88288795543543153</v>
      </c>
      <c r="O294" s="17"/>
      <c r="P294" s="20">
        <f t="shared" si="91"/>
        <v>43.660712158457009</v>
      </c>
      <c r="Q294" s="20">
        <f t="shared" si="92"/>
        <v>106.17289747137465</v>
      </c>
      <c r="R294" s="20">
        <f t="shared" si="93"/>
        <v>0</v>
      </c>
      <c r="S294" s="20">
        <f t="shared" si="94"/>
        <v>0</v>
      </c>
      <c r="T294" s="20">
        <f t="shared" si="95"/>
        <v>0</v>
      </c>
      <c r="U294" s="17"/>
      <c r="V294" s="20">
        <f t="shared" si="96"/>
        <v>149.83360962983167</v>
      </c>
      <c r="W294" s="17"/>
      <c r="X294" s="20">
        <f t="shared" si="97"/>
        <v>145.15188549049824</v>
      </c>
      <c r="Y294" s="20">
        <f t="shared" si="98"/>
        <v>12.047899629831676</v>
      </c>
      <c r="Z294" s="20"/>
      <c r="AA294" s="20">
        <f t="shared" si="99"/>
        <v>7.8740189292083535E-5</v>
      </c>
    </row>
    <row r="295" spans="2:27" x14ac:dyDescent="0.3">
      <c r="B295" s="28">
        <v>25.7</v>
      </c>
      <c r="C295" s="28">
        <v>162.78570999999999</v>
      </c>
      <c r="D295" s="20">
        <f t="shared" si="81"/>
        <v>23.446519321621235</v>
      </c>
      <c r="E295" s="20">
        <f t="shared" si="82"/>
        <v>-5.826644170865185</v>
      </c>
      <c r="F295" s="20">
        <f t="shared" si="83"/>
        <v>0.76944208933044722</v>
      </c>
      <c r="G295" s="20">
        <f t="shared" si="84"/>
        <v>0.76944208933044722</v>
      </c>
      <c r="H295" s="20">
        <f t="shared" si="85"/>
        <v>0.76944208933044722</v>
      </c>
      <c r="I295" s="17"/>
      <c r="J295" s="20">
        <f t="shared" si="86"/>
        <v>20.42953754892994</v>
      </c>
      <c r="K295" s="20">
        <f t="shared" si="87"/>
        <v>2.9393010267765936E-3</v>
      </c>
      <c r="L295" s="20">
        <f t="shared" si="88"/>
        <v>0.88810612374225584</v>
      </c>
      <c r="M295" s="20">
        <f t="shared" si="89"/>
        <v>0.88810612374225584</v>
      </c>
      <c r="N295" s="20">
        <f t="shared" si="90"/>
        <v>0.88810612374225584</v>
      </c>
      <c r="O295" s="17"/>
      <c r="P295" s="20">
        <f t="shared" si="91"/>
        <v>43.362059171070655</v>
      </c>
      <c r="Q295" s="20">
        <f t="shared" si="92"/>
        <v>105.63843726559732</v>
      </c>
      <c r="R295" s="20">
        <f t="shared" si="93"/>
        <v>0</v>
      </c>
      <c r="S295" s="20">
        <f t="shared" si="94"/>
        <v>0</v>
      </c>
      <c r="T295" s="20">
        <f t="shared" si="95"/>
        <v>0</v>
      </c>
      <c r="U295" s="17"/>
      <c r="V295" s="20">
        <f t="shared" si="96"/>
        <v>149.00049643666796</v>
      </c>
      <c r="W295" s="17"/>
      <c r="X295" s="20">
        <f t="shared" si="97"/>
        <v>190.03211298667352</v>
      </c>
      <c r="Y295" s="20">
        <f t="shared" si="98"/>
        <v>13.785213563332036</v>
      </c>
      <c r="Z295" s="20"/>
      <c r="AA295" s="20">
        <f t="shared" si="99"/>
        <v>9.0094569075002082E-5</v>
      </c>
    </row>
    <row r="296" spans="2:27" x14ac:dyDescent="0.3">
      <c r="B296" s="28">
        <v>25.8</v>
      </c>
      <c r="C296" s="28">
        <v>147.53570999999999</v>
      </c>
      <c r="D296" s="20">
        <f t="shared" si="81"/>
        <v>23.521697501919896</v>
      </c>
      <c r="E296" s="20">
        <f t="shared" si="82"/>
        <v>-5.8215975485182261</v>
      </c>
      <c r="F296" s="20">
        <f t="shared" si="83"/>
        <v>0.78055320044155829</v>
      </c>
      <c r="G296" s="20">
        <f t="shared" si="84"/>
        <v>0.78055320044155829</v>
      </c>
      <c r="H296" s="20">
        <f t="shared" si="85"/>
        <v>0.78055320044155829</v>
      </c>
      <c r="I296" s="17"/>
      <c r="J296" s="20">
        <f t="shared" si="86"/>
        <v>20.501213426014385</v>
      </c>
      <c r="K296" s="20">
        <f t="shared" si="87"/>
        <v>2.9541282598366729E-3</v>
      </c>
      <c r="L296" s="20">
        <f t="shared" si="88"/>
        <v>0.89334058126427929</v>
      </c>
      <c r="M296" s="20">
        <f t="shared" si="89"/>
        <v>0.89334058126427929</v>
      </c>
      <c r="N296" s="20">
        <f t="shared" si="90"/>
        <v>0.89334058126427929</v>
      </c>
      <c r="O296" s="17"/>
      <c r="P296" s="20">
        <f t="shared" si="91"/>
        <v>43.066412483554153</v>
      </c>
      <c r="Q296" s="20">
        <f t="shared" si="92"/>
        <v>105.10666750693046</v>
      </c>
      <c r="R296" s="20">
        <f t="shared" si="93"/>
        <v>0</v>
      </c>
      <c r="S296" s="20">
        <f t="shared" si="94"/>
        <v>0</v>
      </c>
      <c r="T296" s="20">
        <f t="shared" si="95"/>
        <v>0</v>
      </c>
      <c r="U296" s="17"/>
      <c r="V296" s="20">
        <f t="shared" si="96"/>
        <v>148.17307999048461</v>
      </c>
      <c r="W296" s="17"/>
      <c r="X296" s="20">
        <f t="shared" si="97"/>
        <v>0.406240504770358</v>
      </c>
      <c r="Y296" s="20">
        <f t="shared" si="98"/>
        <v>0.63736999048461485</v>
      </c>
      <c r="Z296" s="20"/>
      <c r="AA296" s="20">
        <f t="shared" si="99"/>
        <v>4.165591948955606E-6</v>
      </c>
    </row>
    <row r="297" spans="2:27" x14ac:dyDescent="0.3">
      <c r="B297" s="28">
        <v>25.9</v>
      </c>
      <c r="C297" s="28">
        <v>153.53570999999999</v>
      </c>
      <c r="D297" s="20">
        <f t="shared" si="81"/>
        <v>23.596875682218553</v>
      </c>
      <c r="E297" s="20">
        <f t="shared" si="82"/>
        <v>-5.8165509261712671</v>
      </c>
      <c r="F297" s="20">
        <f t="shared" si="83"/>
        <v>0.79166431155266936</v>
      </c>
      <c r="G297" s="20">
        <f t="shared" si="84"/>
        <v>0.79166431155266936</v>
      </c>
      <c r="H297" s="20">
        <f t="shared" si="85"/>
        <v>0.79166431155266936</v>
      </c>
      <c r="I297" s="17"/>
      <c r="J297" s="20">
        <f t="shared" si="86"/>
        <v>20.572900959823336</v>
      </c>
      <c r="K297" s="20">
        <f t="shared" si="87"/>
        <v>2.9690300671028507E-3</v>
      </c>
      <c r="L297" s="20">
        <f t="shared" si="88"/>
        <v>0.89859128848606407</v>
      </c>
      <c r="M297" s="20">
        <f t="shared" si="89"/>
        <v>0.89859128848606407</v>
      </c>
      <c r="N297" s="20">
        <f t="shared" si="90"/>
        <v>0.89859128848606407</v>
      </c>
      <c r="O297" s="17"/>
      <c r="P297" s="20">
        <f t="shared" si="91"/>
        <v>42.773732357052857</v>
      </c>
      <c r="Q297" s="20">
        <f t="shared" si="92"/>
        <v>104.57757465201925</v>
      </c>
      <c r="R297" s="20">
        <f t="shared" si="93"/>
        <v>0</v>
      </c>
      <c r="S297" s="20">
        <f t="shared" si="94"/>
        <v>0</v>
      </c>
      <c r="T297" s="20">
        <f t="shared" si="95"/>
        <v>0</v>
      </c>
      <c r="U297" s="17"/>
      <c r="V297" s="20">
        <f t="shared" si="96"/>
        <v>147.35130700907212</v>
      </c>
      <c r="W297" s="17"/>
      <c r="X297" s="20">
        <f t="shared" si="97"/>
        <v>38.246840354197694</v>
      </c>
      <c r="Y297" s="20">
        <f t="shared" si="98"/>
        <v>6.1844029909278788</v>
      </c>
      <c r="Z297" s="20"/>
      <c r="AA297" s="20">
        <f t="shared" si="99"/>
        <v>4.0418751577115537E-5</v>
      </c>
    </row>
    <row r="298" spans="2:27" x14ac:dyDescent="0.3">
      <c r="B298" s="28">
        <v>26</v>
      </c>
      <c r="C298" s="28">
        <v>149.28570999999999</v>
      </c>
      <c r="D298" s="20">
        <f t="shared" si="81"/>
        <v>23.672053862517213</v>
      </c>
      <c r="E298" s="20">
        <f t="shared" si="82"/>
        <v>-5.8115043038243082</v>
      </c>
      <c r="F298" s="20">
        <f t="shared" si="83"/>
        <v>0.80277542266378044</v>
      </c>
      <c r="G298" s="20">
        <f t="shared" si="84"/>
        <v>0.80277542266378044</v>
      </c>
      <c r="H298" s="20">
        <f t="shared" si="85"/>
        <v>0.80277542266378044</v>
      </c>
      <c r="I298" s="17"/>
      <c r="J298" s="20">
        <f t="shared" si="86"/>
        <v>20.644600074890615</v>
      </c>
      <c r="K298" s="20">
        <f t="shared" si="87"/>
        <v>2.9840068214165723E-3</v>
      </c>
      <c r="L298" s="20">
        <f t="shared" si="88"/>
        <v>0.90385820568010233</v>
      </c>
      <c r="M298" s="20">
        <f t="shared" si="89"/>
        <v>0.90385820568010233</v>
      </c>
      <c r="N298" s="20">
        <f t="shared" si="90"/>
        <v>0.90385820568010233</v>
      </c>
      <c r="O298" s="17"/>
      <c r="P298" s="20">
        <f t="shared" si="91"/>
        <v>42.483979700874443</v>
      </c>
      <c r="Q298" s="20">
        <f t="shared" si="92"/>
        <v>104.0511452256854</v>
      </c>
      <c r="R298" s="20">
        <f t="shared" si="93"/>
        <v>0</v>
      </c>
      <c r="S298" s="20">
        <f t="shared" si="94"/>
        <v>0</v>
      </c>
      <c r="T298" s="20">
        <f t="shared" si="95"/>
        <v>0</v>
      </c>
      <c r="U298" s="17"/>
      <c r="V298" s="20">
        <f t="shared" si="96"/>
        <v>146.53512492655983</v>
      </c>
      <c r="W298" s="17"/>
      <c r="X298" s="20">
        <f t="shared" si="97"/>
        <v>7.5657182462318291</v>
      </c>
      <c r="Y298" s="20">
        <f t="shared" si="98"/>
        <v>2.7505850734401633</v>
      </c>
      <c r="Z298" s="20"/>
      <c r="AA298" s="20">
        <f t="shared" si="99"/>
        <v>1.7976709302124548E-5</v>
      </c>
    </row>
    <row r="299" spans="2:27" x14ac:dyDescent="0.3">
      <c r="B299" s="28">
        <v>26.1</v>
      </c>
      <c r="C299" s="28">
        <v>138.28570999999999</v>
      </c>
      <c r="D299" s="20">
        <f t="shared" si="81"/>
        <v>23.747232042815874</v>
      </c>
      <c r="E299" s="20">
        <f t="shared" si="82"/>
        <v>-5.8064576814773483</v>
      </c>
      <c r="F299" s="20">
        <f t="shared" si="83"/>
        <v>0.81388653377489195</v>
      </c>
      <c r="G299" s="20">
        <f t="shared" si="84"/>
        <v>0.81388653377489195</v>
      </c>
      <c r="H299" s="20">
        <f t="shared" si="85"/>
        <v>0.81388653377489195</v>
      </c>
      <c r="I299" s="17"/>
      <c r="J299" s="20">
        <f t="shared" si="86"/>
        <v>20.716310696468064</v>
      </c>
      <c r="K299" s="20">
        <f t="shared" si="87"/>
        <v>2.9990588974608641E-3</v>
      </c>
      <c r="L299" s="20">
        <f t="shared" si="88"/>
        <v>0.90914129291189061</v>
      </c>
      <c r="M299" s="20">
        <f t="shared" si="89"/>
        <v>0.90914129291189061</v>
      </c>
      <c r="N299" s="20">
        <f t="shared" si="90"/>
        <v>0.90914129291189061</v>
      </c>
      <c r="O299" s="17"/>
      <c r="P299" s="20">
        <f t="shared" si="91"/>
        <v>42.1971160599469</v>
      </c>
      <c r="Q299" s="20">
        <f t="shared" si="92"/>
        <v>103.5273658205839</v>
      </c>
      <c r="R299" s="20">
        <f t="shared" si="93"/>
        <v>0</v>
      </c>
      <c r="S299" s="20">
        <f t="shared" si="94"/>
        <v>0</v>
      </c>
      <c r="T299" s="20">
        <f t="shared" si="95"/>
        <v>0</v>
      </c>
      <c r="U299" s="17"/>
      <c r="V299" s="20">
        <f t="shared" si="96"/>
        <v>145.72448188053079</v>
      </c>
      <c r="W299" s="17"/>
      <c r="X299" s="20">
        <f t="shared" si="97"/>
        <v>55.335327090575646</v>
      </c>
      <c r="Y299" s="20">
        <f t="shared" si="98"/>
        <v>7.4387718805307941</v>
      </c>
      <c r="Z299" s="20"/>
      <c r="AA299" s="20">
        <f t="shared" si="99"/>
        <v>4.861679827770995E-5</v>
      </c>
    </row>
    <row r="300" spans="2:27" x14ac:dyDescent="0.3">
      <c r="B300" s="28">
        <v>26.2</v>
      </c>
      <c r="C300" s="28">
        <v>136.28570999999999</v>
      </c>
      <c r="D300" s="20">
        <f t="shared" si="81"/>
        <v>23.822410223114531</v>
      </c>
      <c r="E300" s="20">
        <f t="shared" si="82"/>
        <v>-5.8014110591303893</v>
      </c>
      <c r="F300" s="20">
        <f t="shared" si="83"/>
        <v>0.82499764488600258</v>
      </c>
      <c r="G300" s="20">
        <f t="shared" si="84"/>
        <v>0.82499764488600258</v>
      </c>
      <c r="H300" s="20">
        <f t="shared" si="85"/>
        <v>0.82499764488600258</v>
      </c>
      <c r="I300" s="17"/>
      <c r="J300" s="20">
        <f t="shared" si="86"/>
        <v>20.788032750516596</v>
      </c>
      <c r="K300" s="20">
        <f t="shared" si="87"/>
        <v>3.0141866717691927E-3</v>
      </c>
      <c r="L300" s="20">
        <f t="shared" si="88"/>
        <v>0.91444051004496629</v>
      </c>
      <c r="M300" s="20">
        <f t="shared" si="89"/>
        <v>0.91444051004496629</v>
      </c>
      <c r="N300" s="20">
        <f t="shared" si="90"/>
        <v>0.91444051004496629</v>
      </c>
      <c r="O300" s="17"/>
      <c r="P300" s="20">
        <f t="shared" si="91"/>
        <v>41.913103602556795</v>
      </c>
      <c r="Q300" s="20">
        <f t="shared" si="92"/>
        <v>103.00622309686193</v>
      </c>
      <c r="R300" s="20">
        <f t="shared" si="93"/>
        <v>0</v>
      </c>
      <c r="S300" s="20">
        <f t="shared" si="94"/>
        <v>0</v>
      </c>
      <c r="T300" s="20">
        <f t="shared" si="95"/>
        <v>0</v>
      </c>
      <c r="U300" s="17"/>
      <c r="V300" s="20">
        <f t="shared" si="96"/>
        <v>144.91932669941872</v>
      </c>
      <c r="W300" s="17"/>
      <c r="X300" s="20">
        <f t="shared" si="97"/>
        <v>74.539337312481862</v>
      </c>
      <c r="Y300" s="20">
        <f t="shared" si="98"/>
        <v>8.6336166994187238</v>
      </c>
      <c r="Z300" s="20"/>
      <c r="AA300" s="20">
        <f t="shared" si="99"/>
        <v>5.6425819775610272E-5</v>
      </c>
    </row>
    <row r="301" spans="2:27" x14ac:dyDescent="0.3">
      <c r="B301" s="28">
        <v>26.3</v>
      </c>
      <c r="C301" s="28">
        <v>155.28570999999999</v>
      </c>
      <c r="D301" s="20">
        <f t="shared" si="81"/>
        <v>23.897588403413192</v>
      </c>
      <c r="E301" s="20">
        <f t="shared" si="82"/>
        <v>-5.7963644367834304</v>
      </c>
      <c r="F301" s="20">
        <f t="shared" si="83"/>
        <v>0.83610875599711409</v>
      </c>
      <c r="G301" s="20">
        <f t="shared" si="84"/>
        <v>0.83610875599711409</v>
      </c>
      <c r="H301" s="20">
        <f t="shared" si="85"/>
        <v>0.83610875599711409</v>
      </c>
      <c r="I301" s="17"/>
      <c r="J301" s="20">
        <f t="shared" si="86"/>
        <v>20.859766163697383</v>
      </c>
      <c r="K301" s="20">
        <f t="shared" si="87"/>
        <v>3.0293905227343938E-3</v>
      </c>
      <c r="L301" s="20">
        <f t="shared" si="88"/>
        <v>0.919755816745911</v>
      </c>
      <c r="M301" s="20">
        <f t="shared" si="89"/>
        <v>0.919755816745911</v>
      </c>
      <c r="N301" s="20">
        <f t="shared" si="90"/>
        <v>0.919755816745911</v>
      </c>
      <c r="O301" s="17"/>
      <c r="P301" s="20">
        <f t="shared" si="91"/>
        <v>41.631905108360563</v>
      </c>
      <c r="Q301" s="20">
        <f t="shared" si="92"/>
        <v>102.48770378181855</v>
      </c>
      <c r="R301" s="20">
        <f t="shared" si="93"/>
        <v>0</v>
      </c>
      <c r="S301" s="20">
        <f t="shared" si="94"/>
        <v>0</v>
      </c>
      <c r="T301" s="20">
        <f t="shared" si="95"/>
        <v>0</v>
      </c>
      <c r="U301" s="17"/>
      <c r="V301" s="20">
        <f t="shared" si="96"/>
        <v>144.11960889017911</v>
      </c>
      <c r="W301" s="17"/>
      <c r="X301" s="20">
        <f t="shared" si="97"/>
        <v>124.68181399474322</v>
      </c>
      <c r="Y301" s="20">
        <f t="shared" si="98"/>
        <v>11.166101109820886</v>
      </c>
      <c r="Z301" s="20"/>
      <c r="AA301" s="20">
        <f t="shared" si="99"/>
        <v>7.2977111534429712E-5</v>
      </c>
    </row>
    <row r="302" spans="2:27" x14ac:dyDescent="0.3">
      <c r="B302" s="28">
        <v>26.4</v>
      </c>
      <c r="C302" s="28">
        <v>137.53570999999999</v>
      </c>
      <c r="D302" s="20">
        <f t="shared" si="81"/>
        <v>23.972766583711849</v>
      </c>
      <c r="E302" s="20">
        <f t="shared" si="82"/>
        <v>-5.7913178144364714</v>
      </c>
      <c r="F302" s="20">
        <f t="shared" si="83"/>
        <v>0.84721986710822517</v>
      </c>
      <c r="G302" s="20">
        <f t="shared" si="84"/>
        <v>0.84721986710822517</v>
      </c>
      <c r="H302" s="20">
        <f t="shared" si="85"/>
        <v>0.84721986710822517</v>
      </c>
      <c r="I302" s="17"/>
      <c r="J302" s="20">
        <f t="shared" si="86"/>
        <v>20.931510863363169</v>
      </c>
      <c r="K302" s="20">
        <f t="shared" si="87"/>
        <v>3.0446708306176079E-3</v>
      </c>
      <c r="L302" s="20">
        <f t="shared" si="88"/>
        <v>0.92508717248931138</v>
      </c>
      <c r="M302" s="20">
        <f t="shared" si="89"/>
        <v>0.92508717248931138</v>
      </c>
      <c r="N302" s="20">
        <f t="shared" si="90"/>
        <v>0.92508717248931138</v>
      </c>
      <c r="O302" s="17"/>
      <c r="P302" s="20">
        <f t="shared" si="91"/>
        <v>41.353483956662117</v>
      </c>
      <c r="Q302" s="20">
        <f t="shared" si="92"/>
        <v>101.97179466956709</v>
      </c>
      <c r="R302" s="20">
        <f t="shared" si="93"/>
        <v>0</v>
      </c>
      <c r="S302" s="20">
        <f t="shared" si="94"/>
        <v>0</v>
      </c>
      <c r="T302" s="20">
        <f t="shared" si="95"/>
        <v>0</v>
      </c>
      <c r="U302" s="17"/>
      <c r="V302" s="20">
        <f t="shared" si="96"/>
        <v>143.32527862622919</v>
      </c>
      <c r="W302" s="17"/>
      <c r="X302" s="20">
        <f t="shared" si="97"/>
        <v>33.519104877817433</v>
      </c>
      <c r="Y302" s="20">
        <f t="shared" si="98"/>
        <v>5.7895686262291974</v>
      </c>
      <c r="Z302" s="20"/>
      <c r="AA302" s="20">
        <f t="shared" si="99"/>
        <v>3.7838274185154723E-5</v>
      </c>
    </row>
    <row r="303" spans="2:27" x14ac:dyDescent="0.3">
      <c r="B303" s="28">
        <v>26.5</v>
      </c>
      <c r="C303" s="28">
        <v>114.03570999999999</v>
      </c>
      <c r="D303" s="20">
        <f t="shared" si="81"/>
        <v>24.047944764010509</v>
      </c>
      <c r="E303" s="20">
        <f t="shared" si="82"/>
        <v>-5.7862711920895116</v>
      </c>
      <c r="F303" s="20">
        <f t="shared" si="83"/>
        <v>0.85833097821933624</v>
      </c>
      <c r="G303" s="20">
        <f t="shared" si="84"/>
        <v>0.85833097821933624</v>
      </c>
      <c r="H303" s="20">
        <f t="shared" si="85"/>
        <v>0.85833097821933624</v>
      </c>
      <c r="I303" s="17"/>
      <c r="J303" s="20">
        <f t="shared" si="86"/>
        <v>21.003266777549719</v>
      </c>
      <c r="K303" s="20">
        <f t="shared" si="87"/>
        <v>3.0600279775572811E-3</v>
      </c>
      <c r="L303" s="20">
        <f t="shared" si="88"/>
        <v>0.93043453656268704</v>
      </c>
      <c r="M303" s="20">
        <f t="shared" si="89"/>
        <v>0.93043453656268704</v>
      </c>
      <c r="N303" s="20">
        <f t="shared" si="90"/>
        <v>0.93043453656268704</v>
      </c>
      <c r="O303" s="17"/>
      <c r="P303" s="20">
        <f t="shared" si="91"/>
        <v>41.077804114949963</v>
      </c>
      <c r="Q303" s="20">
        <f t="shared" si="92"/>
        <v>101.45848262069853</v>
      </c>
      <c r="R303" s="20">
        <f t="shared" si="93"/>
        <v>0</v>
      </c>
      <c r="S303" s="20">
        <f t="shared" si="94"/>
        <v>0</v>
      </c>
      <c r="T303" s="20">
        <f t="shared" si="95"/>
        <v>0</v>
      </c>
      <c r="U303" s="17"/>
      <c r="V303" s="20">
        <f t="shared" si="96"/>
        <v>142.5362867356485</v>
      </c>
      <c r="W303" s="17"/>
      <c r="X303" s="20">
        <f t="shared" si="97"/>
        <v>812.28287426458894</v>
      </c>
      <c r="Y303" s="20">
        <f t="shared" si="98"/>
        <v>28.500576735648508</v>
      </c>
      <c r="Z303" s="20"/>
      <c r="AA303" s="20">
        <f t="shared" si="99"/>
        <v>1.862682190297986E-4</v>
      </c>
    </row>
    <row r="304" spans="2:27" x14ac:dyDescent="0.3">
      <c r="B304" s="28">
        <v>26.6</v>
      </c>
      <c r="C304" s="28">
        <v>142.03570999999999</v>
      </c>
      <c r="D304" s="20">
        <f t="shared" si="81"/>
        <v>24.12312294430917</v>
      </c>
      <c r="E304" s="20">
        <f t="shared" si="82"/>
        <v>-5.7812245697425526</v>
      </c>
      <c r="F304" s="20">
        <f t="shared" si="83"/>
        <v>0.86944208933044731</v>
      </c>
      <c r="G304" s="20">
        <f t="shared" si="84"/>
        <v>0.86944208933044731</v>
      </c>
      <c r="H304" s="20">
        <f t="shared" si="85"/>
        <v>0.86944208933044731</v>
      </c>
      <c r="I304" s="17"/>
      <c r="J304" s="20">
        <f t="shared" si="86"/>
        <v>21.075033834967385</v>
      </c>
      <c r="K304" s="20">
        <f t="shared" si="87"/>
        <v>3.0754623475781886E-3</v>
      </c>
      <c r="L304" s="20">
        <f t="shared" si="88"/>
        <v>0.93579786807137655</v>
      </c>
      <c r="M304" s="20">
        <f t="shared" si="89"/>
        <v>0.93579786807137655</v>
      </c>
      <c r="N304" s="20">
        <f t="shared" si="90"/>
        <v>0.93579786807137655</v>
      </c>
      <c r="O304" s="17"/>
      <c r="P304" s="20">
        <f t="shared" si="91"/>
        <v>40.804830127687474</v>
      </c>
      <c r="Q304" s="20">
        <f t="shared" si="92"/>
        <v>100.94775456194725</v>
      </c>
      <c r="R304" s="20">
        <f t="shared" si="93"/>
        <v>0</v>
      </c>
      <c r="S304" s="20">
        <f t="shared" si="94"/>
        <v>0</v>
      </c>
      <c r="T304" s="20">
        <f t="shared" si="95"/>
        <v>0</v>
      </c>
      <c r="U304" s="17"/>
      <c r="V304" s="20">
        <f t="shared" si="96"/>
        <v>141.75258468963472</v>
      </c>
      <c r="W304" s="17"/>
      <c r="X304" s="20">
        <f t="shared" si="97"/>
        <v>8.0159941369435245E-2</v>
      </c>
      <c r="Y304" s="20">
        <f t="shared" si="98"/>
        <v>0.28312531036527844</v>
      </c>
      <c r="Z304" s="20"/>
      <c r="AA304" s="20">
        <f t="shared" si="99"/>
        <v>1.8503922855019163E-6</v>
      </c>
    </row>
    <row r="305" spans="2:27" x14ac:dyDescent="0.3">
      <c r="B305" s="28">
        <v>26.7</v>
      </c>
      <c r="C305" s="28">
        <v>143.03570999999999</v>
      </c>
      <c r="D305" s="20">
        <f t="shared" si="81"/>
        <v>24.198301124607831</v>
      </c>
      <c r="E305" s="20">
        <f t="shared" si="82"/>
        <v>-5.7761779473955936</v>
      </c>
      <c r="F305" s="20">
        <f t="shared" si="83"/>
        <v>0.88055320044155794</v>
      </c>
      <c r="G305" s="20">
        <f t="shared" si="84"/>
        <v>0.88055320044155794</v>
      </c>
      <c r="H305" s="20">
        <f t="shared" si="85"/>
        <v>0.88055320044155794</v>
      </c>
      <c r="I305" s="17"/>
      <c r="J305" s="20">
        <f t="shared" si="86"/>
        <v>21.146811964992839</v>
      </c>
      <c r="K305" s="20">
        <f t="shared" si="87"/>
        <v>3.0909743266005181E-3</v>
      </c>
      <c r="L305" s="20">
        <f t="shared" si="88"/>
        <v>0.94117712594338676</v>
      </c>
      <c r="M305" s="20">
        <f t="shared" si="89"/>
        <v>0.94117712594338676</v>
      </c>
      <c r="N305" s="20">
        <f t="shared" si="90"/>
        <v>0.94117712594338676</v>
      </c>
      <c r="O305" s="17"/>
      <c r="P305" s="20">
        <f t="shared" si="91"/>
        <v>40.53452710534971</v>
      </c>
      <c r="Q305" s="20">
        <f t="shared" si="92"/>
        <v>100.43959748585766</v>
      </c>
      <c r="R305" s="20">
        <f t="shared" si="93"/>
        <v>0</v>
      </c>
      <c r="S305" s="20">
        <f t="shared" si="94"/>
        <v>0</v>
      </c>
      <c r="T305" s="20">
        <f t="shared" si="95"/>
        <v>0</v>
      </c>
      <c r="U305" s="17"/>
      <c r="V305" s="20">
        <f t="shared" si="96"/>
        <v>140.97412459120739</v>
      </c>
      <c r="W305" s="17"/>
      <c r="X305" s="20">
        <f t="shared" si="97"/>
        <v>4.2501343977465913</v>
      </c>
      <c r="Y305" s="20">
        <f t="shared" si="98"/>
        <v>2.0615854087926095</v>
      </c>
      <c r="Z305" s="20"/>
      <c r="AA305" s="20">
        <f t="shared" si="99"/>
        <v>1.3473686726953206E-5</v>
      </c>
    </row>
    <row r="306" spans="2:27" x14ac:dyDescent="0.3">
      <c r="B306" s="28">
        <v>26.8</v>
      </c>
      <c r="C306" s="28">
        <v>139.53570999999999</v>
      </c>
      <c r="D306" s="20">
        <f t="shared" ref="D306:D369" si="100">$C$23/(1-$C$23)-LN((1-$C$23)/$C$23)+$C$22/(1-$C$23)*B306</f>
        <v>24.273479304906491</v>
      </c>
      <c r="E306" s="20">
        <f t="shared" ref="E306:E369" si="101">$D$23/(1-$D$23)-LN((1-$D$23)/$D$23)+$D$22*B306/(1-$D$23)</f>
        <v>-5.7711313250486347</v>
      </c>
      <c r="F306" s="20">
        <f t="shared" ref="F306:F369" si="102">$E$23/(1-$E$23)-LN((1-$E$23)/$E$23)+$E$22*B306/(1-$E$23)</f>
        <v>0.89166431155266945</v>
      </c>
      <c r="G306" s="20">
        <f t="shared" ref="G306:G369" si="103">$F$23/(1-$F$23)-LN((1-$F$23)/$F$23)+$F$22*B306/(1-$F$23)</f>
        <v>0.89166431155266945</v>
      </c>
      <c r="H306" s="20">
        <f t="shared" ref="H306:H369" si="104">$G$23/(1-$G$23)-LN((1-$G$23)/$G$23)+$G$22*B306/(1-$G$23)</f>
        <v>0.89166431155266945</v>
      </c>
      <c r="I306" s="17"/>
      <c r="J306" s="20">
        <f t="shared" ref="J306:J369" si="105">lmb_2(D306)</f>
        <v>21.21860109766088</v>
      </c>
      <c r="K306" s="20">
        <f t="shared" ref="K306:K369" si="106">lmb_2(E306)</f>
        <v>3.10656430244898E-3</v>
      </c>
      <c r="L306" s="20">
        <f t="shared" ref="L306:L369" si="107">lmb_2(F306)</f>
        <v>0.9465722689342021</v>
      </c>
      <c r="M306" s="20">
        <f t="shared" ref="M306:M369" si="108">lmb_2(G306)</f>
        <v>0.9465722689342021</v>
      </c>
      <c r="N306" s="20">
        <f t="shared" ref="N306:N369" si="109">lmb_2(H306)</f>
        <v>0.9465722689342021</v>
      </c>
      <c r="O306" s="17"/>
      <c r="P306" s="20">
        <f t="shared" ref="P306:P369" si="110">($C$21*$A$21*$C$22)/(J306+J306^2)</f>
        <v>40.266860713700922</v>
      </c>
      <c r="Q306" s="20">
        <f t="shared" ref="Q306:Q369" si="111">($D$21*$A$21*$D$22)/(K306+K306^2)</f>
        <v>99.933998450453117</v>
      </c>
      <c r="R306" s="20">
        <f t="shared" ref="R306:R369" si="112">($E$21*$A$21*$E$22)/(L306+L306^2)</f>
        <v>0</v>
      </c>
      <c r="S306" s="20">
        <f t="shared" ref="S306:S369" si="113">($F$21*$A$21*$F$22)/(M306+M306^2)</f>
        <v>0</v>
      </c>
      <c r="T306" s="20">
        <f t="shared" ref="T306:T369" si="114">($G$21*$A$21*$G$22)/(N306+N306^2)</f>
        <v>0</v>
      </c>
      <c r="U306" s="17"/>
      <c r="V306" s="20">
        <f t="shared" ref="V306:V369" si="115">SUM(P306:T306)</f>
        <v>140.20085916415405</v>
      </c>
      <c r="W306" s="17"/>
      <c r="X306" s="20">
        <f t="shared" ref="X306:X369" si="116">(V306-C306)^2</f>
        <v>0.44242341057484302</v>
      </c>
      <c r="Y306" s="20">
        <f t="shared" ref="Y306:Y369" si="117">ABS(V306-C306)</f>
        <v>0.66514916415405878</v>
      </c>
      <c r="Z306" s="20"/>
      <c r="AA306" s="20">
        <f t="shared" ref="AA306:AA369" si="118">Y306/$Z$39</f>
        <v>4.3471453699098811E-6</v>
      </c>
    </row>
    <row r="307" spans="2:27" x14ac:dyDescent="0.3">
      <c r="B307" s="28">
        <v>26.9</v>
      </c>
      <c r="C307" s="28">
        <v>149.03570999999999</v>
      </c>
      <c r="D307" s="20">
        <f t="shared" si="100"/>
        <v>24.348657485205148</v>
      </c>
      <c r="E307" s="20">
        <f t="shared" si="101"/>
        <v>-5.7660847027016757</v>
      </c>
      <c r="F307" s="20">
        <f t="shared" si="102"/>
        <v>0.90277542266378052</v>
      </c>
      <c r="G307" s="20">
        <f t="shared" si="103"/>
        <v>0.90277542266378052</v>
      </c>
      <c r="H307" s="20">
        <f t="shared" si="104"/>
        <v>0.90277542266378052</v>
      </c>
      <c r="I307" s="17"/>
      <c r="J307" s="20">
        <f t="shared" si="105"/>
        <v>21.290401163656409</v>
      </c>
      <c r="K307" s="20">
        <f t="shared" si="106"/>
        <v>3.1222326648619671E-3</v>
      </c>
      <c r="L307" s="20">
        <f t="shared" si="107"/>
        <v>0.95198325563155262</v>
      </c>
      <c r="M307" s="20">
        <f t="shared" si="108"/>
        <v>0.95198325563155262</v>
      </c>
      <c r="N307" s="20">
        <f t="shared" si="109"/>
        <v>0.95198325563155262</v>
      </c>
      <c r="O307" s="17"/>
      <c r="P307" s="20">
        <f t="shared" si="110"/>
        <v>40.001797163306641</v>
      </c>
      <c r="Q307" s="20">
        <f t="shared" si="111"/>
        <v>99.430944578906193</v>
      </c>
      <c r="R307" s="20">
        <f t="shared" si="112"/>
        <v>0</v>
      </c>
      <c r="S307" s="20">
        <f t="shared" si="113"/>
        <v>0</v>
      </c>
      <c r="T307" s="20">
        <f t="shared" si="114"/>
        <v>0</v>
      </c>
      <c r="U307" s="17"/>
      <c r="V307" s="20">
        <f t="shared" si="115"/>
        <v>139.43274174221284</v>
      </c>
      <c r="W307" s="17"/>
      <c r="X307" s="20">
        <f t="shared" si="116"/>
        <v>92.216999360067646</v>
      </c>
      <c r="Y307" s="20">
        <f t="shared" si="117"/>
        <v>9.602968257787154</v>
      </c>
      <c r="Z307" s="20"/>
      <c r="AA307" s="20">
        <f t="shared" si="118"/>
        <v>6.2761108709086618E-5</v>
      </c>
    </row>
    <row r="308" spans="2:27" x14ac:dyDescent="0.3">
      <c r="B308" s="28">
        <v>27</v>
      </c>
      <c r="C308" s="28">
        <v>136.78570999999999</v>
      </c>
      <c r="D308" s="20">
        <f t="shared" si="100"/>
        <v>24.423835665503809</v>
      </c>
      <c r="E308" s="20">
        <f t="shared" si="101"/>
        <v>-5.7610380803547159</v>
      </c>
      <c r="F308" s="20">
        <f t="shared" si="102"/>
        <v>0.9138865337748916</v>
      </c>
      <c r="G308" s="20">
        <f t="shared" si="103"/>
        <v>0.9138865337748916</v>
      </c>
      <c r="H308" s="20">
        <f t="shared" si="104"/>
        <v>0.9138865337748916</v>
      </c>
      <c r="I308" s="17"/>
      <c r="J308" s="20">
        <f t="shared" si="105"/>
        <v>21.362212094306503</v>
      </c>
      <c r="K308" s="20">
        <f t="shared" si="106"/>
        <v>3.1379798055007485E-3</v>
      </c>
      <c r="L308" s="20">
        <f t="shared" si="107"/>
        <v>0.95741004446014533</v>
      </c>
      <c r="M308" s="20">
        <f t="shared" si="108"/>
        <v>0.95741004446014533</v>
      </c>
      <c r="N308" s="20">
        <f t="shared" si="109"/>
        <v>0.95741004446014533</v>
      </c>
      <c r="O308" s="17"/>
      <c r="P308" s="20">
        <f t="shared" si="110"/>
        <v>39.739303199274467</v>
      </c>
      <c r="Q308" s="20">
        <f t="shared" si="111"/>
        <v>98.930423059210909</v>
      </c>
      <c r="R308" s="20">
        <f t="shared" si="112"/>
        <v>0</v>
      </c>
      <c r="S308" s="20">
        <f t="shared" si="113"/>
        <v>0</v>
      </c>
      <c r="T308" s="20">
        <f t="shared" si="114"/>
        <v>0</v>
      </c>
      <c r="U308" s="17"/>
      <c r="V308" s="20">
        <f t="shared" si="115"/>
        <v>138.66972625848538</v>
      </c>
      <c r="W308" s="17"/>
      <c r="X308" s="20">
        <f t="shared" si="116"/>
        <v>3.5495172622372824</v>
      </c>
      <c r="Y308" s="20">
        <f t="shared" si="117"/>
        <v>1.8840162584853886</v>
      </c>
      <c r="Z308" s="20"/>
      <c r="AA308" s="20">
        <f t="shared" si="118"/>
        <v>1.2313166724528489E-5</v>
      </c>
    </row>
    <row r="309" spans="2:27" x14ac:dyDescent="0.3">
      <c r="B309" s="28">
        <v>27.1</v>
      </c>
      <c r="C309" s="28">
        <v>141.53570999999999</v>
      </c>
      <c r="D309" s="20">
        <f t="shared" si="100"/>
        <v>24.49901384580247</v>
      </c>
      <c r="E309" s="20">
        <f t="shared" si="101"/>
        <v>-5.7559914580077569</v>
      </c>
      <c r="F309" s="20">
        <f t="shared" si="102"/>
        <v>0.92499764488600311</v>
      </c>
      <c r="G309" s="20">
        <f t="shared" si="103"/>
        <v>0.92499764488600311</v>
      </c>
      <c r="H309" s="20">
        <f t="shared" si="104"/>
        <v>0.92499764488600311</v>
      </c>
      <c r="I309" s="17"/>
      <c r="J309" s="20">
        <f t="shared" si="105"/>
        <v>21.434033821572598</v>
      </c>
      <c r="K309" s="20">
        <f t="shared" si="106"/>
        <v>3.1538061179587052E-3</v>
      </c>
      <c r="L309" s="20">
        <f t="shared" si="107"/>
        <v>0.96285259368635256</v>
      </c>
      <c r="M309" s="20">
        <f t="shared" si="108"/>
        <v>0.96285259368635256</v>
      </c>
      <c r="N309" s="20">
        <f t="shared" si="109"/>
        <v>0.96285259368635256</v>
      </c>
      <c r="O309" s="17"/>
      <c r="P309" s="20">
        <f t="shared" si="110"/>
        <v>39.479346091218211</v>
      </c>
      <c r="Q309" s="20">
        <f t="shared" si="111"/>
        <v>98.432421143856459</v>
      </c>
      <c r="R309" s="20">
        <f t="shared" si="112"/>
        <v>0</v>
      </c>
      <c r="S309" s="20">
        <f t="shared" si="113"/>
        <v>0</v>
      </c>
      <c r="T309" s="20">
        <f t="shared" si="114"/>
        <v>0</v>
      </c>
      <c r="U309" s="17"/>
      <c r="V309" s="20">
        <f t="shared" si="115"/>
        <v>137.91176723507468</v>
      </c>
      <c r="W309" s="17"/>
      <c r="X309" s="20">
        <f t="shared" si="116"/>
        <v>13.132961163454553</v>
      </c>
      <c r="Y309" s="20">
        <f t="shared" si="117"/>
        <v>3.6239427649253173</v>
      </c>
      <c r="Z309" s="20"/>
      <c r="AA309" s="20">
        <f t="shared" si="118"/>
        <v>2.3684621225374767E-5</v>
      </c>
    </row>
    <row r="310" spans="2:27" x14ac:dyDescent="0.3">
      <c r="B310" s="28">
        <v>27.2</v>
      </c>
      <c r="C310" s="28">
        <v>124.28570999999999</v>
      </c>
      <c r="D310" s="20">
        <f t="shared" si="100"/>
        <v>24.574192026101127</v>
      </c>
      <c r="E310" s="20">
        <f t="shared" si="101"/>
        <v>-5.7509448356607979</v>
      </c>
      <c r="F310" s="20">
        <f t="shared" si="102"/>
        <v>0.93610875599711374</v>
      </c>
      <c r="G310" s="20">
        <f t="shared" si="103"/>
        <v>0.93610875599711374</v>
      </c>
      <c r="H310" s="20">
        <f t="shared" si="104"/>
        <v>0.93610875599711374</v>
      </c>
      <c r="I310" s="17"/>
      <c r="J310" s="20">
        <f t="shared" si="105"/>
        <v>21.505866278042813</v>
      </c>
      <c r="K310" s="20">
        <f t="shared" si="106"/>
        <v>3.1697119977706274E-3</v>
      </c>
      <c r="L310" s="20">
        <f t="shared" si="107"/>
        <v>0.96831086142285894</v>
      </c>
      <c r="M310" s="20">
        <f t="shared" si="108"/>
        <v>0.96831086142285894</v>
      </c>
      <c r="N310" s="20">
        <f t="shared" si="109"/>
        <v>0.96831086142285894</v>
      </c>
      <c r="O310" s="17"/>
      <c r="P310" s="20">
        <f t="shared" si="110"/>
        <v>39.221893623439385</v>
      </c>
      <c r="Q310" s="20">
        <f t="shared" si="111"/>
        <v>97.936926149502156</v>
      </c>
      <c r="R310" s="20">
        <f t="shared" si="112"/>
        <v>0</v>
      </c>
      <c r="S310" s="20">
        <f t="shared" si="113"/>
        <v>0</v>
      </c>
      <c r="T310" s="20">
        <f t="shared" si="114"/>
        <v>0</v>
      </c>
      <c r="U310" s="17"/>
      <c r="V310" s="20">
        <f t="shared" si="115"/>
        <v>137.15881977294154</v>
      </c>
      <c r="W310" s="17"/>
      <c r="X310" s="20">
        <f t="shared" si="116"/>
        <v>165.71695522620317</v>
      </c>
      <c r="Y310" s="20">
        <f t="shared" si="117"/>
        <v>12.873109772941547</v>
      </c>
      <c r="Z310" s="20"/>
      <c r="AA310" s="20">
        <f t="shared" si="118"/>
        <v>8.4133428352054553E-5</v>
      </c>
    </row>
    <row r="311" spans="2:27" x14ac:dyDescent="0.3">
      <c r="B311" s="28">
        <v>27.3</v>
      </c>
      <c r="C311" s="28">
        <v>164.03570999999999</v>
      </c>
      <c r="D311" s="20">
        <f t="shared" si="100"/>
        <v>24.649370206399787</v>
      </c>
      <c r="E311" s="20">
        <f t="shared" si="101"/>
        <v>-5.7458982133138381</v>
      </c>
      <c r="F311" s="20">
        <f t="shared" si="102"/>
        <v>0.94721986710822526</v>
      </c>
      <c r="G311" s="20">
        <f t="shared" si="103"/>
        <v>0.94721986710822526</v>
      </c>
      <c r="H311" s="20">
        <f t="shared" si="104"/>
        <v>0.94721986710822526</v>
      </c>
      <c r="I311" s="17"/>
      <c r="J311" s="20">
        <f t="shared" si="105"/>
        <v>21.577709396924384</v>
      </c>
      <c r="K311" s="20">
        <f t="shared" si="106"/>
        <v>3.1856978424220244E-3</v>
      </c>
      <c r="L311" s="20">
        <f t="shared" si="107"/>
        <v>0.9737848056332703</v>
      </c>
      <c r="M311" s="20">
        <f t="shared" si="108"/>
        <v>0.9737848056332703</v>
      </c>
      <c r="N311" s="20">
        <f t="shared" si="109"/>
        <v>0.9737848056332703</v>
      </c>
      <c r="O311" s="17"/>
      <c r="P311" s="20">
        <f t="shared" si="110"/>
        <v>38.966914085321157</v>
      </c>
      <c r="Q311" s="20">
        <f t="shared" si="111"/>
        <v>97.443925456654824</v>
      </c>
      <c r="R311" s="20">
        <f t="shared" si="112"/>
        <v>0</v>
      </c>
      <c r="S311" s="20">
        <f t="shared" si="113"/>
        <v>0</v>
      </c>
      <c r="T311" s="20">
        <f t="shared" si="114"/>
        <v>0</v>
      </c>
      <c r="U311" s="17"/>
      <c r="V311" s="20">
        <f t="shared" si="115"/>
        <v>136.41083954197597</v>
      </c>
      <c r="W311" s="17"/>
      <c r="X311" s="20">
        <f t="shared" si="116"/>
        <v>763.13346782260828</v>
      </c>
      <c r="Y311" s="20">
        <f t="shared" si="117"/>
        <v>27.62487045802402</v>
      </c>
      <c r="Z311" s="20"/>
      <c r="AA311" s="20">
        <f t="shared" si="118"/>
        <v>1.8054495769936026E-4</v>
      </c>
    </row>
    <row r="312" spans="2:27" x14ac:dyDescent="0.3">
      <c r="B312" s="28">
        <v>27.4</v>
      </c>
      <c r="C312" s="28">
        <v>117.28570999999999</v>
      </c>
      <c r="D312" s="20">
        <f t="shared" si="100"/>
        <v>24.724548386698448</v>
      </c>
      <c r="E312" s="20">
        <f t="shared" si="101"/>
        <v>-5.7408515909668791</v>
      </c>
      <c r="F312" s="20">
        <f t="shared" si="102"/>
        <v>0.95833097821933633</v>
      </c>
      <c r="G312" s="20">
        <f t="shared" si="103"/>
        <v>0.95833097821933633</v>
      </c>
      <c r="H312" s="20">
        <f t="shared" si="104"/>
        <v>0.95833097821933633</v>
      </c>
      <c r="I312" s="17"/>
      <c r="J312" s="20">
        <f t="shared" si="105"/>
        <v>21.649563112036184</v>
      </c>
      <c r="K312" s="20">
        <f t="shared" si="106"/>
        <v>3.2017640513584901E-3</v>
      </c>
      <c r="L312" s="20">
        <f t="shared" si="107"/>
        <v>0.979274384136677</v>
      </c>
      <c r="M312" s="20">
        <f t="shared" si="108"/>
        <v>0.979274384136677</v>
      </c>
      <c r="N312" s="20">
        <f t="shared" si="109"/>
        <v>0.979274384136677</v>
      </c>
      <c r="O312" s="17"/>
      <c r="P312" s="20">
        <f t="shared" si="110"/>
        <v>38.714376261929424</v>
      </c>
      <c r="Q312" s="20">
        <f t="shared" si="111"/>
        <v>96.95340650934736</v>
      </c>
      <c r="R312" s="20">
        <f t="shared" si="112"/>
        <v>0</v>
      </c>
      <c r="S312" s="20">
        <f t="shared" si="113"/>
        <v>0</v>
      </c>
      <c r="T312" s="20">
        <f t="shared" si="114"/>
        <v>0</v>
      </c>
      <c r="U312" s="17"/>
      <c r="V312" s="20">
        <f t="shared" si="115"/>
        <v>135.66778277127679</v>
      </c>
      <c r="W312" s="17"/>
      <c r="X312" s="20">
        <f t="shared" si="116"/>
        <v>337.90059936851577</v>
      </c>
      <c r="Y312" s="20">
        <f t="shared" si="117"/>
        <v>18.382072771276796</v>
      </c>
      <c r="Z312" s="20"/>
      <c r="AA312" s="20">
        <f t="shared" si="118"/>
        <v>1.201377778751807E-4</v>
      </c>
    </row>
    <row r="313" spans="2:27" x14ac:dyDescent="0.3">
      <c r="B313" s="28">
        <v>27.5</v>
      </c>
      <c r="C313" s="28">
        <v>131.28570999999999</v>
      </c>
      <c r="D313" s="20">
        <f t="shared" si="100"/>
        <v>24.799726566997109</v>
      </c>
      <c r="E313" s="20">
        <f t="shared" si="101"/>
        <v>-5.7358049686199202</v>
      </c>
      <c r="F313" s="20">
        <f t="shared" si="102"/>
        <v>0.96944208933044695</v>
      </c>
      <c r="G313" s="20">
        <f t="shared" si="103"/>
        <v>0.96944208933044695</v>
      </c>
      <c r="H313" s="20">
        <f t="shared" si="104"/>
        <v>0.96944208933044695</v>
      </c>
      <c r="I313" s="17"/>
      <c r="J313" s="20">
        <f t="shared" si="105"/>
        <v>21.721427357801396</v>
      </c>
      <c r="K313" s="20">
        <f t="shared" si="106"/>
        <v>3.2179110259951227E-3</v>
      </c>
      <c r="L313" s="20">
        <f t="shared" si="107"/>
        <v>0.9847795546121787</v>
      </c>
      <c r="M313" s="20">
        <f t="shared" si="108"/>
        <v>0.9847795546121787</v>
      </c>
      <c r="N313" s="20">
        <f t="shared" si="109"/>
        <v>0.9847795546121787</v>
      </c>
      <c r="O313" s="17"/>
      <c r="P313" s="20">
        <f t="shared" si="110"/>
        <v>38.464249424815812</v>
      </c>
      <c r="Q313" s="20">
        <f t="shared" si="111"/>
        <v>96.465356814818634</v>
      </c>
      <c r="R313" s="20">
        <f t="shared" si="112"/>
        <v>0</v>
      </c>
      <c r="S313" s="20">
        <f t="shared" si="113"/>
        <v>0</v>
      </c>
      <c r="T313" s="20">
        <f t="shared" si="114"/>
        <v>0</v>
      </c>
      <c r="U313" s="17"/>
      <c r="V313" s="20">
        <f t="shared" si="115"/>
        <v>134.92960623963444</v>
      </c>
      <c r="W313" s="17"/>
      <c r="X313" s="20">
        <f t="shared" si="116"/>
        <v>13.277979805222039</v>
      </c>
      <c r="Y313" s="20">
        <f t="shared" si="117"/>
        <v>3.6438962396344436</v>
      </c>
      <c r="Z313" s="20"/>
      <c r="AA313" s="20">
        <f t="shared" si="118"/>
        <v>2.3815029049468944E-5</v>
      </c>
    </row>
    <row r="314" spans="2:27" x14ac:dyDescent="0.3">
      <c r="B314" s="28">
        <v>27.6</v>
      </c>
      <c r="C314" s="28">
        <v>118.53570999999999</v>
      </c>
      <c r="D314" s="20">
        <f t="shared" si="100"/>
        <v>24.874904747295769</v>
      </c>
      <c r="E314" s="20">
        <f t="shared" si="101"/>
        <v>-5.7307583462729612</v>
      </c>
      <c r="F314" s="20">
        <f t="shared" si="102"/>
        <v>0.98055320044155847</v>
      </c>
      <c r="G314" s="20">
        <f t="shared" si="103"/>
        <v>0.98055320044155847</v>
      </c>
      <c r="H314" s="20">
        <f t="shared" si="104"/>
        <v>0.98055320044155847</v>
      </c>
      <c r="I314" s="17"/>
      <c r="J314" s="20">
        <f t="shared" si="105"/>
        <v>21.793302069240259</v>
      </c>
      <c r="K314" s="20">
        <f t="shared" si="106"/>
        <v>3.2341391697259659E-3</v>
      </c>
      <c r="L314" s="20">
        <f t="shared" si="107"/>
        <v>0.99030027460336689</v>
      </c>
      <c r="M314" s="20">
        <f t="shared" si="108"/>
        <v>0.99030027460336689</v>
      </c>
      <c r="N314" s="20">
        <f t="shared" si="109"/>
        <v>0.99030027460336689</v>
      </c>
      <c r="O314" s="17"/>
      <c r="P314" s="20">
        <f t="shared" si="110"/>
        <v>38.216503323017918</v>
      </c>
      <c r="Q314" s="20">
        <f t="shared" si="111"/>
        <v>95.97976394319565</v>
      </c>
      <c r="R314" s="20">
        <f t="shared" si="112"/>
        <v>0</v>
      </c>
      <c r="S314" s="20">
        <f t="shared" si="113"/>
        <v>0</v>
      </c>
      <c r="T314" s="20">
        <f t="shared" si="114"/>
        <v>0</v>
      </c>
      <c r="U314" s="17"/>
      <c r="V314" s="20">
        <f t="shared" si="115"/>
        <v>134.19626726621357</v>
      </c>
      <c r="W314" s="17"/>
      <c r="X314" s="20">
        <f t="shared" si="116"/>
        <v>245.25305388835474</v>
      </c>
      <c r="Y314" s="20">
        <f t="shared" si="117"/>
        <v>15.660557266213573</v>
      </c>
      <c r="Z314" s="20"/>
      <c r="AA314" s="20">
        <f t="shared" si="118"/>
        <v>1.0235105549085648E-4</v>
      </c>
    </row>
    <row r="315" spans="2:27" x14ac:dyDescent="0.3">
      <c r="B315" s="28">
        <v>27.7</v>
      </c>
      <c r="C315" s="28">
        <v>129.53570999999999</v>
      </c>
      <c r="D315" s="20">
        <f t="shared" si="100"/>
        <v>24.950082927594426</v>
      </c>
      <c r="E315" s="20">
        <f t="shared" si="101"/>
        <v>-5.7257117239260023</v>
      </c>
      <c r="F315" s="20">
        <f t="shared" si="102"/>
        <v>0.9916643115526691</v>
      </c>
      <c r="G315" s="20">
        <f t="shared" si="103"/>
        <v>0.9916643115526691</v>
      </c>
      <c r="H315" s="20">
        <f t="shared" si="104"/>
        <v>0.9916643115526691</v>
      </c>
      <c r="I315" s="17"/>
      <c r="J315" s="20">
        <f t="shared" si="105"/>
        <v>21.865187181962941</v>
      </c>
      <c r="K315" s="20">
        <f t="shared" si="106"/>
        <v>3.2504488879335079E-3</v>
      </c>
      <c r="L315" s="20">
        <f t="shared" si="107"/>
        <v>0.99583650152276049</v>
      </c>
      <c r="M315" s="20">
        <f t="shared" si="108"/>
        <v>0.99583650152276049</v>
      </c>
      <c r="N315" s="20">
        <f t="shared" si="109"/>
        <v>0.99583650152276049</v>
      </c>
      <c r="O315" s="17"/>
      <c r="P315" s="20">
        <f t="shared" si="110"/>
        <v>37.971108174251761</v>
      </c>
      <c r="Q315" s="20">
        <f t="shared" si="111"/>
        <v>95.496615527176786</v>
      </c>
      <c r="R315" s="20">
        <f t="shared" si="112"/>
        <v>0</v>
      </c>
      <c r="S315" s="20">
        <f t="shared" si="113"/>
        <v>0</v>
      </c>
      <c r="T315" s="20">
        <f t="shared" si="114"/>
        <v>0</v>
      </c>
      <c r="U315" s="17"/>
      <c r="V315" s="20">
        <f t="shared" si="115"/>
        <v>133.46772370142855</v>
      </c>
      <c r="W315" s="17"/>
      <c r="X315" s="20">
        <f t="shared" si="116"/>
        <v>15.460731748221919</v>
      </c>
      <c r="Y315" s="20">
        <f t="shared" si="117"/>
        <v>3.9320137014285592</v>
      </c>
      <c r="Z315" s="20"/>
      <c r="AA315" s="20">
        <f t="shared" si="118"/>
        <v>2.5698048013525525E-5</v>
      </c>
    </row>
    <row r="316" spans="2:27" x14ac:dyDescent="0.3">
      <c r="B316" s="28">
        <v>27.8</v>
      </c>
      <c r="C316" s="28">
        <v>149.53570999999999</v>
      </c>
      <c r="D316" s="20">
        <f t="shared" si="100"/>
        <v>25.025261107893087</v>
      </c>
      <c r="E316" s="20">
        <f t="shared" si="101"/>
        <v>-5.7206651015790424</v>
      </c>
      <c r="F316" s="20">
        <f t="shared" si="102"/>
        <v>1.0027754226637806</v>
      </c>
      <c r="G316" s="20">
        <f t="shared" si="103"/>
        <v>1.0027754226637806</v>
      </c>
      <c r="H316" s="20">
        <f t="shared" si="104"/>
        <v>1.0027754226637806</v>
      </c>
      <c r="I316" s="17"/>
      <c r="J316" s="20">
        <f t="shared" si="105"/>
        <v>21.937082632162515</v>
      </c>
      <c r="K316" s="20">
        <f t="shared" si="106"/>
        <v>3.2668405879982157E-3</v>
      </c>
      <c r="L316" s="20">
        <f t="shared" si="107"/>
        <v>1.0013881926562072</v>
      </c>
      <c r="M316" s="20">
        <f t="shared" si="108"/>
        <v>1.0013881926562072</v>
      </c>
      <c r="N316" s="20">
        <f t="shared" si="109"/>
        <v>1.0013881926562072</v>
      </c>
      <c r="O316" s="17"/>
      <c r="P316" s="20">
        <f t="shared" si="110"/>
        <v>37.728034656292031</v>
      </c>
      <c r="Q316" s="20">
        <f t="shared" si="111"/>
        <v>95.015899261716854</v>
      </c>
      <c r="R316" s="20">
        <f t="shared" si="112"/>
        <v>0</v>
      </c>
      <c r="S316" s="20">
        <f t="shared" si="113"/>
        <v>0</v>
      </c>
      <c r="T316" s="20">
        <f t="shared" si="114"/>
        <v>0</v>
      </c>
      <c r="U316" s="17"/>
      <c r="V316" s="20">
        <f t="shared" si="115"/>
        <v>132.74393391800888</v>
      </c>
      <c r="W316" s="17"/>
      <c r="X316" s="20">
        <f t="shared" si="116"/>
        <v>281.96374398772895</v>
      </c>
      <c r="Y316" s="20">
        <f t="shared" si="117"/>
        <v>16.791776081991117</v>
      </c>
      <c r="Z316" s="20"/>
      <c r="AA316" s="20">
        <f t="shared" si="118"/>
        <v>1.0974424321832884E-4</v>
      </c>
    </row>
    <row r="317" spans="2:27" x14ac:dyDescent="0.3">
      <c r="B317" s="28">
        <v>27.9</v>
      </c>
      <c r="C317" s="28">
        <v>127.28570999999999</v>
      </c>
      <c r="D317" s="20">
        <f t="shared" si="100"/>
        <v>25.100439288191744</v>
      </c>
      <c r="E317" s="20">
        <f t="shared" si="101"/>
        <v>-5.7156184792320834</v>
      </c>
      <c r="F317" s="20">
        <f t="shared" si="102"/>
        <v>1.0138865337748917</v>
      </c>
      <c r="G317" s="20">
        <f t="shared" si="103"/>
        <v>1.0138865337748917</v>
      </c>
      <c r="H317" s="20">
        <f t="shared" si="104"/>
        <v>1.0138865337748917</v>
      </c>
      <c r="I317" s="17"/>
      <c r="J317" s="20">
        <f t="shared" si="105"/>
        <v>22.008988356608018</v>
      </c>
      <c r="K317" s="20">
        <f t="shared" si="106"/>
        <v>3.2833146793081074E-3</v>
      </c>
      <c r="L317" s="20">
        <f t="shared" si="107"/>
        <v>1.0069553051672326</v>
      </c>
      <c r="M317" s="20">
        <f t="shared" si="108"/>
        <v>1.0069553051672326</v>
      </c>
      <c r="N317" s="20">
        <f t="shared" si="109"/>
        <v>1.0069553051672326</v>
      </c>
      <c r="O317" s="17"/>
      <c r="P317" s="20">
        <f t="shared" si="110"/>
        <v>37.487253898535442</v>
      </c>
      <c r="Q317" s="20">
        <f t="shared" si="111"/>
        <v>94.537602903713989</v>
      </c>
      <c r="R317" s="20">
        <f t="shared" si="112"/>
        <v>0</v>
      </c>
      <c r="S317" s="20">
        <f t="shared" si="113"/>
        <v>0</v>
      </c>
      <c r="T317" s="20">
        <f t="shared" si="114"/>
        <v>0</v>
      </c>
      <c r="U317" s="17"/>
      <c r="V317" s="20">
        <f t="shared" si="115"/>
        <v>132.02485680224942</v>
      </c>
      <c r="W317" s="17"/>
      <c r="X317" s="20">
        <f t="shared" si="116"/>
        <v>22.459512413270925</v>
      </c>
      <c r="Y317" s="20">
        <f t="shared" si="117"/>
        <v>4.7391468022494223</v>
      </c>
      <c r="Z317" s="20"/>
      <c r="AA317" s="20">
        <f t="shared" si="118"/>
        <v>3.0973142851232853E-5</v>
      </c>
    </row>
    <row r="318" spans="2:27" x14ac:dyDescent="0.3">
      <c r="B318" s="28">
        <v>28</v>
      </c>
      <c r="C318" s="28">
        <v>128.03570999999999</v>
      </c>
      <c r="D318" s="20">
        <f t="shared" si="100"/>
        <v>25.175617468490405</v>
      </c>
      <c r="E318" s="20">
        <f t="shared" si="101"/>
        <v>-5.7105718568851245</v>
      </c>
      <c r="F318" s="20">
        <f t="shared" si="102"/>
        <v>1.0249976448860028</v>
      </c>
      <c r="G318" s="20">
        <f t="shared" si="103"/>
        <v>1.0249976448860028</v>
      </c>
      <c r="H318" s="20">
        <f t="shared" si="104"/>
        <v>1.0249976448860028</v>
      </c>
      <c r="I318" s="17"/>
      <c r="J318" s="20">
        <f t="shared" si="105"/>
        <v>22.080904292637651</v>
      </c>
      <c r="K318" s="20">
        <f t="shared" si="106"/>
        <v>3.29987157326839E-3</v>
      </c>
      <c r="L318" s="20">
        <f t="shared" si="107"/>
        <v>1.0125377961013542</v>
      </c>
      <c r="M318" s="20">
        <f t="shared" si="108"/>
        <v>1.0125377961013542</v>
      </c>
      <c r="N318" s="20">
        <f t="shared" si="109"/>
        <v>1.0125377961013542</v>
      </c>
      <c r="O318" s="17"/>
      <c r="P318" s="20">
        <f t="shared" si="110"/>
        <v>37.248737473742793</v>
      </c>
      <c r="Q318" s="20">
        <f t="shared" si="111"/>
        <v>94.061714271697355</v>
      </c>
      <c r="R318" s="20">
        <f t="shared" si="112"/>
        <v>0</v>
      </c>
      <c r="S318" s="20">
        <f t="shared" si="113"/>
        <v>0</v>
      </c>
      <c r="T318" s="20">
        <f t="shared" si="114"/>
        <v>0</v>
      </c>
      <c r="U318" s="17"/>
      <c r="V318" s="20">
        <f t="shared" si="115"/>
        <v>131.31045174544016</v>
      </c>
      <c r="W318" s="17"/>
      <c r="X318" s="20">
        <f t="shared" si="116"/>
        <v>10.723933499328512</v>
      </c>
      <c r="Y318" s="20">
        <f t="shared" si="117"/>
        <v>3.2747417454401671</v>
      </c>
      <c r="Z318" s="20"/>
      <c r="AA318" s="20">
        <f t="shared" si="118"/>
        <v>2.1402384883766611E-5</v>
      </c>
    </row>
    <row r="319" spans="2:27" x14ac:dyDescent="0.3">
      <c r="B319" s="28">
        <v>28.1</v>
      </c>
      <c r="C319" s="28">
        <v>127.03570999999999</v>
      </c>
      <c r="D319" s="20">
        <f t="shared" si="100"/>
        <v>25.250795648789065</v>
      </c>
      <c r="E319" s="20">
        <f t="shared" si="101"/>
        <v>-5.7055252345381655</v>
      </c>
      <c r="F319" s="20">
        <f t="shared" si="102"/>
        <v>1.0361087559971143</v>
      </c>
      <c r="G319" s="20">
        <f t="shared" si="103"/>
        <v>1.0361087559971143</v>
      </c>
      <c r="H319" s="20">
        <f t="shared" si="104"/>
        <v>1.0361087559971143</v>
      </c>
      <c r="I319" s="17"/>
      <c r="J319" s="20">
        <f t="shared" si="105"/>
        <v>22.152830378152036</v>
      </c>
      <c r="K319" s="20">
        <f t="shared" si="106"/>
        <v>3.3165116833111185E-3</v>
      </c>
      <c r="L319" s="20">
        <f t="shared" si="107"/>
        <v>1.0181356223903477</v>
      </c>
      <c r="M319" s="20">
        <f t="shared" si="108"/>
        <v>1.0181356223903477</v>
      </c>
      <c r="N319" s="20">
        <f t="shared" si="109"/>
        <v>1.0181356223903477</v>
      </c>
      <c r="O319" s="17"/>
      <c r="P319" s="20">
        <f t="shared" si="110"/>
        <v>37.012457389955578</v>
      </c>
      <c r="Q319" s="20">
        <f t="shared" si="111"/>
        <v>93.588221245517119</v>
      </c>
      <c r="R319" s="20">
        <f t="shared" si="112"/>
        <v>0</v>
      </c>
      <c r="S319" s="20">
        <f t="shared" si="113"/>
        <v>0</v>
      </c>
      <c r="T319" s="20">
        <f t="shared" si="114"/>
        <v>0</v>
      </c>
      <c r="U319" s="17"/>
      <c r="V319" s="20">
        <f t="shared" si="115"/>
        <v>130.60067863547269</v>
      </c>
      <c r="W319" s="17"/>
      <c r="X319" s="20">
        <f t="shared" si="116"/>
        <v>12.709001371904051</v>
      </c>
      <c r="Y319" s="20">
        <f t="shared" si="117"/>
        <v>3.5649686354726953</v>
      </c>
      <c r="Z319" s="20"/>
      <c r="AA319" s="20">
        <f t="shared" si="118"/>
        <v>2.3299190215895134E-5</v>
      </c>
    </row>
    <row r="320" spans="2:27" x14ac:dyDescent="0.3">
      <c r="B320" s="28">
        <v>28.2</v>
      </c>
      <c r="C320" s="28">
        <v>138.28570999999999</v>
      </c>
      <c r="D320" s="20">
        <f t="shared" si="100"/>
        <v>25.325973829087726</v>
      </c>
      <c r="E320" s="20">
        <f t="shared" si="101"/>
        <v>-5.7004786121912066</v>
      </c>
      <c r="F320" s="20">
        <f t="shared" si="102"/>
        <v>1.0472198671082253</v>
      </c>
      <c r="G320" s="20">
        <f t="shared" si="103"/>
        <v>1.0472198671082253</v>
      </c>
      <c r="H320" s="20">
        <f t="shared" si="104"/>
        <v>1.0472198671082253</v>
      </c>
      <c r="I320" s="17"/>
      <c r="J320" s="20">
        <f t="shared" si="105"/>
        <v>22.224766551607598</v>
      </c>
      <c r="K320" s="20">
        <f t="shared" si="106"/>
        <v>3.333235424904902E-3</v>
      </c>
      <c r="L320" s="20">
        <f t="shared" si="107"/>
        <v>1.0237487408564698</v>
      </c>
      <c r="M320" s="20">
        <f t="shared" si="108"/>
        <v>1.0237487408564698</v>
      </c>
      <c r="N320" s="20">
        <f t="shared" si="109"/>
        <v>1.0237487408564698</v>
      </c>
      <c r="O320" s="17"/>
      <c r="P320" s="20">
        <f t="shared" si="110"/>
        <v>36.778386082582784</v>
      </c>
      <c r="Q320" s="20">
        <f t="shared" si="111"/>
        <v>93.117111766035904</v>
      </c>
      <c r="R320" s="20">
        <f t="shared" si="112"/>
        <v>0</v>
      </c>
      <c r="S320" s="20">
        <f t="shared" si="113"/>
        <v>0</v>
      </c>
      <c r="T320" s="20">
        <f t="shared" si="114"/>
        <v>0</v>
      </c>
      <c r="U320" s="17"/>
      <c r="V320" s="20">
        <f t="shared" si="115"/>
        <v>129.89549784861867</v>
      </c>
      <c r="W320" s="17"/>
      <c r="X320" s="20">
        <f t="shared" si="116"/>
        <v>70.39565994518675</v>
      </c>
      <c r="Y320" s="20">
        <f t="shared" si="117"/>
        <v>8.3902121513813199</v>
      </c>
      <c r="Z320" s="20"/>
      <c r="AA320" s="20">
        <f t="shared" si="118"/>
        <v>5.4835026294930601E-5</v>
      </c>
    </row>
    <row r="321" spans="2:27" x14ac:dyDescent="0.3">
      <c r="B321" s="28">
        <v>28.3</v>
      </c>
      <c r="C321" s="28">
        <v>138.03570999999999</v>
      </c>
      <c r="D321" s="20">
        <f t="shared" si="100"/>
        <v>25.401152009386387</v>
      </c>
      <c r="E321" s="20">
        <f t="shared" si="101"/>
        <v>-5.6954319898442467</v>
      </c>
      <c r="F321" s="20">
        <f t="shared" si="102"/>
        <v>1.058330978219336</v>
      </c>
      <c r="G321" s="20">
        <f t="shared" si="103"/>
        <v>1.058330978219336</v>
      </c>
      <c r="H321" s="20">
        <f t="shared" si="104"/>
        <v>1.058330978219336</v>
      </c>
      <c r="I321" s="17"/>
      <c r="J321" s="20">
        <f t="shared" si="105"/>
        <v>22.296712752010034</v>
      </c>
      <c r="K321" s="20">
        <f t="shared" si="106"/>
        <v>3.3500432155646664E-3</v>
      </c>
      <c r="L321" s="20">
        <f t="shared" si="107"/>
        <v>1.029377108216641</v>
      </c>
      <c r="M321" s="20">
        <f t="shared" si="108"/>
        <v>1.029377108216641</v>
      </c>
      <c r="N321" s="20">
        <f t="shared" si="109"/>
        <v>1.029377108216641</v>
      </c>
      <c r="O321" s="17"/>
      <c r="P321" s="20">
        <f t="shared" si="110"/>
        <v>36.546496406653972</v>
      </c>
      <c r="Q321" s="20">
        <f t="shared" si="111"/>
        <v>92.648373834821371</v>
      </c>
      <c r="R321" s="20">
        <f t="shared" si="112"/>
        <v>0</v>
      </c>
      <c r="S321" s="20">
        <f t="shared" si="113"/>
        <v>0</v>
      </c>
      <c r="T321" s="20">
        <f t="shared" si="114"/>
        <v>0</v>
      </c>
      <c r="U321" s="17"/>
      <c r="V321" s="20">
        <f t="shared" si="115"/>
        <v>129.19487024147534</v>
      </c>
      <c r="W321" s="17"/>
      <c r="X321" s="20">
        <f t="shared" si="116"/>
        <v>78.160447635910231</v>
      </c>
      <c r="Y321" s="20">
        <f t="shared" si="117"/>
        <v>8.8408397585246519</v>
      </c>
      <c r="Z321" s="20"/>
      <c r="AA321" s="20">
        <f t="shared" si="118"/>
        <v>5.7780145708014589E-5</v>
      </c>
    </row>
    <row r="322" spans="2:27" x14ac:dyDescent="0.3">
      <c r="B322" s="28">
        <v>28.4</v>
      </c>
      <c r="C322" s="28">
        <v>127.53570999999999</v>
      </c>
      <c r="D322" s="20">
        <f t="shared" si="100"/>
        <v>25.476330189685044</v>
      </c>
      <c r="E322" s="20">
        <f t="shared" si="101"/>
        <v>-5.6903853674972877</v>
      </c>
      <c r="F322" s="20">
        <f t="shared" si="102"/>
        <v>1.069442089330447</v>
      </c>
      <c r="G322" s="20">
        <f t="shared" si="103"/>
        <v>1.069442089330447</v>
      </c>
      <c r="H322" s="20">
        <f t="shared" si="104"/>
        <v>1.069442089330447</v>
      </c>
      <c r="I322" s="17"/>
      <c r="J322" s="20">
        <f t="shared" si="105"/>
        <v>22.368668918907876</v>
      </c>
      <c r="K322" s="20">
        <f t="shared" si="106"/>
        <v>3.3669354748614346E-3</v>
      </c>
      <c r="L322" s="20">
        <f t="shared" si="107"/>
        <v>1.0350206810865812</v>
      </c>
      <c r="M322" s="20">
        <f t="shared" si="108"/>
        <v>1.0350206810865812</v>
      </c>
      <c r="N322" s="20">
        <f t="shared" si="109"/>
        <v>1.0350206810865812</v>
      </c>
      <c r="O322" s="17"/>
      <c r="P322" s="20">
        <f t="shared" si="110"/>
        <v>36.31676162923457</v>
      </c>
      <c r="Q322" s="20">
        <f t="shared" si="111"/>
        <v>92.181995513841116</v>
      </c>
      <c r="R322" s="20">
        <f t="shared" si="112"/>
        <v>0</v>
      </c>
      <c r="S322" s="20">
        <f t="shared" si="113"/>
        <v>0</v>
      </c>
      <c r="T322" s="20">
        <f t="shared" si="114"/>
        <v>0</v>
      </c>
      <c r="U322" s="17"/>
      <c r="V322" s="20">
        <f t="shared" si="115"/>
        <v>128.49875714307569</v>
      </c>
      <c r="W322" s="17"/>
      <c r="X322" s="20">
        <f t="shared" si="116"/>
        <v>0.92745979978626469</v>
      </c>
      <c r="Y322" s="20">
        <f t="shared" si="117"/>
        <v>0.96304714307569839</v>
      </c>
      <c r="Z322" s="20"/>
      <c r="AA322" s="20">
        <f t="shared" si="118"/>
        <v>6.2940858301323845E-6</v>
      </c>
    </row>
    <row r="323" spans="2:27" x14ac:dyDescent="0.3">
      <c r="B323" s="28">
        <v>28.5</v>
      </c>
      <c r="C323" s="28">
        <v>118.53570999999999</v>
      </c>
      <c r="D323" s="20">
        <f t="shared" si="100"/>
        <v>25.551508369983704</v>
      </c>
      <c r="E323" s="20">
        <f t="shared" si="101"/>
        <v>-5.6853387451503288</v>
      </c>
      <c r="F323" s="20">
        <f t="shared" si="102"/>
        <v>1.0805532004415581</v>
      </c>
      <c r="G323" s="20">
        <f t="shared" si="103"/>
        <v>1.0805532004415581</v>
      </c>
      <c r="H323" s="20">
        <f t="shared" si="104"/>
        <v>1.0805532004415581</v>
      </c>
      <c r="I323" s="17"/>
      <c r="J323" s="20">
        <f t="shared" si="105"/>
        <v>22.440634992386158</v>
      </c>
      <c r="K323" s="20">
        <f t="shared" si="106"/>
        <v>3.3839126244321898E-3</v>
      </c>
      <c r="L323" s="20">
        <f t="shared" si="107"/>
        <v>1.0406794159849027</v>
      </c>
      <c r="M323" s="20">
        <f t="shared" si="108"/>
        <v>1.0406794159849027</v>
      </c>
      <c r="N323" s="20">
        <f t="shared" si="109"/>
        <v>1.0406794159849027</v>
      </c>
      <c r="O323" s="17"/>
      <c r="P323" s="20">
        <f t="shared" si="110"/>
        <v>36.089155421999607</v>
      </c>
      <c r="Q323" s="20">
        <f t="shared" si="111"/>
        <v>91.7179649251581</v>
      </c>
      <c r="R323" s="20">
        <f t="shared" si="112"/>
        <v>0</v>
      </c>
      <c r="S323" s="20">
        <f t="shared" si="113"/>
        <v>0</v>
      </c>
      <c r="T323" s="20">
        <f t="shared" si="114"/>
        <v>0</v>
      </c>
      <c r="U323" s="17"/>
      <c r="V323" s="20">
        <f t="shared" si="115"/>
        <v>127.80712034715771</v>
      </c>
      <c r="W323" s="17"/>
      <c r="X323" s="20">
        <f t="shared" si="116"/>
        <v>85.959049825383076</v>
      </c>
      <c r="Y323" s="20">
        <f t="shared" si="117"/>
        <v>9.2714103471577118</v>
      </c>
      <c r="Z323" s="20"/>
      <c r="AA323" s="20">
        <f t="shared" si="118"/>
        <v>6.0594180576683614E-5</v>
      </c>
    </row>
    <row r="324" spans="2:27" x14ac:dyDescent="0.3">
      <c r="B324" s="28">
        <v>28.6</v>
      </c>
      <c r="C324" s="28">
        <v>126.53570999999999</v>
      </c>
      <c r="D324" s="20">
        <f t="shared" si="100"/>
        <v>25.626686550282365</v>
      </c>
      <c r="E324" s="20">
        <f t="shared" si="101"/>
        <v>-5.6802921228033698</v>
      </c>
      <c r="F324" s="20">
        <f t="shared" si="102"/>
        <v>1.0916643115526696</v>
      </c>
      <c r="G324" s="20">
        <f t="shared" si="103"/>
        <v>1.0916643115526696</v>
      </c>
      <c r="H324" s="20">
        <f t="shared" si="104"/>
        <v>1.0916643115526696</v>
      </c>
      <c r="I324" s="17"/>
      <c r="J324" s="20">
        <f t="shared" si="105"/>
        <v>22.512610913060161</v>
      </c>
      <c r="K324" s="20">
        <f t="shared" si="106"/>
        <v>3.4009750879897501E-3</v>
      </c>
      <c r="L324" s="20">
        <f t="shared" si="107"/>
        <v>1.0463532693371596</v>
      </c>
      <c r="M324" s="20">
        <f t="shared" si="108"/>
        <v>1.0463532693371596</v>
      </c>
      <c r="N324" s="20">
        <f t="shared" si="109"/>
        <v>1.0463532693371596</v>
      </c>
      <c r="O324" s="17"/>
      <c r="P324" s="20">
        <f t="shared" si="110"/>
        <v>35.863651853962118</v>
      </c>
      <c r="Q324" s="20">
        <f t="shared" si="111"/>
        <v>91.256270250628305</v>
      </c>
      <c r="R324" s="20">
        <f t="shared" si="112"/>
        <v>0</v>
      </c>
      <c r="S324" s="20">
        <f t="shared" si="113"/>
        <v>0</v>
      </c>
      <c r="T324" s="20">
        <f t="shared" si="114"/>
        <v>0</v>
      </c>
      <c r="U324" s="17"/>
      <c r="V324" s="20">
        <f t="shared" si="115"/>
        <v>127.11992210459042</v>
      </c>
      <c r="W324" s="17"/>
      <c r="X324" s="20">
        <f t="shared" si="116"/>
        <v>0.34130378314996868</v>
      </c>
      <c r="Y324" s="20">
        <f t="shared" si="117"/>
        <v>0.58421210459042072</v>
      </c>
      <c r="Z324" s="20"/>
      <c r="AA324" s="20">
        <f t="shared" si="118"/>
        <v>3.8181735502073504E-6</v>
      </c>
    </row>
    <row r="325" spans="2:27" x14ac:dyDescent="0.3">
      <c r="B325" s="28">
        <v>28.7</v>
      </c>
      <c r="C325" s="28">
        <v>132.78570999999999</v>
      </c>
      <c r="D325" s="20">
        <f t="shared" si="100"/>
        <v>25.701864730581022</v>
      </c>
      <c r="E325" s="20">
        <f t="shared" si="101"/>
        <v>-5.6752455004564109</v>
      </c>
      <c r="F325" s="20">
        <f t="shared" si="102"/>
        <v>1.1027754226637807</v>
      </c>
      <c r="G325" s="20">
        <f t="shared" si="103"/>
        <v>1.1027754226637807</v>
      </c>
      <c r="H325" s="20">
        <f t="shared" si="104"/>
        <v>1.1027754226637807</v>
      </c>
      <c r="I325" s="17"/>
      <c r="J325" s="20">
        <f t="shared" si="105"/>
        <v>22.584596622069231</v>
      </c>
      <c r="K325" s="20">
        <f t="shared" si="106"/>
        <v>3.4181232913326975E-3</v>
      </c>
      <c r="L325" s="20">
        <f t="shared" si="107"/>
        <v>1.0520421974798515</v>
      </c>
      <c r="M325" s="20">
        <f t="shared" si="108"/>
        <v>1.0520421974798515</v>
      </c>
      <c r="N325" s="20">
        <f t="shared" si="109"/>
        <v>1.0520421974798515</v>
      </c>
      <c r="O325" s="17"/>
      <c r="P325" s="20">
        <f t="shared" si="110"/>
        <v>35.640225384352625</v>
      </c>
      <c r="Q325" s="20">
        <f t="shared" si="111"/>
        <v>90.796899731599922</v>
      </c>
      <c r="R325" s="20">
        <f t="shared" si="112"/>
        <v>0</v>
      </c>
      <c r="S325" s="20">
        <f t="shared" si="113"/>
        <v>0</v>
      </c>
      <c r="T325" s="20">
        <f t="shared" si="114"/>
        <v>0</v>
      </c>
      <c r="U325" s="17"/>
      <c r="V325" s="20">
        <f t="shared" si="115"/>
        <v>126.43712511595254</v>
      </c>
      <c r="W325" s="17"/>
      <c r="X325" s="20">
        <f t="shared" si="116"/>
        <v>40.304530029955835</v>
      </c>
      <c r="Y325" s="20">
        <f t="shared" si="117"/>
        <v>6.3485848840474546</v>
      </c>
      <c r="Z325" s="20"/>
      <c r="AA325" s="20">
        <f t="shared" si="118"/>
        <v>4.1491777892055769E-5</v>
      </c>
    </row>
    <row r="326" spans="2:27" x14ac:dyDescent="0.3">
      <c r="B326" s="28">
        <v>28.8</v>
      </c>
      <c r="C326" s="28">
        <v>140.53570999999999</v>
      </c>
      <c r="D326" s="20">
        <f t="shared" si="100"/>
        <v>25.777042910879683</v>
      </c>
      <c r="E326" s="20">
        <f t="shared" si="101"/>
        <v>-5.670198878109451</v>
      </c>
      <c r="F326" s="20">
        <f t="shared" si="102"/>
        <v>1.1138865337748918</v>
      </c>
      <c r="G326" s="20">
        <f t="shared" si="103"/>
        <v>1.1138865337748918</v>
      </c>
      <c r="H326" s="20">
        <f t="shared" si="104"/>
        <v>1.1138865337748918</v>
      </c>
      <c r="I326" s="17"/>
      <c r="J326" s="20">
        <f t="shared" si="105"/>
        <v>22.656592061070754</v>
      </c>
      <c r="K326" s="20">
        <f t="shared" si="106"/>
        <v>3.4353576623553602E-3</v>
      </c>
      <c r="L326" s="20">
        <f t="shared" si="107"/>
        <v>1.0577461566643871</v>
      </c>
      <c r="M326" s="20">
        <f t="shared" si="108"/>
        <v>1.0577461566643871</v>
      </c>
      <c r="N326" s="20">
        <f t="shared" si="109"/>
        <v>1.0577461566643871</v>
      </c>
      <c r="O326" s="17"/>
      <c r="P326" s="20">
        <f t="shared" si="110"/>
        <v>35.41885085564585</v>
      </c>
      <c r="Q326" s="20">
        <f t="shared" si="111"/>
        <v>90.339841668613587</v>
      </c>
      <c r="R326" s="20">
        <f t="shared" si="112"/>
        <v>0</v>
      </c>
      <c r="S326" s="20">
        <f t="shared" si="113"/>
        <v>0</v>
      </c>
      <c r="T326" s="20">
        <f t="shared" si="114"/>
        <v>0</v>
      </c>
      <c r="U326" s="17"/>
      <c r="V326" s="20">
        <f t="shared" si="115"/>
        <v>125.75869252425943</v>
      </c>
      <c r="W326" s="17"/>
      <c r="X326" s="20">
        <f t="shared" si="116"/>
        <v>218.36024547834202</v>
      </c>
      <c r="Y326" s="20">
        <f t="shared" si="117"/>
        <v>14.777017475740564</v>
      </c>
      <c r="Z326" s="20"/>
      <c r="AA326" s="20">
        <f t="shared" si="118"/>
        <v>9.6576597495151505E-5</v>
      </c>
    </row>
    <row r="327" spans="2:27" x14ac:dyDescent="0.3">
      <c r="B327" s="28">
        <v>28.9</v>
      </c>
      <c r="C327" s="28">
        <v>107.78570999999999</v>
      </c>
      <c r="D327" s="20">
        <f t="shared" si="100"/>
        <v>25.85222109117834</v>
      </c>
      <c r="E327" s="20">
        <f t="shared" si="101"/>
        <v>-5.665152255762492</v>
      </c>
      <c r="F327" s="20">
        <f t="shared" si="102"/>
        <v>1.1249976448860028</v>
      </c>
      <c r="G327" s="20">
        <f t="shared" si="103"/>
        <v>1.1249976448860028</v>
      </c>
      <c r="H327" s="20">
        <f t="shared" si="104"/>
        <v>1.1249976448860028</v>
      </c>
      <c r="I327" s="17"/>
      <c r="J327" s="20">
        <f t="shared" si="105"/>
        <v>22.728597172234117</v>
      </c>
      <c r="K327" s="20">
        <f t="shared" si="106"/>
        <v>3.4526786310578165E-3</v>
      </c>
      <c r="L327" s="20">
        <f t="shared" si="107"/>
        <v>1.0634651030609985</v>
      </c>
      <c r="M327" s="20">
        <f t="shared" si="108"/>
        <v>1.0634651030609985</v>
      </c>
      <c r="N327" s="20">
        <f t="shared" si="109"/>
        <v>1.0634651030609985</v>
      </c>
      <c r="O327" s="17"/>
      <c r="P327" s="20">
        <f t="shared" si="110"/>
        <v>35.199503486731793</v>
      </c>
      <c r="Q327" s="20">
        <f t="shared" si="111"/>
        <v>89.885084421104864</v>
      </c>
      <c r="R327" s="20">
        <f t="shared" si="112"/>
        <v>0</v>
      </c>
      <c r="S327" s="20">
        <f t="shared" si="113"/>
        <v>0</v>
      </c>
      <c r="T327" s="20">
        <f t="shared" si="114"/>
        <v>0</v>
      </c>
      <c r="U327" s="17"/>
      <c r="V327" s="20">
        <f t="shared" si="115"/>
        <v>125.08458790783666</v>
      </c>
      <c r="W327" s="17"/>
      <c r="X327" s="20">
        <f t="shared" si="116"/>
        <v>299.25117687023959</v>
      </c>
      <c r="Y327" s="20">
        <f t="shared" si="117"/>
        <v>17.298877907836669</v>
      </c>
      <c r="Z327" s="20"/>
      <c r="AA327" s="20">
        <f t="shared" si="118"/>
        <v>1.1305845523737418E-4</v>
      </c>
    </row>
    <row r="328" spans="2:27" x14ac:dyDescent="0.3">
      <c r="B328" s="28">
        <v>29</v>
      </c>
      <c r="C328" s="28">
        <v>115.53570999999999</v>
      </c>
      <c r="D328" s="20">
        <f t="shared" si="100"/>
        <v>25.927399271477</v>
      </c>
      <c r="E328" s="20">
        <f t="shared" si="101"/>
        <v>-5.6601056334155331</v>
      </c>
      <c r="F328" s="20">
        <f t="shared" si="102"/>
        <v>1.1361087559971139</v>
      </c>
      <c r="G328" s="20">
        <f t="shared" si="103"/>
        <v>1.1361087559971139</v>
      </c>
      <c r="H328" s="20">
        <f t="shared" si="104"/>
        <v>1.1361087559971139</v>
      </c>
      <c r="I328" s="17"/>
      <c r="J328" s="20">
        <f t="shared" si="105"/>
        <v>22.800611898234848</v>
      </c>
      <c r="K328" s="20">
        <f t="shared" si="106"/>
        <v>3.4700866295559805E-3</v>
      </c>
      <c r="L328" s="20">
        <f t="shared" si="107"/>
        <v>1.0691989927626155</v>
      </c>
      <c r="M328" s="20">
        <f t="shared" si="108"/>
        <v>1.0691989927626155</v>
      </c>
      <c r="N328" s="20">
        <f t="shared" si="109"/>
        <v>1.0691989927626155</v>
      </c>
      <c r="O328" s="17"/>
      <c r="P328" s="20">
        <f t="shared" si="110"/>
        <v>34.982158866227095</v>
      </c>
      <c r="Q328" s="20">
        <f t="shared" si="111"/>
        <v>89.432616407107218</v>
      </c>
      <c r="R328" s="20">
        <f t="shared" si="112"/>
        <v>0</v>
      </c>
      <c r="S328" s="20">
        <f t="shared" si="113"/>
        <v>0</v>
      </c>
      <c r="T328" s="20">
        <f t="shared" si="114"/>
        <v>0</v>
      </c>
      <c r="U328" s="17"/>
      <c r="V328" s="20">
        <f t="shared" si="115"/>
        <v>124.41477527333431</v>
      </c>
      <c r="W328" s="17"/>
      <c r="X328" s="20">
        <f t="shared" si="116"/>
        <v>78.837800128131448</v>
      </c>
      <c r="Y328" s="20">
        <f t="shared" si="117"/>
        <v>8.8790652733343194</v>
      </c>
      <c r="Z328" s="20"/>
      <c r="AA328" s="20">
        <f t="shared" si="118"/>
        <v>5.8029972181041287E-5</v>
      </c>
    </row>
    <row r="329" spans="2:27" x14ac:dyDescent="0.3">
      <c r="B329" s="28">
        <v>29.1</v>
      </c>
      <c r="C329" s="28">
        <v>138.78570999999999</v>
      </c>
      <c r="D329" s="20">
        <f t="shared" si="100"/>
        <v>26.002577451775661</v>
      </c>
      <c r="E329" s="20">
        <f t="shared" si="101"/>
        <v>-5.6550590110685732</v>
      </c>
      <c r="F329" s="20">
        <f t="shared" si="102"/>
        <v>1.147219867108225</v>
      </c>
      <c r="G329" s="20">
        <f t="shared" si="103"/>
        <v>1.147219867108225</v>
      </c>
      <c r="H329" s="20">
        <f t="shared" si="104"/>
        <v>1.147219867108225</v>
      </c>
      <c r="I329" s="17"/>
      <c r="J329" s="20">
        <f t="shared" si="105"/>
        <v>22.872636182248776</v>
      </c>
      <c r="K329" s="20">
        <f t="shared" si="106"/>
        <v>3.4875820920916992E-3</v>
      </c>
      <c r="L329" s="20">
        <f t="shared" si="107"/>
        <v>1.0749477817886923</v>
      </c>
      <c r="M329" s="20">
        <f t="shared" si="108"/>
        <v>1.0749477817886923</v>
      </c>
      <c r="N329" s="20">
        <f t="shared" si="109"/>
        <v>1.0749477817886923</v>
      </c>
      <c r="O329" s="17"/>
      <c r="P329" s="20">
        <f t="shared" si="110"/>
        <v>34.766792945924003</v>
      </c>
      <c r="Q329" s="20">
        <f t="shared" si="111"/>
        <v>88.982426102957362</v>
      </c>
      <c r="R329" s="20">
        <f t="shared" si="112"/>
        <v>0</v>
      </c>
      <c r="S329" s="20">
        <f t="shared" si="113"/>
        <v>0</v>
      </c>
      <c r="T329" s="20">
        <f t="shared" si="114"/>
        <v>0</v>
      </c>
      <c r="U329" s="17"/>
      <c r="V329" s="20">
        <f t="shared" si="115"/>
        <v>123.74921904888137</v>
      </c>
      <c r="W329" s="17"/>
      <c r="X329" s="20">
        <f t="shared" si="116"/>
        <v>226.09606012307222</v>
      </c>
      <c r="Y329" s="20">
        <f t="shared" si="117"/>
        <v>15.036490951118623</v>
      </c>
      <c r="Z329" s="20"/>
      <c r="AA329" s="20">
        <f t="shared" si="118"/>
        <v>9.827241097262721E-5</v>
      </c>
    </row>
    <row r="330" spans="2:27" x14ac:dyDescent="0.3">
      <c r="B330" s="28">
        <v>29.2</v>
      </c>
      <c r="C330" s="28">
        <v>113.78570999999999</v>
      </c>
      <c r="D330" s="20">
        <f t="shared" si="100"/>
        <v>26.077755632074322</v>
      </c>
      <c r="E330" s="20">
        <f t="shared" si="101"/>
        <v>-5.6500123887216143</v>
      </c>
      <c r="F330" s="20">
        <f t="shared" si="102"/>
        <v>1.1583309782193361</v>
      </c>
      <c r="G330" s="20">
        <f t="shared" si="103"/>
        <v>1.1583309782193361</v>
      </c>
      <c r="H330" s="20">
        <f t="shared" si="104"/>
        <v>1.1583309782193361</v>
      </c>
      <c r="I330" s="17"/>
      <c r="J330" s="20">
        <f t="shared" si="105"/>
        <v>22.944669967946297</v>
      </c>
      <c r="K330" s="20">
        <f t="shared" si="106"/>
        <v>3.5051654550429029E-3</v>
      </c>
      <c r="L330" s="20">
        <f t="shared" si="107"/>
        <v>1.0807114260889936</v>
      </c>
      <c r="M330" s="20">
        <f t="shared" si="108"/>
        <v>1.0807114260889936</v>
      </c>
      <c r="N330" s="20">
        <f t="shared" si="109"/>
        <v>1.0807114260889936</v>
      </c>
      <c r="O330" s="17"/>
      <c r="P330" s="20">
        <f t="shared" si="110"/>
        <v>34.553382034373392</v>
      </c>
      <c r="Q330" s="20">
        <f t="shared" si="111"/>
        <v>88.534502043001865</v>
      </c>
      <c r="R330" s="20">
        <f t="shared" si="112"/>
        <v>0</v>
      </c>
      <c r="S330" s="20">
        <f t="shared" si="113"/>
        <v>0</v>
      </c>
      <c r="T330" s="20">
        <f t="shared" si="114"/>
        <v>0</v>
      </c>
      <c r="U330" s="17"/>
      <c r="V330" s="20">
        <f t="shared" si="115"/>
        <v>123.08788407737526</v>
      </c>
      <c r="W330" s="17"/>
      <c r="X330" s="20">
        <f t="shared" si="116"/>
        <v>86.530442565792455</v>
      </c>
      <c r="Y330" s="20">
        <f t="shared" si="117"/>
        <v>9.3021740773752697</v>
      </c>
      <c r="Z330" s="20"/>
      <c r="AA330" s="20">
        <f t="shared" si="118"/>
        <v>6.0795239849676155E-5</v>
      </c>
    </row>
    <row r="331" spans="2:27" x14ac:dyDescent="0.3">
      <c r="B331" s="28">
        <v>29.3</v>
      </c>
      <c r="C331" s="28">
        <v>111.53572</v>
      </c>
      <c r="D331" s="20">
        <f t="shared" si="100"/>
        <v>26.152933812372982</v>
      </c>
      <c r="E331" s="20">
        <f t="shared" si="101"/>
        <v>-5.6449657663746553</v>
      </c>
      <c r="F331" s="20">
        <f t="shared" si="102"/>
        <v>1.1694420893304471</v>
      </c>
      <c r="G331" s="20">
        <f t="shared" si="103"/>
        <v>1.1694420893304471</v>
      </c>
      <c r="H331" s="20">
        <f t="shared" si="104"/>
        <v>1.1694420893304471</v>
      </c>
      <c r="I331" s="17"/>
      <c r="J331" s="20">
        <f t="shared" si="105"/>
        <v>23.016713199486745</v>
      </c>
      <c r="K331" s="20">
        <f t="shared" si="106"/>
        <v>3.5228371569338197E-3</v>
      </c>
      <c r="L331" s="20">
        <f t="shared" si="107"/>
        <v>1.0864898815473323</v>
      </c>
      <c r="M331" s="20">
        <f t="shared" si="108"/>
        <v>1.0864898815473323</v>
      </c>
      <c r="N331" s="20">
        <f t="shared" si="109"/>
        <v>1.0864898815473323</v>
      </c>
      <c r="O331" s="17"/>
      <c r="P331" s="20">
        <f t="shared" si="110"/>
        <v>34.341902790598787</v>
      </c>
      <c r="Q331" s="20">
        <f t="shared" si="111"/>
        <v>88.088832819304798</v>
      </c>
      <c r="R331" s="20">
        <f t="shared" si="112"/>
        <v>0</v>
      </c>
      <c r="S331" s="20">
        <f t="shared" si="113"/>
        <v>0</v>
      </c>
      <c r="T331" s="20">
        <f t="shared" si="114"/>
        <v>0</v>
      </c>
      <c r="U331" s="17"/>
      <c r="V331" s="20">
        <f t="shared" si="115"/>
        <v>122.43073560990359</v>
      </c>
      <c r="W331" s="17"/>
      <c r="X331" s="20">
        <f t="shared" si="116"/>
        <v>118.70136514004301</v>
      </c>
      <c r="Y331" s="20">
        <f t="shared" si="117"/>
        <v>10.895015609903595</v>
      </c>
      <c r="Z331" s="20"/>
      <c r="AA331" s="20">
        <f t="shared" si="118"/>
        <v>7.1205406570605667E-5</v>
      </c>
    </row>
    <row r="332" spans="2:27" x14ac:dyDescent="0.3">
      <c r="B332" s="28">
        <v>29.4</v>
      </c>
      <c r="C332" s="28">
        <v>140.03570999999999</v>
      </c>
      <c r="D332" s="20">
        <f t="shared" si="100"/>
        <v>26.228111992671639</v>
      </c>
      <c r="E332" s="20">
        <f t="shared" si="101"/>
        <v>-5.6399191440276963</v>
      </c>
      <c r="F332" s="20">
        <f t="shared" si="102"/>
        <v>1.1805532004415582</v>
      </c>
      <c r="G332" s="20">
        <f t="shared" si="103"/>
        <v>1.1805532004415582</v>
      </c>
      <c r="H332" s="20">
        <f t="shared" si="104"/>
        <v>1.1805532004415582</v>
      </c>
      <c r="I332" s="17"/>
      <c r="J332" s="20">
        <f t="shared" si="105"/>
        <v>23.088765821512784</v>
      </c>
      <c r="K332" s="20">
        <f t="shared" si="106"/>
        <v>3.5405976384452107E-3</v>
      </c>
      <c r="L332" s="20">
        <f t="shared" si="107"/>
        <v>1.092283103985267</v>
      </c>
      <c r="M332" s="20">
        <f t="shared" si="108"/>
        <v>1.092283103985267</v>
      </c>
      <c r="N332" s="20">
        <f t="shared" si="109"/>
        <v>1.092283103985267</v>
      </c>
      <c r="O332" s="17"/>
      <c r="P332" s="20">
        <f t="shared" si="110"/>
        <v>34.132332217938504</v>
      </c>
      <c r="Q332" s="20">
        <f t="shared" si="111"/>
        <v>87.64540708135749</v>
      </c>
      <c r="R332" s="20">
        <f t="shared" si="112"/>
        <v>0</v>
      </c>
      <c r="S332" s="20">
        <f t="shared" si="113"/>
        <v>0</v>
      </c>
      <c r="T332" s="20">
        <f t="shared" si="114"/>
        <v>0</v>
      </c>
      <c r="U332" s="17"/>
      <c r="V332" s="20">
        <f t="shared" si="115"/>
        <v>121.777739299296</v>
      </c>
      <c r="W332" s="17"/>
      <c r="X332" s="20">
        <f t="shared" si="116"/>
        <v>333.35349410776547</v>
      </c>
      <c r="Y332" s="20">
        <f t="shared" si="117"/>
        <v>18.257970700703993</v>
      </c>
      <c r="Z332" s="20"/>
      <c r="AA332" s="20">
        <f t="shared" si="118"/>
        <v>1.1932669703713602E-4</v>
      </c>
    </row>
    <row r="333" spans="2:27" x14ac:dyDescent="0.3">
      <c r="B333" s="28">
        <v>29.5</v>
      </c>
      <c r="C333" s="28">
        <v>118.78572</v>
      </c>
      <c r="D333" s="20">
        <f t="shared" si="100"/>
        <v>26.3032901729703</v>
      </c>
      <c r="E333" s="20">
        <f t="shared" si="101"/>
        <v>-5.6348725216807374</v>
      </c>
      <c r="F333" s="20">
        <f t="shared" si="102"/>
        <v>1.1916643115526693</v>
      </c>
      <c r="G333" s="20">
        <f t="shared" si="103"/>
        <v>1.1916643115526693</v>
      </c>
      <c r="H333" s="20">
        <f t="shared" si="104"/>
        <v>1.1916643115526693</v>
      </c>
      <c r="I333" s="17"/>
      <c r="J333" s="20">
        <f t="shared" si="105"/>
        <v>23.160827779144945</v>
      </c>
      <c r="K333" s="20">
        <f t="shared" si="106"/>
        <v>3.5584473424246648E-3</v>
      </c>
      <c r="L333" s="20">
        <f t="shared" si="107"/>
        <v>1.0980910491657516</v>
      </c>
      <c r="M333" s="20">
        <f t="shared" si="108"/>
        <v>1.0980910491657516</v>
      </c>
      <c r="N333" s="20">
        <f t="shared" si="109"/>
        <v>1.0980910491657516</v>
      </c>
      <c r="O333" s="17"/>
      <c r="P333" s="20">
        <f t="shared" si="110"/>
        <v>33.924647658012759</v>
      </c>
      <c r="Q333" s="20">
        <f t="shared" si="111"/>
        <v>87.204213535789293</v>
      </c>
      <c r="R333" s="20">
        <f t="shared" si="112"/>
        <v>0</v>
      </c>
      <c r="S333" s="20">
        <f t="shared" si="113"/>
        <v>0</v>
      </c>
      <c r="T333" s="20">
        <f t="shared" si="114"/>
        <v>0</v>
      </c>
      <c r="U333" s="17"/>
      <c r="V333" s="20">
        <f t="shared" si="115"/>
        <v>121.12886119380205</v>
      </c>
      <c r="W333" s="17"/>
      <c r="X333" s="20">
        <f t="shared" si="116"/>
        <v>5.4903106540921174</v>
      </c>
      <c r="Y333" s="20">
        <f t="shared" si="117"/>
        <v>2.3431411938020545</v>
      </c>
      <c r="Z333" s="20"/>
      <c r="AA333" s="20">
        <f t="shared" si="118"/>
        <v>1.5313821230815655E-5</v>
      </c>
    </row>
    <row r="334" spans="2:27" x14ac:dyDescent="0.3">
      <c r="B334" s="28">
        <v>29.6</v>
      </c>
      <c r="C334" s="28">
        <v>119.53570999999999</v>
      </c>
      <c r="D334" s="20">
        <f t="shared" si="100"/>
        <v>26.378468353268961</v>
      </c>
      <c r="E334" s="20">
        <f t="shared" si="101"/>
        <v>-5.6298258993337775</v>
      </c>
      <c r="F334" s="20">
        <f t="shared" si="102"/>
        <v>1.2027754226637808</v>
      </c>
      <c r="G334" s="20">
        <f t="shared" si="103"/>
        <v>1.2027754226637808</v>
      </c>
      <c r="H334" s="20">
        <f t="shared" si="104"/>
        <v>1.2027754226637808</v>
      </c>
      <c r="I334" s="17"/>
      <c r="J334" s="20">
        <f t="shared" si="105"/>
        <v>23.232899017976187</v>
      </c>
      <c r="K334" s="20">
        <f t="shared" si="106"/>
        <v>3.576386713896942E-3</v>
      </c>
      <c r="L334" s="20">
        <f t="shared" si="107"/>
        <v>1.1039136727967449</v>
      </c>
      <c r="M334" s="20">
        <f t="shared" si="108"/>
        <v>1.1039136727967449</v>
      </c>
      <c r="N334" s="20">
        <f t="shared" si="109"/>
        <v>1.1039136727967449</v>
      </c>
      <c r="O334" s="17"/>
      <c r="P334" s="20">
        <f t="shared" si="110"/>
        <v>33.718826784813047</v>
      </c>
      <c r="Q334" s="20">
        <f t="shared" si="111"/>
        <v>86.765240946079913</v>
      </c>
      <c r="R334" s="20">
        <f t="shared" si="112"/>
        <v>0</v>
      </c>
      <c r="S334" s="20">
        <f t="shared" si="113"/>
        <v>0</v>
      </c>
      <c r="T334" s="20">
        <f t="shared" si="114"/>
        <v>0</v>
      </c>
      <c r="U334" s="17"/>
      <c r="V334" s="20">
        <f t="shared" si="115"/>
        <v>120.48406773089296</v>
      </c>
      <c r="W334" s="17"/>
      <c r="X334" s="20">
        <f t="shared" si="116"/>
        <v>0.89938238574445417</v>
      </c>
      <c r="Y334" s="20">
        <f t="shared" si="117"/>
        <v>0.94835773089296538</v>
      </c>
      <c r="Z334" s="20"/>
      <c r="AA334" s="20">
        <f t="shared" si="118"/>
        <v>6.1980817853282696E-6</v>
      </c>
    </row>
    <row r="335" spans="2:27" x14ac:dyDescent="0.3">
      <c r="B335" s="28">
        <v>29.7</v>
      </c>
      <c r="C335" s="28">
        <v>120.78570999999999</v>
      </c>
      <c r="D335" s="20">
        <f t="shared" si="100"/>
        <v>26.453646533567618</v>
      </c>
      <c r="E335" s="20">
        <f t="shared" si="101"/>
        <v>-5.6247792769868186</v>
      </c>
      <c r="F335" s="20">
        <f t="shared" si="102"/>
        <v>1.2138865337748919</v>
      </c>
      <c r="G335" s="20">
        <f t="shared" si="103"/>
        <v>1.2138865337748919</v>
      </c>
      <c r="H335" s="20">
        <f t="shared" si="104"/>
        <v>1.2138865337748919</v>
      </c>
      <c r="I335" s="17"/>
      <c r="J335" s="20">
        <f t="shared" si="105"/>
        <v>23.304979484066557</v>
      </c>
      <c r="K335" s="20">
        <f t="shared" si="106"/>
        <v>3.5944162000743386E-3</v>
      </c>
      <c r="L335" s="20">
        <f t="shared" si="107"/>
        <v>1.1097509305347699</v>
      </c>
      <c r="M335" s="20">
        <f t="shared" si="108"/>
        <v>1.1097509305347699</v>
      </c>
      <c r="N335" s="20">
        <f t="shared" si="109"/>
        <v>1.1097509305347699</v>
      </c>
      <c r="O335" s="17"/>
      <c r="P335" s="20">
        <f t="shared" si="110"/>
        <v>33.514847598910826</v>
      </c>
      <c r="Q335" s="20">
        <f t="shared" si="111"/>
        <v>86.328478132273588</v>
      </c>
      <c r="R335" s="20">
        <f t="shared" si="112"/>
        <v>0</v>
      </c>
      <c r="S335" s="20">
        <f t="shared" si="113"/>
        <v>0</v>
      </c>
      <c r="T335" s="20">
        <f t="shared" si="114"/>
        <v>0</v>
      </c>
      <c r="U335" s="17"/>
      <c r="V335" s="20">
        <f t="shared" si="115"/>
        <v>119.84332573118442</v>
      </c>
      <c r="W335" s="17"/>
      <c r="X335" s="20">
        <f t="shared" si="116"/>
        <v>0.88808811011106215</v>
      </c>
      <c r="Y335" s="20">
        <f t="shared" si="117"/>
        <v>0.94238426881557302</v>
      </c>
      <c r="Z335" s="20"/>
      <c r="AA335" s="20">
        <f t="shared" si="118"/>
        <v>6.1590416580733649E-6</v>
      </c>
    </row>
    <row r="336" spans="2:27" x14ac:dyDescent="0.3">
      <c r="B336" s="28">
        <v>29.8</v>
      </c>
      <c r="C336" s="28">
        <v>130.78570999999999</v>
      </c>
      <c r="D336" s="20">
        <f t="shared" si="100"/>
        <v>26.528824713866278</v>
      </c>
      <c r="E336" s="20">
        <f t="shared" si="101"/>
        <v>-5.6197326546398596</v>
      </c>
      <c r="F336" s="20">
        <f t="shared" si="102"/>
        <v>1.2249976448860029</v>
      </c>
      <c r="G336" s="20">
        <f t="shared" si="103"/>
        <v>1.2249976448860029</v>
      </c>
      <c r="H336" s="20">
        <f t="shared" si="104"/>
        <v>1.2249976448860029</v>
      </c>
      <c r="I336" s="17"/>
      <c r="J336" s="20">
        <f t="shared" si="105"/>
        <v>23.377069123937932</v>
      </c>
      <c r="K336" s="20">
        <f t="shared" si="106"/>
        <v>3.6125362503671415E-3</v>
      </c>
      <c r="L336" s="20">
        <f t="shared" si="107"/>
        <v>1.1156027779884365</v>
      </c>
      <c r="M336" s="20">
        <f t="shared" si="108"/>
        <v>1.1156027779884365</v>
      </c>
      <c r="N336" s="20">
        <f t="shared" si="109"/>
        <v>1.1156027779884365</v>
      </c>
      <c r="O336" s="17"/>
      <c r="P336" s="20">
        <f t="shared" si="110"/>
        <v>33.312688421782823</v>
      </c>
      <c r="Q336" s="20">
        <f t="shared" si="111"/>
        <v>85.893913970693887</v>
      </c>
      <c r="R336" s="20">
        <f t="shared" si="112"/>
        <v>0</v>
      </c>
      <c r="S336" s="20">
        <f t="shared" si="113"/>
        <v>0</v>
      </c>
      <c r="T336" s="20">
        <f t="shared" si="114"/>
        <v>0</v>
      </c>
      <c r="U336" s="17"/>
      <c r="V336" s="20">
        <f t="shared" si="115"/>
        <v>119.20660239247671</v>
      </c>
      <c r="W336" s="17"/>
      <c r="X336" s="20">
        <f t="shared" si="116"/>
        <v>134.07573298660358</v>
      </c>
      <c r="Y336" s="20">
        <f t="shared" si="117"/>
        <v>11.579107607523284</v>
      </c>
      <c r="Z336" s="20"/>
      <c r="AA336" s="20">
        <f t="shared" si="118"/>
        <v>7.5676354623027854E-5</v>
      </c>
    </row>
    <row r="337" spans="2:27" x14ac:dyDescent="0.3">
      <c r="B337" s="28">
        <v>29.9</v>
      </c>
      <c r="C337" s="28">
        <v>137.28570999999999</v>
      </c>
      <c r="D337" s="20">
        <f t="shared" si="100"/>
        <v>26.604002894164939</v>
      </c>
      <c r="E337" s="20">
        <f t="shared" si="101"/>
        <v>-5.6146860322929006</v>
      </c>
      <c r="F337" s="20">
        <f t="shared" si="102"/>
        <v>1.236108755997114</v>
      </c>
      <c r="G337" s="20">
        <f t="shared" si="103"/>
        <v>1.236108755997114</v>
      </c>
      <c r="H337" s="20">
        <f t="shared" si="104"/>
        <v>1.236108755997114</v>
      </c>
      <c r="I337" s="17"/>
      <c r="J337" s="20">
        <f t="shared" si="105"/>
        <v>23.449167884568823</v>
      </c>
      <c r="K337" s="20">
        <f t="shared" si="106"/>
        <v>3.6307473163940916E-3</v>
      </c>
      <c r="L337" s="20">
        <f t="shared" si="107"/>
        <v>1.1214691707219142</v>
      </c>
      <c r="M337" s="20">
        <f t="shared" si="108"/>
        <v>1.1214691707219142</v>
      </c>
      <c r="N337" s="20">
        <f t="shared" si="109"/>
        <v>1.1214691707219142</v>
      </c>
      <c r="O337" s="17"/>
      <c r="P337" s="20">
        <f t="shared" si="110"/>
        <v>33.112327890250462</v>
      </c>
      <c r="Q337" s="20">
        <f t="shared" si="111"/>
        <v>85.461537393660606</v>
      </c>
      <c r="R337" s="20">
        <f t="shared" si="112"/>
        <v>0</v>
      </c>
      <c r="S337" s="20">
        <f t="shared" si="113"/>
        <v>0</v>
      </c>
      <c r="T337" s="20">
        <f t="shared" si="114"/>
        <v>0</v>
      </c>
      <c r="U337" s="17"/>
      <c r="V337" s="20">
        <f t="shared" si="115"/>
        <v>118.57386528391106</v>
      </c>
      <c r="W337" s="17"/>
      <c r="X337" s="20">
        <f t="shared" si="116"/>
        <v>350.13313267902532</v>
      </c>
      <c r="Y337" s="20">
        <f t="shared" si="117"/>
        <v>18.711844716088933</v>
      </c>
      <c r="Z337" s="20"/>
      <c r="AA337" s="20">
        <f t="shared" si="118"/>
        <v>1.2229303365880552E-4</v>
      </c>
    </row>
    <row r="338" spans="2:27" x14ac:dyDescent="0.3">
      <c r="B338" s="28">
        <v>30</v>
      </c>
      <c r="C338" s="28">
        <v>108.03570999999999</v>
      </c>
      <c r="D338" s="20">
        <f t="shared" si="100"/>
        <v>26.6791810744636</v>
      </c>
      <c r="E338" s="20">
        <f t="shared" si="101"/>
        <v>-5.6096394099459408</v>
      </c>
      <c r="F338" s="20">
        <f t="shared" si="102"/>
        <v>1.2472198671082246</v>
      </c>
      <c r="G338" s="20">
        <f t="shared" si="103"/>
        <v>1.2472198671082246</v>
      </c>
      <c r="H338" s="20">
        <f t="shared" si="104"/>
        <v>1.2472198671082246</v>
      </c>
      <c r="I338" s="17"/>
      <c r="J338" s="20">
        <f t="shared" si="105"/>
        <v>23.521275713389233</v>
      </c>
      <c r="K338" s="20">
        <f t="shared" si="106"/>
        <v>3.6490498519929108E-3</v>
      </c>
      <c r="L338" s="20">
        <f t="shared" si="107"/>
        <v>1.1273500642583629</v>
      </c>
      <c r="M338" s="20">
        <f t="shared" si="108"/>
        <v>1.1273500642583629</v>
      </c>
      <c r="N338" s="20">
        <f t="shared" si="109"/>
        <v>1.1273500642583629</v>
      </c>
      <c r="O338" s="17"/>
      <c r="P338" s="20">
        <f t="shared" si="110"/>
        <v>32.913744951030544</v>
      </c>
      <c r="Q338" s="20">
        <f t="shared" si="111"/>
        <v>85.031337389207863</v>
      </c>
      <c r="R338" s="20">
        <f t="shared" si="112"/>
        <v>0</v>
      </c>
      <c r="S338" s="20">
        <f t="shared" si="113"/>
        <v>0</v>
      </c>
      <c r="T338" s="20">
        <f t="shared" si="114"/>
        <v>0</v>
      </c>
      <c r="U338" s="17"/>
      <c r="V338" s="20">
        <f t="shared" si="115"/>
        <v>117.9450823402384</v>
      </c>
      <c r="W338" s="17"/>
      <c r="X338" s="20">
        <f t="shared" si="116"/>
        <v>98.195660177481983</v>
      </c>
      <c r="Y338" s="20">
        <f t="shared" si="117"/>
        <v>9.9093723402384057</v>
      </c>
      <c r="Z338" s="20"/>
      <c r="AA338" s="20">
        <f t="shared" si="118"/>
        <v>6.4763641614684522E-5</v>
      </c>
    </row>
    <row r="339" spans="2:27" x14ac:dyDescent="0.3">
      <c r="B339" s="28">
        <v>30.1</v>
      </c>
      <c r="C339" s="28">
        <v>102.28570999999999</v>
      </c>
      <c r="D339" s="20">
        <f t="shared" si="100"/>
        <v>26.75435925476226</v>
      </c>
      <c r="E339" s="20">
        <f t="shared" si="101"/>
        <v>-5.6045927875989818</v>
      </c>
      <c r="F339" s="20">
        <f t="shared" si="102"/>
        <v>1.2583309782193361</v>
      </c>
      <c r="G339" s="20">
        <f t="shared" si="103"/>
        <v>1.2583309782193361</v>
      </c>
      <c r="H339" s="20">
        <f t="shared" si="104"/>
        <v>1.2583309782193361</v>
      </c>
      <c r="I339" s="17"/>
      <c r="J339" s="20">
        <f t="shared" si="105"/>
        <v>23.593392558275642</v>
      </c>
      <c r="K339" s="20">
        <f t="shared" si="106"/>
        <v>3.6674443132308603E-3</v>
      </c>
      <c r="L339" s="20">
        <f t="shared" si="107"/>
        <v>1.1332454140833221</v>
      </c>
      <c r="M339" s="20">
        <f t="shared" si="108"/>
        <v>1.1332454140833221</v>
      </c>
      <c r="N339" s="20">
        <f t="shared" si="109"/>
        <v>1.1332454140833221</v>
      </c>
      <c r="O339" s="17"/>
      <c r="P339" s="20">
        <f t="shared" si="110"/>
        <v>32.716918855394788</v>
      </c>
      <c r="Q339" s="20">
        <f t="shared" si="111"/>
        <v>84.603303000803905</v>
      </c>
      <c r="R339" s="20">
        <f t="shared" si="112"/>
        <v>0</v>
      </c>
      <c r="S339" s="20">
        <f t="shared" si="113"/>
        <v>0</v>
      </c>
      <c r="T339" s="20">
        <f t="shared" si="114"/>
        <v>0</v>
      </c>
      <c r="U339" s="17"/>
      <c r="V339" s="20">
        <f t="shared" si="115"/>
        <v>117.32022185619869</v>
      </c>
      <c r="W339" s="17"/>
      <c r="X339" s="20">
        <f t="shared" si="116"/>
        <v>226.036546754179</v>
      </c>
      <c r="Y339" s="20">
        <f t="shared" si="117"/>
        <v>15.034511856198691</v>
      </c>
      <c r="Z339" s="20"/>
      <c r="AA339" s="20">
        <f t="shared" si="118"/>
        <v>9.8259476410304282E-5</v>
      </c>
    </row>
    <row r="340" spans="2:27" x14ac:dyDescent="0.3">
      <c r="B340" s="28">
        <v>30.2</v>
      </c>
      <c r="C340" s="28">
        <v>120.78570999999999</v>
      </c>
      <c r="D340" s="20">
        <f t="shared" si="100"/>
        <v>26.829537435060917</v>
      </c>
      <c r="E340" s="20">
        <f t="shared" si="101"/>
        <v>-5.5995461652520229</v>
      </c>
      <c r="F340" s="20">
        <f t="shared" si="102"/>
        <v>1.2694420893304472</v>
      </c>
      <c r="G340" s="20">
        <f t="shared" si="103"/>
        <v>1.2694420893304472</v>
      </c>
      <c r="H340" s="20">
        <f t="shared" si="104"/>
        <v>1.2694420893304472</v>
      </c>
      <c r="I340" s="17"/>
      <c r="J340" s="20">
        <f t="shared" si="105"/>
        <v>23.665518367545985</v>
      </c>
      <c r="K340" s="20">
        <f t="shared" si="106"/>
        <v>3.6859311584153797E-3</v>
      </c>
      <c r="L340" s="20">
        <f t="shared" si="107"/>
        <v>1.1391551756480511</v>
      </c>
      <c r="M340" s="20">
        <f t="shared" si="108"/>
        <v>1.1391551756480511</v>
      </c>
      <c r="N340" s="20">
        <f t="shared" si="109"/>
        <v>1.1391551756480511</v>
      </c>
      <c r="O340" s="17"/>
      <c r="P340" s="20">
        <f t="shared" si="110"/>
        <v>32.521829153935911</v>
      </c>
      <c r="Q340" s="20">
        <f t="shared" si="111"/>
        <v>84.177423327071565</v>
      </c>
      <c r="R340" s="20">
        <f t="shared" si="112"/>
        <v>0</v>
      </c>
      <c r="S340" s="20">
        <f t="shared" si="113"/>
        <v>0</v>
      </c>
      <c r="T340" s="20">
        <f t="shared" si="114"/>
        <v>0</v>
      </c>
      <c r="U340" s="17"/>
      <c r="V340" s="20">
        <f t="shared" si="115"/>
        <v>116.69925248100748</v>
      </c>
      <c r="W340" s="17"/>
      <c r="X340" s="20">
        <f t="shared" si="116"/>
        <v>16.699135054530483</v>
      </c>
      <c r="Y340" s="20">
        <f t="shared" si="117"/>
        <v>4.0864575189925176</v>
      </c>
      <c r="Z340" s="20"/>
      <c r="AA340" s="20">
        <f t="shared" si="118"/>
        <v>2.6707430213213388E-5</v>
      </c>
    </row>
    <row r="341" spans="2:27" x14ac:dyDescent="0.3">
      <c r="B341" s="28">
        <v>30.3</v>
      </c>
      <c r="C341" s="28">
        <v>106.78570999999999</v>
      </c>
      <c r="D341" s="20">
        <f t="shared" si="100"/>
        <v>26.904715615359578</v>
      </c>
      <c r="E341" s="20">
        <f t="shared" si="101"/>
        <v>-5.5944995429050639</v>
      </c>
      <c r="F341" s="20">
        <f t="shared" si="102"/>
        <v>1.2805532004415583</v>
      </c>
      <c r="G341" s="20">
        <f t="shared" si="103"/>
        <v>1.2805532004415583</v>
      </c>
      <c r="H341" s="20">
        <f t="shared" si="104"/>
        <v>1.2805532004415583</v>
      </c>
      <c r="I341" s="17"/>
      <c r="J341" s="20">
        <f t="shared" si="105"/>
        <v>23.737653089954776</v>
      </c>
      <c r="K341" s="20">
        <f t="shared" si="106"/>
        <v>3.7045108481047351E-3</v>
      </c>
      <c r="L341" s="20">
        <f t="shared" si="107"/>
        <v>1.1450793043728316</v>
      </c>
      <c r="M341" s="20">
        <f t="shared" si="108"/>
        <v>1.1450793043728316</v>
      </c>
      <c r="N341" s="20">
        <f t="shared" si="109"/>
        <v>1.1450793043728316</v>
      </c>
      <c r="O341" s="17"/>
      <c r="P341" s="20">
        <f t="shared" si="110"/>
        <v>32.328455691437497</v>
      </c>
      <c r="Q341" s="20">
        <f t="shared" si="111"/>
        <v>83.753687521510955</v>
      </c>
      <c r="R341" s="20">
        <f t="shared" si="112"/>
        <v>0</v>
      </c>
      <c r="S341" s="20">
        <f t="shared" si="113"/>
        <v>0</v>
      </c>
      <c r="T341" s="20">
        <f t="shared" si="114"/>
        <v>0</v>
      </c>
      <c r="U341" s="17"/>
      <c r="V341" s="20">
        <f t="shared" si="115"/>
        <v>116.08214321294845</v>
      </c>
      <c r="W341" s="17"/>
      <c r="X341" s="20">
        <f t="shared" si="116"/>
        <v>86.423670482811175</v>
      </c>
      <c r="Y341" s="20">
        <f t="shared" si="117"/>
        <v>9.2964332129484575</v>
      </c>
      <c r="Z341" s="20"/>
      <c r="AA341" s="20">
        <f t="shared" si="118"/>
        <v>6.0757719886399889E-5</v>
      </c>
    </row>
    <row r="342" spans="2:27" x14ac:dyDescent="0.3">
      <c r="B342" s="28">
        <v>30.4</v>
      </c>
      <c r="C342" s="28">
        <v>127.78570999999999</v>
      </c>
      <c r="D342" s="20">
        <f t="shared" si="100"/>
        <v>26.979893795658235</v>
      </c>
      <c r="E342" s="20">
        <f t="shared" si="101"/>
        <v>-5.5894529205581041</v>
      </c>
      <c r="F342" s="20">
        <f t="shared" si="102"/>
        <v>1.2916643115526694</v>
      </c>
      <c r="G342" s="20">
        <f t="shared" si="103"/>
        <v>1.2916643115526694</v>
      </c>
      <c r="H342" s="20">
        <f t="shared" si="104"/>
        <v>1.2916643115526694</v>
      </c>
      <c r="I342" s="17"/>
      <c r="J342" s="20">
        <f t="shared" si="105"/>
        <v>23.809796674688229</v>
      </c>
      <c r="K342" s="20">
        <f t="shared" si="106"/>
        <v>3.7231838451187386E-3</v>
      </c>
      <c r="L342" s="20">
        <f t="shared" si="107"/>
        <v>1.1510177556502212</v>
      </c>
      <c r="M342" s="20">
        <f t="shared" si="108"/>
        <v>1.1510177556502212</v>
      </c>
      <c r="N342" s="20">
        <f t="shared" si="109"/>
        <v>1.1510177556502212</v>
      </c>
      <c r="O342" s="17"/>
      <c r="P342" s="20">
        <f t="shared" si="110"/>
        <v>32.136778601845727</v>
      </c>
      <c r="Q342" s="20">
        <f t="shared" si="111"/>
        <v>83.3320847922231</v>
      </c>
      <c r="R342" s="20">
        <f t="shared" si="112"/>
        <v>0</v>
      </c>
      <c r="S342" s="20">
        <f t="shared" si="113"/>
        <v>0</v>
      </c>
      <c r="T342" s="20">
        <f t="shared" si="114"/>
        <v>0</v>
      </c>
      <c r="U342" s="17"/>
      <c r="V342" s="20">
        <f t="shared" si="115"/>
        <v>115.46886339406882</v>
      </c>
      <c r="W342" s="17"/>
      <c r="X342" s="20">
        <f t="shared" si="116"/>
        <v>151.70471031403832</v>
      </c>
      <c r="Y342" s="20">
        <f t="shared" si="117"/>
        <v>12.316846605931175</v>
      </c>
      <c r="Z342" s="20"/>
      <c r="AA342" s="20">
        <f t="shared" si="118"/>
        <v>8.0497917730920472E-5</v>
      </c>
    </row>
    <row r="343" spans="2:27" x14ac:dyDescent="0.3">
      <c r="B343" s="28">
        <v>30.5</v>
      </c>
      <c r="C343" s="28">
        <v>91.035709999999995</v>
      </c>
      <c r="D343" s="20">
        <f t="shared" si="100"/>
        <v>27.055071975956896</v>
      </c>
      <c r="E343" s="20">
        <f t="shared" si="101"/>
        <v>-5.5844062982111451</v>
      </c>
      <c r="F343" s="20">
        <f t="shared" si="102"/>
        <v>1.3027754226637809</v>
      </c>
      <c r="G343" s="20">
        <f t="shared" si="103"/>
        <v>1.3027754226637809</v>
      </c>
      <c r="H343" s="20">
        <f t="shared" si="104"/>
        <v>1.3027754226637809</v>
      </c>
      <c r="I343" s="17"/>
      <c r="J343" s="20">
        <f t="shared" si="105"/>
        <v>23.881949071359511</v>
      </c>
      <c r="K343" s="20">
        <f t="shared" si="106"/>
        <v>3.7419506145494942E-3</v>
      </c>
      <c r="L343" s="20">
        <f t="shared" si="107"/>
        <v>1.1569704848482691</v>
      </c>
      <c r="M343" s="20">
        <f t="shared" si="108"/>
        <v>1.1569704848482691</v>
      </c>
      <c r="N343" s="20">
        <f t="shared" si="109"/>
        <v>1.1569704848482691</v>
      </c>
      <c r="O343" s="17"/>
      <c r="P343" s="20">
        <f t="shared" si="110"/>
        <v>31.94677830334027</v>
      </c>
      <c r="Q343" s="20">
        <f t="shared" si="111"/>
        <v>82.912604401635321</v>
      </c>
      <c r="R343" s="20">
        <f t="shared" si="112"/>
        <v>0</v>
      </c>
      <c r="S343" s="20">
        <f t="shared" si="113"/>
        <v>0</v>
      </c>
      <c r="T343" s="20">
        <f t="shared" si="114"/>
        <v>0</v>
      </c>
      <c r="U343" s="17"/>
      <c r="V343" s="20">
        <f t="shared" si="115"/>
        <v>114.85938270497559</v>
      </c>
      <c r="W343" s="17"/>
      <c r="X343" s="20">
        <f t="shared" si="116"/>
        <v>567.56738115379903</v>
      </c>
      <c r="Y343" s="20">
        <f t="shared" si="117"/>
        <v>23.823672704975593</v>
      </c>
      <c r="Z343" s="20"/>
      <c r="AA343" s="20">
        <f t="shared" si="118"/>
        <v>1.5570186970827467E-4</v>
      </c>
    </row>
    <row r="344" spans="2:27" x14ac:dyDescent="0.3">
      <c r="B344" s="28">
        <v>30.6</v>
      </c>
      <c r="C344" s="28">
        <v>112.28570999999999</v>
      </c>
      <c r="D344" s="20">
        <f t="shared" si="100"/>
        <v>27.130250156255556</v>
      </c>
      <c r="E344" s="20">
        <f t="shared" si="101"/>
        <v>-5.5793596758641861</v>
      </c>
      <c r="F344" s="20">
        <f t="shared" si="102"/>
        <v>1.313886533774892</v>
      </c>
      <c r="G344" s="20">
        <f t="shared" si="103"/>
        <v>1.313886533774892</v>
      </c>
      <c r="H344" s="20">
        <f t="shared" si="104"/>
        <v>1.313886533774892</v>
      </c>
      <c r="I344" s="17"/>
      <c r="J344" s="20">
        <f t="shared" si="105"/>
        <v>23.954110230004002</v>
      </c>
      <c r="K344" s="20">
        <f t="shared" si="106"/>
        <v>3.7608116237722211E-3</v>
      </c>
      <c r="L344" s="20">
        <f t="shared" si="107"/>
        <v>1.1629374473136829</v>
      </c>
      <c r="M344" s="20">
        <f t="shared" si="108"/>
        <v>1.1629374473136829</v>
      </c>
      <c r="N344" s="20">
        <f t="shared" si="109"/>
        <v>1.1629374473136829</v>
      </c>
      <c r="O344" s="17"/>
      <c r="P344" s="20">
        <f t="shared" si="110"/>
        <v>31.758435493502503</v>
      </c>
      <c r="Q344" s="20">
        <f t="shared" si="111"/>
        <v>82.495235666227416</v>
      </c>
      <c r="R344" s="20">
        <f t="shared" si="112"/>
        <v>0</v>
      </c>
      <c r="S344" s="20">
        <f t="shared" si="113"/>
        <v>0</v>
      </c>
      <c r="T344" s="20">
        <f t="shared" si="114"/>
        <v>0</v>
      </c>
      <c r="U344" s="17"/>
      <c r="V344" s="20">
        <f t="shared" si="115"/>
        <v>114.25367115972992</v>
      </c>
      <c r="W344" s="17"/>
      <c r="X344" s="20">
        <f t="shared" si="116"/>
        <v>3.8728711262055486</v>
      </c>
      <c r="Y344" s="20">
        <f t="shared" si="117"/>
        <v>1.9679611597299242</v>
      </c>
      <c r="Z344" s="20"/>
      <c r="AA344" s="20">
        <f t="shared" si="118"/>
        <v>1.2861796578460326E-5</v>
      </c>
    </row>
    <row r="345" spans="2:27" x14ac:dyDescent="0.3">
      <c r="B345" s="28">
        <v>30.7</v>
      </c>
      <c r="C345" s="28">
        <v>129.53570999999999</v>
      </c>
      <c r="D345" s="20">
        <f t="shared" si="100"/>
        <v>27.205428336554217</v>
      </c>
      <c r="E345" s="20">
        <f t="shared" si="101"/>
        <v>-5.5743130535172272</v>
      </c>
      <c r="F345" s="20">
        <f t="shared" si="102"/>
        <v>1.324997644886003</v>
      </c>
      <c r="G345" s="20">
        <f t="shared" si="103"/>
        <v>1.324997644886003</v>
      </c>
      <c r="H345" s="20">
        <f t="shared" si="104"/>
        <v>1.324997644886003</v>
      </c>
      <c r="I345" s="17"/>
      <c r="J345" s="20">
        <f t="shared" si="105"/>
        <v>24.026280101074651</v>
      </c>
      <c r="K345" s="20">
        <f t="shared" si="106"/>
        <v>3.7797673424561041E-3</v>
      </c>
      <c r="L345" s="20">
        <f t="shared" si="107"/>
        <v>1.168918598374957</v>
      </c>
      <c r="M345" s="20">
        <f t="shared" si="108"/>
        <v>1.168918598374957</v>
      </c>
      <c r="N345" s="20">
        <f t="shared" si="109"/>
        <v>1.168918598374957</v>
      </c>
      <c r="O345" s="17"/>
      <c r="P345" s="20">
        <f t="shared" si="110"/>
        <v>31.571731144578607</v>
      </c>
      <c r="Q345" s="20">
        <f t="shared" si="111"/>
        <v>82.079967956259708</v>
      </c>
      <c r="R345" s="20">
        <f t="shared" si="112"/>
        <v>0</v>
      </c>
      <c r="S345" s="20">
        <f t="shared" si="113"/>
        <v>0</v>
      </c>
      <c r="T345" s="20">
        <f t="shared" si="114"/>
        <v>0</v>
      </c>
      <c r="U345" s="17"/>
      <c r="V345" s="20">
        <f t="shared" si="115"/>
        <v>113.65169910083831</v>
      </c>
      <c r="W345" s="17"/>
      <c r="X345" s="20">
        <f t="shared" si="116"/>
        <v>252.30180224468705</v>
      </c>
      <c r="Y345" s="20">
        <f t="shared" si="117"/>
        <v>15.88401089916168</v>
      </c>
      <c r="Z345" s="20"/>
      <c r="AA345" s="20">
        <f t="shared" si="118"/>
        <v>1.0381145787607982E-4</v>
      </c>
    </row>
    <row r="346" spans="2:27" x14ac:dyDescent="0.3">
      <c r="B346" s="28">
        <v>30.8</v>
      </c>
      <c r="C346" s="28">
        <v>93.285709999999995</v>
      </c>
      <c r="D346" s="20">
        <f t="shared" si="100"/>
        <v>27.280606516852878</v>
      </c>
      <c r="E346" s="20">
        <f t="shared" si="101"/>
        <v>-5.5692664311702682</v>
      </c>
      <c r="F346" s="20">
        <f t="shared" si="102"/>
        <v>1.3361087559971137</v>
      </c>
      <c r="G346" s="20">
        <f t="shared" si="103"/>
        <v>1.3361087559971137</v>
      </c>
      <c r="H346" s="20">
        <f t="shared" si="104"/>
        <v>1.3361087559971137</v>
      </c>
      <c r="I346" s="17"/>
      <c r="J346" s="20">
        <f t="shared" si="105"/>
        <v>24.0984586354374</v>
      </c>
      <c r="K346" s="20">
        <f t="shared" si="106"/>
        <v>3.7988182425751893E-3</v>
      </c>
      <c r="L346" s="20">
        <f t="shared" si="107"/>
        <v>1.1749138933454548</v>
      </c>
      <c r="M346" s="20">
        <f t="shared" si="108"/>
        <v>1.1749138933454548</v>
      </c>
      <c r="N346" s="20">
        <f t="shared" si="109"/>
        <v>1.1749138933454548</v>
      </c>
      <c r="O346" s="17"/>
      <c r="P346" s="20">
        <f t="shared" si="110"/>
        <v>31.386646498835525</v>
      </c>
      <c r="Q346" s="20">
        <f t="shared" si="111"/>
        <v>81.666790695502414</v>
      </c>
      <c r="R346" s="20">
        <f t="shared" si="112"/>
        <v>0</v>
      </c>
      <c r="S346" s="20">
        <f t="shared" si="113"/>
        <v>0</v>
      </c>
      <c r="T346" s="20">
        <f t="shared" si="114"/>
        <v>0</v>
      </c>
      <c r="U346" s="17"/>
      <c r="V346" s="20">
        <f t="shared" si="115"/>
        <v>113.05343719433793</v>
      </c>
      <c r="W346" s="17"/>
      <c r="X346" s="20">
        <f t="shared" si="116"/>
        <v>390.76303842976762</v>
      </c>
      <c r="Y346" s="20">
        <f t="shared" si="117"/>
        <v>19.767727194337937</v>
      </c>
      <c r="Z346" s="20"/>
      <c r="AA346" s="20">
        <f t="shared" si="118"/>
        <v>1.2919385361597532E-4</v>
      </c>
    </row>
    <row r="347" spans="2:27" x14ac:dyDescent="0.3">
      <c r="B347" s="28">
        <v>30.9</v>
      </c>
      <c r="C347" s="28">
        <v>124.28570999999999</v>
      </c>
      <c r="D347" s="20">
        <f t="shared" si="100"/>
        <v>27.355784697151535</v>
      </c>
      <c r="E347" s="20">
        <f t="shared" si="101"/>
        <v>-5.5642198088233084</v>
      </c>
      <c r="F347" s="20">
        <f t="shared" si="102"/>
        <v>1.3472198671082247</v>
      </c>
      <c r="G347" s="20">
        <f t="shared" si="103"/>
        <v>1.3472198671082247</v>
      </c>
      <c r="H347" s="20">
        <f t="shared" si="104"/>
        <v>1.3472198671082247</v>
      </c>
      <c r="I347" s="17"/>
      <c r="J347" s="20">
        <f t="shared" si="105"/>
        <v>24.170645784366652</v>
      </c>
      <c r="K347" s="20">
        <f t="shared" si="106"/>
        <v>3.8179647984193455E-3</v>
      </c>
      <c r="L347" s="20">
        <f t="shared" si="107"/>
        <v>1.180923287526451</v>
      </c>
      <c r="M347" s="20">
        <f t="shared" si="108"/>
        <v>1.180923287526451</v>
      </c>
      <c r="N347" s="20">
        <f t="shared" si="109"/>
        <v>1.180923287526451</v>
      </c>
      <c r="O347" s="17"/>
      <c r="P347" s="20">
        <f t="shared" si="110"/>
        <v>31.203163064007704</v>
      </c>
      <c r="Q347" s="20">
        <f t="shared" si="111"/>
        <v>81.25569336096612</v>
      </c>
      <c r="R347" s="20">
        <f t="shared" si="112"/>
        <v>0</v>
      </c>
      <c r="S347" s="20">
        <f t="shared" si="113"/>
        <v>0</v>
      </c>
      <c r="T347" s="20">
        <f t="shared" si="114"/>
        <v>0</v>
      </c>
      <c r="U347" s="17"/>
      <c r="V347" s="20">
        <f t="shared" si="115"/>
        <v>112.45885642497382</v>
      </c>
      <c r="W347" s="17"/>
      <c r="X347" s="20">
        <f t="shared" si="116"/>
        <v>139.87446548510948</v>
      </c>
      <c r="Y347" s="20">
        <f t="shared" si="117"/>
        <v>11.826853575026178</v>
      </c>
      <c r="Z347" s="20"/>
      <c r="AA347" s="20">
        <f t="shared" si="118"/>
        <v>7.7295521861873848E-5</v>
      </c>
    </row>
    <row r="348" spans="2:27" x14ac:dyDescent="0.3">
      <c r="B348" s="28">
        <v>31</v>
      </c>
      <c r="C348" s="28">
        <v>131.03570999999999</v>
      </c>
      <c r="D348" s="20">
        <f t="shared" si="100"/>
        <v>27.430962877450195</v>
      </c>
      <c r="E348" s="20">
        <f t="shared" si="101"/>
        <v>-5.5591731864763494</v>
      </c>
      <c r="F348" s="20">
        <f t="shared" si="102"/>
        <v>1.3583309782193362</v>
      </c>
      <c r="G348" s="20">
        <f t="shared" si="103"/>
        <v>1.3583309782193362</v>
      </c>
      <c r="H348" s="20">
        <f t="shared" si="104"/>
        <v>1.3583309782193362</v>
      </c>
      <c r="I348" s="17"/>
      <c r="J348" s="20">
        <f t="shared" si="105"/>
        <v>24.242841499540813</v>
      </c>
      <c r="K348" s="20">
        <f t="shared" si="106"/>
        <v>3.8372074866052457E-3</v>
      </c>
      <c r="L348" s="20">
        <f t="shared" si="107"/>
        <v>1.1869467362101287</v>
      </c>
      <c r="M348" s="20">
        <f t="shared" si="108"/>
        <v>1.1869467362101287</v>
      </c>
      <c r="N348" s="20">
        <f t="shared" si="109"/>
        <v>1.1869467362101287</v>
      </c>
      <c r="O348" s="17"/>
      <c r="P348" s="20">
        <f t="shared" si="110"/>
        <v>31.021262608832675</v>
      </c>
      <c r="Q348" s="20">
        <f t="shared" si="111"/>
        <v>80.84666548263408</v>
      </c>
      <c r="R348" s="20">
        <f t="shared" si="112"/>
        <v>0</v>
      </c>
      <c r="S348" s="20">
        <f t="shared" si="113"/>
        <v>0</v>
      </c>
      <c r="T348" s="20">
        <f t="shared" si="114"/>
        <v>0</v>
      </c>
      <c r="U348" s="17"/>
      <c r="V348" s="20">
        <f t="shared" si="115"/>
        <v>111.86792809146675</v>
      </c>
      <c r="W348" s="17"/>
      <c r="X348" s="20">
        <f t="shared" si="116"/>
        <v>367.40386329309428</v>
      </c>
      <c r="Y348" s="20">
        <f t="shared" si="117"/>
        <v>19.167781908533243</v>
      </c>
      <c r="Z348" s="20"/>
      <c r="AA348" s="20">
        <f t="shared" si="118"/>
        <v>1.2527285436958512E-4</v>
      </c>
    </row>
    <row r="349" spans="2:27" x14ac:dyDescent="0.3">
      <c r="B349" s="28">
        <v>31.1</v>
      </c>
      <c r="C349" s="28">
        <v>104.28572</v>
      </c>
      <c r="D349" s="20">
        <f t="shared" si="100"/>
        <v>27.506141057748856</v>
      </c>
      <c r="E349" s="20">
        <f t="shared" si="101"/>
        <v>-5.5541265641293904</v>
      </c>
      <c r="F349" s="20">
        <f t="shared" si="102"/>
        <v>1.3694420893304473</v>
      </c>
      <c r="G349" s="20">
        <f t="shared" si="103"/>
        <v>1.3694420893304473</v>
      </c>
      <c r="H349" s="20">
        <f t="shared" si="104"/>
        <v>1.3694420893304473</v>
      </c>
      <c r="I349" s="17"/>
      <c r="J349" s="20">
        <f t="shared" si="105"/>
        <v>24.315045733037877</v>
      </c>
      <c r="K349" s="20">
        <f t="shared" si="106"/>
        <v>3.8565467860874401E-3</v>
      </c>
      <c r="L349" s="20">
        <f t="shared" si="107"/>
        <v>1.1929841946825341</v>
      </c>
      <c r="M349" s="20">
        <f t="shared" si="108"/>
        <v>1.1929841946825341</v>
      </c>
      <c r="N349" s="20">
        <f t="shared" si="109"/>
        <v>1.1929841946825341</v>
      </c>
      <c r="O349" s="17"/>
      <c r="P349" s="20">
        <f t="shared" si="110"/>
        <v>30.840927158673409</v>
      </c>
      <c r="Q349" s="20">
        <f t="shared" si="111"/>
        <v>80.439696643195106</v>
      </c>
      <c r="R349" s="20">
        <f t="shared" si="112"/>
        <v>0</v>
      </c>
      <c r="S349" s="20">
        <f t="shared" si="113"/>
        <v>0</v>
      </c>
      <c r="T349" s="20">
        <f t="shared" si="114"/>
        <v>0</v>
      </c>
      <c r="U349" s="17"/>
      <c r="V349" s="20">
        <f t="shared" si="115"/>
        <v>111.28062380186851</v>
      </c>
      <c r="W349" s="17"/>
      <c r="X349" s="20">
        <f t="shared" si="116"/>
        <v>48.928679197394636</v>
      </c>
      <c r="Y349" s="20">
        <f t="shared" si="117"/>
        <v>6.9949038018685172</v>
      </c>
      <c r="Z349" s="20"/>
      <c r="AA349" s="20">
        <f t="shared" si="118"/>
        <v>4.5715856403323717E-5</v>
      </c>
    </row>
    <row r="350" spans="2:27" x14ac:dyDescent="0.3">
      <c r="B350" s="28">
        <v>31.2</v>
      </c>
      <c r="C350" s="28">
        <v>134.03570999999999</v>
      </c>
      <c r="D350" s="20">
        <f t="shared" si="100"/>
        <v>27.581319238047513</v>
      </c>
      <c r="E350" s="20">
        <f t="shared" si="101"/>
        <v>-5.5490799417824306</v>
      </c>
      <c r="F350" s="20">
        <f t="shared" si="102"/>
        <v>1.3805532004415584</v>
      </c>
      <c r="G350" s="20">
        <f t="shared" si="103"/>
        <v>1.3805532004415584</v>
      </c>
      <c r="H350" s="20">
        <f t="shared" si="104"/>
        <v>1.3805532004415584</v>
      </c>
      <c r="I350" s="17"/>
      <c r="J350" s="20">
        <f t="shared" si="105"/>
        <v>24.387258437331099</v>
      </c>
      <c r="K350" s="20">
        <f t="shared" si="106"/>
        <v>3.8759831781694383E-3</v>
      </c>
      <c r="L350" s="20">
        <f t="shared" si="107"/>
        <v>1.1990356182264934</v>
      </c>
      <c r="M350" s="20">
        <f t="shared" si="108"/>
        <v>1.1990356182264934</v>
      </c>
      <c r="N350" s="20">
        <f t="shared" si="109"/>
        <v>1.1990356182264934</v>
      </c>
      <c r="O350" s="17"/>
      <c r="P350" s="20">
        <f t="shared" si="110"/>
        <v>30.6621389912256</v>
      </c>
      <c r="Q350" s="20">
        <f t="shared" si="111"/>
        <v>80.03477647777855</v>
      </c>
      <c r="R350" s="20">
        <f t="shared" si="112"/>
        <v>0</v>
      </c>
      <c r="S350" s="20">
        <f t="shared" si="113"/>
        <v>0</v>
      </c>
      <c r="T350" s="20">
        <f t="shared" si="114"/>
        <v>0</v>
      </c>
      <c r="U350" s="17"/>
      <c r="V350" s="20">
        <f t="shared" si="115"/>
        <v>110.69691546900415</v>
      </c>
      <c r="W350" s="17"/>
      <c r="X350" s="20">
        <f t="shared" si="116"/>
        <v>544.69933016004143</v>
      </c>
      <c r="Y350" s="20">
        <f t="shared" si="117"/>
        <v>23.338794530995841</v>
      </c>
      <c r="Z350" s="20"/>
      <c r="AA350" s="20">
        <f t="shared" si="118"/>
        <v>1.5253290247117801E-4</v>
      </c>
    </row>
    <row r="351" spans="2:27" x14ac:dyDescent="0.3">
      <c r="B351" s="28">
        <v>31.3</v>
      </c>
      <c r="C351" s="28">
        <v>107.53570999999999</v>
      </c>
      <c r="D351" s="20">
        <f t="shared" si="100"/>
        <v>27.656497418346174</v>
      </c>
      <c r="E351" s="20">
        <f t="shared" si="101"/>
        <v>-5.5440333194354725</v>
      </c>
      <c r="F351" s="20">
        <f t="shared" si="102"/>
        <v>1.3916643115526695</v>
      </c>
      <c r="G351" s="20">
        <f t="shared" si="103"/>
        <v>1.3916643115526695</v>
      </c>
      <c r="H351" s="20">
        <f t="shared" si="104"/>
        <v>1.3916643115526695</v>
      </c>
      <c r="I351" s="17"/>
      <c r="J351" s="20">
        <f t="shared" si="105"/>
        <v>24.459479565284695</v>
      </c>
      <c r="K351" s="20">
        <f t="shared" si="106"/>
        <v>3.895517146514843E-3</v>
      </c>
      <c r="L351" s="20">
        <f t="shared" si="107"/>
        <v>1.2051009621244815</v>
      </c>
      <c r="M351" s="20">
        <f t="shared" si="108"/>
        <v>1.2051009621244815</v>
      </c>
      <c r="N351" s="20">
        <f t="shared" si="109"/>
        <v>1.2051009621244815</v>
      </c>
      <c r="O351" s="17"/>
      <c r="P351" s="20">
        <f t="shared" si="110"/>
        <v>30.484880632307949</v>
      </c>
      <c r="Q351" s="20">
        <f t="shared" si="111"/>
        <v>79.63189467369051</v>
      </c>
      <c r="R351" s="20">
        <f t="shared" si="112"/>
        <v>0</v>
      </c>
      <c r="S351" s="20">
        <f t="shared" si="113"/>
        <v>0</v>
      </c>
      <c r="T351" s="20">
        <f t="shared" si="114"/>
        <v>0</v>
      </c>
      <c r="U351" s="17"/>
      <c r="V351" s="20">
        <f t="shared" si="115"/>
        <v>110.11677530599846</v>
      </c>
      <c r="W351" s="17"/>
      <c r="X351" s="20">
        <f t="shared" si="116"/>
        <v>6.661898113828947</v>
      </c>
      <c r="Y351" s="20">
        <f t="shared" si="117"/>
        <v>2.5810653059984645</v>
      </c>
      <c r="Z351" s="20"/>
      <c r="AA351" s="20">
        <f t="shared" si="118"/>
        <v>1.6868796803911292E-5</v>
      </c>
    </row>
    <row r="352" spans="2:27" x14ac:dyDescent="0.3">
      <c r="B352" s="28">
        <v>31.4</v>
      </c>
      <c r="C352" s="28">
        <v>114.03570999999999</v>
      </c>
      <c r="D352" s="20">
        <f t="shared" si="100"/>
        <v>27.731675598644831</v>
      </c>
      <c r="E352" s="20">
        <f t="shared" si="101"/>
        <v>-5.5389866970885127</v>
      </c>
      <c r="F352" s="20">
        <f t="shared" si="102"/>
        <v>1.4027754226637805</v>
      </c>
      <c r="G352" s="20">
        <f t="shared" si="103"/>
        <v>1.4027754226637805</v>
      </c>
      <c r="H352" s="20">
        <f t="shared" si="104"/>
        <v>1.4027754226637805</v>
      </c>
      <c r="I352" s="17"/>
      <c r="J352" s="20">
        <f t="shared" si="105"/>
        <v>24.531709070149621</v>
      </c>
      <c r="K352" s="20">
        <f t="shared" si="106"/>
        <v>3.9151491771585835E-3</v>
      </c>
      <c r="L352" s="20">
        <f t="shared" si="107"/>
        <v>1.2111801816614525</v>
      </c>
      <c r="M352" s="20">
        <f t="shared" si="108"/>
        <v>1.2111801816614525</v>
      </c>
      <c r="N352" s="20">
        <f t="shared" si="109"/>
        <v>1.2111801816614525</v>
      </c>
      <c r="O352" s="17"/>
      <c r="P352" s="20">
        <f t="shared" si="110"/>
        <v>30.309134851733734</v>
      </c>
      <c r="Q352" s="20">
        <f t="shared" si="111"/>
        <v>79.231040970150474</v>
      </c>
      <c r="R352" s="20">
        <f t="shared" si="112"/>
        <v>0</v>
      </c>
      <c r="S352" s="20">
        <f t="shared" si="113"/>
        <v>0</v>
      </c>
      <c r="T352" s="20">
        <f t="shared" si="114"/>
        <v>0</v>
      </c>
      <c r="U352" s="17"/>
      <c r="V352" s="20">
        <f t="shared" si="115"/>
        <v>109.5401758218842</v>
      </c>
      <c r="W352" s="17"/>
      <c r="X352" s="20">
        <f t="shared" si="116"/>
        <v>20.209827546607208</v>
      </c>
      <c r="Y352" s="20">
        <f t="shared" si="117"/>
        <v>4.4955341781157898</v>
      </c>
      <c r="Z352" s="20"/>
      <c r="AA352" s="20">
        <f t="shared" si="118"/>
        <v>2.938098946951586E-5</v>
      </c>
    </row>
    <row r="353" spans="2:27" x14ac:dyDescent="0.3">
      <c r="B353" s="28">
        <v>31.5</v>
      </c>
      <c r="C353" s="28">
        <v>117.28570999999999</v>
      </c>
      <c r="D353" s="20">
        <f t="shared" si="100"/>
        <v>27.806853778943491</v>
      </c>
      <c r="E353" s="20">
        <f t="shared" si="101"/>
        <v>-5.5339400747415537</v>
      </c>
      <c r="F353" s="20">
        <f t="shared" si="102"/>
        <v>1.413886533774892</v>
      </c>
      <c r="G353" s="20">
        <f t="shared" si="103"/>
        <v>1.413886533774892</v>
      </c>
      <c r="H353" s="20">
        <f t="shared" si="104"/>
        <v>1.413886533774892</v>
      </c>
      <c r="I353" s="17"/>
      <c r="J353" s="20">
        <f t="shared" si="105"/>
        <v>24.603946905559404</v>
      </c>
      <c r="K353" s="20">
        <f t="shared" si="106"/>
        <v>3.9348797585181108E-3</v>
      </c>
      <c r="L353" s="20">
        <f t="shared" si="107"/>
        <v>1.2172732321276296</v>
      </c>
      <c r="M353" s="20">
        <f t="shared" si="108"/>
        <v>1.2172732321276296</v>
      </c>
      <c r="N353" s="20">
        <f t="shared" si="109"/>
        <v>1.2172732321276296</v>
      </c>
      <c r="O353" s="17"/>
      <c r="P353" s="20">
        <f t="shared" si="110"/>
        <v>30.134884659261729</v>
      </c>
      <c r="Q353" s="20">
        <f t="shared" si="111"/>
        <v>78.832205158030931</v>
      </c>
      <c r="R353" s="20">
        <f t="shared" si="112"/>
        <v>0</v>
      </c>
      <c r="S353" s="20">
        <f t="shared" si="113"/>
        <v>0</v>
      </c>
      <c r="T353" s="20">
        <f t="shared" si="114"/>
        <v>0</v>
      </c>
      <c r="U353" s="17"/>
      <c r="V353" s="20">
        <f t="shared" si="115"/>
        <v>108.96708981729266</v>
      </c>
      <c r="W353" s="17"/>
      <c r="X353" s="20">
        <f t="shared" si="116"/>
        <v>69.199441744145815</v>
      </c>
      <c r="Y353" s="20">
        <f t="shared" si="117"/>
        <v>8.3186201827073347</v>
      </c>
      <c r="Z353" s="20"/>
      <c r="AA353" s="20">
        <f t="shared" si="118"/>
        <v>5.4367130201969767E-5</v>
      </c>
    </row>
    <row r="354" spans="2:27" x14ac:dyDescent="0.3">
      <c r="B354" s="28">
        <v>31.6</v>
      </c>
      <c r="C354" s="28">
        <v>108.28570999999999</v>
      </c>
      <c r="D354" s="20">
        <f t="shared" si="100"/>
        <v>27.882031959242152</v>
      </c>
      <c r="E354" s="20">
        <f t="shared" si="101"/>
        <v>-5.5288934523945947</v>
      </c>
      <c r="F354" s="20">
        <f t="shared" si="102"/>
        <v>1.4249976448860027</v>
      </c>
      <c r="G354" s="20">
        <f t="shared" si="103"/>
        <v>1.4249976448860027</v>
      </c>
      <c r="H354" s="20">
        <f t="shared" si="104"/>
        <v>1.4249976448860027</v>
      </c>
      <c r="I354" s="17"/>
      <c r="J354" s="20">
        <f t="shared" si="105"/>
        <v>24.676193025526018</v>
      </c>
      <c r="K354" s="20">
        <f t="shared" si="106"/>
        <v>3.9547093814047297E-3</v>
      </c>
      <c r="L354" s="20">
        <f t="shared" si="107"/>
        <v>1.2233800688212486</v>
      </c>
      <c r="M354" s="20">
        <f t="shared" si="108"/>
        <v>1.2233800688212486</v>
      </c>
      <c r="N354" s="20">
        <f t="shared" si="109"/>
        <v>1.2233800688212486</v>
      </c>
      <c r="O354" s="17"/>
      <c r="P354" s="20">
        <f t="shared" si="110"/>
        <v>29.962113300624942</v>
      </c>
      <c r="Q354" s="20">
        <f t="shared" si="111"/>
        <v>78.43537707959662</v>
      </c>
      <c r="R354" s="20">
        <f t="shared" si="112"/>
        <v>0</v>
      </c>
      <c r="S354" s="20">
        <f t="shared" si="113"/>
        <v>0</v>
      </c>
      <c r="T354" s="20">
        <f t="shared" si="114"/>
        <v>0</v>
      </c>
      <c r="U354" s="17"/>
      <c r="V354" s="20">
        <f t="shared" si="115"/>
        <v>108.39749038022157</v>
      </c>
      <c r="W354" s="17"/>
      <c r="X354" s="20">
        <f t="shared" si="116"/>
        <v>1.24948534024798E-2</v>
      </c>
      <c r="Y354" s="20">
        <f t="shared" si="117"/>
        <v>0.11178038022157466</v>
      </c>
      <c r="Z354" s="20"/>
      <c r="AA354" s="20">
        <f t="shared" si="118"/>
        <v>7.3055126355753261E-7</v>
      </c>
    </row>
    <row r="355" spans="2:27" x14ac:dyDescent="0.3">
      <c r="B355" s="28">
        <v>31.7</v>
      </c>
      <c r="C355" s="28">
        <v>89.035709999999995</v>
      </c>
      <c r="D355" s="20">
        <f t="shared" si="100"/>
        <v>27.957210139540813</v>
      </c>
      <c r="E355" s="20">
        <f t="shared" si="101"/>
        <v>-5.5238468300476349</v>
      </c>
      <c r="F355" s="20">
        <f t="shared" si="102"/>
        <v>1.4361087559971137</v>
      </c>
      <c r="G355" s="20">
        <f t="shared" si="103"/>
        <v>1.4361087559971137</v>
      </c>
      <c r="H355" s="20">
        <f t="shared" si="104"/>
        <v>1.4361087559971137</v>
      </c>
      <c r="I355" s="17"/>
      <c r="J355" s="20">
        <f t="shared" si="105"/>
        <v>24.748447384435831</v>
      </c>
      <c r="K355" s="20">
        <f t="shared" si="106"/>
        <v>3.9746385390349234E-3</v>
      </c>
      <c r="L355" s="20">
        <f t="shared" si="107"/>
        <v>1.2295006470512684</v>
      </c>
      <c r="M355" s="20">
        <f t="shared" si="108"/>
        <v>1.2295006470512684</v>
      </c>
      <c r="N355" s="20">
        <f t="shared" si="109"/>
        <v>1.2295006470512684</v>
      </c>
      <c r="O355" s="17"/>
      <c r="P355" s="20">
        <f t="shared" si="110"/>
        <v>29.790804253635276</v>
      </c>
      <c r="Q355" s="20">
        <f t="shared" si="111"/>
        <v>78.040546628246162</v>
      </c>
      <c r="R355" s="20">
        <f t="shared" si="112"/>
        <v>0</v>
      </c>
      <c r="S355" s="20">
        <f t="shared" si="113"/>
        <v>0</v>
      </c>
      <c r="T355" s="20">
        <f t="shared" si="114"/>
        <v>0</v>
      </c>
      <c r="U355" s="17"/>
      <c r="V355" s="20">
        <f t="shared" si="115"/>
        <v>107.83135088188143</v>
      </c>
      <c r="W355" s="17"/>
      <c r="X355" s="20">
        <f t="shared" si="116"/>
        <v>353.27611616065292</v>
      </c>
      <c r="Y355" s="20">
        <f t="shared" si="117"/>
        <v>18.79564088188144</v>
      </c>
      <c r="Z355" s="20"/>
      <c r="AA355" s="20">
        <f t="shared" si="118"/>
        <v>1.2284069143810136E-4</v>
      </c>
    </row>
    <row r="356" spans="2:27" x14ac:dyDescent="0.3">
      <c r="B356" s="28">
        <v>31.8</v>
      </c>
      <c r="C356" s="28">
        <v>85.035709999999995</v>
      </c>
      <c r="D356" s="20">
        <f t="shared" si="100"/>
        <v>28.032388319839473</v>
      </c>
      <c r="E356" s="20">
        <f t="shared" si="101"/>
        <v>-5.5188002077006759</v>
      </c>
      <c r="F356" s="20">
        <f t="shared" si="102"/>
        <v>1.4472198671082248</v>
      </c>
      <c r="G356" s="20">
        <f t="shared" si="103"/>
        <v>1.4472198671082248</v>
      </c>
      <c r="H356" s="20">
        <f t="shared" si="104"/>
        <v>1.4472198671082248</v>
      </c>
      <c r="I356" s="17"/>
      <c r="J356" s="20">
        <f t="shared" si="105"/>
        <v>24.820709937045589</v>
      </c>
      <c r="K356" s="20">
        <f t="shared" si="106"/>
        <v>3.9946677270417492E-3</v>
      </c>
      <c r="L356" s="20">
        <f t="shared" si="107"/>
        <v>1.2356349221400322</v>
      </c>
      <c r="M356" s="20">
        <f t="shared" si="108"/>
        <v>1.2356349221400322</v>
      </c>
      <c r="N356" s="20">
        <f t="shared" si="109"/>
        <v>1.2356349221400322</v>
      </c>
      <c r="O356" s="17"/>
      <c r="P356" s="20">
        <f t="shared" si="110"/>
        <v>29.620941224362625</v>
      </c>
      <c r="Q356" s="20">
        <f t="shared" si="111"/>
        <v>77.647703748254671</v>
      </c>
      <c r="R356" s="20">
        <f t="shared" si="112"/>
        <v>0</v>
      </c>
      <c r="S356" s="20">
        <f t="shared" si="113"/>
        <v>0</v>
      </c>
      <c r="T356" s="20">
        <f t="shared" si="114"/>
        <v>0</v>
      </c>
      <c r="U356" s="17"/>
      <c r="V356" s="20">
        <f t="shared" si="115"/>
        <v>107.2686449726173</v>
      </c>
      <c r="W356" s="17"/>
      <c r="X356" s="20">
        <f t="shared" si="116"/>
        <v>494.30339749662943</v>
      </c>
      <c r="Y356" s="20">
        <f t="shared" si="117"/>
        <v>22.232934972617301</v>
      </c>
      <c r="Z356" s="20"/>
      <c r="AA356" s="20">
        <f t="shared" si="118"/>
        <v>1.4530545257264305E-4</v>
      </c>
    </row>
    <row r="357" spans="2:27" x14ac:dyDescent="0.3">
      <c r="B357" s="28">
        <v>31.9</v>
      </c>
      <c r="C357" s="28">
        <v>116.53570999999999</v>
      </c>
      <c r="D357" s="20">
        <f t="shared" si="100"/>
        <v>28.10756650013813</v>
      </c>
      <c r="E357" s="20">
        <f t="shared" si="101"/>
        <v>-5.513753585353717</v>
      </c>
      <c r="F357" s="20">
        <f t="shared" si="102"/>
        <v>1.4583309782193359</v>
      </c>
      <c r="G357" s="20">
        <f t="shared" si="103"/>
        <v>1.4583309782193359</v>
      </c>
      <c r="H357" s="20">
        <f t="shared" si="104"/>
        <v>1.4583309782193359</v>
      </c>
      <c r="I357" s="17"/>
      <c r="J357" s="20">
        <f t="shared" si="105"/>
        <v>24.892980638478463</v>
      </c>
      <c r="K357" s="20">
        <f t="shared" si="106"/>
        <v>4.0147974434862821E-3</v>
      </c>
      <c r="L357" s="20">
        <f t="shared" si="107"/>
        <v>1.2417828494258927</v>
      </c>
      <c r="M357" s="20">
        <f t="shared" si="108"/>
        <v>1.2417828494258927</v>
      </c>
      <c r="N357" s="20">
        <f t="shared" si="109"/>
        <v>1.2417828494258927</v>
      </c>
      <c r="O357" s="17"/>
      <c r="P357" s="20">
        <f t="shared" si="110"/>
        <v>29.452508143386677</v>
      </c>
      <c r="Q357" s="20">
        <f t="shared" si="111"/>
        <v>77.256838434517562</v>
      </c>
      <c r="R357" s="20">
        <f t="shared" si="112"/>
        <v>0</v>
      </c>
      <c r="S357" s="20">
        <f t="shared" si="113"/>
        <v>0</v>
      </c>
      <c r="T357" s="20">
        <f t="shared" si="114"/>
        <v>0</v>
      </c>
      <c r="U357" s="17"/>
      <c r="V357" s="20">
        <f t="shared" si="115"/>
        <v>106.70934657790424</v>
      </c>
      <c r="W357" s="17"/>
      <c r="X357" s="20">
        <f t="shared" si="116"/>
        <v>96.557418103101355</v>
      </c>
      <c r="Y357" s="20">
        <f t="shared" si="117"/>
        <v>9.8263634220957528</v>
      </c>
      <c r="Z357" s="20"/>
      <c r="AA357" s="20">
        <f t="shared" si="118"/>
        <v>6.4221128966977906E-5</v>
      </c>
    </row>
    <row r="358" spans="2:27" x14ac:dyDescent="0.3">
      <c r="B358" s="28">
        <v>32</v>
      </c>
      <c r="C358" s="28">
        <v>111.03570999999999</v>
      </c>
      <c r="D358" s="20">
        <f t="shared" si="100"/>
        <v>28.182744680436791</v>
      </c>
      <c r="E358" s="20">
        <f t="shared" si="101"/>
        <v>-5.508706963006758</v>
      </c>
      <c r="F358" s="20">
        <f t="shared" si="102"/>
        <v>1.4694420893304474</v>
      </c>
      <c r="G358" s="20">
        <f t="shared" si="103"/>
        <v>1.4694420893304474</v>
      </c>
      <c r="H358" s="20">
        <f t="shared" si="104"/>
        <v>1.4694420893304474</v>
      </c>
      <c r="I358" s="17"/>
      <c r="J358" s="20">
        <f t="shared" si="105"/>
        <v>24.965259444220166</v>
      </c>
      <c r="K358" s="20">
        <f t="shared" si="106"/>
        <v>4.0350281888691169E-3</v>
      </c>
      <c r="L358" s="20">
        <f t="shared" si="107"/>
        <v>1.2479443842657969</v>
      </c>
      <c r="M358" s="20">
        <f t="shared" si="108"/>
        <v>1.2479443842657969</v>
      </c>
      <c r="N358" s="20">
        <f t="shared" si="109"/>
        <v>1.2479443842657969</v>
      </c>
      <c r="O358" s="17"/>
      <c r="P358" s="20">
        <f t="shared" si="110"/>
        <v>29.285489162119912</v>
      </c>
      <c r="Q358" s="20">
        <f t="shared" si="111"/>
        <v>76.867940732295594</v>
      </c>
      <c r="R358" s="20">
        <f t="shared" si="112"/>
        <v>0</v>
      </c>
      <c r="S358" s="20">
        <f t="shared" si="113"/>
        <v>0</v>
      </c>
      <c r="T358" s="20">
        <f t="shared" si="114"/>
        <v>0</v>
      </c>
      <c r="U358" s="17"/>
      <c r="V358" s="20">
        <f t="shared" si="115"/>
        <v>106.15342989441551</v>
      </c>
      <c r="W358" s="17"/>
      <c r="X358" s="20">
        <f t="shared" si="116"/>
        <v>23.836659029386048</v>
      </c>
      <c r="Y358" s="20">
        <f t="shared" si="117"/>
        <v>4.8822801055844849</v>
      </c>
      <c r="Z358" s="20"/>
      <c r="AA358" s="20">
        <f t="shared" si="118"/>
        <v>3.1908604113766756E-5</v>
      </c>
    </row>
    <row r="359" spans="2:27" x14ac:dyDescent="0.3">
      <c r="B359" s="28">
        <v>32.1</v>
      </c>
      <c r="C359" s="28">
        <v>79.535709999999995</v>
      </c>
      <c r="D359" s="20">
        <f t="shared" si="100"/>
        <v>28.257922860735452</v>
      </c>
      <c r="E359" s="20">
        <f t="shared" si="101"/>
        <v>-5.503660340659799</v>
      </c>
      <c r="F359" s="20">
        <f t="shared" si="102"/>
        <v>1.4805532004415585</v>
      </c>
      <c r="G359" s="20">
        <f t="shared" si="103"/>
        <v>1.4805532004415585</v>
      </c>
      <c r="H359" s="20">
        <f t="shared" si="104"/>
        <v>1.4805532004415585</v>
      </c>
      <c r="I359" s="17"/>
      <c r="J359" s="20">
        <f t="shared" si="105"/>
        <v>25.037546310115069</v>
      </c>
      <c r="K359" s="20">
        <f t="shared" si="106"/>
        <v>4.0553604661418968E-3</v>
      </c>
      <c r="L359" s="20">
        <f t="shared" si="107"/>
        <v>1.254119482037829</v>
      </c>
      <c r="M359" s="20">
        <f t="shared" si="108"/>
        <v>1.254119482037829</v>
      </c>
      <c r="N359" s="20">
        <f t="shared" si="109"/>
        <v>1.254119482037829</v>
      </c>
      <c r="O359" s="17"/>
      <c r="P359" s="20">
        <f t="shared" si="110"/>
        <v>29.119868649200338</v>
      </c>
      <c r="Q359" s="20">
        <f t="shared" si="111"/>
        <v>76.48100073696169</v>
      </c>
      <c r="R359" s="20">
        <f t="shared" si="112"/>
        <v>0</v>
      </c>
      <c r="S359" s="20">
        <f t="shared" si="113"/>
        <v>0</v>
      </c>
      <c r="T359" s="20">
        <f t="shared" si="114"/>
        <v>0</v>
      </c>
      <c r="U359" s="17"/>
      <c r="V359" s="20">
        <f t="shared" si="115"/>
        <v>105.60086938616203</v>
      </c>
      <c r="W359" s="17"/>
      <c r="X359" s="20">
        <f t="shared" si="116"/>
        <v>679.3925338260309</v>
      </c>
      <c r="Y359" s="20">
        <f t="shared" si="117"/>
        <v>26.065159386162037</v>
      </c>
      <c r="Z359" s="20"/>
      <c r="AA359" s="20">
        <f t="shared" si="118"/>
        <v>1.7035131824246456E-4</v>
      </c>
    </row>
    <row r="360" spans="2:27" x14ac:dyDescent="0.3">
      <c r="B360" s="28">
        <v>32.200000000000003</v>
      </c>
      <c r="C360" s="28">
        <v>95.285709999999995</v>
      </c>
      <c r="D360" s="20">
        <f t="shared" si="100"/>
        <v>28.333101041034112</v>
      </c>
      <c r="E360" s="20">
        <f t="shared" si="101"/>
        <v>-5.4986137183128392</v>
      </c>
      <c r="F360" s="20">
        <f t="shared" si="102"/>
        <v>1.49166431155267</v>
      </c>
      <c r="G360" s="20">
        <f t="shared" si="103"/>
        <v>1.49166431155267</v>
      </c>
      <c r="H360" s="20">
        <f t="shared" si="104"/>
        <v>1.49166431155267</v>
      </c>
      <c r="I360" s="17"/>
      <c r="J360" s="20">
        <f t="shared" si="105"/>
        <v>25.109841192362421</v>
      </c>
      <c r="K360" s="20">
        <f t="shared" si="106"/>
        <v>4.0757947807189216E-3</v>
      </c>
      <c r="L360" s="20">
        <f t="shared" si="107"/>
        <v>1.2603080981437154</v>
      </c>
      <c r="M360" s="20">
        <f t="shared" si="108"/>
        <v>1.2603080981437154</v>
      </c>
      <c r="N360" s="20">
        <f t="shared" si="109"/>
        <v>1.2603080981437154</v>
      </c>
      <c r="O360" s="17"/>
      <c r="P360" s="20">
        <f t="shared" si="110"/>
        <v>28.955631186952264</v>
      </c>
      <c r="Q360" s="20">
        <f t="shared" si="111"/>
        <v>76.096008593748309</v>
      </c>
      <c r="R360" s="20">
        <f t="shared" si="112"/>
        <v>0</v>
      </c>
      <c r="S360" s="20">
        <f t="shared" si="113"/>
        <v>0</v>
      </c>
      <c r="T360" s="20">
        <f t="shared" si="114"/>
        <v>0</v>
      </c>
      <c r="U360" s="17"/>
      <c r="V360" s="20">
        <f t="shared" si="115"/>
        <v>105.05163978070057</v>
      </c>
      <c r="W360" s="17"/>
      <c r="X360" s="20">
        <f t="shared" si="116"/>
        <v>95.373384481574362</v>
      </c>
      <c r="Y360" s="20">
        <f t="shared" si="117"/>
        <v>9.7659297807005743</v>
      </c>
      <c r="Z360" s="20"/>
      <c r="AA360" s="20">
        <f t="shared" si="118"/>
        <v>6.382615917894251E-5</v>
      </c>
    </row>
    <row r="361" spans="2:27" x14ac:dyDescent="0.3">
      <c r="B361" s="28">
        <v>32.299999999999997</v>
      </c>
      <c r="C361" s="28">
        <v>99.535709999999995</v>
      </c>
      <c r="D361" s="20">
        <f t="shared" si="100"/>
        <v>28.408279221332769</v>
      </c>
      <c r="E361" s="20">
        <f t="shared" si="101"/>
        <v>-5.4935670959658802</v>
      </c>
      <c r="F361" s="20">
        <f t="shared" si="102"/>
        <v>1.5027754226637802</v>
      </c>
      <c r="G361" s="20">
        <f t="shared" si="103"/>
        <v>1.5027754226637802</v>
      </c>
      <c r="H361" s="20">
        <f t="shared" si="104"/>
        <v>1.5027754226637802</v>
      </c>
      <c r="I361" s="17"/>
      <c r="J361" s="20">
        <f t="shared" si="105"/>
        <v>25.18214404751259</v>
      </c>
      <c r="K361" s="20">
        <f t="shared" si="106"/>
        <v>4.0963316404887765E-3</v>
      </c>
      <c r="L361" s="20">
        <f t="shared" si="107"/>
        <v>1.2665101880112861</v>
      </c>
      <c r="M361" s="20">
        <f t="shared" si="108"/>
        <v>1.2665101880112861</v>
      </c>
      <c r="N361" s="20">
        <f t="shared" si="109"/>
        <v>1.2665101880112861</v>
      </c>
      <c r="O361" s="17"/>
      <c r="P361" s="20">
        <f t="shared" si="110"/>
        <v>28.792761567913853</v>
      </c>
      <c r="Q361" s="20">
        <f t="shared" si="111"/>
        <v>75.712954497496824</v>
      </c>
      <c r="R361" s="20">
        <f t="shared" si="112"/>
        <v>0</v>
      </c>
      <c r="S361" s="20">
        <f t="shared" si="113"/>
        <v>0</v>
      </c>
      <c r="T361" s="20">
        <f t="shared" si="114"/>
        <v>0</v>
      </c>
      <c r="U361" s="17"/>
      <c r="V361" s="20">
        <f t="shared" si="115"/>
        <v>104.50571606541068</v>
      </c>
      <c r="W361" s="17"/>
      <c r="X361" s="20">
        <f t="shared" si="116"/>
        <v>24.700960290219012</v>
      </c>
      <c r="Y361" s="20">
        <f t="shared" si="117"/>
        <v>4.9700060654106863</v>
      </c>
      <c r="Z361" s="20"/>
      <c r="AA361" s="20">
        <f t="shared" si="118"/>
        <v>3.2481945434227383E-5</v>
      </c>
    </row>
    <row r="362" spans="2:27" x14ac:dyDescent="0.3">
      <c r="B362" s="28">
        <v>32.4</v>
      </c>
      <c r="C362" s="28">
        <v>118.53570999999999</v>
      </c>
      <c r="D362" s="20">
        <f t="shared" si="100"/>
        <v>28.48345740163143</v>
      </c>
      <c r="E362" s="20">
        <f t="shared" si="101"/>
        <v>-5.4885204736189213</v>
      </c>
      <c r="F362" s="20">
        <f t="shared" si="102"/>
        <v>1.5138865337748917</v>
      </c>
      <c r="G362" s="20">
        <f t="shared" si="103"/>
        <v>1.5138865337748917</v>
      </c>
      <c r="H362" s="20">
        <f t="shared" si="104"/>
        <v>1.5138865337748917</v>
      </c>
      <c r="I362" s="17"/>
      <c r="J362" s="20">
        <f t="shared" si="105"/>
        <v>25.254454832463377</v>
      </c>
      <c r="K362" s="20">
        <f t="shared" si="106"/>
        <v>4.1169715558260446E-3</v>
      </c>
      <c r="L362" s="20">
        <f t="shared" si="107"/>
        <v>1.2727257070969058</v>
      </c>
      <c r="M362" s="20">
        <f t="shared" si="108"/>
        <v>1.2727257070969058</v>
      </c>
      <c r="N362" s="20">
        <f t="shared" si="109"/>
        <v>1.2727257070969058</v>
      </c>
      <c r="O362" s="17"/>
      <c r="P362" s="20">
        <f t="shared" si="110"/>
        <v>28.631244791429896</v>
      </c>
      <c r="Q362" s="20">
        <f t="shared" si="111"/>
        <v>75.331828692407512</v>
      </c>
      <c r="R362" s="20">
        <f t="shared" si="112"/>
        <v>0</v>
      </c>
      <c r="S362" s="20">
        <f t="shared" si="113"/>
        <v>0</v>
      </c>
      <c r="T362" s="20">
        <f t="shared" si="114"/>
        <v>0</v>
      </c>
      <c r="U362" s="17"/>
      <c r="V362" s="20">
        <f t="shared" si="115"/>
        <v>103.96307348383741</v>
      </c>
      <c r="W362" s="17"/>
      <c r="X362" s="20">
        <f t="shared" si="116"/>
        <v>212.36173503219533</v>
      </c>
      <c r="Y362" s="20">
        <f t="shared" si="117"/>
        <v>14.572636516162589</v>
      </c>
      <c r="Z362" s="20"/>
      <c r="AA362" s="20">
        <f t="shared" si="118"/>
        <v>9.5240846373435668E-5</v>
      </c>
    </row>
    <row r="363" spans="2:27" x14ac:dyDescent="0.3">
      <c r="B363" s="28">
        <v>32.5</v>
      </c>
      <c r="C363" s="28">
        <v>104.03570999999999</v>
      </c>
      <c r="D363" s="20">
        <f t="shared" si="100"/>
        <v>28.558635581930091</v>
      </c>
      <c r="E363" s="20">
        <f t="shared" si="101"/>
        <v>-5.4834738512719614</v>
      </c>
      <c r="F363" s="20">
        <f t="shared" si="102"/>
        <v>1.5249976448860028</v>
      </c>
      <c r="G363" s="20">
        <f t="shared" si="103"/>
        <v>1.5249976448860028</v>
      </c>
      <c r="H363" s="20">
        <f t="shared" si="104"/>
        <v>1.5249976448860028</v>
      </c>
      <c r="I363" s="17"/>
      <c r="J363" s="20">
        <f t="shared" si="105"/>
        <v>25.326773504456344</v>
      </c>
      <c r="K363" s="20">
        <f t="shared" si="106"/>
        <v>4.1377150396030493E-3</v>
      </c>
      <c r="L363" s="20">
        <f t="shared" si="107"/>
        <v>1.2789546108878516</v>
      </c>
      <c r="M363" s="20">
        <f t="shared" si="108"/>
        <v>1.2789546108878516</v>
      </c>
      <c r="N363" s="20">
        <f t="shared" si="109"/>
        <v>1.2789546108878516</v>
      </c>
      <c r="O363" s="17"/>
      <c r="P363" s="20">
        <f t="shared" si="110"/>
        <v>28.471066060308516</v>
      </c>
      <c r="Q363" s="20">
        <f t="shared" si="111"/>
        <v>74.952621471791105</v>
      </c>
      <c r="R363" s="20">
        <f t="shared" si="112"/>
        <v>0</v>
      </c>
      <c r="S363" s="20">
        <f t="shared" si="113"/>
        <v>0</v>
      </c>
      <c r="T363" s="20">
        <f t="shared" si="114"/>
        <v>0</v>
      </c>
      <c r="U363" s="17"/>
      <c r="V363" s="20">
        <f t="shared" si="115"/>
        <v>103.42368753209962</v>
      </c>
      <c r="W363" s="17"/>
      <c r="X363" s="20">
        <f t="shared" si="116"/>
        <v>0.37457150121486443</v>
      </c>
      <c r="Y363" s="20">
        <f t="shared" si="117"/>
        <v>0.61202246790037407</v>
      </c>
      <c r="Z363" s="20"/>
      <c r="AA363" s="20">
        <f t="shared" si="118"/>
        <v>3.9999308140116753E-6</v>
      </c>
    </row>
    <row r="364" spans="2:27" x14ac:dyDescent="0.3">
      <c r="B364" s="28">
        <v>32.6</v>
      </c>
      <c r="C364" s="28">
        <v>100.78570999999999</v>
      </c>
      <c r="D364" s="20">
        <f t="shared" si="100"/>
        <v>28.633813762228751</v>
      </c>
      <c r="E364" s="20">
        <f t="shared" si="101"/>
        <v>-5.4784272289250024</v>
      </c>
      <c r="F364" s="20">
        <f t="shared" si="102"/>
        <v>1.5361087559971138</v>
      </c>
      <c r="G364" s="20">
        <f t="shared" si="103"/>
        <v>1.5361087559971138</v>
      </c>
      <c r="H364" s="20">
        <f t="shared" si="104"/>
        <v>1.5361087559971138</v>
      </c>
      <c r="I364" s="17"/>
      <c r="J364" s="20">
        <f t="shared" si="105"/>
        <v>25.39910002107321</v>
      </c>
      <c r="K364" s="20">
        <f t="shared" si="106"/>
        <v>4.1585626072016381E-3</v>
      </c>
      <c r="L364" s="20">
        <f t="shared" si="107"/>
        <v>1.2851968549046666</v>
      </c>
      <c r="M364" s="20">
        <f t="shared" si="108"/>
        <v>1.2851968549046666</v>
      </c>
      <c r="N364" s="20">
        <f t="shared" si="109"/>
        <v>1.2851968549046666</v>
      </c>
      <c r="O364" s="17"/>
      <c r="P364" s="20">
        <f t="shared" si="110"/>
        <v>28.312210777540407</v>
      </c>
      <c r="Q364" s="20">
        <f t="shared" si="111"/>
        <v>74.575323177821872</v>
      </c>
      <c r="R364" s="20">
        <f t="shared" si="112"/>
        <v>0</v>
      </c>
      <c r="S364" s="20">
        <f t="shared" si="113"/>
        <v>0</v>
      </c>
      <c r="T364" s="20">
        <f t="shared" si="114"/>
        <v>0</v>
      </c>
      <c r="U364" s="17"/>
      <c r="V364" s="20">
        <f t="shared" si="115"/>
        <v>102.88753395536227</v>
      </c>
      <c r="W364" s="17"/>
      <c r="X364" s="20">
        <f t="shared" si="116"/>
        <v>4.4176639393347301</v>
      </c>
      <c r="Y364" s="20">
        <f t="shared" si="117"/>
        <v>2.1018239553622777</v>
      </c>
      <c r="Z364" s="20"/>
      <c r="AA364" s="20">
        <f t="shared" si="118"/>
        <v>1.3736669559735842E-5</v>
      </c>
    </row>
    <row r="365" spans="2:27" x14ac:dyDescent="0.3">
      <c r="B365" s="28">
        <v>32.700000000000003</v>
      </c>
      <c r="C365" s="28">
        <v>100.03572</v>
      </c>
      <c r="D365" s="20">
        <f t="shared" si="100"/>
        <v>28.708991942527412</v>
      </c>
      <c r="E365" s="20">
        <f t="shared" si="101"/>
        <v>-5.4733806065780435</v>
      </c>
      <c r="F365" s="20">
        <f t="shared" si="102"/>
        <v>1.5472198671082253</v>
      </c>
      <c r="G365" s="20">
        <f t="shared" si="103"/>
        <v>1.5472198671082253</v>
      </c>
      <c r="H365" s="20">
        <f t="shared" si="104"/>
        <v>1.5472198671082253</v>
      </c>
      <c r="I365" s="17"/>
      <c r="J365" s="20">
        <f t="shared" si="105"/>
        <v>25.4714343402323</v>
      </c>
      <c r="K365" s="20">
        <f t="shared" si="106"/>
        <v>4.1795147765250531E-3</v>
      </c>
      <c r="L365" s="20">
        <f t="shared" si="107"/>
        <v>1.2914523947034662</v>
      </c>
      <c r="M365" s="20">
        <f t="shared" si="108"/>
        <v>1.2914523947034662</v>
      </c>
      <c r="N365" s="20">
        <f t="shared" si="109"/>
        <v>1.2914523947034662</v>
      </c>
      <c r="O365" s="17"/>
      <c r="P365" s="20">
        <f t="shared" si="110"/>
        <v>28.154664543079168</v>
      </c>
      <c r="Q365" s="20">
        <f t="shared" si="111"/>
        <v>74.199924201291296</v>
      </c>
      <c r="R365" s="20">
        <f t="shared" si="112"/>
        <v>0</v>
      </c>
      <c r="S365" s="20">
        <f t="shared" si="113"/>
        <v>0</v>
      </c>
      <c r="T365" s="20">
        <f t="shared" si="114"/>
        <v>0</v>
      </c>
      <c r="U365" s="17"/>
      <c r="V365" s="20">
        <f t="shared" si="115"/>
        <v>102.35458874437046</v>
      </c>
      <c r="W365" s="17"/>
      <c r="X365" s="20">
        <f t="shared" si="116"/>
        <v>5.3771522536182443</v>
      </c>
      <c r="Y365" s="20">
        <f t="shared" si="117"/>
        <v>2.3188687443704623</v>
      </c>
      <c r="Z365" s="20"/>
      <c r="AA365" s="20">
        <f t="shared" si="118"/>
        <v>1.5155186338299306E-5</v>
      </c>
    </row>
    <row r="366" spans="2:27" x14ac:dyDescent="0.3">
      <c r="B366" s="28">
        <v>32.799999999999997</v>
      </c>
      <c r="C366" s="28">
        <v>116.53570999999999</v>
      </c>
      <c r="D366" s="20">
        <f t="shared" si="100"/>
        <v>28.784170122826065</v>
      </c>
      <c r="E366" s="20">
        <f t="shared" si="101"/>
        <v>-5.4683339842310845</v>
      </c>
      <c r="F366" s="20">
        <f t="shared" si="102"/>
        <v>1.5583309782193355</v>
      </c>
      <c r="G366" s="20">
        <f t="shared" si="103"/>
        <v>1.5583309782193355</v>
      </c>
      <c r="H366" s="20">
        <f t="shared" si="104"/>
        <v>1.5583309782193355</v>
      </c>
      <c r="I366" s="17"/>
      <c r="J366" s="20">
        <f t="shared" si="105"/>
        <v>25.543776420185015</v>
      </c>
      <c r="K366" s="20">
        <f t="shared" si="106"/>
        <v>4.2005720680098266E-3</v>
      </c>
      <c r="L366" s="20">
        <f t="shared" si="107"/>
        <v>1.2977211858782067</v>
      </c>
      <c r="M366" s="20">
        <f t="shared" si="108"/>
        <v>1.2977211858782067</v>
      </c>
      <c r="N366" s="20">
        <f t="shared" si="109"/>
        <v>1.2977211858782067</v>
      </c>
      <c r="O366" s="17"/>
      <c r="P366" s="20">
        <f t="shared" si="110"/>
        <v>27.998413150681706</v>
      </c>
      <c r="Q366" s="20">
        <f t="shared" si="111"/>
        <v>73.826414981363399</v>
      </c>
      <c r="R366" s="20">
        <f t="shared" si="112"/>
        <v>0</v>
      </c>
      <c r="S366" s="20">
        <f t="shared" si="113"/>
        <v>0</v>
      </c>
      <c r="T366" s="20">
        <f t="shared" si="114"/>
        <v>0</v>
      </c>
      <c r="U366" s="17"/>
      <c r="V366" s="20">
        <f t="shared" si="115"/>
        <v>101.8248281320451</v>
      </c>
      <c r="W366" s="17"/>
      <c r="X366" s="20">
        <f t="shared" si="116"/>
        <v>216.41004533292414</v>
      </c>
      <c r="Y366" s="20">
        <f t="shared" si="117"/>
        <v>14.710881867954896</v>
      </c>
      <c r="Z366" s="20"/>
      <c r="AA366" s="20">
        <f t="shared" si="118"/>
        <v>9.6144361965640925E-5</v>
      </c>
    </row>
    <row r="367" spans="2:27" x14ac:dyDescent="0.3">
      <c r="B367" s="28">
        <v>32.9</v>
      </c>
      <c r="C367" s="28">
        <v>99.285709999999995</v>
      </c>
      <c r="D367" s="20">
        <f t="shared" si="100"/>
        <v>28.859348303124726</v>
      </c>
      <c r="E367" s="20">
        <f t="shared" si="101"/>
        <v>-5.4632873618841256</v>
      </c>
      <c r="F367" s="20">
        <f t="shared" si="102"/>
        <v>1.569442089330447</v>
      </c>
      <c r="G367" s="20">
        <f t="shared" si="103"/>
        <v>1.569442089330447</v>
      </c>
      <c r="H367" s="20">
        <f t="shared" si="104"/>
        <v>1.569442089330447</v>
      </c>
      <c r="I367" s="17"/>
      <c r="J367" s="20">
        <f t="shared" si="105"/>
        <v>25.61612621951241</v>
      </c>
      <c r="K367" s="20">
        <f t="shared" si="106"/>
        <v>4.2217350046377207E-3</v>
      </c>
      <c r="L367" s="20">
        <f t="shared" si="107"/>
        <v>1.3040031840629223</v>
      </c>
      <c r="M367" s="20">
        <f t="shared" si="108"/>
        <v>1.3040031840629223</v>
      </c>
      <c r="N367" s="20">
        <f t="shared" si="109"/>
        <v>1.3040031840629223</v>
      </c>
      <c r="O367" s="17"/>
      <c r="P367" s="20">
        <f t="shared" si="110"/>
        <v>27.843442584807043</v>
      </c>
      <c r="Q367" s="20">
        <f t="shared" si="111"/>
        <v>73.454786005331513</v>
      </c>
      <c r="R367" s="20">
        <f t="shared" si="112"/>
        <v>0</v>
      </c>
      <c r="S367" s="20">
        <f t="shared" si="113"/>
        <v>0</v>
      </c>
      <c r="T367" s="20">
        <f t="shared" si="114"/>
        <v>0</v>
      </c>
      <c r="U367" s="17"/>
      <c r="V367" s="20">
        <f t="shared" si="115"/>
        <v>101.29822859013856</v>
      </c>
      <c r="W367" s="17"/>
      <c r="X367" s="20">
        <f t="shared" si="116"/>
        <v>4.0502310756533344</v>
      </c>
      <c r="Y367" s="20">
        <f t="shared" si="117"/>
        <v>2.0125185901385692</v>
      </c>
      <c r="Z367" s="20"/>
      <c r="AA367" s="20">
        <f t="shared" si="118"/>
        <v>1.3153005885687478E-5</v>
      </c>
    </row>
    <row r="368" spans="2:27" x14ac:dyDescent="0.3">
      <c r="B368" s="28">
        <v>33</v>
      </c>
      <c r="C368" s="28">
        <v>88.535709999999995</v>
      </c>
      <c r="D368" s="20">
        <f t="shared" si="100"/>
        <v>28.934526483423387</v>
      </c>
      <c r="E368" s="20">
        <f t="shared" si="101"/>
        <v>-5.4582407395371657</v>
      </c>
      <c r="F368" s="20">
        <f t="shared" si="102"/>
        <v>1.5805532004415586</v>
      </c>
      <c r="G368" s="20">
        <f t="shared" si="103"/>
        <v>1.5805532004415586</v>
      </c>
      <c r="H368" s="20">
        <f t="shared" si="104"/>
        <v>1.5805532004415586</v>
      </c>
      <c r="I368" s="17"/>
      <c r="J368" s="20">
        <f t="shared" si="105"/>
        <v>25.688483697121701</v>
      </c>
      <c r="K368" s="20">
        <f t="shared" si="106"/>
        <v>4.2430041119477548E-3</v>
      </c>
      <c r="L368" s="20">
        <f t="shared" si="107"/>
        <v>1.3102983449339149</v>
      </c>
      <c r="M368" s="20">
        <f t="shared" si="108"/>
        <v>1.3102983449339149</v>
      </c>
      <c r="N368" s="20">
        <f t="shared" si="109"/>
        <v>1.3102983449339149</v>
      </c>
      <c r="O368" s="17"/>
      <c r="P368" s="20">
        <f t="shared" si="110"/>
        <v>27.689739017572858</v>
      </c>
      <c r="Q368" s="20">
        <f t="shared" si="111"/>
        <v>73.0850278083756</v>
      </c>
      <c r="R368" s="20">
        <f t="shared" si="112"/>
        <v>0</v>
      </c>
      <c r="S368" s="20">
        <f t="shared" si="113"/>
        <v>0</v>
      </c>
      <c r="T368" s="20">
        <f t="shared" si="114"/>
        <v>0</v>
      </c>
      <c r="U368" s="17"/>
      <c r="V368" s="20">
        <f t="shared" si="115"/>
        <v>100.77476682594846</v>
      </c>
      <c r="W368" s="17"/>
      <c r="X368" s="20">
        <f t="shared" si="116"/>
        <v>149.79451198879576</v>
      </c>
      <c r="Y368" s="20">
        <f t="shared" si="117"/>
        <v>12.239056825948467</v>
      </c>
      <c r="Z368" s="20"/>
      <c r="AA368" s="20">
        <f t="shared" si="118"/>
        <v>7.9989515255051444E-5</v>
      </c>
    </row>
    <row r="369" spans="2:27" x14ac:dyDescent="0.3">
      <c r="B369" s="28">
        <v>33.1</v>
      </c>
      <c r="C369" s="28">
        <v>93.035709999999995</v>
      </c>
      <c r="D369" s="20">
        <f t="shared" si="100"/>
        <v>29.009704663722047</v>
      </c>
      <c r="E369" s="20">
        <f t="shared" si="101"/>
        <v>-5.4531941171902067</v>
      </c>
      <c r="F369" s="20">
        <f t="shared" si="102"/>
        <v>1.5916643115526696</v>
      </c>
      <c r="G369" s="20">
        <f t="shared" si="103"/>
        <v>1.5916643115526696</v>
      </c>
      <c r="H369" s="20">
        <f t="shared" si="104"/>
        <v>1.5916643115526696</v>
      </c>
      <c r="I369" s="17"/>
      <c r="J369" s="20">
        <f t="shared" si="105"/>
        <v>25.76084881224293</v>
      </c>
      <c r="K369" s="20">
        <f t="shared" si="106"/>
        <v>4.2643799180482334E-3</v>
      </c>
      <c r="L369" s="20">
        <f t="shared" si="107"/>
        <v>1.3166066242119143</v>
      </c>
      <c r="M369" s="20">
        <f t="shared" si="108"/>
        <v>1.3166066242119143</v>
      </c>
      <c r="N369" s="20">
        <f t="shared" si="109"/>
        <v>1.3166066242119143</v>
      </c>
      <c r="O369" s="17"/>
      <c r="P369" s="20">
        <f t="shared" si="110"/>
        <v>27.537288805767897</v>
      </c>
      <c r="Q369" s="20">
        <f t="shared" si="111"/>
        <v>72.717130973321687</v>
      </c>
      <c r="R369" s="20">
        <f t="shared" si="112"/>
        <v>0</v>
      </c>
      <c r="S369" s="20">
        <f t="shared" si="113"/>
        <v>0</v>
      </c>
      <c r="T369" s="20">
        <f t="shared" si="114"/>
        <v>0</v>
      </c>
      <c r="U369" s="17"/>
      <c r="V369" s="20">
        <f t="shared" si="115"/>
        <v>100.25441977908959</v>
      </c>
      <c r="W369" s="17"/>
      <c r="X369" s="20">
        <f t="shared" si="116"/>
        <v>52.109770874723722</v>
      </c>
      <c r="Y369" s="20">
        <f t="shared" si="117"/>
        <v>7.2187097790895933</v>
      </c>
      <c r="Z369" s="20"/>
      <c r="AA369" s="20">
        <f t="shared" si="118"/>
        <v>4.7178561567919568E-5</v>
      </c>
    </row>
    <row r="370" spans="2:27" x14ac:dyDescent="0.3">
      <c r="B370" s="28">
        <v>33.200000000000003</v>
      </c>
      <c r="C370" s="28">
        <v>89.285709999999995</v>
      </c>
      <c r="D370" s="20">
        <f t="shared" ref="D370:D433" si="119">$C$23/(1-$C$23)-LN((1-$C$23)/$C$23)+$C$22/(1-$C$23)*B370</f>
        <v>29.084882844020708</v>
      </c>
      <c r="E370" s="20">
        <f t="shared" ref="E370:E433" si="120">$D$23/(1-$D$23)-LN((1-$D$23)/$D$23)+$D$22*B370/(1-$D$23)</f>
        <v>-5.4481474948432478</v>
      </c>
      <c r="F370" s="20">
        <f t="shared" ref="F370:F433" si="121">$E$23/(1-$E$23)-LN((1-$E$23)/$E$23)+$E$22*B370/(1-$E$23)</f>
        <v>1.6027754226637807</v>
      </c>
      <c r="G370" s="20">
        <f t="shared" ref="G370:G433" si="122">$F$23/(1-$F$23)-LN((1-$F$23)/$F$23)+$F$22*B370/(1-$F$23)</f>
        <v>1.6027754226637807</v>
      </c>
      <c r="H370" s="20">
        <f t="shared" ref="H370:H433" si="123">$G$23/(1-$G$23)-LN((1-$G$23)/$G$23)+$G$22*B370/(1-$G$23)</f>
        <v>1.6027754226637807</v>
      </c>
      <c r="I370" s="17"/>
      <c r="J370" s="20">
        <f t="shared" ref="J370:J433" si="124">lmb_2(D370)</f>
        <v>25.833221524425632</v>
      </c>
      <c r="K370" s="20">
        <f t="shared" ref="K370:K433" si="125">lmb_2(E370)</f>
        <v>4.2858629536288891E-3</v>
      </c>
      <c r="L370" s="20">
        <f t="shared" ref="L370:L433" si="126">lmb_2(F370)</f>
        <v>1.3229279776641987</v>
      </c>
      <c r="M370" s="20">
        <f t="shared" ref="M370:M433" si="127">lmb_2(G370)</f>
        <v>1.3229279776641987</v>
      </c>
      <c r="N370" s="20">
        <f t="shared" ref="N370:N433" si="128">lmb_2(H370)</f>
        <v>1.3229279776641987</v>
      </c>
      <c r="O370" s="17"/>
      <c r="P370" s="20">
        <f t="shared" ref="P370:P433" si="129">($C$21*$A$21*$C$22)/(J370+J370^2)</f>
        <v>27.386078487919608</v>
      </c>
      <c r="Q370" s="20">
        <f t="shared" ref="Q370:Q433" si="130">($D$21*$A$21*$D$22)/(K370+K370^2)</f>
        <v>72.351086130401512</v>
      </c>
      <c r="R370" s="20">
        <f t="shared" ref="R370:R433" si="131">($E$21*$A$21*$E$22)/(L370+L370^2)</f>
        <v>0</v>
      </c>
      <c r="S370" s="20">
        <f t="shared" ref="S370:S433" si="132">($F$21*$A$21*$F$22)/(M370+M370^2)</f>
        <v>0</v>
      </c>
      <c r="T370" s="20">
        <f t="shared" ref="T370:T433" si="133">($G$21*$A$21*$G$22)/(N370+N370^2)</f>
        <v>0</v>
      </c>
      <c r="U370" s="17"/>
      <c r="V370" s="20">
        <f t="shared" ref="V370:V433" si="134">SUM(P370:T370)</f>
        <v>99.737164618321117</v>
      </c>
      <c r="W370" s="17"/>
      <c r="X370" s="20">
        <f t="shared" ref="X370:X433" si="135">(V370-C370)^2</f>
        <v>109.23290363882592</v>
      </c>
      <c r="Y370" s="20">
        <f t="shared" ref="Y370:Y433" si="136">ABS(V370-C370)</f>
        <v>10.451454618321122</v>
      </c>
      <c r="Z370" s="20"/>
      <c r="AA370" s="20">
        <f t="shared" ref="AA370:AA433" si="137">Y370/$Z$39</f>
        <v>6.8306471692918943E-5</v>
      </c>
    </row>
    <row r="371" spans="2:27" x14ac:dyDescent="0.3">
      <c r="B371" s="28">
        <v>33.299999999999997</v>
      </c>
      <c r="C371" s="28">
        <v>112.03570999999999</v>
      </c>
      <c r="D371" s="20">
        <f t="shared" si="119"/>
        <v>29.160061024319365</v>
      </c>
      <c r="E371" s="20">
        <f t="shared" si="120"/>
        <v>-5.4431008724962888</v>
      </c>
      <c r="F371" s="20">
        <f t="shared" si="121"/>
        <v>1.6138865337748918</v>
      </c>
      <c r="G371" s="20">
        <f t="shared" si="122"/>
        <v>1.6138865337748918</v>
      </c>
      <c r="H371" s="20">
        <f t="shared" si="123"/>
        <v>1.6138865337748918</v>
      </c>
      <c r="I371" s="17"/>
      <c r="J371" s="20">
        <f t="shared" si="124"/>
        <v>25.90560179353551</v>
      </c>
      <c r="K371" s="20">
        <f t="shared" si="125"/>
        <v>4.3074537519730196E-3</v>
      </c>
      <c r="L371" s="20">
        <f t="shared" si="126"/>
        <v>1.3292623611066772</v>
      </c>
      <c r="M371" s="20">
        <f t="shared" si="127"/>
        <v>1.3292623611066772</v>
      </c>
      <c r="N371" s="20">
        <f t="shared" si="128"/>
        <v>1.3292623611066772</v>
      </c>
      <c r="O371" s="17"/>
      <c r="P371" s="20">
        <f t="shared" si="129"/>
        <v>27.236094781415609</v>
      </c>
      <c r="Q371" s="20">
        <f t="shared" si="130"/>
        <v>71.986883957014243</v>
      </c>
      <c r="R371" s="20">
        <f t="shared" si="131"/>
        <v>0</v>
      </c>
      <c r="S371" s="20">
        <f t="shared" si="132"/>
        <v>0</v>
      </c>
      <c r="T371" s="20">
        <f t="shared" si="133"/>
        <v>0</v>
      </c>
      <c r="U371" s="17"/>
      <c r="V371" s="20">
        <f t="shared" si="134"/>
        <v>99.222978738429845</v>
      </c>
      <c r="W371" s="17"/>
      <c r="X371" s="20">
        <f t="shared" si="135"/>
        <v>164.166082381217</v>
      </c>
      <c r="Y371" s="20">
        <f t="shared" si="136"/>
        <v>12.81273126157015</v>
      </c>
      <c r="Z371" s="20"/>
      <c r="AA371" s="20">
        <f t="shared" si="137"/>
        <v>8.3738818871511902E-5</v>
      </c>
    </row>
    <row r="372" spans="2:27" x14ac:dyDescent="0.3">
      <c r="B372" s="28">
        <v>33.4</v>
      </c>
      <c r="C372" s="28">
        <v>106.03570999999999</v>
      </c>
      <c r="D372" s="20">
        <f t="shared" si="119"/>
        <v>29.235239204618026</v>
      </c>
      <c r="E372" s="20">
        <f t="shared" si="120"/>
        <v>-5.4380542501493299</v>
      </c>
      <c r="F372" s="20">
        <f t="shared" si="121"/>
        <v>1.6249976448860024</v>
      </c>
      <c r="G372" s="20">
        <f t="shared" si="122"/>
        <v>1.6249976448860024</v>
      </c>
      <c r="H372" s="20">
        <f t="shared" si="123"/>
        <v>1.6249976448860024</v>
      </c>
      <c r="I372" s="17"/>
      <c r="J372" s="20">
        <f t="shared" si="124"/>
        <v>25.97798957975122</v>
      </c>
      <c r="K372" s="20">
        <f t="shared" si="125"/>
        <v>4.3291528489697133E-3</v>
      </c>
      <c r="L372" s="20">
        <f t="shared" si="126"/>
        <v>1.3356097304059378</v>
      </c>
      <c r="M372" s="20">
        <f t="shared" si="127"/>
        <v>1.3356097304059378</v>
      </c>
      <c r="N372" s="20">
        <f t="shared" si="128"/>
        <v>1.3356097304059378</v>
      </c>
      <c r="O372" s="17"/>
      <c r="P372" s="20">
        <f t="shared" si="129"/>
        <v>27.087324579677851</v>
      </c>
      <c r="Q372" s="20">
        <f t="shared" si="130"/>
        <v>71.624515177488902</v>
      </c>
      <c r="R372" s="20">
        <f t="shared" si="131"/>
        <v>0</v>
      </c>
      <c r="S372" s="20">
        <f t="shared" si="132"/>
        <v>0</v>
      </c>
      <c r="T372" s="20">
        <f t="shared" si="133"/>
        <v>0</v>
      </c>
      <c r="U372" s="17"/>
      <c r="V372" s="20">
        <f t="shared" si="134"/>
        <v>98.711839757166757</v>
      </c>
      <c r="W372" s="17"/>
      <c r="X372" s="20">
        <f t="shared" si="135"/>
        <v>53.63907533385818</v>
      </c>
      <c r="Y372" s="20">
        <f t="shared" si="136"/>
        <v>7.3238702428332374</v>
      </c>
      <c r="Z372" s="20"/>
      <c r="AA372" s="20">
        <f t="shared" si="137"/>
        <v>4.7865847740250797E-5</v>
      </c>
    </row>
    <row r="373" spans="2:27" x14ac:dyDescent="0.3">
      <c r="B373" s="28">
        <v>33.5</v>
      </c>
      <c r="C373" s="28">
        <v>86.035709999999995</v>
      </c>
      <c r="D373" s="20">
        <f t="shared" si="119"/>
        <v>29.310417384916686</v>
      </c>
      <c r="E373" s="20">
        <f t="shared" si="120"/>
        <v>-5.43300762780237</v>
      </c>
      <c r="F373" s="20">
        <f t="shared" si="121"/>
        <v>1.6361087559971139</v>
      </c>
      <c r="G373" s="20">
        <f t="shared" si="122"/>
        <v>1.6361087559971139</v>
      </c>
      <c r="H373" s="20">
        <f t="shared" si="123"/>
        <v>1.6361087559971139</v>
      </c>
      <c r="I373" s="17"/>
      <c r="J373" s="20">
        <f t="shared" si="124"/>
        <v>26.05038484356113</v>
      </c>
      <c r="K373" s="20">
        <f t="shared" si="125"/>
        <v>4.3509607831261222E-3</v>
      </c>
      <c r="L373" s="20">
        <f t="shared" si="126"/>
        <v>1.3419700414812596</v>
      </c>
      <c r="M373" s="20">
        <f t="shared" si="127"/>
        <v>1.3419700414812596</v>
      </c>
      <c r="N373" s="20">
        <f t="shared" si="128"/>
        <v>1.3419700414812596</v>
      </c>
      <c r="O373" s="17"/>
      <c r="P373" s="20">
        <f t="shared" si="129"/>
        <v>26.939754949388533</v>
      </c>
      <c r="Q373" s="20">
        <f t="shared" si="130"/>
        <v>71.263970562848073</v>
      </c>
      <c r="R373" s="20">
        <f t="shared" si="131"/>
        <v>0</v>
      </c>
      <c r="S373" s="20">
        <f t="shared" si="132"/>
        <v>0</v>
      </c>
      <c r="T373" s="20">
        <f t="shared" si="133"/>
        <v>0</v>
      </c>
      <c r="U373" s="17"/>
      <c r="V373" s="20">
        <f t="shared" si="134"/>
        <v>98.203725512236602</v>
      </c>
      <c r="W373" s="17"/>
      <c r="X373" s="20">
        <f t="shared" si="135"/>
        <v>148.06060150603071</v>
      </c>
      <c r="Y373" s="20">
        <f t="shared" si="136"/>
        <v>12.168015512236607</v>
      </c>
      <c r="Z373" s="20"/>
      <c r="AA373" s="20">
        <f t="shared" si="137"/>
        <v>7.9525218019757462E-5</v>
      </c>
    </row>
    <row r="374" spans="2:27" x14ac:dyDescent="0.3">
      <c r="B374" s="28">
        <v>33.6</v>
      </c>
      <c r="C374" s="28">
        <v>99.285709999999995</v>
      </c>
      <c r="D374" s="20">
        <f t="shared" si="119"/>
        <v>29.385595565215347</v>
      </c>
      <c r="E374" s="20">
        <f t="shared" si="120"/>
        <v>-5.427961005455411</v>
      </c>
      <c r="F374" s="20">
        <f t="shared" si="121"/>
        <v>1.647219867108225</v>
      </c>
      <c r="G374" s="20">
        <f t="shared" si="122"/>
        <v>1.647219867108225</v>
      </c>
      <c r="H374" s="20">
        <f t="shared" si="123"/>
        <v>1.647219867108225</v>
      </c>
      <c r="I374" s="17"/>
      <c r="J374" s="20">
        <f t="shared" si="124"/>
        <v>26.122787545760168</v>
      </c>
      <c r="K374" s="20">
        <f t="shared" si="125"/>
        <v>4.3728780955797596E-3</v>
      </c>
      <c r="L374" s="20">
        <f t="shared" si="126"/>
        <v>1.3483432503065851</v>
      </c>
      <c r="M374" s="20">
        <f t="shared" si="127"/>
        <v>1.3483432503065851</v>
      </c>
      <c r="N374" s="20">
        <f t="shared" si="128"/>
        <v>1.3483432503065851</v>
      </c>
      <c r="O374" s="17"/>
      <c r="P374" s="20">
        <f t="shared" si="129"/>
        <v>26.793373127766486</v>
      </c>
      <c r="Q374" s="20">
        <f t="shared" si="130"/>
        <v>70.905240930573171</v>
      </c>
      <c r="R374" s="20">
        <f t="shared" si="131"/>
        <v>0</v>
      </c>
      <c r="S374" s="20">
        <f t="shared" si="132"/>
        <v>0</v>
      </c>
      <c r="T374" s="20">
        <f t="shared" si="133"/>
        <v>0</v>
      </c>
      <c r="U374" s="17"/>
      <c r="V374" s="20">
        <f t="shared" si="134"/>
        <v>97.698614058339658</v>
      </c>
      <c r="W374" s="17"/>
      <c r="X374" s="20">
        <f t="shared" si="135"/>
        <v>2.5188735280347117</v>
      </c>
      <c r="Y374" s="20">
        <f t="shared" si="136"/>
        <v>1.587095941660337</v>
      </c>
      <c r="Z374" s="20"/>
      <c r="AA374" s="20">
        <f t="shared" si="137"/>
        <v>1.0372615867549228E-5</v>
      </c>
    </row>
    <row r="375" spans="2:27" x14ac:dyDescent="0.3">
      <c r="B375" s="28">
        <v>33.700000000000003</v>
      </c>
      <c r="C375" s="28">
        <v>78.035709999999995</v>
      </c>
      <c r="D375" s="20">
        <f t="shared" si="119"/>
        <v>29.460773745514008</v>
      </c>
      <c r="E375" s="20">
        <f t="shared" si="120"/>
        <v>-5.4229143831084521</v>
      </c>
      <c r="F375" s="20">
        <f t="shared" si="121"/>
        <v>1.6583309782193365</v>
      </c>
      <c r="G375" s="20">
        <f t="shared" si="122"/>
        <v>1.6583309782193365</v>
      </c>
      <c r="H375" s="20">
        <f t="shared" si="123"/>
        <v>1.6583309782193365</v>
      </c>
      <c r="I375" s="17"/>
      <c r="J375" s="20">
        <f t="shared" si="124"/>
        <v>26.195197647446683</v>
      </c>
      <c r="K375" s="20">
        <f t="shared" si="125"/>
        <v>4.3949053301109032E-3</v>
      </c>
      <c r="L375" s="20">
        <f t="shared" si="126"/>
        <v>1.3547293129124633</v>
      </c>
      <c r="M375" s="20">
        <f t="shared" si="127"/>
        <v>1.3547293129124633</v>
      </c>
      <c r="N375" s="20">
        <f t="shared" si="128"/>
        <v>1.3547293129124633</v>
      </c>
      <c r="O375" s="17"/>
      <c r="P375" s="20">
        <f t="shared" si="129"/>
        <v>26.648166519893227</v>
      </c>
      <c r="Q375" s="20">
        <f t="shared" si="130"/>
        <v>70.548317144370131</v>
      </c>
      <c r="R375" s="20">
        <f t="shared" si="131"/>
        <v>0</v>
      </c>
      <c r="S375" s="20">
        <f t="shared" si="132"/>
        <v>0</v>
      </c>
      <c r="T375" s="20">
        <f t="shared" si="133"/>
        <v>0</v>
      </c>
      <c r="U375" s="17"/>
      <c r="V375" s="20">
        <f t="shared" si="134"/>
        <v>97.196483664263354</v>
      </c>
      <c r="W375" s="17"/>
      <c r="X375" s="20">
        <f t="shared" si="135"/>
        <v>367.13524741312835</v>
      </c>
      <c r="Y375" s="20">
        <f t="shared" si="136"/>
        <v>19.16077366426336</v>
      </c>
      <c r="Z375" s="20"/>
      <c r="AA375" s="20">
        <f t="shared" si="137"/>
        <v>1.2522705132528937E-4</v>
      </c>
    </row>
    <row r="376" spans="2:27" x14ac:dyDescent="0.3">
      <c r="B376" s="28">
        <v>33.799999999999997</v>
      </c>
      <c r="C376" s="28">
        <v>95.535709999999995</v>
      </c>
      <c r="D376" s="20">
        <f t="shared" si="119"/>
        <v>29.535951925812661</v>
      </c>
      <c r="E376" s="20">
        <f t="shared" si="120"/>
        <v>-5.4178677607614931</v>
      </c>
      <c r="F376" s="20">
        <f t="shared" si="121"/>
        <v>1.6694420893304471</v>
      </c>
      <c r="G376" s="20">
        <f t="shared" si="122"/>
        <v>1.6694420893304471</v>
      </c>
      <c r="H376" s="20">
        <f t="shared" si="123"/>
        <v>1.6694420893304471</v>
      </c>
      <c r="I376" s="17"/>
      <c r="J376" s="20">
        <f t="shared" si="124"/>
        <v>26.267615110019356</v>
      </c>
      <c r="K376" s="20">
        <f t="shared" si="125"/>
        <v>4.4170430331550064E-3</v>
      </c>
      <c r="L376" s="20">
        <f t="shared" si="126"/>
        <v>1.3611281853879518</v>
      </c>
      <c r="M376" s="20">
        <f t="shared" si="127"/>
        <v>1.3611281853879518</v>
      </c>
      <c r="N376" s="20">
        <f t="shared" si="128"/>
        <v>1.3611281853879518</v>
      </c>
      <c r="O376" s="17"/>
      <c r="P376" s="20">
        <f t="shared" si="129"/>
        <v>26.504122696087414</v>
      </c>
      <c r="Q376" s="20">
        <f t="shared" si="130"/>
        <v>70.193190113936978</v>
      </c>
      <c r="R376" s="20">
        <f t="shared" si="131"/>
        <v>0</v>
      </c>
      <c r="S376" s="20">
        <f t="shared" si="132"/>
        <v>0</v>
      </c>
      <c r="T376" s="20">
        <f t="shared" si="133"/>
        <v>0</v>
      </c>
      <c r="U376" s="17"/>
      <c r="V376" s="20">
        <f t="shared" si="134"/>
        <v>96.697312810024385</v>
      </c>
      <c r="W376" s="17"/>
      <c r="X376" s="20">
        <f t="shared" si="135"/>
        <v>1.3493210882565612</v>
      </c>
      <c r="Y376" s="20">
        <f t="shared" si="136"/>
        <v>1.1616028100243909</v>
      </c>
      <c r="Z376" s="20"/>
      <c r="AA376" s="20">
        <f t="shared" si="137"/>
        <v>7.5917652000570806E-6</v>
      </c>
    </row>
    <row r="377" spans="2:27" x14ac:dyDescent="0.3">
      <c r="B377" s="28">
        <v>33.9</v>
      </c>
      <c r="C377" s="28">
        <v>93.535709999999995</v>
      </c>
      <c r="D377" s="20">
        <f t="shared" si="119"/>
        <v>29.611130106111322</v>
      </c>
      <c r="E377" s="20">
        <f t="shared" si="120"/>
        <v>-5.4128211384145333</v>
      </c>
      <c r="F377" s="20">
        <f t="shared" si="121"/>
        <v>1.6805532004415582</v>
      </c>
      <c r="G377" s="20">
        <f t="shared" si="122"/>
        <v>1.6805532004415582</v>
      </c>
      <c r="H377" s="20">
        <f t="shared" si="123"/>
        <v>1.6805532004415582</v>
      </c>
      <c r="I377" s="17"/>
      <c r="J377" s="20">
        <f t="shared" si="124"/>
        <v>26.340039895174169</v>
      </c>
      <c r="K377" s="20">
        <f t="shared" si="125"/>
        <v>4.4392917538151888E-3</v>
      </c>
      <c r="L377" s="20">
        <f t="shared" si="126"/>
        <v>1.3675398238824898</v>
      </c>
      <c r="M377" s="20">
        <f t="shared" si="127"/>
        <v>1.3675398238824898</v>
      </c>
      <c r="N377" s="20">
        <f t="shared" si="128"/>
        <v>1.3675398238824898</v>
      </c>
      <c r="O377" s="17"/>
      <c r="P377" s="20">
        <f t="shared" si="129"/>
        <v>26.361229389326848</v>
      </c>
      <c r="Q377" s="20">
        <f t="shared" si="130"/>
        <v>69.839850794732214</v>
      </c>
      <c r="R377" s="20">
        <f t="shared" si="131"/>
        <v>0</v>
      </c>
      <c r="S377" s="20">
        <f t="shared" si="132"/>
        <v>0</v>
      </c>
      <c r="T377" s="20">
        <f t="shared" si="133"/>
        <v>0</v>
      </c>
      <c r="U377" s="17"/>
      <c r="V377" s="20">
        <f t="shared" si="134"/>
        <v>96.201080184059066</v>
      </c>
      <c r="W377" s="17"/>
      <c r="X377" s="20">
        <f t="shared" si="135"/>
        <v>7.1041982180710876</v>
      </c>
      <c r="Y377" s="20">
        <f t="shared" si="136"/>
        <v>2.6653701840590713</v>
      </c>
      <c r="Z377" s="20"/>
      <c r="AA377" s="20">
        <f t="shared" si="137"/>
        <v>1.7419779320424085E-5</v>
      </c>
    </row>
    <row r="378" spans="2:27" x14ac:dyDescent="0.3">
      <c r="B378" s="28">
        <v>34</v>
      </c>
      <c r="C378" s="28">
        <v>95.535709999999995</v>
      </c>
      <c r="D378" s="20">
        <f t="shared" si="119"/>
        <v>29.686308286409982</v>
      </c>
      <c r="E378" s="20">
        <f t="shared" si="120"/>
        <v>-5.4077745160675743</v>
      </c>
      <c r="F378" s="20">
        <f t="shared" si="121"/>
        <v>1.6916643115526697</v>
      </c>
      <c r="G378" s="20">
        <f t="shared" si="122"/>
        <v>1.6916643115526697</v>
      </c>
      <c r="H378" s="20">
        <f t="shared" si="123"/>
        <v>1.6916643115526697</v>
      </c>
      <c r="I378" s="17"/>
      <c r="J378" s="20">
        <f t="shared" si="124"/>
        <v>26.412471964901354</v>
      </c>
      <c r="K378" s="20">
        <f t="shared" si="125"/>
        <v>4.4616520438747493E-3</v>
      </c>
      <c r="L378" s="20">
        <f t="shared" si="126"/>
        <v>1.37396418460773</v>
      </c>
      <c r="M378" s="20">
        <f t="shared" si="127"/>
        <v>1.37396418460773</v>
      </c>
      <c r="N378" s="20">
        <f t="shared" si="128"/>
        <v>1.37396418460773</v>
      </c>
      <c r="O378" s="17"/>
      <c r="P378" s="20">
        <f t="shared" si="129"/>
        <v>26.219474492717101</v>
      </c>
      <c r="Q378" s="20">
        <f t="shared" si="130"/>
        <v>69.488290187744738</v>
      </c>
      <c r="R378" s="20">
        <f t="shared" si="131"/>
        <v>0</v>
      </c>
      <c r="S378" s="20">
        <f t="shared" si="132"/>
        <v>0</v>
      </c>
      <c r="T378" s="20">
        <f t="shared" si="133"/>
        <v>0</v>
      </c>
      <c r="U378" s="17"/>
      <c r="V378" s="20">
        <f t="shared" si="134"/>
        <v>95.707764680461835</v>
      </c>
      <c r="W378" s="17"/>
      <c r="X378" s="20">
        <f t="shared" si="135"/>
        <v>2.9602813068826145E-2</v>
      </c>
      <c r="Y378" s="20">
        <f t="shared" si="136"/>
        <v>0.1720546804618408</v>
      </c>
      <c r="Z378" s="20"/>
      <c r="AA378" s="20">
        <f t="shared" si="137"/>
        <v>1.1244796623810826E-6</v>
      </c>
    </row>
    <row r="379" spans="2:27" x14ac:dyDescent="0.3">
      <c r="B379" s="28">
        <v>34.1</v>
      </c>
      <c r="C379" s="28">
        <v>123.53570999999999</v>
      </c>
      <c r="D379" s="20">
        <f t="shared" si="119"/>
        <v>29.761486466708643</v>
      </c>
      <c r="E379" s="20">
        <f t="shared" si="120"/>
        <v>-5.4027278937206153</v>
      </c>
      <c r="F379" s="20">
        <f t="shared" si="121"/>
        <v>1.7027754226637803</v>
      </c>
      <c r="G379" s="20">
        <f t="shared" si="122"/>
        <v>1.7027754226637803</v>
      </c>
      <c r="H379" s="20">
        <f t="shared" si="123"/>
        <v>1.7027754226637803</v>
      </c>
      <c r="I379" s="17"/>
      <c r="J379" s="20">
        <f t="shared" si="124"/>
        <v>26.484911281482443</v>
      </c>
      <c r="K379" s="20">
        <f t="shared" si="125"/>
        <v>4.4841244578097839E-3</v>
      </c>
      <c r="L379" s="20">
        <f t="shared" si="126"/>
        <v>1.3804012238393406</v>
      </c>
      <c r="M379" s="20">
        <f t="shared" si="127"/>
        <v>1.3804012238393406</v>
      </c>
      <c r="N379" s="20">
        <f t="shared" si="128"/>
        <v>1.3804012238393406</v>
      </c>
      <c r="O379" s="17"/>
      <c r="P379" s="20">
        <f t="shared" si="129"/>
        <v>26.078846057005606</v>
      </c>
      <c r="Q379" s="20">
        <f t="shared" si="130"/>
        <v>69.1384993392642</v>
      </c>
      <c r="R379" s="20">
        <f t="shared" si="131"/>
        <v>0</v>
      </c>
      <c r="S379" s="20">
        <f t="shared" si="132"/>
        <v>0</v>
      </c>
      <c r="T379" s="20">
        <f t="shared" si="133"/>
        <v>0</v>
      </c>
      <c r="U379" s="17"/>
      <c r="V379" s="20">
        <f t="shared" si="134"/>
        <v>95.217345396269806</v>
      </c>
      <c r="W379" s="17"/>
      <c r="X379" s="20">
        <f t="shared" si="135"/>
        <v>801.92977382979882</v>
      </c>
      <c r="Y379" s="20">
        <f t="shared" si="136"/>
        <v>28.318364603730188</v>
      </c>
      <c r="Z379" s="20"/>
      <c r="AA379" s="20">
        <f t="shared" si="137"/>
        <v>1.8507735438123884E-4</v>
      </c>
    </row>
    <row r="380" spans="2:27" x14ac:dyDescent="0.3">
      <c r="B380" s="28">
        <v>34.200000000000003</v>
      </c>
      <c r="C380" s="28">
        <v>98.035709999999995</v>
      </c>
      <c r="D380" s="20">
        <f t="shared" si="119"/>
        <v>29.836664647007304</v>
      </c>
      <c r="E380" s="20">
        <f t="shared" si="120"/>
        <v>-5.3976812713736564</v>
      </c>
      <c r="F380" s="20">
        <f t="shared" si="121"/>
        <v>1.7138865337748919</v>
      </c>
      <c r="G380" s="20">
        <f t="shared" si="122"/>
        <v>1.7138865337748919</v>
      </c>
      <c r="H380" s="20">
        <f t="shared" si="123"/>
        <v>1.7138865337748919</v>
      </c>
      <c r="I380" s="17"/>
      <c r="J380" s="20">
        <f t="shared" si="124"/>
        <v>26.557357807487332</v>
      </c>
      <c r="K380" s="20">
        <f t="shared" si="125"/>
        <v>4.506709552801815E-3</v>
      </c>
      <c r="L380" s="20">
        <f t="shared" si="126"/>
        <v>1.3868508979187752</v>
      </c>
      <c r="M380" s="20">
        <f t="shared" si="127"/>
        <v>1.3868508979187752</v>
      </c>
      <c r="N380" s="20">
        <f t="shared" si="128"/>
        <v>1.3868508979187752</v>
      </c>
      <c r="O380" s="17"/>
      <c r="P380" s="20">
        <f t="shared" si="129"/>
        <v>25.939332288140509</v>
      </c>
      <c r="Q380" s="20">
        <f t="shared" si="130"/>
        <v>68.790469340653274</v>
      </c>
      <c r="R380" s="20">
        <f t="shared" si="131"/>
        <v>0</v>
      </c>
      <c r="S380" s="20">
        <f t="shared" si="132"/>
        <v>0</v>
      </c>
      <c r="T380" s="20">
        <f t="shared" si="133"/>
        <v>0</v>
      </c>
      <c r="U380" s="17"/>
      <c r="V380" s="20">
        <f t="shared" si="134"/>
        <v>94.72980162879378</v>
      </c>
      <c r="W380" s="17"/>
      <c r="X380" s="20">
        <f t="shared" si="135"/>
        <v>10.929030158811328</v>
      </c>
      <c r="Y380" s="20">
        <f t="shared" si="136"/>
        <v>3.3059083712062147</v>
      </c>
      <c r="Z380" s="20"/>
      <c r="AA380" s="20">
        <f t="shared" si="137"/>
        <v>2.1606077318781395E-5</v>
      </c>
    </row>
    <row r="381" spans="2:27" x14ac:dyDescent="0.3">
      <c r="B381" s="28">
        <v>34.299999999999997</v>
      </c>
      <c r="C381" s="28">
        <v>74.785709999999995</v>
      </c>
      <c r="D381" s="20">
        <f t="shared" si="119"/>
        <v>29.911842827305961</v>
      </c>
      <c r="E381" s="20">
        <f t="shared" si="120"/>
        <v>-5.3926346490266965</v>
      </c>
      <c r="F381" s="20">
        <f t="shared" si="121"/>
        <v>1.7249976448860025</v>
      </c>
      <c r="G381" s="20">
        <f t="shared" si="122"/>
        <v>1.7249976448860025</v>
      </c>
      <c r="H381" s="20">
        <f t="shared" si="123"/>
        <v>1.7249976448860025</v>
      </c>
      <c r="I381" s="17"/>
      <c r="J381" s="20">
        <f t="shared" si="124"/>
        <v>26.629811505771361</v>
      </c>
      <c r="K381" s="20">
        <f t="shared" si="125"/>
        <v>4.5294078887504891E-3</v>
      </c>
      <c r="L381" s="20">
        <f t="shared" si="126"/>
        <v>1.3933131632550015</v>
      </c>
      <c r="M381" s="20">
        <f t="shared" si="127"/>
        <v>1.3933131632550015</v>
      </c>
      <c r="N381" s="20">
        <f t="shared" si="128"/>
        <v>1.3933131632550015</v>
      </c>
      <c r="O381" s="17"/>
      <c r="P381" s="20">
        <f t="shared" si="129"/>
        <v>25.800921544873184</v>
      </c>
      <c r="Q381" s="20">
        <f t="shared" si="130"/>
        <v>68.444191328120652</v>
      </c>
      <c r="R381" s="20">
        <f t="shared" si="131"/>
        <v>0</v>
      </c>
      <c r="S381" s="20">
        <f t="shared" si="132"/>
        <v>0</v>
      </c>
      <c r="T381" s="20">
        <f t="shared" si="133"/>
        <v>0</v>
      </c>
      <c r="U381" s="17"/>
      <c r="V381" s="20">
        <f t="shared" si="134"/>
        <v>94.245112872993843</v>
      </c>
      <c r="W381" s="17"/>
      <c r="X381" s="20">
        <f t="shared" si="135"/>
        <v>378.66836017348123</v>
      </c>
      <c r="Y381" s="20">
        <f t="shared" si="136"/>
        <v>19.459402872993849</v>
      </c>
      <c r="Z381" s="20"/>
      <c r="AA381" s="20">
        <f t="shared" si="137"/>
        <v>1.271787708071948E-4</v>
      </c>
    </row>
    <row r="382" spans="2:27" x14ac:dyDescent="0.3">
      <c r="B382" s="28">
        <v>34.4</v>
      </c>
      <c r="C382" s="28">
        <v>114.53570999999999</v>
      </c>
      <c r="D382" s="20">
        <f t="shared" si="119"/>
        <v>29.987021007604621</v>
      </c>
      <c r="E382" s="20">
        <f t="shared" si="120"/>
        <v>-5.3875880266797376</v>
      </c>
      <c r="F382" s="20">
        <f t="shared" si="121"/>
        <v>1.7361087559971136</v>
      </c>
      <c r="G382" s="20">
        <f t="shared" si="122"/>
        <v>1.7361087559971136</v>
      </c>
      <c r="H382" s="20">
        <f t="shared" si="123"/>
        <v>1.7361087559971136</v>
      </c>
      <c r="I382" s="17"/>
      <c r="J382" s="20">
        <f t="shared" si="124"/>
        <v>26.702272339472472</v>
      </c>
      <c r="K382" s="20">
        <f t="shared" si="125"/>
        <v>4.5522200282863195E-3</v>
      </c>
      <c r="L382" s="20">
        <f t="shared" si="126"/>
        <v>1.3997879763262067</v>
      </c>
      <c r="M382" s="20">
        <f t="shared" si="127"/>
        <v>1.3997879763262067</v>
      </c>
      <c r="N382" s="20">
        <f t="shared" si="128"/>
        <v>1.3997879763262067</v>
      </c>
      <c r="O382" s="17"/>
      <c r="P382" s="20">
        <f t="shared" si="129"/>
        <v>25.663602336403677</v>
      </c>
      <c r="Q382" s="20">
        <f t="shared" si="130"/>
        <v>68.099656482495504</v>
      </c>
      <c r="R382" s="20">
        <f t="shared" si="131"/>
        <v>0</v>
      </c>
      <c r="S382" s="20">
        <f t="shared" si="132"/>
        <v>0</v>
      </c>
      <c r="T382" s="20">
        <f t="shared" si="133"/>
        <v>0</v>
      </c>
      <c r="U382" s="17"/>
      <c r="V382" s="20">
        <f t="shared" si="134"/>
        <v>93.763258818899175</v>
      </c>
      <c r="W382" s="17"/>
      <c r="X382" s="20">
        <f t="shared" si="135"/>
        <v>431.49472807121685</v>
      </c>
      <c r="Y382" s="20">
        <f t="shared" si="136"/>
        <v>20.77245118110082</v>
      </c>
      <c r="Z382" s="20"/>
      <c r="AA382" s="20">
        <f t="shared" si="137"/>
        <v>1.3576032240594741E-4</v>
      </c>
    </row>
    <row r="383" spans="2:27" x14ac:dyDescent="0.3">
      <c r="B383" s="28">
        <v>34.5</v>
      </c>
      <c r="C383" s="28">
        <v>98.535709999999995</v>
      </c>
      <c r="D383" s="20">
        <f t="shared" si="119"/>
        <v>30.062199187903282</v>
      </c>
      <c r="E383" s="20">
        <f t="shared" si="120"/>
        <v>-5.3825414043327786</v>
      </c>
      <c r="F383" s="20">
        <f t="shared" si="121"/>
        <v>1.7472198671082251</v>
      </c>
      <c r="G383" s="20">
        <f t="shared" si="122"/>
        <v>1.7472198671082251</v>
      </c>
      <c r="H383" s="20">
        <f t="shared" si="123"/>
        <v>1.7472198671082251</v>
      </c>
      <c r="I383" s="17"/>
      <c r="J383" s="20">
        <f t="shared" si="124"/>
        <v>26.774740272008362</v>
      </c>
      <c r="K383" s="20">
        <f t="shared" si="125"/>
        <v>4.5751465367835165E-3</v>
      </c>
      <c r="L383" s="20">
        <f t="shared" si="126"/>
        <v>1.4062752936814611</v>
      </c>
      <c r="M383" s="20">
        <f t="shared" si="127"/>
        <v>1.4062752936814611</v>
      </c>
      <c r="N383" s="20">
        <f t="shared" si="128"/>
        <v>1.4062752936814611</v>
      </c>
      <c r="O383" s="17"/>
      <c r="P383" s="20">
        <f t="shared" si="129"/>
        <v>25.527363320068115</v>
      </c>
      <c r="Q383" s="20">
        <f t="shared" si="130"/>
        <v>67.756856029002506</v>
      </c>
      <c r="R383" s="20">
        <f t="shared" si="131"/>
        <v>0</v>
      </c>
      <c r="S383" s="20">
        <f t="shared" si="132"/>
        <v>0</v>
      </c>
      <c r="T383" s="20">
        <f t="shared" si="133"/>
        <v>0</v>
      </c>
      <c r="U383" s="17"/>
      <c r="V383" s="20">
        <f t="shared" si="134"/>
        <v>93.284219349070625</v>
      </c>
      <c r="W383" s="17"/>
      <c r="X383" s="20">
        <f t="shared" si="135"/>
        <v>27.578154056798574</v>
      </c>
      <c r="Y383" s="20">
        <f t="shared" si="136"/>
        <v>5.2514906509293695</v>
      </c>
      <c r="Z383" s="20"/>
      <c r="AA383" s="20">
        <f t="shared" si="137"/>
        <v>3.4321614607073445E-5</v>
      </c>
    </row>
    <row r="384" spans="2:27" x14ac:dyDescent="0.3">
      <c r="B384" s="28">
        <v>34.6</v>
      </c>
      <c r="C384" s="28">
        <v>93.535709999999995</v>
      </c>
      <c r="D384" s="20">
        <f t="shared" si="119"/>
        <v>30.137377368201943</v>
      </c>
      <c r="E384" s="20">
        <f t="shared" si="120"/>
        <v>-5.3774947819858196</v>
      </c>
      <c r="F384" s="20">
        <f t="shared" si="121"/>
        <v>1.7583309782193366</v>
      </c>
      <c r="G384" s="20">
        <f t="shared" si="122"/>
        <v>1.7583309782193366</v>
      </c>
      <c r="H384" s="20">
        <f t="shared" si="123"/>
        <v>1.7583309782193366</v>
      </c>
      <c r="I384" s="17"/>
      <c r="J384" s="20">
        <f t="shared" si="124"/>
        <v>26.847215267073693</v>
      </c>
      <c r="K384" s="20">
        <f t="shared" si="125"/>
        <v>4.5981879823728308E-3</v>
      </c>
      <c r="L384" s="20">
        <f t="shared" si="126"/>
        <v>1.4127750719423555</v>
      </c>
      <c r="M384" s="20">
        <f t="shared" si="127"/>
        <v>1.4127750719423555</v>
      </c>
      <c r="N384" s="20">
        <f t="shared" si="128"/>
        <v>1.4127750719423555</v>
      </c>
      <c r="O384" s="17"/>
      <c r="P384" s="20">
        <f t="shared" si="129"/>
        <v>25.392193299067223</v>
      </c>
      <c r="Q384" s="20">
        <f t="shared" si="130"/>
        <v>67.415781237038601</v>
      </c>
      <c r="R384" s="20">
        <f t="shared" si="131"/>
        <v>0</v>
      </c>
      <c r="S384" s="20">
        <f t="shared" si="132"/>
        <v>0</v>
      </c>
      <c r="T384" s="20">
        <f t="shared" si="133"/>
        <v>0</v>
      </c>
      <c r="U384" s="17"/>
      <c r="V384" s="20">
        <f t="shared" si="134"/>
        <v>92.807974536105831</v>
      </c>
      <c r="W384" s="17"/>
      <c r="X384" s="20">
        <f t="shared" si="135"/>
        <v>0.52959890540925281</v>
      </c>
      <c r="Y384" s="20">
        <f t="shared" si="136"/>
        <v>0.7277354638941631</v>
      </c>
      <c r="Z384" s="20"/>
      <c r="AA384" s="20">
        <f t="shared" si="137"/>
        <v>4.756184060473386E-6</v>
      </c>
    </row>
    <row r="385" spans="2:27" x14ac:dyDescent="0.3">
      <c r="B385" s="28">
        <v>34.700000000000003</v>
      </c>
      <c r="C385" s="28">
        <v>88.785709999999995</v>
      </c>
      <c r="D385" s="20">
        <f t="shared" si="119"/>
        <v>30.212555548500603</v>
      </c>
      <c r="E385" s="20">
        <f t="shared" si="120"/>
        <v>-5.3724481596388598</v>
      </c>
      <c r="F385" s="20">
        <f t="shared" si="121"/>
        <v>1.7694420893304477</v>
      </c>
      <c r="G385" s="20">
        <f t="shared" si="122"/>
        <v>1.7694420893304477</v>
      </c>
      <c r="H385" s="20">
        <f t="shared" si="123"/>
        <v>1.7694420893304477</v>
      </c>
      <c r="I385" s="17"/>
      <c r="J385" s="20">
        <f t="shared" si="124"/>
        <v>26.919697288637327</v>
      </c>
      <c r="K385" s="20">
        <f t="shared" si="125"/>
        <v>4.6213449359544774E-3</v>
      </c>
      <c r="L385" s="20">
        <f t="shared" si="126"/>
        <v>1.4192872678046018</v>
      </c>
      <c r="M385" s="20">
        <f t="shared" si="127"/>
        <v>1.4192872678046018</v>
      </c>
      <c r="N385" s="20">
        <f t="shared" si="128"/>
        <v>1.4192872678046018</v>
      </c>
      <c r="O385" s="17"/>
      <c r="P385" s="20">
        <f t="shared" si="129"/>
        <v>25.258081220235216</v>
      </c>
      <c r="Q385" s="20">
        <f t="shared" si="130"/>
        <v>67.076423419950586</v>
      </c>
      <c r="R385" s="20">
        <f t="shared" si="131"/>
        <v>0</v>
      </c>
      <c r="S385" s="20">
        <f t="shared" si="132"/>
        <v>0</v>
      </c>
      <c r="T385" s="20">
        <f t="shared" si="133"/>
        <v>0</v>
      </c>
      <c r="U385" s="17"/>
      <c r="V385" s="20">
        <f t="shared" si="134"/>
        <v>92.334504640185799</v>
      </c>
      <c r="W385" s="17"/>
      <c r="X385" s="20">
        <f t="shared" si="135"/>
        <v>12.59394339821149</v>
      </c>
      <c r="Y385" s="20">
        <f t="shared" si="136"/>
        <v>3.5487946401858039</v>
      </c>
      <c r="Z385" s="20"/>
      <c r="AA385" s="20">
        <f t="shared" si="137"/>
        <v>2.3193483537583698E-5</v>
      </c>
    </row>
    <row r="386" spans="2:27" x14ac:dyDescent="0.3">
      <c r="B386" s="28">
        <v>34.799999999999997</v>
      </c>
      <c r="C386" s="28">
        <v>101.28570999999999</v>
      </c>
      <c r="D386" s="20">
        <f t="shared" si="119"/>
        <v>30.28773372879926</v>
      </c>
      <c r="E386" s="20">
        <f t="shared" si="120"/>
        <v>-5.3674015372919008</v>
      </c>
      <c r="F386" s="20">
        <f t="shared" si="121"/>
        <v>1.7805532004415583</v>
      </c>
      <c r="G386" s="20">
        <f t="shared" si="122"/>
        <v>1.7805532004415583</v>
      </c>
      <c r="H386" s="20">
        <f t="shared" si="123"/>
        <v>1.7805532004415583</v>
      </c>
      <c r="I386" s="17"/>
      <c r="J386" s="20">
        <f t="shared" si="124"/>
        <v>26.992186300939608</v>
      </c>
      <c r="K386" s="20">
        <f t="shared" si="125"/>
        <v>4.6446179712110944E-3</v>
      </c>
      <c r="L386" s="20">
        <f t="shared" si="126"/>
        <v>1.4258118380396052</v>
      </c>
      <c r="M386" s="20">
        <f t="shared" si="127"/>
        <v>1.4258118380396052</v>
      </c>
      <c r="N386" s="20">
        <f t="shared" si="128"/>
        <v>1.4258118380396052</v>
      </c>
      <c r="O386" s="17"/>
      <c r="P386" s="20">
        <f t="shared" si="129"/>
        <v>25.125016171848138</v>
      </c>
      <c r="Q386" s="20">
        <f t="shared" si="130"/>
        <v>66.738773934814034</v>
      </c>
      <c r="R386" s="20">
        <f t="shared" si="131"/>
        <v>0</v>
      </c>
      <c r="S386" s="20">
        <f t="shared" si="132"/>
        <v>0</v>
      </c>
      <c r="T386" s="20">
        <f t="shared" si="133"/>
        <v>0</v>
      </c>
      <c r="U386" s="17"/>
      <c r="V386" s="20">
        <f t="shared" si="134"/>
        <v>91.863790106662179</v>
      </c>
      <c r="W386" s="17"/>
      <c r="X386" s="20">
        <f t="shared" si="135"/>
        <v>88.772574476474873</v>
      </c>
      <c r="Y386" s="20">
        <f t="shared" si="136"/>
        <v>9.4219198933378152</v>
      </c>
      <c r="Z386" s="20"/>
      <c r="AA386" s="20">
        <f t="shared" si="137"/>
        <v>6.1577849973060587E-5</v>
      </c>
    </row>
    <row r="387" spans="2:27" x14ac:dyDescent="0.3">
      <c r="B387" s="28">
        <v>34.9</v>
      </c>
      <c r="C387" s="28">
        <v>95.285709999999995</v>
      </c>
      <c r="D387" s="20">
        <f t="shared" si="119"/>
        <v>30.362911909097921</v>
      </c>
      <c r="E387" s="20">
        <f t="shared" si="120"/>
        <v>-5.3623549149449419</v>
      </c>
      <c r="F387" s="20">
        <f t="shared" si="121"/>
        <v>1.7916643115526694</v>
      </c>
      <c r="G387" s="20">
        <f t="shared" si="122"/>
        <v>1.7916643115526694</v>
      </c>
      <c r="H387" s="20">
        <f t="shared" si="123"/>
        <v>1.7916643115526694</v>
      </c>
      <c r="I387" s="17"/>
      <c r="J387" s="20">
        <f t="shared" si="124"/>
        <v>27.064682268489673</v>
      </c>
      <c r="K387" s="20">
        <f t="shared" si="125"/>
        <v>4.6680076646207925E-3</v>
      </c>
      <c r="L387" s="20">
        <f t="shared" si="126"/>
        <v>1.4323487394960035</v>
      </c>
      <c r="M387" s="20">
        <f t="shared" si="127"/>
        <v>1.4323487394960035</v>
      </c>
      <c r="N387" s="20">
        <f t="shared" si="128"/>
        <v>1.4323487394960035</v>
      </c>
      <c r="O387" s="17"/>
      <c r="P387" s="20">
        <f t="shared" si="129"/>
        <v>24.992987381470886</v>
      </c>
      <c r="Q387" s="20">
        <f t="shared" si="130"/>
        <v>66.402824182212839</v>
      </c>
      <c r="R387" s="20">
        <f t="shared" si="131"/>
        <v>0</v>
      </c>
      <c r="S387" s="20">
        <f t="shared" si="132"/>
        <v>0</v>
      </c>
      <c r="T387" s="20">
        <f t="shared" si="133"/>
        <v>0</v>
      </c>
      <c r="U387" s="17"/>
      <c r="V387" s="20">
        <f t="shared" si="134"/>
        <v>91.395811563683722</v>
      </c>
      <c r="W387" s="17"/>
      <c r="X387" s="20">
        <f t="shared" si="135"/>
        <v>15.131309844855782</v>
      </c>
      <c r="Y387" s="20">
        <f t="shared" si="136"/>
        <v>3.8898984363162725</v>
      </c>
      <c r="Z387" s="20"/>
      <c r="AA387" s="20">
        <f t="shared" si="137"/>
        <v>2.54227997089317E-5</v>
      </c>
    </row>
    <row r="388" spans="2:27" x14ac:dyDescent="0.3">
      <c r="B388" s="28">
        <v>35</v>
      </c>
      <c r="C388" s="28">
        <v>104.53570999999999</v>
      </c>
      <c r="D388" s="20">
        <f t="shared" si="119"/>
        <v>30.438090089396582</v>
      </c>
      <c r="E388" s="20">
        <f t="shared" si="120"/>
        <v>-5.3573082925979829</v>
      </c>
      <c r="F388" s="20">
        <f t="shared" si="121"/>
        <v>1.8027754226637804</v>
      </c>
      <c r="G388" s="20">
        <f t="shared" si="122"/>
        <v>1.8027754226637804</v>
      </c>
      <c r="H388" s="20">
        <f t="shared" si="123"/>
        <v>1.8027754226637804</v>
      </c>
      <c r="I388" s="17"/>
      <c r="J388" s="20">
        <f t="shared" si="124"/>
        <v>27.137185156062777</v>
      </c>
      <c r="K388" s="20">
        <f t="shared" si="125"/>
        <v>4.691514595470226E-3</v>
      </c>
      <c r="L388" s="20">
        <f t="shared" si="126"/>
        <v>1.4388979291011734</v>
      </c>
      <c r="M388" s="20">
        <f t="shared" si="127"/>
        <v>1.4388979291011734</v>
      </c>
      <c r="N388" s="20">
        <f t="shared" si="128"/>
        <v>1.4388979291011734</v>
      </c>
      <c r="O388" s="17"/>
      <c r="P388" s="20">
        <f t="shared" si="129"/>
        <v>24.861984213842266</v>
      </c>
      <c r="Q388" s="20">
        <f t="shared" si="130"/>
        <v>66.068565606020414</v>
      </c>
      <c r="R388" s="20">
        <f t="shared" si="131"/>
        <v>0</v>
      </c>
      <c r="S388" s="20">
        <f t="shared" si="132"/>
        <v>0</v>
      </c>
      <c r="T388" s="20">
        <f t="shared" si="133"/>
        <v>0</v>
      </c>
      <c r="U388" s="17"/>
      <c r="V388" s="20">
        <f t="shared" si="134"/>
        <v>90.930549819862676</v>
      </c>
      <c r="W388" s="17"/>
      <c r="X388" s="20">
        <f t="shared" si="135"/>
        <v>185.10038352719411</v>
      </c>
      <c r="Y388" s="20">
        <f t="shared" si="136"/>
        <v>13.605160180137318</v>
      </c>
      <c r="Z388" s="20"/>
      <c r="AA388" s="20">
        <f t="shared" si="137"/>
        <v>8.8917813133217215E-5</v>
      </c>
    </row>
    <row r="389" spans="2:27" x14ac:dyDescent="0.3">
      <c r="B389" s="28">
        <v>35.1</v>
      </c>
      <c r="C389" s="28">
        <v>91.285709999999995</v>
      </c>
      <c r="D389" s="20">
        <f t="shared" si="119"/>
        <v>30.513268269695242</v>
      </c>
      <c r="E389" s="20">
        <f t="shared" si="120"/>
        <v>-5.3522616702510231</v>
      </c>
      <c r="F389" s="20">
        <f t="shared" si="121"/>
        <v>1.813886533774892</v>
      </c>
      <c r="G389" s="20">
        <f t="shared" si="122"/>
        <v>1.813886533774892</v>
      </c>
      <c r="H389" s="20">
        <f t="shared" si="123"/>
        <v>1.813886533774892</v>
      </c>
      <c r="I389" s="17"/>
      <c r="J389" s="20">
        <f t="shared" si="124"/>
        <v>27.209694928697679</v>
      </c>
      <c r="K389" s="20">
        <f t="shared" si="125"/>
        <v>4.7151393458677313E-3</v>
      </c>
      <c r="L389" s="20">
        <f t="shared" si="126"/>
        <v>1.4454593638627087</v>
      </c>
      <c r="M389" s="20">
        <f t="shared" si="127"/>
        <v>1.4454593638627087</v>
      </c>
      <c r="N389" s="20">
        <f t="shared" si="128"/>
        <v>1.4454593638627087</v>
      </c>
      <c r="O389" s="17"/>
      <c r="P389" s="20">
        <f t="shared" si="129"/>
        <v>24.731996168797092</v>
      </c>
      <c r="Q389" s="20">
        <f t="shared" si="130"/>
        <v>65.735989693181779</v>
      </c>
      <c r="R389" s="20">
        <f t="shared" si="131"/>
        <v>0</v>
      </c>
      <c r="S389" s="20">
        <f t="shared" si="132"/>
        <v>0</v>
      </c>
      <c r="T389" s="20">
        <f t="shared" si="133"/>
        <v>0</v>
      </c>
      <c r="U389" s="17"/>
      <c r="V389" s="20">
        <f t="shared" si="134"/>
        <v>90.467985861978875</v>
      </c>
      <c r="W389" s="17"/>
      <c r="X389" s="20">
        <f t="shared" si="135"/>
        <v>0.66867276590238367</v>
      </c>
      <c r="Y389" s="20">
        <f t="shared" si="136"/>
        <v>0.81772413802111998</v>
      </c>
      <c r="Z389" s="20"/>
      <c r="AA389" s="20">
        <f t="shared" si="137"/>
        <v>5.3443135645867273E-6</v>
      </c>
    </row>
    <row r="390" spans="2:27" x14ac:dyDescent="0.3">
      <c r="B390" s="28">
        <v>35.200000000000003</v>
      </c>
      <c r="C390" s="28">
        <v>89.535709999999995</v>
      </c>
      <c r="D390" s="20">
        <f t="shared" si="119"/>
        <v>30.588446449993903</v>
      </c>
      <c r="E390" s="20">
        <f t="shared" si="120"/>
        <v>-5.3472150479040641</v>
      </c>
      <c r="F390" s="20">
        <f t="shared" si="121"/>
        <v>1.824997644886003</v>
      </c>
      <c r="G390" s="20">
        <f t="shared" si="122"/>
        <v>1.824997644886003</v>
      </c>
      <c r="H390" s="20">
        <f t="shared" si="123"/>
        <v>1.824997644886003</v>
      </c>
      <c r="I390" s="17"/>
      <c r="J390" s="20">
        <f t="shared" si="124"/>
        <v>27.28221155169404</v>
      </c>
      <c r="K390" s="20">
        <f t="shared" si="125"/>
        <v>4.7388825007565177E-3</v>
      </c>
      <c r="L390" s="20">
        <f t="shared" si="126"/>
        <v>1.452033000869865</v>
      </c>
      <c r="M390" s="20">
        <f t="shared" si="127"/>
        <v>1.452033000869865</v>
      </c>
      <c r="N390" s="20">
        <f t="shared" si="128"/>
        <v>1.452033000869865</v>
      </c>
      <c r="O390" s="17"/>
      <c r="P390" s="20">
        <f t="shared" si="129"/>
        <v>24.603012879224814</v>
      </c>
      <c r="Q390" s="20">
        <f t="shared" si="130"/>
        <v>65.405087973496791</v>
      </c>
      <c r="R390" s="20">
        <f t="shared" si="131"/>
        <v>0</v>
      </c>
      <c r="S390" s="20">
        <f t="shared" si="132"/>
        <v>0</v>
      </c>
      <c r="T390" s="20">
        <f t="shared" si="133"/>
        <v>0</v>
      </c>
      <c r="U390" s="17"/>
      <c r="V390" s="20">
        <f t="shared" si="134"/>
        <v>90.008100852721611</v>
      </c>
      <c r="W390" s="17"/>
      <c r="X390" s="20">
        <f t="shared" si="135"/>
        <v>0.22315311773505619</v>
      </c>
      <c r="Y390" s="20">
        <f t="shared" si="136"/>
        <v>0.47239085272161674</v>
      </c>
      <c r="Z390" s="20"/>
      <c r="AA390" s="20">
        <f t="shared" si="137"/>
        <v>3.0873551661277026E-6</v>
      </c>
    </row>
    <row r="391" spans="2:27" x14ac:dyDescent="0.3">
      <c r="B391" s="28">
        <v>35.299999999999997</v>
      </c>
      <c r="C391" s="28">
        <v>71.785709999999995</v>
      </c>
      <c r="D391" s="20">
        <f t="shared" si="119"/>
        <v>30.663624630292556</v>
      </c>
      <c r="E391" s="20">
        <f t="shared" si="120"/>
        <v>-5.3421684255571051</v>
      </c>
      <c r="F391" s="20">
        <f t="shared" si="121"/>
        <v>1.8361087559971137</v>
      </c>
      <c r="G391" s="20">
        <f t="shared" si="122"/>
        <v>1.8361087559971137</v>
      </c>
      <c r="H391" s="20">
        <f t="shared" si="123"/>
        <v>1.8361087559971137</v>
      </c>
      <c r="I391" s="17"/>
      <c r="J391" s="20">
        <f t="shared" si="124"/>
        <v>27.354734990609845</v>
      </c>
      <c r="K391" s="20">
        <f t="shared" si="125"/>
        <v>4.7627446479279285E-3</v>
      </c>
      <c r="L391" s="20">
        <f t="shared" si="126"/>
        <v>1.458618797294978</v>
      </c>
      <c r="M391" s="20">
        <f t="shared" si="127"/>
        <v>1.458618797294978</v>
      </c>
      <c r="N391" s="20">
        <f t="shared" si="128"/>
        <v>1.458618797294978</v>
      </c>
      <c r="O391" s="17"/>
      <c r="P391" s="20">
        <f t="shared" si="129"/>
        <v>24.475024109063813</v>
      </c>
      <c r="Q391" s="20">
        <f t="shared" si="130"/>
        <v>65.075852019404238</v>
      </c>
      <c r="R391" s="20">
        <f t="shared" si="131"/>
        <v>0</v>
      </c>
      <c r="S391" s="20">
        <f t="shared" si="132"/>
        <v>0</v>
      </c>
      <c r="T391" s="20">
        <f t="shared" si="133"/>
        <v>0</v>
      </c>
      <c r="U391" s="17"/>
      <c r="V391" s="20">
        <f t="shared" si="134"/>
        <v>89.550876128468047</v>
      </c>
      <c r="W391" s="17"/>
      <c r="X391" s="20">
        <f t="shared" si="135"/>
        <v>315.60112757206861</v>
      </c>
      <c r="Y391" s="20">
        <f t="shared" si="136"/>
        <v>17.765166128468053</v>
      </c>
      <c r="Z391" s="20"/>
      <c r="AA391" s="20">
        <f t="shared" si="137"/>
        <v>1.1610592607339217E-4</v>
      </c>
    </row>
    <row r="392" spans="2:27" x14ac:dyDescent="0.3">
      <c r="B392" s="28">
        <v>35.4</v>
      </c>
      <c r="C392" s="28">
        <v>99.535709999999995</v>
      </c>
      <c r="D392" s="20">
        <f t="shared" si="119"/>
        <v>30.738802810591217</v>
      </c>
      <c r="E392" s="20">
        <f t="shared" si="120"/>
        <v>-5.3371218032101462</v>
      </c>
      <c r="F392" s="20">
        <f t="shared" si="121"/>
        <v>1.8472198671082247</v>
      </c>
      <c r="G392" s="20">
        <f t="shared" si="122"/>
        <v>1.8472198671082247</v>
      </c>
      <c r="H392" s="20">
        <f t="shared" si="123"/>
        <v>1.8472198671082247</v>
      </c>
      <c r="I392" s="17"/>
      <c r="J392" s="20">
        <f t="shared" si="124"/>
        <v>27.42726521125892</v>
      </c>
      <c r="K392" s="20">
        <f t="shared" si="125"/>
        <v>4.7867263780347466E-3</v>
      </c>
      <c r="L392" s="20">
        <f t="shared" si="126"/>
        <v>1.4652167103948484</v>
      </c>
      <c r="M392" s="20">
        <f t="shared" si="127"/>
        <v>1.4652167103948484</v>
      </c>
      <c r="N392" s="20">
        <f t="shared" si="128"/>
        <v>1.4652167103948484</v>
      </c>
      <c r="O392" s="17"/>
      <c r="P392" s="20">
        <f t="shared" si="129"/>
        <v>24.348019751330646</v>
      </c>
      <c r="Q392" s="20">
        <f t="shared" si="130"/>
        <v>64.748273445767353</v>
      </c>
      <c r="R392" s="20">
        <f t="shared" si="131"/>
        <v>0</v>
      </c>
      <c r="S392" s="20">
        <f t="shared" si="132"/>
        <v>0</v>
      </c>
      <c r="T392" s="20">
        <f t="shared" si="133"/>
        <v>0</v>
      </c>
      <c r="U392" s="17"/>
      <c r="V392" s="20">
        <f t="shared" si="134"/>
        <v>89.096293197097992</v>
      </c>
      <c r="W392" s="17"/>
      <c r="X392" s="20">
        <f t="shared" si="135"/>
        <v>108.98142318471267</v>
      </c>
      <c r="Y392" s="20">
        <f t="shared" si="136"/>
        <v>10.439416802902002</v>
      </c>
      <c r="Z392" s="20"/>
      <c r="AA392" s="20">
        <f t="shared" si="137"/>
        <v>6.8227797409941201E-5</v>
      </c>
    </row>
    <row r="393" spans="2:27" x14ac:dyDescent="0.3">
      <c r="B393" s="28">
        <v>35.5</v>
      </c>
      <c r="C393" s="28">
        <v>86.035709999999995</v>
      </c>
      <c r="D393" s="20">
        <f t="shared" si="119"/>
        <v>30.813980990889878</v>
      </c>
      <c r="E393" s="20">
        <f t="shared" si="120"/>
        <v>-5.3320751808631872</v>
      </c>
      <c r="F393" s="20">
        <f t="shared" si="121"/>
        <v>1.8583309782193362</v>
      </c>
      <c r="G393" s="20">
        <f t="shared" si="122"/>
        <v>1.8583309782193362</v>
      </c>
      <c r="H393" s="20">
        <f t="shared" si="123"/>
        <v>1.8583309782193362</v>
      </c>
      <c r="I393" s="17"/>
      <c r="J393" s="20">
        <f t="shared" si="124"/>
        <v>27.499802179708375</v>
      </c>
      <c r="K393" s="20">
        <f t="shared" si="125"/>
        <v>4.8108282846045522E-3</v>
      </c>
      <c r="L393" s="20">
        <f t="shared" si="126"/>
        <v>1.4718266975120982</v>
      </c>
      <c r="M393" s="20">
        <f t="shared" si="127"/>
        <v>1.4718266975120982</v>
      </c>
      <c r="N393" s="20">
        <f t="shared" si="128"/>
        <v>1.4718266975120982</v>
      </c>
      <c r="O393" s="17"/>
      <c r="P393" s="20">
        <f t="shared" si="129"/>
        <v>24.221989826183709</v>
      </c>
      <c r="Q393" s="20">
        <f t="shared" si="130"/>
        <v>64.422343909660185</v>
      </c>
      <c r="R393" s="20">
        <f t="shared" si="131"/>
        <v>0</v>
      </c>
      <c r="S393" s="20">
        <f t="shared" si="132"/>
        <v>0</v>
      </c>
      <c r="T393" s="20">
        <f t="shared" si="133"/>
        <v>0</v>
      </c>
      <c r="U393" s="17"/>
      <c r="V393" s="20">
        <f t="shared" si="134"/>
        <v>88.644333735843901</v>
      </c>
      <c r="W393" s="17"/>
      <c r="X393" s="20">
        <f t="shared" si="135"/>
        <v>6.8049177952082189</v>
      </c>
      <c r="Y393" s="20">
        <f t="shared" si="136"/>
        <v>2.6086237358439064</v>
      </c>
      <c r="Z393" s="20"/>
      <c r="AA393" s="20">
        <f t="shared" si="137"/>
        <v>1.7048907532693404E-5</v>
      </c>
    </row>
    <row r="394" spans="2:27" x14ac:dyDescent="0.3">
      <c r="B394" s="28">
        <v>35.6</v>
      </c>
      <c r="C394" s="28">
        <v>67.785709999999995</v>
      </c>
      <c r="D394" s="20">
        <f t="shared" si="119"/>
        <v>30.889159171188538</v>
      </c>
      <c r="E394" s="20">
        <f t="shared" si="120"/>
        <v>-5.3270285585162274</v>
      </c>
      <c r="F394" s="20">
        <f t="shared" si="121"/>
        <v>1.8694420893304478</v>
      </c>
      <c r="G394" s="20">
        <f t="shared" si="122"/>
        <v>1.8694420893304478</v>
      </c>
      <c r="H394" s="20">
        <f t="shared" si="123"/>
        <v>1.8694420893304478</v>
      </c>
      <c r="I394" s="17"/>
      <c r="J394" s="20">
        <f t="shared" si="124"/>
        <v>27.572345862276155</v>
      </c>
      <c r="K394" s="20">
        <f t="shared" si="125"/>
        <v>4.8350509640531511E-3</v>
      </c>
      <c r="L394" s="20">
        <f t="shared" si="126"/>
        <v>1.478448716076497</v>
      </c>
      <c r="M394" s="20">
        <f t="shared" si="127"/>
        <v>1.478448716076497</v>
      </c>
      <c r="N394" s="20">
        <f t="shared" si="128"/>
        <v>1.478448716076497</v>
      </c>
      <c r="O394" s="17"/>
      <c r="P394" s="20">
        <f t="shared" si="129"/>
        <v>24.096924479020426</v>
      </c>
      <c r="Q394" s="20">
        <f t="shared" si="130"/>
        <v>64.098055110155144</v>
      </c>
      <c r="R394" s="20">
        <f t="shared" si="131"/>
        <v>0</v>
      </c>
      <c r="S394" s="20">
        <f t="shared" si="132"/>
        <v>0</v>
      </c>
      <c r="T394" s="20">
        <f t="shared" si="133"/>
        <v>0</v>
      </c>
      <c r="U394" s="17"/>
      <c r="V394" s="20">
        <f t="shared" si="134"/>
        <v>88.194979589175574</v>
      </c>
      <c r="W394" s="17"/>
      <c r="X394" s="20">
        <f t="shared" si="135"/>
        <v>416.53828516364712</v>
      </c>
      <c r="Y394" s="20">
        <f t="shared" si="136"/>
        <v>20.40926958917558</v>
      </c>
      <c r="Z394" s="20"/>
      <c r="AA394" s="20">
        <f t="shared" si="137"/>
        <v>1.3338671470881946E-4</v>
      </c>
    </row>
    <row r="395" spans="2:27" x14ac:dyDescent="0.3">
      <c r="B395" s="28">
        <v>35.700000000000003</v>
      </c>
      <c r="C395" s="28">
        <v>87.035709999999995</v>
      </c>
      <c r="D395" s="20">
        <f t="shared" si="119"/>
        <v>30.964337351487199</v>
      </c>
      <c r="E395" s="20">
        <f t="shared" si="120"/>
        <v>-5.3219819361692684</v>
      </c>
      <c r="F395" s="20">
        <f t="shared" si="121"/>
        <v>1.8805532004415584</v>
      </c>
      <c r="G395" s="20">
        <f t="shared" si="122"/>
        <v>1.8805532004415584</v>
      </c>
      <c r="H395" s="20">
        <f t="shared" si="123"/>
        <v>1.8805532004415584</v>
      </c>
      <c r="I395" s="17"/>
      <c r="J395" s="20">
        <f t="shared" si="124"/>
        <v>27.644896225528598</v>
      </c>
      <c r="K395" s="20">
        <f t="shared" si="125"/>
        <v>4.8593950156980373E-3</v>
      </c>
      <c r="L395" s="20">
        <f t="shared" si="126"/>
        <v>1.4850827236062616</v>
      </c>
      <c r="M395" s="20">
        <f t="shared" si="127"/>
        <v>1.4850827236062616</v>
      </c>
      <c r="N395" s="20">
        <f t="shared" si="128"/>
        <v>1.4850827236062616</v>
      </c>
      <c r="O395" s="17"/>
      <c r="P395" s="20">
        <f t="shared" si="129"/>
        <v>23.972813978607448</v>
      </c>
      <c r="Q395" s="20">
        <f t="shared" si="130"/>
        <v>63.775398788111694</v>
      </c>
      <c r="R395" s="20">
        <f t="shared" si="131"/>
        <v>0</v>
      </c>
      <c r="S395" s="20">
        <f t="shared" si="132"/>
        <v>0</v>
      </c>
      <c r="T395" s="20">
        <f t="shared" si="133"/>
        <v>0</v>
      </c>
      <c r="U395" s="17"/>
      <c r="V395" s="20">
        <f t="shared" si="134"/>
        <v>87.748212766719149</v>
      </c>
      <c r="W395" s="17"/>
      <c r="X395" s="20">
        <f t="shared" si="135"/>
        <v>0.50766019258244999</v>
      </c>
      <c r="Y395" s="20">
        <f t="shared" si="136"/>
        <v>0.71250276671915458</v>
      </c>
      <c r="Z395" s="20"/>
      <c r="AA395" s="20">
        <f t="shared" si="137"/>
        <v>4.6566293251385009E-6</v>
      </c>
    </row>
    <row r="396" spans="2:27" x14ac:dyDescent="0.3">
      <c r="B396" s="28">
        <v>35.799999999999997</v>
      </c>
      <c r="C396" s="28">
        <v>78.535709999999995</v>
      </c>
      <c r="D396" s="20">
        <f t="shared" si="119"/>
        <v>31.039515531785856</v>
      </c>
      <c r="E396" s="20">
        <f t="shared" si="120"/>
        <v>-5.3169353138223094</v>
      </c>
      <c r="F396" s="20">
        <f t="shared" si="121"/>
        <v>1.8916643115526695</v>
      </c>
      <c r="G396" s="20">
        <f t="shared" si="122"/>
        <v>1.8916643115526695</v>
      </c>
      <c r="H396" s="20">
        <f t="shared" si="123"/>
        <v>1.8916643115526695</v>
      </c>
      <c r="I396" s="17"/>
      <c r="J396" s="20">
        <f t="shared" si="124"/>
        <v>27.717453236278025</v>
      </c>
      <c r="K396" s="20">
        <f t="shared" si="125"/>
        <v>4.883861041771952E-3</v>
      </c>
      <c r="L396" s="20">
        <f t="shared" si="126"/>
        <v>1.4917286777093268</v>
      </c>
      <c r="M396" s="20">
        <f t="shared" si="127"/>
        <v>1.4917286777093268</v>
      </c>
      <c r="N396" s="20">
        <f t="shared" si="128"/>
        <v>1.4917286777093268</v>
      </c>
      <c r="O396" s="17"/>
      <c r="P396" s="20">
        <f t="shared" si="129"/>
        <v>23.849648715243145</v>
      </c>
      <c r="Q396" s="20">
        <f t="shared" si="130"/>
        <v>63.454366725965791</v>
      </c>
      <c r="R396" s="20">
        <f t="shared" si="131"/>
        <v>0</v>
      </c>
      <c r="S396" s="20">
        <f t="shared" si="132"/>
        <v>0</v>
      </c>
      <c r="T396" s="20">
        <f t="shared" si="133"/>
        <v>0</v>
      </c>
      <c r="U396" s="17"/>
      <c r="V396" s="20">
        <f t="shared" si="134"/>
        <v>87.304015441208932</v>
      </c>
      <c r="W396" s="17"/>
      <c r="X396" s="20">
        <f t="shared" si="135"/>
        <v>76.883180310334268</v>
      </c>
      <c r="Y396" s="20">
        <f t="shared" si="136"/>
        <v>8.7683054412089376</v>
      </c>
      <c r="Z396" s="20"/>
      <c r="AA396" s="20">
        <f t="shared" si="137"/>
        <v>5.7306090806239877E-5</v>
      </c>
    </row>
    <row r="397" spans="2:27" x14ac:dyDescent="0.3">
      <c r="B397" s="28">
        <v>35.9</v>
      </c>
      <c r="C397" s="28">
        <v>76.285709999999995</v>
      </c>
      <c r="D397" s="20">
        <f t="shared" si="119"/>
        <v>31.114693712084517</v>
      </c>
      <c r="E397" s="20">
        <f t="shared" si="120"/>
        <v>-5.3118886914753505</v>
      </c>
      <c r="F397" s="20">
        <f t="shared" si="121"/>
        <v>1.9027754226637801</v>
      </c>
      <c r="G397" s="20">
        <f t="shared" si="122"/>
        <v>1.9027754226637801</v>
      </c>
      <c r="H397" s="20">
        <f t="shared" si="123"/>
        <v>1.9027754226637801</v>
      </c>
      <c r="I397" s="17"/>
      <c r="J397" s="20">
        <f t="shared" si="124"/>
        <v>27.790016861580366</v>
      </c>
      <c r="K397" s="20">
        <f t="shared" si="125"/>
        <v>4.9084496474364574E-3</v>
      </c>
      <c r="L397" s="20">
        <f t="shared" si="126"/>
        <v>1.4983865360845829</v>
      </c>
      <c r="M397" s="20">
        <f t="shared" si="127"/>
        <v>1.4983865360845829</v>
      </c>
      <c r="N397" s="20">
        <f t="shared" si="128"/>
        <v>1.4983865360845829</v>
      </c>
      <c r="O397" s="17"/>
      <c r="P397" s="20">
        <f t="shared" si="129"/>
        <v>23.727419198951786</v>
      </c>
      <c r="Q397" s="20">
        <f t="shared" si="130"/>
        <v>63.134950747520691</v>
      </c>
      <c r="R397" s="20">
        <f t="shared" si="131"/>
        <v>0</v>
      </c>
      <c r="S397" s="20">
        <f t="shared" si="132"/>
        <v>0</v>
      </c>
      <c r="T397" s="20">
        <f t="shared" si="133"/>
        <v>0</v>
      </c>
      <c r="U397" s="17"/>
      <c r="V397" s="20">
        <f t="shared" si="134"/>
        <v>86.862369946472484</v>
      </c>
      <c r="W397" s="17"/>
      <c r="X397" s="20">
        <f t="shared" si="135"/>
        <v>111.86573562331543</v>
      </c>
      <c r="Y397" s="20">
        <f t="shared" si="136"/>
        <v>10.576659946472489</v>
      </c>
      <c r="Z397" s="20"/>
      <c r="AA397" s="20">
        <f t="shared" si="137"/>
        <v>6.9124762975376588E-5</v>
      </c>
    </row>
    <row r="398" spans="2:27" x14ac:dyDescent="0.3">
      <c r="B398" s="28">
        <v>36</v>
      </c>
      <c r="C398" s="28">
        <v>87.785709999999995</v>
      </c>
      <c r="D398" s="20">
        <f t="shared" si="119"/>
        <v>31.189871892383177</v>
      </c>
      <c r="E398" s="20">
        <f t="shared" si="120"/>
        <v>-5.3068420691283915</v>
      </c>
      <c r="F398" s="20">
        <f t="shared" si="121"/>
        <v>1.9138865337748916</v>
      </c>
      <c r="G398" s="20">
        <f t="shared" si="122"/>
        <v>1.9138865337748916</v>
      </c>
      <c r="H398" s="20">
        <f t="shared" si="123"/>
        <v>1.9138865337748916</v>
      </c>
      <c r="I398" s="17"/>
      <c r="J398" s="20">
        <f t="shared" si="124"/>
        <v>27.862587068732768</v>
      </c>
      <c r="K398" s="20">
        <f t="shared" si="125"/>
        <v>4.9331614407955885E-3</v>
      </c>
      <c r="L398" s="20">
        <f t="shared" si="126"/>
        <v>1.5050562565230938</v>
      </c>
      <c r="M398" s="20">
        <f t="shared" si="127"/>
        <v>1.5050562565230938</v>
      </c>
      <c r="N398" s="20">
        <f t="shared" si="128"/>
        <v>1.5050562565230938</v>
      </c>
      <c r="O398" s="17"/>
      <c r="P398" s="20">
        <f t="shared" si="129"/>
        <v>23.606116057708842</v>
      </c>
      <c r="Q398" s="20">
        <f t="shared" si="130"/>
        <v>62.817142717738832</v>
      </c>
      <c r="R398" s="20">
        <f t="shared" si="131"/>
        <v>0</v>
      </c>
      <c r="S398" s="20">
        <f t="shared" si="132"/>
        <v>0</v>
      </c>
      <c r="T398" s="20">
        <f t="shared" si="133"/>
        <v>0</v>
      </c>
      <c r="U398" s="17"/>
      <c r="V398" s="20">
        <f t="shared" si="134"/>
        <v>86.423258775447678</v>
      </c>
      <c r="W398" s="17"/>
      <c r="X398" s="20">
        <f t="shared" si="135"/>
        <v>1.8562733392841064</v>
      </c>
      <c r="Y398" s="20">
        <f t="shared" si="136"/>
        <v>1.3624512245523164</v>
      </c>
      <c r="Z398" s="20"/>
      <c r="AA398" s="20">
        <f t="shared" si="137"/>
        <v>8.904429038970939E-6</v>
      </c>
    </row>
    <row r="399" spans="2:27" x14ac:dyDescent="0.3">
      <c r="B399" s="28">
        <v>36.1</v>
      </c>
      <c r="C399" s="28">
        <v>80.535709999999995</v>
      </c>
      <c r="D399" s="20">
        <f t="shared" si="119"/>
        <v>31.265050072681838</v>
      </c>
      <c r="E399" s="20">
        <f t="shared" si="120"/>
        <v>-5.3017954467814317</v>
      </c>
      <c r="F399" s="20">
        <f t="shared" si="121"/>
        <v>1.9249976448860027</v>
      </c>
      <c r="G399" s="20">
        <f t="shared" si="122"/>
        <v>1.9249976448860027</v>
      </c>
      <c r="H399" s="20">
        <f t="shared" si="123"/>
        <v>1.9249976448860027</v>
      </c>
      <c r="I399" s="17"/>
      <c r="J399" s="20">
        <f t="shared" si="124"/>
        <v>27.935163825271317</v>
      </c>
      <c r="K399" s="20">
        <f t="shared" si="125"/>
        <v>4.9579970329095713E-3</v>
      </c>
      <c r="L399" s="20">
        <f t="shared" si="126"/>
        <v>1.5117377969092778</v>
      </c>
      <c r="M399" s="20">
        <f t="shared" si="127"/>
        <v>1.5117377969092778</v>
      </c>
      <c r="N399" s="20">
        <f t="shared" si="128"/>
        <v>1.5117377969092778</v>
      </c>
      <c r="O399" s="17"/>
      <c r="P399" s="20">
        <f t="shared" si="129"/>
        <v>23.485730035696612</v>
      </c>
      <c r="Q399" s="20">
        <f t="shared" si="130"/>
        <v>62.500934542534381</v>
      </c>
      <c r="R399" s="20">
        <f t="shared" si="131"/>
        <v>0</v>
      </c>
      <c r="S399" s="20">
        <f t="shared" si="132"/>
        <v>0</v>
      </c>
      <c r="T399" s="20">
        <f t="shared" si="133"/>
        <v>0</v>
      </c>
      <c r="U399" s="17"/>
      <c r="V399" s="20">
        <f t="shared" si="134"/>
        <v>85.986664578231</v>
      </c>
      <c r="W399" s="17"/>
      <c r="X399" s="20">
        <f t="shared" si="135"/>
        <v>29.71290581393756</v>
      </c>
      <c r="Y399" s="20">
        <f t="shared" si="136"/>
        <v>5.4509545782310056</v>
      </c>
      <c r="Z399" s="20"/>
      <c r="AA399" s="20">
        <f t="shared" si="137"/>
        <v>3.5625229998571572E-5</v>
      </c>
    </row>
    <row r="400" spans="2:27" x14ac:dyDescent="0.3">
      <c r="B400" s="28">
        <v>36.200000000000003</v>
      </c>
      <c r="C400" s="28">
        <v>102.28570999999999</v>
      </c>
      <c r="D400" s="20">
        <f t="shared" si="119"/>
        <v>31.340228252980499</v>
      </c>
      <c r="E400" s="20">
        <f t="shared" si="120"/>
        <v>-5.2967488244344727</v>
      </c>
      <c r="F400" s="20">
        <f t="shared" si="121"/>
        <v>1.9361087559971146</v>
      </c>
      <c r="G400" s="20">
        <f t="shared" si="122"/>
        <v>1.9361087559971146</v>
      </c>
      <c r="H400" s="20">
        <f t="shared" si="123"/>
        <v>1.9361087559971146</v>
      </c>
      <c r="I400" s="17"/>
      <c r="J400" s="20">
        <f t="shared" si="124"/>
        <v>28.007747098968704</v>
      </c>
      <c r="K400" s="20">
        <f t="shared" si="125"/>
        <v>4.9829570378085667E-3</v>
      </c>
      <c r="L400" s="20">
        <f t="shared" si="126"/>
        <v>1.5184311152220695</v>
      </c>
      <c r="M400" s="20">
        <f t="shared" si="127"/>
        <v>1.5184311152220695</v>
      </c>
      <c r="N400" s="20">
        <f t="shared" si="128"/>
        <v>1.5184311152220695</v>
      </c>
      <c r="O400" s="17"/>
      <c r="P400" s="20">
        <f t="shared" si="129"/>
        <v>23.366251991589856</v>
      </c>
      <c r="Q400" s="20">
        <f t="shared" si="130"/>
        <v>62.186318168567453</v>
      </c>
      <c r="R400" s="20">
        <f t="shared" si="131"/>
        <v>0</v>
      </c>
      <c r="S400" s="20">
        <f t="shared" si="132"/>
        <v>0</v>
      </c>
      <c r="T400" s="20">
        <f t="shared" si="133"/>
        <v>0</v>
      </c>
      <c r="U400" s="17"/>
      <c r="V400" s="20">
        <f t="shared" si="134"/>
        <v>85.552570160157302</v>
      </c>
      <c r="W400" s="17"/>
      <c r="X400" s="20">
        <f t="shared" si="135"/>
        <v>279.99796889973072</v>
      </c>
      <c r="Y400" s="20">
        <f t="shared" si="136"/>
        <v>16.733139839842693</v>
      </c>
      <c r="Z400" s="20"/>
      <c r="AA400" s="20">
        <f t="shared" si="137"/>
        <v>1.0936102050333285E-4</v>
      </c>
    </row>
    <row r="401" spans="2:27" x14ac:dyDescent="0.3">
      <c r="B401" s="28">
        <v>36.299999999999997</v>
      </c>
      <c r="C401" s="28">
        <v>86.535709999999995</v>
      </c>
      <c r="D401" s="20">
        <f t="shared" si="119"/>
        <v>31.415406433279152</v>
      </c>
      <c r="E401" s="20">
        <f t="shared" si="120"/>
        <v>-5.2917022020875137</v>
      </c>
      <c r="F401" s="20">
        <f t="shared" si="121"/>
        <v>1.9472198671082248</v>
      </c>
      <c r="G401" s="20">
        <f t="shared" si="122"/>
        <v>1.9472198671082248</v>
      </c>
      <c r="H401" s="20">
        <f t="shared" si="123"/>
        <v>1.9472198671082248</v>
      </c>
      <c r="I401" s="17"/>
      <c r="J401" s="20">
        <f t="shared" si="124"/>
        <v>28.080336857831959</v>
      </c>
      <c r="K401" s="20">
        <f t="shared" si="125"/>
        <v>5.0080420725065172E-3</v>
      </c>
      <c r="L401" s="20">
        <f t="shared" si="126"/>
        <v>1.5251361695360497</v>
      </c>
      <c r="M401" s="20">
        <f t="shared" si="127"/>
        <v>1.5251361695360497</v>
      </c>
      <c r="N401" s="20">
        <f t="shared" si="128"/>
        <v>1.5251361695360497</v>
      </c>
      <c r="O401" s="17"/>
      <c r="P401" s="20">
        <f t="shared" si="129"/>
        <v>23.247672896870625</v>
      </c>
      <c r="Q401" s="20">
        <f t="shared" si="130"/>
        <v>61.873285583038637</v>
      </c>
      <c r="R401" s="20">
        <f t="shared" si="131"/>
        <v>0</v>
      </c>
      <c r="S401" s="20">
        <f t="shared" si="132"/>
        <v>0</v>
      </c>
      <c r="T401" s="20">
        <f t="shared" si="133"/>
        <v>0</v>
      </c>
      <c r="U401" s="17"/>
      <c r="V401" s="20">
        <f t="shared" si="134"/>
        <v>85.120958479909262</v>
      </c>
      <c r="W401" s="17"/>
      <c r="X401" s="20">
        <f t="shared" si="135"/>
        <v>2.0015218635990371</v>
      </c>
      <c r="Y401" s="20">
        <f t="shared" si="136"/>
        <v>1.4147515200907321</v>
      </c>
      <c r="Z401" s="20"/>
      <c r="AA401" s="20">
        <f t="shared" si="137"/>
        <v>9.2462425747120491E-6</v>
      </c>
    </row>
    <row r="402" spans="2:27" x14ac:dyDescent="0.3">
      <c r="B402" s="28">
        <v>36.4</v>
      </c>
      <c r="C402" s="28">
        <v>72.785709999999995</v>
      </c>
      <c r="D402" s="20">
        <f t="shared" si="119"/>
        <v>31.490584613577813</v>
      </c>
      <c r="E402" s="20">
        <f t="shared" si="120"/>
        <v>-5.2866555797405539</v>
      </c>
      <c r="F402" s="20">
        <f t="shared" si="121"/>
        <v>1.9583309782193359</v>
      </c>
      <c r="G402" s="20">
        <f t="shared" si="122"/>
        <v>1.9583309782193359</v>
      </c>
      <c r="H402" s="20">
        <f t="shared" si="123"/>
        <v>1.9583309782193359</v>
      </c>
      <c r="I402" s="17"/>
      <c r="J402" s="20">
        <f t="shared" si="124"/>
        <v>28.152933070100239</v>
      </c>
      <c r="K402" s="20">
        <f t="shared" si="125"/>
        <v>5.0332527570150177E-3</v>
      </c>
      <c r="L402" s="20">
        <f t="shared" si="126"/>
        <v>1.5318529180225515</v>
      </c>
      <c r="M402" s="20">
        <f t="shared" si="127"/>
        <v>1.5318529180225515</v>
      </c>
      <c r="N402" s="20">
        <f t="shared" si="128"/>
        <v>1.5318529180225515</v>
      </c>
      <c r="O402" s="17"/>
      <c r="P402" s="20">
        <f t="shared" si="129"/>
        <v>23.129983834171796</v>
      </c>
      <c r="Q402" s="20">
        <f t="shared" si="130"/>
        <v>61.5618288134851</v>
      </c>
      <c r="R402" s="20">
        <f t="shared" si="131"/>
        <v>0</v>
      </c>
      <c r="S402" s="20">
        <f t="shared" si="132"/>
        <v>0</v>
      </c>
      <c r="T402" s="20">
        <f t="shared" si="133"/>
        <v>0</v>
      </c>
      <c r="U402" s="17"/>
      <c r="V402" s="20">
        <f t="shared" si="134"/>
        <v>84.691812647656889</v>
      </c>
      <c r="W402" s="17"/>
      <c r="X402" s="20">
        <f t="shared" si="135"/>
        <v>141.75528025654251</v>
      </c>
      <c r="Y402" s="20">
        <f t="shared" si="136"/>
        <v>11.906102647656894</v>
      </c>
      <c r="Z402" s="20"/>
      <c r="AA402" s="20">
        <f t="shared" si="137"/>
        <v>7.7813461683078346E-5</v>
      </c>
    </row>
    <row r="403" spans="2:27" x14ac:dyDescent="0.3">
      <c r="B403" s="28">
        <v>36.5</v>
      </c>
      <c r="C403" s="28">
        <v>91.285709999999995</v>
      </c>
      <c r="D403" s="20">
        <f t="shared" si="119"/>
        <v>31.565762793876473</v>
      </c>
      <c r="E403" s="20">
        <f t="shared" si="120"/>
        <v>-5.2816089573935949</v>
      </c>
      <c r="F403" s="20">
        <f t="shared" si="121"/>
        <v>1.9694420893304478</v>
      </c>
      <c r="G403" s="20">
        <f t="shared" si="122"/>
        <v>1.9694420893304478</v>
      </c>
      <c r="H403" s="20">
        <f t="shared" si="123"/>
        <v>1.9694420893304478</v>
      </c>
      <c r="I403" s="17"/>
      <c r="J403" s="20">
        <f t="shared" si="124"/>
        <v>28.22553570424256</v>
      </c>
      <c r="K403" s="20">
        <f t="shared" si="125"/>
        <v>5.0585897143572405E-3</v>
      </c>
      <c r="L403" s="20">
        <f t="shared" si="126"/>
        <v>1.5385813189507378</v>
      </c>
      <c r="M403" s="20">
        <f t="shared" si="127"/>
        <v>1.5385813189507378</v>
      </c>
      <c r="N403" s="20">
        <f t="shared" si="128"/>
        <v>1.5385813189507378</v>
      </c>
      <c r="O403" s="17"/>
      <c r="P403" s="20">
        <f t="shared" si="129"/>
        <v>23.013175995648865</v>
      </c>
      <c r="Q403" s="20">
        <f t="shared" si="130"/>
        <v>61.251939927577673</v>
      </c>
      <c r="R403" s="20">
        <f t="shared" si="131"/>
        <v>0</v>
      </c>
      <c r="S403" s="20">
        <f t="shared" si="132"/>
        <v>0</v>
      </c>
      <c r="T403" s="20">
        <f t="shared" si="133"/>
        <v>0</v>
      </c>
      <c r="U403" s="17"/>
      <c r="V403" s="20">
        <f t="shared" si="134"/>
        <v>84.265115923226546</v>
      </c>
      <c r="W403" s="17"/>
      <c r="X403" s="20">
        <f t="shared" si="135"/>
        <v>49.288741190826435</v>
      </c>
      <c r="Y403" s="20">
        <f t="shared" si="136"/>
        <v>7.0205940767734489</v>
      </c>
      <c r="Z403" s="20"/>
      <c r="AA403" s="20">
        <f t="shared" si="137"/>
        <v>4.5883757628527421E-5</v>
      </c>
    </row>
    <row r="404" spans="2:27" x14ac:dyDescent="0.3">
      <c r="B404" s="28">
        <v>36.6</v>
      </c>
      <c r="C404" s="28">
        <v>77.535709999999995</v>
      </c>
      <c r="D404" s="20">
        <f t="shared" si="119"/>
        <v>31.640940974175134</v>
      </c>
      <c r="E404" s="20">
        <f t="shared" si="120"/>
        <v>-5.276562335046636</v>
      </c>
      <c r="F404" s="20">
        <f t="shared" si="121"/>
        <v>1.980553200441558</v>
      </c>
      <c r="G404" s="20">
        <f t="shared" si="122"/>
        <v>1.980553200441558</v>
      </c>
      <c r="H404" s="20">
        <f t="shared" si="123"/>
        <v>1.980553200441558</v>
      </c>
      <c r="I404" s="17"/>
      <c r="J404" s="20">
        <f t="shared" si="124"/>
        <v>28.298144728955634</v>
      </c>
      <c r="K404" s="20">
        <f t="shared" si="125"/>
        <v>5.0840535705819617E-3</v>
      </c>
      <c r="L404" s="20">
        <f t="shared" si="126"/>
        <v>1.5453213306886515</v>
      </c>
      <c r="M404" s="20">
        <f t="shared" si="127"/>
        <v>1.5453213306886515</v>
      </c>
      <c r="N404" s="20">
        <f t="shared" si="128"/>
        <v>1.5453213306886515</v>
      </c>
      <c r="O404" s="17"/>
      <c r="P404" s="20">
        <f t="shared" si="129"/>
        <v>22.897240681379241</v>
      </c>
      <c r="Q404" s="20">
        <f t="shared" si="130"/>
        <v>60.943611032918533</v>
      </c>
      <c r="R404" s="20">
        <f t="shared" si="131"/>
        <v>0</v>
      </c>
      <c r="S404" s="20">
        <f t="shared" si="132"/>
        <v>0</v>
      </c>
      <c r="T404" s="20">
        <f t="shared" si="133"/>
        <v>0</v>
      </c>
      <c r="U404" s="17"/>
      <c r="V404" s="20">
        <f t="shared" si="134"/>
        <v>83.84085171429777</v>
      </c>
      <c r="W404" s="17"/>
      <c r="X404" s="20">
        <f t="shared" si="135"/>
        <v>39.754812037377889</v>
      </c>
      <c r="Y404" s="20">
        <f t="shared" si="136"/>
        <v>6.3051417142977755</v>
      </c>
      <c r="Z404" s="20"/>
      <c r="AA404" s="20">
        <f t="shared" si="137"/>
        <v>4.1207850940915849E-5</v>
      </c>
    </row>
    <row r="405" spans="2:27" x14ac:dyDescent="0.3">
      <c r="B405" s="28">
        <v>36.700000000000003</v>
      </c>
      <c r="C405" s="28">
        <v>77.535709999999995</v>
      </c>
      <c r="D405" s="20">
        <f t="shared" si="119"/>
        <v>31.716119154473795</v>
      </c>
      <c r="E405" s="20">
        <f t="shared" si="120"/>
        <v>-5.271515712699677</v>
      </c>
      <c r="F405" s="20">
        <f t="shared" si="121"/>
        <v>1.99166431155267</v>
      </c>
      <c r="G405" s="20">
        <f t="shared" si="122"/>
        <v>1.99166431155267</v>
      </c>
      <c r="H405" s="20">
        <f t="shared" si="123"/>
        <v>1.99166431155267</v>
      </c>
      <c r="I405" s="17"/>
      <c r="J405" s="20">
        <f t="shared" si="124"/>
        <v>28.370760113161701</v>
      </c>
      <c r="K405" s="20">
        <f t="shared" si="125"/>
        <v>5.1096449547776007E-3</v>
      </c>
      <c r="L405" s="20">
        <f t="shared" si="126"/>
        <v>1.5520729117042487</v>
      </c>
      <c r="M405" s="20">
        <f t="shared" si="127"/>
        <v>1.5520729117042487</v>
      </c>
      <c r="N405" s="20">
        <f t="shared" si="128"/>
        <v>1.5520729117042487</v>
      </c>
      <c r="O405" s="17"/>
      <c r="P405" s="20">
        <f t="shared" si="129"/>
        <v>22.782169297788695</v>
      </c>
      <c r="Q405" s="20">
        <f t="shared" si="130"/>
        <v>60.636834276840347</v>
      </c>
      <c r="R405" s="20">
        <f t="shared" si="131"/>
        <v>0</v>
      </c>
      <c r="S405" s="20">
        <f t="shared" si="132"/>
        <v>0</v>
      </c>
      <c r="T405" s="20">
        <f t="shared" si="133"/>
        <v>0</v>
      </c>
      <c r="U405" s="17"/>
      <c r="V405" s="20">
        <f t="shared" si="134"/>
        <v>83.419003574629045</v>
      </c>
      <c r="W405" s="17"/>
      <c r="X405" s="20">
        <f t="shared" si="135"/>
        <v>34.61314328527147</v>
      </c>
      <c r="Y405" s="20">
        <f t="shared" si="136"/>
        <v>5.8832935746290502</v>
      </c>
      <c r="Z405" s="20"/>
      <c r="AA405" s="20">
        <f t="shared" si="137"/>
        <v>3.8450822463704611E-5</v>
      </c>
    </row>
    <row r="406" spans="2:27" x14ac:dyDescent="0.3">
      <c r="B406" s="28">
        <v>36.799999999999997</v>
      </c>
      <c r="C406" s="28">
        <v>97.285709999999995</v>
      </c>
      <c r="D406" s="20">
        <f t="shared" si="119"/>
        <v>31.791297334772452</v>
      </c>
      <c r="E406" s="20">
        <f t="shared" si="120"/>
        <v>-5.266469090352718</v>
      </c>
      <c r="F406" s="20">
        <f t="shared" si="121"/>
        <v>2.0027754226637802</v>
      </c>
      <c r="G406" s="20">
        <f t="shared" si="122"/>
        <v>2.0027754226637802</v>
      </c>
      <c r="H406" s="20">
        <f t="shared" si="123"/>
        <v>2.0027754226637802</v>
      </c>
      <c r="I406" s="17"/>
      <c r="J406" s="20">
        <f t="shared" si="124"/>
        <v>28.443381826006387</v>
      </c>
      <c r="K406" s="20">
        <f t="shared" si="125"/>
        <v>5.1353644990863364E-3</v>
      </c>
      <c r="L406" s="20">
        <f t="shared" si="126"/>
        <v>1.5588360205663911</v>
      </c>
      <c r="M406" s="20">
        <f t="shared" si="127"/>
        <v>1.5588360205663911</v>
      </c>
      <c r="N406" s="20">
        <f t="shared" si="128"/>
        <v>1.5588360205663911</v>
      </c>
      <c r="O406" s="17"/>
      <c r="P406" s="20">
        <f t="shared" si="129"/>
        <v>22.667953356104348</v>
      </c>
      <c r="Q406" s="20">
        <f t="shared" si="130"/>
        <v>60.331601846206311</v>
      </c>
      <c r="R406" s="20">
        <f t="shared" si="131"/>
        <v>0</v>
      </c>
      <c r="S406" s="20">
        <f t="shared" si="132"/>
        <v>0</v>
      </c>
      <c r="T406" s="20">
        <f t="shared" si="133"/>
        <v>0</v>
      </c>
      <c r="U406" s="17"/>
      <c r="V406" s="20">
        <f t="shared" si="134"/>
        <v>82.99955520231066</v>
      </c>
      <c r="W406" s="17"/>
      <c r="X406" s="20">
        <f t="shared" si="135"/>
        <v>204.09421890354199</v>
      </c>
      <c r="Y406" s="20">
        <f t="shared" si="136"/>
        <v>14.286154797689335</v>
      </c>
      <c r="Z406" s="20"/>
      <c r="AA406" s="20">
        <f t="shared" si="137"/>
        <v>9.3368517964801629E-5</v>
      </c>
    </row>
    <row r="407" spans="2:27" x14ac:dyDescent="0.3">
      <c r="B407" s="28">
        <v>36.9</v>
      </c>
      <c r="C407" s="28">
        <v>82.285709999999995</v>
      </c>
      <c r="D407" s="20">
        <f t="shared" si="119"/>
        <v>31.866475515071112</v>
      </c>
      <c r="E407" s="20">
        <f t="shared" si="120"/>
        <v>-5.2614224680057582</v>
      </c>
      <c r="F407" s="20">
        <f t="shared" si="121"/>
        <v>2.0138865337748912</v>
      </c>
      <c r="G407" s="20">
        <f t="shared" si="122"/>
        <v>2.0138865337748912</v>
      </c>
      <c r="H407" s="20">
        <f t="shared" si="123"/>
        <v>2.0138865337748912</v>
      </c>
      <c r="I407" s="17"/>
      <c r="J407" s="20">
        <f t="shared" si="124"/>
        <v>28.51600983685659</v>
      </c>
      <c r="K407" s="20">
        <f t="shared" si="125"/>
        <v>5.1612128387182902E-3</v>
      </c>
      <c r="L407" s="20">
        <f t="shared" si="126"/>
        <v>1.5656106159458314</v>
      </c>
      <c r="M407" s="20">
        <f t="shared" si="127"/>
        <v>1.5656106159458314</v>
      </c>
      <c r="N407" s="20">
        <f t="shared" si="128"/>
        <v>1.5656106159458314</v>
      </c>
      <c r="O407" s="17"/>
      <c r="P407" s="20">
        <f t="shared" si="129"/>
        <v>22.554584470833717</v>
      </c>
      <c r="Q407" s="20">
        <f t="shared" si="130"/>
        <v>60.027905967211062</v>
      </c>
      <c r="R407" s="20">
        <f t="shared" si="131"/>
        <v>0</v>
      </c>
      <c r="S407" s="20">
        <f t="shared" si="132"/>
        <v>0</v>
      </c>
      <c r="T407" s="20">
        <f t="shared" si="133"/>
        <v>0</v>
      </c>
      <c r="U407" s="17"/>
      <c r="V407" s="20">
        <f t="shared" si="134"/>
        <v>82.582490438044772</v>
      </c>
      <c r="W407" s="17"/>
      <c r="X407" s="20">
        <f t="shared" si="135"/>
        <v>8.807862840604995E-2</v>
      </c>
      <c r="Y407" s="20">
        <f t="shared" si="136"/>
        <v>0.29678043804477738</v>
      </c>
      <c r="Z407" s="20"/>
      <c r="AA407" s="20">
        <f t="shared" si="137"/>
        <v>1.9396366659604824E-6</v>
      </c>
    </row>
    <row r="408" spans="2:27" x14ac:dyDescent="0.3">
      <c r="B408" s="28">
        <v>37</v>
      </c>
      <c r="C408" s="28">
        <v>71.785709999999995</v>
      </c>
      <c r="D408" s="20">
        <f t="shared" si="119"/>
        <v>31.941653695369773</v>
      </c>
      <c r="E408" s="20">
        <f t="shared" si="120"/>
        <v>-5.2563758456587992</v>
      </c>
      <c r="F408" s="20">
        <f t="shared" si="121"/>
        <v>2.0249976448860032</v>
      </c>
      <c r="G408" s="20">
        <f t="shared" si="122"/>
        <v>2.0249976448860032</v>
      </c>
      <c r="H408" s="20">
        <f t="shared" si="123"/>
        <v>2.0249976448860032</v>
      </c>
      <c r="I408" s="17"/>
      <c r="J408" s="20">
        <f t="shared" si="124"/>
        <v>28.588644115298376</v>
      </c>
      <c r="K408" s="20">
        <f t="shared" si="125"/>
        <v>5.1871906119657389E-3</v>
      </c>
      <c r="L408" s="20">
        <f t="shared" si="126"/>
        <v>1.5723966566161587</v>
      </c>
      <c r="M408" s="20">
        <f t="shared" si="127"/>
        <v>1.5723966566161587</v>
      </c>
      <c r="N408" s="20">
        <f t="shared" si="128"/>
        <v>1.5723966566161587</v>
      </c>
      <c r="O408" s="17"/>
      <c r="P408" s="20">
        <f t="shared" si="129"/>
        <v>22.442054358269342</v>
      </c>
      <c r="Q408" s="20">
        <f t="shared" si="130"/>
        <v>59.725738905182936</v>
      </c>
      <c r="R408" s="20">
        <f t="shared" si="131"/>
        <v>0</v>
      </c>
      <c r="S408" s="20">
        <f t="shared" si="132"/>
        <v>0</v>
      </c>
      <c r="T408" s="20">
        <f t="shared" si="133"/>
        <v>0</v>
      </c>
      <c r="U408" s="17"/>
      <c r="V408" s="20">
        <f t="shared" si="134"/>
        <v>82.167793263452282</v>
      </c>
      <c r="W408" s="17"/>
      <c r="X408" s="20">
        <f t="shared" si="135"/>
        <v>107.78765288925609</v>
      </c>
      <c r="Y408" s="20">
        <f t="shared" si="136"/>
        <v>10.382083263452287</v>
      </c>
      <c r="Z408" s="20"/>
      <c r="AA408" s="20">
        <f t="shared" si="137"/>
        <v>6.7853088631833727E-5</v>
      </c>
    </row>
    <row r="409" spans="2:27" x14ac:dyDescent="0.3">
      <c r="B409" s="28">
        <v>37.1</v>
      </c>
      <c r="C409" s="28">
        <v>95.285709999999995</v>
      </c>
      <c r="D409" s="20">
        <f t="shared" si="119"/>
        <v>32.01683187566843</v>
      </c>
      <c r="E409" s="20">
        <f t="shared" si="120"/>
        <v>-5.2513292233118403</v>
      </c>
      <c r="F409" s="20">
        <f t="shared" si="121"/>
        <v>2.0361087559971143</v>
      </c>
      <c r="G409" s="20">
        <f t="shared" si="122"/>
        <v>2.0361087559971143</v>
      </c>
      <c r="H409" s="20">
        <f t="shared" si="123"/>
        <v>2.0361087559971143</v>
      </c>
      <c r="I409" s="17"/>
      <c r="J409" s="20">
        <f t="shared" si="124"/>
        <v>28.661284631134937</v>
      </c>
      <c r="K409" s="20">
        <f t="shared" si="125"/>
        <v>5.213298460217443E-3</v>
      </c>
      <c r="L409" s="20">
        <f t="shared" si="126"/>
        <v>1.5791941014547262</v>
      </c>
      <c r="M409" s="20">
        <f t="shared" si="127"/>
        <v>1.5791941014547262</v>
      </c>
      <c r="N409" s="20">
        <f t="shared" si="128"/>
        <v>1.5791941014547262</v>
      </c>
      <c r="O409" s="17"/>
      <c r="P409" s="20">
        <f t="shared" si="129"/>
        <v>22.330354835018451</v>
      </c>
      <c r="Q409" s="20">
        <f t="shared" si="130"/>
        <v>59.425092964386536</v>
      </c>
      <c r="R409" s="20">
        <f t="shared" si="131"/>
        <v>0</v>
      </c>
      <c r="S409" s="20">
        <f t="shared" si="132"/>
        <v>0</v>
      </c>
      <c r="T409" s="20">
        <f t="shared" si="133"/>
        <v>0</v>
      </c>
      <c r="U409" s="17"/>
      <c r="V409" s="20">
        <f t="shared" si="134"/>
        <v>81.75544779940499</v>
      </c>
      <c r="W409" s="17"/>
      <c r="X409" s="20">
        <f t="shared" si="135"/>
        <v>183.06799521684997</v>
      </c>
      <c r="Y409" s="20">
        <f t="shared" si="136"/>
        <v>13.530262200595004</v>
      </c>
      <c r="Z409" s="20"/>
      <c r="AA409" s="20">
        <f t="shared" si="137"/>
        <v>8.8428310293057946E-5</v>
      </c>
    </row>
    <row r="410" spans="2:27" x14ac:dyDescent="0.3">
      <c r="B410" s="28">
        <v>37.200000000000003</v>
      </c>
      <c r="C410" s="28">
        <v>68.285709999999995</v>
      </c>
      <c r="D410" s="20">
        <f t="shared" si="119"/>
        <v>32.092010055967094</v>
      </c>
      <c r="E410" s="20">
        <f t="shared" si="120"/>
        <v>-5.2462826009648804</v>
      </c>
      <c r="F410" s="20">
        <f t="shared" si="121"/>
        <v>2.0472198671082253</v>
      </c>
      <c r="G410" s="20">
        <f t="shared" si="122"/>
        <v>2.0472198671082253</v>
      </c>
      <c r="H410" s="20">
        <f t="shared" si="123"/>
        <v>2.0472198671082253</v>
      </c>
      <c r="I410" s="17"/>
      <c r="J410" s="20">
        <f t="shared" si="124"/>
        <v>28.733931354384534</v>
      </c>
      <c r="K410" s="20">
        <f t="shared" si="125"/>
        <v>5.2395370279729753E-3</v>
      </c>
      <c r="L410" s="20">
        <f t="shared" si="126"/>
        <v>1.5860029094435582</v>
      </c>
      <c r="M410" s="20">
        <f t="shared" si="127"/>
        <v>1.5860029094435582</v>
      </c>
      <c r="N410" s="20">
        <f t="shared" si="128"/>
        <v>1.5860029094435582</v>
      </c>
      <c r="O410" s="17"/>
      <c r="P410" s="20">
        <f t="shared" si="129"/>
        <v>22.21947781655723</v>
      </c>
      <c r="Q410" s="20">
        <f t="shared" si="130"/>
        <v>59.125960487827086</v>
      </c>
      <c r="R410" s="20">
        <f t="shared" si="131"/>
        <v>0</v>
      </c>
      <c r="S410" s="20">
        <f t="shared" si="132"/>
        <v>0</v>
      </c>
      <c r="T410" s="20">
        <f t="shared" si="133"/>
        <v>0</v>
      </c>
      <c r="U410" s="17"/>
      <c r="V410" s="20">
        <f t="shared" si="134"/>
        <v>81.345438304384317</v>
      </c>
      <c r="W410" s="17"/>
      <c r="X410" s="20">
        <f t="shared" si="135"/>
        <v>170.55650338433699</v>
      </c>
      <c r="Y410" s="20">
        <f t="shared" si="136"/>
        <v>13.059728304384322</v>
      </c>
      <c r="Z410" s="20"/>
      <c r="AA410" s="20">
        <f t="shared" si="137"/>
        <v>8.5353091442111364E-5</v>
      </c>
    </row>
    <row r="411" spans="2:27" x14ac:dyDescent="0.3">
      <c r="B411" s="28">
        <v>37.299999999999997</v>
      </c>
      <c r="C411" s="28">
        <v>103.53570999999999</v>
      </c>
      <c r="D411" s="20">
        <f t="shared" si="119"/>
        <v>32.167188236265744</v>
      </c>
      <c r="E411" s="20">
        <f t="shared" si="120"/>
        <v>-5.2412359786179223</v>
      </c>
      <c r="F411" s="20">
        <f t="shared" si="121"/>
        <v>2.0583309782193355</v>
      </c>
      <c r="G411" s="20">
        <f t="shared" si="122"/>
        <v>2.0583309782193355</v>
      </c>
      <c r="H411" s="20">
        <f t="shared" si="123"/>
        <v>2.0583309782193355</v>
      </c>
      <c r="I411" s="17"/>
      <c r="J411" s="20">
        <f t="shared" si="124"/>
        <v>28.806584255278462</v>
      </c>
      <c r="K411" s="20">
        <f t="shared" si="125"/>
        <v>5.2659069628571229E-3</v>
      </c>
      <c r="L411" s="20">
        <f t="shared" si="126"/>
        <v>1.5928230396702248</v>
      </c>
      <c r="M411" s="20">
        <f t="shared" si="127"/>
        <v>1.5928230396702248</v>
      </c>
      <c r="N411" s="20">
        <f t="shared" si="128"/>
        <v>1.5928230396702248</v>
      </c>
      <c r="O411" s="17"/>
      <c r="P411" s="20">
        <f t="shared" si="129"/>
        <v>22.109415315809255</v>
      </c>
      <c r="Q411" s="20">
        <f t="shared" si="130"/>
        <v>58.82833385705549</v>
      </c>
      <c r="R411" s="20">
        <f t="shared" si="131"/>
        <v>0</v>
      </c>
      <c r="S411" s="20">
        <f t="shared" si="132"/>
        <v>0</v>
      </c>
      <c r="T411" s="20">
        <f t="shared" si="133"/>
        <v>0</v>
      </c>
      <c r="U411" s="17"/>
      <c r="V411" s="20">
        <f t="shared" si="134"/>
        <v>80.937749172864741</v>
      </c>
      <c r="W411" s="17"/>
      <c r="X411" s="20">
        <f t="shared" si="135"/>
        <v>510.66783354473944</v>
      </c>
      <c r="Y411" s="20">
        <f t="shared" si="136"/>
        <v>22.597960827135253</v>
      </c>
      <c r="Z411" s="20"/>
      <c r="AA411" s="20">
        <f t="shared" si="137"/>
        <v>1.4769111362264716E-4</v>
      </c>
    </row>
    <row r="412" spans="2:27" x14ac:dyDescent="0.3">
      <c r="B412" s="28">
        <v>37.4</v>
      </c>
      <c r="C412" s="28">
        <v>91.035709999999995</v>
      </c>
      <c r="D412" s="20">
        <f t="shared" si="119"/>
        <v>32.242366416564408</v>
      </c>
      <c r="E412" s="20">
        <f t="shared" si="120"/>
        <v>-5.2361893562709625</v>
      </c>
      <c r="F412" s="20">
        <f t="shared" si="121"/>
        <v>2.0694420893304475</v>
      </c>
      <c r="G412" s="20">
        <f t="shared" si="122"/>
        <v>2.0694420893304475</v>
      </c>
      <c r="H412" s="20">
        <f t="shared" si="123"/>
        <v>2.0694420893304475</v>
      </c>
      <c r="I412" s="17"/>
      <c r="J412" s="20">
        <f t="shared" si="124"/>
        <v>28.879243304259113</v>
      </c>
      <c r="K412" s="20">
        <f t="shared" si="125"/>
        <v>5.2924089156344114E-3</v>
      </c>
      <c r="L412" s="20">
        <f t="shared" si="126"/>
        <v>1.5996544513287023</v>
      </c>
      <c r="M412" s="20">
        <f t="shared" si="127"/>
        <v>1.5996544513287023</v>
      </c>
      <c r="N412" s="20">
        <f t="shared" si="128"/>
        <v>1.5996544513287023</v>
      </c>
      <c r="O412" s="17"/>
      <c r="P412" s="20">
        <f t="shared" si="129"/>
        <v>22.000159441747488</v>
      </c>
      <c r="Q412" s="20">
        <f t="shared" si="130"/>
        <v>58.532205491973741</v>
      </c>
      <c r="R412" s="20">
        <f t="shared" si="131"/>
        <v>0</v>
      </c>
      <c r="S412" s="20">
        <f t="shared" si="132"/>
        <v>0</v>
      </c>
      <c r="T412" s="20">
        <f t="shared" si="133"/>
        <v>0</v>
      </c>
      <c r="U412" s="17"/>
      <c r="V412" s="20">
        <f t="shared" si="134"/>
        <v>80.532364933721226</v>
      </c>
      <c r="W412" s="17"/>
      <c r="X412" s="20">
        <f t="shared" si="135"/>
        <v>110.32025758132255</v>
      </c>
      <c r="Y412" s="20">
        <f t="shared" si="136"/>
        <v>10.503345066278769</v>
      </c>
      <c r="Z412" s="20"/>
      <c r="AA412" s="20">
        <f t="shared" si="137"/>
        <v>6.8645606630972293E-5</v>
      </c>
    </row>
    <row r="413" spans="2:27" x14ac:dyDescent="0.3">
      <c r="B413" s="28">
        <v>37.5</v>
      </c>
      <c r="C413" s="28">
        <v>84.535709999999995</v>
      </c>
      <c r="D413" s="20">
        <f t="shared" si="119"/>
        <v>32.317544596863073</v>
      </c>
      <c r="E413" s="20">
        <f t="shared" si="120"/>
        <v>-5.2311427339240035</v>
      </c>
      <c r="F413" s="20">
        <f t="shared" si="121"/>
        <v>2.0805532004415586</v>
      </c>
      <c r="G413" s="20">
        <f t="shared" si="122"/>
        <v>2.0805532004415586</v>
      </c>
      <c r="H413" s="20">
        <f t="shared" si="123"/>
        <v>2.0805532004415586</v>
      </c>
      <c r="I413" s="17"/>
      <c r="J413" s="20">
        <f t="shared" si="124"/>
        <v>28.951908471977934</v>
      </c>
      <c r="K413" s="20">
        <f t="shared" si="125"/>
        <v>5.3190435402235671E-3</v>
      </c>
      <c r="L413" s="20">
        <f t="shared" si="126"/>
        <v>1.6064971037202007</v>
      </c>
      <c r="M413" s="20">
        <f t="shared" si="127"/>
        <v>1.6064971037202007</v>
      </c>
      <c r="N413" s="20">
        <f t="shared" si="128"/>
        <v>1.6064971037202007</v>
      </c>
      <c r="O413" s="17"/>
      <c r="P413" s="20">
        <f t="shared" si="129"/>
        <v>21.891702398019664</v>
      </c>
      <c r="Q413" s="20">
        <f t="shared" si="130"/>
        <v>58.237567850642655</v>
      </c>
      <c r="R413" s="20">
        <f t="shared" si="131"/>
        <v>0</v>
      </c>
      <c r="S413" s="20">
        <f t="shared" si="132"/>
        <v>0</v>
      </c>
      <c r="T413" s="20">
        <f t="shared" si="133"/>
        <v>0</v>
      </c>
      <c r="U413" s="17"/>
      <c r="V413" s="20">
        <f t="shared" si="134"/>
        <v>80.129270248662323</v>
      </c>
      <c r="W413" s="17"/>
      <c r="X413" s="20">
        <f t="shared" si="135"/>
        <v>19.416711282168805</v>
      </c>
      <c r="Y413" s="20">
        <f t="shared" si="136"/>
        <v>4.4064397513376719</v>
      </c>
      <c r="Z413" s="20"/>
      <c r="AA413" s="20">
        <f t="shared" si="137"/>
        <v>2.8798704403660219E-5</v>
      </c>
    </row>
    <row r="414" spans="2:27" x14ac:dyDescent="0.3">
      <c r="B414" s="28">
        <v>37.6</v>
      </c>
      <c r="C414" s="28">
        <v>88.035709999999995</v>
      </c>
      <c r="D414" s="20">
        <f t="shared" si="119"/>
        <v>32.392722777161737</v>
      </c>
      <c r="E414" s="20">
        <f t="shared" si="120"/>
        <v>-5.2260961115770446</v>
      </c>
      <c r="F414" s="20">
        <f t="shared" si="121"/>
        <v>2.0916643115526696</v>
      </c>
      <c r="G414" s="20">
        <f t="shared" si="122"/>
        <v>2.0916643115526696</v>
      </c>
      <c r="H414" s="20">
        <f t="shared" si="123"/>
        <v>2.0916643115526696</v>
      </c>
      <c r="I414" s="17"/>
      <c r="J414" s="20">
        <f t="shared" si="124"/>
        <v>29.024579729293517</v>
      </c>
      <c r="K414" s="20">
        <f t="shared" si="125"/>
        <v>5.3458114937121708E-3</v>
      </c>
      <c r="L414" s="20">
        <f t="shared" si="126"/>
        <v>1.6133509562539778</v>
      </c>
      <c r="M414" s="20">
        <f t="shared" si="127"/>
        <v>1.6133509562539778</v>
      </c>
      <c r="N414" s="20">
        <f t="shared" si="128"/>
        <v>1.6133509562539778</v>
      </c>
      <c r="O414" s="17"/>
      <c r="P414" s="20">
        <f t="shared" si="129"/>
        <v>21.784036481596306</v>
      </c>
      <c r="Q414" s="20">
        <f t="shared" si="130"/>
        <v>57.944413429089145</v>
      </c>
      <c r="R414" s="20">
        <f t="shared" si="131"/>
        <v>0</v>
      </c>
      <c r="S414" s="20">
        <f t="shared" si="132"/>
        <v>0</v>
      </c>
      <c r="T414" s="20">
        <f t="shared" si="133"/>
        <v>0</v>
      </c>
      <c r="U414" s="17"/>
      <c r="V414" s="20">
        <f t="shared" si="134"/>
        <v>79.728449910685455</v>
      </c>
      <c r="W414" s="17"/>
      <c r="X414" s="20">
        <f t="shared" si="135"/>
        <v>69.010570191518212</v>
      </c>
      <c r="Y414" s="20">
        <f t="shared" si="136"/>
        <v>8.3072600893145392</v>
      </c>
      <c r="Z414" s="20"/>
      <c r="AA414" s="20">
        <f t="shared" si="137"/>
        <v>5.4292885235493654E-5</v>
      </c>
    </row>
    <row r="415" spans="2:27" x14ac:dyDescent="0.3">
      <c r="B415" s="28">
        <v>37.700000000000003</v>
      </c>
      <c r="C415" s="28">
        <v>73.035709999999995</v>
      </c>
      <c r="D415" s="20">
        <f t="shared" si="119"/>
        <v>32.467900957460394</v>
      </c>
      <c r="E415" s="20">
        <f t="shared" si="120"/>
        <v>-5.2210494892300847</v>
      </c>
      <c r="F415" s="20">
        <f t="shared" si="121"/>
        <v>2.1027754226637807</v>
      </c>
      <c r="G415" s="20">
        <f t="shared" si="122"/>
        <v>2.1027754226637807</v>
      </c>
      <c r="H415" s="20">
        <f t="shared" si="123"/>
        <v>2.1027754226637807</v>
      </c>
      <c r="I415" s="17"/>
      <c r="J415" s="20">
        <f t="shared" si="124"/>
        <v>29.097257047269654</v>
      </c>
      <c r="K415" s="20">
        <f t="shared" si="125"/>
        <v>5.3727134363712849E-3</v>
      </c>
      <c r="L415" s="20">
        <f t="shared" si="126"/>
        <v>1.6202159684481239</v>
      </c>
      <c r="M415" s="20">
        <f t="shared" si="127"/>
        <v>1.6202159684481239</v>
      </c>
      <c r="N415" s="20">
        <f t="shared" si="128"/>
        <v>1.6202159684481239</v>
      </c>
      <c r="O415" s="17"/>
      <c r="P415" s="20">
        <f t="shared" si="129"/>
        <v>21.677154081441191</v>
      </c>
      <c r="Q415" s="20">
        <f t="shared" si="130"/>
        <v>57.65273476111539</v>
      </c>
      <c r="R415" s="20">
        <f t="shared" si="131"/>
        <v>0</v>
      </c>
      <c r="S415" s="20">
        <f t="shared" si="132"/>
        <v>0</v>
      </c>
      <c r="T415" s="20">
        <f t="shared" si="133"/>
        <v>0</v>
      </c>
      <c r="U415" s="17"/>
      <c r="V415" s="20">
        <f t="shared" si="134"/>
        <v>79.329888842556585</v>
      </c>
      <c r="W415" s="17"/>
      <c r="X415" s="20">
        <f t="shared" si="135"/>
        <v>39.616687302087016</v>
      </c>
      <c r="Y415" s="20">
        <f t="shared" si="136"/>
        <v>6.2941788425565903</v>
      </c>
      <c r="Z415" s="20"/>
      <c r="AA415" s="20">
        <f t="shared" si="137"/>
        <v>4.113620205417145E-5</v>
      </c>
    </row>
    <row r="416" spans="2:27" x14ac:dyDescent="0.3">
      <c r="B416" s="28">
        <v>37.799999999999997</v>
      </c>
      <c r="C416" s="28">
        <v>67.535709999999995</v>
      </c>
      <c r="D416" s="20">
        <f t="shared" si="119"/>
        <v>32.543079137759051</v>
      </c>
      <c r="E416" s="20">
        <f t="shared" si="120"/>
        <v>-5.2160028668831266</v>
      </c>
      <c r="F416" s="20">
        <f t="shared" si="121"/>
        <v>2.1138865337748909</v>
      </c>
      <c r="G416" s="20">
        <f t="shared" si="122"/>
        <v>2.1138865337748909</v>
      </c>
      <c r="H416" s="20">
        <f t="shared" si="123"/>
        <v>2.1138865337748909</v>
      </c>
      <c r="I416" s="17"/>
      <c r="J416" s="20">
        <f t="shared" si="124"/>
        <v>29.16994039717347</v>
      </c>
      <c r="K416" s="20">
        <f t="shared" si="125"/>
        <v>5.3997500316701518E-3</v>
      </c>
      <c r="L416" s="20">
        <f t="shared" si="126"/>
        <v>1.627092099930328</v>
      </c>
      <c r="M416" s="20">
        <f t="shared" si="127"/>
        <v>1.627092099930328</v>
      </c>
      <c r="N416" s="20">
        <f t="shared" si="128"/>
        <v>1.627092099930328</v>
      </c>
      <c r="O416" s="17"/>
      <c r="P416" s="20">
        <f t="shared" si="129"/>
        <v>21.571047677203669</v>
      </c>
      <c r="Q416" s="20">
        <f t="shared" si="130"/>
        <v>57.362524418108841</v>
      </c>
      <c r="R416" s="20">
        <f t="shared" si="131"/>
        <v>0</v>
      </c>
      <c r="S416" s="20">
        <f t="shared" si="132"/>
        <v>0</v>
      </c>
      <c r="T416" s="20">
        <f t="shared" si="133"/>
        <v>0</v>
      </c>
      <c r="U416" s="17"/>
      <c r="V416" s="20">
        <f t="shared" si="134"/>
        <v>78.933572095312513</v>
      </c>
      <c r="W416" s="17"/>
      <c r="X416" s="20">
        <f t="shared" si="135"/>
        <v>129.91126034376188</v>
      </c>
      <c r="Y416" s="20">
        <f t="shared" si="136"/>
        <v>11.397862095312519</v>
      </c>
      <c r="Z416" s="20"/>
      <c r="AA416" s="20">
        <f t="shared" si="137"/>
        <v>7.4491807409131811E-5</v>
      </c>
    </row>
    <row r="417" spans="2:27" x14ac:dyDescent="0.3">
      <c r="B417" s="28">
        <v>37.9</v>
      </c>
      <c r="C417" s="28">
        <v>82.785709999999995</v>
      </c>
      <c r="D417" s="20">
        <f t="shared" si="119"/>
        <v>32.618257318057708</v>
      </c>
      <c r="E417" s="20">
        <f t="shared" si="120"/>
        <v>-5.2109562445361668</v>
      </c>
      <c r="F417" s="20">
        <f t="shared" si="121"/>
        <v>2.1249976448860028</v>
      </c>
      <c r="G417" s="20">
        <f t="shared" si="122"/>
        <v>2.1249976448860028</v>
      </c>
      <c r="H417" s="20">
        <f t="shared" si="123"/>
        <v>2.1249976448860028</v>
      </c>
      <c r="I417" s="17"/>
      <c r="J417" s="20">
        <f t="shared" si="124"/>
        <v>29.242629750473498</v>
      </c>
      <c r="K417" s="20">
        <f t="shared" si="125"/>
        <v>5.4269219462910277E-3</v>
      </c>
      <c r="L417" s="20">
        <f t="shared" si="126"/>
        <v>1.6339793104386222</v>
      </c>
      <c r="M417" s="20">
        <f t="shared" si="127"/>
        <v>1.6339793104386222</v>
      </c>
      <c r="N417" s="20">
        <f t="shared" si="128"/>
        <v>1.6339793104386222</v>
      </c>
      <c r="O417" s="17"/>
      <c r="P417" s="20">
        <f t="shared" si="129"/>
        <v>21.465709837932607</v>
      </c>
      <c r="Q417" s="20">
        <f t="shared" si="130"/>
        <v>57.073775008852408</v>
      </c>
      <c r="R417" s="20">
        <f t="shared" si="131"/>
        <v>0</v>
      </c>
      <c r="S417" s="20">
        <f t="shared" si="132"/>
        <v>0</v>
      </c>
      <c r="T417" s="20">
        <f t="shared" si="133"/>
        <v>0</v>
      </c>
      <c r="U417" s="17"/>
      <c r="V417" s="20">
        <f t="shared" si="134"/>
        <v>78.539484846785015</v>
      </c>
      <c r="W417" s="17"/>
      <c r="X417" s="20">
        <f t="shared" si="135"/>
        <v>18.030428051795575</v>
      </c>
      <c r="Y417" s="20">
        <f t="shared" si="136"/>
        <v>4.2462251532149793</v>
      </c>
      <c r="Z417" s="20"/>
      <c r="AA417" s="20">
        <f t="shared" si="137"/>
        <v>2.7751606720982051E-5</v>
      </c>
    </row>
    <row r="418" spans="2:27" x14ac:dyDescent="0.3">
      <c r="B418" s="28">
        <v>38</v>
      </c>
      <c r="C418" s="28">
        <v>83.035709999999995</v>
      </c>
      <c r="D418" s="20">
        <f t="shared" si="119"/>
        <v>32.693435498356365</v>
      </c>
      <c r="E418" s="20">
        <f t="shared" si="120"/>
        <v>-5.2059096221892078</v>
      </c>
      <c r="F418" s="20">
        <f t="shared" si="121"/>
        <v>2.1361087559971139</v>
      </c>
      <c r="G418" s="20">
        <f t="shared" si="122"/>
        <v>2.1361087559971139</v>
      </c>
      <c r="H418" s="20">
        <f t="shared" si="123"/>
        <v>2.1361087559971139</v>
      </c>
      <c r="I418" s="17"/>
      <c r="J418" s="20">
        <f t="shared" si="124"/>
        <v>29.315325078837837</v>
      </c>
      <c r="K418" s="20">
        <f t="shared" si="125"/>
        <v>5.4542298501439419E-3</v>
      </c>
      <c r="L418" s="20">
        <f t="shared" si="126"/>
        <v>1.6408775598220986</v>
      </c>
      <c r="M418" s="20">
        <f t="shared" si="127"/>
        <v>1.6408775598220986</v>
      </c>
      <c r="N418" s="20">
        <f t="shared" si="128"/>
        <v>1.6408775598220986</v>
      </c>
      <c r="O418" s="17"/>
      <c r="P418" s="20">
        <f t="shared" si="129"/>
        <v>21.361133220811389</v>
      </c>
      <c r="Q418" s="20">
        <f t="shared" si="130"/>
        <v>56.786479179337078</v>
      </c>
      <c r="R418" s="20">
        <f t="shared" si="131"/>
        <v>0</v>
      </c>
      <c r="S418" s="20">
        <f t="shared" si="132"/>
        <v>0</v>
      </c>
      <c r="T418" s="20">
        <f t="shared" si="133"/>
        <v>0</v>
      </c>
      <c r="U418" s="17"/>
      <c r="V418" s="20">
        <f t="shared" si="134"/>
        <v>78.147612400148461</v>
      </c>
      <c r="W418" s="17"/>
      <c r="X418" s="20">
        <f t="shared" si="135"/>
        <v>23.893498145674325</v>
      </c>
      <c r="Y418" s="20">
        <f t="shared" si="136"/>
        <v>4.8880975998515339</v>
      </c>
      <c r="Z418" s="20"/>
      <c r="AA418" s="20">
        <f t="shared" si="137"/>
        <v>3.1946624898622799E-5</v>
      </c>
    </row>
    <row r="419" spans="2:27" x14ac:dyDescent="0.3">
      <c r="B419" s="28">
        <v>38.1</v>
      </c>
      <c r="C419" s="28">
        <v>79.285709999999995</v>
      </c>
      <c r="D419" s="20">
        <f t="shared" si="119"/>
        <v>32.768613678655029</v>
      </c>
      <c r="E419" s="20">
        <f t="shared" si="120"/>
        <v>-5.2008629998422489</v>
      </c>
      <c r="F419" s="20">
        <f t="shared" si="121"/>
        <v>2.147219867108225</v>
      </c>
      <c r="G419" s="20">
        <f t="shared" si="122"/>
        <v>2.147219867108225</v>
      </c>
      <c r="H419" s="20">
        <f t="shared" si="123"/>
        <v>2.147219867108225</v>
      </c>
      <c r="I419" s="17"/>
      <c r="J419" s="20">
        <f t="shared" si="124"/>
        <v>29.388026354132315</v>
      </c>
      <c r="K419" s="20">
        <f t="shared" si="125"/>
        <v>5.4816744163816615E-3</v>
      </c>
      <c r="L419" s="20">
        <f t="shared" si="126"/>
        <v>1.6477868080416145</v>
      </c>
      <c r="M419" s="20">
        <f t="shared" si="127"/>
        <v>1.6477868080416145</v>
      </c>
      <c r="N419" s="20">
        <f t="shared" si="128"/>
        <v>1.6477868080416145</v>
      </c>
      <c r="O419" s="17"/>
      <c r="P419" s="20">
        <f t="shared" si="129"/>
        <v>21.257310569913667</v>
      </c>
      <c r="Q419" s="20">
        <f t="shared" si="130"/>
        <v>56.500629612573896</v>
      </c>
      <c r="R419" s="20">
        <f t="shared" si="131"/>
        <v>0</v>
      </c>
      <c r="S419" s="20">
        <f t="shared" si="132"/>
        <v>0</v>
      </c>
      <c r="T419" s="20">
        <f t="shared" si="133"/>
        <v>0</v>
      </c>
      <c r="U419" s="17"/>
      <c r="V419" s="20">
        <f t="shared" si="134"/>
        <v>77.757940182487559</v>
      </c>
      <c r="W419" s="17"/>
      <c r="X419" s="20">
        <f t="shared" si="135"/>
        <v>2.3340806153019811</v>
      </c>
      <c r="Y419" s="20">
        <f t="shared" si="136"/>
        <v>1.5277698175124357</v>
      </c>
      <c r="Z419" s="20"/>
      <c r="AA419" s="20">
        <f t="shared" si="137"/>
        <v>9.9848843633951993E-6</v>
      </c>
    </row>
    <row r="420" spans="2:27" x14ac:dyDescent="0.3">
      <c r="B420" s="28">
        <v>38.200000000000003</v>
      </c>
      <c r="C420" s="28">
        <v>67.785709999999995</v>
      </c>
      <c r="D420" s="20">
        <f t="shared" si="119"/>
        <v>32.843791858953693</v>
      </c>
      <c r="E420" s="20">
        <f t="shared" si="120"/>
        <v>-5.195816377495289</v>
      </c>
      <c r="F420" s="20">
        <f t="shared" si="121"/>
        <v>2.1583309782193361</v>
      </c>
      <c r="G420" s="20">
        <f t="shared" si="122"/>
        <v>2.1583309782193361</v>
      </c>
      <c r="H420" s="20">
        <f t="shared" si="123"/>
        <v>2.1583309782193361</v>
      </c>
      <c r="I420" s="17"/>
      <c r="J420" s="20">
        <f t="shared" si="124"/>
        <v>29.460733548418659</v>
      </c>
      <c r="K420" s="20">
        <f t="shared" si="125"/>
        <v>5.509256321414616E-3</v>
      </c>
      <c r="L420" s="20">
        <f t="shared" si="126"/>
        <v>1.6547070151704679</v>
      </c>
      <c r="M420" s="20">
        <f t="shared" si="127"/>
        <v>1.6547070151704679</v>
      </c>
      <c r="N420" s="20">
        <f t="shared" si="128"/>
        <v>1.6547070151704679</v>
      </c>
      <c r="O420" s="17"/>
      <c r="P420" s="20">
        <f t="shared" si="129"/>
        <v>21.154234714979445</v>
      </c>
      <c r="Q420" s="20">
        <f t="shared" si="130"/>
        <v>56.216219028407934</v>
      </c>
      <c r="R420" s="20">
        <f t="shared" si="131"/>
        <v>0</v>
      </c>
      <c r="S420" s="20">
        <f t="shared" si="132"/>
        <v>0</v>
      </c>
      <c r="T420" s="20">
        <f t="shared" si="133"/>
        <v>0</v>
      </c>
      <c r="U420" s="17"/>
      <c r="V420" s="20">
        <f t="shared" si="134"/>
        <v>77.370453743387372</v>
      </c>
      <c r="W420" s="17"/>
      <c r="X420" s="20">
        <f t="shared" si="135"/>
        <v>91.867312626403489</v>
      </c>
      <c r="Y420" s="20">
        <f t="shared" si="136"/>
        <v>9.5847437433873779</v>
      </c>
      <c r="Z420" s="20"/>
      <c r="AA420" s="20">
        <f t="shared" si="137"/>
        <v>6.2642000668873405E-5</v>
      </c>
    </row>
    <row r="421" spans="2:27" x14ac:dyDescent="0.3">
      <c r="B421" s="28">
        <v>38.299999999999997</v>
      </c>
      <c r="C421" s="28">
        <v>59.785710000000002</v>
      </c>
      <c r="D421" s="20">
        <f t="shared" si="119"/>
        <v>32.918970039252343</v>
      </c>
      <c r="E421" s="20">
        <f t="shared" si="120"/>
        <v>-5.1907697551483301</v>
      </c>
      <c r="F421" s="20">
        <f t="shared" si="121"/>
        <v>2.1694420893304471</v>
      </c>
      <c r="G421" s="20">
        <f t="shared" si="122"/>
        <v>2.1694420893304471</v>
      </c>
      <c r="H421" s="20">
        <f t="shared" si="123"/>
        <v>2.1694420893304471</v>
      </c>
      <c r="I421" s="17"/>
      <c r="J421" s="20">
        <f t="shared" si="124"/>
        <v>29.533446633952689</v>
      </c>
      <c r="K421" s="20">
        <f t="shared" si="125"/>
        <v>5.5369762449259162E-3</v>
      </c>
      <c r="L421" s="20">
        <f t="shared" si="126"/>
        <v>1.6616381413950581</v>
      </c>
      <c r="M421" s="20">
        <f t="shared" si="127"/>
        <v>1.6616381413950581</v>
      </c>
      <c r="N421" s="20">
        <f t="shared" si="128"/>
        <v>1.6616381413950581</v>
      </c>
      <c r="O421" s="17"/>
      <c r="P421" s="20">
        <f t="shared" si="129"/>
        <v>21.051898570211172</v>
      </c>
      <c r="Q421" s="20">
        <f t="shared" si="130"/>
        <v>55.933240183332963</v>
      </c>
      <c r="R421" s="20">
        <f t="shared" si="131"/>
        <v>0</v>
      </c>
      <c r="S421" s="20">
        <f t="shared" si="132"/>
        <v>0</v>
      </c>
      <c r="T421" s="20">
        <f t="shared" si="133"/>
        <v>0</v>
      </c>
      <c r="U421" s="17"/>
      <c r="V421" s="20">
        <f t="shared" si="134"/>
        <v>76.985138753544135</v>
      </c>
      <c r="W421" s="17"/>
      <c r="X421" s="20">
        <f t="shared" si="135"/>
        <v>295.82034944824068</v>
      </c>
      <c r="Y421" s="20">
        <f t="shared" si="136"/>
        <v>17.199428753544133</v>
      </c>
      <c r="Z421" s="20"/>
      <c r="AA421" s="20">
        <f t="shared" si="137"/>
        <v>1.1240849586897584E-4</v>
      </c>
    </row>
    <row r="422" spans="2:27" x14ac:dyDescent="0.3">
      <c r="B422" s="28">
        <v>38.4</v>
      </c>
      <c r="C422" s="28">
        <v>77.035709999999995</v>
      </c>
      <c r="D422" s="20">
        <f t="shared" si="119"/>
        <v>32.994148219551008</v>
      </c>
      <c r="E422" s="20">
        <f t="shared" si="120"/>
        <v>-5.1857231328013711</v>
      </c>
      <c r="F422" s="20">
        <f t="shared" si="121"/>
        <v>2.1805532004415582</v>
      </c>
      <c r="G422" s="20">
        <f t="shared" si="122"/>
        <v>2.1805532004415582</v>
      </c>
      <c r="H422" s="20">
        <f t="shared" si="123"/>
        <v>2.1805532004415582</v>
      </c>
      <c r="I422" s="17"/>
      <c r="J422" s="20">
        <f t="shared" si="124"/>
        <v>29.606165583182602</v>
      </c>
      <c r="K422" s="20">
        <f t="shared" si="125"/>
        <v>5.5648348698864609E-3</v>
      </c>
      <c r="L422" s="20">
        <f t="shared" si="126"/>
        <v>1.6685801470155222</v>
      </c>
      <c r="M422" s="20">
        <f t="shared" si="127"/>
        <v>1.6685801470155222</v>
      </c>
      <c r="N422" s="20">
        <f t="shared" si="128"/>
        <v>1.6685801470155222</v>
      </c>
      <c r="O422" s="17"/>
      <c r="P422" s="20">
        <f t="shared" si="129"/>
        <v>20.950295133089298</v>
      </c>
      <c r="Q422" s="20">
        <f t="shared" si="130"/>
        <v>55.651685870306714</v>
      </c>
      <c r="R422" s="20">
        <f t="shared" si="131"/>
        <v>0</v>
      </c>
      <c r="S422" s="20">
        <f t="shared" si="132"/>
        <v>0</v>
      </c>
      <c r="T422" s="20">
        <f t="shared" si="133"/>
        <v>0</v>
      </c>
      <c r="U422" s="17"/>
      <c r="V422" s="20">
        <f t="shared" si="134"/>
        <v>76.60198100339602</v>
      </c>
      <c r="W422" s="17"/>
      <c r="X422" s="20">
        <f t="shared" si="135"/>
        <v>0.18812084249509078</v>
      </c>
      <c r="Y422" s="20">
        <f t="shared" si="136"/>
        <v>0.43372899660397479</v>
      </c>
      <c r="Z422" s="20"/>
      <c r="AA422" s="20">
        <f t="shared" si="137"/>
        <v>2.8346769431494323E-6</v>
      </c>
    </row>
    <row r="423" spans="2:27" x14ac:dyDescent="0.3">
      <c r="B423" s="28">
        <v>38.5</v>
      </c>
      <c r="C423" s="28">
        <v>87.535709999999995</v>
      </c>
      <c r="D423" s="20">
        <f t="shared" si="119"/>
        <v>33.069326399849672</v>
      </c>
      <c r="E423" s="20">
        <f t="shared" si="120"/>
        <v>-5.1806765104544121</v>
      </c>
      <c r="F423" s="20">
        <f t="shared" si="121"/>
        <v>2.1916643115526693</v>
      </c>
      <c r="G423" s="20">
        <f t="shared" si="122"/>
        <v>2.1916643115526693</v>
      </c>
      <c r="H423" s="20">
        <f t="shared" si="123"/>
        <v>2.1916643115526693</v>
      </c>
      <c r="I423" s="17"/>
      <c r="J423" s="20">
        <f t="shared" si="124"/>
        <v>29.678890368747123</v>
      </c>
      <c r="K423" s="20">
        <f t="shared" si="125"/>
        <v>5.5928328825700655E-3</v>
      </c>
      <c r="L423" s="20">
        <f t="shared" si="126"/>
        <v>1.6755329924463531</v>
      </c>
      <c r="M423" s="20">
        <f t="shared" si="127"/>
        <v>1.6755329924463531</v>
      </c>
      <c r="N423" s="20">
        <f t="shared" si="128"/>
        <v>1.6755329924463531</v>
      </c>
      <c r="O423" s="17"/>
      <c r="P423" s="20">
        <f t="shared" si="129"/>
        <v>20.849417483207294</v>
      </c>
      <c r="Q423" s="20">
        <f t="shared" si="130"/>
        <v>55.37154891856747</v>
      </c>
      <c r="R423" s="20">
        <f t="shared" si="131"/>
        <v>0</v>
      </c>
      <c r="S423" s="20">
        <f t="shared" si="132"/>
        <v>0</v>
      </c>
      <c r="T423" s="20">
        <f t="shared" si="133"/>
        <v>0</v>
      </c>
      <c r="U423" s="17"/>
      <c r="V423" s="20">
        <f t="shared" si="134"/>
        <v>76.22096640177476</v>
      </c>
      <c r="W423" s="17"/>
      <c r="X423" s="20">
        <f t="shared" si="135"/>
        <v>128.02342269357894</v>
      </c>
      <c r="Y423" s="20">
        <f t="shared" si="136"/>
        <v>11.314743598225235</v>
      </c>
      <c r="Z423" s="20"/>
      <c r="AA423" s="20">
        <f t="shared" si="137"/>
        <v>7.3948578597852468E-5</v>
      </c>
    </row>
    <row r="424" spans="2:27" x14ac:dyDescent="0.3">
      <c r="B424" s="28">
        <v>38.6</v>
      </c>
      <c r="C424" s="28">
        <v>86.035709999999995</v>
      </c>
      <c r="D424" s="20">
        <f t="shared" si="119"/>
        <v>33.144504580148329</v>
      </c>
      <c r="E424" s="20">
        <f t="shared" si="120"/>
        <v>-5.1756298881074523</v>
      </c>
      <c r="F424" s="20">
        <f t="shared" si="121"/>
        <v>2.2027754226637803</v>
      </c>
      <c r="G424" s="20">
        <f t="shared" si="122"/>
        <v>2.2027754226637803</v>
      </c>
      <c r="H424" s="20">
        <f t="shared" si="123"/>
        <v>2.2027754226637803</v>
      </c>
      <c r="I424" s="17"/>
      <c r="J424" s="20">
        <f t="shared" si="124"/>
        <v>29.751620963473819</v>
      </c>
      <c r="K424" s="20">
        <f t="shared" si="125"/>
        <v>5.6209709725686735E-3</v>
      </c>
      <c r="L424" s="20">
        <f t="shared" si="126"/>
        <v>1.6824966382169968</v>
      </c>
      <c r="M424" s="20">
        <f t="shared" si="127"/>
        <v>1.6824966382169968</v>
      </c>
      <c r="N424" s="20">
        <f t="shared" si="128"/>
        <v>1.6824966382169968</v>
      </c>
      <c r="O424" s="17"/>
      <c r="P424" s="20">
        <f t="shared" si="129"/>
        <v>20.749258781125345</v>
      </c>
      <c r="Q424" s="20">
        <f t="shared" si="130"/>
        <v>55.092822193451383</v>
      </c>
      <c r="R424" s="20">
        <f t="shared" si="131"/>
        <v>0</v>
      </c>
      <c r="S424" s="20">
        <f t="shared" si="132"/>
        <v>0</v>
      </c>
      <c r="T424" s="20">
        <f t="shared" si="133"/>
        <v>0</v>
      </c>
      <c r="U424" s="17"/>
      <c r="V424" s="20">
        <f t="shared" si="134"/>
        <v>75.842080974576731</v>
      </c>
      <c r="W424" s="17"/>
      <c r="X424" s="20">
        <f t="shared" si="135"/>
        <v>103.91007270795163</v>
      </c>
      <c r="Y424" s="20">
        <f t="shared" si="136"/>
        <v>10.193629025423263</v>
      </c>
      <c r="Z424" s="20"/>
      <c r="AA424" s="20">
        <f t="shared" si="137"/>
        <v>6.6621428107491526E-5</v>
      </c>
    </row>
    <row r="425" spans="2:27" x14ac:dyDescent="0.3">
      <c r="B425" s="28">
        <v>38.700000000000003</v>
      </c>
      <c r="C425" s="28">
        <v>68.035709999999995</v>
      </c>
      <c r="D425" s="20">
        <f t="shared" si="119"/>
        <v>33.219682760446986</v>
      </c>
      <c r="E425" s="20">
        <f t="shared" si="120"/>
        <v>-5.1705832657604933</v>
      </c>
      <c r="F425" s="20">
        <f t="shared" si="121"/>
        <v>2.2138865337748923</v>
      </c>
      <c r="G425" s="20">
        <f t="shared" si="122"/>
        <v>2.2138865337748923</v>
      </c>
      <c r="H425" s="20">
        <f t="shared" si="123"/>
        <v>2.2138865337748923</v>
      </c>
      <c r="I425" s="17"/>
      <c r="J425" s="20">
        <f t="shared" si="124"/>
        <v>29.824357340377393</v>
      </c>
      <c r="K425" s="20">
        <f t="shared" si="125"/>
        <v>5.6492498328076148E-3</v>
      </c>
      <c r="L425" s="20">
        <f t="shared" si="126"/>
        <v>1.6894710449724326</v>
      </c>
      <c r="M425" s="20">
        <f t="shared" si="127"/>
        <v>1.6894710449724326</v>
      </c>
      <c r="N425" s="20">
        <f t="shared" si="128"/>
        <v>1.6894710449724326</v>
      </c>
      <c r="O425" s="17"/>
      <c r="P425" s="20">
        <f t="shared" si="129"/>
        <v>20.649812267242638</v>
      </c>
      <c r="Q425" s="20">
        <f t="shared" si="130"/>
        <v>54.815498596210936</v>
      </c>
      <c r="R425" s="20">
        <f t="shared" si="131"/>
        <v>0</v>
      </c>
      <c r="S425" s="20">
        <f t="shared" si="132"/>
        <v>0</v>
      </c>
      <c r="T425" s="20">
        <f t="shared" si="133"/>
        <v>0</v>
      </c>
      <c r="U425" s="17"/>
      <c r="V425" s="20">
        <f t="shared" si="134"/>
        <v>75.465310863453567</v>
      </c>
      <c r="W425" s="17"/>
      <c r="X425" s="20">
        <f t="shared" si="135"/>
        <v>55.198968990230071</v>
      </c>
      <c r="Y425" s="20">
        <f t="shared" si="136"/>
        <v>7.4296008634535724</v>
      </c>
      <c r="Z425" s="20"/>
      <c r="AA425" s="20">
        <f t="shared" si="137"/>
        <v>4.8556860226858889E-5</v>
      </c>
    </row>
    <row r="426" spans="2:27" x14ac:dyDescent="0.3">
      <c r="B426" s="28">
        <v>38.799999999999997</v>
      </c>
      <c r="C426" s="28">
        <v>77.285709999999995</v>
      </c>
      <c r="D426" s="20">
        <f t="shared" si="119"/>
        <v>33.294860940745643</v>
      </c>
      <c r="E426" s="20">
        <f t="shared" si="120"/>
        <v>-5.1655366434135344</v>
      </c>
      <c r="F426" s="20">
        <f t="shared" si="121"/>
        <v>2.2249976448860025</v>
      </c>
      <c r="G426" s="20">
        <f t="shared" si="122"/>
        <v>2.2249976448860025</v>
      </c>
      <c r="H426" s="20">
        <f t="shared" si="123"/>
        <v>2.2249976448860025</v>
      </c>
      <c r="I426" s="17"/>
      <c r="J426" s="20">
        <f t="shared" si="124"/>
        <v>29.897099472657956</v>
      </c>
      <c r="K426" s="20">
        <f t="shared" si="125"/>
        <v>5.6776701595609583E-3</v>
      </c>
      <c r="L426" s="20">
        <f t="shared" si="126"/>
        <v>1.6964561734737271</v>
      </c>
      <c r="M426" s="20">
        <f t="shared" si="127"/>
        <v>1.6964561734737271</v>
      </c>
      <c r="N426" s="20">
        <f t="shared" si="128"/>
        <v>1.6964561734737271</v>
      </c>
      <c r="O426" s="17"/>
      <c r="P426" s="20">
        <f t="shared" si="129"/>
        <v>20.551071260687898</v>
      </c>
      <c r="Q426" s="20">
        <f t="shared" si="130"/>
        <v>54.539571063833868</v>
      </c>
      <c r="R426" s="20">
        <f t="shared" si="131"/>
        <v>0</v>
      </c>
      <c r="S426" s="20">
        <f t="shared" si="132"/>
        <v>0</v>
      </c>
      <c r="T426" s="20">
        <f t="shared" si="133"/>
        <v>0</v>
      </c>
      <c r="U426" s="17"/>
      <c r="V426" s="20">
        <f t="shared" si="134"/>
        <v>75.090642324521767</v>
      </c>
      <c r="W426" s="17"/>
      <c r="X426" s="20">
        <f t="shared" si="135"/>
        <v>4.8183220999293912</v>
      </c>
      <c r="Y426" s="20">
        <f t="shared" si="136"/>
        <v>2.1950676754782279</v>
      </c>
      <c r="Z426" s="20"/>
      <c r="AA426" s="20">
        <f t="shared" si="137"/>
        <v>1.434607272525097E-5</v>
      </c>
    </row>
    <row r="427" spans="2:27" x14ac:dyDescent="0.3">
      <c r="B427" s="28">
        <v>38.9</v>
      </c>
      <c r="C427" s="28">
        <v>93.535709999999995</v>
      </c>
      <c r="D427" s="20">
        <f t="shared" si="119"/>
        <v>33.3700391210443</v>
      </c>
      <c r="E427" s="20">
        <f t="shared" si="120"/>
        <v>-5.1604900210665754</v>
      </c>
      <c r="F427" s="20">
        <f t="shared" si="121"/>
        <v>2.2361087559971136</v>
      </c>
      <c r="G427" s="20">
        <f t="shared" si="122"/>
        <v>2.2361087559971136</v>
      </c>
      <c r="H427" s="20">
        <f t="shared" si="123"/>
        <v>2.2361087559971136</v>
      </c>
      <c r="I427" s="17"/>
      <c r="J427" s="20">
        <f t="shared" si="124"/>
        <v>29.969847333699363</v>
      </c>
      <c r="K427" s="20">
        <f t="shared" si="125"/>
        <v>5.7062326524668899E-3</v>
      </c>
      <c r="L427" s="20">
        <f t="shared" si="126"/>
        <v>1.7034519845985816</v>
      </c>
      <c r="M427" s="20">
        <f t="shared" si="127"/>
        <v>1.7034519845985816</v>
      </c>
      <c r="N427" s="20">
        <f t="shared" si="128"/>
        <v>1.7034519845985816</v>
      </c>
      <c r="O427" s="17"/>
      <c r="P427" s="20">
        <f t="shared" si="129"/>
        <v>20.453029158227714</v>
      </c>
      <c r="Q427" s="20">
        <f t="shared" si="130"/>
        <v>54.265032568863525</v>
      </c>
      <c r="R427" s="20">
        <f t="shared" si="131"/>
        <v>0</v>
      </c>
      <c r="S427" s="20">
        <f t="shared" si="132"/>
        <v>0</v>
      </c>
      <c r="T427" s="20">
        <f t="shared" si="133"/>
        <v>0</v>
      </c>
      <c r="U427" s="17"/>
      <c r="V427" s="20">
        <f t="shared" si="134"/>
        <v>74.718061727091239</v>
      </c>
      <c r="W427" s="17"/>
      <c r="X427" s="20">
        <f t="shared" si="135"/>
        <v>354.10388652290584</v>
      </c>
      <c r="Y427" s="20">
        <f t="shared" si="136"/>
        <v>18.817648272908755</v>
      </c>
      <c r="Z427" s="20"/>
      <c r="AA427" s="20">
        <f t="shared" si="137"/>
        <v>1.229845228268544E-4</v>
      </c>
    </row>
    <row r="428" spans="2:27" x14ac:dyDescent="0.3">
      <c r="B428" s="28">
        <v>39</v>
      </c>
      <c r="C428" s="28">
        <v>93.535709999999995</v>
      </c>
      <c r="D428" s="20">
        <f t="shared" si="119"/>
        <v>33.445217301342964</v>
      </c>
      <c r="E428" s="20">
        <f t="shared" si="120"/>
        <v>-5.1554433987196155</v>
      </c>
      <c r="F428" s="20">
        <f t="shared" si="121"/>
        <v>2.2472198671082255</v>
      </c>
      <c r="G428" s="20">
        <f t="shared" si="122"/>
        <v>2.2472198671082255</v>
      </c>
      <c r="H428" s="20">
        <f t="shared" si="123"/>
        <v>2.2472198671082255</v>
      </c>
      <c r="I428" s="17"/>
      <c r="J428" s="20">
        <f t="shared" si="124"/>
        <v>30.042600897067544</v>
      </c>
      <c r="K428" s="20">
        <f t="shared" si="125"/>
        <v>5.7349380145431854E-3</v>
      </c>
      <c r="L428" s="20">
        <f t="shared" si="126"/>
        <v>1.7104584393418463</v>
      </c>
      <c r="M428" s="20">
        <f t="shared" si="127"/>
        <v>1.7104584393418463</v>
      </c>
      <c r="N428" s="20">
        <f t="shared" si="128"/>
        <v>1.7104584393418463</v>
      </c>
      <c r="O428" s="17"/>
      <c r="P428" s="20">
        <f t="shared" si="129"/>
        <v>20.355679433192435</v>
      </c>
      <c r="Q428" s="20">
        <f t="shared" si="130"/>
        <v>53.991876119219661</v>
      </c>
      <c r="R428" s="20">
        <f t="shared" si="131"/>
        <v>0</v>
      </c>
      <c r="S428" s="20">
        <f t="shared" si="132"/>
        <v>0</v>
      </c>
      <c r="T428" s="20">
        <f t="shared" si="133"/>
        <v>0</v>
      </c>
      <c r="U428" s="17"/>
      <c r="V428" s="20">
        <f t="shared" si="134"/>
        <v>74.347555552412103</v>
      </c>
      <c r="W428" s="17"/>
      <c r="X428" s="20">
        <f t="shared" si="135"/>
        <v>368.18527110448696</v>
      </c>
      <c r="Y428" s="20">
        <f t="shared" si="136"/>
        <v>19.188154447587891</v>
      </c>
      <c r="Z428" s="20"/>
      <c r="AA428" s="20">
        <f t="shared" si="137"/>
        <v>1.2540600102840615E-4</v>
      </c>
    </row>
    <row r="429" spans="2:27" x14ac:dyDescent="0.3">
      <c r="B429" s="28">
        <v>39.1</v>
      </c>
      <c r="C429" s="28">
        <v>78.785709999999995</v>
      </c>
      <c r="D429" s="20">
        <f t="shared" si="119"/>
        <v>33.520395481641629</v>
      </c>
      <c r="E429" s="20">
        <f t="shared" si="120"/>
        <v>-5.1503967763726566</v>
      </c>
      <c r="F429" s="20">
        <f t="shared" si="121"/>
        <v>2.2583309782193357</v>
      </c>
      <c r="G429" s="20">
        <f t="shared" si="122"/>
        <v>2.2583309782193357</v>
      </c>
      <c r="H429" s="20">
        <f t="shared" si="123"/>
        <v>2.2583309782193357</v>
      </c>
      <c r="I429" s="17"/>
      <c r="J429" s="20">
        <f t="shared" si="124"/>
        <v>30.115360136508869</v>
      </c>
      <c r="K429" s="20">
        <f t="shared" si="125"/>
        <v>5.7637869522027037E-3</v>
      </c>
      <c r="L429" s="20">
        <f t="shared" si="126"/>
        <v>1.7174754988160246</v>
      </c>
      <c r="M429" s="20">
        <f t="shared" si="127"/>
        <v>1.7174754988160246</v>
      </c>
      <c r="N429" s="20">
        <f t="shared" si="128"/>
        <v>1.7174754988160246</v>
      </c>
      <c r="O429" s="17"/>
      <c r="P429" s="20">
        <f t="shared" si="129"/>
        <v>20.259015634419271</v>
      </c>
      <c r="Q429" s="20">
        <f t="shared" si="130"/>
        <v>53.720094758020693</v>
      </c>
      <c r="R429" s="20">
        <f t="shared" si="131"/>
        <v>0</v>
      </c>
      <c r="S429" s="20">
        <f t="shared" si="132"/>
        <v>0</v>
      </c>
      <c r="T429" s="20">
        <f t="shared" si="133"/>
        <v>0</v>
      </c>
      <c r="U429" s="17"/>
      <c r="V429" s="20">
        <f t="shared" si="134"/>
        <v>73.979110392439964</v>
      </c>
      <c r="W429" s="17"/>
      <c r="X429" s="20">
        <f t="shared" si="135"/>
        <v>23.103399787396246</v>
      </c>
      <c r="Y429" s="20">
        <f t="shared" si="136"/>
        <v>4.806599607560031</v>
      </c>
      <c r="Z429" s="20"/>
      <c r="AA429" s="20">
        <f t="shared" si="137"/>
        <v>3.1413987049941834E-5</v>
      </c>
    </row>
    <row r="430" spans="2:27" x14ac:dyDescent="0.3">
      <c r="B430" s="28">
        <v>39.200000000000003</v>
      </c>
      <c r="C430" s="28">
        <v>76.035709999999995</v>
      </c>
      <c r="D430" s="20">
        <f t="shared" si="119"/>
        <v>33.595573661940286</v>
      </c>
      <c r="E430" s="20">
        <f t="shared" si="120"/>
        <v>-5.1453501540256976</v>
      </c>
      <c r="F430" s="20">
        <f t="shared" si="121"/>
        <v>2.2694420893304477</v>
      </c>
      <c r="G430" s="20">
        <f t="shared" si="122"/>
        <v>2.2694420893304477</v>
      </c>
      <c r="H430" s="20">
        <f t="shared" si="123"/>
        <v>2.2694420893304477</v>
      </c>
      <c r="I430" s="17"/>
      <c r="J430" s="20">
        <f t="shared" si="124"/>
        <v>30.188125025948509</v>
      </c>
      <c r="K430" s="20">
        <f t="shared" si="125"/>
        <v>5.7927801752690041E-3</v>
      </c>
      <c r="L430" s="20">
        <f t="shared" si="126"/>
        <v>1.7245031242517621</v>
      </c>
      <c r="M430" s="20">
        <f t="shared" si="127"/>
        <v>1.7245031242517621</v>
      </c>
      <c r="N430" s="20">
        <f t="shared" si="128"/>
        <v>1.7245031242517621</v>
      </c>
      <c r="O430" s="17"/>
      <c r="P430" s="20">
        <f t="shared" si="129"/>
        <v>20.163031385212296</v>
      </c>
      <c r="Q430" s="20">
        <f t="shared" si="130"/>
        <v>53.449681563406116</v>
      </c>
      <c r="R430" s="20">
        <f t="shared" si="131"/>
        <v>0</v>
      </c>
      <c r="S430" s="20">
        <f t="shared" si="132"/>
        <v>0</v>
      </c>
      <c r="T430" s="20">
        <f t="shared" si="133"/>
        <v>0</v>
      </c>
      <c r="U430" s="17"/>
      <c r="V430" s="20">
        <f t="shared" si="134"/>
        <v>73.612712948618409</v>
      </c>
      <c r="W430" s="17"/>
      <c r="X430" s="20">
        <f t="shared" si="135"/>
        <v>5.8709147110038584</v>
      </c>
      <c r="Y430" s="20">
        <f t="shared" si="136"/>
        <v>2.4229970513815857</v>
      </c>
      <c r="Z430" s="20"/>
      <c r="AA430" s="20">
        <f t="shared" si="137"/>
        <v>1.5835726752532039E-5</v>
      </c>
    </row>
    <row r="431" spans="2:27" x14ac:dyDescent="0.3">
      <c r="B431" s="28">
        <v>39.299999999999997</v>
      </c>
      <c r="C431" s="28">
        <v>69.035709999999995</v>
      </c>
      <c r="D431" s="20">
        <f t="shared" si="119"/>
        <v>33.670751842238943</v>
      </c>
      <c r="E431" s="20">
        <f t="shared" si="120"/>
        <v>-5.1403035316787387</v>
      </c>
      <c r="F431" s="20">
        <f t="shared" si="121"/>
        <v>2.2805532004415578</v>
      </c>
      <c r="G431" s="20">
        <f t="shared" si="122"/>
        <v>2.2805532004415578</v>
      </c>
      <c r="H431" s="20">
        <f t="shared" si="123"/>
        <v>2.2805532004415578</v>
      </c>
      <c r="I431" s="17"/>
      <c r="J431" s="20">
        <f t="shared" si="124"/>
        <v>30.260895539488864</v>
      </c>
      <c r="K431" s="20">
        <f t="shared" si="125"/>
        <v>5.821918396991972E-3</v>
      </c>
      <c r="L431" s="20">
        <f t="shared" si="126"/>
        <v>1.731541276998305</v>
      </c>
      <c r="M431" s="20">
        <f t="shared" si="127"/>
        <v>1.731541276998305</v>
      </c>
      <c r="N431" s="20">
        <f t="shared" si="128"/>
        <v>1.731541276998305</v>
      </c>
      <c r="O431" s="17"/>
      <c r="P431" s="20">
        <f t="shared" si="129"/>
        <v>20.067720382318996</v>
      </c>
      <c r="Q431" s="20">
        <f t="shared" si="130"/>
        <v>53.180629648360515</v>
      </c>
      <c r="R431" s="20">
        <f t="shared" si="131"/>
        <v>0</v>
      </c>
      <c r="S431" s="20">
        <f t="shared" si="132"/>
        <v>0</v>
      </c>
      <c r="T431" s="20">
        <f t="shared" si="133"/>
        <v>0</v>
      </c>
      <c r="U431" s="17"/>
      <c r="V431" s="20">
        <f t="shared" si="134"/>
        <v>73.248350030679518</v>
      </c>
      <c r="W431" s="17"/>
      <c r="X431" s="20">
        <f t="shared" si="135"/>
        <v>17.746336028083576</v>
      </c>
      <c r="Y431" s="20">
        <f t="shared" si="136"/>
        <v>4.2126400306795233</v>
      </c>
      <c r="Z431" s="20"/>
      <c r="AA431" s="20">
        <f t="shared" si="137"/>
        <v>2.7532107971233869E-5</v>
      </c>
    </row>
    <row r="432" spans="2:27" x14ac:dyDescent="0.3">
      <c r="B432" s="28">
        <v>39.4</v>
      </c>
      <c r="C432" s="28">
        <v>84.785709999999995</v>
      </c>
      <c r="D432" s="20">
        <f t="shared" si="119"/>
        <v>33.745930022537607</v>
      </c>
      <c r="E432" s="20">
        <f t="shared" si="120"/>
        <v>-5.1352569093317797</v>
      </c>
      <c r="F432" s="20">
        <f t="shared" si="121"/>
        <v>2.2916643115526689</v>
      </c>
      <c r="G432" s="20">
        <f t="shared" si="122"/>
        <v>2.2916643115526689</v>
      </c>
      <c r="H432" s="20">
        <f t="shared" si="123"/>
        <v>2.2916643115526689</v>
      </c>
      <c r="I432" s="17"/>
      <c r="J432" s="20">
        <f t="shared" si="124"/>
        <v>30.333671651407947</v>
      </c>
      <c r="K432" s="20">
        <f t="shared" si="125"/>
        <v>5.851202334063537E-3</v>
      </c>
      <c r="L432" s="20">
        <f t="shared" si="126"/>
        <v>1.7385899185239571</v>
      </c>
      <c r="M432" s="20">
        <f t="shared" si="127"/>
        <v>1.7385899185239571</v>
      </c>
      <c r="N432" s="20">
        <f t="shared" si="128"/>
        <v>1.7385899185239571</v>
      </c>
      <c r="O432" s="17"/>
      <c r="P432" s="20">
        <f t="shared" si="129"/>
        <v>19.973076394923208</v>
      </c>
      <c r="Q432" s="20">
        <f t="shared" si="130"/>
        <v>52.912932160538013</v>
      </c>
      <c r="R432" s="20">
        <f t="shared" si="131"/>
        <v>0</v>
      </c>
      <c r="S432" s="20">
        <f t="shared" si="132"/>
        <v>0</v>
      </c>
      <c r="T432" s="20">
        <f t="shared" si="133"/>
        <v>0</v>
      </c>
      <c r="U432" s="17"/>
      <c r="V432" s="20">
        <f t="shared" si="134"/>
        <v>72.886008555461217</v>
      </c>
      <c r="W432" s="17"/>
      <c r="X432" s="20">
        <f t="shared" si="135"/>
        <v>141.60289446915826</v>
      </c>
      <c r="Y432" s="20">
        <f t="shared" si="136"/>
        <v>11.899701444538778</v>
      </c>
      <c r="Z432" s="20"/>
      <c r="AA432" s="20">
        <f t="shared" si="137"/>
        <v>7.7771626013733159E-5</v>
      </c>
    </row>
    <row r="433" spans="2:27" x14ac:dyDescent="0.3">
      <c r="B433" s="28">
        <v>39.5</v>
      </c>
      <c r="C433" s="28">
        <v>62.285710000000002</v>
      </c>
      <c r="D433" s="20">
        <f t="shared" si="119"/>
        <v>33.821108202836264</v>
      </c>
      <c r="E433" s="20">
        <f t="shared" si="120"/>
        <v>-5.1302102869848198</v>
      </c>
      <c r="F433" s="20">
        <f t="shared" si="121"/>
        <v>2.3027754226637809</v>
      </c>
      <c r="G433" s="20">
        <f t="shared" si="122"/>
        <v>2.3027754226637809</v>
      </c>
      <c r="H433" s="20">
        <f t="shared" si="123"/>
        <v>2.3027754226637809</v>
      </c>
      <c r="I433" s="17"/>
      <c r="J433" s="20">
        <f t="shared" si="124"/>
        <v>30.406453336157803</v>
      </c>
      <c r="K433" s="20">
        <f t="shared" si="125"/>
        <v>5.880632706633449E-3</v>
      </c>
      <c r="L433" s="20">
        <f t="shared" si="126"/>
        <v>1.7456490104165059</v>
      </c>
      <c r="M433" s="20">
        <f t="shared" si="127"/>
        <v>1.7456490104165059</v>
      </c>
      <c r="N433" s="20">
        <f t="shared" si="128"/>
        <v>1.7456490104165059</v>
      </c>
      <c r="O433" s="17"/>
      <c r="P433" s="20">
        <f t="shared" si="129"/>
        <v>19.879093263653989</v>
      </c>
      <c r="Q433" s="20">
        <f t="shared" si="130"/>
        <v>52.64658228208777</v>
      </c>
      <c r="R433" s="20">
        <f t="shared" si="131"/>
        <v>0</v>
      </c>
      <c r="S433" s="20">
        <f t="shared" si="132"/>
        <v>0</v>
      </c>
      <c r="T433" s="20">
        <f t="shared" si="133"/>
        <v>0</v>
      </c>
      <c r="U433" s="17"/>
      <c r="V433" s="20">
        <f t="shared" si="134"/>
        <v>72.525675545741763</v>
      </c>
      <c r="W433" s="17"/>
      <c r="X433" s="20">
        <f t="shared" si="135"/>
        <v>104.85689437797836</v>
      </c>
      <c r="Y433" s="20">
        <f t="shared" si="136"/>
        <v>10.239965545741761</v>
      </c>
      <c r="Z433" s="20"/>
      <c r="AA433" s="20">
        <f t="shared" si="137"/>
        <v>6.692426482535236E-5</v>
      </c>
    </row>
    <row r="434" spans="2:27" x14ac:dyDescent="0.3">
      <c r="B434" s="28">
        <v>39.6</v>
      </c>
      <c r="C434" s="28">
        <v>63.285710000000002</v>
      </c>
      <c r="D434" s="20">
        <f t="shared" ref="D434:D497" si="138">$C$23/(1-$C$23)-LN((1-$C$23)/$C$23)+$C$22/(1-$C$23)*B434</f>
        <v>33.896286383134921</v>
      </c>
      <c r="E434" s="20">
        <f t="shared" ref="E434:E497" si="139">$D$23/(1-$D$23)-LN((1-$D$23)/$D$23)+$D$22*B434/(1-$D$23)</f>
        <v>-5.1251636646378609</v>
      </c>
      <c r="F434" s="20">
        <f t="shared" ref="F434:F497" si="140">$E$23/(1-$E$23)-LN((1-$E$23)/$E$23)+$E$22*B434/(1-$E$23)</f>
        <v>2.313886533774892</v>
      </c>
      <c r="G434" s="20">
        <f t="shared" ref="G434:G497" si="141">$F$23/(1-$F$23)-LN((1-$F$23)/$F$23)+$F$22*B434/(1-$F$23)</f>
        <v>2.313886533774892</v>
      </c>
      <c r="H434" s="20">
        <f t="shared" ref="H434:H497" si="142">$G$23/(1-$G$23)-LN((1-$G$23)/$G$23)+$G$22*B434/(1-$G$23)</f>
        <v>2.313886533774892</v>
      </c>
      <c r="I434" s="17"/>
      <c r="J434" s="20">
        <f t="shared" ref="J434:J497" si="143">lmb_2(D434)</f>
        <v>30.479240568363</v>
      </c>
      <c r="K434" s="20">
        <f t="shared" ref="K434:K497" si="144">lmb_2(E434)</f>
        <v>5.9102102383250992E-3</v>
      </c>
      <c r="L434" s="20">
        <f t="shared" ref="L434:L497" si="145">lmb_2(F434)</f>
        <v>1.7527185143836377</v>
      </c>
      <c r="M434" s="20">
        <f t="shared" ref="M434:M497" si="146">lmb_2(G434)</f>
        <v>1.7527185143836377</v>
      </c>
      <c r="N434" s="20">
        <f t="shared" ref="N434:N497" si="147">lmb_2(H434)</f>
        <v>1.7527185143836377</v>
      </c>
      <c r="O434" s="17"/>
      <c r="P434" s="20">
        <f t="shared" ref="P434:P497" si="148">($C$21*$A$21*$C$22)/(J434+J434^2)</f>
        <v>19.785764899610179</v>
      </c>
      <c r="Q434" s="20">
        <f t="shared" ref="Q434:Q497" si="149">($D$21*$A$21*$D$22)/(K434+K434^2)</f>
        <v>52.381573229480502</v>
      </c>
      <c r="R434" s="20">
        <f t="shared" ref="R434:R497" si="150">($E$21*$A$21*$E$22)/(L434+L434^2)</f>
        <v>0</v>
      </c>
      <c r="S434" s="20">
        <f t="shared" ref="S434:S497" si="151">($F$21*$A$21*$F$22)/(M434+M434^2)</f>
        <v>0</v>
      </c>
      <c r="T434" s="20">
        <f t="shared" ref="T434:T497" si="152">($G$21*$A$21*$G$22)/(N434+N434^2)</f>
        <v>0</v>
      </c>
      <c r="U434" s="17"/>
      <c r="V434" s="20">
        <f t="shared" ref="V434:V497" si="153">SUM(P434:T434)</f>
        <v>72.16733812909068</v>
      </c>
      <c r="W434" s="17"/>
      <c r="X434" s="20">
        <f t="shared" ref="X434:X497" si="154">(V434-C434)^2</f>
        <v>78.883318223454793</v>
      </c>
      <c r="Y434" s="20">
        <f t="shared" ref="Y434:Y497" si="155">ABS(V434-C434)</f>
        <v>8.8816281290906787</v>
      </c>
      <c r="Z434" s="20"/>
      <c r="AA434" s="20">
        <f t="shared" ref="AA434:AA497" si="156">Y434/$Z$39</f>
        <v>5.8046721967608594E-5</v>
      </c>
    </row>
    <row r="435" spans="2:27" x14ac:dyDescent="0.3">
      <c r="B435" s="28">
        <v>39.700000000000003</v>
      </c>
      <c r="C435" s="28">
        <v>70.035709999999995</v>
      </c>
      <c r="D435" s="20">
        <f t="shared" si="138"/>
        <v>33.971464563433585</v>
      </c>
      <c r="E435" s="20">
        <f t="shared" si="139"/>
        <v>-5.1201170422909019</v>
      </c>
      <c r="F435" s="20">
        <f t="shared" si="140"/>
        <v>2.324997644886003</v>
      </c>
      <c r="G435" s="20">
        <f t="shared" si="141"/>
        <v>2.324997644886003</v>
      </c>
      <c r="H435" s="20">
        <f t="shared" si="142"/>
        <v>2.324997644886003</v>
      </c>
      <c r="I435" s="17"/>
      <c r="J435" s="20">
        <f t="shared" si="143"/>
        <v>30.55203332281906</v>
      </c>
      <c r="K435" s="20">
        <f t="shared" si="144"/>
        <v>5.939935656251452E-3</v>
      </c>
      <c r="L435" s="20">
        <f t="shared" si="145"/>
        <v>1.7597983922533369</v>
      </c>
      <c r="M435" s="20">
        <f t="shared" si="146"/>
        <v>1.7597983922533369</v>
      </c>
      <c r="N435" s="20">
        <f t="shared" si="147"/>
        <v>1.7597983922533369</v>
      </c>
      <c r="O435" s="17"/>
      <c r="P435" s="20">
        <f t="shared" si="148"/>
        <v>19.693085283400443</v>
      </c>
      <c r="Q435" s="20">
        <f t="shared" si="149"/>
        <v>52.117898253335426</v>
      </c>
      <c r="R435" s="20">
        <f t="shared" si="150"/>
        <v>0</v>
      </c>
      <c r="S435" s="20">
        <f t="shared" si="151"/>
        <v>0</v>
      </c>
      <c r="T435" s="20">
        <f t="shared" si="152"/>
        <v>0</v>
      </c>
      <c r="U435" s="17"/>
      <c r="V435" s="20">
        <f t="shared" si="153"/>
        <v>71.810983536735876</v>
      </c>
      <c r="W435" s="17"/>
      <c r="X435" s="20">
        <f t="shared" si="154"/>
        <v>3.1515961302347231</v>
      </c>
      <c r="Y435" s="20">
        <f t="shared" si="155"/>
        <v>1.775273536735881</v>
      </c>
      <c r="Z435" s="20"/>
      <c r="AA435" s="20">
        <f t="shared" si="156"/>
        <v>1.1602468365663407E-5</v>
      </c>
    </row>
    <row r="436" spans="2:27" x14ac:dyDescent="0.3">
      <c r="B436" s="28">
        <v>39.799999999999997</v>
      </c>
      <c r="C436" s="28">
        <v>65.785709999999995</v>
      </c>
      <c r="D436" s="20">
        <f t="shared" si="138"/>
        <v>34.046642743732235</v>
      </c>
      <c r="E436" s="20">
        <f t="shared" si="139"/>
        <v>-5.115070419943943</v>
      </c>
      <c r="F436" s="20">
        <f t="shared" si="140"/>
        <v>2.3361087559971141</v>
      </c>
      <c r="G436" s="20">
        <f t="shared" si="141"/>
        <v>2.3361087559971141</v>
      </c>
      <c r="H436" s="20">
        <f t="shared" si="142"/>
        <v>2.3361087559971141</v>
      </c>
      <c r="I436" s="17"/>
      <c r="J436" s="20">
        <f t="shared" si="143"/>
        <v>30.624831574490926</v>
      </c>
      <c r="K436" s="20">
        <f t="shared" si="144"/>
        <v>5.9698096910309924E-3</v>
      </c>
      <c r="L436" s="20">
        <f t="shared" si="145"/>
        <v>1.7668886059742661</v>
      </c>
      <c r="M436" s="20">
        <f t="shared" si="146"/>
        <v>1.7668886059742661</v>
      </c>
      <c r="N436" s="20">
        <f t="shared" si="147"/>
        <v>1.7668886059742661</v>
      </c>
      <c r="O436" s="17"/>
      <c r="P436" s="20">
        <f t="shared" si="148"/>
        <v>19.601048464198456</v>
      </c>
      <c r="Q436" s="20">
        <f t="shared" si="149"/>
        <v>51.855550638248573</v>
      </c>
      <c r="R436" s="20">
        <f t="shared" si="150"/>
        <v>0</v>
      </c>
      <c r="S436" s="20">
        <f t="shared" si="151"/>
        <v>0</v>
      </c>
      <c r="T436" s="20">
        <f t="shared" si="152"/>
        <v>0</v>
      </c>
      <c r="U436" s="17"/>
      <c r="V436" s="20">
        <f t="shared" si="153"/>
        <v>71.456599102447029</v>
      </c>
      <c r="W436" s="17"/>
      <c r="X436" s="20">
        <f t="shared" si="154"/>
        <v>32.158983212252537</v>
      </c>
      <c r="Y436" s="20">
        <f t="shared" si="155"/>
        <v>5.6708891024470347</v>
      </c>
      <c r="Z436" s="20"/>
      <c r="AA436" s="20">
        <f t="shared" si="156"/>
        <v>3.7062632915321835E-5</v>
      </c>
    </row>
    <row r="437" spans="2:27" x14ac:dyDescent="0.3">
      <c r="B437" s="28">
        <v>39.9</v>
      </c>
      <c r="C437" s="28">
        <v>68.285709999999995</v>
      </c>
      <c r="D437" s="20">
        <f t="shared" si="138"/>
        <v>34.121820924030899</v>
      </c>
      <c r="E437" s="20">
        <f t="shared" si="139"/>
        <v>-5.110023797596984</v>
      </c>
      <c r="F437" s="20">
        <f t="shared" si="140"/>
        <v>2.3472198671082252</v>
      </c>
      <c r="G437" s="20">
        <f t="shared" si="141"/>
        <v>2.3472198671082252</v>
      </c>
      <c r="H437" s="20">
        <f t="shared" si="142"/>
        <v>2.3472198671082252</v>
      </c>
      <c r="I437" s="17"/>
      <c r="J437" s="20">
        <f t="shared" si="143"/>
        <v>30.697635298511528</v>
      </c>
      <c r="K437" s="20">
        <f t="shared" si="144"/>
        <v>5.9998330768037556E-3</v>
      </c>
      <c r="L437" s="20">
        <f t="shared" si="145"/>
        <v>1.7739891176161298</v>
      </c>
      <c r="M437" s="20">
        <f t="shared" si="146"/>
        <v>1.7739891176161298</v>
      </c>
      <c r="N437" s="20">
        <f t="shared" si="147"/>
        <v>1.7739891176161298</v>
      </c>
      <c r="O437" s="17"/>
      <c r="P437" s="20">
        <f t="shared" si="148"/>
        <v>19.509648558812881</v>
      </c>
      <c r="Q437" s="20">
        <f t="shared" si="149"/>
        <v>51.594523702621736</v>
      </c>
      <c r="R437" s="20">
        <f t="shared" si="150"/>
        <v>0</v>
      </c>
      <c r="S437" s="20">
        <f t="shared" si="151"/>
        <v>0</v>
      </c>
      <c r="T437" s="20">
        <f t="shared" si="152"/>
        <v>0</v>
      </c>
      <c r="U437" s="17"/>
      <c r="V437" s="20">
        <f t="shared" si="153"/>
        <v>71.104172261434613</v>
      </c>
      <c r="W437" s="17"/>
      <c r="X437" s="20">
        <f t="shared" si="154"/>
        <v>7.9437295191311419</v>
      </c>
      <c r="Y437" s="20">
        <f t="shared" si="155"/>
        <v>2.8184622614346182</v>
      </c>
      <c r="Z437" s="20"/>
      <c r="AA437" s="20">
        <f t="shared" si="156"/>
        <v>1.8420327094064301E-5</v>
      </c>
    </row>
    <row r="438" spans="2:27" x14ac:dyDescent="0.3">
      <c r="B438" s="28">
        <v>40</v>
      </c>
      <c r="C438" s="28">
        <v>66.285709999999995</v>
      </c>
      <c r="D438" s="20">
        <f t="shared" si="138"/>
        <v>34.196999104329564</v>
      </c>
      <c r="E438" s="20">
        <f t="shared" si="139"/>
        <v>-5.1049771752500241</v>
      </c>
      <c r="F438" s="20">
        <f t="shared" si="140"/>
        <v>2.3583309782193362</v>
      </c>
      <c r="G438" s="20">
        <f t="shared" si="141"/>
        <v>2.3583309782193362</v>
      </c>
      <c r="H438" s="20">
        <f t="shared" si="142"/>
        <v>2.3583309782193362</v>
      </c>
      <c r="I438" s="17"/>
      <c r="J438" s="20">
        <f t="shared" si="143"/>
        <v>30.770444470180205</v>
      </c>
      <c r="K438" s="20">
        <f t="shared" si="144"/>
        <v>6.0300065512474401E-3</v>
      </c>
      <c r="L438" s="20">
        <f t="shared" si="145"/>
        <v>1.7810998893700234</v>
      </c>
      <c r="M438" s="20">
        <f t="shared" si="146"/>
        <v>1.7810998893700234</v>
      </c>
      <c r="N438" s="20">
        <f t="shared" si="147"/>
        <v>1.7810998893700234</v>
      </c>
      <c r="O438" s="17"/>
      <c r="P438" s="20">
        <f t="shared" si="148"/>
        <v>19.41887975077212</v>
      </c>
      <c r="Q438" s="20">
        <f t="shared" si="149"/>
        <v>51.334810798492143</v>
      </c>
      <c r="R438" s="20">
        <f t="shared" si="150"/>
        <v>0</v>
      </c>
      <c r="S438" s="20">
        <f t="shared" si="151"/>
        <v>0</v>
      </c>
      <c r="T438" s="20">
        <f t="shared" si="152"/>
        <v>0</v>
      </c>
      <c r="U438" s="17"/>
      <c r="V438" s="20">
        <f t="shared" si="153"/>
        <v>70.753690549264263</v>
      </c>
      <c r="W438" s="17"/>
      <c r="X438" s="20">
        <f t="shared" si="154"/>
        <v>19.962850188603834</v>
      </c>
      <c r="Y438" s="20">
        <f t="shared" si="155"/>
        <v>4.4679805492642686</v>
      </c>
      <c r="Z438" s="20"/>
      <c r="AA438" s="20">
        <f t="shared" si="156"/>
        <v>2.9200910118084302E-5</v>
      </c>
    </row>
    <row r="439" spans="2:27" x14ac:dyDescent="0.3">
      <c r="B439" s="28">
        <v>40.1</v>
      </c>
      <c r="C439" s="28">
        <v>91.035709999999995</v>
      </c>
      <c r="D439" s="20">
        <f t="shared" si="138"/>
        <v>34.272177284628228</v>
      </c>
      <c r="E439" s="20">
        <f t="shared" si="139"/>
        <v>-5.0999305529030643</v>
      </c>
      <c r="F439" s="20">
        <f t="shared" si="140"/>
        <v>2.3694420893304482</v>
      </c>
      <c r="G439" s="20">
        <f t="shared" si="141"/>
        <v>2.3694420893304482</v>
      </c>
      <c r="H439" s="20">
        <f t="shared" si="142"/>
        <v>2.3694420893304482</v>
      </c>
      <c r="I439" s="17"/>
      <c r="J439" s="20">
        <f t="shared" si="143"/>
        <v>30.843259064961309</v>
      </c>
      <c r="K439" s="20">
        <f t="shared" si="144"/>
        <v>6.0603308555935431E-3</v>
      </c>
      <c r="L439" s="20">
        <f t="shared" si="145"/>
        <v>1.7882208835487667</v>
      </c>
      <c r="M439" s="20">
        <f t="shared" si="146"/>
        <v>1.7882208835487667</v>
      </c>
      <c r="N439" s="20">
        <f t="shared" si="147"/>
        <v>1.7882208835487667</v>
      </c>
      <c r="O439" s="17"/>
      <c r="P439" s="20">
        <f t="shared" si="148"/>
        <v>19.328736289423261</v>
      </c>
      <c r="Q439" s="20">
        <f t="shared" si="149"/>
        <v>51.076405311363409</v>
      </c>
      <c r="R439" s="20">
        <f t="shared" si="150"/>
        <v>0</v>
      </c>
      <c r="S439" s="20">
        <f t="shared" si="151"/>
        <v>0</v>
      </c>
      <c r="T439" s="20">
        <f t="shared" si="152"/>
        <v>0</v>
      </c>
      <c r="U439" s="17"/>
      <c r="V439" s="20">
        <f t="shared" si="153"/>
        <v>70.405141600786664</v>
      </c>
      <c r="W439" s="17"/>
      <c r="X439" s="20">
        <f t="shared" si="154"/>
        <v>425.62035247461972</v>
      </c>
      <c r="Y439" s="20">
        <f t="shared" si="155"/>
        <v>20.630568399213331</v>
      </c>
      <c r="Z439" s="20"/>
      <c r="AA439" s="20">
        <f t="shared" si="156"/>
        <v>1.3483303404479227E-4</v>
      </c>
    </row>
    <row r="440" spans="2:27" x14ac:dyDescent="0.3">
      <c r="B440" s="28">
        <v>40.200000000000003</v>
      </c>
      <c r="C440" s="28">
        <v>76.535709999999995</v>
      </c>
      <c r="D440" s="20">
        <f t="shared" si="138"/>
        <v>34.347355464926885</v>
      </c>
      <c r="E440" s="20">
        <f t="shared" si="139"/>
        <v>-5.0948839305561062</v>
      </c>
      <c r="F440" s="20">
        <f t="shared" si="140"/>
        <v>2.3805532004415584</v>
      </c>
      <c r="G440" s="20">
        <f t="shared" si="141"/>
        <v>2.3805532004415584</v>
      </c>
      <c r="H440" s="20">
        <f t="shared" si="142"/>
        <v>2.3805532004415584</v>
      </c>
      <c r="I440" s="17"/>
      <c r="J440" s="20">
        <f t="shared" si="143"/>
        <v>30.916079058482701</v>
      </c>
      <c r="K440" s="20">
        <f t="shared" si="144"/>
        <v>6.0908067346435958E-3</v>
      </c>
      <c r="L440" s="20">
        <f t="shared" si="145"/>
        <v>1.7953520625872172</v>
      </c>
      <c r="M440" s="20">
        <f t="shared" si="146"/>
        <v>1.7953520625872172</v>
      </c>
      <c r="N440" s="20">
        <f t="shared" si="147"/>
        <v>1.7953520625872172</v>
      </c>
      <c r="O440" s="17"/>
      <c r="P440" s="20">
        <f t="shared" si="148"/>
        <v>19.239212489045215</v>
      </c>
      <c r="Q440" s="20">
        <f t="shared" si="149"/>
        <v>50.81930066003693</v>
      </c>
      <c r="R440" s="20">
        <f t="shared" si="150"/>
        <v>0</v>
      </c>
      <c r="S440" s="20">
        <f t="shared" si="151"/>
        <v>0</v>
      </c>
      <c r="T440" s="20">
        <f t="shared" si="152"/>
        <v>0</v>
      </c>
      <c r="U440" s="17"/>
      <c r="V440" s="20">
        <f t="shared" si="153"/>
        <v>70.058513149082145</v>
      </c>
      <c r="W440" s="17"/>
      <c r="X440" s="20">
        <f t="shared" si="154"/>
        <v>41.954079045540105</v>
      </c>
      <c r="Y440" s="20">
        <f t="shared" si="155"/>
        <v>6.4771968509178492</v>
      </c>
      <c r="Z440" s="20"/>
      <c r="AA440" s="20">
        <f t="shared" si="156"/>
        <v>4.2332333584562277E-5</v>
      </c>
    </row>
    <row r="441" spans="2:27" x14ac:dyDescent="0.3">
      <c r="B441" s="28">
        <v>40.299999999999997</v>
      </c>
      <c r="C441" s="28">
        <v>66.285709999999995</v>
      </c>
      <c r="D441" s="20">
        <f t="shared" si="138"/>
        <v>34.422533645225542</v>
      </c>
      <c r="E441" s="20">
        <f t="shared" si="139"/>
        <v>-5.0898373082091473</v>
      </c>
      <c r="F441" s="20">
        <f t="shared" si="140"/>
        <v>2.3916643115526695</v>
      </c>
      <c r="G441" s="20">
        <f t="shared" si="141"/>
        <v>2.3916643115526695</v>
      </c>
      <c r="H441" s="20">
        <f t="shared" si="142"/>
        <v>2.3916643115526695</v>
      </c>
      <c r="I441" s="17"/>
      <c r="J441" s="20">
        <f t="shared" si="143"/>
        <v>30.988904426534361</v>
      </c>
      <c r="K441" s="20">
        <f t="shared" si="144"/>
        <v>6.1214349367854776E-3</v>
      </c>
      <c r="L441" s="20">
        <f t="shared" si="145"/>
        <v>1.8024933890425787</v>
      </c>
      <c r="M441" s="20">
        <f t="shared" si="146"/>
        <v>1.8024933890425787</v>
      </c>
      <c r="N441" s="20">
        <f t="shared" si="147"/>
        <v>1.8024933890425787</v>
      </c>
      <c r="O441" s="17"/>
      <c r="P441" s="20">
        <f t="shared" si="148"/>
        <v>19.150302727975639</v>
      </c>
      <c r="Q441" s="20">
        <f t="shared" si="149"/>
        <v>50.563490296444087</v>
      </c>
      <c r="R441" s="20">
        <f t="shared" si="150"/>
        <v>0</v>
      </c>
      <c r="S441" s="20">
        <f t="shared" si="151"/>
        <v>0</v>
      </c>
      <c r="T441" s="20">
        <f t="shared" si="152"/>
        <v>0</v>
      </c>
      <c r="U441" s="17"/>
      <c r="V441" s="20">
        <f t="shared" si="153"/>
        <v>69.713793024419729</v>
      </c>
      <c r="W441" s="17"/>
      <c r="X441" s="20">
        <f t="shared" si="154"/>
        <v>11.751753222314756</v>
      </c>
      <c r="Y441" s="20">
        <f t="shared" si="155"/>
        <v>3.4280830244197347</v>
      </c>
      <c r="Z441" s="20"/>
      <c r="AA441" s="20">
        <f t="shared" si="156"/>
        <v>2.2404561338096022E-5</v>
      </c>
    </row>
    <row r="442" spans="2:27" x14ac:dyDescent="0.3">
      <c r="B442" s="28">
        <v>40.4</v>
      </c>
      <c r="C442" s="28">
        <v>87.035709999999995</v>
      </c>
      <c r="D442" s="20">
        <f t="shared" si="138"/>
        <v>34.497711825524199</v>
      </c>
      <c r="E442" s="20">
        <f t="shared" si="139"/>
        <v>-5.0847906858621874</v>
      </c>
      <c r="F442" s="20">
        <f t="shared" si="140"/>
        <v>2.4027754226637805</v>
      </c>
      <c r="G442" s="20">
        <f t="shared" si="141"/>
        <v>2.4027754226637805</v>
      </c>
      <c r="H442" s="20">
        <f t="shared" si="142"/>
        <v>2.4027754226637805</v>
      </c>
      <c r="I442" s="17"/>
      <c r="J442" s="20">
        <f t="shared" si="143"/>
        <v>31.06173514506694</v>
      </c>
      <c r="K442" s="20">
        <f t="shared" si="144"/>
        <v>6.1522162140097434E-3</v>
      </c>
      <c r="L442" s="20">
        <f t="shared" si="145"/>
        <v>1.8096448255946811</v>
      </c>
      <c r="M442" s="20">
        <f t="shared" si="146"/>
        <v>1.8096448255946811</v>
      </c>
      <c r="N442" s="20">
        <f t="shared" si="147"/>
        <v>1.8096448255946811</v>
      </c>
      <c r="O442" s="17"/>
      <c r="P442" s="20">
        <f t="shared" si="148"/>
        <v>19.062001447751491</v>
      </c>
      <c r="Q442" s="20">
        <f t="shared" si="149"/>
        <v>50.308967705479745</v>
      </c>
      <c r="R442" s="20">
        <f t="shared" si="150"/>
        <v>0</v>
      </c>
      <c r="S442" s="20">
        <f t="shared" si="151"/>
        <v>0</v>
      </c>
      <c r="T442" s="20">
        <f t="shared" si="152"/>
        <v>0</v>
      </c>
      <c r="U442" s="17"/>
      <c r="V442" s="20">
        <f t="shared" si="153"/>
        <v>69.370969153231243</v>
      </c>
      <c r="W442" s="17"/>
      <c r="X442" s="20">
        <f t="shared" si="154"/>
        <v>312.04306918350039</v>
      </c>
      <c r="Y442" s="20">
        <f t="shared" si="155"/>
        <v>17.664740846768751</v>
      </c>
      <c r="Z442" s="20"/>
      <c r="AA442" s="20">
        <f t="shared" si="156"/>
        <v>1.154495871318613E-4</v>
      </c>
    </row>
    <row r="443" spans="2:27" x14ac:dyDescent="0.3">
      <c r="B443" s="28">
        <v>40.5</v>
      </c>
      <c r="C443" s="28">
        <v>79.785709999999995</v>
      </c>
      <c r="D443" s="20">
        <f t="shared" si="138"/>
        <v>34.572890005822856</v>
      </c>
      <c r="E443" s="20">
        <f t="shared" si="139"/>
        <v>-5.0797440635152284</v>
      </c>
      <c r="F443" s="20">
        <f t="shared" si="140"/>
        <v>2.4138865337748916</v>
      </c>
      <c r="G443" s="20">
        <f t="shared" si="141"/>
        <v>2.4138865337748916</v>
      </c>
      <c r="H443" s="20">
        <f t="shared" si="142"/>
        <v>2.4138865337748916</v>
      </c>
      <c r="I443" s="17"/>
      <c r="J443" s="20">
        <f t="shared" si="143"/>
        <v>31.13457119019035</v>
      </c>
      <c r="K443" s="20">
        <f t="shared" si="144"/>
        <v>6.1831513219260358E-3</v>
      </c>
      <c r="L443" s="20">
        <f t="shared" si="145"/>
        <v>1.8168063350462553</v>
      </c>
      <c r="M443" s="20">
        <f t="shared" si="146"/>
        <v>1.8168063350462553</v>
      </c>
      <c r="N443" s="20">
        <f t="shared" si="147"/>
        <v>1.8168063350462553</v>
      </c>
      <c r="O443" s="17"/>
      <c r="P443" s="20">
        <f t="shared" si="148"/>
        <v>18.97430315226298</v>
      </c>
      <c r="Q443" s="20">
        <f t="shared" si="149"/>
        <v>50.055726404836371</v>
      </c>
      <c r="R443" s="20">
        <f t="shared" si="150"/>
        <v>0</v>
      </c>
      <c r="S443" s="20">
        <f t="shared" si="151"/>
        <v>0</v>
      </c>
      <c r="T443" s="20">
        <f t="shared" si="152"/>
        <v>0</v>
      </c>
      <c r="U443" s="17"/>
      <c r="V443" s="20">
        <f t="shared" si="153"/>
        <v>69.030029557099354</v>
      </c>
      <c r="W443" s="17"/>
      <c r="X443" s="20">
        <f t="shared" si="154"/>
        <v>115.68466178979531</v>
      </c>
      <c r="Y443" s="20">
        <f t="shared" si="155"/>
        <v>10.755680442900641</v>
      </c>
      <c r="Z443" s="20"/>
      <c r="AA443" s="20">
        <f t="shared" si="156"/>
        <v>7.0294768387856301E-5</v>
      </c>
    </row>
    <row r="444" spans="2:27" x14ac:dyDescent="0.3">
      <c r="B444" s="28">
        <v>40.6</v>
      </c>
      <c r="C444" s="28">
        <v>54.035710000000002</v>
      </c>
      <c r="D444" s="20">
        <f t="shared" si="138"/>
        <v>34.64806818612152</v>
      </c>
      <c r="E444" s="20">
        <f t="shared" si="139"/>
        <v>-5.0746974411682686</v>
      </c>
      <c r="F444" s="20">
        <f t="shared" si="140"/>
        <v>2.4249976448860036</v>
      </c>
      <c r="G444" s="20">
        <f t="shared" si="141"/>
        <v>2.4249976448860036</v>
      </c>
      <c r="H444" s="20">
        <f t="shared" si="142"/>
        <v>2.4249976448860036</v>
      </c>
      <c r="I444" s="17"/>
      <c r="J444" s="20">
        <f t="shared" si="143"/>
        <v>31.207412538172385</v>
      </c>
      <c r="K444" s="20">
        <f t="shared" si="144"/>
        <v>6.214241019779616E-3</v>
      </c>
      <c r="L444" s="20">
        <f t="shared" si="145"/>
        <v>1.823977880323191</v>
      </c>
      <c r="M444" s="20">
        <f t="shared" si="146"/>
        <v>1.823977880323191</v>
      </c>
      <c r="N444" s="20">
        <f t="shared" si="147"/>
        <v>1.823977880323191</v>
      </c>
      <c r="O444" s="17"/>
      <c r="P444" s="20">
        <f t="shared" si="148"/>
        <v>18.887202406920558</v>
      </c>
      <c r="Q444" s="20">
        <f t="shared" si="149"/>
        <v>49.803759944838546</v>
      </c>
      <c r="R444" s="20">
        <f t="shared" si="150"/>
        <v>0</v>
      </c>
      <c r="S444" s="20">
        <f t="shared" si="151"/>
        <v>0</v>
      </c>
      <c r="T444" s="20">
        <f t="shared" si="152"/>
        <v>0</v>
      </c>
      <c r="U444" s="17"/>
      <c r="V444" s="20">
        <f t="shared" si="153"/>
        <v>68.690962351759111</v>
      </c>
      <c r="W444" s="17"/>
      <c r="X444" s="20">
        <f t="shared" si="154"/>
        <v>214.77642149374091</v>
      </c>
      <c r="Y444" s="20">
        <f t="shared" si="155"/>
        <v>14.65525235175911</v>
      </c>
      <c r="Z444" s="20"/>
      <c r="AA444" s="20">
        <f t="shared" si="156"/>
        <v>9.5780789992926511E-5</v>
      </c>
    </row>
    <row r="445" spans="2:27" x14ac:dyDescent="0.3">
      <c r="B445" s="28">
        <v>40.700000000000003</v>
      </c>
      <c r="C445" s="28">
        <v>63.035710000000002</v>
      </c>
      <c r="D445" s="20">
        <f t="shared" si="138"/>
        <v>34.723246366420184</v>
      </c>
      <c r="E445" s="20">
        <f t="shared" si="139"/>
        <v>-5.0696508188213105</v>
      </c>
      <c r="F445" s="20">
        <f t="shared" si="140"/>
        <v>2.4361087559971137</v>
      </c>
      <c r="G445" s="20">
        <f t="shared" si="141"/>
        <v>2.4361087559971137</v>
      </c>
      <c r="H445" s="20">
        <f t="shared" si="142"/>
        <v>2.4361087559971137</v>
      </c>
      <c r="I445" s="17"/>
      <c r="J445" s="20">
        <f t="shared" si="143"/>
        <v>31.280259165437329</v>
      </c>
      <c r="K445" s="20">
        <f t="shared" si="144"/>
        <v>6.245486070467857E-3</v>
      </c>
      <c r="L445" s="20">
        <f t="shared" si="145"/>
        <v>1.831159424474776</v>
      </c>
      <c r="M445" s="20">
        <f t="shared" si="146"/>
        <v>1.831159424474776</v>
      </c>
      <c r="N445" s="20">
        <f t="shared" si="147"/>
        <v>1.831159424474776</v>
      </c>
      <c r="O445" s="17"/>
      <c r="P445" s="20">
        <f t="shared" si="148"/>
        <v>18.800693837834878</v>
      </c>
      <c r="Q445" s="20">
        <f t="shared" si="149"/>
        <v>49.553061908279261</v>
      </c>
      <c r="R445" s="20">
        <f t="shared" si="150"/>
        <v>0</v>
      </c>
      <c r="S445" s="20">
        <f t="shared" si="151"/>
        <v>0</v>
      </c>
      <c r="T445" s="20">
        <f t="shared" si="152"/>
        <v>0</v>
      </c>
      <c r="U445" s="17"/>
      <c r="V445" s="20">
        <f t="shared" si="153"/>
        <v>68.353755746114132</v>
      </c>
      <c r="W445" s="17"/>
      <c r="X445" s="20">
        <f t="shared" si="154"/>
        <v>28.281610557762594</v>
      </c>
      <c r="Y445" s="20">
        <f t="shared" si="155"/>
        <v>5.3180457461141302</v>
      </c>
      <c r="Z445" s="20"/>
      <c r="AA445" s="20">
        <f t="shared" si="156"/>
        <v>3.4756591736217565E-5</v>
      </c>
    </row>
    <row r="446" spans="2:27" x14ac:dyDescent="0.3">
      <c r="B446" s="28">
        <v>40.799999999999997</v>
      </c>
      <c r="C446" s="28">
        <v>81.535709999999995</v>
      </c>
      <c r="D446" s="20">
        <f t="shared" si="138"/>
        <v>34.798424546718834</v>
      </c>
      <c r="E446" s="20">
        <f t="shared" si="139"/>
        <v>-5.0646041964743507</v>
      </c>
      <c r="F446" s="20">
        <f t="shared" si="140"/>
        <v>2.4472198671082248</v>
      </c>
      <c r="G446" s="20">
        <f t="shared" si="141"/>
        <v>2.4472198671082248</v>
      </c>
      <c r="H446" s="20">
        <f t="shared" si="142"/>
        <v>2.4472198671082248</v>
      </c>
      <c r="I446" s="17"/>
      <c r="J446" s="20">
        <f t="shared" si="143"/>
        <v>31.3531110485646</v>
      </c>
      <c r="K446" s="20">
        <f t="shared" si="144"/>
        <v>6.276887240556939E-3</v>
      </c>
      <c r="L446" s="20">
        <f t="shared" si="145"/>
        <v>1.8383509306739299</v>
      </c>
      <c r="M446" s="20">
        <f t="shared" si="146"/>
        <v>1.8383509306739299</v>
      </c>
      <c r="N446" s="20">
        <f t="shared" si="147"/>
        <v>1.8383509306739299</v>
      </c>
      <c r="O446" s="17"/>
      <c r="P446" s="20">
        <f t="shared" si="148"/>
        <v>18.714772131009386</v>
      </c>
      <c r="Q446" s="20">
        <f t="shared" si="149"/>
        <v>49.303625910255789</v>
      </c>
      <c r="R446" s="20">
        <f t="shared" si="150"/>
        <v>0</v>
      </c>
      <c r="S446" s="20">
        <f t="shared" si="151"/>
        <v>0</v>
      </c>
      <c r="T446" s="20">
        <f t="shared" si="152"/>
        <v>0</v>
      </c>
      <c r="U446" s="17"/>
      <c r="V446" s="20">
        <f t="shared" si="153"/>
        <v>68.018398041265172</v>
      </c>
      <c r="W446" s="17"/>
      <c r="X446" s="20">
        <f t="shared" si="154"/>
        <v>182.71772258975545</v>
      </c>
      <c r="Y446" s="20">
        <f t="shared" si="155"/>
        <v>13.517311958734822</v>
      </c>
      <c r="Z446" s="20"/>
      <c r="AA446" s="20">
        <f t="shared" si="156"/>
        <v>8.8343672760643246E-5</v>
      </c>
    </row>
    <row r="447" spans="2:27" x14ac:dyDescent="0.3">
      <c r="B447" s="28">
        <v>40.9</v>
      </c>
      <c r="C447" s="28">
        <v>83.285709999999995</v>
      </c>
      <c r="D447" s="20">
        <f t="shared" si="138"/>
        <v>34.873602727017499</v>
      </c>
      <c r="E447" s="20">
        <f t="shared" si="139"/>
        <v>-5.0595575741273917</v>
      </c>
      <c r="F447" s="20">
        <f t="shared" si="140"/>
        <v>2.4583309782193359</v>
      </c>
      <c r="G447" s="20">
        <f t="shared" si="141"/>
        <v>2.4583309782193359</v>
      </c>
      <c r="H447" s="20">
        <f t="shared" si="142"/>
        <v>2.4583309782193359</v>
      </c>
      <c r="I447" s="17"/>
      <c r="J447" s="20">
        <f t="shared" si="143"/>
        <v>31.425968164287447</v>
      </c>
      <c r="K447" s="20">
        <f t="shared" si="144"/>
        <v>6.308445300298446E-3</v>
      </c>
      <c r="L447" s="20">
        <f t="shared" si="145"/>
        <v>1.8455523622174155</v>
      </c>
      <c r="M447" s="20">
        <f t="shared" si="146"/>
        <v>1.8455523622174155</v>
      </c>
      <c r="N447" s="20">
        <f t="shared" si="147"/>
        <v>1.8455523622174155</v>
      </c>
      <c r="O447" s="17"/>
      <c r="P447" s="20">
        <f t="shared" si="148"/>
        <v>18.629432031545303</v>
      </c>
      <c r="Q447" s="20">
        <f t="shared" si="149"/>
        <v>49.055445598007822</v>
      </c>
      <c r="R447" s="20">
        <f t="shared" si="150"/>
        <v>0</v>
      </c>
      <c r="S447" s="20">
        <f t="shared" si="151"/>
        <v>0</v>
      </c>
      <c r="T447" s="20">
        <f t="shared" si="152"/>
        <v>0</v>
      </c>
      <c r="U447" s="17"/>
      <c r="V447" s="20">
        <f t="shared" si="153"/>
        <v>67.684877629553128</v>
      </c>
      <c r="W447" s="17"/>
      <c r="X447" s="20">
        <f t="shared" si="154"/>
        <v>243.38597065078281</v>
      </c>
      <c r="Y447" s="20">
        <f t="shared" si="155"/>
        <v>15.600832370446867</v>
      </c>
      <c r="Z447" s="20"/>
      <c r="AA447" s="20">
        <f t="shared" si="156"/>
        <v>1.0196071777701332E-4</v>
      </c>
    </row>
    <row r="448" spans="2:27" x14ac:dyDescent="0.3">
      <c r="B448" s="28">
        <v>41</v>
      </c>
      <c r="C448" s="28">
        <v>75.785709999999995</v>
      </c>
      <c r="D448" s="20">
        <f t="shared" si="138"/>
        <v>34.948780907316163</v>
      </c>
      <c r="E448" s="20">
        <f t="shared" si="139"/>
        <v>-5.0545109517804327</v>
      </c>
      <c r="F448" s="20">
        <f t="shared" si="140"/>
        <v>2.4694420893304478</v>
      </c>
      <c r="G448" s="20">
        <f t="shared" si="141"/>
        <v>2.4694420893304478</v>
      </c>
      <c r="H448" s="20">
        <f t="shared" si="142"/>
        <v>2.4694420893304478</v>
      </c>
      <c r="I448" s="17"/>
      <c r="J448" s="20">
        <f t="shared" si="143"/>
        <v>31.498830489491539</v>
      </c>
      <c r="K448" s="20">
        <f t="shared" si="144"/>
        <v>6.3401610236461844E-3</v>
      </c>
      <c r="L448" s="20">
        <f t="shared" si="145"/>
        <v>1.8527636825260403</v>
      </c>
      <c r="M448" s="20">
        <f t="shared" si="146"/>
        <v>1.8527636825260403</v>
      </c>
      <c r="N448" s="20">
        <f t="shared" si="147"/>
        <v>1.8527636825260403</v>
      </c>
      <c r="O448" s="17"/>
      <c r="P448" s="20">
        <f t="shared" si="148"/>
        <v>18.544668342858976</v>
      </c>
      <c r="Q448" s="20">
        <f t="shared" si="149"/>
        <v>48.8085146507551</v>
      </c>
      <c r="R448" s="20">
        <f t="shared" si="150"/>
        <v>0</v>
      </c>
      <c r="S448" s="20">
        <f t="shared" si="151"/>
        <v>0</v>
      </c>
      <c r="T448" s="20">
        <f t="shared" si="152"/>
        <v>0</v>
      </c>
      <c r="U448" s="17"/>
      <c r="V448" s="20">
        <f t="shared" si="153"/>
        <v>67.35318299361407</v>
      </c>
      <c r="W448" s="17"/>
      <c r="X448" s="20">
        <f t="shared" si="154"/>
        <v>71.107511713427968</v>
      </c>
      <c r="Y448" s="20">
        <f t="shared" si="155"/>
        <v>8.432527006385925</v>
      </c>
      <c r="Z448" s="20"/>
      <c r="AA448" s="20">
        <f t="shared" si="156"/>
        <v>5.5111579038172223E-5</v>
      </c>
    </row>
    <row r="449" spans="2:27" x14ac:dyDescent="0.3">
      <c r="B449" s="28">
        <v>41.1</v>
      </c>
      <c r="C449" s="28">
        <v>69.535709999999995</v>
      </c>
      <c r="D449" s="20">
        <f t="shared" si="138"/>
        <v>35.02395908761482</v>
      </c>
      <c r="E449" s="20">
        <f t="shared" si="139"/>
        <v>-5.0494643294334729</v>
      </c>
      <c r="F449" s="20">
        <f t="shared" si="140"/>
        <v>2.4805532004415589</v>
      </c>
      <c r="G449" s="20">
        <f t="shared" si="141"/>
        <v>2.4805532004415589</v>
      </c>
      <c r="H449" s="20">
        <f t="shared" si="142"/>
        <v>2.4805532004415589</v>
      </c>
      <c r="I449" s="17"/>
      <c r="J449" s="20">
        <f t="shared" si="143"/>
        <v>31.571698001213701</v>
      </c>
      <c r="K449" s="20">
        <f t="shared" si="144"/>
        <v>6.3720351882729769E-3</v>
      </c>
      <c r="L449" s="20">
        <f t="shared" si="145"/>
        <v>1.8599848551448437</v>
      </c>
      <c r="M449" s="20">
        <f t="shared" si="146"/>
        <v>1.8599848551448437</v>
      </c>
      <c r="N449" s="20">
        <f t="shared" si="147"/>
        <v>1.8599848551448437</v>
      </c>
      <c r="O449" s="17"/>
      <c r="P449" s="20">
        <f t="shared" si="148"/>
        <v>18.460475925911105</v>
      </c>
      <c r="Q449" s="20">
        <f t="shared" si="149"/>
        <v>48.562826779536636</v>
      </c>
      <c r="R449" s="20">
        <f t="shared" si="150"/>
        <v>0</v>
      </c>
      <c r="S449" s="20">
        <f t="shared" si="151"/>
        <v>0</v>
      </c>
      <c r="T449" s="20">
        <f t="shared" si="152"/>
        <v>0</v>
      </c>
      <c r="U449" s="17"/>
      <c r="V449" s="20">
        <f t="shared" si="153"/>
        <v>67.023302705447747</v>
      </c>
      <c r="W449" s="17"/>
      <c r="X449" s="20">
        <f t="shared" si="154"/>
        <v>6.3121904137193416</v>
      </c>
      <c r="Y449" s="20">
        <f t="shared" si="155"/>
        <v>2.5124072945522471</v>
      </c>
      <c r="Z449" s="20"/>
      <c r="AA449" s="20">
        <f t="shared" si="156"/>
        <v>1.6420075866337486E-5</v>
      </c>
    </row>
    <row r="450" spans="2:27" x14ac:dyDescent="0.3">
      <c r="B450" s="28">
        <v>41.2</v>
      </c>
      <c r="C450" s="28">
        <v>60.785710000000002</v>
      </c>
      <c r="D450" s="20">
        <f t="shared" si="138"/>
        <v>35.099137267913477</v>
      </c>
      <c r="E450" s="20">
        <f t="shared" si="139"/>
        <v>-5.0444177070865148</v>
      </c>
      <c r="F450" s="20">
        <f t="shared" si="140"/>
        <v>2.4916643115526691</v>
      </c>
      <c r="G450" s="20">
        <f t="shared" si="141"/>
        <v>2.4916643115526691</v>
      </c>
      <c r="H450" s="20">
        <f t="shared" si="142"/>
        <v>2.4916643115526691</v>
      </c>
      <c r="I450" s="17"/>
      <c r="J450" s="20">
        <f t="shared" si="143"/>
        <v>31.644570676640601</v>
      </c>
      <c r="K450" s="20">
        <f t="shared" si="144"/>
        <v>6.4040685755875262E-3</v>
      </c>
      <c r="L450" s="20">
        <f t="shared" si="145"/>
        <v>1.8672158437432738</v>
      </c>
      <c r="M450" s="20">
        <f t="shared" si="146"/>
        <v>1.8672158437432738</v>
      </c>
      <c r="N450" s="20">
        <f t="shared" si="147"/>
        <v>1.8672158437432738</v>
      </c>
      <c r="O450" s="17"/>
      <c r="P450" s="20">
        <f t="shared" si="148"/>
        <v>18.376849698447813</v>
      </c>
      <c r="Q450" s="20">
        <f t="shared" si="149"/>
        <v>48.318375727050714</v>
      </c>
      <c r="R450" s="20">
        <f t="shared" si="150"/>
        <v>0</v>
      </c>
      <c r="S450" s="20">
        <f t="shared" si="151"/>
        <v>0</v>
      </c>
      <c r="T450" s="20">
        <f t="shared" si="152"/>
        <v>0</v>
      </c>
      <c r="U450" s="17"/>
      <c r="V450" s="20">
        <f t="shared" si="153"/>
        <v>66.695225425498535</v>
      </c>
      <c r="W450" s="17"/>
      <c r="X450" s="20">
        <f t="shared" si="154"/>
        <v>34.922372564205112</v>
      </c>
      <c r="Y450" s="20">
        <f t="shared" si="155"/>
        <v>5.9095154254985331</v>
      </c>
      <c r="Z450" s="20"/>
      <c r="AA450" s="20">
        <f t="shared" si="156"/>
        <v>3.862219785397923E-5</v>
      </c>
    </row>
    <row r="451" spans="2:27" x14ac:dyDescent="0.3">
      <c r="B451" s="28">
        <v>41.3</v>
      </c>
      <c r="C451" s="28">
        <v>62.785710000000002</v>
      </c>
      <c r="D451" s="20">
        <f t="shared" si="138"/>
        <v>35.174315448212134</v>
      </c>
      <c r="E451" s="20">
        <f t="shared" si="139"/>
        <v>-5.039371084739555</v>
      </c>
      <c r="F451" s="20">
        <f t="shared" si="140"/>
        <v>2.5027754226637802</v>
      </c>
      <c r="G451" s="20">
        <f t="shared" si="141"/>
        <v>2.5027754226637802</v>
      </c>
      <c r="H451" s="20">
        <f t="shared" si="142"/>
        <v>2.5027754226637802</v>
      </c>
      <c r="I451" s="17"/>
      <c r="J451" s="20">
        <f t="shared" si="143"/>
        <v>31.717448493107455</v>
      </c>
      <c r="K451" s="20">
        <f t="shared" si="144"/>
        <v>6.4362619707514215E-3</v>
      </c>
      <c r="L451" s="20">
        <f t="shared" si="145"/>
        <v>1.8744566121153474</v>
      </c>
      <c r="M451" s="20">
        <f t="shared" si="146"/>
        <v>1.8744566121153474</v>
      </c>
      <c r="N451" s="20">
        <f t="shared" si="147"/>
        <v>1.8744566121153474</v>
      </c>
      <c r="O451" s="17"/>
      <c r="P451" s="20">
        <f t="shared" si="148"/>
        <v>18.29378463425336</v>
      </c>
      <c r="Q451" s="20">
        <f t="shared" si="149"/>
        <v>48.075155267495077</v>
      </c>
      <c r="R451" s="20">
        <f t="shared" si="150"/>
        <v>0</v>
      </c>
      <c r="S451" s="20">
        <f t="shared" si="151"/>
        <v>0</v>
      </c>
      <c r="T451" s="20">
        <f t="shared" si="152"/>
        <v>0</v>
      </c>
      <c r="U451" s="17"/>
      <c r="V451" s="20">
        <f t="shared" si="153"/>
        <v>66.368939901748433</v>
      </c>
      <c r="W451" s="17"/>
      <c r="X451" s="20">
        <f t="shared" si="154"/>
        <v>12.839536528784075</v>
      </c>
      <c r="Y451" s="20">
        <f t="shared" si="155"/>
        <v>3.5832299017484317</v>
      </c>
      <c r="Z451" s="20"/>
      <c r="AA451" s="20">
        <f t="shared" si="156"/>
        <v>2.3418538451475073E-5</v>
      </c>
    </row>
    <row r="452" spans="2:27" x14ac:dyDescent="0.3">
      <c r="B452" s="28">
        <v>41.4</v>
      </c>
      <c r="C452" s="28">
        <v>56.285710000000002</v>
      </c>
      <c r="D452" s="20">
        <f t="shared" si="138"/>
        <v>35.249493628510791</v>
      </c>
      <c r="E452" s="20">
        <f t="shared" si="139"/>
        <v>-5.034324462392596</v>
      </c>
      <c r="F452" s="20">
        <f t="shared" si="140"/>
        <v>2.5138865337748912</v>
      </c>
      <c r="G452" s="20">
        <f t="shared" si="141"/>
        <v>2.5138865337748912</v>
      </c>
      <c r="H452" s="20">
        <f t="shared" si="142"/>
        <v>2.5138865337748912</v>
      </c>
      <c r="I452" s="17"/>
      <c r="J452" s="20">
        <f t="shared" si="143"/>
        <v>31.79033142809676</v>
      </c>
      <c r="K452" s="20">
        <f t="shared" si="144"/>
        <v>6.4686161626960823E-3</v>
      </c>
      <c r="L452" s="20">
        <f t="shared" si="145"/>
        <v>1.8817071241797982</v>
      </c>
      <c r="M452" s="20">
        <f t="shared" si="146"/>
        <v>1.8817071241797982</v>
      </c>
      <c r="N452" s="20">
        <f t="shared" si="147"/>
        <v>1.8817071241797982</v>
      </c>
      <c r="O452" s="17"/>
      <c r="P452" s="20">
        <f t="shared" si="148"/>
        <v>18.211275762414179</v>
      </c>
      <c r="Q452" s="20">
        <f t="shared" si="149"/>
        <v>47.833159206408908</v>
      </c>
      <c r="R452" s="20">
        <f t="shared" si="150"/>
        <v>0</v>
      </c>
      <c r="S452" s="20">
        <f t="shared" si="151"/>
        <v>0</v>
      </c>
      <c r="T452" s="20">
        <f t="shared" si="152"/>
        <v>0</v>
      </c>
      <c r="U452" s="17"/>
      <c r="V452" s="20">
        <f t="shared" si="153"/>
        <v>66.044434968823083</v>
      </c>
      <c r="W452" s="17"/>
      <c r="X452" s="20">
        <f t="shared" si="154"/>
        <v>95.232713017131047</v>
      </c>
      <c r="Y452" s="20">
        <f t="shared" si="155"/>
        <v>9.7587249688230813</v>
      </c>
      <c r="Z452" s="20"/>
      <c r="AA452" s="20">
        <f t="shared" si="156"/>
        <v>6.3779071448426982E-5</v>
      </c>
    </row>
    <row r="453" spans="2:27" x14ac:dyDescent="0.3">
      <c r="B453" s="28">
        <v>41.5</v>
      </c>
      <c r="C453" s="28">
        <v>62.285710000000002</v>
      </c>
      <c r="D453" s="20">
        <f t="shared" si="138"/>
        <v>35.324671808809455</v>
      </c>
      <c r="E453" s="20">
        <f t="shared" si="139"/>
        <v>-5.029277840045637</v>
      </c>
      <c r="F453" s="20">
        <f t="shared" si="140"/>
        <v>2.5249976448860032</v>
      </c>
      <c r="G453" s="20">
        <f t="shared" si="141"/>
        <v>2.5249976448860032</v>
      </c>
      <c r="H453" s="20">
        <f t="shared" si="142"/>
        <v>2.5249976448860032</v>
      </c>
      <c r="I453" s="17"/>
      <c r="J453" s="20">
        <f t="shared" si="143"/>
        <v>31.863219459237015</v>
      </c>
      <c r="K453" s="20">
        <f t="shared" si="144"/>
        <v>6.5011319441399045E-3</v>
      </c>
      <c r="L453" s="20">
        <f t="shared" si="145"/>
        <v>1.8889673439802142</v>
      </c>
      <c r="M453" s="20">
        <f t="shared" si="146"/>
        <v>1.8889673439802142</v>
      </c>
      <c r="N453" s="20">
        <f t="shared" si="147"/>
        <v>1.8889673439802142</v>
      </c>
      <c r="O453" s="17"/>
      <c r="P453" s="20">
        <f t="shared" si="148"/>
        <v>18.129318166594167</v>
      </c>
      <c r="Q453" s="20">
        <f t="shared" si="149"/>
        <v>47.592381380514666</v>
      </c>
      <c r="R453" s="20">
        <f t="shared" si="150"/>
        <v>0</v>
      </c>
      <c r="S453" s="20">
        <f t="shared" si="151"/>
        <v>0</v>
      </c>
      <c r="T453" s="20">
        <f t="shared" si="152"/>
        <v>0</v>
      </c>
      <c r="U453" s="17"/>
      <c r="V453" s="20">
        <f t="shared" si="153"/>
        <v>65.721699547108841</v>
      </c>
      <c r="W453" s="17"/>
      <c r="X453" s="20">
        <f t="shared" si="154"/>
        <v>11.806024167841207</v>
      </c>
      <c r="Y453" s="20">
        <f t="shared" si="155"/>
        <v>3.4359895471088393</v>
      </c>
      <c r="Z453" s="20"/>
      <c r="AA453" s="20">
        <f t="shared" si="156"/>
        <v>2.2456235166091796E-5</v>
      </c>
    </row>
    <row r="454" spans="2:27" x14ac:dyDescent="0.3">
      <c r="B454" s="28">
        <v>41.6</v>
      </c>
      <c r="C454" s="28">
        <v>65.035709999999995</v>
      </c>
      <c r="D454" s="20">
        <f t="shared" si="138"/>
        <v>35.39984998910812</v>
      </c>
      <c r="E454" s="20">
        <f t="shared" si="139"/>
        <v>-5.0242312176986772</v>
      </c>
      <c r="F454" s="20">
        <f t="shared" si="140"/>
        <v>2.5361087559971143</v>
      </c>
      <c r="G454" s="20">
        <f t="shared" si="141"/>
        <v>2.5361087559971143</v>
      </c>
      <c r="H454" s="20">
        <f t="shared" si="142"/>
        <v>2.5361087559971143</v>
      </c>
      <c r="I454" s="17"/>
      <c r="J454" s="20">
        <f t="shared" si="143"/>
        <v>31.936112564301489</v>
      </c>
      <c r="K454" s="20">
        <f t="shared" si="144"/>
        <v>6.5338101116053883E-3</v>
      </c>
      <c r="L454" s="20">
        <f t="shared" si="145"/>
        <v>1.8962372356851589</v>
      </c>
      <c r="M454" s="20">
        <f t="shared" si="146"/>
        <v>1.8962372356851589</v>
      </c>
      <c r="N454" s="20">
        <f t="shared" si="147"/>
        <v>1.8962372356851589</v>
      </c>
      <c r="O454" s="17"/>
      <c r="P454" s="20">
        <f t="shared" si="148"/>
        <v>18.047906984320978</v>
      </c>
      <c r="Q454" s="20">
        <f t="shared" si="149"/>
        <v>47.352815657561237</v>
      </c>
      <c r="R454" s="20">
        <f t="shared" si="150"/>
        <v>0</v>
      </c>
      <c r="S454" s="20">
        <f t="shared" si="151"/>
        <v>0</v>
      </c>
      <c r="T454" s="20">
        <f t="shared" si="152"/>
        <v>0</v>
      </c>
      <c r="U454" s="17"/>
      <c r="V454" s="20">
        <f t="shared" si="153"/>
        <v>65.400722641882211</v>
      </c>
      <c r="W454" s="17"/>
      <c r="X454" s="20">
        <f t="shared" si="154"/>
        <v>0.13323422873383547</v>
      </c>
      <c r="Y454" s="20">
        <f t="shared" si="155"/>
        <v>0.36501264188221683</v>
      </c>
      <c r="Z454" s="20"/>
      <c r="AA454" s="20">
        <f t="shared" si="156"/>
        <v>2.3855746975716465E-6</v>
      </c>
    </row>
    <row r="455" spans="2:27" x14ac:dyDescent="0.3">
      <c r="B455" s="28">
        <v>41.7</v>
      </c>
      <c r="C455" s="28">
        <v>71.035709999999995</v>
      </c>
      <c r="D455" s="20">
        <f t="shared" si="138"/>
        <v>35.475028169406777</v>
      </c>
      <c r="E455" s="20">
        <f t="shared" si="139"/>
        <v>-5.0191845953517182</v>
      </c>
      <c r="F455" s="20">
        <f t="shared" si="140"/>
        <v>2.5472198671082253</v>
      </c>
      <c r="G455" s="20">
        <f t="shared" si="141"/>
        <v>2.5472198671082253</v>
      </c>
      <c r="H455" s="20">
        <f t="shared" si="142"/>
        <v>2.5472198671082253</v>
      </c>
      <c r="I455" s="17"/>
      <c r="J455" s="20">
        <f t="shared" si="143"/>
        <v>32.009010721206955</v>
      </c>
      <c r="K455" s="20">
        <f t="shared" si="144"/>
        <v>6.566651465436342E-3</v>
      </c>
      <c r="L455" s="20">
        <f t="shared" si="145"/>
        <v>1.9035167635882875</v>
      </c>
      <c r="M455" s="20">
        <f t="shared" si="146"/>
        <v>1.9035167635882875</v>
      </c>
      <c r="N455" s="20">
        <f t="shared" si="147"/>
        <v>1.9035167635882875</v>
      </c>
      <c r="O455" s="17"/>
      <c r="P455" s="20">
        <f t="shared" si="148"/>
        <v>17.967037406283101</v>
      </c>
      <c r="Q455" s="20">
        <f t="shared" si="149"/>
        <v>47.114455936167872</v>
      </c>
      <c r="R455" s="20">
        <f t="shared" si="150"/>
        <v>0</v>
      </c>
      <c r="S455" s="20">
        <f t="shared" si="151"/>
        <v>0</v>
      </c>
      <c r="T455" s="20">
        <f t="shared" si="152"/>
        <v>0</v>
      </c>
      <c r="U455" s="17"/>
      <c r="V455" s="20">
        <f t="shared" si="153"/>
        <v>65.081493342450969</v>
      </c>
      <c r="W455" s="17"/>
      <c r="X455" s="20">
        <f t="shared" si="154"/>
        <v>35.452696005034291</v>
      </c>
      <c r="Y455" s="20">
        <f t="shared" si="155"/>
        <v>5.9542166575490256</v>
      </c>
      <c r="Z455" s="20"/>
      <c r="AA455" s="20">
        <f t="shared" si="156"/>
        <v>3.891434699045857E-5</v>
      </c>
    </row>
    <row r="456" spans="2:27" x14ac:dyDescent="0.3">
      <c r="B456" s="28">
        <v>41.8</v>
      </c>
      <c r="C456" s="28">
        <v>72.035709999999995</v>
      </c>
      <c r="D456" s="20">
        <f t="shared" si="138"/>
        <v>35.550206349705434</v>
      </c>
      <c r="E456" s="20">
        <f t="shared" si="139"/>
        <v>-5.0141379730047593</v>
      </c>
      <c r="F456" s="20">
        <f t="shared" si="140"/>
        <v>2.5583309782193355</v>
      </c>
      <c r="G456" s="20">
        <f t="shared" si="141"/>
        <v>2.5583309782193355</v>
      </c>
      <c r="H456" s="20">
        <f t="shared" si="142"/>
        <v>2.5583309782193355</v>
      </c>
      <c r="I456" s="17"/>
      <c r="J456" s="20">
        <f t="shared" si="143"/>
        <v>32.081913908012531</v>
      </c>
      <c r="K456" s="20">
        <f t="shared" si="144"/>
        <v>6.5996568098152051E-3</v>
      </c>
      <c r="L456" s="20">
        <f t="shared" si="145"/>
        <v>1.9108058921084425</v>
      </c>
      <c r="M456" s="20">
        <f t="shared" si="146"/>
        <v>1.9108058921084425</v>
      </c>
      <c r="N456" s="20">
        <f t="shared" si="147"/>
        <v>1.9108058921084425</v>
      </c>
      <c r="O456" s="17"/>
      <c r="P456" s="20">
        <f t="shared" si="148"/>
        <v>17.886704675637571</v>
      </c>
      <c r="Q456" s="20">
        <f t="shared" si="149"/>
        <v>46.877296145668581</v>
      </c>
      <c r="R456" s="20">
        <f t="shared" si="150"/>
        <v>0</v>
      </c>
      <c r="S456" s="20">
        <f t="shared" si="151"/>
        <v>0</v>
      </c>
      <c r="T456" s="20">
        <f t="shared" si="152"/>
        <v>0</v>
      </c>
      <c r="U456" s="17"/>
      <c r="V456" s="20">
        <f t="shared" si="153"/>
        <v>64.764000821306155</v>
      </c>
      <c r="W456" s="17"/>
      <c r="X456" s="20">
        <f t="shared" si="154"/>
        <v>52.877754379500239</v>
      </c>
      <c r="Y456" s="20">
        <f t="shared" si="155"/>
        <v>7.2717091786938397</v>
      </c>
      <c r="Z456" s="20"/>
      <c r="AA456" s="20">
        <f t="shared" si="156"/>
        <v>4.7524944164506941E-5</v>
      </c>
    </row>
    <row r="457" spans="2:27" x14ac:dyDescent="0.3">
      <c r="B457" s="28">
        <v>41.9</v>
      </c>
      <c r="C457" s="28">
        <v>53.535710000000002</v>
      </c>
      <c r="D457" s="20">
        <f t="shared" si="138"/>
        <v>35.625384530004098</v>
      </c>
      <c r="E457" s="20">
        <f t="shared" si="139"/>
        <v>-5.0090913506578003</v>
      </c>
      <c r="F457" s="20">
        <f t="shared" si="140"/>
        <v>2.5694420893304475</v>
      </c>
      <c r="G457" s="20">
        <f t="shared" si="141"/>
        <v>2.5694420893304475</v>
      </c>
      <c r="H457" s="20">
        <f t="shared" si="142"/>
        <v>2.5694420893304475</v>
      </c>
      <c r="I457" s="17"/>
      <c r="J457" s="20">
        <f t="shared" si="143"/>
        <v>32.154822102918395</v>
      </c>
      <c r="K457" s="20">
        <f t="shared" si="144"/>
        <v>6.6328269527803751E-3</v>
      </c>
      <c r="L457" s="20">
        <f t="shared" si="145"/>
        <v>1.9181045857897465</v>
      </c>
      <c r="M457" s="20">
        <f t="shared" si="146"/>
        <v>1.9181045857897465</v>
      </c>
      <c r="N457" s="20">
        <f t="shared" si="147"/>
        <v>1.9181045857897465</v>
      </c>
      <c r="O457" s="17"/>
      <c r="P457" s="20">
        <f t="shared" si="148"/>
        <v>17.806904087328167</v>
      </c>
      <c r="Q457" s="20">
        <f t="shared" si="149"/>
        <v>46.641330245957661</v>
      </c>
      <c r="R457" s="20">
        <f t="shared" si="150"/>
        <v>0</v>
      </c>
      <c r="S457" s="20">
        <f t="shared" si="151"/>
        <v>0</v>
      </c>
      <c r="T457" s="20">
        <f t="shared" si="152"/>
        <v>0</v>
      </c>
      <c r="U457" s="17"/>
      <c r="V457" s="20">
        <f t="shared" si="153"/>
        <v>64.448234333285825</v>
      </c>
      <c r="W457" s="17"/>
      <c r="X457" s="20">
        <f t="shared" si="154"/>
        <v>119.0831873245552</v>
      </c>
      <c r="Y457" s="20">
        <f t="shared" si="155"/>
        <v>10.912524333285823</v>
      </c>
      <c r="Z457" s="20"/>
      <c r="AA457" s="20">
        <f t="shared" si="156"/>
        <v>7.1319836490818967E-5</v>
      </c>
    </row>
    <row r="458" spans="2:27" x14ac:dyDescent="0.3">
      <c r="B458" s="28">
        <v>42</v>
      </c>
      <c r="C458" s="28">
        <v>75.035709999999995</v>
      </c>
      <c r="D458" s="20">
        <f t="shared" si="138"/>
        <v>35.700562710302755</v>
      </c>
      <c r="E458" s="20">
        <f t="shared" si="139"/>
        <v>-5.0040447283108414</v>
      </c>
      <c r="F458" s="20">
        <f t="shared" si="140"/>
        <v>2.5805532004415586</v>
      </c>
      <c r="G458" s="20">
        <f t="shared" si="141"/>
        <v>2.5805532004415586</v>
      </c>
      <c r="H458" s="20">
        <f t="shared" si="142"/>
        <v>2.5805532004415586</v>
      </c>
      <c r="I458" s="17"/>
      <c r="J458" s="20">
        <f t="shared" si="143"/>
        <v>32.227735284264639</v>
      </c>
      <c r="K458" s="20">
        <f t="shared" si="144"/>
        <v>6.6661627062436397E-3</v>
      </c>
      <c r="L458" s="20">
        <f t="shared" si="145"/>
        <v>1.9254128093016722</v>
      </c>
      <c r="M458" s="20">
        <f t="shared" si="146"/>
        <v>1.9254128093016722</v>
      </c>
      <c r="N458" s="20">
        <f t="shared" si="147"/>
        <v>1.9254128093016722</v>
      </c>
      <c r="O458" s="17"/>
      <c r="P458" s="20">
        <f t="shared" si="148"/>
        <v>17.727630987413839</v>
      </c>
      <c r="Q458" s="20">
        <f t="shared" si="149"/>
        <v>46.406552227335851</v>
      </c>
      <c r="R458" s="20">
        <f t="shared" si="150"/>
        <v>0</v>
      </c>
      <c r="S458" s="20">
        <f t="shared" si="151"/>
        <v>0</v>
      </c>
      <c r="T458" s="20">
        <f t="shared" si="152"/>
        <v>0</v>
      </c>
      <c r="U458" s="17"/>
      <c r="V458" s="20">
        <f t="shared" si="153"/>
        <v>64.134183214749697</v>
      </c>
      <c r="W458" s="17"/>
      <c r="X458" s="20">
        <f t="shared" si="154"/>
        <v>118.84328624952968</v>
      </c>
      <c r="Y458" s="20">
        <f t="shared" si="155"/>
        <v>10.901526785250297</v>
      </c>
      <c r="Z458" s="20"/>
      <c r="AA458" s="20">
        <f t="shared" si="156"/>
        <v>7.1247960973868112E-5</v>
      </c>
    </row>
    <row r="459" spans="2:27" x14ac:dyDescent="0.3">
      <c r="B459" s="28">
        <v>42.1</v>
      </c>
      <c r="C459" s="28">
        <v>68.535709999999995</v>
      </c>
      <c r="D459" s="20">
        <f t="shared" si="138"/>
        <v>35.775740890601412</v>
      </c>
      <c r="E459" s="20">
        <f t="shared" si="139"/>
        <v>-4.9989981059638815</v>
      </c>
      <c r="F459" s="20">
        <f t="shared" si="140"/>
        <v>2.5916643115526696</v>
      </c>
      <c r="G459" s="20">
        <f t="shared" si="141"/>
        <v>2.5916643115526696</v>
      </c>
      <c r="H459" s="20">
        <f t="shared" si="142"/>
        <v>2.5916643115526696</v>
      </c>
      <c r="I459" s="17"/>
      <c r="J459" s="20">
        <f t="shared" si="143"/>
        <v>32.300653430530055</v>
      </c>
      <c r="K459" s="20">
        <f t="shared" si="144"/>
        <v>6.6996648860076745E-3</v>
      </c>
      <c r="L459" s="20">
        <f t="shared" si="145"/>
        <v>1.9327305274391144</v>
      </c>
      <c r="M459" s="20">
        <f t="shared" si="146"/>
        <v>1.9327305274391144</v>
      </c>
      <c r="N459" s="20">
        <f t="shared" si="147"/>
        <v>1.9327305274391144</v>
      </c>
      <c r="O459" s="17"/>
      <c r="P459" s="20">
        <f t="shared" si="148"/>
        <v>17.648880772407242</v>
      </c>
      <c r="Q459" s="20">
        <f t="shared" si="149"/>
        <v>46.172956110357163</v>
      </c>
      <c r="R459" s="20">
        <f t="shared" si="150"/>
        <v>0</v>
      </c>
      <c r="S459" s="20">
        <f t="shared" si="151"/>
        <v>0</v>
      </c>
      <c r="T459" s="20">
        <f t="shared" si="152"/>
        <v>0</v>
      </c>
      <c r="U459" s="17"/>
      <c r="V459" s="20">
        <f t="shared" si="153"/>
        <v>63.821836882764401</v>
      </c>
      <c r="W459" s="17"/>
      <c r="X459" s="20">
        <f t="shared" si="154"/>
        <v>22.220599765396408</v>
      </c>
      <c r="Y459" s="20">
        <f t="shared" si="155"/>
        <v>4.7138731172355932</v>
      </c>
      <c r="Z459" s="20"/>
      <c r="AA459" s="20">
        <f t="shared" si="156"/>
        <v>3.0807964288724762E-5</v>
      </c>
    </row>
    <row r="460" spans="2:27" x14ac:dyDescent="0.3">
      <c r="B460" s="28">
        <v>42.2</v>
      </c>
      <c r="C460" s="28">
        <v>49.785710000000002</v>
      </c>
      <c r="D460" s="20">
        <f t="shared" si="138"/>
        <v>35.850919070900076</v>
      </c>
      <c r="E460" s="20">
        <f t="shared" si="139"/>
        <v>-4.9939514836169225</v>
      </c>
      <c r="F460" s="20">
        <f t="shared" si="140"/>
        <v>2.6027754226637807</v>
      </c>
      <c r="G460" s="20">
        <f t="shared" si="141"/>
        <v>2.6027754226637807</v>
      </c>
      <c r="H460" s="20">
        <f t="shared" si="142"/>
        <v>2.6027754226637807</v>
      </c>
      <c r="I460" s="17"/>
      <c r="J460" s="20">
        <f t="shared" si="143"/>
        <v>32.373576520331</v>
      </c>
      <c r="K460" s="20">
        <f t="shared" si="144"/>
        <v>6.7333343117835735E-3</v>
      </c>
      <c r="L460" s="20">
        <f t="shared" si="145"/>
        <v>1.9400577051224406</v>
      </c>
      <c r="M460" s="20">
        <f t="shared" si="146"/>
        <v>1.9400577051224406</v>
      </c>
      <c r="N460" s="20">
        <f t="shared" si="147"/>
        <v>1.9400577051224406</v>
      </c>
      <c r="O460" s="17"/>
      <c r="P460" s="20">
        <f t="shared" si="148"/>
        <v>17.570648888623161</v>
      </c>
      <c r="Q460" s="20">
        <f t="shared" si="149"/>
        <v>45.940535945676864</v>
      </c>
      <c r="R460" s="20">
        <f t="shared" si="150"/>
        <v>0</v>
      </c>
      <c r="S460" s="20">
        <f t="shared" si="151"/>
        <v>0</v>
      </c>
      <c r="T460" s="20">
        <f t="shared" si="152"/>
        <v>0</v>
      </c>
      <c r="U460" s="17"/>
      <c r="V460" s="20">
        <f t="shared" si="153"/>
        <v>63.511184834300025</v>
      </c>
      <c r="W460" s="17"/>
      <c r="X460" s="20">
        <f t="shared" si="154"/>
        <v>188.38865942700323</v>
      </c>
      <c r="Y460" s="20">
        <f t="shared" si="155"/>
        <v>13.725474834300023</v>
      </c>
      <c r="Z460" s="20"/>
      <c r="AA460" s="20">
        <f t="shared" si="156"/>
        <v>8.9704140952543129E-5</v>
      </c>
    </row>
    <row r="461" spans="2:27" x14ac:dyDescent="0.3">
      <c r="B461" s="28">
        <v>42.3</v>
      </c>
      <c r="C461" s="28">
        <v>84.535709999999995</v>
      </c>
      <c r="D461" s="20">
        <f t="shared" si="138"/>
        <v>35.926097251198726</v>
      </c>
      <c r="E461" s="20">
        <f t="shared" si="139"/>
        <v>-4.9889048612699636</v>
      </c>
      <c r="F461" s="20">
        <f t="shared" si="140"/>
        <v>2.6138865337748909</v>
      </c>
      <c r="G461" s="20">
        <f t="shared" si="141"/>
        <v>2.6138865337748909</v>
      </c>
      <c r="H461" s="20">
        <f t="shared" si="142"/>
        <v>2.6138865337748909</v>
      </c>
      <c r="I461" s="17"/>
      <c r="J461" s="20">
        <f t="shared" si="143"/>
        <v>32.446504532420178</v>
      </c>
      <c r="K461" s="20">
        <f t="shared" si="144"/>
        <v>6.7671718072085168E-3</v>
      </c>
      <c r="L461" s="20">
        <f t="shared" si="145"/>
        <v>1.9473943073975346</v>
      </c>
      <c r="M461" s="20">
        <f t="shared" si="146"/>
        <v>1.9473943073975346</v>
      </c>
      <c r="N461" s="20">
        <f t="shared" si="147"/>
        <v>1.9473943073975346</v>
      </c>
      <c r="O461" s="17"/>
      <c r="P461" s="20">
        <f t="shared" si="148"/>
        <v>17.492930831536782</v>
      </c>
      <c r="Q461" s="20">
        <f t="shared" si="149"/>
        <v>45.709285813899598</v>
      </c>
      <c r="R461" s="20">
        <f t="shared" si="150"/>
        <v>0</v>
      </c>
      <c r="S461" s="20">
        <f t="shared" si="151"/>
        <v>0</v>
      </c>
      <c r="T461" s="20">
        <f t="shared" si="152"/>
        <v>0</v>
      </c>
      <c r="U461" s="17"/>
      <c r="V461" s="20">
        <f t="shared" si="153"/>
        <v>63.20221664543638</v>
      </c>
      <c r="W461" s="17"/>
      <c r="X461" s="20">
        <f t="shared" si="154"/>
        <v>455.11793870920991</v>
      </c>
      <c r="Y461" s="20">
        <f t="shared" si="155"/>
        <v>21.333493354563615</v>
      </c>
      <c r="Z461" s="20"/>
      <c r="AA461" s="20">
        <f t="shared" si="156"/>
        <v>1.3942706667645225E-4</v>
      </c>
    </row>
    <row r="462" spans="2:27" x14ac:dyDescent="0.3">
      <c r="B462" s="28">
        <v>42.4</v>
      </c>
      <c r="C462" s="28">
        <v>63.785710000000002</v>
      </c>
      <c r="D462" s="20">
        <f t="shared" si="138"/>
        <v>36.00127543149739</v>
      </c>
      <c r="E462" s="20">
        <f t="shared" si="139"/>
        <v>-4.9838582389230037</v>
      </c>
      <c r="F462" s="20">
        <f t="shared" si="140"/>
        <v>2.6249976448860028</v>
      </c>
      <c r="G462" s="20">
        <f t="shared" si="141"/>
        <v>2.6249976448860028</v>
      </c>
      <c r="H462" s="20">
        <f t="shared" si="142"/>
        <v>2.6249976448860028</v>
      </c>
      <c r="I462" s="17"/>
      <c r="J462" s="20">
        <f t="shared" si="143"/>
        <v>32.519437445685561</v>
      </c>
      <c r="K462" s="20">
        <f t="shared" si="144"/>
        <v>6.8011781998634467E-3</v>
      </c>
      <c r="L462" s="20">
        <f t="shared" si="145"/>
        <v>1.9547402994358334</v>
      </c>
      <c r="M462" s="20">
        <f t="shared" si="146"/>
        <v>1.9547402994358334</v>
      </c>
      <c r="N462" s="20">
        <f t="shared" si="147"/>
        <v>1.9547402994358334</v>
      </c>
      <c r="O462" s="17"/>
      <c r="P462" s="20">
        <f t="shared" si="148"/>
        <v>17.415722145151388</v>
      </c>
      <c r="Q462" s="20">
        <f t="shared" si="149"/>
        <v>45.479199825428829</v>
      </c>
      <c r="R462" s="20">
        <f t="shared" si="150"/>
        <v>0</v>
      </c>
      <c r="S462" s="20">
        <f t="shared" si="151"/>
        <v>0</v>
      </c>
      <c r="T462" s="20">
        <f t="shared" si="152"/>
        <v>0</v>
      </c>
      <c r="U462" s="17"/>
      <c r="V462" s="20">
        <f t="shared" si="153"/>
        <v>62.894921970580214</v>
      </c>
      <c r="W462" s="17"/>
      <c r="X462" s="20">
        <f t="shared" si="154"/>
        <v>0.79350331335758928</v>
      </c>
      <c r="Y462" s="20">
        <f t="shared" si="155"/>
        <v>0.89078802941978807</v>
      </c>
      <c r="Z462" s="20"/>
      <c r="AA462" s="20">
        <f t="shared" si="156"/>
        <v>5.8218295479455408E-6</v>
      </c>
    </row>
    <row r="463" spans="2:27" x14ac:dyDescent="0.3">
      <c r="B463" s="28">
        <v>42.5</v>
      </c>
      <c r="C463" s="28">
        <v>75.285709999999995</v>
      </c>
      <c r="D463" s="20">
        <f t="shared" si="138"/>
        <v>36.076453611796055</v>
      </c>
      <c r="E463" s="20">
        <f t="shared" si="139"/>
        <v>-4.9788116165760457</v>
      </c>
      <c r="F463" s="20">
        <f t="shared" si="140"/>
        <v>2.6361087559971139</v>
      </c>
      <c r="G463" s="20">
        <f t="shared" si="141"/>
        <v>2.6361087559971139</v>
      </c>
      <c r="H463" s="20">
        <f t="shared" si="142"/>
        <v>2.6361087559971139</v>
      </c>
      <c r="I463" s="17"/>
      <c r="J463" s="20">
        <f t="shared" si="143"/>
        <v>32.592375239149199</v>
      </c>
      <c r="K463" s="20">
        <f t="shared" si="144"/>
        <v>6.8353543212908057E-3</v>
      </c>
      <c r="L463" s="20">
        <f t="shared" si="145"/>
        <v>1.9620956465343418</v>
      </c>
      <c r="M463" s="20">
        <f t="shared" si="146"/>
        <v>1.9620956465343418</v>
      </c>
      <c r="N463" s="20">
        <f t="shared" si="147"/>
        <v>1.9620956465343418</v>
      </c>
      <c r="O463" s="17"/>
      <c r="P463" s="20">
        <f t="shared" si="148"/>
        <v>17.339018421375648</v>
      </c>
      <c r="Q463" s="20">
        <f t="shared" si="149"/>
        <v>45.250272120316978</v>
      </c>
      <c r="R463" s="20">
        <f t="shared" si="150"/>
        <v>0</v>
      </c>
      <c r="S463" s="20">
        <f t="shared" si="151"/>
        <v>0</v>
      </c>
      <c r="T463" s="20">
        <f t="shared" si="152"/>
        <v>0</v>
      </c>
      <c r="U463" s="17"/>
      <c r="V463" s="20">
        <f t="shared" si="153"/>
        <v>62.589290541692627</v>
      </c>
      <c r="W463" s="17"/>
      <c r="X463" s="20">
        <f t="shared" si="154"/>
        <v>161.19906706128594</v>
      </c>
      <c r="Y463" s="20">
        <f t="shared" si="155"/>
        <v>12.696419458307368</v>
      </c>
      <c r="Z463" s="20"/>
      <c r="AA463" s="20">
        <f t="shared" si="156"/>
        <v>8.2978652063420475E-5</v>
      </c>
    </row>
    <row r="464" spans="2:27" x14ac:dyDescent="0.3">
      <c r="B464" s="28">
        <v>42.6</v>
      </c>
      <c r="C464" s="28">
        <v>70.285709999999995</v>
      </c>
      <c r="D464" s="20">
        <f t="shared" si="138"/>
        <v>36.151631792094712</v>
      </c>
      <c r="E464" s="20">
        <f t="shared" si="139"/>
        <v>-4.9737649942290858</v>
      </c>
      <c r="F464" s="20">
        <f t="shared" si="140"/>
        <v>2.6472198671082259</v>
      </c>
      <c r="G464" s="20">
        <f t="shared" si="141"/>
        <v>2.6472198671082259</v>
      </c>
      <c r="H464" s="20">
        <f t="shared" si="142"/>
        <v>2.6472198671082259</v>
      </c>
      <c r="I464" s="17"/>
      <c r="J464" s="20">
        <f t="shared" si="143"/>
        <v>32.665317891966112</v>
      </c>
      <c r="K464" s="20">
        <f t="shared" si="144"/>
        <v>6.8697010070124407E-3</v>
      </c>
      <c r="L464" s="20">
        <f t="shared" si="145"/>
        <v>1.9694603141156519</v>
      </c>
      <c r="M464" s="20">
        <f t="shared" si="146"/>
        <v>1.9694603141156519</v>
      </c>
      <c r="N464" s="20">
        <f t="shared" si="147"/>
        <v>1.9694603141156519</v>
      </c>
      <c r="O464" s="17"/>
      <c r="P464" s="20">
        <f t="shared" si="148"/>
        <v>17.262815299410061</v>
      </c>
      <c r="Q464" s="20">
        <f t="shared" si="149"/>
        <v>45.022496868115709</v>
      </c>
      <c r="R464" s="20">
        <f t="shared" si="150"/>
        <v>0</v>
      </c>
      <c r="S464" s="20">
        <f t="shared" si="151"/>
        <v>0</v>
      </c>
      <c r="T464" s="20">
        <f t="shared" si="152"/>
        <v>0</v>
      </c>
      <c r="U464" s="17"/>
      <c r="V464" s="20">
        <f t="shared" si="153"/>
        <v>62.285312167525774</v>
      </c>
      <c r="W464" s="17"/>
      <c r="X464" s="20">
        <f t="shared" si="154"/>
        <v>64.006365477858211</v>
      </c>
      <c r="Y464" s="20">
        <f t="shared" si="155"/>
        <v>8.0003978324742206</v>
      </c>
      <c r="Z464" s="20"/>
      <c r="AA464" s="20">
        <f t="shared" si="156"/>
        <v>5.228735788777452E-5</v>
      </c>
    </row>
    <row r="465" spans="2:27" x14ac:dyDescent="0.3">
      <c r="B465" s="28">
        <v>42.7</v>
      </c>
      <c r="C465" s="28">
        <v>80.285709999999995</v>
      </c>
      <c r="D465" s="20">
        <f t="shared" si="138"/>
        <v>36.226809972393376</v>
      </c>
      <c r="E465" s="20">
        <f t="shared" si="139"/>
        <v>-4.9687183718821268</v>
      </c>
      <c r="F465" s="20">
        <f t="shared" si="140"/>
        <v>2.6583309782193361</v>
      </c>
      <c r="G465" s="20">
        <f t="shared" si="141"/>
        <v>2.6583309782193361</v>
      </c>
      <c r="H465" s="20">
        <f t="shared" si="142"/>
        <v>2.6583309782193361</v>
      </c>
      <c r="I465" s="17"/>
      <c r="J465" s="20">
        <f t="shared" si="143"/>
        <v>32.738265383423197</v>
      </c>
      <c r="K465" s="20">
        <f t="shared" si="144"/>
        <v>6.904219096547419E-3</v>
      </c>
      <c r="L465" s="20">
        <f t="shared" si="145"/>
        <v>1.9768342677279389</v>
      </c>
      <c r="M465" s="20">
        <f t="shared" si="146"/>
        <v>1.9768342677279389</v>
      </c>
      <c r="N465" s="20">
        <f t="shared" si="147"/>
        <v>1.9768342677279389</v>
      </c>
      <c r="O465" s="17"/>
      <c r="P465" s="20">
        <f t="shared" si="148"/>
        <v>17.187108465142529</v>
      </c>
      <c r="Q465" s="20">
        <f t="shared" si="149"/>
        <v>44.795868267728025</v>
      </c>
      <c r="R465" s="20">
        <f t="shared" si="150"/>
        <v>0</v>
      </c>
      <c r="S465" s="20">
        <f t="shared" si="151"/>
        <v>0</v>
      </c>
      <c r="T465" s="20">
        <f t="shared" si="152"/>
        <v>0</v>
      </c>
      <c r="U465" s="17"/>
      <c r="V465" s="20">
        <f t="shared" si="153"/>
        <v>61.982976732870554</v>
      </c>
      <c r="W465" s="17"/>
      <c r="X465" s="20">
        <f t="shared" si="154"/>
        <v>334.99004504768669</v>
      </c>
      <c r="Y465" s="20">
        <f t="shared" si="155"/>
        <v>18.30273326712944</v>
      </c>
      <c r="Z465" s="20"/>
      <c r="AA465" s="20">
        <f t="shared" si="156"/>
        <v>1.1961924703023289E-4</v>
      </c>
    </row>
    <row r="466" spans="2:27" x14ac:dyDescent="0.3">
      <c r="B466" s="28">
        <v>42.8</v>
      </c>
      <c r="C466" s="28">
        <v>64.285709999999995</v>
      </c>
      <c r="D466" s="20">
        <f t="shared" si="138"/>
        <v>36.301988152692033</v>
      </c>
      <c r="E466" s="20">
        <f t="shared" si="139"/>
        <v>-4.9636717495351679</v>
      </c>
      <c r="F466" s="20">
        <f t="shared" si="140"/>
        <v>2.6694420893304471</v>
      </c>
      <c r="G466" s="20">
        <f t="shared" si="141"/>
        <v>2.6694420893304471</v>
      </c>
      <c r="H466" s="20">
        <f t="shared" si="142"/>
        <v>2.6694420893304471</v>
      </c>
      <c r="I466" s="17"/>
      <c r="J466" s="20">
        <f t="shared" si="143"/>
        <v>32.811217692938094</v>
      </c>
      <c r="K466" s="20">
        <f t="shared" si="144"/>
        <v>6.9389094334300627E-3</v>
      </c>
      <c r="L466" s="20">
        <f t="shared" si="145"/>
        <v>1.9842174730449598</v>
      </c>
      <c r="M466" s="20">
        <f t="shared" si="146"/>
        <v>1.9842174730449598</v>
      </c>
      <c r="N466" s="20">
        <f t="shared" si="147"/>
        <v>1.9842174730449598</v>
      </c>
      <c r="O466" s="17"/>
      <c r="P466" s="20">
        <f t="shared" si="148"/>
        <v>17.111893650552897</v>
      </c>
      <c r="Q466" s="20">
        <f t="shared" si="149"/>
        <v>44.5703805472601</v>
      </c>
      <c r="R466" s="20">
        <f t="shared" si="150"/>
        <v>0</v>
      </c>
      <c r="S466" s="20">
        <f t="shared" si="151"/>
        <v>0</v>
      </c>
      <c r="T466" s="20">
        <f t="shared" si="152"/>
        <v>0</v>
      </c>
      <c r="U466" s="17"/>
      <c r="V466" s="20">
        <f t="shared" si="153"/>
        <v>61.682274197813001</v>
      </c>
      <c r="W466" s="17"/>
      <c r="X466" s="20">
        <f t="shared" si="154"/>
        <v>6.7778779761090338</v>
      </c>
      <c r="Y466" s="20">
        <f t="shared" si="155"/>
        <v>2.6034358021869934</v>
      </c>
      <c r="Z466" s="20"/>
      <c r="AA466" s="20">
        <f t="shared" si="156"/>
        <v>1.7015001300841286E-5</v>
      </c>
    </row>
    <row r="467" spans="2:27" x14ac:dyDescent="0.3">
      <c r="B467" s="28">
        <v>42.9</v>
      </c>
      <c r="C467" s="28">
        <v>58.035710000000002</v>
      </c>
      <c r="D467" s="20">
        <f t="shared" si="138"/>
        <v>36.37716633299069</v>
      </c>
      <c r="E467" s="20">
        <f t="shared" si="139"/>
        <v>-4.958625127188208</v>
      </c>
      <c r="F467" s="20">
        <f t="shared" si="140"/>
        <v>2.6805532004415582</v>
      </c>
      <c r="G467" s="20">
        <f t="shared" si="141"/>
        <v>2.6805532004415582</v>
      </c>
      <c r="H467" s="20">
        <f t="shared" si="142"/>
        <v>2.6805532004415582</v>
      </c>
      <c r="I467" s="17"/>
      <c r="J467" s="20">
        <f t="shared" si="143"/>
        <v>32.884174800058133</v>
      </c>
      <c r="K467" s="20">
        <f t="shared" si="144"/>
        <v>6.9737728652279679E-3</v>
      </c>
      <c r="L467" s="20">
        <f t="shared" si="145"/>
        <v>1.9916098958660291</v>
      </c>
      <c r="M467" s="20">
        <f t="shared" si="146"/>
        <v>1.9916098958660291</v>
      </c>
      <c r="N467" s="20">
        <f t="shared" si="147"/>
        <v>1.9916098958660291</v>
      </c>
      <c r="O467" s="17"/>
      <c r="P467" s="20">
        <f t="shared" si="148"/>
        <v>17.037166633126287</v>
      </c>
      <c r="Q467" s="20">
        <f t="shared" si="149"/>
        <v>44.346027963874391</v>
      </c>
      <c r="R467" s="20">
        <f t="shared" si="150"/>
        <v>0</v>
      </c>
      <c r="S467" s="20">
        <f t="shared" si="151"/>
        <v>0</v>
      </c>
      <c r="T467" s="20">
        <f t="shared" si="152"/>
        <v>0</v>
      </c>
      <c r="U467" s="17"/>
      <c r="V467" s="20">
        <f t="shared" si="153"/>
        <v>61.383194597000681</v>
      </c>
      <c r="W467" s="17"/>
      <c r="X467" s="20">
        <f t="shared" si="154"/>
        <v>11.205653127156802</v>
      </c>
      <c r="Y467" s="20">
        <f t="shared" si="155"/>
        <v>3.3474845970006797</v>
      </c>
      <c r="Z467" s="20"/>
      <c r="AA467" s="20">
        <f t="shared" si="156"/>
        <v>2.187780268085202E-5</v>
      </c>
    </row>
    <row r="468" spans="2:27" x14ac:dyDescent="0.3">
      <c r="B468" s="28">
        <v>43</v>
      </c>
      <c r="C468" s="28">
        <v>55.535710000000002</v>
      </c>
      <c r="D468" s="20">
        <f t="shared" si="138"/>
        <v>36.452344513289354</v>
      </c>
      <c r="E468" s="20">
        <f t="shared" si="139"/>
        <v>-4.95357850484125</v>
      </c>
      <c r="F468" s="20">
        <f t="shared" si="140"/>
        <v>2.6916643115526693</v>
      </c>
      <c r="G468" s="20">
        <f t="shared" si="141"/>
        <v>2.6916643115526693</v>
      </c>
      <c r="H468" s="20">
        <f t="shared" si="142"/>
        <v>2.6916643115526693</v>
      </c>
      <c r="I468" s="17"/>
      <c r="J468" s="20">
        <f t="shared" si="143"/>
        <v>32.957136684459236</v>
      </c>
      <c r="K468" s="20">
        <f t="shared" si="144"/>
        <v>7.0088102435600956E-3</v>
      </c>
      <c r="L468" s="20">
        <f t="shared" si="145"/>
        <v>1.9990115021159951</v>
      </c>
      <c r="M468" s="20">
        <f t="shared" si="146"/>
        <v>1.9990115021159951</v>
      </c>
      <c r="N468" s="20">
        <f t="shared" si="147"/>
        <v>1.9990115021159951</v>
      </c>
      <c r="O468" s="17"/>
      <c r="P468" s="20">
        <f t="shared" si="148"/>
        <v>16.962923235275095</v>
      </c>
      <c r="Q468" s="20">
        <f t="shared" si="149"/>
        <v>44.122804803643533</v>
      </c>
      <c r="R468" s="20">
        <f t="shared" si="150"/>
        <v>0</v>
      </c>
      <c r="S468" s="20">
        <f t="shared" si="151"/>
        <v>0</v>
      </c>
      <c r="T468" s="20">
        <f t="shared" si="152"/>
        <v>0</v>
      </c>
      <c r="U468" s="17"/>
      <c r="V468" s="20">
        <f t="shared" si="153"/>
        <v>61.085728038918631</v>
      </c>
      <c r="W468" s="17"/>
      <c r="X468" s="20">
        <f t="shared" si="154"/>
        <v>30.802700232322191</v>
      </c>
      <c r="Y468" s="20">
        <f t="shared" si="155"/>
        <v>5.5500180389186298</v>
      </c>
      <c r="Z468" s="20"/>
      <c r="AA468" s="20">
        <f t="shared" si="156"/>
        <v>3.627266862987941E-5</v>
      </c>
    </row>
    <row r="469" spans="2:27" x14ac:dyDescent="0.3">
      <c r="B469" s="28">
        <v>43.1</v>
      </c>
      <c r="C469" s="28">
        <v>64.535709999999995</v>
      </c>
      <c r="D469" s="20">
        <f t="shared" si="138"/>
        <v>36.527522693588011</v>
      </c>
      <c r="E469" s="20">
        <f t="shared" si="139"/>
        <v>-4.9485318824942901</v>
      </c>
      <c r="F469" s="20">
        <f t="shared" si="140"/>
        <v>2.7027754226637812</v>
      </c>
      <c r="G469" s="20">
        <f t="shared" si="141"/>
        <v>2.7027754226637812</v>
      </c>
      <c r="H469" s="20">
        <f t="shared" si="142"/>
        <v>2.7027754226637812</v>
      </c>
      <c r="I469" s="17"/>
      <c r="J469" s="20">
        <f t="shared" si="143"/>
        <v>33.030103325944829</v>
      </c>
      <c r="K469" s="20">
        <f t="shared" si="144"/>
        <v>7.0440224241150075E-3</v>
      </c>
      <c r="L469" s="20">
        <f t="shared" si="145"/>
        <v>2.0064222578452027</v>
      </c>
      <c r="M469" s="20">
        <f t="shared" si="146"/>
        <v>2.0064222578452027</v>
      </c>
      <c r="N469" s="20">
        <f t="shared" si="147"/>
        <v>2.0064222578452027</v>
      </c>
      <c r="O469" s="17"/>
      <c r="P469" s="20">
        <f t="shared" si="148"/>
        <v>16.889159323769512</v>
      </c>
      <c r="Q469" s="20">
        <f t="shared" si="149"/>
        <v>43.900705381404457</v>
      </c>
      <c r="R469" s="20">
        <f t="shared" si="150"/>
        <v>0</v>
      </c>
      <c r="S469" s="20">
        <f t="shared" si="151"/>
        <v>0</v>
      </c>
      <c r="T469" s="20">
        <f t="shared" si="152"/>
        <v>0</v>
      </c>
      <c r="U469" s="17"/>
      <c r="V469" s="20">
        <f t="shared" si="153"/>
        <v>60.789864705173969</v>
      </c>
      <c r="W469" s="17"/>
      <c r="X469" s="20">
        <f t="shared" si="154"/>
        <v>14.031356972770277</v>
      </c>
      <c r="Y469" s="20">
        <f t="shared" si="155"/>
        <v>3.7458452948260259</v>
      </c>
      <c r="Z469" s="20"/>
      <c r="AA469" s="20">
        <f t="shared" si="156"/>
        <v>2.448132675700109E-5</v>
      </c>
    </row>
    <row r="470" spans="2:27" x14ac:dyDescent="0.3">
      <c r="B470" s="28">
        <v>43.2</v>
      </c>
      <c r="C470" s="28">
        <v>61.285710000000002</v>
      </c>
      <c r="D470" s="20">
        <f t="shared" si="138"/>
        <v>36.602700873886675</v>
      </c>
      <c r="E470" s="20">
        <f t="shared" si="139"/>
        <v>-4.9434852601473303</v>
      </c>
      <c r="F470" s="20">
        <f t="shared" si="140"/>
        <v>2.7138865337748914</v>
      </c>
      <c r="G470" s="20">
        <f t="shared" si="141"/>
        <v>2.7138865337748914</v>
      </c>
      <c r="H470" s="20">
        <f t="shared" si="142"/>
        <v>2.7138865337748914</v>
      </c>
      <c r="I470" s="17"/>
      <c r="J470" s="20">
        <f t="shared" si="143"/>
        <v>33.103074704444836</v>
      </c>
      <c r="K470" s="20">
        <f t="shared" si="144"/>
        <v>7.0794102666690466E-3</v>
      </c>
      <c r="L470" s="20">
        <f t="shared" si="145"/>
        <v>2.0138421292294448</v>
      </c>
      <c r="M470" s="20">
        <f t="shared" si="146"/>
        <v>2.0138421292294448</v>
      </c>
      <c r="N470" s="20">
        <f t="shared" si="147"/>
        <v>2.0138421292294448</v>
      </c>
      <c r="O470" s="17"/>
      <c r="P470" s="20">
        <f t="shared" si="148"/>
        <v>16.815870809176328</v>
      </c>
      <c r="Q470" s="20">
        <f t="shared" si="149"/>
        <v>43.679724040613984</v>
      </c>
      <c r="R470" s="20">
        <f t="shared" si="150"/>
        <v>0</v>
      </c>
      <c r="S470" s="20">
        <f t="shared" si="151"/>
        <v>0</v>
      </c>
      <c r="T470" s="20">
        <f t="shared" si="152"/>
        <v>0</v>
      </c>
      <c r="U470" s="17"/>
      <c r="V470" s="20">
        <f t="shared" si="153"/>
        <v>60.495594849790308</v>
      </c>
      <c r="W470" s="17"/>
      <c r="X470" s="20">
        <f t="shared" si="154"/>
        <v>0.62428195059088687</v>
      </c>
      <c r="Y470" s="20">
        <f t="shared" si="155"/>
        <v>0.7901151502096937</v>
      </c>
      <c r="Z470" s="20"/>
      <c r="AA470" s="20">
        <f t="shared" si="156"/>
        <v>5.1638724094287215E-6</v>
      </c>
    </row>
    <row r="471" spans="2:27" x14ac:dyDescent="0.3">
      <c r="B471" s="28">
        <v>43.3</v>
      </c>
      <c r="C471" s="28">
        <v>71.285709999999995</v>
      </c>
      <c r="D471" s="20">
        <f t="shared" si="138"/>
        <v>36.677879054185325</v>
      </c>
      <c r="E471" s="20">
        <f t="shared" si="139"/>
        <v>-4.9384386378003722</v>
      </c>
      <c r="F471" s="20">
        <f t="shared" si="140"/>
        <v>2.7249976448860025</v>
      </c>
      <c r="G471" s="20">
        <f t="shared" si="141"/>
        <v>2.7249976448860025</v>
      </c>
      <c r="H471" s="20">
        <f t="shared" si="142"/>
        <v>2.7249976448860025</v>
      </c>
      <c r="I471" s="17"/>
      <c r="J471" s="20">
        <f t="shared" si="143"/>
        <v>33.176050800014586</v>
      </c>
      <c r="K471" s="20">
        <f t="shared" si="144"/>
        <v>7.114974635104682E-3</v>
      </c>
      <c r="L471" s="20">
        <f t="shared" si="145"/>
        <v>2.0212710825699141</v>
      </c>
      <c r="M471" s="20">
        <f t="shared" si="146"/>
        <v>2.0212710825699141</v>
      </c>
      <c r="N471" s="20">
        <f t="shared" si="147"/>
        <v>2.0212710825699141</v>
      </c>
      <c r="O471" s="17"/>
      <c r="P471" s="20">
        <f t="shared" si="148"/>
        <v>16.743053645306112</v>
      </c>
      <c r="Q471" s="20">
        <f t="shared" si="149"/>
        <v>43.45985515320465</v>
      </c>
      <c r="R471" s="20">
        <f t="shared" si="150"/>
        <v>0</v>
      </c>
      <c r="S471" s="20">
        <f t="shared" si="151"/>
        <v>0</v>
      </c>
      <c r="T471" s="20">
        <f t="shared" si="152"/>
        <v>0</v>
      </c>
      <c r="U471" s="17"/>
      <c r="V471" s="20">
        <f t="shared" si="153"/>
        <v>60.202908798510762</v>
      </c>
      <c r="W471" s="17"/>
      <c r="X471" s="20">
        <f t="shared" si="154"/>
        <v>122.82848247173118</v>
      </c>
      <c r="Y471" s="20">
        <f t="shared" si="155"/>
        <v>11.082801201489232</v>
      </c>
      <c r="Z471" s="20"/>
      <c r="AA471" s="20">
        <f t="shared" si="156"/>
        <v>7.243269709277825E-5</v>
      </c>
    </row>
    <row r="472" spans="2:27" x14ac:dyDescent="0.3">
      <c r="B472" s="28">
        <v>43.4</v>
      </c>
      <c r="C472" s="28">
        <v>66.035709999999995</v>
      </c>
      <c r="D472" s="20">
        <f t="shared" si="138"/>
        <v>36.75305723448399</v>
      </c>
      <c r="E472" s="20">
        <f t="shared" si="139"/>
        <v>-4.9333920154534123</v>
      </c>
      <c r="F472" s="20">
        <f t="shared" si="140"/>
        <v>2.7361087559971136</v>
      </c>
      <c r="G472" s="20">
        <f t="shared" si="141"/>
        <v>2.7361087559971136</v>
      </c>
      <c r="H472" s="20">
        <f t="shared" si="142"/>
        <v>2.7361087559971136</v>
      </c>
      <c r="I472" s="17"/>
      <c r="J472" s="20">
        <f t="shared" si="143"/>
        <v>33.249031592833823</v>
      </c>
      <c r="K472" s="20">
        <f t="shared" si="144"/>
        <v>7.1507163974289453E-3</v>
      </c>
      <c r="L472" s="20">
        <f t="shared" si="145"/>
        <v>2.0287090842931317</v>
      </c>
      <c r="M472" s="20">
        <f t="shared" si="146"/>
        <v>2.0287090842931317</v>
      </c>
      <c r="N472" s="20">
        <f t="shared" si="147"/>
        <v>2.0287090842931317</v>
      </c>
      <c r="O472" s="17"/>
      <c r="P472" s="20">
        <f t="shared" si="148"/>
        <v>16.670703828668312</v>
      </c>
      <c r="Q472" s="20">
        <f t="shared" si="149"/>
        <v>43.241093119441047</v>
      </c>
      <c r="R472" s="20">
        <f t="shared" si="150"/>
        <v>0</v>
      </c>
      <c r="S472" s="20">
        <f t="shared" si="151"/>
        <v>0</v>
      </c>
      <c r="T472" s="20">
        <f t="shared" si="152"/>
        <v>0</v>
      </c>
      <c r="U472" s="17"/>
      <c r="V472" s="20">
        <f t="shared" si="153"/>
        <v>59.911796948109355</v>
      </c>
      <c r="W472" s="17"/>
      <c r="X472" s="20">
        <f t="shared" si="154"/>
        <v>37.502311067116523</v>
      </c>
      <c r="Y472" s="20">
        <f t="shared" si="155"/>
        <v>6.1239130518906393</v>
      </c>
      <c r="Z472" s="20"/>
      <c r="AA472" s="20">
        <f t="shared" si="156"/>
        <v>4.0023413850507554E-5</v>
      </c>
    </row>
    <row r="473" spans="2:27" x14ac:dyDescent="0.3">
      <c r="B473" s="28">
        <v>43.5</v>
      </c>
      <c r="C473" s="28">
        <v>63.285710000000002</v>
      </c>
      <c r="D473" s="20">
        <f t="shared" si="138"/>
        <v>36.828235414782647</v>
      </c>
      <c r="E473" s="20">
        <f t="shared" si="139"/>
        <v>-4.9283453931064543</v>
      </c>
      <c r="F473" s="20">
        <f t="shared" si="140"/>
        <v>2.7472198671082255</v>
      </c>
      <c r="G473" s="20">
        <f t="shared" si="141"/>
        <v>2.7472198671082255</v>
      </c>
      <c r="H473" s="20">
        <f t="shared" si="142"/>
        <v>2.7472198671082255</v>
      </c>
      <c r="I473" s="17"/>
      <c r="J473" s="20">
        <f t="shared" si="143"/>
        <v>33.322017063205628</v>
      </c>
      <c r="K473" s="20">
        <f t="shared" si="144"/>
        <v>7.1866364257918E-3</v>
      </c>
      <c r="L473" s="20">
        <f t="shared" si="145"/>
        <v>2.0361561009508802</v>
      </c>
      <c r="M473" s="20">
        <f t="shared" si="146"/>
        <v>2.0361561009508802</v>
      </c>
      <c r="N473" s="20">
        <f t="shared" si="147"/>
        <v>2.0361561009508802</v>
      </c>
      <c r="O473" s="17"/>
      <c r="P473" s="20">
        <f t="shared" si="148"/>
        <v>16.598817397934482</v>
      </c>
      <c r="Q473" s="20">
        <f t="shared" si="149"/>
        <v>43.023432367777779</v>
      </c>
      <c r="R473" s="20">
        <f t="shared" si="150"/>
        <v>0</v>
      </c>
      <c r="S473" s="20">
        <f t="shared" si="151"/>
        <v>0</v>
      </c>
      <c r="T473" s="20">
        <f t="shared" si="152"/>
        <v>0</v>
      </c>
      <c r="U473" s="17"/>
      <c r="V473" s="20">
        <f t="shared" si="153"/>
        <v>59.622249765712262</v>
      </c>
      <c r="W473" s="17"/>
      <c r="X473" s="20">
        <f t="shared" si="154"/>
        <v>13.420940888207584</v>
      </c>
      <c r="Y473" s="20">
        <f t="shared" si="155"/>
        <v>3.66346023428774</v>
      </c>
      <c r="Z473" s="20"/>
      <c r="AA473" s="20">
        <f t="shared" si="156"/>
        <v>2.3942891389763972E-5</v>
      </c>
    </row>
    <row r="474" spans="2:27" x14ac:dyDescent="0.3">
      <c r="B474" s="28">
        <v>43.6</v>
      </c>
      <c r="C474" s="28">
        <v>73.785709999999995</v>
      </c>
      <c r="D474" s="20">
        <f t="shared" si="138"/>
        <v>36.903413595081311</v>
      </c>
      <c r="E474" s="20">
        <f t="shared" si="139"/>
        <v>-4.9232987707594944</v>
      </c>
      <c r="F474" s="20">
        <f t="shared" si="140"/>
        <v>2.7583309782193366</v>
      </c>
      <c r="G474" s="20">
        <f t="shared" si="141"/>
        <v>2.7583309782193366</v>
      </c>
      <c r="H474" s="20">
        <f t="shared" si="142"/>
        <v>2.7583309782193366</v>
      </c>
      <c r="I474" s="17"/>
      <c r="J474" s="20">
        <f t="shared" si="143"/>
        <v>33.395007191555464</v>
      </c>
      <c r="K474" s="20">
        <f t="shared" si="144"/>
        <v>7.2227355965047684E-3</v>
      </c>
      <c r="L474" s="20">
        <f t="shared" si="145"/>
        <v>2.0436120992201188</v>
      </c>
      <c r="M474" s="20">
        <f t="shared" si="146"/>
        <v>2.0436120992201188</v>
      </c>
      <c r="N474" s="20">
        <f t="shared" si="147"/>
        <v>2.0436120992201188</v>
      </c>
      <c r="O474" s="17"/>
      <c r="P474" s="20">
        <f t="shared" si="148"/>
        <v>16.527390433409177</v>
      </c>
      <c r="Q474" s="20">
        <f t="shared" si="149"/>
        <v>42.806867354716928</v>
      </c>
      <c r="R474" s="20">
        <f t="shared" si="150"/>
        <v>0</v>
      </c>
      <c r="S474" s="20">
        <f t="shared" si="151"/>
        <v>0</v>
      </c>
      <c r="T474" s="20">
        <f t="shared" si="152"/>
        <v>0</v>
      </c>
      <c r="U474" s="17"/>
      <c r="V474" s="20">
        <f t="shared" si="153"/>
        <v>59.334257788126109</v>
      </c>
      <c r="W474" s="17"/>
      <c r="X474" s="20">
        <f t="shared" si="154"/>
        <v>208.84447103207461</v>
      </c>
      <c r="Y474" s="20">
        <f t="shared" si="155"/>
        <v>14.451452211873885</v>
      </c>
      <c r="Z474" s="20"/>
      <c r="AA474" s="20">
        <f t="shared" si="156"/>
        <v>9.4448834873331954E-5</v>
      </c>
    </row>
    <row r="475" spans="2:27" x14ac:dyDescent="0.3">
      <c r="B475" s="28">
        <v>43.7</v>
      </c>
      <c r="C475" s="28">
        <v>59.285710000000002</v>
      </c>
      <c r="D475" s="20">
        <f t="shared" si="138"/>
        <v>36.978591775379968</v>
      </c>
      <c r="E475" s="20">
        <f t="shared" si="139"/>
        <v>-4.9182521484125346</v>
      </c>
      <c r="F475" s="20">
        <f t="shared" si="140"/>
        <v>2.7694420893304468</v>
      </c>
      <c r="G475" s="20">
        <f t="shared" si="141"/>
        <v>2.7694420893304468</v>
      </c>
      <c r="H475" s="20">
        <f t="shared" si="142"/>
        <v>2.7694420893304468</v>
      </c>
      <c r="I475" s="17"/>
      <c r="J475" s="20">
        <f t="shared" si="143"/>
        <v>33.468001958430122</v>
      </c>
      <c r="K475" s="20">
        <f t="shared" si="144"/>
        <v>7.2590147900594443E-3</v>
      </c>
      <c r="L475" s="20">
        <f t="shared" si="145"/>
        <v>2.0510770459028964</v>
      </c>
      <c r="M475" s="20">
        <f t="shared" si="146"/>
        <v>2.0510770459028964</v>
      </c>
      <c r="N475" s="20">
        <f t="shared" si="147"/>
        <v>2.0510770459028964</v>
      </c>
      <c r="O475" s="17"/>
      <c r="P475" s="20">
        <f t="shared" si="148"/>
        <v>16.456419056508675</v>
      </c>
      <c r="Q475" s="20">
        <f t="shared" si="149"/>
        <v>42.591392564667451</v>
      </c>
      <c r="R475" s="20">
        <f t="shared" si="150"/>
        <v>0</v>
      </c>
      <c r="S475" s="20">
        <f t="shared" si="151"/>
        <v>0</v>
      </c>
      <c r="T475" s="20">
        <f t="shared" si="152"/>
        <v>0</v>
      </c>
      <c r="U475" s="17"/>
      <c r="V475" s="20">
        <f t="shared" si="153"/>
        <v>59.047811621176123</v>
      </c>
      <c r="W475" s="17"/>
      <c r="X475" s="20">
        <f t="shared" si="154"/>
        <v>5.6595638647029572E-2</v>
      </c>
      <c r="Y475" s="20">
        <f t="shared" si="155"/>
        <v>0.23789837882387843</v>
      </c>
      <c r="Z475" s="20"/>
      <c r="AA475" s="20">
        <f t="shared" si="156"/>
        <v>1.5548073902018137E-6</v>
      </c>
    </row>
    <row r="476" spans="2:27" x14ac:dyDescent="0.3">
      <c r="B476" s="28">
        <v>43.8</v>
      </c>
      <c r="C476" s="28">
        <v>63.785710000000002</v>
      </c>
      <c r="D476" s="20">
        <f t="shared" si="138"/>
        <v>37.053769955678625</v>
      </c>
      <c r="E476" s="20">
        <f t="shared" si="139"/>
        <v>-4.9132055260655765</v>
      </c>
      <c r="F476" s="20">
        <f t="shared" si="140"/>
        <v>2.7805532004415578</v>
      </c>
      <c r="G476" s="20">
        <f t="shared" si="141"/>
        <v>2.7805532004415578</v>
      </c>
      <c r="H476" s="20">
        <f t="shared" si="142"/>
        <v>2.7805532004415578</v>
      </c>
      <c r="I476" s="17"/>
      <c r="J476" s="20">
        <f t="shared" si="143"/>
        <v>33.541001344496756</v>
      </c>
      <c r="K476" s="20">
        <f t="shared" si="144"/>
        <v>7.295474891146206E-3</v>
      </c>
      <c r="L476" s="20">
        <f t="shared" si="145"/>
        <v>2.0585509079262567</v>
      </c>
      <c r="M476" s="20">
        <f t="shared" si="146"/>
        <v>2.0585509079262567</v>
      </c>
      <c r="N476" s="20">
        <f t="shared" si="147"/>
        <v>2.0585509079262567</v>
      </c>
      <c r="O476" s="17"/>
      <c r="P476" s="20">
        <f t="shared" si="148"/>
        <v>16.385899429247146</v>
      </c>
      <c r="Q476" s="20">
        <f t="shared" si="149"/>
        <v>42.377002509804413</v>
      </c>
      <c r="R476" s="20">
        <f t="shared" si="150"/>
        <v>0</v>
      </c>
      <c r="S476" s="20">
        <f t="shared" si="151"/>
        <v>0</v>
      </c>
      <c r="T476" s="20">
        <f t="shared" si="152"/>
        <v>0</v>
      </c>
      <c r="U476" s="17"/>
      <c r="V476" s="20">
        <f t="shared" si="153"/>
        <v>58.762901939051559</v>
      </c>
      <c r="W476" s="17"/>
      <c r="X476" s="20">
        <f t="shared" si="154"/>
        <v>25.228600817128651</v>
      </c>
      <c r="Y476" s="20">
        <f t="shared" si="155"/>
        <v>5.0228080609484422</v>
      </c>
      <c r="Z476" s="20"/>
      <c r="AA476" s="20">
        <f t="shared" si="156"/>
        <v>3.2827037877838713E-5</v>
      </c>
    </row>
    <row r="477" spans="2:27" x14ac:dyDescent="0.3">
      <c r="B477" s="28">
        <v>43.9</v>
      </c>
      <c r="C477" s="28">
        <v>51.285710000000002</v>
      </c>
      <c r="D477" s="20">
        <f t="shared" si="138"/>
        <v>37.128948135977289</v>
      </c>
      <c r="E477" s="20">
        <f t="shared" si="139"/>
        <v>-4.9081589037186166</v>
      </c>
      <c r="F477" s="20">
        <f t="shared" si="140"/>
        <v>2.7916643115526689</v>
      </c>
      <c r="G477" s="20">
        <f t="shared" si="141"/>
        <v>2.7916643115526689</v>
      </c>
      <c r="H477" s="20">
        <f t="shared" si="142"/>
        <v>2.7916643115526689</v>
      </c>
      <c r="I477" s="17"/>
      <c r="J477" s="20">
        <f t="shared" si="143"/>
        <v>33.614005330541922</v>
      </c>
      <c r="K477" s="20">
        <f t="shared" si="144"/>
        <v>7.3321167886729859E-3</v>
      </c>
      <c r="L477" s="20">
        <f t="shared" si="145"/>
        <v>2.066033652342127</v>
      </c>
      <c r="M477" s="20">
        <f t="shared" si="146"/>
        <v>2.066033652342127</v>
      </c>
      <c r="N477" s="20">
        <f t="shared" si="147"/>
        <v>2.066033652342127</v>
      </c>
      <c r="O477" s="17"/>
      <c r="P477" s="20">
        <f t="shared" si="148"/>
        <v>16.31582775373036</v>
      </c>
      <c r="Q477" s="20">
        <f t="shared" si="149"/>
        <v>42.163691729929049</v>
      </c>
      <c r="R477" s="20">
        <f t="shared" si="150"/>
        <v>0</v>
      </c>
      <c r="S477" s="20">
        <f t="shared" si="151"/>
        <v>0</v>
      </c>
      <c r="T477" s="20">
        <f t="shared" si="152"/>
        <v>0</v>
      </c>
      <c r="U477" s="17"/>
      <c r="V477" s="20">
        <f t="shared" si="153"/>
        <v>58.479519483659409</v>
      </c>
      <c r="W477" s="17"/>
      <c r="X477" s="20">
        <f t="shared" si="154"/>
        <v>51.750894887188032</v>
      </c>
      <c r="Y477" s="20">
        <f t="shared" si="155"/>
        <v>7.1938094836594075</v>
      </c>
      <c r="Z477" s="20"/>
      <c r="AA477" s="20">
        <f t="shared" si="156"/>
        <v>4.7015823328405449E-5</v>
      </c>
    </row>
    <row r="478" spans="2:27" x14ac:dyDescent="0.3">
      <c r="B478" s="28">
        <v>44</v>
      </c>
      <c r="C478" s="28">
        <v>54.035710000000002</v>
      </c>
      <c r="D478" s="20">
        <f t="shared" si="138"/>
        <v>37.204126316275946</v>
      </c>
      <c r="E478" s="20">
        <f t="shared" si="139"/>
        <v>-4.9031122813716568</v>
      </c>
      <c r="F478" s="20">
        <f t="shared" si="140"/>
        <v>2.8027754226637809</v>
      </c>
      <c r="G478" s="20">
        <f t="shared" si="141"/>
        <v>2.8027754226637809</v>
      </c>
      <c r="H478" s="20">
        <f t="shared" si="142"/>
        <v>2.8027754226637809</v>
      </c>
      <c r="I478" s="17"/>
      <c r="J478" s="20">
        <f t="shared" si="143"/>
        <v>33.687013897470528</v>
      </c>
      <c r="K478" s="20">
        <f t="shared" si="144"/>
        <v>7.3689413757840215E-3</v>
      </c>
      <c r="L478" s="20">
        <f t="shared" si="145"/>
        <v>2.0735252463272102</v>
      </c>
      <c r="M478" s="20">
        <f t="shared" si="146"/>
        <v>2.0735252463272102</v>
      </c>
      <c r="N478" s="20">
        <f t="shared" si="147"/>
        <v>2.0735252463272102</v>
      </c>
      <c r="O478" s="17"/>
      <c r="P478" s="20">
        <f t="shared" si="148"/>
        <v>16.24620027165669</v>
      </c>
      <c r="Q478" s="20">
        <f t="shared" si="149"/>
        <v>41.951454792330082</v>
      </c>
      <c r="R478" s="20">
        <f t="shared" si="150"/>
        <v>0</v>
      </c>
      <c r="S478" s="20">
        <f t="shared" si="151"/>
        <v>0</v>
      </c>
      <c r="T478" s="20">
        <f t="shared" si="152"/>
        <v>0</v>
      </c>
      <c r="U478" s="17"/>
      <c r="V478" s="20">
        <f t="shared" si="153"/>
        <v>58.197655063986772</v>
      </c>
      <c r="W478" s="17"/>
      <c r="X478" s="20">
        <f t="shared" si="154"/>
        <v>17.321786715643846</v>
      </c>
      <c r="Y478" s="20">
        <f t="shared" si="155"/>
        <v>4.1619450639867708</v>
      </c>
      <c r="Z478" s="20"/>
      <c r="AA478" s="20">
        <f t="shared" si="156"/>
        <v>2.720078621423157E-5</v>
      </c>
    </row>
    <row r="479" spans="2:27" x14ac:dyDescent="0.3">
      <c r="B479" s="28">
        <v>44.1</v>
      </c>
      <c r="C479" s="28">
        <v>82.285709999999995</v>
      </c>
      <c r="D479" s="20">
        <f t="shared" si="138"/>
        <v>37.279304496574611</v>
      </c>
      <c r="E479" s="20">
        <f t="shared" si="139"/>
        <v>-4.8980656590246987</v>
      </c>
      <c r="F479" s="20">
        <f t="shared" si="140"/>
        <v>2.813886533774892</v>
      </c>
      <c r="G479" s="20">
        <f t="shared" si="141"/>
        <v>2.813886533774892</v>
      </c>
      <c r="H479" s="20">
        <f t="shared" si="142"/>
        <v>2.813886533774892</v>
      </c>
      <c r="I479" s="17"/>
      <c r="J479" s="20">
        <f t="shared" si="143"/>
        <v>33.760027026304968</v>
      </c>
      <c r="K479" s="20">
        <f t="shared" si="144"/>
        <v>7.4059495498787573E-3</v>
      </c>
      <c r="L479" s="20">
        <f t="shared" si="145"/>
        <v>2.0810256571828596</v>
      </c>
      <c r="M479" s="20">
        <f t="shared" si="146"/>
        <v>2.0810256571828596</v>
      </c>
      <c r="N479" s="20">
        <f t="shared" si="147"/>
        <v>2.0810256571828596</v>
      </c>
      <c r="O479" s="17"/>
      <c r="P479" s="20">
        <f t="shared" si="148"/>
        <v>16.177013263825256</v>
      </c>
      <c r="Q479" s="20">
        <f t="shared" si="149"/>
        <v>41.740286291645241</v>
      </c>
      <c r="R479" s="20">
        <f t="shared" si="150"/>
        <v>0</v>
      </c>
      <c r="S479" s="20">
        <f t="shared" si="151"/>
        <v>0</v>
      </c>
      <c r="T479" s="20">
        <f t="shared" si="152"/>
        <v>0</v>
      </c>
      <c r="U479" s="17"/>
      <c r="V479" s="20">
        <f t="shared" si="153"/>
        <v>57.917299555470493</v>
      </c>
      <c r="W479" s="17"/>
      <c r="X479" s="20">
        <f t="shared" si="154"/>
        <v>593.81942759305457</v>
      </c>
      <c r="Y479" s="20">
        <f t="shared" si="155"/>
        <v>24.368410444529502</v>
      </c>
      <c r="Z479" s="20"/>
      <c r="AA479" s="20">
        <f t="shared" si="156"/>
        <v>1.5926205480649793E-4</v>
      </c>
    </row>
    <row r="480" spans="2:27" x14ac:dyDescent="0.3">
      <c r="B480" s="28">
        <v>44.2</v>
      </c>
      <c r="C480" s="28">
        <v>59.535710000000002</v>
      </c>
      <c r="D480" s="20">
        <f t="shared" si="138"/>
        <v>37.354482676873268</v>
      </c>
      <c r="E480" s="20">
        <f t="shared" si="139"/>
        <v>-4.8930190366777389</v>
      </c>
      <c r="F480" s="20">
        <f t="shared" si="140"/>
        <v>2.8249976448860039</v>
      </c>
      <c r="G480" s="20">
        <f t="shared" si="141"/>
        <v>2.8249976448860039</v>
      </c>
      <c r="H480" s="20">
        <f t="shared" si="142"/>
        <v>2.8249976448860039</v>
      </c>
      <c r="I480" s="17"/>
      <c r="J480" s="20">
        <f t="shared" si="143"/>
        <v>33.833044698184082</v>
      </c>
      <c r="K480" s="20">
        <f t="shared" si="144"/>
        <v>7.4431422126308589E-3</v>
      </c>
      <c r="L480" s="20">
        <f t="shared" si="145"/>
        <v>2.0885348523349547</v>
      </c>
      <c r="M480" s="20">
        <f t="shared" si="146"/>
        <v>2.0885348523349547</v>
      </c>
      <c r="N480" s="20">
        <f t="shared" si="147"/>
        <v>2.0885348523349547</v>
      </c>
      <c r="O480" s="17"/>
      <c r="P480" s="20">
        <f t="shared" si="148"/>
        <v>16.10826304965126</v>
      </c>
      <c r="Q480" s="20">
        <f t="shared" si="149"/>
        <v>41.530180849723237</v>
      </c>
      <c r="R480" s="20">
        <f t="shared" si="150"/>
        <v>0</v>
      </c>
      <c r="S480" s="20">
        <f t="shared" si="151"/>
        <v>0</v>
      </c>
      <c r="T480" s="20">
        <f t="shared" si="152"/>
        <v>0</v>
      </c>
      <c r="U480" s="17"/>
      <c r="V480" s="20">
        <f t="shared" si="153"/>
        <v>57.638443899374494</v>
      </c>
      <c r="W480" s="17"/>
      <c r="X480" s="20">
        <f t="shared" si="154"/>
        <v>3.5996186565827206</v>
      </c>
      <c r="Y480" s="20">
        <f t="shared" si="155"/>
        <v>1.897266100625508</v>
      </c>
      <c r="Z480" s="20"/>
      <c r="AA480" s="20">
        <f t="shared" si="156"/>
        <v>1.239976232295296E-5</v>
      </c>
    </row>
    <row r="481" spans="2:27" x14ac:dyDescent="0.3">
      <c r="B481" s="28">
        <v>44.3</v>
      </c>
      <c r="C481" s="28">
        <v>59.035710000000002</v>
      </c>
      <c r="D481" s="20">
        <f t="shared" si="138"/>
        <v>37.429660857171925</v>
      </c>
      <c r="E481" s="20">
        <f t="shared" si="139"/>
        <v>-4.8879724143307799</v>
      </c>
      <c r="F481" s="20">
        <f t="shared" si="140"/>
        <v>2.8361087559971132</v>
      </c>
      <c r="G481" s="20">
        <f t="shared" si="141"/>
        <v>2.8361087559971132</v>
      </c>
      <c r="H481" s="20">
        <f t="shared" si="142"/>
        <v>2.8361087559971132</v>
      </c>
      <c r="I481" s="17"/>
      <c r="J481" s="20">
        <f t="shared" si="143"/>
        <v>33.906066894362276</v>
      </c>
      <c r="K481" s="20">
        <f t="shared" si="144"/>
        <v>7.4805202700071348E-3</v>
      </c>
      <c r="L481" s="20">
        <f t="shared" si="145"/>
        <v>2.0960527993337608</v>
      </c>
      <c r="M481" s="20">
        <f t="shared" si="146"/>
        <v>2.0960527993337608</v>
      </c>
      <c r="N481" s="20">
        <f t="shared" si="147"/>
        <v>2.0960527993337608</v>
      </c>
      <c r="O481" s="17"/>
      <c r="P481" s="20">
        <f t="shared" si="148"/>
        <v>16.039945986688171</v>
      </c>
      <c r="Q481" s="20">
        <f t="shared" si="149"/>
        <v>41.321133115487392</v>
      </c>
      <c r="R481" s="20">
        <f t="shared" si="150"/>
        <v>0</v>
      </c>
      <c r="S481" s="20">
        <f t="shared" si="151"/>
        <v>0</v>
      </c>
      <c r="T481" s="20">
        <f t="shared" si="152"/>
        <v>0</v>
      </c>
      <c r="U481" s="17"/>
      <c r="V481" s="20">
        <f t="shared" si="153"/>
        <v>57.361079102175566</v>
      </c>
      <c r="W481" s="17"/>
      <c r="X481" s="20">
        <f t="shared" si="154"/>
        <v>2.8043886439482759</v>
      </c>
      <c r="Y481" s="20">
        <f t="shared" si="155"/>
        <v>1.6746308978244357</v>
      </c>
      <c r="Z481" s="20"/>
      <c r="AA481" s="20">
        <f t="shared" si="156"/>
        <v>1.0944708865482982E-5</v>
      </c>
    </row>
    <row r="482" spans="2:27" x14ac:dyDescent="0.3">
      <c r="B482" s="28">
        <v>44.4</v>
      </c>
      <c r="C482" s="28">
        <v>58.535710000000002</v>
      </c>
      <c r="D482" s="20">
        <f t="shared" si="138"/>
        <v>37.504839037470582</v>
      </c>
      <c r="E482" s="20">
        <f t="shared" si="139"/>
        <v>-4.8829257919838209</v>
      </c>
      <c r="F482" s="20">
        <f t="shared" si="140"/>
        <v>2.8472198671082252</v>
      </c>
      <c r="G482" s="20">
        <f t="shared" si="141"/>
        <v>2.8472198671082252</v>
      </c>
      <c r="H482" s="20">
        <f t="shared" si="142"/>
        <v>2.8472198671082252</v>
      </c>
      <c r="I482" s="17"/>
      <c r="J482" s="20">
        <f t="shared" si="143"/>
        <v>33.979093596208571</v>
      </c>
      <c r="K482" s="20">
        <f t="shared" si="144"/>
        <v>7.518084632286719E-3</v>
      </c>
      <c r="L482" s="20">
        <f t="shared" si="145"/>
        <v>2.1035794658537941</v>
      </c>
      <c r="M482" s="20">
        <f t="shared" si="146"/>
        <v>2.1035794658537941</v>
      </c>
      <c r="N482" s="20">
        <f t="shared" si="147"/>
        <v>2.1035794658537941</v>
      </c>
      <c r="O482" s="17"/>
      <c r="P482" s="20">
        <f t="shared" si="148"/>
        <v>15.972058470156826</v>
      </c>
      <c r="Q482" s="20">
        <f t="shared" si="149"/>
        <v>41.113137764798871</v>
      </c>
      <c r="R482" s="20">
        <f t="shared" si="150"/>
        <v>0</v>
      </c>
      <c r="S482" s="20">
        <f t="shared" si="151"/>
        <v>0</v>
      </c>
      <c r="T482" s="20">
        <f t="shared" si="152"/>
        <v>0</v>
      </c>
      <c r="U482" s="17"/>
      <c r="V482" s="20">
        <f t="shared" si="153"/>
        <v>57.085196234955696</v>
      </c>
      <c r="W482" s="17"/>
      <c r="X482" s="20">
        <f t="shared" si="154"/>
        <v>2.1039901825830083</v>
      </c>
      <c r="Y482" s="20">
        <f t="shared" si="155"/>
        <v>1.4505137650443061</v>
      </c>
      <c r="Z482" s="20"/>
      <c r="AA482" s="20">
        <f t="shared" si="156"/>
        <v>9.4799701142561018E-6</v>
      </c>
    </row>
    <row r="483" spans="2:27" x14ac:dyDescent="0.3">
      <c r="B483" s="28">
        <v>44.5</v>
      </c>
      <c r="C483" s="28">
        <v>57.285710000000002</v>
      </c>
      <c r="D483" s="20">
        <f t="shared" si="138"/>
        <v>37.580017217769246</v>
      </c>
      <c r="E483" s="20">
        <f t="shared" si="139"/>
        <v>-4.8778791696368611</v>
      </c>
      <c r="F483" s="20">
        <f t="shared" si="140"/>
        <v>2.8583309782193362</v>
      </c>
      <c r="G483" s="20">
        <f t="shared" si="141"/>
        <v>2.8583309782193362</v>
      </c>
      <c r="H483" s="20">
        <f t="shared" si="142"/>
        <v>2.8583309782193362</v>
      </c>
      <c r="I483" s="17"/>
      <c r="J483" s="20">
        <f t="shared" si="143"/>
        <v>34.052124785205649</v>
      </c>
      <c r="K483" s="20">
        <f t="shared" si="144"/>
        <v>7.5558362140802022E-3</v>
      </c>
      <c r="L483" s="20">
        <f t="shared" si="145"/>
        <v>2.1111148196936611</v>
      </c>
      <c r="M483" s="20">
        <f t="shared" si="146"/>
        <v>2.1111148196936611</v>
      </c>
      <c r="N483" s="20">
        <f t="shared" si="147"/>
        <v>2.1111148196936611</v>
      </c>
      <c r="O483" s="17"/>
      <c r="P483" s="20">
        <f t="shared" si="148"/>
        <v>15.904596932481297</v>
      </c>
      <c r="Q483" s="20">
        <f t="shared" si="149"/>
        <v>40.906189500321275</v>
      </c>
      <c r="R483" s="20">
        <f t="shared" si="150"/>
        <v>0</v>
      </c>
      <c r="S483" s="20">
        <f t="shared" si="151"/>
        <v>0</v>
      </c>
      <c r="T483" s="20">
        <f t="shared" si="152"/>
        <v>0</v>
      </c>
      <c r="U483" s="17"/>
      <c r="V483" s="20">
        <f t="shared" si="153"/>
        <v>56.810786432802573</v>
      </c>
      <c r="W483" s="17"/>
      <c r="X483" s="20">
        <f t="shared" si="154"/>
        <v>0.22555239467953087</v>
      </c>
      <c r="Y483" s="20">
        <f t="shared" si="155"/>
        <v>0.47492356719742901</v>
      </c>
      <c r="Z483" s="20"/>
      <c r="AA483" s="20">
        <f t="shared" si="156"/>
        <v>3.1039079615008032E-6</v>
      </c>
    </row>
    <row r="484" spans="2:27" x14ac:dyDescent="0.3">
      <c r="B484" s="28">
        <v>44.6</v>
      </c>
      <c r="C484" s="28">
        <v>66.285709999999995</v>
      </c>
      <c r="D484" s="20">
        <f t="shared" si="138"/>
        <v>37.655195398067903</v>
      </c>
      <c r="E484" s="20">
        <f t="shared" si="139"/>
        <v>-4.872832547289903</v>
      </c>
      <c r="F484" s="20">
        <f t="shared" si="140"/>
        <v>2.8694420893304473</v>
      </c>
      <c r="G484" s="20">
        <f t="shared" si="141"/>
        <v>2.8694420893304473</v>
      </c>
      <c r="H484" s="20">
        <f t="shared" si="142"/>
        <v>2.8694420893304473</v>
      </c>
      <c r="I484" s="17"/>
      <c r="J484" s="20">
        <f t="shared" si="143"/>
        <v>34.125160442948953</v>
      </c>
      <c r="K484" s="20">
        <f t="shared" si="144"/>
        <v>7.5937759343488592E-3</v>
      </c>
      <c r="L484" s="20">
        <f t="shared" si="145"/>
        <v>2.1186588287759078</v>
      </c>
      <c r="M484" s="20">
        <f t="shared" si="146"/>
        <v>2.1186588287759078</v>
      </c>
      <c r="N484" s="20">
        <f t="shared" si="147"/>
        <v>2.1186588287759078</v>
      </c>
      <c r="O484" s="17"/>
      <c r="P484" s="20">
        <f t="shared" si="148"/>
        <v>15.837557842831339</v>
      </c>
      <c r="Q484" s="20">
        <f t="shared" si="149"/>
        <v>40.700283051385803</v>
      </c>
      <c r="R484" s="20">
        <f t="shared" si="150"/>
        <v>0</v>
      </c>
      <c r="S484" s="20">
        <f t="shared" si="151"/>
        <v>0</v>
      </c>
      <c r="T484" s="20">
        <f t="shared" si="152"/>
        <v>0</v>
      </c>
      <c r="U484" s="17"/>
      <c r="V484" s="20">
        <f t="shared" si="153"/>
        <v>56.53784089421714</v>
      </c>
      <c r="W484" s="17"/>
      <c r="X484" s="20">
        <f t="shared" si="154"/>
        <v>95.020952103475821</v>
      </c>
      <c r="Y484" s="20">
        <f t="shared" si="155"/>
        <v>9.7478691057828541</v>
      </c>
      <c r="Z484" s="20"/>
      <c r="AA484" s="20">
        <f t="shared" si="156"/>
        <v>6.3708121927184299E-5</v>
      </c>
    </row>
    <row r="485" spans="2:27" x14ac:dyDescent="0.3">
      <c r="B485" s="28">
        <v>44.7</v>
      </c>
      <c r="C485" s="28">
        <v>59.785710000000002</v>
      </c>
      <c r="D485" s="20">
        <f t="shared" si="138"/>
        <v>37.730373578366567</v>
      </c>
      <c r="E485" s="20">
        <f t="shared" si="139"/>
        <v>-4.8677859249429432</v>
      </c>
      <c r="F485" s="20">
        <f t="shared" si="140"/>
        <v>2.8805532004415593</v>
      </c>
      <c r="G485" s="20">
        <f t="shared" si="141"/>
        <v>2.8805532004415593</v>
      </c>
      <c r="H485" s="20">
        <f t="shared" si="142"/>
        <v>2.8805532004415593</v>
      </c>
      <c r="I485" s="17"/>
      <c r="J485" s="20">
        <f t="shared" si="143"/>
        <v>34.198200551145824</v>
      </c>
      <c r="K485" s="20">
        <f t="shared" si="144"/>
        <v>7.6319047164240201E-3</v>
      </c>
      <c r="L485" s="20">
        <f t="shared" si="145"/>
        <v>2.1262114611468572</v>
      </c>
      <c r="M485" s="20">
        <f t="shared" si="146"/>
        <v>2.1262114611468572</v>
      </c>
      <c r="N485" s="20">
        <f t="shared" si="147"/>
        <v>2.1262114611468572</v>
      </c>
      <c r="O485" s="17"/>
      <c r="P485" s="20">
        <f t="shared" si="148"/>
        <v>15.770937706671333</v>
      </c>
      <c r="Q485" s="20">
        <f t="shared" si="149"/>
        <v>40.495413173856704</v>
      </c>
      <c r="R485" s="20">
        <f t="shared" si="150"/>
        <v>0</v>
      </c>
      <c r="S485" s="20">
        <f t="shared" si="151"/>
        <v>0</v>
      </c>
      <c r="T485" s="20">
        <f t="shared" si="152"/>
        <v>0</v>
      </c>
      <c r="U485" s="17"/>
      <c r="V485" s="20">
        <f t="shared" si="153"/>
        <v>56.266350880528037</v>
      </c>
      <c r="W485" s="17"/>
      <c r="X485" s="20">
        <f t="shared" si="154"/>
        <v>12.385888611810481</v>
      </c>
      <c r="Y485" s="20">
        <f t="shared" si="155"/>
        <v>3.5193591194719644</v>
      </c>
      <c r="Z485" s="20"/>
      <c r="AA485" s="20">
        <f t="shared" si="156"/>
        <v>2.300110490362E-5</v>
      </c>
    </row>
    <row r="486" spans="2:27" x14ac:dyDescent="0.3">
      <c r="B486" s="28">
        <v>44.8</v>
      </c>
      <c r="C486" s="28">
        <v>49.285710000000002</v>
      </c>
      <c r="D486" s="20">
        <f t="shared" si="138"/>
        <v>37.805551758665224</v>
      </c>
      <c r="E486" s="20">
        <f t="shared" si="139"/>
        <v>-4.8627393025959842</v>
      </c>
      <c r="F486" s="20">
        <f t="shared" si="140"/>
        <v>2.8916643115526686</v>
      </c>
      <c r="G486" s="20">
        <f t="shared" si="141"/>
        <v>2.8916643115526686</v>
      </c>
      <c r="H486" s="20">
        <f t="shared" si="142"/>
        <v>2.8916643115526686</v>
      </c>
      <c r="I486" s="17"/>
      <c r="J486" s="20">
        <f t="shared" si="143"/>
        <v>34.271245091614517</v>
      </c>
      <c r="K486" s="20">
        <f t="shared" si="144"/>
        <v>7.6702234880263644E-3</v>
      </c>
      <c r="L486" s="20">
        <f t="shared" si="145"/>
        <v>2.1337726849764325</v>
      </c>
      <c r="M486" s="20">
        <f t="shared" si="146"/>
        <v>2.1337726849764325</v>
      </c>
      <c r="N486" s="20">
        <f t="shared" si="147"/>
        <v>2.1337726849764325</v>
      </c>
      <c r="O486" s="17"/>
      <c r="P486" s="20">
        <f t="shared" si="148"/>
        <v>15.704733065315768</v>
      </c>
      <c r="Q486" s="20">
        <f t="shared" si="149"/>
        <v>40.291574649998182</v>
      </c>
      <c r="R486" s="20">
        <f t="shared" si="150"/>
        <v>0</v>
      </c>
      <c r="S486" s="20">
        <f t="shared" si="151"/>
        <v>0</v>
      </c>
      <c r="T486" s="20">
        <f t="shared" si="152"/>
        <v>0</v>
      </c>
      <c r="U486" s="17"/>
      <c r="V486" s="20">
        <f t="shared" si="153"/>
        <v>55.996307715313947</v>
      </c>
      <c r="W486" s="17"/>
      <c r="X486" s="20">
        <f t="shared" si="154"/>
        <v>45.032121696776734</v>
      </c>
      <c r="Y486" s="20">
        <f t="shared" si="155"/>
        <v>6.7105977153139449</v>
      </c>
      <c r="Z486" s="20"/>
      <c r="AA486" s="20">
        <f t="shared" si="156"/>
        <v>4.3857747043185291E-5</v>
      </c>
    </row>
    <row r="487" spans="2:27" x14ac:dyDescent="0.3">
      <c r="B487" s="28">
        <v>44.9</v>
      </c>
      <c r="C487" s="28">
        <v>47.535710000000002</v>
      </c>
      <c r="D487" s="20">
        <f t="shared" si="138"/>
        <v>37.880729938963881</v>
      </c>
      <c r="E487" s="20">
        <f t="shared" si="139"/>
        <v>-4.8576926802490252</v>
      </c>
      <c r="F487" s="20">
        <f t="shared" si="140"/>
        <v>2.9027754226637805</v>
      </c>
      <c r="G487" s="20">
        <f t="shared" si="141"/>
        <v>2.9027754226637805</v>
      </c>
      <c r="H487" s="20">
        <f t="shared" si="142"/>
        <v>2.9027754226637805</v>
      </c>
      <c r="I487" s="17"/>
      <c r="J487" s="20">
        <f t="shared" si="143"/>
        <v>34.344294046283395</v>
      </c>
      <c r="K487" s="20">
        <f t="shared" si="144"/>
        <v>7.7087331812854525E-3</v>
      </c>
      <c r="L487" s="20">
        <f t="shared" si="145"/>
        <v>2.1413424685579909</v>
      </c>
      <c r="M487" s="20">
        <f t="shared" si="146"/>
        <v>2.1413424685579909</v>
      </c>
      <c r="N487" s="20">
        <f t="shared" si="147"/>
        <v>2.1413424685579909</v>
      </c>
      <c r="O487" s="17"/>
      <c r="P487" s="20">
        <f t="shared" si="148"/>
        <v>15.638940495490887</v>
      </c>
      <c r="Q487" s="20">
        <f t="shared" si="149"/>
        <v>40.08876228834108</v>
      </c>
      <c r="R487" s="20">
        <f t="shared" si="150"/>
        <v>0</v>
      </c>
      <c r="S487" s="20">
        <f t="shared" si="151"/>
        <v>0</v>
      </c>
      <c r="T487" s="20">
        <f t="shared" si="152"/>
        <v>0</v>
      </c>
      <c r="U487" s="17"/>
      <c r="V487" s="20">
        <f t="shared" si="153"/>
        <v>55.727702783831965</v>
      </c>
      <c r="W487" s="17"/>
      <c r="X487" s="20">
        <f t="shared" si="154"/>
        <v>67.108745770354972</v>
      </c>
      <c r="Y487" s="20">
        <f t="shared" si="155"/>
        <v>8.1919927838319637</v>
      </c>
      <c r="Z487" s="20"/>
      <c r="AA487" s="20">
        <f t="shared" si="156"/>
        <v>5.3539544841586896E-5</v>
      </c>
    </row>
    <row r="488" spans="2:27" x14ac:dyDescent="0.3">
      <c r="B488" s="28">
        <v>45</v>
      </c>
      <c r="C488" s="28">
        <v>63.535710000000002</v>
      </c>
      <c r="D488" s="20">
        <f t="shared" si="138"/>
        <v>37.955908119262546</v>
      </c>
      <c r="E488" s="20">
        <f t="shared" si="139"/>
        <v>-4.8526460579020654</v>
      </c>
      <c r="F488" s="20">
        <f t="shared" si="140"/>
        <v>2.9138865337748916</v>
      </c>
      <c r="G488" s="20">
        <f t="shared" si="141"/>
        <v>2.9138865337748916</v>
      </c>
      <c r="H488" s="20">
        <f t="shared" si="142"/>
        <v>2.9138865337748916</v>
      </c>
      <c r="I488" s="17"/>
      <c r="J488" s="20">
        <f t="shared" si="143"/>
        <v>34.417347397190007</v>
      </c>
      <c r="K488" s="20">
        <f t="shared" si="144"/>
        <v>7.7474347327592301E-3</v>
      </c>
      <c r="L488" s="20">
        <f t="shared" si="145"/>
        <v>2.1489207803081274</v>
      </c>
      <c r="M488" s="20">
        <f t="shared" si="146"/>
        <v>2.1489207803081274</v>
      </c>
      <c r="N488" s="20">
        <f t="shared" si="147"/>
        <v>2.1489207803081274</v>
      </c>
      <c r="O488" s="17"/>
      <c r="P488" s="20">
        <f t="shared" si="148"/>
        <v>15.573556608902656</v>
      </c>
      <c r="Q488" s="20">
        <f t="shared" si="149"/>
        <v>39.886970923550848</v>
      </c>
      <c r="R488" s="20">
        <f t="shared" si="150"/>
        <v>0</v>
      </c>
      <c r="S488" s="20">
        <f t="shared" si="151"/>
        <v>0</v>
      </c>
      <c r="T488" s="20">
        <f t="shared" si="152"/>
        <v>0</v>
      </c>
      <c r="U488" s="17"/>
      <c r="V488" s="20">
        <f t="shared" si="153"/>
        <v>55.460527532453504</v>
      </c>
      <c r="W488" s="17"/>
      <c r="X488" s="20">
        <f t="shared" si="154"/>
        <v>65.20857188417034</v>
      </c>
      <c r="Y488" s="20">
        <f t="shared" si="155"/>
        <v>8.0751824675464974</v>
      </c>
      <c r="Z488" s="20"/>
      <c r="AA488" s="20">
        <f t="shared" si="156"/>
        <v>5.2776119954413079E-5</v>
      </c>
    </row>
    <row r="489" spans="2:27" x14ac:dyDescent="0.3">
      <c r="B489" s="28">
        <v>45.1</v>
      </c>
      <c r="C489" s="28">
        <v>67.035709999999995</v>
      </c>
      <c r="D489" s="20">
        <f t="shared" si="138"/>
        <v>38.031086299561203</v>
      </c>
      <c r="E489" s="20">
        <f t="shared" si="139"/>
        <v>-4.8475994355551064</v>
      </c>
      <c r="F489" s="20">
        <f t="shared" si="140"/>
        <v>2.9249976448860036</v>
      </c>
      <c r="G489" s="20">
        <f t="shared" si="141"/>
        <v>2.9249976448860036</v>
      </c>
      <c r="H489" s="20">
        <f t="shared" si="142"/>
        <v>2.9249976448860036</v>
      </c>
      <c r="I489" s="17"/>
      <c r="J489" s="20">
        <f t="shared" si="143"/>
        <v>34.490405126480212</v>
      </c>
      <c r="K489" s="20">
        <f t="shared" si="144"/>
        <v>7.7863290834535989E-3</v>
      </c>
      <c r="L489" s="20">
        <f t="shared" si="145"/>
        <v>2.1565075887664964</v>
      </c>
      <c r="M489" s="20">
        <f t="shared" si="146"/>
        <v>2.1565075887664964</v>
      </c>
      <c r="N489" s="20">
        <f t="shared" si="147"/>
        <v>2.1565075887664964</v>
      </c>
      <c r="O489" s="17"/>
      <c r="P489" s="20">
        <f t="shared" si="148"/>
        <v>15.508578051810819</v>
      </c>
      <c r="Q489" s="20">
        <f t="shared" si="149"/>
        <v>39.686195416296066</v>
      </c>
      <c r="R489" s="20">
        <f t="shared" si="150"/>
        <v>0</v>
      </c>
      <c r="S489" s="20">
        <f t="shared" si="151"/>
        <v>0</v>
      </c>
      <c r="T489" s="20">
        <f t="shared" si="152"/>
        <v>0</v>
      </c>
      <c r="U489" s="17"/>
      <c r="V489" s="20">
        <f t="shared" si="153"/>
        <v>55.194773468106888</v>
      </c>
      <c r="W489" s="17"/>
      <c r="X489" s="20">
        <f t="shared" si="154"/>
        <v>140.20777795232075</v>
      </c>
      <c r="Y489" s="20">
        <f t="shared" si="155"/>
        <v>11.840936531893107</v>
      </c>
      <c r="Z489" s="20"/>
      <c r="AA489" s="20">
        <f t="shared" si="156"/>
        <v>7.7387562360513838E-5</v>
      </c>
    </row>
    <row r="490" spans="2:27" x14ac:dyDescent="0.3">
      <c r="B490" s="28">
        <v>45.2</v>
      </c>
      <c r="C490" s="28">
        <v>55.535710000000002</v>
      </c>
      <c r="D490" s="20">
        <f t="shared" si="138"/>
        <v>38.106264479859867</v>
      </c>
      <c r="E490" s="20">
        <f t="shared" si="139"/>
        <v>-4.8425528132081475</v>
      </c>
      <c r="F490" s="20">
        <f t="shared" si="140"/>
        <v>2.9361087559971146</v>
      </c>
      <c r="G490" s="20">
        <f t="shared" si="141"/>
        <v>2.9361087559971146</v>
      </c>
      <c r="H490" s="20">
        <f t="shared" si="142"/>
        <v>2.9361087559971146</v>
      </c>
      <c r="I490" s="17"/>
      <c r="J490" s="20">
        <f t="shared" si="143"/>
        <v>34.563467216407361</v>
      </c>
      <c r="K490" s="20">
        <f t="shared" si="144"/>
        <v>7.825417178842135E-3</v>
      </c>
      <c r="L490" s="20">
        <f t="shared" si="145"/>
        <v>2.1641028625956085</v>
      </c>
      <c r="M490" s="20">
        <f t="shared" si="146"/>
        <v>2.1641028625956085</v>
      </c>
      <c r="N490" s="20">
        <f t="shared" si="147"/>
        <v>2.1641028625956085</v>
      </c>
      <c r="O490" s="17"/>
      <c r="P490" s="20">
        <f t="shared" si="148"/>
        <v>15.44400150460889</v>
      </c>
      <c r="Q490" s="20">
        <f t="shared" si="149"/>
        <v>39.486430653117374</v>
      </c>
      <c r="R490" s="20">
        <f t="shared" si="150"/>
        <v>0</v>
      </c>
      <c r="S490" s="20">
        <f t="shared" si="151"/>
        <v>0</v>
      </c>
      <c r="T490" s="20">
        <f t="shared" si="152"/>
        <v>0</v>
      </c>
      <c r="U490" s="17"/>
      <c r="V490" s="20">
        <f t="shared" si="153"/>
        <v>54.930432157726266</v>
      </c>
      <c r="W490" s="17"/>
      <c r="X490" s="20">
        <f t="shared" si="154"/>
        <v>0.36636126634754984</v>
      </c>
      <c r="Y490" s="20">
        <f t="shared" si="155"/>
        <v>0.60527784227373616</v>
      </c>
      <c r="Z490" s="20"/>
      <c r="AA490" s="20">
        <f t="shared" si="156"/>
        <v>3.9558506743306708E-6</v>
      </c>
    </row>
    <row r="491" spans="2:27" x14ac:dyDescent="0.3">
      <c r="B491" s="28">
        <v>45.3</v>
      </c>
      <c r="C491" s="28">
        <v>48.285710000000002</v>
      </c>
      <c r="D491" s="20">
        <f t="shared" si="138"/>
        <v>38.181442660158517</v>
      </c>
      <c r="E491" s="20">
        <f t="shared" si="139"/>
        <v>-4.8375061908611885</v>
      </c>
      <c r="F491" s="20">
        <f t="shared" si="140"/>
        <v>2.9472198671082248</v>
      </c>
      <c r="G491" s="20">
        <f t="shared" si="141"/>
        <v>2.9472198671082248</v>
      </c>
      <c r="H491" s="20">
        <f t="shared" si="142"/>
        <v>2.9472198671082248</v>
      </c>
      <c r="I491" s="17"/>
      <c r="J491" s="20">
        <f t="shared" si="143"/>
        <v>34.636533649331355</v>
      </c>
      <c r="K491" s="20">
        <f t="shared" si="144"/>
        <v>7.8646999688858094E-3</v>
      </c>
      <c r="L491" s="20">
        <f t="shared" si="145"/>
        <v>2.1717065705806347</v>
      </c>
      <c r="M491" s="20">
        <f t="shared" si="146"/>
        <v>2.1717065705806347</v>
      </c>
      <c r="N491" s="20">
        <f t="shared" si="147"/>
        <v>2.1717065705806347</v>
      </c>
      <c r="O491" s="17"/>
      <c r="P491" s="20">
        <f t="shared" si="148"/>
        <v>15.379823681410228</v>
      </c>
      <c r="Q491" s="20">
        <f t="shared" si="149"/>
        <v>39.287671546297318</v>
      </c>
      <c r="R491" s="20">
        <f t="shared" si="150"/>
        <v>0</v>
      </c>
      <c r="S491" s="20">
        <f t="shared" si="151"/>
        <v>0</v>
      </c>
      <c r="T491" s="20">
        <f t="shared" si="152"/>
        <v>0</v>
      </c>
      <c r="U491" s="17"/>
      <c r="V491" s="20">
        <f t="shared" si="153"/>
        <v>54.667495227707548</v>
      </c>
      <c r="W491" s="17"/>
      <c r="X491" s="20">
        <f t="shared" si="154"/>
        <v>40.727182692586254</v>
      </c>
      <c r="Y491" s="20">
        <f t="shared" si="155"/>
        <v>6.381785227707546</v>
      </c>
      <c r="Z491" s="20"/>
      <c r="AA491" s="20">
        <f t="shared" si="156"/>
        <v>4.1708761883015059E-5</v>
      </c>
    </row>
    <row r="492" spans="2:27" x14ac:dyDescent="0.3">
      <c r="B492" s="28">
        <v>45.4</v>
      </c>
      <c r="C492" s="28">
        <v>59.535710000000002</v>
      </c>
      <c r="D492" s="20">
        <f t="shared" si="138"/>
        <v>38.256620840457181</v>
      </c>
      <c r="E492" s="20">
        <f t="shared" si="139"/>
        <v>-4.8324595685142295</v>
      </c>
      <c r="F492" s="20">
        <f t="shared" si="140"/>
        <v>2.9583309782193359</v>
      </c>
      <c r="G492" s="20">
        <f t="shared" si="141"/>
        <v>2.9583309782193359</v>
      </c>
      <c r="H492" s="20">
        <f t="shared" si="142"/>
        <v>2.9583309782193359</v>
      </c>
      <c r="I492" s="17"/>
      <c r="J492" s="20">
        <f t="shared" si="143"/>
        <v>34.709604407717926</v>
      </c>
      <c r="K492" s="20">
        <f t="shared" si="144"/>
        <v>7.9041784080528046E-3</v>
      </c>
      <c r="L492" s="20">
        <f t="shared" si="145"/>
        <v>2.1793186816291965</v>
      </c>
      <c r="M492" s="20">
        <f t="shared" si="146"/>
        <v>2.1793186816291965</v>
      </c>
      <c r="N492" s="20">
        <f t="shared" si="147"/>
        <v>2.1793186816291965</v>
      </c>
      <c r="O492" s="17"/>
      <c r="P492" s="20">
        <f t="shared" si="148"/>
        <v>15.316041329639715</v>
      </c>
      <c r="Q492" s="20">
        <f t="shared" si="149"/>
        <v>39.089913033730809</v>
      </c>
      <c r="R492" s="20">
        <f t="shared" si="150"/>
        <v>0</v>
      </c>
      <c r="S492" s="20">
        <f t="shared" si="151"/>
        <v>0</v>
      </c>
      <c r="T492" s="20">
        <f t="shared" si="152"/>
        <v>0</v>
      </c>
      <c r="U492" s="17"/>
      <c r="V492" s="20">
        <f t="shared" si="153"/>
        <v>54.405954363370526</v>
      </c>
      <c r="W492" s="17"/>
      <c r="X492" s="20">
        <f t="shared" si="154"/>
        <v>26.314392891531877</v>
      </c>
      <c r="Y492" s="20">
        <f t="shared" si="155"/>
        <v>5.1297556366294756</v>
      </c>
      <c r="Z492" s="20"/>
      <c r="AA492" s="20">
        <f t="shared" si="156"/>
        <v>3.3526003889524489E-5</v>
      </c>
    </row>
    <row r="493" spans="2:27" x14ac:dyDescent="0.3">
      <c r="B493" s="28">
        <v>45.5</v>
      </c>
      <c r="C493" s="28">
        <v>33.035710000000002</v>
      </c>
      <c r="D493" s="20">
        <f t="shared" si="138"/>
        <v>38.331799020755845</v>
      </c>
      <c r="E493" s="20">
        <f t="shared" si="139"/>
        <v>-4.8274129461672697</v>
      </c>
      <c r="F493" s="20">
        <f t="shared" si="140"/>
        <v>2.969442089330447</v>
      </c>
      <c r="G493" s="20">
        <f t="shared" si="141"/>
        <v>2.969442089330447</v>
      </c>
      <c r="H493" s="20">
        <f t="shared" si="142"/>
        <v>2.969442089330447</v>
      </c>
      <c r="I493" s="17"/>
      <c r="J493" s="20">
        <f t="shared" si="143"/>
        <v>34.78267947413768</v>
      </c>
      <c r="K493" s="20">
        <f t="shared" si="144"/>
        <v>7.9438534553384118E-3</v>
      </c>
      <c r="L493" s="20">
        <f t="shared" si="145"/>
        <v>2.1869391647711529</v>
      </c>
      <c r="M493" s="20">
        <f t="shared" si="146"/>
        <v>2.1869391647711529</v>
      </c>
      <c r="N493" s="20">
        <f t="shared" si="147"/>
        <v>2.1869391647711529</v>
      </c>
      <c r="O493" s="17"/>
      <c r="P493" s="20">
        <f t="shared" si="148"/>
        <v>15.252651229631384</v>
      </c>
      <c r="Q493" s="20">
        <f t="shared" si="149"/>
        <v>38.893150078796154</v>
      </c>
      <c r="R493" s="20">
        <f t="shared" si="150"/>
        <v>0</v>
      </c>
      <c r="S493" s="20">
        <f t="shared" si="151"/>
        <v>0</v>
      </c>
      <c r="T493" s="20">
        <f t="shared" si="152"/>
        <v>0</v>
      </c>
      <c r="U493" s="17"/>
      <c r="V493" s="20">
        <f t="shared" si="153"/>
        <v>54.145801308427536</v>
      </c>
      <c r="W493" s="17"/>
      <c r="X493" s="20">
        <f t="shared" si="154"/>
        <v>445.63595505014774</v>
      </c>
      <c r="Y493" s="20">
        <f t="shared" si="155"/>
        <v>21.110091308427535</v>
      </c>
      <c r="Z493" s="20"/>
      <c r="AA493" s="20">
        <f t="shared" si="156"/>
        <v>1.3796700144172555E-4</v>
      </c>
    </row>
    <row r="494" spans="2:27" x14ac:dyDescent="0.3">
      <c r="B494" s="28">
        <v>45.6</v>
      </c>
      <c r="C494" s="28">
        <v>53.785710000000002</v>
      </c>
      <c r="D494" s="20">
        <f t="shared" si="138"/>
        <v>38.406977201054502</v>
      </c>
      <c r="E494" s="20">
        <f t="shared" si="139"/>
        <v>-4.8223663238203107</v>
      </c>
      <c r="F494" s="20">
        <f t="shared" si="140"/>
        <v>2.9805532004415589</v>
      </c>
      <c r="G494" s="20">
        <f t="shared" si="141"/>
        <v>2.9805532004415589</v>
      </c>
      <c r="H494" s="20">
        <f t="shared" si="142"/>
        <v>2.9805532004415589</v>
      </c>
      <c r="I494" s="17"/>
      <c r="J494" s="20">
        <f t="shared" si="143"/>
        <v>34.855758831265327</v>
      </c>
      <c r="K494" s="20">
        <f t="shared" si="144"/>
        <v>7.9837260742849862E-3</v>
      </c>
      <c r="L494" s="20">
        <f t="shared" si="145"/>
        <v>2.1945679891583838</v>
      </c>
      <c r="M494" s="20">
        <f t="shared" si="146"/>
        <v>2.1945679891583838</v>
      </c>
      <c r="N494" s="20">
        <f t="shared" si="147"/>
        <v>2.1945679891583838</v>
      </c>
      <c r="O494" s="17"/>
      <c r="P494" s="20">
        <f t="shared" si="148"/>
        <v>15.189650194231534</v>
      </c>
      <c r="Q494" s="20">
        <f t="shared" si="149"/>
        <v>38.697377670226793</v>
      </c>
      <c r="R494" s="20">
        <f t="shared" si="150"/>
        <v>0</v>
      </c>
      <c r="S494" s="20">
        <f t="shared" si="151"/>
        <v>0</v>
      </c>
      <c r="T494" s="20">
        <f t="shared" si="152"/>
        <v>0</v>
      </c>
      <c r="U494" s="17"/>
      <c r="V494" s="20">
        <f t="shared" si="153"/>
        <v>53.887027864458325</v>
      </c>
      <c r="W494" s="17"/>
      <c r="X494" s="20">
        <f t="shared" si="154"/>
        <v>1.0265309658395207E-2</v>
      </c>
      <c r="Y494" s="20">
        <f t="shared" si="155"/>
        <v>0.10131786445832347</v>
      </c>
      <c r="Z494" s="20"/>
      <c r="AA494" s="20">
        <f t="shared" si="156"/>
        <v>6.6217250070413412E-7</v>
      </c>
    </row>
    <row r="495" spans="2:27" x14ac:dyDescent="0.3">
      <c r="B495" s="28">
        <v>45.7</v>
      </c>
      <c r="C495" s="28">
        <v>69.285709999999995</v>
      </c>
      <c r="D495" s="20">
        <f t="shared" si="138"/>
        <v>38.482155381353166</v>
      </c>
      <c r="E495" s="20">
        <f t="shared" si="139"/>
        <v>-4.8173197014733518</v>
      </c>
      <c r="F495" s="20">
        <f t="shared" si="140"/>
        <v>2.99166431155267</v>
      </c>
      <c r="G495" s="20">
        <f t="shared" si="141"/>
        <v>2.99166431155267</v>
      </c>
      <c r="H495" s="20">
        <f t="shared" si="142"/>
        <v>2.99166431155267</v>
      </c>
      <c r="I495" s="17"/>
      <c r="J495" s="20">
        <f t="shared" si="143"/>
        <v>34.928842461878865</v>
      </c>
      <c r="K495" s="20">
        <f t="shared" si="144"/>
        <v>8.0237972330019884E-3</v>
      </c>
      <c r="L495" s="20">
        <f t="shared" si="145"/>
        <v>2.2022051240645615</v>
      </c>
      <c r="M495" s="20">
        <f t="shared" si="146"/>
        <v>2.2022051240645615</v>
      </c>
      <c r="N495" s="20">
        <f t="shared" si="147"/>
        <v>2.2022051240645615</v>
      </c>
      <c r="O495" s="17"/>
      <c r="P495" s="20">
        <f t="shared" si="148"/>
        <v>15.127035068407425</v>
      </c>
      <c r="Q495" s="20">
        <f t="shared" si="149"/>
        <v>38.502590821983674</v>
      </c>
      <c r="R495" s="20">
        <f t="shared" si="150"/>
        <v>0</v>
      </c>
      <c r="S495" s="20">
        <f t="shared" si="151"/>
        <v>0</v>
      </c>
      <c r="T495" s="20">
        <f t="shared" si="152"/>
        <v>0</v>
      </c>
      <c r="U495" s="17"/>
      <c r="V495" s="20">
        <f t="shared" si="153"/>
        <v>53.629625890391097</v>
      </c>
      <c r="W495" s="17"/>
      <c r="X495" s="20">
        <f t="shared" si="154"/>
        <v>245.11296964714825</v>
      </c>
      <c r="Y495" s="20">
        <f t="shared" si="155"/>
        <v>15.656084109608898</v>
      </c>
      <c r="Z495" s="20"/>
      <c r="AA495" s="20">
        <f t="shared" si="156"/>
        <v>1.0232182075213794E-4</v>
      </c>
    </row>
    <row r="496" spans="2:27" x14ac:dyDescent="0.3">
      <c r="B496" s="28">
        <v>45.8</v>
      </c>
      <c r="C496" s="28">
        <v>56.535710000000002</v>
      </c>
      <c r="D496" s="20">
        <f t="shared" si="138"/>
        <v>38.557333561651816</v>
      </c>
      <c r="E496" s="20">
        <f t="shared" si="139"/>
        <v>-4.8122730791263928</v>
      </c>
      <c r="F496" s="20">
        <f t="shared" si="140"/>
        <v>3.0027754226637802</v>
      </c>
      <c r="G496" s="20">
        <f t="shared" si="141"/>
        <v>3.0027754226637802</v>
      </c>
      <c r="H496" s="20">
        <f t="shared" si="142"/>
        <v>3.0027754226637802</v>
      </c>
      <c r="I496" s="17"/>
      <c r="J496" s="20">
        <f t="shared" si="143"/>
        <v>35.001930348858728</v>
      </c>
      <c r="K496" s="20">
        <f t="shared" si="144"/>
        <v>8.0640679041861039E-3</v>
      </c>
      <c r="L496" s="20">
        <f t="shared" si="145"/>
        <v>2.2098505388849277</v>
      </c>
      <c r="M496" s="20">
        <f t="shared" si="146"/>
        <v>2.2098505388849277</v>
      </c>
      <c r="N496" s="20">
        <f t="shared" si="147"/>
        <v>2.2098505388849277</v>
      </c>
      <c r="O496" s="17"/>
      <c r="P496" s="20">
        <f t="shared" si="148"/>
        <v>15.064802728861512</v>
      </c>
      <c r="Q496" s="20">
        <f t="shared" si="149"/>
        <v>38.308784573128214</v>
      </c>
      <c r="R496" s="20">
        <f t="shared" si="150"/>
        <v>0</v>
      </c>
      <c r="S496" s="20">
        <f t="shared" si="151"/>
        <v>0</v>
      </c>
      <c r="T496" s="20">
        <f t="shared" si="152"/>
        <v>0</v>
      </c>
      <c r="U496" s="17"/>
      <c r="V496" s="20">
        <f t="shared" si="153"/>
        <v>53.37358730198973</v>
      </c>
      <c r="W496" s="17"/>
      <c r="X496" s="20">
        <f t="shared" si="154"/>
        <v>9.9990199572717611</v>
      </c>
      <c r="Y496" s="20">
        <f t="shared" si="155"/>
        <v>3.1621226980102719</v>
      </c>
      <c r="Z496" s="20"/>
      <c r="AA496" s="20">
        <f t="shared" si="156"/>
        <v>2.0666352431224675E-5</v>
      </c>
    </row>
    <row r="497" spans="2:27" x14ac:dyDescent="0.3">
      <c r="B497" s="28">
        <v>45.9</v>
      </c>
      <c r="C497" s="28">
        <v>52.535710000000002</v>
      </c>
      <c r="D497" s="20">
        <f t="shared" si="138"/>
        <v>38.632511741950481</v>
      </c>
      <c r="E497" s="20">
        <f t="shared" si="139"/>
        <v>-4.8072264567794338</v>
      </c>
      <c r="F497" s="20">
        <f t="shared" si="140"/>
        <v>3.0138865337748912</v>
      </c>
      <c r="G497" s="20">
        <f t="shared" si="141"/>
        <v>3.0138865337748912</v>
      </c>
      <c r="H497" s="20">
        <f t="shared" si="142"/>
        <v>3.0138865337748912</v>
      </c>
      <c r="I497" s="17"/>
      <c r="J497" s="20">
        <f t="shared" si="143"/>
        <v>35.075022475187048</v>
      </c>
      <c r="K497" s="20">
        <f t="shared" si="144"/>
        <v>8.1045390651414001E-3</v>
      </c>
      <c r="L497" s="20">
        <f t="shared" si="145"/>
        <v>2.2175042031360568</v>
      </c>
      <c r="M497" s="20">
        <f t="shared" si="146"/>
        <v>2.2175042031360568</v>
      </c>
      <c r="N497" s="20">
        <f t="shared" si="147"/>
        <v>2.2175042031360568</v>
      </c>
      <c r="O497" s="17"/>
      <c r="P497" s="20">
        <f t="shared" si="148"/>
        <v>15.002950083650896</v>
      </c>
      <c r="Q497" s="20">
        <f t="shared" si="149"/>
        <v>38.115953987696045</v>
      </c>
      <c r="R497" s="20">
        <f t="shared" si="150"/>
        <v>0</v>
      </c>
      <c r="S497" s="20">
        <f t="shared" si="151"/>
        <v>0</v>
      </c>
      <c r="T497" s="20">
        <f t="shared" si="152"/>
        <v>0</v>
      </c>
      <c r="U497" s="17"/>
      <c r="V497" s="20">
        <f t="shared" si="153"/>
        <v>53.11890407134694</v>
      </c>
      <c r="W497" s="17"/>
      <c r="X497" s="20">
        <f t="shared" si="154"/>
        <v>0.3401153248542173</v>
      </c>
      <c r="Y497" s="20">
        <f t="shared" si="155"/>
        <v>0.5831940713469379</v>
      </c>
      <c r="Z497" s="20"/>
      <c r="AA497" s="20">
        <f t="shared" si="156"/>
        <v>3.8115200975093393E-6</v>
      </c>
    </row>
    <row r="498" spans="2:27" x14ac:dyDescent="0.3">
      <c r="B498" s="28">
        <v>46</v>
      </c>
      <c r="C498" s="28">
        <v>52.035710000000002</v>
      </c>
      <c r="D498" s="20">
        <f t="shared" ref="D498:D561" si="157">$C$23/(1-$C$23)-LN((1-$C$23)/$C$23)+$C$22/(1-$C$23)*B498</f>
        <v>38.707689922249138</v>
      </c>
      <c r="E498" s="20">
        <f t="shared" ref="E498:E561" si="158">$D$23/(1-$D$23)-LN((1-$D$23)/$D$23)+$D$22*B498/(1-$D$23)</f>
        <v>-4.802179834432474</v>
      </c>
      <c r="F498" s="20">
        <f t="shared" ref="F498:F561" si="159">$E$23/(1-$E$23)-LN((1-$E$23)/$E$23)+$E$22*B498/(1-$E$23)</f>
        <v>3.0249976448860032</v>
      </c>
      <c r="G498" s="20">
        <f t="shared" ref="G498:G561" si="160">$F$23/(1-$F$23)-LN((1-$F$23)/$F$23)+$F$22*B498/(1-$F$23)</f>
        <v>3.0249976448860032</v>
      </c>
      <c r="H498" s="20">
        <f t="shared" ref="H498:H561" si="161">$G$23/(1-$G$23)-LN((1-$G$23)/$G$23)+$G$22*B498/(1-$G$23)</f>
        <v>3.0249976448860032</v>
      </c>
      <c r="I498" s="17"/>
      <c r="J498" s="20">
        <f t="shared" ref="J498:J561" si="162">lmb_2(D498)</f>
        <v>35.148118823946774</v>
      </c>
      <c r="K498" s="20">
        <f t="shared" ref="K498:K561" si="163">lmb_2(E498)</f>
        <v>8.1452116977996127E-3</v>
      </c>
      <c r="L498" s="20">
        <f t="shared" ref="L498:L561" si="164">lmb_2(F498)</f>
        <v>2.2251660864556149</v>
      </c>
      <c r="M498" s="20">
        <f t="shared" ref="M498:M561" si="165">lmb_2(G498)</f>
        <v>2.2251660864556149</v>
      </c>
      <c r="N498" s="20">
        <f t="shared" ref="N498:N561" si="166">lmb_2(H498)</f>
        <v>2.2251660864556149</v>
      </c>
      <c r="O498" s="17"/>
      <c r="P498" s="20">
        <f t="shared" ref="P498:P561" si="167">($C$21*$A$21*$C$22)/(J498+J498^2)</f>
        <v>14.941474071812266</v>
      </c>
      <c r="Q498" s="20">
        <f t="shared" ref="Q498:Q561" si="168">($D$21*$A$21*$D$22)/(K498+K498^2)</f>
        <v>37.924094154571165</v>
      </c>
      <c r="R498" s="20">
        <f t="shared" ref="R498:R561" si="169">($E$21*$A$21*$E$22)/(L498+L498^2)</f>
        <v>0</v>
      </c>
      <c r="S498" s="20">
        <f t="shared" ref="S498:S561" si="170">($F$21*$A$21*$F$22)/(M498+M498^2)</f>
        <v>0</v>
      </c>
      <c r="T498" s="20">
        <f t="shared" ref="T498:T561" si="171">($G$21*$A$21*$G$22)/(N498+N498^2)</f>
        <v>0</v>
      </c>
      <c r="U498" s="17"/>
      <c r="V498" s="20">
        <f t="shared" ref="V498:V561" si="172">SUM(P498:T498)</f>
        <v>52.865568226383431</v>
      </c>
      <c r="W498" s="17"/>
      <c r="X498" s="20">
        <f t="shared" ref="X498:X561" si="173">(V498-C498)^2</f>
        <v>0.68866467589625069</v>
      </c>
      <c r="Y498" s="20">
        <f t="shared" ref="Y498:Y561" si="174">ABS(V498-C498)</f>
        <v>0.8298582263834291</v>
      </c>
      <c r="Z498" s="20"/>
      <c r="AA498" s="20">
        <f t="shared" ref="AA498:AA561" si="175">Y498/$Z$39</f>
        <v>5.4236170485043167E-6</v>
      </c>
    </row>
    <row r="499" spans="2:27" x14ac:dyDescent="0.3">
      <c r="B499" s="28">
        <v>46.1</v>
      </c>
      <c r="C499" s="28">
        <v>47.285710000000002</v>
      </c>
      <c r="D499" s="20">
        <f t="shared" si="157"/>
        <v>38.782868102547802</v>
      </c>
      <c r="E499" s="20">
        <f t="shared" si="158"/>
        <v>-4.797133212085515</v>
      </c>
      <c r="F499" s="20">
        <f t="shared" si="159"/>
        <v>3.0361087559971143</v>
      </c>
      <c r="G499" s="20">
        <f t="shared" si="160"/>
        <v>3.0361087559971143</v>
      </c>
      <c r="H499" s="20">
        <f t="shared" si="161"/>
        <v>3.0361087559971143</v>
      </c>
      <c r="I499" s="17"/>
      <c r="J499" s="20">
        <f t="shared" si="162"/>
        <v>35.221219378320946</v>
      </c>
      <c r="K499" s="20">
        <f t="shared" si="163"/>
        <v>8.1860867887404362E-3</v>
      </c>
      <c r="L499" s="20">
        <f t="shared" si="164"/>
        <v>2.2328361586021153</v>
      </c>
      <c r="M499" s="20">
        <f t="shared" si="165"/>
        <v>2.2328361586021153</v>
      </c>
      <c r="N499" s="20">
        <f t="shared" si="166"/>
        <v>2.2328361586021153</v>
      </c>
      <c r="O499" s="17"/>
      <c r="P499" s="20">
        <f t="shared" si="167"/>
        <v>14.880371662991863</v>
      </c>
      <c r="Q499" s="20">
        <f t="shared" si="168"/>
        <v>37.733200187361049</v>
      </c>
      <c r="R499" s="20">
        <f t="shared" si="169"/>
        <v>0</v>
      </c>
      <c r="S499" s="20">
        <f t="shared" si="170"/>
        <v>0</v>
      </c>
      <c r="T499" s="20">
        <f t="shared" si="171"/>
        <v>0</v>
      </c>
      <c r="U499" s="17"/>
      <c r="V499" s="20">
        <f t="shared" si="172"/>
        <v>52.613571850352912</v>
      </c>
      <c r="W499" s="17"/>
      <c r="X499" s="20">
        <f t="shared" si="173"/>
        <v>28.386111896445936</v>
      </c>
      <c r="Y499" s="20">
        <f t="shared" si="174"/>
        <v>5.3278618503529103</v>
      </c>
      <c r="Z499" s="20"/>
      <c r="AA499" s="20">
        <f t="shared" si="175"/>
        <v>3.4820745815320156E-5</v>
      </c>
    </row>
    <row r="500" spans="2:27" x14ac:dyDescent="0.3">
      <c r="B500" s="28">
        <v>46.2</v>
      </c>
      <c r="C500" s="28">
        <v>58.035710000000002</v>
      </c>
      <c r="D500" s="20">
        <f t="shared" si="157"/>
        <v>38.858046282846459</v>
      </c>
      <c r="E500" s="20">
        <f t="shared" si="158"/>
        <v>-4.7920865897385561</v>
      </c>
      <c r="F500" s="20">
        <f t="shared" si="159"/>
        <v>3.0472198671082253</v>
      </c>
      <c r="G500" s="20">
        <f t="shared" si="160"/>
        <v>3.0472198671082253</v>
      </c>
      <c r="H500" s="20">
        <f t="shared" si="161"/>
        <v>3.0472198671082253</v>
      </c>
      <c r="I500" s="17"/>
      <c r="J500" s="20">
        <f t="shared" si="162"/>
        <v>35.29432412159187</v>
      </c>
      <c r="K500" s="20">
        <f t="shared" si="163"/>
        <v>8.2271653292119665E-3</v>
      </c>
      <c r="L500" s="20">
        <f t="shared" si="164"/>
        <v>2.2405143894546731</v>
      </c>
      <c r="M500" s="20">
        <f t="shared" si="165"/>
        <v>2.2405143894546731</v>
      </c>
      <c r="N500" s="20">
        <f t="shared" si="166"/>
        <v>2.2405143894546731</v>
      </c>
      <c r="O500" s="17"/>
      <c r="P500" s="20">
        <f t="shared" si="167"/>
        <v>14.819639857080677</v>
      </c>
      <c r="Q500" s="20">
        <f t="shared" si="168"/>
        <v>37.543267224272</v>
      </c>
      <c r="R500" s="20">
        <f t="shared" si="169"/>
        <v>0</v>
      </c>
      <c r="S500" s="20">
        <f t="shared" si="170"/>
        <v>0</v>
      </c>
      <c r="T500" s="20">
        <f t="shared" si="171"/>
        <v>0</v>
      </c>
      <c r="U500" s="17"/>
      <c r="V500" s="20">
        <f t="shared" si="172"/>
        <v>52.362907081352674</v>
      </c>
      <c r="W500" s="17"/>
      <c r="X500" s="20">
        <f t="shared" si="173"/>
        <v>32.18069295381364</v>
      </c>
      <c r="Y500" s="20">
        <f t="shared" si="174"/>
        <v>5.6728029186473279</v>
      </c>
      <c r="Z500" s="20"/>
      <c r="AA500" s="20">
        <f t="shared" si="175"/>
        <v>3.7075140842388906E-5</v>
      </c>
    </row>
    <row r="501" spans="2:27" x14ac:dyDescent="0.3">
      <c r="B501" s="28">
        <v>46.3</v>
      </c>
      <c r="C501" s="28">
        <v>45.035710000000002</v>
      </c>
      <c r="D501" s="20">
        <f t="shared" si="157"/>
        <v>38.933224463145116</v>
      </c>
      <c r="E501" s="20">
        <f t="shared" si="158"/>
        <v>-4.7870399673915962</v>
      </c>
      <c r="F501" s="20">
        <f t="shared" si="159"/>
        <v>3.0583309782193355</v>
      </c>
      <c r="G501" s="20">
        <f t="shared" si="160"/>
        <v>3.0583309782193355</v>
      </c>
      <c r="H501" s="20">
        <f t="shared" si="161"/>
        <v>3.0583309782193355</v>
      </c>
      <c r="I501" s="17"/>
      <c r="J501" s="20">
        <f t="shared" si="162"/>
        <v>35.367433037140401</v>
      </c>
      <c r="K501" s="20">
        <f t="shared" si="163"/>
        <v>8.2684483151511563E-3</v>
      </c>
      <c r="L501" s="20">
        <f t="shared" si="164"/>
        <v>2.248200749012748</v>
      </c>
      <c r="M501" s="20">
        <f t="shared" si="165"/>
        <v>2.248200749012748</v>
      </c>
      <c r="N501" s="20">
        <f t="shared" si="166"/>
        <v>2.248200749012748</v>
      </c>
      <c r="O501" s="17"/>
      <c r="P501" s="20">
        <f t="shared" si="167"/>
        <v>14.759275683854625</v>
      </c>
      <c r="Q501" s="20">
        <f t="shared" si="168"/>
        <v>37.35429042798544</v>
      </c>
      <c r="R501" s="20">
        <f t="shared" si="169"/>
        <v>0</v>
      </c>
      <c r="S501" s="20">
        <f t="shared" si="170"/>
        <v>0</v>
      </c>
      <c r="T501" s="20">
        <f t="shared" si="171"/>
        <v>0</v>
      </c>
      <c r="U501" s="17"/>
      <c r="V501" s="20">
        <f t="shared" si="172"/>
        <v>52.113566111840065</v>
      </c>
      <c r="W501" s="17"/>
      <c r="X501" s="20">
        <f t="shared" si="173"/>
        <v>50.09604713991174</v>
      </c>
      <c r="Y501" s="20">
        <f t="shared" si="174"/>
        <v>7.0778561118400631</v>
      </c>
      <c r="Z501" s="20"/>
      <c r="AA501" s="20">
        <f t="shared" si="175"/>
        <v>4.6257999082965746E-5</v>
      </c>
    </row>
    <row r="502" spans="2:27" x14ac:dyDescent="0.3">
      <c r="B502" s="28">
        <v>46.4</v>
      </c>
      <c r="C502" s="28">
        <v>58.785710000000002</v>
      </c>
      <c r="D502" s="20">
        <f t="shared" si="157"/>
        <v>39.00840264344378</v>
      </c>
      <c r="E502" s="20">
        <f t="shared" si="158"/>
        <v>-4.7819933450446381</v>
      </c>
      <c r="F502" s="20">
        <f t="shared" si="159"/>
        <v>3.0694420893304466</v>
      </c>
      <c r="G502" s="20">
        <f t="shared" si="160"/>
        <v>3.0694420893304466</v>
      </c>
      <c r="H502" s="20">
        <f t="shared" si="161"/>
        <v>3.0694420893304466</v>
      </c>
      <c r="I502" s="17"/>
      <c r="J502" s="20">
        <f t="shared" si="162"/>
        <v>35.440546108445119</v>
      </c>
      <c r="K502" s="20">
        <f t="shared" si="163"/>
        <v>8.3099367472043439E-3</v>
      </c>
      <c r="L502" s="20">
        <f t="shared" si="164"/>
        <v>2.2558952073958878</v>
      </c>
      <c r="M502" s="20">
        <f t="shared" si="165"/>
        <v>2.2558952073958878</v>
      </c>
      <c r="N502" s="20">
        <f t="shared" si="166"/>
        <v>2.2558952073958878</v>
      </c>
      <c r="O502" s="17"/>
      <c r="P502" s="20">
        <f t="shared" si="167"/>
        <v>14.699276202619746</v>
      </c>
      <c r="Q502" s="20">
        <f t="shared" si="168"/>
        <v>37.166264985534752</v>
      </c>
      <c r="R502" s="20">
        <f t="shared" si="169"/>
        <v>0</v>
      </c>
      <c r="S502" s="20">
        <f t="shared" si="170"/>
        <v>0</v>
      </c>
      <c r="T502" s="20">
        <f t="shared" si="171"/>
        <v>0</v>
      </c>
      <c r="U502" s="17"/>
      <c r="V502" s="20">
        <f t="shared" si="172"/>
        <v>51.865541188154495</v>
      </c>
      <c r="W502" s="17"/>
      <c r="X502" s="20">
        <f t="shared" si="173"/>
        <v>47.888736384439255</v>
      </c>
      <c r="Y502" s="20">
        <f t="shared" si="174"/>
        <v>6.9201688118455067</v>
      </c>
      <c r="Z502" s="20"/>
      <c r="AA502" s="20">
        <f t="shared" si="175"/>
        <v>4.5227418796607364E-5</v>
      </c>
    </row>
    <row r="503" spans="2:27" x14ac:dyDescent="0.3">
      <c r="B503" s="28">
        <v>46.5</v>
      </c>
      <c r="C503" s="28">
        <v>61.535710000000002</v>
      </c>
      <c r="D503" s="20">
        <f t="shared" si="157"/>
        <v>39.083580823742437</v>
      </c>
      <c r="E503" s="20">
        <f t="shared" si="158"/>
        <v>-4.7769467226976783</v>
      </c>
      <c r="F503" s="20">
        <f t="shared" si="159"/>
        <v>3.0805532004415586</v>
      </c>
      <c r="G503" s="20">
        <f t="shared" si="160"/>
        <v>3.0805532004415586</v>
      </c>
      <c r="H503" s="20">
        <f t="shared" si="161"/>
        <v>3.0805532004415586</v>
      </c>
      <c r="I503" s="17"/>
      <c r="J503" s="20">
        <f t="shared" si="162"/>
        <v>35.51366331908158</v>
      </c>
      <c r="K503" s="20">
        <f t="shared" si="163"/>
        <v>8.3516316307479469E-3</v>
      </c>
      <c r="L503" s="20">
        <f t="shared" si="164"/>
        <v>2.2635977348434646</v>
      </c>
      <c r="M503" s="20">
        <f t="shared" si="165"/>
        <v>2.2635977348434646</v>
      </c>
      <c r="N503" s="20">
        <f t="shared" si="166"/>
        <v>2.2635977348434646</v>
      </c>
      <c r="O503" s="17"/>
      <c r="P503" s="20">
        <f t="shared" si="167"/>
        <v>14.639638501862244</v>
      </c>
      <c r="Q503" s="20">
        <f t="shared" si="168"/>
        <v>36.979186108182468</v>
      </c>
      <c r="R503" s="20">
        <f t="shared" si="169"/>
        <v>0</v>
      </c>
      <c r="S503" s="20">
        <f t="shared" si="170"/>
        <v>0</v>
      </c>
      <c r="T503" s="20">
        <f t="shared" si="171"/>
        <v>0</v>
      </c>
      <c r="U503" s="17"/>
      <c r="V503" s="20">
        <f t="shared" si="172"/>
        <v>51.618824610044712</v>
      </c>
      <c r="W503" s="17"/>
      <c r="X503" s="20">
        <f t="shared" si="173"/>
        <v>98.344615837508684</v>
      </c>
      <c r="Y503" s="20">
        <f t="shared" si="174"/>
        <v>9.91688538995529</v>
      </c>
      <c r="Z503" s="20"/>
      <c r="AA503" s="20">
        <f t="shared" si="175"/>
        <v>6.4812743862797831E-5</v>
      </c>
    </row>
    <row r="504" spans="2:27" x14ac:dyDescent="0.3">
      <c r="B504" s="28">
        <v>46.6</v>
      </c>
      <c r="C504" s="28">
        <v>48.535710000000002</v>
      </c>
      <c r="D504" s="20">
        <f t="shared" si="157"/>
        <v>39.158759004041102</v>
      </c>
      <c r="E504" s="20">
        <f t="shared" si="158"/>
        <v>-4.7719001003507193</v>
      </c>
      <c r="F504" s="20">
        <f t="shared" si="159"/>
        <v>3.0916643115526696</v>
      </c>
      <c r="G504" s="20">
        <f t="shared" si="160"/>
        <v>3.0916643115526696</v>
      </c>
      <c r="H504" s="20">
        <f t="shared" si="161"/>
        <v>3.0916643115526696</v>
      </c>
      <c r="I504" s="17"/>
      <c r="J504" s="20">
        <f t="shared" si="162"/>
        <v>35.586784652721612</v>
      </c>
      <c r="K504" s="20">
        <f t="shared" si="163"/>
        <v>8.3935339759090635E-3</v>
      </c>
      <c r="L504" s="20">
        <f t="shared" si="164"/>
        <v>2.2713083017144058</v>
      </c>
      <c r="M504" s="20">
        <f t="shared" si="165"/>
        <v>2.2713083017144058</v>
      </c>
      <c r="N504" s="20">
        <f t="shared" si="166"/>
        <v>2.2713083017144058</v>
      </c>
      <c r="O504" s="17"/>
      <c r="P504" s="20">
        <f t="shared" si="167"/>
        <v>14.580359698903333</v>
      </c>
      <c r="Q504" s="20">
        <f t="shared" si="168"/>
        <v>36.793049031298636</v>
      </c>
      <c r="R504" s="20">
        <f t="shared" si="169"/>
        <v>0</v>
      </c>
      <c r="S504" s="20">
        <f t="shared" si="170"/>
        <v>0</v>
      </c>
      <c r="T504" s="20">
        <f t="shared" si="171"/>
        <v>0</v>
      </c>
      <c r="U504" s="17"/>
      <c r="V504" s="20">
        <f t="shared" si="172"/>
        <v>51.373408730201973</v>
      </c>
      <c r="W504" s="17"/>
      <c r="X504" s="20">
        <f t="shared" si="173"/>
        <v>8.0525340833898813</v>
      </c>
      <c r="Y504" s="20">
        <f t="shared" si="174"/>
        <v>2.8376987302019714</v>
      </c>
      <c r="Z504" s="20"/>
      <c r="AA504" s="20">
        <f t="shared" si="175"/>
        <v>1.8546048857906204E-5</v>
      </c>
    </row>
    <row r="505" spans="2:27" x14ac:dyDescent="0.3">
      <c r="B505" s="28">
        <v>46.7</v>
      </c>
      <c r="C505" s="28">
        <v>51.035710000000002</v>
      </c>
      <c r="D505" s="20">
        <f t="shared" si="157"/>
        <v>39.233937184339759</v>
      </c>
      <c r="E505" s="20">
        <f t="shared" si="158"/>
        <v>-4.7668534780037595</v>
      </c>
      <c r="F505" s="20">
        <f t="shared" si="159"/>
        <v>3.1027754226637816</v>
      </c>
      <c r="G505" s="20">
        <f t="shared" si="160"/>
        <v>3.1027754226637816</v>
      </c>
      <c r="H505" s="20">
        <f t="shared" si="161"/>
        <v>3.1027754226637816</v>
      </c>
      <c r="I505" s="17"/>
      <c r="J505" s="20">
        <f t="shared" si="162"/>
        <v>35.659910093132495</v>
      </c>
      <c r="K505" s="20">
        <f t="shared" si="163"/>
        <v>8.4356447975863294E-3</v>
      </c>
      <c r="L505" s="20">
        <f t="shared" si="164"/>
        <v>2.2790268784869276</v>
      </c>
      <c r="M505" s="20">
        <f t="shared" si="165"/>
        <v>2.2790268784869276</v>
      </c>
      <c r="N505" s="20">
        <f t="shared" si="166"/>
        <v>2.2790268784869276</v>
      </c>
      <c r="O505" s="17"/>
      <c r="P505" s="20">
        <f t="shared" si="167"/>
        <v>14.521436939558873</v>
      </c>
      <c r="Q505" s="20">
        <f t="shared" si="168"/>
        <v>36.607849014239157</v>
      </c>
      <c r="R505" s="20">
        <f t="shared" si="169"/>
        <v>0</v>
      </c>
      <c r="S505" s="20">
        <f t="shared" si="170"/>
        <v>0</v>
      </c>
      <c r="T505" s="20">
        <f t="shared" si="171"/>
        <v>0</v>
      </c>
      <c r="U505" s="17"/>
      <c r="V505" s="20">
        <f t="shared" si="172"/>
        <v>51.129285953798032</v>
      </c>
      <c r="W505" s="17"/>
      <c r="X505" s="20">
        <f t="shared" si="173"/>
        <v>8.7564591292111013E-3</v>
      </c>
      <c r="Y505" s="20">
        <f t="shared" si="174"/>
        <v>9.3575953798030298E-2</v>
      </c>
      <c r="Z505" s="20"/>
      <c r="AA505" s="20">
        <f t="shared" si="175"/>
        <v>6.1157451021586176E-7</v>
      </c>
    </row>
    <row r="506" spans="2:27" x14ac:dyDescent="0.3">
      <c r="B506" s="28">
        <v>46.8</v>
      </c>
      <c r="C506" s="28">
        <v>41.785710000000002</v>
      </c>
      <c r="D506" s="20">
        <f t="shared" si="157"/>
        <v>39.309115364638416</v>
      </c>
      <c r="E506" s="20">
        <f t="shared" si="158"/>
        <v>-4.7618068556568005</v>
      </c>
      <c r="F506" s="20">
        <f t="shared" si="159"/>
        <v>3.1138865337748909</v>
      </c>
      <c r="G506" s="20">
        <f t="shared" si="160"/>
        <v>3.1138865337748909</v>
      </c>
      <c r="H506" s="20">
        <f t="shared" si="161"/>
        <v>3.1138865337748909</v>
      </c>
      <c r="I506" s="17"/>
      <c r="J506" s="20">
        <f t="shared" si="162"/>
        <v>35.733039624176286</v>
      </c>
      <c r="K506" s="20">
        <f t="shared" si="163"/>
        <v>8.477965115470696E-3</v>
      </c>
      <c r="L506" s="20">
        <f t="shared" si="164"/>
        <v>2.2867534357582513</v>
      </c>
      <c r="M506" s="20">
        <f t="shared" si="165"/>
        <v>2.2867534357582513</v>
      </c>
      <c r="N506" s="20">
        <f t="shared" si="166"/>
        <v>2.2867534357582513</v>
      </c>
      <c r="O506" s="17"/>
      <c r="P506" s="20">
        <f t="shared" si="167"/>
        <v>14.462867397803585</v>
      </c>
      <c r="Q506" s="20">
        <f t="shared" si="168"/>
        <v>36.423581340225354</v>
      </c>
      <c r="R506" s="20">
        <f t="shared" si="169"/>
        <v>0</v>
      </c>
      <c r="S506" s="20">
        <f t="shared" si="170"/>
        <v>0</v>
      </c>
      <c r="T506" s="20">
        <f t="shared" si="171"/>
        <v>0</v>
      </c>
      <c r="U506" s="17"/>
      <c r="V506" s="20">
        <f t="shared" si="172"/>
        <v>50.886448738028939</v>
      </c>
      <c r="W506" s="17"/>
      <c r="X506" s="20">
        <f t="shared" si="173"/>
        <v>82.823445577860539</v>
      </c>
      <c r="Y506" s="20">
        <f t="shared" si="174"/>
        <v>9.1007387380289373</v>
      </c>
      <c r="Z506" s="20"/>
      <c r="AA506" s="20">
        <f t="shared" si="175"/>
        <v>5.9478740108013973E-5</v>
      </c>
    </row>
    <row r="507" spans="2:27" x14ac:dyDescent="0.3">
      <c r="B507" s="28">
        <v>46.9</v>
      </c>
      <c r="C507" s="28">
        <v>70.785709999999995</v>
      </c>
      <c r="D507" s="20">
        <f t="shared" si="157"/>
        <v>39.384293544937073</v>
      </c>
      <c r="E507" s="20">
        <f t="shared" si="158"/>
        <v>-4.7567602333098424</v>
      </c>
      <c r="F507" s="20">
        <f t="shared" si="159"/>
        <v>3.1249976448860028</v>
      </c>
      <c r="G507" s="20">
        <f t="shared" si="160"/>
        <v>3.1249976448860028</v>
      </c>
      <c r="H507" s="20">
        <f t="shared" si="161"/>
        <v>3.1249976448860028</v>
      </c>
      <c r="I507" s="17"/>
      <c r="J507" s="20">
        <f t="shared" si="162"/>
        <v>35.806173229809055</v>
      </c>
      <c r="K507" s="20">
        <f t="shared" si="163"/>
        <v>8.5204959540663965E-3</v>
      </c>
      <c r="L507" s="20">
        <f t="shared" si="164"/>
        <v>2.2944879442443367</v>
      </c>
      <c r="M507" s="20">
        <f t="shared" si="165"/>
        <v>2.2944879442443367</v>
      </c>
      <c r="N507" s="20">
        <f t="shared" si="166"/>
        <v>2.2944879442443367</v>
      </c>
      <c r="O507" s="17"/>
      <c r="P507" s="20">
        <f t="shared" si="167"/>
        <v>14.404648275439913</v>
      </c>
      <c r="Q507" s="20">
        <f t="shared" si="168"/>
        <v>36.24024131622356</v>
      </c>
      <c r="R507" s="20">
        <f t="shared" si="169"/>
        <v>0</v>
      </c>
      <c r="S507" s="20">
        <f t="shared" si="170"/>
        <v>0</v>
      </c>
      <c r="T507" s="20">
        <f t="shared" si="171"/>
        <v>0</v>
      </c>
      <c r="U507" s="17"/>
      <c r="V507" s="20">
        <f t="shared" si="172"/>
        <v>50.644889591663471</v>
      </c>
      <c r="W507" s="17"/>
      <c r="X507" s="20">
        <f t="shared" si="173"/>
        <v>405.65264672086499</v>
      </c>
      <c r="Y507" s="20">
        <f t="shared" si="174"/>
        <v>20.140820408336523</v>
      </c>
      <c r="Z507" s="20"/>
      <c r="AA507" s="20">
        <f t="shared" si="175"/>
        <v>1.316322396580618E-4</v>
      </c>
    </row>
    <row r="508" spans="2:27" x14ac:dyDescent="0.3">
      <c r="B508" s="28">
        <v>47</v>
      </c>
      <c r="C508" s="28">
        <v>56.035710000000002</v>
      </c>
      <c r="D508" s="20">
        <f t="shared" si="157"/>
        <v>39.459471725235737</v>
      </c>
      <c r="E508" s="20">
        <f t="shared" si="158"/>
        <v>-4.7517136109628826</v>
      </c>
      <c r="F508" s="20">
        <f t="shared" si="159"/>
        <v>3.1361087559971139</v>
      </c>
      <c r="G508" s="20">
        <f t="shared" si="160"/>
        <v>3.1361087559971139</v>
      </c>
      <c r="H508" s="20">
        <f t="shared" si="161"/>
        <v>3.1361087559971139</v>
      </c>
      <c r="I508" s="17"/>
      <c r="J508" s="20">
        <f t="shared" si="162"/>
        <v>35.879310894080184</v>
      </c>
      <c r="K508" s="20">
        <f t="shared" si="163"/>
        <v>8.5632383427119464E-3</v>
      </c>
      <c r="L508" s="20">
        <f t="shared" si="164"/>
        <v>2.3022303747795831</v>
      </c>
      <c r="M508" s="20">
        <f t="shared" si="165"/>
        <v>2.3022303747795831</v>
      </c>
      <c r="N508" s="20">
        <f t="shared" si="166"/>
        <v>2.3022303747795831</v>
      </c>
      <c r="O508" s="17"/>
      <c r="P508" s="20">
        <f t="shared" si="167"/>
        <v>14.34677680177138</v>
      </c>
      <c r="Q508" s="20">
        <f t="shared" si="168"/>
        <v>36.057824272825648</v>
      </c>
      <c r="R508" s="20">
        <f t="shared" si="169"/>
        <v>0</v>
      </c>
      <c r="S508" s="20">
        <f t="shared" si="170"/>
        <v>0</v>
      </c>
      <c r="T508" s="20">
        <f t="shared" si="171"/>
        <v>0</v>
      </c>
      <c r="U508" s="17"/>
      <c r="V508" s="20">
        <f t="shared" si="172"/>
        <v>50.404601074597025</v>
      </c>
      <c r="W508" s="17"/>
      <c r="X508" s="20">
        <f t="shared" si="173"/>
        <v>31.709387729753068</v>
      </c>
      <c r="Y508" s="20">
        <f t="shared" si="174"/>
        <v>5.6311089254029767</v>
      </c>
      <c r="Z508" s="20"/>
      <c r="AA508" s="20">
        <f t="shared" si="175"/>
        <v>3.6802645799993795E-5</v>
      </c>
    </row>
    <row r="509" spans="2:27" x14ac:dyDescent="0.3">
      <c r="B509" s="28">
        <v>47.1</v>
      </c>
      <c r="C509" s="28">
        <v>54.035710000000002</v>
      </c>
      <c r="D509" s="20">
        <f t="shared" si="157"/>
        <v>39.534649905534394</v>
      </c>
      <c r="E509" s="20">
        <f t="shared" si="158"/>
        <v>-4.7466669886159227</v>
      </c>
      <c r="F509" s="20">
        <f t="shared" si="159"/>
        <v>3.147219867108225</v>
      </c>
      <c r="G509" s="20">
        <f t="shared" si="160"/>
        <v>3.147219867108225</v>
      </c>
      <c r="H509" s="20">
        <f t="shared" si="161"/>
        <v>3.147219867108225</v>
      </c>
      <c r="I509" s="17"/>
      <c r="J509" s="20">
        <f t="shared" si="162"/>
        <v>35.952452601131618</v>
      </c>
      <c r="K509" s="20">
        <f t="shared" si="163"/>
        <v>8.6061933156011509E-3</v>
      </c>
      <c r="L509" s="20">
        <f t="shared" si="164"/>
        <v>2.3099806983165521</v>
      </c>
      <c r="M509" s="20">
        <f t="shared" si="165"/>
        <v>2.3099806983165521</v>
      </c>
      <c r="N509" s="20">
        <f t="shared" si="166"/>
        <v>2.3099806983165521</v>
      </c>
      <c r="O509" s="17"/>
      <c r="P509" s="20">
        <f t="shared" si="167"/>
        <v>14.289250233280406</v>
      </c>
      <c r="Q509" s="20">
        <f t="shared" si="168"/>
        <v>35.876325564130333</v>
      </c>
      <c r="R509" s="20">
        <f t="shared" si="169"/>
        <v>0</v>
      </c>
      <c r="S509" s="20">
        <f t="shared" si="170"/>
        <v>0</v>
      </c>
      <c r="T509" s="20">
        <f t="shared" si="171"/>
        <v>0</v>
      </c>
      <c r="U509" s="17"/>
      <c r="V509" s="20">
        <f t="shared" si="172"/>
        <v>50.165575797410739</v>
      </c>
      <c r="W509" s="17"/>
      <c r="X509" s="20">
        <f t="shared" si="173"/>
        <v>14.97793874605123</v>
      </c>
      <c r="Y509" s="20">
        <f t="shared" si="174"/>
        <v>3.8701342025892629</v>
      </c>
      <c r="Z509" s="20"/>
      <c r="AA509" s="20">
        <f t="shared" si="175"/>
        <v>2.5293628687202375E-5</v>
      </c>
    </row>
    <row r="510" spans="2:27" x14ac:dyDescent="0.3">
      <c r="B510" s="28">
        <v>47.2</v>
      </c>
      <c r="C510" s="28">
        <v>28.535710000000002</v>
      </c>
      <c r="D510" s="20">
        <f t="shared" si="157"/>
        <v>39.609828085833058</v>
      </c>
      <c r="E510" s="20">
        <f t="shared" si="158"/>
        <v>-4.7416203662689638</v>
      </c>
      <c r="F510" s="20">
        <f t="shared" si="159"/>
        <v>3.1583309782193369</v>
      </c>
      <c r="G510" s="20">
        <f t="shared" si="160"/>
        <v>3.1583309782193369</v>
      </c>
      <c r="H510" s="20">
        <f t="shared" si="161"/>
        <v>3.1583309782193369</v>
      </c>
      <c r="I510" s="17"/>
      <c r="J510" s="20">
        <f t="shared" si="162"/>
        <v>36.025598335197202</v>
      </c>
      <c r="K510" s="20">
        <f t="shared" si="163"/>
        <v>8.6493619118042948E-3</v>
      </c>
      <c r="L510" s="20">
        <f t="shared" si="164"/>
        <v>2.3177388859256745</v>
      </c>
      <c r="M510" s="20">
        <f t="shared" si="165"/>
        <v>2.3177388859256745</v>
      </c>
      <c r="N510" s="20">
        <f t="shared" si="166"/>
        <v>2.3177388859256745</v>
      </c>
      <c r="O510" s="17"/>
      <c r="P510" s="20">
        <f t="shared" si="167"/>
        <v>14.23206585331047</v>
      </c>
      <c r="Q510" s="20">
        <f t="shared" si="168"/>
        <v>35.695740567624604</v>
      </c>
      <c r="R510" s="20">
        <f t="shared" si="169"/>
        <v>0</v>
      </c>
      <c r="S510" s="20">
        <f t="shared" si="170"/>
        <v>0</v>
      </c>
      <c r="T510" s="20">
        <f t="shared" si="171"/>
        <v>0</v>
      </c>
      <c r="U510" s="17"/>
      <c r="V510" s="20">
        <f t="shared" si="172"/>
        <v>49.92780642093507</v>
      </c>
      <c r="W510" s="17"/>
      <c r="X510" s="20">
        <f t="shared" si="173"/>
        <v>457.62178928258299</v>
      </c>
      <c r="Y510" s="20">
        <f t="shared" si="174"/>
        <v>21.392096420935069</v>
      </c>
      <c r="Z510" s="20"/>
      <c r="AA510" s="20">
        <f t="shared" si="175"/>
        <v>1.3981007256801521E-4</v>
      </c>
    </row>
    <row r="511" spans="2:27" x14ac:dyDescent="0.3">
      <c r="B511" s="28">
        <v>47.3</v>
      </c>
      <c r="C511" s="28">
        <v>44.785710000000002</v>
      </c>
      <c r="D511" s="20">
        <f t="shared" si="157"/>
        <v>39.685006266131715</v>
      </c>
      <c r="E511" s="20">
        <f t="shared" si="158"/>
        <v>-4.7365737439220048</v>
      </c>
      <c r="F511" s="20">
        <f t="shared" si="159"/>
        <v>3.1694420893304462</v>
      </c>
      <c r="G511" s="20">
        <f t="shared" si="160"/>
        <v>3.1694420893304462</v>
      </c>
      <c r="H511" s="20">
        <f t="shared" si="161"/>
        <v>3.1694420893304462</v>
      </c>
      <c r="I511" s="17"/>
      <c r="J511" s="20">
        <f t="shared" si="162"/>
        <v>36.098748080601922</v>
      </c>
      <c r="K511" s="20">
        <f t="shared" si="163"/>
        <v>8.6927451752893611E-3</v>
      </c>
      <c r="L511" s="20">
        <f t="shared" si="164"/>
        <v>2.3255049087949509</v>
      </c>
      <c r="M511" s="20">
        <f t="shared" si="165"/>
        <v>2.3255049087949509</v>
      </c>
      <c r="N511" s="20">
        <f t="shared" si="166"/>
        <v>2.3255049087949509</v>
      </c>
      <c r="O511" s="17"/>
      <c r="P511" s="20">
        <f t="shared" si="167"/>
        <v>14.175220971752619</v>
      </c>
      <c r="Q511" s="20">
        <f t="shared" si="168"/>
        <v>35.51606468406608</v>
      </c>
      <c r="R511" s="20">
        <f t="shared" si="169"/>
        <v>0</v>
      </c>
      <c r="S511" s="20">
        <f t="shared" si="170"/>
        <v>0</v>
      </c>
      <c r="T511" s="20">
        <f t="shared" si="171"/>
        <v>0</v>
      </c>
      <c r="U511" s="17"/>
      <c r="V511" s="20">
        <f t="shared" si="172"/>
        <v>49.691285655818703</v>
      </c>
      <c r="W511" s="17"/>
      <c r="X511" s="20">
        <f t="shared" si="173"/>
        <v>24.064672514961082</v>
      </c>
      <c r="Y511" s="20">
        <f t="shared" si="174"/>
        <v>4.9055756558187014</v>
      </c>
      <c r="Z511" s="20"/>
      <c r="AA511" s="20">
        <f t="shared" si="175"/>
        <v>3.2060854389039926E-5</v>
      </c>
    </row>
    <row r="512" spans="2:27" x14ac:dyDescent="0.3">
      <c r="B512" s="28">
        <v>47.4</v>
      </c>
      <c r="C512" s="28">
        <v>76.285709999999995</v>
      </c>
      <c r="D512" s="20">
        <f t="shared" si="157"/>
        <v>39.760184446430372</v>
      </c>
      <c r="E512" s="20">
        <f t="shared" si="158"/>
        <v>-4.7315271215750458</v>
      </c>
      <c r="F512" s="20">
        <f t="shared" si="159"/>
        <v>3.1805532004415582</v>
      </c>
      <c r="G512" s="20">
        <f t="shared" si="160"/>
        <v>3.1805532004415582</v>
      </c>
      <c r="H512" s="20">
        <f t="shared" si="161"/>
        <v>3.1805532004415582</v>
      </c>
      <c r="I512" s="17"/>
      <c r="J512" s="20">
        <f t="shared" si="162"/>
        <v>36.171901821761253</v>
      </c>
      <c r="K512" s="20">
        <f t="shared" si="163"/>
        <v>8.7363441549433117E-3</v>
      </c>
      <c r="L512" s="20">
        <f t="shared" si="164"/>
        <v>2.3332787382296627</v>
      </c>
      <c r="M512" s="20">
        <f t="shared" si="165"/>
        <v>2.3332787382296627</v>
      </c>
      <c r="N512" s="20">
        <f t="shared" si="166"/>
        <v>2.3332787382296627</v>
      </c>
      <c r="O512" s="17"/>
      <c r="P512" s="20">
        <f t="shared" si="167"/>
        <v>14.118712924736204</v>
      </c>
      <c r="Q512" s="20">
        <f t="shared" si="168"/>
        <v>35.337293337365821</v>
      </c>
      <c r="R512" s="20">
        <f t="shared" si="169"/>
        <v>0</v>
      </c>
      <c r="S512" s="20">
        <f t="shared" si="170"/>
        <v>0</v>
      </c>
      <c r="T512" s="20">
        <f t="shared" si="171"/>
        <v>0</v>
      </c>
      <c r="U512" s="17"/>
      <c r="V512" s="20">
        <f t="shared" si="172"/>
        <v>49.456006262102022</v>
      </c>
      <c r="W512" s="17"/>
      <c r="X512" s="20">
        <f t="shared" si="173"/>
        <v>719.83300266337642</v>
      </c>
      <c r="Y512" s="20">
        <f t="shared" si="174"/>
        <v>26.829703737897972</v>
      </c>
      <c r="Z512" s="20"/>
      <c r="AA512" s="20">
        <f t="shared" si="175"/>
        <v>1.7534807027622316E-4</v>
      </c>
    </row>
    <row r="513" spans="2:27" x14ac:dyDescent="0.3">
      <c r="B513" s="28">
        <v>47.5</v>
      </c>
      <c r="C513" s="28">
        <v>59.285710000000002</v>
      </c>
      <c r="D513" s="20">
        <f t="shared" si="157"/>
        <v>39.835362626729037</v>
      </c>
      <c r="E513" s="20">
        <f t="shared" si="158"/>
        <v>-4.7264804992280869</v>
      </c>
      <c r="F513" s="20">
        <f t="shared" si="159"/>
        <v>3.1916643115526693</v>
      </c>
      <c r="G513" s="20">
        <f t="shared" si="160"/>
        <v>3.1916643115526693</v>
      </c>
      <c r="H513" s="20">
        <f t="shared" si="161"/>
        <v>3.1916643115526693</v>
      </c>
      <c r="I513" s="17"/>
      <c r="J513" s="20">
        <f t="shared" si="162"/>
        <v>36.24505954318046</v>
      </c>
      <c r="K513" s="20">
        <f t="shared" si="163"/>
        <v>8.7801599045934514E-3</v>
      </c>
      <c r="L513" s="20">
        <f t="shared" si="164"/>
        <v>2.34106034565206</v>
      </c>
      <c r="M513" s="20">
        <f t="shared" si="165"/>
        <v>2.34106034565206</v>
      </c>
      <c r="N513" s="20">
        <f t="shared" si="166"/>
        <v>2.34106034565206</v>
      </c>
      <c r="O513" s="17"/>
      <c r="P513" s="20">
        <f t="shared" si="167"/>
        <v>14.06253907432378</v>
      </c>
      <c r="Q513" s="20">
        <f t="shared" si="168"/>
        <v>35.159421974471847</v>
      </c>
      <c r="R513" s="20">
        <f t="shared" si="169"/>
        <v>0</v>
      </c>
      <c r="S513" s="20">
        <f t="shared" si="170"/>
        <v>0</v>
      </c>
      <c r="T513" s="20">
        <f t="shared" si="171"/>
        <v>0</v>
      </c>
      <c r="U513" s="17"/>
      <c r="V513" s="20">
        <f t="shared" si="172"/>
        <v>49.221961048795627</v>
      </c>
      <c r="W513" s="17"/>
      <c r="X513" s="20">
        <f t="shared" si="173"/>
        <v>101.27904295286714</v>
      </c>
      <c r="Y513" s="20">
        <f t="shared" si="174"/>
        <v>10.063748951204374</v>
      </c>
      <c r="Z513" s="20"/>
      <c r="AA513" s="20">
        <f t="shared" si="175"/>
        <v>6.5772584579284942E-5</v>
      </c>
    </row>
    <row r="514" spans="2:27" x14ac:dyDescent="0.3">
      <c r="B514" s="28">
        <v>47.6</v>
      </c>
      <c r="C514" s="28">
        <v>59.285710000000002</v>
      </c>
      <c r="D514" s="20">
        <f t="shared" si="157"/>
        <v>39.910540807027694</v>
      </c>
      <c r="E514" s="20">
        <f t="shared" si="158"/>
        <v>-4.721433876881127</v>
      </c>
      <c r="F514" s="20">
        <f t="shared" si="159"/>
        <v>3.2027754226637812</v>
      </c>
      <c r="G514" s="20">
        <f t="shared" si="160"/>
        <v>3.2027754226637812</v>
      </c>
      <c r="H514" s="20">
        <f t="shared" si="161"/>
        <v>3.2027754226637812</v>
      </c>
      <c r="I514" s="17"/>
      <c r="J514" s="20">
        <f t="shared" si="162"/>
        <v>36.318221229453883</v>
      </c>
      <c r="K514" s="20">
        <f t="shared" si="163"/>
        <v>8.8241934830288766E-3</v>
      </c>
      <c r="L514" s="20">
        <f t="shared" si="164"/>
        <v>2.348849702601064</v>
      </c>
      <c r="M514" s="20">
        <f t="shared" si="165"/>
        <v>2.348849702601064</v>
      </c>
      <c r="N514" s="20">
        <f t="shared" si="166"/>
        <v>2.348849702601064</v>
      </c>
      <c r="O514" s="17"/>
      <c r="P514" s="20">
        <f t="shared" si="167"/>
        <v>14.006696808210171</v>
      </c>
      <c r="Q514" s="20">
        <f t="shared" si="168"/>
        <v>34.982446065253157</v>
      </c>
      <c r="R514" s="20">
        <f t="shared" si="169"/>
        <v>0</v>
      </c>
      <c r="S514" s="20">
        <f t="shared" si="170"/>
        <v>0</v>
      </c>
      <c r="T514" s="20">
        <f t="shared" si="171"/>
        <v>0</v>
      </c>
      <c r="U514" s="17"/>
      <c r="V514" s="20">
        <f t="shared" si="172"/>
        <v>48.989142873463329</v>
      </c>
      <c r="W514" s="17"/>
      <c r="X514" s="20">
        <f t="shared" si="173"/>
        <v>106.01929459127567</v>
      </c>
      <c r="Y514" s="20">
        <f t="shared" si="174"/>
        <v>10.296567126536672</v>
      </c>
      <c r="Z514" s="20"/>
      <c r="AA514" s="20">
        <f t="shared" si="175"/>
        <v>6.7294189818335119E-5</v>
      </c>
    </row>
    <row r="515" spans="2:27" x14ac:dyDescent="0.3">
      <c r="B515" s="28">
        <v>47.7</v>
      </c>
      <c r="C515" s="28">
        <v>54.535710000000002</v>
      </c>
      <c r="D515" s="20">
        <f t="shared" si="157"/>
        <v>39.985718987326358</v>
      </c>
      <c r="E515" s="20">
        <f t="shared" si="158"/>
        <v>-4.7163872545341681</v>
      </c>
      <c r="F515" s="20">
        <f t="shared" si="159"/>
        <v>3.2138865337748923</v>
      </c>
      <c r="G515" s="20">
        <f t="shared" si="160"/>
        <v>3.2138865337748923</v>
      </c>
      <c r="H515" s="20">
        <f t="shared" si="161"/>
        <v>3.2138865337748923</v>
      </c>
      <c r="I515" s="17"/>
      <c r="J515" s="20">
        <f t="shared" si="162"/>
        <v>36.391386865264323</v>
      </c>
      <c r="K515" s="20">
        <f t="shared" si="163"/>
        <v>8.8684459540219664E-3</v>
      </c>
      <c r="L515" s="20">
        <f t="shared" si="164"/>
        <v>2.3566467807319524</v>
      </c>
      <c r="M515" s="20">
        <f t="shared" si="165"/>
        <v>2.3566467807319524</v>
      </c>
      <c r="N515" s="20">
        <f t="shared" si="166"/>
        <v>2.3566467807319524</v>
      </c>
      <c r="O515" s="17"/>
      <c r="P515" s="20">
        <f t="shared" si="167"/>
        <v>13.951183539425488</v>
      </c>
      <c r="Q515" s="20">
        <f t="shared" si="168"/>
        <v>34.806361102384393</v>
      </c>
      <c r="R515" s="20">
        <f t="shared" si="169"/>
        <v>0</v>
      </c>
      <c r="S515" s="20">
        <f t="shared" si="170"/>
        <v>0</v>
      </c>
      <c r="T515" s="20">
        <f t="shared" si="171"/>
        <v>0</v>
      </c>
      <c r="U515" s="17"/>
      <c r="V515" s="20">
        <f t="shared" si="172"/>
        <v>48.757544641809879</v>
      </c>
      <c r="W515" s="17"/>
      <c r="X515" s="20">
        <f t="shared" si="173"/>
        <v>33.387194906588384</v>
      </c>
      <c r="Y515" s="20">
        <f t="shared" si="174"/>
        <v>5.7781653581901224</v>
      </c>
      <c r="Z515" s="20"/>
      <c r="AA515" s="20">
        <f t="shared" si="175"/>
        <v>3.7763747046688044E-5</v>
      </c>
    </row>
    <row r="516" spans="2:27" x14ac:dyDescent="0.3">
      <c r="B516" s="28">
        <v>47.8</v>
      </c>
      <c r="C516" s="28">
        <v>58.035710000000002</v>
      </c>
      <c r="D516" s="20">
        <f t="shared" si="157"/>
        <v>40.060897167625008</v>
      </c>
      <c r="E516" s="20">
        <f t="shared" si="158"/>
        <v>-4.7113406321872091</v>
      </c>
      <c r="F516" s="20">
        <f t="shared" si="159"/>
        <v>3.2249976448860025</v>
      </c>
      <c r="G516" s="20">
        <f t="shared" si="160"/>
        <v>3.2249976448860025</v>
      </c>
      <c r="H516" s="20">
        <f t="shared" si="161"/>
        <v>3.2249976448860025</v>
      </c>
      <c r="I516" s="17"/>
      <c r="J516" s="20">
        <f t="shared" si="162"/>
        <v>36.464556435382299</v>
      </c>
      <c r="K516" s="20">
        <f t="shared" si="163"/>
        <v>8.9129183863500168E-3</v>
      </c>
      <c r="L516" s="20">
        <f t="shared" si="164"/>
        <v>2.3644515518160549</v>
      </c>
      <c r="M516" s="20">
        <f t="shared" si="165"/>
        <v>2.3644515518160549</v>
      </c>
      <c r="N516" s="20">
        <f t="shared" si="166"/>
        <v>2.3644515518160549</v>
      </c>
      <c r="O516" s="17"/>
      <c r="P516" s="20">
        <f t="shared" si="167"/>
        <v>13.895996706042268</v>
      </c>
      <c r="Q516" s="20">
        <f t="shared" si="168"/>
        <v>34.631162601230919</v>
      </c>
      <c r="R516" s="20">
        <f t="shared" si="169"/>
        <v>0</v>
      </c>
      <c r="S516" s="20">
        <f t="shared" si="170"/>
        <v>0</v>
      </c>
      <c r="T516" s="20">
        <f t="shared" si="171"/>
        <v>0</v>
      </c>
      <c r="U516" s="17"/>
      <c r="V516" s="20">
        <f t="shared" si="172"/>
        <v>48.527159307273187</v>
      </c>
      <c r="W516" s="17"/>
      <c r="X516" s="20">
        <f t="shared" si="173"/>
        <v>90.412536276155578</v>
      </c>
      <c r="Y516" s="20">
        <f t="shared" si="174"/>
        <v>9.5085506927268142</v>
      </c>
      <c r="Z516" s="20"/>
      <c r="AA516" s="20">
        <f t="shared" si="175"/>
        <v>6.2144033768742624E-5</v>
      </c>
    </row>
    <row r="517" spans="2:27" x14ac:dyDescent="0.3">
      <c r="B517" s="28">
        <v>47.9</v>
      </c>
      <c r="C517" s="28">
        <v>55.535710000000002</v>
      </c>
      <c r="D517" s="20">
        <f t="shared" si="157"/>
        <v>40.136075347923672</v>
      </c>
      <c r="E517" s="20">
        <f t="shared" si="158"/>
        <v>-4.7062940098402501</v>
      </c>
      <c r="F517" s="20">
        <f t="shared" si="159"/>
        <v>3.2361087559971136</v>
      </c>
      <c r="G517" s="20">
        <f t="shared" si="160"/>
        <v>3.2361087559971136</v>
      </c>
      <c r="H517" s="20">
        <f t="shared" si="161"/>
        <v>3.2361087559971136</v>
      </c>
      <c r="I517" s="17"/>
      <c r="J517" s="20">
        <f t="shared" si="162"/>
        <v>36.537729924665449</v>
      </c>
      <c r="K517" s="20">
        <f t="shared" si="163"/>
        <v>8.9576118538168738E-3</v>
      </c>
      <c r="L517" s="20">
        <f t="shared" si="164"/>
        <v>2.3722639877404337</v>
      </c>
      <c r="M517" s="20">
        <f t="shared" si="165"/>
        <v>2.3722639877404337</v>
      </c>
      <c r="N517" s="20">
        <f t="shared" si="166"/>
        <v>2.3722639877404337</v>
      </c>
      <c r="O517" s="17"/>
      <c r="P517" s="20">
        <f t="shared" si="167"/>
        <v>13.841133770886417</v>
      </c>
      <c r="Q517" s="20">
        <f t="shared" si="168"/>
        <v>34.456846099734726</v>
      </c>
      <c r="R517" s="20">
        <f t="shared" si="169"/>
        <v>0</v>
      </c>
      <c r="S517" s="20">
        <f t="shared" si="170"/>
        <v>0</v>
      </c>
      <c r="T517" s="20">
        <f t="shared" si="171"/>
        <v>0</v>
      </c>
      <c r="U517" s="17"/>
      <c r="V517" s="20">
        <f t="shared" si="172"/>
        <v>48.297979870621141</v>
      </c>
      <c r="W517" s="17"/>
      <c r="X517" s="20">
        <f t="shared" si="173"/>
        <v>52.384737425718534</v>
      </c>
      <c r="Y517" s="20">
        <f t="shared" si="174"/>
        <v>7.2377301293788605</v>
      </c>
      <c r="Z517" s="20"/>
      <c r="AA517" s="20">
        <f t="shared" si="175"/>
        <v>4.730287086897569E-5</v>
      </c>
    </row>
    <row r="518" spans="2:27" x14ac:dyDescent="0.3">
      <c r="B518" s="28">
        <v>48</v>
      </c>
      <c r="C518" s="28">
        <v>52.535710000000002</v>
      </c>
      <c r="D518" s="20">
        <f t="shared" si="157"/>
        <v>40.211253528222329</v>
      </c>
      <c r="E518" s="20">
        <f t="shared" si="158"/>
        <v>-4.7012473874932912</v>
      </c>
      <c r="F518" s="20">
        <f t="shared" si="159"/>
        <v>3.2472198671082255</v>
      </c>
      <c r="G518" s="20">
        <f t="shared" si="160"/>
        <v>3.2472198671082255</v>
      </c>
      <c r="H518" s="20">
        <f t="shared" si="161"/>
        <v>3.2472198671082255</v>
      </c>
      <c r="I518" s="17"/>
      <c r="J518" s="20">
        <f t="shared" si="162"/>
        <v>36.610907318057819</v>
      </c>
      <c r="K518" s="20">
        <f t="shared" si="163"/>
        <v>9.0025274352746893E-3</v>
      </c>
      <c r="L518" s="20">
        <f t="shared" si="164"/>
        <v>2.3800840605075675</v>
      </c>
      <c r="M518" s="20">
        <f t="shared" si="165"/>
        <v>2.3800840605075675</v>
      </c>
      <c r="N518" s="20">
        <f t="shared" si="166"/>
        <v>2.3800840605075675</v>
      </c>
      <c r="O518" s="17"/>
      <c r="P518" s="20">
        <f t="shared" si="167"/>
        <v>13.786592221252107</v>
      </c>
      <c r="Q518" s="20">
        <f t="shared" si="168"/>
        <v>34.28340715830069</v>
      </c>
      <c r="R518" s="20">
        <f t="shared" si="169"/>
        <v>0</v>
      </c>
      <c r="S518" s="20">
        <f t="shared" si="170"/>
        <v>0</v>
      </c>
      <c r="T518" s="20">
        <f t="shared" si="171"/>
        <v>0</v>
      </c>
      <c r="U518" s="17"/>
      <c r="V518" s="20">
        <f t="shared" si="172"/>
        <v>48.069999379552797</v>
      </c>
      <c r="W518" s="17"/>
      <c r="X518" s="20">
        <f t="shared" si="173"/>
        <v>19.942571345574954</v>
      </c>
      <c r="Y518" s="20">
        <f t="shared" si="174"/>
        <v>4.4657106204472043</v>
      </c>
      <c r="Z518" s="20"/>
      <c r="AA518" s="20">
        <f t="shared" si="175"/>
        <v>2.9186074783276846E-5</v>
      </c>
    </row>
    <row r="519" spans="2:27" x14ac:dyDescent="0.3">
      <c r="B519" s="28">
        <v>48.1</v>
      </c>
      <c r="C519" s="28">
        <v>47.285710000000002</v>
      </c>
      <c r="D519" s="20">
        <f t="shared" si="157"/>
        <v>40.286431708520993</v>
      </c>
      <c r="E519" s="20">
        <f t="shared" si="158"/>
        <v>-4.6962007651463313</v>
      </c>
      <c r="F519" s="20">
        <f t="shared" si="159"/>
        <v>3.2583309782193366</v>
      </c>
      <c r="G519" s="20">
        <f t="shared" si="160"/>
        <v>3.2583309782193366</v>
      </c>
      <c r="H519" s="20">
        <f t="shared" si="161"/>
        <v>3.2583309782193366</v>
      </c>
      <c r="I519" s="17"/>
      <c r="J519" s="20">
        <f t="shared" si="162"/>
        <v>36.684088600589256</v>
      </c>
      <c r="K519" s="20">
        <f t="shared" si="163"/>
        <v>9.0476662146457259E-3</v>
      </c>
      <c r="L519" s="20">
        <f t="shared" si="164"/>
        <v>2.3879117422350293</v>
      </c>
      <c r="M519" s="20">
        <f t="shared" si="165"/>
        <v>2.3879117422350293</v>
      </c>
      <c r="N519" s="20">
        <f t="shared" si="166"/>
        <v>2.3879117422350293</v>
      </c>
      <c r="O519" s="17"/>
      <c r="P519" s="20">
        <f t="shared" si="167"/>
        <v>13.732369568620435</v>
      </c>
      <c r="Q519" s="20">
        <f t="shared" si="168"/>
        <v>34.110841359683612</v>
      </c>
      <c r="R519" s="20">
        <f t="shared" si="169"/>
        <v>0</v>
      </c>
      <c r="S519" s="20">
        <f t="shared" si="170"/>
        <v>0</v>
      </c>
      <c r="T519" s="20">
        <f t="shared" si="171"/>
        <v>0</v>
      </c>
      <c r="U519" s="17"/>
      <c r="V519" s="20">
        <f t="shared" si="172"/>
        <v>47.843210928304046</v>
      </c>
      <c r="W519" s="17"/>
      <c r="X519" s="20">
        <f t="shared" si="173"/>
        <v>0.31080728505987126</v>
      </c>
      <c r="Y519" s="20">
        <f t="shared" si="174"/>
        <v>0.55750092830404441</v>
      </c>
      <c r="Z519" s="20"/>
      <c r="AA519" s="20">
        <f t="shared" si="175"/>
        <v>3.6436001273182966E-6</v>
      </c>
    </row>
    <row r="520" spans="2:27" x14ac:dyDescent="0.3">
      <c r="B520" s="28">
        <v>48.2</v>
      </c>
      <c r="C520" s="28">
        <v>42.785710000000002</v>
      </c>
      <c r="D520" s="20">
        <f t="shared" si="157"/>
        <v>40.361609888819657</v>
      </c>
      <c r="E520" s="20">
        <f t="shared" si="158"/>
        <v>-4.6911541427993724</v>
      </c>
      <c r="F520" s="20">
        <f t="shared" si="159"/>
        <v>3.2694420893304477</v>
      </c>
      <c r="G520" s="20">
        <f t="shared" si="160"/>
        <v>3.2694420893304477</v>
      </c>
      <c r="H520" s="20">
        <f t="shared" si="161"/>
        <v>3.2694420893304477</v>
      </c>
      <c r="I520" s="17"/>
      <c r="J520" s="20">
        <f t="shared" si="162"/>
        <v>36.757273757374712</v>
      </c>
      <c r="K520" s="20">
        <f t="shared" si="163"/>
        <v>9.0930292809442443E-3</v>
      </c>
      <c r="L520" s="20">
        <f t="shared" si="164"/>
        <v>2.3957470051551666</v>
      </c>
      <c r="M520" s="20">
        <f t="shared" si="165"/>
        <v>2.3957470051551666</v>
      </c>
      <c r="N520" s="20">
        <f t="shared" si="166"/>
        <v>2.3957470051551666</v>
      </c>
      <c r="O520" s="17"/>
      <c r="P520" s="20">
        <f t="shared" si="167"/>
        <v>13.67846334838187</v>
      </c>
      <c r="Q520" s="20">
        <f t="shared" si="168"/>
        <v>33.939144308875669</v>
      </c>
      <c r="R520" s="20">
        <f t="shared" si="169"/>
        <v>0</v>
      </c>
      <c r="S520" s="20">
        <f t="shared" si="170"/>
        <v>0</v>
      </c>
      <c r="T520" s="20">
        <f t="shared" si="171"/>
        <v>0</v>
      </c>
      <c r="U520" s="17"/>
      <c r="V520" s="20">
        <f t="shared" si="172"/>
        <v>47.617607657257537</v>
      </c>
      <c r="W520" s="17"/>
      <c r="X520" s="20">
        <f t="shared" si="173"/>
        <v>23.347234970210856</v>
      </c>
      <c r="Y520" s="20">
        <f t="shared" si="174"/>
        <v>4.8318976572575352</v>
      </c>
      <c r="Z520" s="20"/>
      <c r="AA520" s="20">
        <f t="shared" si="175"/>
        <v>3.157932485014808E-5</v>
      </c>
    </row>
    <row r="521" spans="2:27" x14ac:dyDescent="0.3">
      <c r="B521" s="28">
        <v>48.3</v>
      </c>
      <c r="C521" s="28">
        <v>50.035710000000002</v>
      </c>
      <c r="D521" s="20">
        <f t="shared" si="157"/>
        <v>40.436788069118307</v>
      </c>
      <c r="E521" s="20">
        <f t="shared" si="158"/>
        <v>-4.6861075204524134</v>
      </c>
      <c r="F521" s="20">
        <f t="shared" si="159"/>
        <v>3.2805532004415578</v>
      </c>
      <c r="G521" s="20">
        <f t="shared" si="160"/>
        <v>3.2805532004415578</v>
      </c>
      <c r="H521" s="20">
        <f t="shared" si="161"/>
        <v>3.2805532004415578</v>
      </c>
      <c r="I521" s="17"/>
      <c r="J521" s="20">
        <f t="shared" si="162"/>
        <v>36.830462773613647</v>
      </c>
      <c r="K521" s="20">
        <f t="shared" si="163"/>
        <v>9.1386177282984943E-3</v>
      </c>
      <c r="L521" s="20">
        <f t="shared" si="164"/>
        <v>2.4035898216147706</v>
      </c>
      <c r="M521" s="20">
        <f t="shared" si="165"/>
        <v>2.4035898216147706</v>
      </c>
      <c r="N521" s="20">
        <f t="shared" si="166"/>
        <v>2.4035898216147706</v>
      </c>
      <c r="O521" s="17"/>
      <c r="P521" s="20">
        <f t="shared" si="167"/>
        <v>13.624871119562341</v>
      </c>
      <c r="Q521" s="20">
        <f t="shared" si="168"/>
        <v>33.76831163299439</v>
      </c>
      <c r="R521" s="20">
        <f t="shared" si="169"/>
        <v>0</v>
      </c>
      <c r="S521" s="20">
        <f t="shared" si="170"/>
        <v>0</v>
      </c>
      <c r="T521" s="20">
        <f t="shared" si="171"/>
        <v>0</v>
      </c>
      <c r="U521" s="17"/>
      <c r="V521" s="20">
        <f t="shared" si="172"/>
        <v>47.393182752556733</v>
      </c>
      <c r="W521" s="17"/>
      <c r="X521" s="20">
        <f t="shared" si="173"/>
        <v>6.9829502534800989</v>
      </c>
      <c r="Y521" s="20">
        <f t="shared" si="174"/>
        <v>2.6425272474432688</v>
      </c>
      <c r="Z521" s="20"/>
      <c r="AA521" s="20">
        <f t="shared" si="175"/>
        <v>1.7270487144328784E-5</v>
      </c>
    </row>
    <row r="522" spans="2:27" x14ac:dyDescent="0.3">
      <c r="B522" s="28">
        <v>48.4</v>
      </c>
      <c r="C522" s="28">
        <v>40.785710000000002</v>
      </c>
      <c r="D522" s="20">
        <f t="shared" si="157"/>
        <v>40.511966249416972</v>
      </c>
      <c r="E522" s="20">
        <f t="shared" si="158"/>
        <v>-4.6810608981054544</v>
      </c>
      <c r="F522" s="20">
        <f t="shared" si="159"/>
        <v>3.2916643115526689</v>
      </c>
      <c r="G522" s="20">
        <f t="shared" si="160"/>
        <v>3.2916643115526689</v>
      </c>
      <c r="H522" s="20">
        <f t="shared" si="161"/>
        <v>3.2916643115526689</v>
      </c>
      <c r="I522" s="17"/>
      <c r="J522" s="20">
        <f t="shared" si="162"/>
        <v>36.903655634589406</v>
      </c>
      <c r="K522" s="20">
        <f t="shared" si="163"/>
        <v>9.1844326559727355E-3</v>
      </c>
      <c r="L522" s="20">
        <f t="shared" si="164"/>
        <v>2.4114401640747549</v>
      </c>
      <c r="M522" s="20">
        <f t="shared" si="165"/>
        <v>2.4114401640747549</v>
      </c>
      <c r="N522" s="20">
        <f t="shared" si="166"/>
        <v>2.4114401640747549</v>
      </c>
      <c r="O522" s="17"/>
      <c r="P522" s="20">
        <f t="shared" si="167"/>
        <v>13.571590464553005</v>
      </c>
      <c r="Q522" s="20">
        <f t="shared" si="168"/>
        <v>33.598338981171416</v>
      </c>
      <c r="R522" s="20">
        <f t="shared" si="169"/>
        <v>0</v>
      </c>
      <c r="S522" s="20">
        <f t="shared" si="170"/>
        <v>0</v>
      </c>
      <c r="T522" s="20">
        <f t="shared" si="171"/>
        <v>0</v>
      </c>
      <c r="U522" s="17"/>
      <c r="V522" s="20">
        <f t="shared" si="172"/>
        <v>47.169929445724421</v>
      </c>
      <c r="W522" s="17"/>
      <c r="X522" s="20">
        <f t="shared" si="173"/>
        <v>40.758257931165808</v>
      </c>
      <c r="Y522" s="20">
        <f t="shared" si="174"/>
        <v>6.384219445724419</v>
      </c>
      <c r="Z522" s="20"/>
      <c r="AA522" s="20">
        <f t="shared" si="175"/>
        <v>4.1724670945450486E-5</v>
      </c>
    </row>
    <row r="523" spans="2:27" x14ac:dyDescent="0.3">
      <c r="B523" s="28">
        <v>48.5</v>
      </c>
      <c r="C523" s="28">
        <v>68.535709999999995</v>
      </c>
      <c r="D523" s="20">
        <f t="shared" si="157"/>
        <v>40.587144429715629</v>
      </c>
      <c r="E523" s="20">
        <f t="shared" si="158"/>
        <v>-4.6760142757584955</v>
      </c>
      <c r="F523" s="20">
        <f t="shared" si="159"/>
        <v>3.3027754226637809</v>
      </c>
      <c r="G523" s="20">
        <f t="shared" si="160"/>
        <v>3.3027754226637809</v>
      </c>
      <c r="H523" s="20">
        <f t="shared" si="161"/>
        <v>3.3027754226637809</v>
      </c>
      <c r="I523" s="17"/>
      <c r="J523" s="20">
        <f t="shared" si="162"/>
        <v>36.976852325668531</v>
      </c>
      <c r="K523" s="20">
        <f t="shared" si="163"/>
        <v>9.2304751683893582E-3</v>
      </c>
      <c r="L523" s="20">
        <f t="shared" si="164"/>
        <v>2.4192980051098161</v>
      </c>
      <c r="M523" s="20">
        <f t="shared" si="165"/>
        <v>2.4192980051098161</v>
      </c>
      <c r="N523" s="20">
        <f t="shared" si="166"/>
        <v>2.4192980051098161</v>
      </c>
      <c r="O523" s="17"/>
      <c r="P523" s="20">
        <f t="shared" si="167"/>
        <v>13.518618988843622</v>
      </c>
      <c r="Q523" s="20">
        <f t="shared" si="168"/>
        <v>33.429222024441586</v>
      </c>
      <c r="R523" s="20">
        <f t="shared" si="169"/>
        <v>0</v>
      </c>
      <c r="S523" s="20">
        <f t="shared" si="170"/>
        <v>0</v>
      </c>
      <c r="T523" s="20">
        <f t="shared" si="171"/>
        <v>0</v>
      </c>
      <c r="U523" s="17"/>
      <c r="V523" s="20">
        <f t="shared" si="172"/>
        <v>46.947841013285206</v>
      </c>
      <c r="W523" s="17"/>
      <c r="X523" s="20">
        <f t="shared" si="173"/>
        <v>466.03608738756219</v>
      </c>
      <c r="Y523" s="20">
        <f t="shared" si="174"/>
        <v>21.587868986714788</v>
      </c>
      <c r="Z523" s="20"/>
      <c r="AA523" s="20">
        <f t="shared" si="175"/>
        <v>1.4108956271661528E-4</v>
      </c>
    </row>
    <row r="524" spans="2:27" x14ac:dyDescent="0.3">
      <c r="B524" s="28">
        <v>48.6</v>
      </c>
      <c r="C524" s="28">
        <v>46.535710000000002</v>
      </c>
      <c r="D524" s="20">
        <f t="shared" si="157"/>
        <v>40.662322610014293</v>
      </c>
      <c r="E524" s="20">
        <f t="shared" si="158"/>
        <v>-4.6709676534115356</v>
      </c>
      <c r="F524" s="20">
        <f t="shared" si="159"/>
        <v>3.313886533774892</v>
      </c>
      <c r="G524" s="20">
        <f t="shared" si="160"/>
        <v>3.313886533774892</v>
      </c>
      <c r="H524" s="20">
        <f t="shared" si="161"/>
        <v>3.313886533774892</v>
      </c>
      <c r="I524" s="17"/>
      <c r="J524" s="20">
        <f t="shared" si="162"/>
        <v>37.050052832300196</v>
      </c>
      <c r="K524" s="20">
        <f t="shared" si="163"/>
        <v>9.276746375151081E-3</v>
      </c>
      <c r="L524" s="20">
        <f t="shared" si="164"/>
        <v>2.4271633174081031</v>
      </c>
      <c r="M524" s="20">
        <f t="shared" si="165"/>
        <v>2.4271633174081031</v>
      </c>
      <c r="N524" s="20">
        <f t="shared" si="166"/>
        <v>2.4271633174081031</v>
      </c>
      <c r="O524" s="17"/>
      <c r="P524" s="20">
        <f t="shared" si="167"/>
        <v>13.465954320759387</v>
      </c>
      <c r="Q524" s="20">
        <f t="shared" si="168"/>
        <v>33.260956455632758</v>
      </c>
      <c r="R524" s="20">
        <f t="shared" si="169"/>
        <v>0</v>
      </c>
      <c r="S524" s="20">
        <f t="shared" si="170"/>
        <v>0</v>
      </c>
      <c r="T524" s="20">
        <f t="shared" si="171"/>
        <v>0</v>
      </c>
      <c r="U524" s="17"/>
      <c r="V524" s="20">
        <f t="shared" si="172"/>
        <v>46.726910776392145</v>
      </c>
      <c r="W524" s="17"/>
      <c r="X524" s="20">
        <f t="shared" si="173"/>
        <v>3.6557736892958548E-2</v>
      </c>
      <c r="Y524" s="20">
        <f t="shared" si="174"/>
        <v>0.19120077639214372</v>
      </c>
      <c r="Z524" s="20"/>
      <c r="AA524" s="20">
        <f t="shared" si="175"/>
        <v>1.2496107859856958E-6</v>
      </c>
    </row>
    <row r="525" spans="2:27" x14ac:dyDescent="0.3">
      <c r="B525" s="28">
        <v>48.7</v>
      </c>
      <c r="C525" s="28">
        <v>38.035710000000002</v>
      </c>
      <c r="D525" s="20">
        <f t="shared" si="157"/>
        <v>40.73750079031295</v>
      </c>
      <c r="E525" s="20">
        <f t="shared" si="158"/>
        <v>-4.6659210310645758</v>
      </c>
      <c r="F525" s="20">
        <f t="shared" si="159"/>
        <v>3.3249976448860039</v>
      </c>
      <c r="G525" s="20">
        <f t="shared" si="160"/>
        <v>3.3249976448860039</v>
      </c>
      <c r="H525" s="20">
        <f t="shared" si="161"/>
        <v>3.3249976448860039</v>
      </c>
      <c r="I525" s="17"/>
      <c r="J525" s="20">
        <f t="shared" si="162"/>
        <v>37.123257140015561</v>
      </c>
      <c r="K525" s="20">
        <f t="shared" si="163"/>
        <v>9.3232473910632024E-3</v>
      </c>
      <c r="L525" s="20">
        <f t="shared" si="164"/>
        <v>2.4350360737708852</v>
      </c>
      <c r="M525" s="20">
        <f t="shared" si="165"/>
        <v>2.4350360737708852</v>
      </c>
      <c r="N525" s="20">
        <f t="shared" si="166"/>
        <v>2.4350360737708852</v>
      </c>
      <c r="O525" s="17"/>
      <c r="P525" s="20">
        <f t="shared" si="167"/>
        <v>13.413594111201311</v>
      </c>
      <c r="Q525" s="20">
        <f t="shared" si="168"/>
        <v>33.093537989256077</v>
      </c>
      <c r="R525" s="20">
        <f t="shared" si="169"/>
        <v>0</v>
      </c>
      <c r="S525" s="20">
        <f t="shared" si="170"/>
        <v>0</v>
      </c>
      <c r="T525" s="20">
        <f t="shared" si="171"/>
        <v>0</v>
      </c>
      <c r="U525" s="17"/>
      <c r="V525" s="20">
        <f t="shared" si="172"/>
        <v>46.50713210045739</v>
      </c>
      <c r="W525" s="17"/>
      <c r="X525" s="20">
        <f t="shared" si="173"/>
        <v>71.764992404117876</v>
      </c>
      <c r="Y525" s="20">
        <f t="shared" si="174"/>
        <v>8.4714221004573886</v>
      </c>
      <c r="Z525" s="20"/>
      <c r="AA525" s="20">
        <f t="shared" si="175"/>
        <v>5.5365781609891626E-5</v>
      </c>
    </row>
    <row r="526" spans="2:27" x14ac:dyDescent="0.3">
      <c r="B526" s="28">
        <v>48.8</v>
      </c>
      <c r="C526" s="28">
        <v>38.535710000000002</v>
      </c>
      <c r="D526" s="20">
        <f t="shared" si="157"/>
        <v>40.812678970611607</v>
      </c>
      <c r="E526" s="20">
        <f t="shared" si="158"/>
        <v>-4.6608744087176177</v>
      </c>
      <c r="F526" s="20">
        <f t="shared" si="159"/>
        <v>3.3361087559971132</v>
      </c>
      <c r="G526" s="20">
        <f t="shared" si="160"/>
        <v>3.3361087559971132</v>
      </c>
      <c r="H526" s="20">
        <f t="shared" si="161"/>
        <v>3.3361087559971132</v>
      </c>
      <c r="I526" s="17"/>
      <c r="J526" s="20">
        <f t="shared" si="162"/>
        <v>37.196465234427166</v>
      </c>
      <c r="K526" s="20">
        <f t="shared" si="163"/>
        <v>9.3699793361559491E-3</v>
      </c>
      <c r="L526" s="20">
        <f t="shared" si="164"/>
        <v>2.4429162471122052</v>
      </c>
      <c r="M526" s="20">
        <f t="shared" si="165"/>
        <v>2.4429162471122052</v>
      </c>
      <c r="N526" s="20">
        <f t="shared" si="166"/>
        <v>2.4429162471122052</v>
      </c>
      <c r="O526" s="17"/>
      <c r="P526" s="20">
        <f t="shared" si="167"/>
        <v>13.361536033389974</v>
      </c>
      <c r="Q526" s="20">
        <f t="shared" si="168"/>
        <v>32.926962361396882</v>
      </c>
      <c r="R526" s="20">
        <f t="shared" si="169"/>
        <v>0</v>
      </c>
      <c r="S526" s="20">
        <f t="shared" si="170"/>
        <v>0</v>
      </c>
      <c r="T526" s="20">
        <f t="shared" si="171"/>
        <v>0</v>
      </c>
      <c r="U526" s="17"/>
      <c r="V526" s="20">
        <f t="shared" si="172"/>
        <v>46.288498394786856</v>
      </c>
      <c r="W526" s="17"/>
      <c r="X526" s="20">
        <f t="shared" si="173"/>
        <v>60.105727894341733</v>
      </c>
      <c r="Y526" s="20">
        <f t="shared" si="174"/>
        <v>7.7527883947868546</v>
      </c>
      <c r="Z526" s="20"/>
      <c r="AA526" s="20">
        <f t="shared" si="175"/>
        <v>5.0669082952470968E-5</v>
      </c>
    </row>
    <row r="527" spans="2:27" x14ac:dyDescent="0.3">
      <c r="B527" s="28">
        <v>48.9</v>
      </c>
      <c r="C527" s="28">
        <v>60.785710000000002</v>
      </c>
      <c r="D527" s="20">
        <f t="shared" si="157"/>
        <v>40.887857150910271</v>
      </c>
      <c r="E527" s="20">
        <f t="shared" si="158"/>
        <v>-4.6558277863706587</v>
      </c>
      <c r="F527" s="20">
        <f t="shared" si="159"/>
        <v>3.3472198671082252</v>
      </c>
      <c r="G527" s="20">
        <f t="shared" si="160"/>
        <v>3.3472198671082252</v>
      </c>
      <c r="H527" s="20">
        <f t="shared" si="161"/>
        <v>3.3472198671082252</v>
      </c>
      <c r="I527" s="17"/>
      <c r="J527" s="20">
        <f t="shared" si="162"/>
        <v>37.269677101228346</v>
      </c>
      <c r="K527" s="20">
        <f t="shared" si="163"/>
        <v>9.4169433357069402E-3</v>
      </c>
      <c r="L527" s="20">
        <f t="shared" si="164"/>
        <v>2.450803810458551</v>
      </c>
      <c r="M527" s="20">
        <f t="shared" si="165"/>
        <v>2.450803810458551</v>
      </c>
      <c r="N527" s="20">
        <f t="shared" si="166"/>
        <v>2.450803810458551</v>
      </c>
      <c r="O527" s="17"/>
      <c r="P527" s="20">
        <f t="shared" si="167"/>
        <v>13.309777782612679</v>
      </c>
      <c r="Q527" s="20">
        <f t="shared" si="168"/>
        <v>32.7612253296059</v>
      </c>
      <c r="R527" s="20">
        <f t="shared" si="169"/>
        <v>0</v>
      </c>
      <c r="S527" s="20">
        <f t="shared" si="170"/>
        <v>0</v>
      </c>
      <c r="T527" s="20">
        <f t="shared" si="171"/>
        <v>0</v>
      </c>
      <c r="U527" s="17"/>
      <c r="V527" s="20">
        <f t="shared" si="172"/>
        <v>46.071003112218577</v>
      </c>
      <c r="W527" s="17"/>
      <c r="X527" s="20">
        <f t="shared" si="173"/>
        <v>216.52259879332212</v>
      </c>
      <c r="Y527" s="20">
        <f t="shared" si="174"/>
        <v>14.714706887781425</v>
      </c>
      <c r="Z527" s="20"/>
      <c r="AA527" s="20">
        <f t="shared" si="175"/>
        <v>9.6169360745049833E-5</v>
      </c>
    </row>
    <row r="528" spans="2:27" x14ac:dyDescent="0.3">
      <c r="B528" s="28">
        <v>49</v>
      </c>
      <c r="C528" s="28">
        <v>50.785710000000002</v>
      </c>
      <c r="D528" s="20">
        <f t="shared" si="157"/>
        <v>40.963035331208928</v>
      </c>
      <c r="E528" s="20">
        <f t="shared" si="158"/>
        <v>-4.6507811640236989</v>
      </c>
      <c r="F528" s="20">
        <f t="shared" si="159"/>
        <v>3.3583309782193362</v>
      </c>
      <c r="G528" s="20">
        <f t="shared" si="160"/>
        <v>3.3583309782193362</v>
      </c>
      <c r="H528" s="20">
        <f t="shared" si="161"/>
        <v>3.3583309782193362</v>
      </c>
      <c r="I528" s="17"/>
      <c r="J528" s="20">
        <f t="shared" si="162"/>
        <v>37.342892726192602</v>
      </c>
      <c r="K528" s="20">
        <f t="shared" si="163"/>
        <v>9.4641405202636111E-3</v>
      </c>
      <c r="L528" s="20">
        <f t="shared" si="164"/>
        <v>2.4586987369484974</v>
      </c>
      <c r="M528" s="20">
        <f t="shared" si="165"/>
        <v>2.4586987369484974</v>
      </c>
      <c r="N528" s="20">
        <f t="shared" si="166"/>
        <v>2.4586987369484974</v>
      </c>
      <c r="O528" s="17"/>
      <c r="P528" s="20">
        <f t="shared" si="167"/>
        <v>13.258317075973924</v>
      </c>
      <c r="Q528" s="20">
        <f t="shared" si="168"/>
        <v>32.596322672791473</v>
      </c>
      <c r="R528" s="20">
        <f t="shared" si="169"/>
        <v>0</v>
      </c>
      <c r="S528" s="20">
        <f t="shared" si="170"/>
        <v>0</v>
      </c>
      <c r="T528" s="20">
        <f t="shared" si="171"/>
        <v>0</v>
      </c>
      <c r="U528" s="17"/>
      <c r="V528" s="20">
        <f t="shared" si="172"/>
        <v>45.854639748765393</v>
      </c>
      <c r="W528" s="17"/>
      <c r="X528" s="20">
        <f t="shared" si="173"/>
        <v>24.315453822610944</v>
      </c>
      <c r="Y528" s="20">
        <f t="shared" si="174"/>
        <v>4.9310702512346083</v>
      </c>
      <c r="Z528" s="20"/>
      <c r="AA528" s="20">
        <f t="shared" si="175"/>
        <v>3.2227476732406977E-5</v>
      </c>
    </row>
    <row r="529" spans="2:27" x14ac:dyDescent="0.3">
      <c r="B529" s="28">
        <v>49.1</v>
      </c>
      <c r="C529" s="28">
        <v>43.285710000000002</v>
      </c>
      <c r="D529" s="20">
        <f t="shared" si="157"/>
        <v>41.038213511507593</v>
      </c>
      <c r="E529" s="20">
        <f t="shared" si="158"/>
        <v>-4.6457345416767399</v>
      </c>
      <c r="F529" s="20">
        <f t="shared" si="159"/>
        <v>3.3694420893304473</v>
      </c>
      <c r="G529" s="20">
        <f t="shared" si="160"/>
        <v>3.3694420893304473</v>
      </c>
      <c r="H529" s="20">
        <f t="shared" si="161"/>
        <v>3.3694420893304473</v>
      </c>
      <c r="I529" s="17"/>
      <c r="J529" s="20">
        <f t="shared" si="162"/>
        <v>37.416112095173034</v>
      </c>
      <c r="K529" s="20">
        <f t="shared" si="163"/>
        <v>9.5115720256658091E-3</v>
      </c>
      <c r="L529" s="20">
        <f t="shared" si="164"/>
        <v>2.4666009998323744</v>
      </c>
      <c r="M529" s="20">
        <f t="shared" si="165"/>
        <v>2.4666009998323744</v>
      </c>
      <c r="N529" s="20">
        <f t="shared" si="166"/>
        <v>2.4666009998323744</v>
      </c>
      <c r="O529" s="17"/>
      <c r="P529" s="20">
        <f t="shared" si="167"/>
        <v>13.207151652149138</v>
      </c>
      <c r="Q529" s="20">
        <f t="shared" si="168"/>
        <v>32.432250191111926</v>
      </c>
      <c r="R529" s="20">
        <f t="shared" si="169"/>
        <v>0</v>
      </c>
      <c r="S529" s="20">
        <f t="shared" si="170"/>
        <v>0</v>
      </c>
      <c r="T529" s="20">
        <f t="shared" si="171"/>
        <v>0</v>
      </c>
      <c r="U529" s="17"/>
      <c r="V529" s="20">
        <f t="shared" si="172"/>
        <v>45.639401843261062</v>
      </c>
      <c r="W529" s="17"/>
      <c r="X529" s="20">
        <f t="shared" si="173"/>
        <v>5.5398652930336487</v>
      </c>
      <c r="Y529" s="20">
        <f t="shared" si="174"/>
        <v>2.3536918432610605</v>
      </c>
      <c r="Z529" s="20"/>
      <c r="AA529" s="20">
        <f t="shared" si="175"/>
        <v>1.5382775999786299E-5</v>
      </c>
    </row>
    <row r="530" spans="2:27" x14ac:dyDescent="0.3">
      <c r="B530" s="28">
        <v>49.2</v>
      </c>
      <c r="C530" s="28">
        <v>56.535710000000002</v>
      </c>
      <c r="D530" s="20">
        <f t="shared" si="157"/>
        <v>41.11339169180625</v>
      </c>
      <c r="E530" s="20">
        <f t="shared" si="158"/>
        <v>-4.6406879193297801</v>
      </c>
      <c r="F530" s="20">
        <f t="shared" si="159"/>
        <v>3.3805532004415593</v>
      </c>
      <c r="G530" s="20">
        <f t="shared" si="160"/>
        <v>3.3805532004415593</v>
      </c>
      <c r="H530" s="20">
        <f t="shared" si="161"/>
        <v>3.3805532004415593</v>
      </c>
      <c r="I530" s="17"/>
      <c r="J530" s="20">
        <f t="shared" si="162"/>
        <v>37.489335194101713</v>
      </c>
      <c r="K530" s="20">
        <f t="shared" si="163"/>
        <v>9.5592389930684706E-3</v>
      </c>
      <c r="L530" s="20">
        <f t="shared" si="164"/>
        <v>2.4745105724719139</v>
      </c>
      <c r="M530" s="20">
        <f t="shared" si="165"/>
        <v>2.4745105724719139</v>
      </c>
      <c r="N530" s="20">
        <f t="shared" si="166"/>
        <v>2.4745105724719139</v>
      </c>
      <c r="O530" s="17"/>
      <c r="P530" s="20">
        <f t="shared" si="167"/>
        <v>13.156279271141676</v>
      </c>
      <c r="Q530" s="20">
        <f t="shared" si="168"/>
        <v>32.269003705868542</v>
      </c>
      <c r="R530" s="20">
        <f t="shared" si="169"/>
        <v>0</v>
      </c>
      <c r="S530" s="20">
        <f t="shared" si="170"/>
        <v>0</v>
      </c>
      <c r="T530" s="20">
        <f t="shared" si="171"/>
        <v>0</v>
      </c>
      <c r="U530" s="17"/>
      <c r="V530" s="20">
        <f t="shared" si="172"/>
        <v>45.42528297701022</v>
      </c>
      <c r="W530" s="17"/>
      <c r="X530" s="20">
        <f t="shared" si="173"/>
        <v>123.4415886331816</v>
      </c>
      <c r="Y530" s="20">
        <f t="shared" si="174"/>
        <v>11.110427022989782</v>
      </c>
      <c r="Z530" s="20"/>
      <c r="AA530" s="20">
        <f t="shared" si="175"/>
        <v>7.2613248266106137E-5</v>
      </c>
    </row>
    <row r="531" spans="2:27" x14ac:dyDescent="0.3">
      <c r="B531" s="28">
        <v>49.3</v>
      </c>
      <c r="C531" s="28">
        <v>54.285710000000002</v>
      </c>
      <c r="D531" s="20">
        <f t="shared" si="157"/>
        <v>41.188569872104907</v>
      </c>
      <c r="E531" s="20">
        <f t="shared" si="158"/>
        <v>-4.635641296982822</v>
      </c>
      <c r="F531" s="20">
        <f t="shared" si="159"/>
        <v>3.3916643115526686</v>
      </c>
      <c r="G531" s="20">
        <f t="shared" si="160"/>
        <v>3.3916643115526686</v>
      </c>
      <c r="H531" s="20">
        <f t="shared" si="161"/>
        <v>3.3916643115526686</v>
      </c>
      <c r="I531" s="17"/>
      <c r="J531" s="20">
        <f t="shared" si="162"/>
        <v>37.562562008989168</v>
      </c>
      <c r="K531" s="20">
        <f t="shared" si="163"/>
        <v>9.6071425689642706E-3</v>
      </c>
      <c r="L531" s="20">
        <f t="shared" si="164"/>
        <v>2.4824274283398995</v>
      </c>
      <c r="M531" s="20">
        <f t="shared" si="165"/>
        <v>2.4824274283398995</v>
      </c>
      <c r="N531" s="20">
        <f t="shared" si="166"/>
        <v>2.4824274283398995</v>
      </c>
      <c r="O531" s="17"/>
      <c r="P531" s="20">
        <f t="shared" si="167"/>
        <v>13.105697714042904</v>
      </c>
      <c r="Q531" s="20">
        <f t="shared" si="168"/>
        <v>32.106579059399323</v>
      </c>
      <c r="R531" s="20">
        <f t="shared" si="169"/>
        <v>0</v>
      </c>
      <c r="S531" s="20">
        <f t="shared" si="170"/>
        <v>0</v>
      </c>
      <c r="T531" s="20">
        <f t="shared" si="171"/>
        <v>0</v>
      </c>
      <c r="U531" s="17"/>
      <c r="V531" s="20">
        <f t="shared" si="172"/>
        <v>45.212276773442227</v>
      </c>
      <c r="W531" s="17"/>
      <c r="X531" s="20">
        <f t="shared" si="173"/>
        <v>82.327190516802631</v>
      </c>
      <c r="Y531" s="20">
        <f t="shared" si="174"/>
        <v>9.0734332265577748</v>
      </c>
      <c r="Z531" s="20"/>
      <c r="AA531" s="20">
        <f t="shared" si="175"/>
        <v>5.9300282351225162E-5</v>
      </c>
    </row>
    <row r="532" spans="2:27" x14ac:dyDescent="0.3">
      <c r="B532" s="28">
        <v>49.4</v>
      </c>
      <c r="C532" s="28">
        <v>48.035710000000002</v>
      </c>
      <c r="D532" s="20">
        <f t="shared" si="157"/>
        <v>41.263748052403564</v>
      </c>
      <c r="E532" s="20">
        <f t="shared" si="158"/>
        <v>-4.6305946746358622</v>
      </c>
      <c r="F532" s="20">
        <f t="shared" si="159"/>
        <v>3.4027754226637805</v>
      </c>
      <c r="G532" s="20">
        <f t="shared" si="160"/>
        <v>3.4027754226637805</v>
      </c>
      <c r="H532" s="20">
        <f t="shared" si="161"/>
        <v>3.4027754226637805</v>
      </c>
      <c r="I532" s="17"/>
      <c r="J532" s="20">
        <f t="shared" si="162"/>
        <v>37.635792525923733</v>
      </c>
      <c r="K532" s="20">
        <f t="shared" si="163"/>
        <v>9.6552839052065353E-3</v>
      </c>
      <c r="L532" s="20">
        <f t="shared" si="164"/>
        <v>2.4903515410198231</v>
      </c>
      <c r="M532" s="20">
        <f t="shared" si="165"/>
        <v>2.4903515410198231</v>
      </c>
      <c r="N532" s="20">
        <f t="shared" si="166"/>
        <v>2.4903515410198231</v>
      </c>
      <c r="O532" s="17"/>
      <c r="P532" s="20">
        <f t="shared" si="167"/>
        <v>13.055404782795529</v>
      </c>
      <c r="Q532" s="20">
        <f t="shared" si="168"/>
        <v>31.944972114972753</v>
      </c>
      <c r="R532" s="20">
        <f t="shared" si="169"/>
        <v>0</v>
      </c>
      <c r="S532" s="20">
        <f t="shared" si="170"/>
        <v>0</v>
      </c>
      <c r="T532" s="20">
        <f t="shared" si="171"/>
        <v>0</v>
      </c>
      <c r="U532" s="17"/>
      <c r="V532" s="20">
        <f t="shared" si="172"/>
        <v>45.000376897768284</v>
      </c>
      <c r="W532" s="17"/>
      <c r="X532" s="20">
        <f t="shared" si="173"/>
        <v>9.2132470415036245</v>
      </c>
      <c r="Y532" s="20">
        <f t="shared" si="174"/>
        <v>3.0353331022317178</v>
      </c>
      <c r="Z532" s="20"/>
      <c r="AA532" s="20">
        <f t="shared" si="175"/>
        <v>1.9837707017616629E-5</v>
      </c>
    </row>
    <row r="533" spans="2:27" x14ac:dyDescent="0.3">
      <c r="B533" s="28">
        <v>49.5</v>
      </c>
      <c r="C533" s="28">
        <v>39.535710000000002</v>
      </c>
      <c r="D533" s="20">
        <f t="shared" si="157"/>
        <v>41.338926232702228</v>
      </c>
      <c r="E533" s="20">
        <f t="shared" si="158"/>
        <v>-4.6255480522889032</v>
      </c>
      <c r="F533" s="20">
        <f t="shared" si="159"/>
        <v>3.4138865337748916</v>
      </c>
      <c r="G533" s="20">
        <f t="shared" si="160"/>
        <v>3.4138865337748916</v>
      </c>
      <c r="H533" s="20">
        <f t="shared" si="161"/>
        <v>3.4138865337748916</v>
      </c>
      <c r="I533" s="17"/>
      <c r="J533" s="20">
        <f t="shared" si="162"/>
        <v>37.70902673107102</v>
      </c>
      <c r="K533" s="20">
        <f t="shared" si="163"/>
        <v>9.7036641590319741E-3</v>
      </c>
      <c r="L533" s="20">
        <f t="shared" si="164"/>
        <v>2.4982828842055236</v>
      </c>
      <c r="M533" s="20">
        <f t="shared" si="165"/>
        <v>2.4982828842055236</v>
      </c>
      <c r="N533" s="20">
        <f t="shared" si="166"/>
        <v>2.4982828842055236</v>
      </c>
      <c r="O533" s="17"/>
      <c r="P533" s="20">
        <f t="shared" si="167"/>
        <v>13.005398299959932</v>
      </c>
      <c r="Q533" s="20">
        <f t="shared" si="168"/>
        <v>31.784178756682874</v>
      </c>
      <c r="R533" s="20">
        <f t="shared" si="169"/>
        <v>0</v>
      </c>
      <c r="S533" s="20">
        <f t="shared" si="170"/>
        <v>0</v>
      </c>
      <c r="T533" s="20">
        <f t="shared" si="171"/>
        <v>0</v>
      </c>
      <c r="U533" s="17"/>
      <c r="V533" s="20">
        <f t="shared" si="172"/>
        <v>44.789577056642806</v>
      </c>
      <c r="W533" s="17"/>
      <c r="X533" s="20">
        <f t="shared" si="173"/>
        <v>27.603119048876518</v>
      </c>
      <c r="Y533" s="20">
        <f t="shared" si="174"/>
        <v>5.2538670566428038</v>
      </c>
      <c r="Z533" s="20"/>
      <c r="AA533" s="20">
        <f t="shared" si="175"/>
        <v>3.4337145831723365E-5</v>
      </c>
    </row>
    <row r="534" spans="2:27" x14ac:dyDescent="0.3">
      <c r="B534" s="28">
        <v>49.6</v>
      </c>
      <c r="C534" s="28">
        <v>51.285710000000002</v>
      </c>
      <c r="D534" s="20">
        <f t="shared" si="157"/>
        <v>41.414104413000885</v>
      </c>
      <c r="E534" s="20">
        <f t="shared" si="158"/>
        <v>-4.6205014299419442</v>
      </c>
      <c r="F534" s="20">
        <f t="shared" si="159"/>
        <v>3.4249976448860036</v>
      </c>
      <c r="G534" s="20">
        <f t="shared" si="160"/>
        <v>3.4249976448860036</v>
      </c>
      <c r="H534" s="20">
        <f t="shared" si="161"/>
        <v>3.4249976448860036</v>
      </c>
      <c r="I534" s="17"/>
      <c r="J534" s="20">
        <f t="shared" si="162"/>
        <v>37.78226461067333</v>
      </c>
      <c r="K534" s="20">
        <f t="shared" si="163"/>
        <v>9.7522844930837387E-3</v>
      </c>
      <c r="L534" s="20">
        <f t="shared" si="164"/>
        <v>2.5062214317008369</v>
      </c>
      <c r="M534" s="20">
        <f t="shared" si="165"/>
        <v>2.5062214317008369</v>
      </c>
      <c r="N534" s="20">
        <f t="shared" si="166"/>
        <v>2.5062214317008369</v>
      </c>
      <c r="O534" s="17"/>
      <c r="P534" s="20">
        <f t="shared" si="167"/>
        <v>12.955676108483557</v>
      </c>
      <c r="Q534" s="20">
        <f t="shared" si="168"/>
        <v>31.624194889344121</v>
      </c>
      <c r="R534" s="20">
        <f t="shared" si="169"/>
        <v>0</v>
      </c>
      <c r="S534" s="20">
        <f t="shared" si="170"/>
        <v>0</v>
      </c>
      <c r="T534" s="20">
        <f t="shared" si="171"/>
        <v>0</v>
      </c>
      <c r="U534" s="17"/>
      <c r="V534" s="20">
        <f t="shared" si="172"/>
        <v>44.579870997827676</v>
      </c>
      <c r="W534" s="17"/>
      <c r="X534" s="20">
        <f t="shared" si="173"/>
        <v>44.968276723055531</v>
      </c>
      <c r="Y534" s="20">
        <f t="shared" si="174"/>
        <v>6.7058390021723255</v>
      </c>
      <c r="Z534" s="20"/>
      <c r="AA534" s="20">
        <f t="shared" si="175"/>
        <v>4.3826646022669648E-5</v>
      </c>
    </row>
    <row r="535" spans="2:27" x14ac:dyDescent="0.3">
      <c r="B535" s="28">
        <v>49.7</v>
      </c>
      <c r="C535" s="28">
        <v>55.535710000000002</v>
      </c>
      <c r="D535" s="20">
        <f t="shared" si="157"/>
        <v>41.489282593299549</v>
      </c>
      <c r="E535" s="20">
        <f t="shared" si="158"/>
        <v>-4.6154548075949844</v>
      </c>
      <c r="F535" s="20">
        <f t="shared" si="159"/>
        <v>3.4361087559971146</v>
      </c>
      <c r="G535" s="20">
        <f t="shared" si="160"/>
        <v>3.4361087559971146</v>
      </c>
      <c r="H535" s="20">
        <f t="shared" si="161"/>
        <v>3.4361087559971146</v>
      </c>
      <c r="I535" s="17"/>
      <c r="J535" s="20">
        <f t="shared" si="162"/>
        <v>37.85550615104912</v>
      </c>
      <c r="K535" s="20">
        <f t="shared" si="163"/>
        <v>9.8011460754343967E-3</v>
      </c>
      <c r="L535" s="20">
        <f t="shared" si="164"/>
        <v>2.5141671574192395</v>
      </c>
      <c r="M535" s="20">
        <f t="shared" si="165"/>
        <v>2.5141671574192395</v>
      </c>
      <c r="N535" s="20">
        <f t="shared" si="166"/>
        <v>2.5141671574192395</v>
      </c>
      <c r="O535" s="17"/>
      <c r="P535" s="20">
        <f t="shared" si="167"/>
        <v>12.906236071473282</v>
      </c>
      <c r="Q535" s="20">
        <f t="shared" si="168"/>
        <v>31.46501643838717</v>
      </c>
      <c r="R535" s="20">
        <f t="shared" si="169"/>
        <v>0</v>
      </c>
      <c r="S535" s="20">
        <f t="shared" si="170"/>
        <v>0</v>
      </c>
      <c r="T535" s="20">
        <f t="shared" si="171"/>
        <v>0</v>
      </c>
      <c r="U535" s="17"/>
      <c r="V535" s="20">
        <f t="shared" si="172"/>
        <v>44.371252509860454</v>
      </c>
      <c r="W535" s="17"/>
      <c r="X535" s="20">
        <f t="shared" si="173"/>
        <v>124.64511104913304</v>
      </c>
      <c r="Y535" s="20">
        <f t="shared" si="174"/>
        <v>11.164457490139547</v>
      </c>
      <c r="Z535" s="20"/>
      <c r="AA535" s="20">
        <f t="shared" si="175"/>
        <v>7.2966369502307175E-5</v>
      </c>
    </row>
    <row r="536" spans="2:27" x14ac:dyDescent="0.3">
      <c r="B536" s="28">
        <v>49.8</v>
      </c>
      <c r="C536" s="28">
        <v>38.285710000000002</v>
      </c>
      <c r="D536" s="20">
        <f t="shared" si="157"/>
        <v>41.564460773598206</v>
      </c>
      <c r="E536" s="20">
        <f t="shared" si="158"/>
        <v>-4.6104081852480263</v>
      </c>
      <c r="F536" s="20">
        <f t="shared" si="159"/>
        <v>3.4472198671082257</v>
      </c>
      <c r="G536" s="20">
        <f t="shared" si="160"/>
        <v>3.4472198671082257</v>
      </c>
      <c r="H536" s="20">
        <f t="shared" si="161"/>
        <v>3.4472198671082257</v>
      </c>
      <c r="I536" s="17"/>
      <c r="J536" s="20">
        <f t="shared" si="162"/>
        <v>37.928751338592392</v>
      </c>
      <c r="K536" s="20">
        <f t="shared" si="163"/>
        <v>9.8502500796090239E-3</v>
      </c>
      <c r="L536" s="20">
        <f t="shared" si="164"/>
        <v>2.5221200353834914</v>
      </c>
      <c r="M536" s="20">
        <f t="shared" si="165"/>
        <v>2.5221200353834914</v>
      </c>
      <c r="N536" s="20">
        <f t="shared" si="166"/>
        <v>2.5221200353834914</v>
      </c>
      <c r="O536" s="17"/>
      <c r="P536" s="20">
        <f t="shared" si="167"/>
        <v>12.857076071970804</v>
      </c>
      <c r="Q536" s="20">
        <f t="shared" si="168"/>
        <v>31.306639349755194</v>
      </c>
      <c r="R536" s="20">
        <f t="shared" si="169"/>
        <v>0</v>
      </c>
      <c r="S536" s="20">
        <f t="shared" si="170"/>
        <v>0</v>
      </c>
      <c r="T536" s="20">
        <f t="shared" si="171"/>
        <v>0</v>
      </c>
      <c r="U536" s="17"/>
      <c r="V536" s="20">
        <f t="shared" si="172"/>
        <v>44.163715421725996</v>
      </c>
      <c r="W536" s="17"/>
      <c r="X536" s="20">
        <f t="shared" si="173"/>
        <v>34.55094773784019</v>
      </c>
      <c r="Y536" s="20">
        <f t="shared" si="174"/>
        <v>5.8780054217259945</v>
      </c>
      <c r="Z536" s="20"/>
      <c r="AA536" s="20">
        <f t="shared" si="175"/>
        <v>3.8416261239475859E-5</v>
      </c>
    </row>
    <row r="537" spans="2:27" x14ac:dyDescent="0.3">
      <c r="B537" s="28">
        <v>49.9</v>
      </c>
      <c r="C537" s="28">
        <v>28.785710000000002</v>
      </c>
      <c r="D537" s="20">
        <f t="shared" si="157"/>
        <v>41.639638953896863</v>
      </c>
      <c r="E537" s="20">
        <f t="shared" si="158"/>
        <v>-4.6053615629010665</v>
      </c>
      <c r="F537" s="20">
        <f t="shared" si="159"/>
        <v>3.4583309782193359</v>
      </c>
      <c r="G537" s="20">
        <f t="shared" si="160"/>
        <v>3.4583309782193359</v>
      </c>
      <c r="H537" s="20">
        <f t="shared" si="161"/>
        <v>3.4583309782193359</v>
      </c>
      <c r="I537" s="17"/>
      <c r="J537" s="20">
        <f t="shared" si="162"/>
        <v>38.002000159772216</v>
      </c>
      <c r="K537" s="20">
        <f t="shared" si="163"/>
        <v>9.8995976846084389E-3</v>
      </c>
      <c r="L537" s="20">
        <f t="shared" si="164"/>
        <v>2.5300800397252736</v>
      </c>
      <c r="M537" s="20">
        <f t="shared" si="165"/>
        <v>2.5300800397252736</v>
      </c>
      <c r="N537" s="20">
        <f t="shared" si="166"/>
        <v>2.5300800397252736</v>
      </c>
      <c r="O537" s="17"/>
      <c r="P537" s="20">
        <f t="shared" si="167"/>
        <v>12.808194012730787</v>
      </c>
      <c r="Q537" s="20">
        <f t="shared" si="168"/>
        <v>31.149059589800409</v>
      </c>
      <c r="R537" s="20">
        <f t="shared" si="169"/>
        <v>0</v>
      </c>
      <c r="S537" s="20">
        <f t="shared" si="170"/>
        <v>0</v>
      </c>
      <c r="T537" s="20">
        <f t="shared" si="171"/>
        <v>0</v>
      </c>
      <c r="U537" s="17"/>
      <c r="V537" s="20">
        <f t="shared" si="172"/>
        <v>43.957253602531196</v>
      </c>
      <c r="W537" s="17"/>
      <c r="X537" s="20">
        <f t="shared" si="173"/>
        <v>230.17573528350522</v>
      </c>
      <c r="Y537" s="20">
        <f t="shared" si="174"/>
        <v>15.171543602531194</v>
      </c>
      <c r="Z537" s="20"/>
      <c r="AA537" s="20">
        <f t="shared" si="175"/>
        <v>9.9155060369065793E-5</v>
      </c>
    </row>
    <row r="538" spans="2:27" x14ac:dyDescent="0.3">
      <c r="B538" s="28">
        <v>50</v>
      </c>
      <c r="C538" s="28">
        <v>33.035710000000002</v>
      </c>
      <c r="D538" s="20">
        <f t="shared" si="157"/>
        <v>41.714817134195528</v>
      </c>
      <c r="E538" s="20">
        <f t="shared" si="158"/>
        <v>-4.6003149405541075</v>
      </c>
      <c r="F538" s="20">
        <f t="shared" si="159"/>
        <v>3.469442089330447</v>
      </c>
      <c r="G538" s="20">
        <f t="shared" si="160"/>
        <v>3.469442089330447</v>
      </c>
      <c r="H538" s="20">
        <f t="shared" si="161"/>
        <v>3.469442089330447</v>
      </c>
      <c r="I538" s="17"/>
      <c r="J538" s="20">
        <f t="shared" si="162"/>
        <v>38.075252601132114</v>
      </c>
      <c r="K538" s="20">
        <f t="shared" si="163"/>
        <v>9.9491900749323677E-3</v>
      </c>
      <c r="L538" s="20">
        <f t="shared" si="164"/>
        <v>2.5380471446848345</v>
      </c>
      <c r="M538" s="20">
        <f t="shared" si="165"/>
        <v>2.5380471446848345</v>
      </c>
      <c r="N538" s="20">
        <f t="shared" si="166"/>
        <v>2.5380471446848345</v>
      </c>
      <c r="O538" s="17"/>
      <c r="P538" s="20">
        <f t="shared" si="167"/>
        <v>12.759587816002053</v>
      </c>
      <c r="Q538" s="20">
        <f t="shared" si="168"/>
        <v>30.992273145181631</v>
      </c>
      <c r="R538" s="20">
        <f t="shared" si="169"/>
        <v>0</v>
      </c>
      <c r="S538" s="20">
        <f t="shared" si="170"/>
        <v>0</v>
      </c>
      <c r="T538" s="20">
        <f t="shared" si="171"/>
        <v>0</v>
      </c>
      <c r="U538" s="17"/>
      <c r="V538" s="20">
        <f t="shared" si="172"/>
        <v>43.751860961183681</v>
      </c>
      <c r="W538" s="17"/>
      <c r="X538" s="20">
        <f t="shared" si="173"/>
        <v>114.83589142287789</v>
      </c>
      <c r="Y538" s="20">
        <f t="shared" si="174"/>
        <v>10.716150961183679</v>
      </c>
      <c r="Z538" s="20"/>
      <c r="AA538" s="20">
        <f t="shared" si="175"/>
        <v>7.0036419715586117E-5</v>
      </c>
    </row>
    <row r="539" spans="2:27" x14ac:dyDescent="0.3">
      <c r="B539" s="28">
        <v>50.1</v>
      </c>
      <c r="C539" s="28">
        <v>53.785710000000002</v>
      </c>
      <c r="D539" s="20">
        <f t="shared" si="157"/>
        <v>41.789995314494185</v>
      </c>
      <c r="E539" s="20">
        <f t="shared" si="158"/>
        <v>-4.5952683182071485</v>
      </c>
      <c r="F539" s="20">
        <f t="shared" si="159"/>
        <v>3.4805532004415589</v>
      </c>
      <c r="G539" s="20">
        <f t="shared" si="160"/>
        <v>3.4805532004415589</v>
      </c>
      <c r="H539" s="20">
        <f t="shared" si="161"/>
        <v>3.4805532004415589</v>
      </c>
      <c r="I539" s="17"/>
      <c r="J539" s="20">
        <f t="shared" si="162"/>
        <v>38.14850864928956</v>
      </c>
      <c r="K539" s="20">
        <f t="shared" si="163"/>
        <v>9.9990284406028408E-3</v>
      </c>
      <c r="L539" s="20">
        <f t="shared" si="164"/>
        <v>2.5460213246106194</v>
      </c>
      <c r="M539" s="20">
        <f t="shared" si="165"/>
        <v>2.5460213246106194</v>
      </c>
      <c r="N539" s="20">
        <f t="shared" si="166"/>
        <v>2.5460213246106194</v>
      </c>
      <c r="O539" s="17"/>
      <c r="P539" s="20">
        <f t="shared" si="167"/>
        <v>12.711255423311435</v>
      </c>
      <c r="Q539" s="20">
        <f t="shared" si="168"/>
        <v>30.836276022761833</v>
      </c>
      <c r="R539" s="20">
        <f t="shared" si="169"/>
        <v>0</v>
      </c>
      <c r="S539" s="20">
        <f t="shared" si="170"/>
        <v>0</v>
      </c>
      <c r="T539" s="20">
        <f t="shared" si="171"/>
        <v>0</v>
      </c>
      <c r="U539" s="17"/>
      <c r="V539" s="20">
        <f t="shared" si="172"/>
        <v>43.547531446073265</v>
      </c>
      <c r="W539" s="17"/>
      <c r="X539" s="20">
        <f t="shared" si="173"/>
        <v>104.82030010208537</v>
      </c>
      <c r="Y539" s="20">
        <f t="shared" si="174"/>
        <v>10.238178553926737</v>
      </c>
      <c r="Z539" s="20"/>
      <c r="AA539" s="20">
        <f t="shared" si="175"/>
        <v>6.6912585771068911E-5</v>
      </c>
    </row>
    <row r="540" spans="2:27" x14ac:dyDescent="0.3">
      <c r="B540" s="28">
        <v>50.2</v>
      </c>
      <c r="C540" s="28">
        <v>55.035710000000002</v>
      </c>
      <c r="D540" s="20">
        <f t="shared" si="157"/>
        <v>41.865173494792849</v>
      </c>
      <c r="E540" s="20">
        <f t="shared" si="158"/>
        <v>-4.5902216958601887</v>
      </c>
      <c r="F540" s="20">
        <f t="shared" si="159"/>
        <v>3.49166431155267</v>
      </c>
      <c r="G540" s="20">
        <f t="shared" si="160"/>
        <v>3.49166431155267</v>
      </c>
      <c r="H540" s="20">
        <f t="shared" si="161"/>
        <v>3.49166431155267</v>
      </c>
      <c r="I540" s="17"/>
      <c r="J540" s="20">
        <f t="shared" si="162"/>
        <v>38.221768290935437</v>
      </c>
      <c r="K540" s="20">
        <f t="shared" si="163"/>
        <v>1.0049113977187579E-2</v>
      </c>
      <c r="L540" s="20">
        <f t="shared" si="164"/>
        <v>2.5540025539589108</v>
      </c>
      <c r="M540" s="20">
        <f t="shared" si="165"/>
        <v>2.5540025539589108</v>
      </c>
      <c r="N540" s="20">
        <f t="shared" si="166"/>
        <v>2.5540025539589108</v>
      </c>
      <c r="O540" s="17"/>
      <c r="P540" s="20">
        <f t="shared" si="167"/>
        <v>12.663194795250501</v>
      </c>
      <c r="Q540" s="20">
        <f t="shared" si="168"/>
        <v>30.681064249506512</v>
      </c>
      <c r="R540" s="20">
        <f t="shared" si="169"/>
        <v>0</v>
      </c>
      <c r="S540" s="20">
        <f t="shared" si="170"/>
        <v>0</v>
      </c>
      <c r="T540" s="20">
        <f t="shared" si="171"/>
        <v>0</v>
      </c>
      <c r="U540" s="17"/>
      <c r="V540" s="20">
        <f t="shared" si="172"/>
        <v>43.34425904475701</v>
      </c>
      <c r="W540" s="17"/>
      <c r="X540" s="20">
        <f t="shared" si="173"/>
        <v>136.69002543885227</v>
      </c>
      <c r="Y540" s="20">
        <f t="shared" si="174"/>
        <v>11.691450955242992</v>
      </c>
      <c r="Z540" s="20"/>
      <c r="AA540" s="20">
        <f t="shared" si="175"/>
        <v>7.6410585213997659E-5</v>
      </c>
    </row>
    <row r="541" spans="2:27" x14ac:dyDescent="0.3">
      <c r="B541" s="28">
        <v>50.3</v>
      </c>
      <c r="C541" s="28">
        <v>58.285710000000002</v>
      </c>
      <c r="D541" s="20">
        <f t="shared" si="157"/>
        <v>41.940351675091499</v>
      </c>
      <c r="E541" s="20">
        <f t="shared" si="158"/>
        <v>-4.5851750735132306</v>
      </c>
      <c r="F541" s="20">
        <f t="shared" si="159"/>
        <v>3.5027754226637811</v>
      </c>
      <c r="G541" s="20">
        <f t="shared" si="160"/>
        <v>3.5027754226637811</v>
      </c>
      <c r="H541" s="20">
        <f t="shared" si="161"/>
        <v>3.5027754226637811</v>
      </c>
      <c r="I541" s="17"/>
      <c r="J541" s="20">
        <f t="shared" si="162"/>
        <v>38.295031512833468</v>
      </c>
      <c r="K541" s="20">
        <f t="shared" si="163"/>
        <v>1.0099447885823428E-2</v>
      </c>
      <c r="L541" s="20">
        <f t="shared" si="164"/>
        <v>2.5619908072934647</v>
      </c>
      <c r="M541" s="20">
        <f t="shared" si="165"/>
        <v>2.5619908072934647</v>
      </c>
      <c r="N541" s="20">
        <f t="shared" si="166"/>
        <v>2.5619908072934647</v>
      </c>
      <c r="O541" s="17"/>
      <c r="P541" s="20">
        <f t="shared" si="167"/>
        <v>12.615403911264995</v>
      </c>
      <c r="Q541" s="20">
        <f t="shared" si="168"/>
        <v>30.526633872382607</v>
      </c>
      <c r="R541" s="20">
        <f t="shared" si="169"/>
        <v>0</v>
      </c>
      <c r="S541" s="20">
        <f t="shared" si="170"/>
        <v>0</v>
      </c>
      <c r="T541" s="20">
        <f t="shared" si="171"/>
        <v>0</v>
      </c>
      <c r="U541" s="17"/>
      <c r="V541" s="20">
        <f t="shared" si="172"/>
        <v>43.142037783647602</v>
      </c>
      <c r="W541" s="17"/>
      <c r="X541" s="20">
        <f t="shared" si="173"/>
        <v>229.3308081963236</v>
      </c>
      <c r="Y541" s="20">
        <f t="shared" si="174"/>
        <v>15.1436722163524</v>
      </c>
      <c r="Z541" s="20"/>
      <c r="AA541" s="20">
        <f t="shared" si="175"/>
        <v>9.897290428452164E-5</v>
      </c>
    </row>
    <row r="542" spans="2:27" x14ac:dyDescent="0.3">
      <c r="B542" s="28">
        <v>50.4</v>
      </c>
      <c r="C542" s="28">
        <v>46.035710000000002</v>
      </c>
      <c r="D542" s="20">
        <f t="shared" si="157"/>
        <v>42.015529855390163</v>
      </c>
      <c r="E542" s="20">
        <f t="shared" si="158"/>
        <v>-4.5801284511662708</v>
      </c>
      <c r="F542" s="20">
        <f t="shared" si="159"/>
        <v>3.5138865337748912</v>
      </c>
      <c r="G542" s="20">
        <f t="shared" si="160"/>
        <v>3.5138865337748912</v>
      </c>
      <c r="H542" s="20">
        <f t="shared" si="161"/>
        <v>3.5138865337748912</v>
      </c>
      <c r="I542" s="17"/>
      <c r="J542" s="20">
        <f t="shared" si="162"/>
        <v>38.368298301819763</v>
      </c>
      <c r="K542" s="20">
        <f t="shared" si="163"/>
        <v>1.015003137324001E-2</v>
      </c>
      <c r="L542" s="20">
        <f t="shared" si="164"/>
        <v>2.5699860592851431</v>
      </c>
      <c r="M542" s="20">
        <f t="shared" si="165"/>
        <v>2.5699860592851431</v>
      </c>
      <c r="N542" s="20">
        <f t="shared" si="166"/>
        <v>2.5699860592851431</v>
      </c>
      <c r="O542" s="17"/>
      <c r="P542" s="20">
        <f t="shared" si="167"/>
        <v>12.567880769446932</v>
      </c>
      <c r="Q542" s="20">
        <f t="shared" si="168"/>
        <v>30.372980958257546</v>
      </c>
      <c r="R542" s="20">
        <f t="shared" si="169"/>
        <v>0</v>
      </c>
      <c r="S542" s="20">
        <f t="shared" si="170"/>
        <v>0</v>
      </c>
      <c r="T542" s="20">
        <f t="shared" si="171"/>
        <v>0</v>
      </c>
      <c r="U542" s="17"/>
      <c r="V542" s="20">
        <f t="shared" si="172"/>
        <v>42.94086172770448</v>
      </c>
      <c r="W542" s="17"/>
      <c r="X542" s="20">
        <f t="shared" si="173"/>
        <v>9.5780858285305772</v>
      </c>
      <c r="Y542" s="20">
        <f t="shared" si="174"/>
        <v>3.094848272295522</v>
      </c>
      <c r="Z542" s="20"/>
      <c r="AA542" s="20">
        <f t="shared" si="175"/>
        <v>2.0226674049261792E-5</v>
      </c>
    </row>
    <row r="543" spans="2:27" x14ac:dyDescent="0.3">
      <c r="B543" s="28">
        <v>50.5</v>
      </c>
      <c r="C543" s="28">
        <v>40.035710000000002</v>
      </c>
      <c r="D543" s="20">
        <f t="shared" si="157"/>
        <v>42.09070803568882</v>
      </c>
      <c r="E543" s="20">
        <f t="shared" si="158"/>
        <v>-4.5750818288193118</v>
      </c>
      <c r="F543" s="20">
        <f t="shared" si="159"/>
        <v>3.5249976448860032</v>
      </c>
      <c r="G543" s="20">
        <f t="shared" si="160"/>
        <v>3.5249976448860032</v>
      </c>
      <c r="H543" s="20">
        <f t="shared" si="161"/>
        <v>3.5249976448860032</v>
      </c>
      <c r="I543" s="17"/>
      <c r="J543" s="20">
        <f t="shared" si="162"/>
        <v>38.44156864480221</v>
      </c>
      <c r="K543" s="20">
        <f t="shared" si="163"/>
        <v>1.0200865651783244E-2</v>
      </c>
      <c r="L543" s="20">
        <f t="shared" si="164"/>
        <v>2.5779882847115485</v>
      </c>
      <c r="M543" s="20">
        <f t="shared" si="165"/>
        <v>2.5779882847115485</v>
      </c>
      <c r="N543" s="20">
        <f t="shared" si="166"/>
        <v>2.5779882847115485</v>
      </c>
      <c r="O543" s="17"/>
      <c r="P543" s="20">
        <f t="shared" si="167"/>
        <v>12.520623386329449</v>
      </c>
      <c r="Q543" s="20">
        <f t="shared" si="168"/>
        <v>30.220101593799416</v>
      </c>
      <c r="R543" s="20">
        <f t="shared" si="169"/>
        <v>0</v>
      </c>
      <c r="S543" s="20">
        <f t="shared" si="170"/>
        <v>0</v>
      </c>
      <c r="T543" s="20">
        <f t="shared" si="171"/>
        <v>0</v>
      </c>
      <c r="U543" s="17"/>
      <c r="V543" s="20">
        <f t="shared" si="172"/>
        <v>42.740724980128867</v>
      </c>
      <c r="W543" s="17"/>
      <c r="X543" s="20">
        <f t="shared" si="173"/>
        <v>7.3171060427215666</v>
      </c>
      <c r="Y543" s="20">
        <f t="shared" si="174"/>
        <v>2.7050149801288654</v>
      </c>
      <c r="Z543" s="20"/>
      <c r="AA543" s="20">
        <f t="shared" si="175"/>
        <v>1.7678881640570593E-5</v>
      </c>
    </row>
    <row r="544" spans="2:27" x14ac:dyDescent="0.3">
      <c r="B544" s="28">
        <v>50.6</v>
      </c>
      <c r="C544" s="28">
        <v>39.035710000000002</v>
      </c>
      <c r="D544" s="20">
        <f t="shared" si="157"/>
        <v>42.165886215987484</v>
      </c>
      <c r="E544" s="20">
        <f t="shared" si="158"/>
        <v>-4.5700352064723528</v>
      </c>
      <c r="F544" s="20">
        <f t="shared" si="159"/>
        <v>3.5361087559971143</v>
      </c>
      <c r="G544" s="20">
        <f t="shared" si="160"/>
        <v>3.5361087559971143</v>
      </c>
      <c r="H544" s="20">
        <f t="shared" si="161"/>
        <v>3.5361087559971143</v>
      </c>
      <c r="I544" s="17"/>
      <c r="J544" s="20">
        <f t="shared" si="162"/>
        <v>38.514842528760042</v>
      </c>
      <c r="K544" s="20">
        <f t="shared" si="163"/>
        <v>1.0251951939439122E-2</v>
      </c>
      <c r="L544" s="20">
        <f t="shared" si="164"/>
        <v>2.5859974584566512</v>
      </c>
      <c r="M544" s="20">
        <f t="shared" si="165"/>
        <v>2.5859974584566512</v>
      </c>
      <c r="N544" s="20">
        <f t="shared" si="166"/>
        <v>2.5859974584566512</v>
      </c>
      <c r="O544" s="17"/>
      <c r="P544" s="20">
        <f t="shared" si="167"/>
        <v>12.473629796684151</v>
      </c>
      <c r="Q544" s="20">
        <f t="shared" si="168"/>
        <v>30.067991885377058</v>
      </c>
      <c r="R544" s="20">
        <f t="shared" si="169"/>
        <v>0</v>
      </c>
      <c r="S544" s="20">
        <f t="shared" si="170"/>
        <v>0</v>
      </c>
      <c r="T544" s="20">
        <f t="shared" si="171"/>
        <v>0</v>
      </c>
      <c r="U544" s="17"/>
      <c r="V544" s="20">
        <f t="shared" si="172"/>
        <v>42.541621682061205</v>
      </c>
      <c r="W544" s="17"/>
      <c r="X544" s="20">
        <f t="shared" si="173"/>
        <v>12.291416722413215</v>
      </c>
      <c r="Y544" s="20">
        <f t="shared" si="174"/>
        <v>3.5059116820612033</v>
      </c>
      <c r="Z544" s="20"/>
      <c r="AA544" s="20">
        <f t="shared" si="175"/>
        <v>2.2913217902586643E-5</v>
      </c>
    </row>
    <row r="545" spans="2:27" x14ac:dyDescent="0.3">
      <c r="B545" s="28">
        <v>50.7</v>
      </c>
      <c r="C545" s="28">
        <v>39.285710000000002</v>
      </c>
      <c r="D545" s="20">
        <f t="shared" si="157"/>
        <v>42.241064396286149</v>
      </c>
      <c r="E545" s="20">
        <f t="shared" si="158"/>
        <v>-4.564988584125393</v>
      </c>
      <c r="F545" s="20">
        <f t="shared" si="159"/>
        <v>3.5472198671082253</v>
      </c>
      <c r="G545" s="20">
        <f t="shared" si="160"/>
        <v>3.5472198671082253</v>
      </c>
      <c r="H545" s="20">
        <f t="shared" si="161"/>
        <v>3.5472198671082253</v>
      </c>
      <c r="I545" s="17"/>
      <c r="J545" s="20">
        <f t="shared" si="162"/>
        <v>38.58811994074324</v>
      </c>
      <c r="K545" s="20">
        <f t="shared" si="163"/>
        <v>1.0303291459857497E-2</v>
      </c>
      <c r="L545" s="20">
        <f t="shared" si="164"/>
        <v>2.5940135555104242</v>
      </c>
      <c r="M545" s="20">
        <f t="shared" si="165"/>
        <v>2.5940135555104242</v>
      </c>
      <c r="N545" s="20">
        <f t="shared" si="166"/>
        <v>2.5940135555104242</v>
      </c>
      <c r="O545" s="17"/>
      <c r="P545" s="20">
        <f t="shared" si="167"/>
        <v>12.426898053321164</v>
      </c>
      <c r="Q545" s="20">
        <f t="shared" si="168"/>
        <v>29.916647958960905</v>
      </c>
      <c r="R545" s="20">
        <f t="shared" si="169"/>
        <v>0</v>
      </c>
      <c r="S545" s="20">
        <f t="shared" si="170"/>
        <v>0</v>
      </c>
      <c r="T545" s="20">
        <f t="shared" si="171"/>
        <v>0</v>
      </c>
      <c r="U545" s="17"/>
      <c r="V545" s="20">
        <f t="shared" si="172"/>
        <v>42.343546012282069</v>
      </c>
      <c r="W545" s="17"/>
      <c r="X545" s="20">
        <f t="shared" si="173"/>
        <v>9.3503610780090938</v>
      </c>
      <c r="Y545" s="20">
        <f t="shared" si="174"/>
        <v>3.0578360122820669</v>
      </c>
      <c r="Z545" s="20"/>
      <c r="AA545" s="20">
        <f t="shared" si="175"/>
        <v>1.9984776917883716E-5</v>
      </c>
    </row>
    <row r="546" spans="2:27" x14ac:dyDescent="0.3">
      <c r="B546" s="28">
        <v>50.8</v>
      </c>
      <c r="C546" s="28">
        <v>43.535710000000002</v>
      </c>
      <c r="D546" s="20">
        <f t="shared" si="157"/>
        <v>42.316242576584798</v>
      </c>
      <c r="E546" s="20">
        <f t="shared" si="158"/>
        <v>-4.5599419617784349</v>
      </c>
      <c r="F546" s="20">
        <f t="shared" si="159"/>
        <v>3.5583309782193364</v>
      </c>
      <c r="G546" s="20">
        <f t="shared" si="160"/>
        <v>3.5583309782193364</v>
      </c>
      <c r="H546" s="20">
        <f t="shared" si="161"/>
        <v>3.5583309782193364</v>
      </c>
      <c r="I546" s="17"/>
      <c r="J546" s="20">
        <f t="shared" si="162"/>
        <v>38.661400867872075</v>
      </c>
      <c r="K546" s="20">
        <f t="shared" si="163"/>
        <v>1.0354885442375861E-2</v>
      </c>
      <c r="L546" s="20">
        <f t="shared" si="164"/>
        <v>2.6020365509684718</v>
      </c>
      <c r="M546" s="20">
        <f t="shared" si="165"/>
        <v>2.6020365509684718</v>
      </c>
      <c r="N546" s="20">
        <f t="shared" si="166"/>
        <v>2.6020365509684718</v>
      </c>
      <c r="O546" s="17"/>
      <c r="P546" s="20">
        <f t="shared" si="167"/>
        <v>12.380426226891636</v>
      </c>
      <c r="Q546" s="20">
        <f t="shared" si="168"/>
        <v>29.766065960024541</v>
      </c>
      <c r="R546" s="20">
        <f t="shared" si="169"/>
        <v>0</v>
      </c>
      <c r="S546" s="20">
        <f t="shared" si="170"/>
        <v>0</v>
      </c>
      <c r="T546" s="20">
        <f t="shared" si="171"/>
        <v>0</v>
      </c>
      <c r="U546" s="17"/>
      <c r="V546" s="20">
        <f t="shared" si="172"/>
        <v>42.146492186916177</v>
      </c>
      <c r="W546" s="17"/>
      <c r="X546" s="20">
        <f t="shared" si="173"/>
        <v>1.9299261321894043</v>
      </c>
      <c r="Y546" s="20">
        <f t="shared" si="174"/>
        <v>1.3892178130838246</v>
      </c>
      <c r="Z546" s="20"/>
      <c r="AA546" s="20">
        <f t="shared" si="175"/>
        <v>9.0793646138370889E-6</v>
      </c>
    </row>
    <row r="547" spans="2:27" x14ac:dyDescent="0.3">
      <c r="B547" s="28">
        <v>50.9</v>
      </c>
      <c r="C547" s="28">
        <v>38.535710000000002</v>
      </c>
      <c r="D547" s="20">
        <f t="shared" si="157"/>
        <v>42.391420756883463</v>
      </c>
      <c r="E547" s="20">
        <f t="shared" si="158"/>
        <v>-4.5548953394314751</v>
      </c>
      <c r="F547" s="20">
        <f t="shared" si="159"/>
        <v>3.5694420893304466</v>
      </c>
      <c r="G547" s="20">
        <f t="shared" si="160"/>
        <v>3.5694420893304466</v>
      </c>
      <c r="H547" s="20">
        <f t="shared" si="161"/>
        <v>3.5694420893304466</v>
      </c>
      <c r="I547" s="17"/>
      <c r="J547" s="20">
        <f t="shared" si="162"/>
        <v>38.734685297336625</v>
      </c>
      <c r="K547" s="20">
        <f t="shared" si="163"/>
        <v>1.0406735122043412E-2</v>
      </c>
      <c r="L547" s="20">
        <f t="shared" si="164"/>
        <v>2.6100664200316559</v>
      </c>
      <c r="M547" s="20">
        <f t="shared" si="165"/>
        <v>2.6100664200316559</v>
      </c>
      <c r="N547" s="20">
        <f t="shared" si="166"/>
        <v>2.6100664200316559</v>
      </c>
      <c r="O547" s="17"/>
      <c r="P547" s="20">
        <f t="shared" si="167"/>
        <v>12.334212405692782</v>
      </c>
      <c r="Q547" s="20">
        <f t="shared" si="168"/>
        <v>29.616242053446143</v>
      </c>
      <c r="R547" s="20">
        <f t="shared" si="169"/>
        <v>0</v>
      </c>
      <c r="S547" s="20">
        <f t="shared" si="170"/>
        <v>0</v>
      </c>
      <c r="T547" s="20">
        <f t="shared" si="171"/>
        <v>0</v>
      </c>
      <c r="U547" s="17"/>
      <c r="V547" s="20">
        <f t="shared" si="172"/>
        <v>41.950454459138925</v>
      </c>
      <c r="W547" s="17"/>
      <c r="X547" s="20">
        <f t="shared" si="173"/>
        <v>11.660479721219977</v>
      </c>
      <c r="Y547" s="20">
        <f t="shared" si="174"/>
        <v>3.4147444591389231</v>
      </c>
      <c r="Z547" s="20"/>
      <c r="AA547" s="20">
        <f t="shared" si="175"/>
        <v>2.2317385881181084E-5</v>
      </c>
    </row>
    <row r="548" spans="2:27" x14ac:dyDescent="0.3">
      <c r="B548" s="28">
        <v>51</v>
      </c>
      <c r="C548" s="28">
        <v>22.285710000000002</v>
      </c>
      <c r="D548" s="20">
        <f t="shared" si="157"/>
        <v>42.46659893718212</v>
      </c>
      <c r="E548" s="20">
        <f t="shared" si="158"/>
        <v>-4.5498487170845152</v>
      </c>
      <c r="F548" s="20">
        <f t="shared" si="159"/>
        <v>3.5805532004415586</v>
      </c>
      <c r="G548" s="20">
        <f t="shared" si="160"/>
        <v>3.5805532004415586</v>
      </c>
      <c r="H548" s="20">
        <f t="shared" si="161"/>
        <v>3.5805532004415586</v>
      </c>
      <c r="I548" s="17"/>
      <c r="J548" s="20">
        <f t="shared" si="162"/>
        <v>38.807973216396206</v>
      </c>
      <c r="K548" s="20">
        <f t="shared" si="163"/>
        <v>1.045884173964493E-2</v>
      </c>
      <c r="L548" s="20">
        <f t="shared" si="164"/>
        <v>2.6181031380057282</v>
      </c>
      <c r="M548" s="20">
        <f t="shared" si="165"/>
        <v>2.6181031380057282</v>
      </c>
      <c r="N548" s="20">
        <f t="shared" si="166"/>
        <v>2.6181031380057282</v>
      </c>
      <c r="O548" s="17"/>
      <c r="P548" s="20">
        <f t="shared" si="167"/>
        <v>12.288254695475421</v>
      </c>
      <c r="Q548" s="20">
        <f t="shared" si="168"/>
        <v>29.467172423411185</v>
      </c>
      <c r="R548" s="20">
        <f t="shared" si="169"/>
        <v>0</v>
      </c>
      <c r="S548" s="20">
        <f t="shared" si="170"/>
        <v>0</v>
      </c>
      <c r="T548" s="20">
        <f t="shared" si="171"/>
        <v>0</v>
      </c>
      <c r="U548" s="17"/>
      <c r="V548" s="20">
        <f t="shared" si="172"/>
        <v>41.755427118886608</v>
      </c>
      <c r="W548" s="17"/>
      <c r="X548" s="20">
        <f t="shared" si="173"/>
        <v>379.06988468946616</v>
      </c>
      <c r="Y548" s="20">
        <f t="shared" si="174"/>
        <v>19.469717118886606</v>
      </c>
      <c r="Z548" s="20"/>
      <c r="AA548" s="20">
        <f t="shared" si="175"/>
        <v>1.2724618053826445E-4</v>
      </c>
    </row>
    <row r="549" spans="2:27" x14ac:dyDescent="0.3">
      <c r="B549" s="28">
        <v>51.1</v>
      </c>
      <c r="C549" s="28">
        <v>40.035710000000002</v>
      </c>
      <c r="D549" s="20">
        <f t="shared" si="157"/>
        <v>42.541777117480784</v>
      </c>
      <c r="E549" s="20">
        <f t="shared" si="158"/>
        <v>-4.5448020947375571</v>
      </c>
      <c r="F549" s="20">
        <f t="shared" si="159"/>
        <v>3.5916643115526696</v>
      </c>
      <c r="G549" s="20">
        <f t="shared" si="160"/>
        <v>3.5916643115526696</v>
      </c>
      <c r="H549" s="20">
        <f t="shared" si="161"/>
        <v>3.5916643115526696</v>
      </c>
      <c r="I549" s="17"/>
      <c r="J549" s="20">
        <f t="shared" si="162"/>
        <v>38.881264612378949</v>
      </c>
      <c r="K549" s="20">
        <f t="shared" si="163"/>
        <v>1.0511206541724924E-2</v>
      </c>
      <c r="L549" s="20">
        <f t="shared" si="164"/>
        <v>2.6261466803009506</v>
      </c>
      <c r="M549" s="20">
        <f t="shared" si="165"/>
        <v>2.6261466803009506</v>
      </c>
      <c r="N549" s="20">
        <f t="shared" si="166"/>
        <v>2.6261466803009506</v>
      </c>
      <c r="O549" s="17"/>
      <c r="P549" s="20">
        <f t="shared" si="167"/>
        <v>12.242551219253913</v>
      </c>
      <c r="Q549" s="20">
        <f t="shared" si="168"/>
        <v>29.318853273315106</v>
      </c>
      <c r="R549" s="20">
        <f t="shared" si="169"/>
        <v>0</v>
      </c>
      <c r="S549" s="20">
        <f t="shared" si="170"/>
        <v>0</v>
      </c>
      <c r="T549" s="20">
        <f t="shared" si="171"/>
        <v>0</v>
      </c>
      <c r="U549" s="17"/>
      <c r="V549" s="20">
        <f t="shared" si="172"/>
        <v>41.561404492569018</v>
      </c>
      <c r="W549" s="17"/>
      <c r="X549" s="20">
        <f t="shared" si="173"/>
        <v>2.3277436846554282</v>
      </c>
      <c r="Y549" s="20">
        <f t="shared" si="174"/>
        <v>1.5256944925690163</v>
      </c>
      <c r="Z549" s="20"/>
      <c r="AA549" s="20">
        <f t="shared" si="175"/>
        <v>9.9713208806381886E-6</v>
      </c>
    </row>
    <row r="550" spans="2:27" x14ac:dyDescent="0.3">
      <c r="B550" s="28">
        <v>51.2</v>
      </c>
      <c r="C550" s="28">
        <v>50.785710000000002</v>
      </c>
      <c r="D550" s="20">
        <f t="shared" si="157"/>
        <v>42.616955297779441</v>
      </c>
      <c r="E550" s="20">
        <f t="shared" si="158"/>
        <v>-4.5397554723905973</v>
      </c>
      <c r="F550" s="20">
        <f t="shared" si="159"/>
        <v>3.6027754226637816</v>
      </c>
      <c r="G550" s="20">
        <f t="shared" si="160"/>
        <v>3.6027754226637816</v>
      </c>
      <c r="H550" s="20">
        <f t="shared" si="161"/>
        <v>3.6027754226637816</v>
      </c>
      <c r="I550" s="17"/>
      <c r="J550" s="20">
        <f t="shared" si="162"/>
        <v>38.954559472681247</v>
      </c>
      <c r="K550" s="20">
        <f t="shared" si="163"/>
        <v>1.0563830780611844E-2</v>
      </c>
      <c r="L550" s="20">
        <f t="shared" si="164"/>
        <v>2.6341970224317266</v>
      </c>
      <c r="M550" s="20">
        <f t="shared" si="165"/>
        <v>2.6341970224317266</v>
      </c>
      <c r="N550" s="20">
        <f t="shared" si="166"/>
        <v>2.6341970224317266</v>
      </c>
      <c r="O550" s="17"/>
      <c r="P550" s="20">
        <f t="shared" si="167"/>
        <v>12.197100117118531</v>
      </c>
      <c r="Q550" s="20">
        <f t="shared" si="168"/>
        <v>29.171280825666422</v>
      </c>
      <c r="R550" s="20">
        <f t="shared" si="169"/>
        <v>0</v>
      </c>
      <c r="S550" s="20">
        <f t="shared" si="170"/>
        <v>0</v>
      </c>
      <c r="T550" s="20">
        <f t="shared" si="171"/>
        <v>0</v>
      </c>
      <c r="U550" s="17"/>
      <c r="V550" s="20">
        <f t="shared" si="172"/>
        <v>41.368380942784952</v>
      </c>
      <c r="W550" s="17"/>
      <c r="X550" s="20">
        <f t="shared" si="173"/>
        <v>88.68608657186688</v>
      </c>
      <c r="Y550" s="20">
        <f t="shared" si="174"/>
        <v>9.4173290572150492</v>
      </c>
      <c r="Z550" s="20"/>
      <c r="AA550" s="20">
        <f t="shared" si="175"/>
        <v>6.1547846128704142E-5</v>
      </c>
    </row>
    <row r="551" spans="2:27" x14ac:dyDescent="0.3">
      <c r="B551" s="28">
        <v>51.3</v>
      </c>
      <c r="C551" s="28">
        <v>32.035710000000002</v>
      </c>
      <c r="D551" s="20">
        <f t="shared" si="157"/>
        <v>42.692133478078098</v>
      </c>
      <c r="E551" s="20">
        <f t="shared" si="158"/>
        <v>-4.5347088500436383</v>
      </c>
      <c r="F551" s="20">
        <f t="shared" si="159"/>
        <v>3.6138865337748918</v>
      </c>
      <c r="G551" s="20">
        <f t="shared" si="160"/>
        <v>3.6138865337748918</v>
      </c>
      <c r="H551" s="20">
        <f t="shared" si="161"/>
        <v>3.6138865337748918</v>
      </c>
      <c r="I551" s="17"/>
      <c r="J551" s="20">
        <f t="shared" si="162"/>
        <v>39.027857784767306</v>
      </c>
      <c r="K551" s="20">
        <f t="shared" si="163"/>
        <v>1.0616715714442199E-2</v>
      </c>
      <c r="L551" s="20">
        <f t="shared" si="164"/>
        <v>2.6422541400162225</v>
      </c>
      <c r="M551" s="20">
        <f t="shared" si="165"/>
        <v>2.6422541400162225</v>
      </c>
      <c r="N551" s="20">
        <f t="shared" si="166"/>
        <v>2.6422541400162225</v>
      </c>
      <c r="O551" s="17"/>
      <c r="P551" s="20">
        <f t="shared" si="167"/>
        <v>12.151899546050162</v>
      </c>
      <c r="Q551" s="20">
        <f t="shared" si="168"/>
        <v>29.024451321990902</v>
      </c>
      <c r="R551" s="20">
        <f t="shared" si="169"/>
        <v>0</v>
      </c>
      <c r="S551" s="20">
        <f t="shared" si="170"/>
        <v>0</v>
      </c>
      <c r="T551" s="20">
        <f t="shared" si="171"/>
        <v>0</v>
      </c>
      <c r="U551" s="17"/>
      <c r="V551" s="20">
        <f t="shared" si="172"/>
        <v>41.176350868041062</v>
      </c>
      <c r="W551" s="17"/>
      <c r="X551" s="20">
        <f t="shared" si="173"/>
        <v>83.551315478502431</v>
      </c>
      <c r="Y551" s="20">
        <f t="shared" si="174"/>
        <v>9.1406408680410607</v>
      </c>
      <c r="Z551" s="20"/>
      <c r="AA551" s="20">
        <f t="shared" si="175"/>
        <v>5.9739524258517043E-5</v>
      </c>
    </row>
    <row r="552" spans="2:27" x14ac:dyDescent="0.3">
      <c r="B552" s="28">
        <v>51.4</v>
      </c>
      <c r="C552" s="28">
        <v>31.785710000000002</v>
      </c>
      <c r="D552" s="20">
        <f t="shared" si="157"/>
        <v>42.767311658376762</v>
      </c>
      <c r="E552" s="20">
        <f t="shared" si="158"/>
        <v>-4.5296622276966794</v>
      </c>
      <c r="F552" s="20">
        <f t="shared" si="159"/>
        <v>3.6249976448860028</v>
      </c>
      <c r="G552" s="20">
        <f t="shared" si="160"/>
        <v>3.6249976448860028</v>
      </c>
      <c r="H552" s="20">
        <f t="shared" si="161"/>
        <v>3.6249976448860028</v>
      </c>
      <c r="I552" s="17"/>
      <c r="J552" s="20">
        <f t="shared" si="162"/>
        <v>39.101159536168673</v>
      </c>
      <c r="K552" s="20">
        <f t="shared" si="163"/>
        <v>1.0669862607184978E-2</v>
      </c>
      <c r="L552" s="20">
        <f t="shared" si="164"/>
        <v>2.6503180087759968</v>
      </c>
      <c r="M552" s="20">
        <f t="shared" si="165"/>
        <v>2.6503180087759968</v>
      </c>
      <c r="N552" s="20">
        <f t="shared" si="166"/>
        <v>2.6503180087759968</v>
      </c>
      <c r="O552" s="17"/>
      <c r="P552" s="20">
        <f t="shared" si="167"/>
        <v>12.106947679737358</v>
      </c>
      <c r="Q552" s="20">
        <f t="shared" si="168"/>
        <v>28.878361022735504</v>
      </c>
      <c r="R552" s="20">
        <f t="shared" si="169"/>
        <v>0</v>
      </c>
      <c r="S552" s="20">
        <f t="shared" si="170"/>
        <v>0</v>
      </c>
      <c r="T552" s="20">
        <f t="shared" si="171"/>
        <v>0</v>
      </c>
      <c r="U552" s="17"/>
      <c r="V552" s="20">
        <f t="shared" si="172"/>
        <v>40.985308702472864</v>
      </c>
      <c r="W552" s="17"/>
      <c r="X552" s="20">
        <f t="shared" si="173"/>
        <v>84.632616286540369</v>
      </c>
      <c r="Y552" s="20">
        <f t="shared" si="174"/>
        <v>9.199598702472862</v>
      </c>
      <c r="Z552" s="20"/>
      <c r="AA552" s="20">
        <f t="shared" si="175"/>
        <v>6.0124848770344524E-5</v>
      </c>
    </row>
    <row r="553" spans="2:27" x14ac:dyDescent="0.3">
      <c r="B553" s="28">
        <v>51.5</v>
      </c>
      <c r="C553" s="28">
        <v>48.035710000000002</v>
      </c>
      <c r="D553" s="20">
        <f t="shared" si="157"/>
        <v>42.842489838675419</v>
      </c>
      <c r="E553" s="20">
        <f t="shared" si="158"/>
        <v>-4.5246156053497195</v>
      </c>
      <c r="F553" s="20">
        <f t="shared" si="159"/>
        <v>3.6361087559971139</v>
      </c>
      <c r="G553" s="20">
        <f t="shared" si="160"/>
        <v>3.6361087559971139</v>
      </c>
      <c r="H553" s="20">
        <f t="shared" si="161"/>
        <v>3.6361087559971139</v>
      </c>
      <c r="I553" s="17"/>
      <c r="J553" s="20">
        <f t="shared" si="162"/>
        <v>39.174464714483712</v>
      </c>
      <c r="K553" s="20">
        <f t="shared" si="163"/>
        <v>1.0723272728665993E-2</v>
      </c>
      <c r="L553" s="20">
        <f t="shared" si="164"/>
        <v>2.6583886045356184</v>
      </c>
      <c r="M553" s="20">
        <f t="shared" si="165"/>
        <v>2.6583886045356184</v>
      </c>
      <c r="N553" s="20">
        <f t="shared" si="166"/>
        <v>2.6583886045356184</v>
      </c>
      <c r="O553" s="17"/>
      <c r="P553" s="20">
        <f t="shared" si="167"/>
        <v>12.062242708395715</v>
      </c>
      <c r="Q553" s="20">
        <f t="shared" si="168"/>
        <v>28.733006207173275</v>
      </c>
      <c r="R553" s="20">
        <f t="shared" si="169"/>
        <v>0</v>
      </c>
      <c r="S553" s="20">
        <f t="shared" si="170"/>
        <v>0</v>
      </c>
      <c r="T553" s="20">
        <f t="shared" si="171"/>
        <v>0</v>
      </c>
      <c r="U553" s="17"/>
      <c r="V553" s="20">
        <f t="shared" si="172"/>
        <v>40.79524891556899</v>
      </c>
      <c r="W553" s="17"/>
      <c r="X553" s="20">
        <f t="shared" si="173"/>
        <v>52.424276715159898</v>
      </c>
      <c r="Y553" s="20">
        <f t="shared" si="174"/>
        <v>7.2404610844310113</v>
      </c>
      <c r="Z553" s="20"/>
      <c r="AA553" s="20">
        <f t="shared" si="175"/>
        <v>4.7320719284414183E-5</v>
      </c>
    </row>
    <row r="554" spans="2:27" x14ac:dyDescent="0.3">
      <c r="B554" s="28">
        <v>51.6</v>
      </c>
      <c r="C554" s="28">
        <v>51.785710000000002</v>
      </c>
      <c r="D554" s="20">
        <f t="shared" si="157"/>
        <v>42.917668018974084</v>
      </c>
      <c r="E554" s="20">
        <f t="shared" si="158"/>
        <v>-4.5195689830027606</v>
      </c>
      <c r="F554" s="20">
        <f t="shared" si="159"/>
        <v>3.647219867108225</v>
      </c>
      <c r="G554" s="20">
        <f t="shared" si="160"/>
        <v>3.647219867108225</v>
      </c>
      <c r="H554" s="20">
        <f t="shared" si="161"/>
        <v>3.647219867108225</v>
      </c>
      <c r="I554" s="17"/>
      <c r="J554" s="20">
        <f t="shared" si="162"/>
        <v>39.247773307377166</v>
      </c>
      <c r="K554" s="20">
        <f t="shared" si="163"/>
        <v>1.0776947354592319E-2</v>
      </c>
      <c r="L554" s="20">
        <f t="shared" si="164"/>
        <v>2.6664659032222935</v>
      </c>
      <c r="M554" s="20">
        <f t="shared" si="165"/>
        <v>2.6664659032222935</v>
      </c>
      <c r="N554" s="20">
        <f t="shared" si="166"/>
        <v>2.6664659032222935</v>
      </c>
      <c r="O554" s="17"/>
      <c r="P554" s="20">
        <f t="shared" si="167"/>
        <v>12.01778283858947</v>
      </c>
      <c r="Q554" s="20">
        <f t="shared" si="168"/>
        <v>28.588383173308657</v>
      </c>
      <c r="R554" s="20">
        <f t="shared" si="169"/>
        <v>0</v>
      </c>
      <c r="S554" s="20">
        <f t="shared" si="170"/>
        <v>0</v>
      </c>
      <c r="T554" s="20">
        <f t="shared" si="171"/>
        <v>0</v>
      </c>
      <c r="U554" s="17"/>
      <c r="V554" s="20">
        <f t="shared" si="172"/>
        <v>40.606166011898125</v>
      </c>
      <c r="W554" s="17"/>
      <c r="X554" s="20">
        <f t="shared" si="173"/>
        <v>124.98220378190481</v>
      </c>
      <c r="Y554" s="20">
        <f t="shared" si="174"/>
        <v>11.179543988101877</v>
      </c>
      <c r="Z554" s="20"/>
      <c r="AA554" s="20">
        <f t="shared" si="175"/>
        <v>7.3064968738838581E-5</v>
      </c>
    </row>
    <row r="555" spans="2:27" x14ac:dyDescent="0.3">
      <c r="B555" s="28">
        <v>51.7</v>
      </c>
      <c r="C555" s="28">
        <v>35.535710000000002</v>
      </c>
      <c r="D555" s="20">
        <f t="shared" si="157"/>
        <v>42.992846199272741</v>
      </c>
      <c r="E555" s="20">
        <f t="shared" si="158"/>
        <v>-4.5145223606558016</v>
      </c>
      <c r="F555" s="20">
        <f t="shared" si="159"/>
        <v>3.6583309782193369</v>
      </c>
      <c r="G555" s="20">
        <f t="shared" si="160"/>
        <v>3.6583309782193369</v>
      </c>
      <c r="H555" s="20">
        <f t="shared" si="161"/>
        <v>3.6583309782193369</v>
      </c>
      <c r="I555" s="17"/>
      <c r="J555" s="20">
        <f t="shared" si="162"/>
        <v>39.321085302579689</v>
      </c>
      <c r="K555" s="20">
        <f t="shared" si="163"/>
        <v>1.0830887766576903E-2</v>
      </c>
      <c r="L555" s="20">
        <f t="shared" si="164"/>
        <v>2.6745498808654875</v>
      </c>
      <c r="M555" s="20">
        <f t="shared" si="165"/>
        <v>2.6745498808654875</v>
      </c>
      <c r="N555" s="20">
        <f t="shared" si="166"/>
        <v>2.6745498808654875</v>
      </c>
      <c r="O555" s="17"/>
      <c r="P555" s="20">
        <f t="shared" si="167"/>
        <v>11.973566293055351</v>
      </c>
      <c r="Q555" s="20">
        <f t="shared" si="168"/>
        <v>28.444488237783002</v>
      </c>
      <c r="R555" s="20">
        <f t="shared" si="169"/>
        <v>0</v>
      </c>
      <c r="S555" s="20">
        <f t="shared" si="170"/>
        <v>0</v>
      </c>
      <c r="T555" s="20">
        <f t="shared" si="171"/>
        <v>0</v>
      </c>
      <c r="U555" s="17"/>
      <c r="V555" s="20">
        <f t="shared" si="172"/>
        <v>40.418054530838354</v>
      </c>
      <c r="W555" s="17"/>
      <c r="X555" s="20">
        <f t="shared" si="173"/>
        <v>23.837288117807173</v>
      </c>
      <c r="Y555" s="20">
        <f t="shared" si="174"/>
        <v>4.8823445308383526</v>
      </c>
      <c r="Z555" s="20"/>
      <c r="AA555" s="20">
        <f t="shared" si="175"/>
        <v>3.1909025171116218E-5</v>
      </c>
    </row>
    <row r="556" spans="2:27" x14ac:dyDescent="0.3">
      <c r="B556" s="28">
        <v>51.8</v>
      </c>
      <c r="C556" s="28">
        <v>39.035710000000002</v>
      </c>
      <c r="D556" s="20">
        <f t="shared" si="157"/>
        <v>43.068024379571398</v>
      </c>
      <c r="E556" s="20">
        <f t="shared" si="158"/>
        <v>-4.5094757383088426</v>
      </c>
      <c r="F556" s="20">
        <f t="shared" si="159"/>
        <v>3.6694420893304471</v>
      </c>
      <c r="G556" s="20">
        <f t="shared" si="160"/>
        <v>3.6694420893304471</v>
      </c>
      <c r="H556" s="20">
        <f t="shared" si="161"/>
        <v>3.6694420893304471</v>
      </c>
      <c r="I556" s="17"/>
      <c r="J556" s="20">
        <f t="shared" si="162"/>
        <v>39.394400687887362</v>
      </c>
      <c r="K556" s="20">
        <f t="shared" si="163"/>
        <v>1.0885095252163107E-2</v>
      </c>
      <c r="L556" s="20">
        <f t="shared" si="164"/>
        <v>2.6826405135965432</v>
      </c>
      <c r="M556" s="20">
        <f t="shared" si="165"/>
        <v>2.6826405135965432</v>
      </c>
      <c r="N556" s="20">
        <f t="shared" si="166"/>
        <v>2.6826405135965432</v>
      </c>
      <c r="O556" s="17"/>
      <c r="P556" s="20">
        <f t="shared" si="167"/>
        <v>11.929591310528634</v>
      </c>
      <c r="Q556" s="20">
        <f t="shared" si="168"/>
        <v>28.301317735780955</v>
      </c>
      <c r="R556" s="20">
        <f t="shared" si="169"/>
        <v>0</v>
      </c>
      <c r="S556" s="20">
        <f t="shared" si="170"/>
        <v>0</v>
      </c>
      <c r="T556" s="20">
        <f t="shared" si="171"/>
        <v>0</v>
      </c>
      <c r="U556" s="17"/>
      <c r="V556" s="20">
        <f t="shared" si="172"/>
        <v>40.230909046309591</v>
      </c>
      <c r="W556" s="17"/>
      <c r="X556" s="20">
        <f t="shared" si="173"/>
        <v>1.4285007602993525</v>
      </c>
      <c r="Y556" s="20">
        <f t="shared" si="174"/>
        <v>1.1951990463095896</v>
      </c>
      <c r="Z556" s="20"/>
      <c r="AA556" s="20">
        <f t="shared" si="175"/>
        <v>7.8113365847694776E-6</v>
      </c>
    </row>
    <row r="557" spans="2:27" x14ac:dyDescent="0.3">
      <c r="B557" s="28">
        <v>51.9</v>
      </c>
      <c r="C557" s="28">
        <v>34.785710000000002</v>
      </c>
      <c r="D557" s="20">
        <f t="shared" si="157"/>
        <v>43.143202559870055</v>
      </c>
      <c r="E557" s="20">
        <f t="shared" si="158"/>
        <v>-4.5044291159618837</v>
      </c>
      <c r="F557" s="20">
        <f t="shared" si="159"/>
        <v>3.6805532004415582</v>
      </c>
      <c r="G557" s="20">
        <f t="shared" si="160"/>
        <v>3.6805532004415582</v>
      </c>
      <c r="H557" s="20">
        <f t="shared" si="161"/>
        <v>3.6805532004415582</v>
      </c>
      <c r="I557" s="17"/>
      <c r="J557" s="20">
        <f t="shared" si="162"/>
        <v>39.467719451161237</v>
      </c>
      <c r="K557" s="20">
        <f t="shared" si="163"/>
        <v>1.0939571104849452E-2</v>
      </c>
      <c r="L557" s="20">
        <f t="shared" si="164"/>
        <v>2.6907377776483106</v>
      </c>
      <c r="M557" s="20">
        <f t="shared" si="165"/>
        <v>2.6907377776483106</v>
      </c>
      <c r="N557" s="20">
        <f t="shared" si="166"/>
        <v>2.6907377776483106</v>
      </c>
      <c r="O557" s="17"/>
      <c r="P557" s="20">
        <f t="shared" si="167"/>
        <v>11.885856145571385</v>
      </c>
      <c r="Q557" s="20">
        <f t="shared" si="168"/>
        <v>28.158868020936985</v>
      </c>
      <c r="R557" s="20">
        <f t="shared" si="169"/>
        <v>0</v>
      </c>
      <c r="S557" s="20">
        <f t="shared" si="170"/>
        <v>0</v>
      </c>
      <c r="T557" s="20">
        <f t="shared" si="171"/>
        <v>0</v>
      </c>
      <c r="U557" s="17"/>
      <c r="V557" s="20">
        <f t="shared" si="172"/>
        <v>40.044724166508374</v>
      </c>
      <c r="W557" s="17"/>
      <c r="X557" s="20">
        <f t="shared" si="173"/>
        <v>27.657230003535748</v>
      </c>
      <c r="Y557" s="20">
        <f t="shared" si="174"/>
        <v>5.2590141665083721</v>
      </c>
      <c r="Z557" s="20"/>
      <c r="AA557" s="20">
        <f t="shared" si="175"/>
        <v>3.4370785255820029E-5</v>
      </c>
    </row>
    <row r="558" spans="2:27" x14ac:dyDescent="0.3">
      <c r="B558" s="28">
        <v>52</v>
      </c>
      <c r="C558" s="28">
        <v>18.035710000000002</v>
      </c>
      <c r="D558" s="20">
        <f t="shared" si="157"/>
        <v>43.218380740168719</v>
      </c>
      <c r="E558" s="20">
        <f t="shared" si="158"/>
        <v>-4.4993824936149238</v>
      </c>
      <c r="F558" s="20">
        <f t="shared" si="159"/>
        <v>3.6916643115526693</v>
      </c>
      <c r="G558" s="20">
        <f t="shared" si="160"/>
        <v>3.6916643115526693</v>
      </c>
      <c r="H558" s="20">
        <f t="shared" si="161"/>
        <v>3.6916643115526693</v>
      </c>
      <c r="I558" s="17"/>
      <c r="J558" s="20">
        <f t="shared" si="162"/>
        <v>39.541041580326898</v>
      </c>
      <c r="K558" s="20">
        <f t="shared" si="163"/>
        <v>1.099431662411436E-2</v>
      </c>
      <c r="L558" s="20">
        <f t="shared" si="164"/>
        <v>2.6988416493547596</v>
      </c>
      <c r="M558" s="20">
        <f t="shared" si="165"/>
        <v>2.6988416493547596</v>
      </c>
      <c r="N558" s="20">
        <f t="shared" si="166"/>
        <v>2.6988416493547596</v>
      </c>
      <c r="O558" s="17"/>
      <c r="P558" s="20">
        <f t="shared" si="167"/>
        <v>11.842359068402793</v>
      </c>
      <c r="Q558" s="20">
        <f t="shared" si="168"/>
        <v>28.017135465242564</v>
      </c>
      <c r="R558" s="20">
        <f t="shared" si="169"/>
        <v>0</v>
      </c>
      <c r="S558" s="20">
        <f t="shared" si="170"/>
        <v>0</v>
      </c>
      <c r="T558" s="20">
        <f t="shared" si="171"/>
        <v>0</v>
      </c>
      <c r="U558" s="17"/>
      <c r="V558" s="20">
        <f t="shared" si="172"/>
        <v>39.859494533645361</v>
      </c>
      <c r="W558" s="17"/>
      <c r="X558" s="20">
        <f t="shared" si="173"/>
        <v>476.27757137097836</v>
      </c>
      <c r="Y558" s="20">
        <f t="shared" si="174"/>
        <v>21.823784533645359</v>
      </c>
      <c r="Z558" s="20"/>
      <c r="AA558" s="20">
        <f t="shared" si="175"/>
        <v>1.4263141112115066E-4</v>
      </c>
    </row>
    <row r="559" spans="2:27" x14ac:dyDescent="0.3">
      <c r="B559" s="28">
        <v>52.1</v>
      </c>
      <c r="C559" s="28">
        <v>52.785710000000002</v>
      </c>
      <c r="D559" s="20">
        <f t="shared" si="157"/>
        <v>43.293558920467376</v>
      </c>
      <c r="E559" s="20">
        <f t="shared" si="158"/>
        <v>-4.4943358712679649</v>
      </c>
      <c r="F559" s="20">
        <f t="shared" si="159"/>
        <v>3.7027754226637812</v>
      </c>
      <c r="G559" s="20">
        <f t="shared" si="160"/>
        <v>3.7027754226637812</v>
      </c>
      <c r="H559" s="20">
        <f t="shared" si="161"/>
        <v>3.7027754226637812</v>
      </c>
      <c r="I559" s="17"/>
      <c r="J559" s="20">
        <f t="shared" si="162"/>
        <v>39.614367063373969</v>
      </c>
      <c r="K559" s="20">
        <f t="shared" si="163"/>
        <v>1.1049333115440978E-2</v>
      </c>
      <c r="L559" s="20">
        <f t="shared" si="164"/>
        <v>2.7069521051506054</v>
      </c>
      <c r="M559" s="20">
        <f t="shared" si="165"/>
        <v>2.7069521051506054</v>
      </c>
      <c r="N559" s="20">
        <f t="shared" si="166"/>
        <v>2.7069521051506054</v>
      </c>
      <c r="O559" s="17"/>
      <c r="P559" s="20">
        <f t="shared" si="167"/>
        <v>11.799098364731682</v>
      </c>
      <c r="Q559" s="20">
        <f t="shared" si="168"/>
        <v>27.87611645895382</v>
      </c>
      <c r="R559" s="20">
        <f t="shared" si="169"/>
        <v>0</v>
      </c>
      <c r="S559" s="20">
        <f t="shared" si="170"/>
        <v>0</v>
      </c>
      <c r="T559" s="20">
        <f t="shared" si="171"/>
        <v>0</v>
      </c>
      <c r="U559" s="17"/>
      <c r="V559" s="20">
        <f t="shared" si="172"/>
        <v>39.675214823685501</v>
      </c>
      <c r="W559" s="17"/>
      <c r="X559" s="20">
        <f t="shared" si="173"/>
        <v>171.8850837681658</v>
      </c>
      <c r="Y559" s="20">
        <f t="shared" si="174"/>
        <v>13.110495176314501</v>
      </c>
      <c r="Z559" s="20"/>
      <c r="AA559" s="20">
        <f t="shared" si="175"/>
        <v>8.5684883142604241E-5</v>
      </c>
    </row>
    <row r="560" spans="2:27" x14ac:dyDescent="0.3">
      <c r="B560" s="28">
        <v>52.2</v>
      </c>
      <c r="C560" s="28">
        <v>50.785710000000002</v>
      </c>
      <c r="D560" s="20">
        <f t="shared" si="157"/>
        <v>43.36873710076604</v>
      </c>
      <c r="E560" s="20">
        <f t="shared" si="158"/>
        <v>-4.4892892489210059</v>
      </c>
      <c r="F560" s="20">
        <f t="shared" si="159"/>
        <v>3.7138865337748923</v>
      </c>
      <c r="G560" s="20">
        <f t="shared" si="160"/>
        <v>3.7138865337748923</v>
      </c>
      <c r="H560" s="20">
        <f t="shared" si="161"/>
        <v>3.7138865337748923</v>
      </c>
      <c r="I560" s="17"/>
      <c r="J560" s="20">
        <f t="shared" si="162"/>
        <v>39.687695888355719</v>
      </c>
      <c r="K560" s="20">
        <f t="shared" si="163"/>
        <v>1.1104621890342141E-2</v>
      </c>
      <c r="L560" s="20">
        <f t="shared" si="164"/>
        <v>2.7150691215709259</v>
      </c>
      <c r="M560" s="20">
        <f t="shared" si="165"/>
        <v>2.7150691215709259</v>
      </c>
      <c r="N560" s="20">
        <f t="shared" si="166"/>
        <v>2.7150691215709259</v>
      </c>
      <c r="O560" s="17"/>
      <c r="P560" s="20">
        <f t="shared" si="167"/>
        <v>11.756072335591023</v>
      </c>
      <c r="Q560" s="20">
        <f t="shared" si="168"/>
        <v>27.735807410499479</v>
      </c>
      <c r="R560" s="20">
        <f t="shared" si="169"/>
        <v>0</v>
      </c>
      <c r="S560" s="20">
        <f t="shared" si="170"/>
        <v>0</v>
      </c>
      <c r="T560" s="20">
        <f t="shared" si="171"/>
        <v>0</v>
      </c>
      <c r="U560" s="17"/>
      <c r="V560" s="20">
        <f t="shared" si="172"/>
        <v>39.491879746090504</v>
      </c>
      <c r="W560" s="17"/>
      <c r="X560" s="20">
        <f t="shared" si="173"/>
        <v>127.55060180412147</v>
      </c>
      <c r="Y560" s="20">
        <f t="shared" si="174"/>
        <v>11.293830253909498</v>
      </c>
      <c r="Z560" s="20"/>
      <c r="AA560" s="20">
        <f t="shared" si="175"/>
        <v>7.3811897455018722E-5</v>
      </c>
    </row>
    <row r="561" spans="2:27" x14ac:dyDescent="0.3">
      <c r="B561" s="28">
        <v>52.3</v>
      </c>
      <c r="C561" s="28">
        <v>32.035710000000002</v>
      </c>
      <c r="D561" s="20">
        <f t="shared" si="157"/>
        <v>43.443915281064697</v>
      </c>
      <c r="E561" s="20">
        <f t="shared" si="158"/>
        <v>-4.4842426265740469</v>
      </c>
      <c r="F561" s="20">
        <f t="shared" si="159"/>
        <v>3.7249976448860034</v>
      </c>
      <c r="G561" s="20">
        <f t="shared" si="160"/>
        <v>3.7249976448860034</v>
      </c>
      <c r="H561" s="20">
        <f t="shared" si="161"/>
        <v>3.7249976448860034</v>
      </c>
      <c r="I561" s="17"/>
      <c r="J561" s="20">
        <f t="shared" si="162"/>
        <v>39.761028043388542</v>
      </c>
      <c r="K561" s="20">
        <f t="shared" si="163"/>
        <v>1.1160184266385331E-2</v>
      </c>
      <c r="L561" s="20">
        <f t="shared" si="164"/>
        <v>2.7231926752507865</v>
      </c>
      <c r="M561" s="20">
        <f t="shared" si="165"/>
        <v>2.7231926752507865</v>
      </c>
      <c r="N561" s="20">
        <f t="shared" si="166"/>
        <v>2.7231926752507865</v>
      </c>
      <c r="O561" s="17"/>
      <c r="P561" s="20">
        <f t="shared" si="167"/>
        <v>11.713279297174594</v>
      </c>
      <c r="Q561" s="20">
        <f t="shared" si="168"/>
        <v>27.596204746389475</v>
      </c>
      <c r="R561" s="20">
        <f t="shared" si="169"/>
        <v>0</v>
      </c>
      <c r="S561" s="20">
        <f t="shared" si="170"/>
        <v>0</v>
      </c>
      <c r="T561" s="20">
        <f t="shared" si="171"/>
        <v>0</v>
      </c>
      <c r="U561" s="17"/>
      <c r="V561" s="20">
        <f t="shared" si="172"/>
        <v>39.309484043564069</v>
      </c>
      <c r="W561" s="17"/>
      <c r="X561" s="20">
        <f t="shared" si="173"/>
        <v>52.907788836826363</v>
      </c>
      <c r="Y561" s="20">
        <f t="shared" si="174"/>
        <v>7.2737740435640674</v>
      </c>
      <c r="Z561" s="20"/>
      <c r="AA561" s="20">
        <f t="shared" si="175"/>
        <v>4.7538439284464759E-5</v>
      </c>
    </row>
    <row r="562" spans="2:27" x14ac:dyDescent="0.3">
      <c r="B562" s="28">
        <v>52.4</v>
      </c>
      <c r="C562" s="28">
        <v>44.785710000000002</v>
      </c>
      <c r="D562" s="20">
        <f t="shared" ref="D562:D625" si="176">$C$23/(1-$C$23)-LN((1-$C$23)/$C$23)+$C$22/(1-$C$23)*B562</f>
        <v>43.519093461363354</v>
      </c>
      <c r="E562" s="20">
        <f t="shared" ref="E562:E625" si="177">$D$23/(1-$D$23)-LN((1-$D$23)/$D$23)+$D$22*B562/(1-$D$23)</f>
        <v>-4.479196004227088</v>
      </c>
      <c r="F562" s="20">
        <f t="shared" ref="F562:F625" si="178">$E$23/(1-$E$23)-LN((1-$E$23)/$E$23)+$E$22*B562/(1-$E$23)</f>
        <v>3.7361087559971136</v>
      </c>
      <c r="G562" s="20">
        <f t="shared" ref="G562:G625" si="179">$F$23/(1-$F$23)-LN((1-$F$23)/$F$23)+$F$22*B562/(1-$F$23)</f>
        <v>3.7361087559971136</v>
      </c>
      <c r="H562" s="20">
        <f t="shared" ref="H562:H625" si="180">$G$23/(1-$G$23)-LN((1-$G$23)/$G$23)+$G$22*B562/(1-$G$23)</f>
        <v>3.7361087559971136</v>
      </c>
      <c r="I562" s="17"/>
      <c r="J562" s="20">
        <f t="shared" ref="J562:J625" si="181">lmb_2(D562)</f>
        <v>39.834363516651607</v>
      </c>
      <c r="K562" s="20">
        <f t="shared" ref="K562:K625" si="182">lmb_2(E562)</f>
        <v>1.1216021567217752E-2</v>
      </c>
      <c r="L562" s="20">
        <f t="shared" ref="L562:L625" si="183">lmb_2(F562)</f>
        <v>2.7313227429248537</v>
      </c>
      <c r="M562" s="20">
        <f t="shared" ref="M562:M625" si="184">lmb_2(G562)</f>
        <v>2.7313227429248537</v>
      </c>
      <c r="N562" s="20">
        <f t="shared" ref="N562:N625" si="185">lmb_2(H562)</f>
        <v>2.7313227429248537</v>
      </c>
      <c r="O562" s="17"/>
      <c r="P562" s="20">
        <f t="shared" ref="P562:P625" si="186">($C$21*$A$21*$C$22)/(J562+J562^2)</f>
        <v>11.670717580675539</v>
      </c>
      <c r="Q562" s="20">
        <f t="shared" ref="Q562:Q625" si="187">($D$21*$A$21*$D$22)/(K562+K562^2)</f>
        <v>27.457304911123906</v>
      </c>
      <c r="R562" s="20">
        <f t="shared" ref="R562:R625" si="188">($E$21*$A$21*$E$22)/(L562+L562^2)</f>
        <v>0</v>
      </c>
      <c r="S562" s="20">
        <f t="shared" ref="S562:S625" si="189">($F$21*$A$21*$F$22)/(M562+M562^2)</f>
        <v>0</v>
      </c>
      <c r="T562" s="20">
        <f t="shared" ref="T562:T625" si="190">($G$21*$A$21*$G$22)/(N562+N562^2)</f>
        <v>0</v>
      </c>
      <c r="U562" s="17"/>
      <c r="V562" s="20">
        <f t="shared" ref="V562:V625" si="191">SUM(P562:T562)</f>
        <v>39.128022491799442</v>
      </c>
      <c r="W562" s="17"/>
      <c r="X562" s="20">
        <f t="shared" ref="X562:X625" si="192">(V562-C562)^2</f>
        <v>32.00942794044866</v>
      </c>
      <c r="Y562" s="20">
        <f t="shared" ref="Y562:Y625" si="193">ABS(V562-C562)</f>
        <v>5.65768750820056</v>
      </c>
      <c r="Z562" s="20"/>
      <c r="AA562" s="20">
        <f t="shared" ref="AA562:AA625" si="194">Y562/$Z$39</f>
        <v>3.697635264557666E-5</v>
      </c>
    </row>
    <row r="563" spans="2:27" x14ac:dyDescent="0.3">
      <c r="B563" s="28">
        <v>52.5</v>
      </c>
      <c r="C563" s="28">
        <v>21.035710000000002</v>
      </c>
      <c r="D563" s="20">
        <f t="shared" si="176"/>
        <v>43.594271641662019</v>
      </c>
      <c r="E563" s="20">
        <f t="shared" si="177"/>
        <v>-4.4741493818801281</v>
      </c>
      <c r="F563" s="20">
        <f t="shared" si="178"/>
        <v>3.7472198671082246</v>
      </c>
      <c r="G563" s="20">
        <f t="shared" si="179"/>
        <v>3.7472198671082246</v>
      </c>
      <c r="H563" s="20">
        <f t="shared" si="180"/>
        <v>3.7472198671082246</v>
      </c>
      <c r="I563" s="17"/>
      <c r="J563" s="20">
        <f t="shared" si="181"/>
        <v>39.90770229638634</v>
      </c>
      <c r="K563" s="20">
        <f t="shared" si="182"/>
        <v>1.127213512259149E-2</v>
      </c>
      <c r="L563" s="20">
        <f t="shared" si="183"/>
        <v>2.7394593014270203</v>
      </c>
      <c r="M563" s="20">
        <f t="shared" si="184"/>
        <v>2.7394593014270203</v>
      </c>
      <c r="N563" s="20">
        <f t="shared" si="185"/>
        <v>2.7394593014270203</v>
      </c>
      <c r="O563" s="17"/>
      <c r="P563" s="20">
        <f t="shared" si="186"/>
        <v>11.628385532127044</v>
      </c>
      <c r="Q563" s="20">
        <f t="shared" si="187"/>
        <v>27.319104367102469</v>
      </c>
      <c r="R563" s="20">
        <f t="shared" si="188"/>
        <v>0</v>
      </c>
      <c r="S563" s="20">
        <f t="shared" si="189"/>
        <v>0</v>
      </c>
      <c r="T563" s="20">
        <f t="shared" si="190"/>
        <v>0</v>
      </c>
      <c r="U563" s="17"/>
      <c r="V563" s="20">
        <f t="shared" si="191"/>
        <v>38.94748989922951</v>
      </c>
      <c r="W563" s="17"/>
      <c r="X563" s="20">
        <f t="shared" si="192"/>
        <v>320.83185915844223</v>
      </c>
      <c r="Y563" s="20">
        <f t="shared" si="193"/>
        <v>17.911779899229508</v>
      </c>
      <c r="Z563" s="20"/>
      <c r="AA563" s="20">
        <f t="shared" si="194"/>
        <v>1.1706413426048546E-4</v>
      </c>
    </row>
    <row r="564" spans="2:27" x14ac:dyDescent="0.3">
      <c r="B564" s="28">
        <v>52.6</v>
      </c>
      <c r="C564" s="28">
        <v>36.035710000000002</v>
      </c>
      <c r="D564" s="20">
        <f t="shared" si="176"/>
        <v>43.669449821960676</v>
      </c>
      <c r="E564" s="20">
        <f t="shared" si="177"/>
        <v>-4.4691027595331683</v>
      </c>
      <c r="F564" s="20">
        <f t="shared" si="178"/>
        <v>3.7583309782193366</v>
      </c>
      <c r="G564" s="20">
        <f t="shared" si="179"/>
        <v>3.7583309782193366</v>
      </c>
      <c r="H564" s="20">
        <f t="shared" si="180"/>
        <v>3.7583309782193366</v>
      </c>
      <c r="I564" s="17"/>
      <c r="J564" s="20">
        <f t="shared" si="181"/>
        <v>39.981044370896036</v>
      </c>
      <c r="K564" s="20">
        <f t="shared" si="182"/>
        <v>1.1328526268388688E-2</v>
      </c>
      <c r="L564" s="20">
        <f t="shared" si="183"/>
        <v>2.747602327690021</v>
      </c>
      <c r="M564" s="20">
        <f t="shared" si="184"/>
        <v>2.747602327690021</v>
      </c>
      <c r="N564" s="20">
        <f t="shared" si="185"/>
        <v>2.747602327690021</v>
      </c>
      <c r="O564" s="17"/>
      <c r="P564" s="20">
        <f t="shared" si="186"/>
        <v>11.586281512244899</v>
      </c>
      <c r="Q564" s="20">
        <f t="shared" si="187"/>
        <v>27.181599594534415</v>
      </c>
      <c r="R564" s="20">
        <f t="shared" si="188"/>
        <v>0</v>
      </c>
      <c r="S564" s="20">
        <f t="shared" si="189"/>
        <v>0</v>
      </c>
      <c r="T564" s="20">
        <f t="shared" si="190"/>
        <v>0</v>
      </c>
      <c r="U564" s="17"/>
      <c r="V564" s="20">
        <f t="shared" si="191"/>
        <v>38.767881106779313</v>
      </c>
      <c r="W564" s="17"/>
      <c r="X564" s="20">
        <f t="shared" si="192"/>
        <v>7.464758956719689</v>
      </c>
      <c r="Y564" s="20">
        <f t="shared" si="193"/>
        <v>2.7321711067793117</v>
      </c>
      <c r="Z564" s="20"/>
      <c r="AA564" s="20">
        <f t="shared" si="194"/>
        <v>1.7856363078712837E-5</v>
      </c>
    </row>
    <row r="565" spans="2:27" x14ac:dyDescent="0.3">
      <c r="B565" s="28">
        <v>52.7</v>
      </c>
      <c r="C565" s="28">
        <v>29.035710000000002</v>
      </c>
      <c r="D565" s="20">
        <f t="shared" si="176"/>
        <v>43.74462800225934</v>
      </c>
      <c r="E565" s="20">
        <f t="shared" si="177"/>
        <v>-4.4640561371862102</v>
      </c>
      <c r="F565" s="20">
        <f t="shared" si="178"/>
        <v>3.7694420893304477</v>
      </c>
      <c r="G565" s="20">
        <f t="shared" si="179"/>
        <v>3.7694420893304477</v>
      </c>
      <c r="H565" s="20">
        <f t="shared" si="180"/>
        <v>3.7694420893304477</v>
      </c>
      <c r="I565" s="17"/>
      <c r="J565" s="20">
        <f t="shared" si="181"/>
        <v>40.054389728545416</v>
      </c>
      <c r="K565" s="20">
        <f t="shared" si="182"/>
        <v>1.1385196346646861E-2</v>
      </c>
      <c r="L565" s="20">
        <f t="shared" si="183"/>
        <v>2.7557517987450506</v>
      </c>
      <c r="M565" s="20">
        <f t="shared" si="184"/>
        <v>2.7557517987450506</v>
      </c>
      <c r="N565" s="20">
        <f t="shared" si="185"/>
        <v>2.7557517987450506</v>
      </c>
      <c r="O565" s="17"/>
      <c r="P565" s="20">
        <f t="shared" si="186"/>
        <v>11.544403896272012</v>
      </c>
      <c r="Q565" s="20">
        <f t="shared" si="187"/>
        <v>27.044787091348898</v>
      </c>
      <c r="R565" s="20">
        <f t="shared" si="188"/>
        <v>0</v>
      </c>
      <c r="S565" s="20">
        <f t="shared" si="189"/>
        <v>0</v>
      </c>
      <c r="T565" s="20">
        <f t="shared" si="190"/>
        <v>0</v>
      </c>
      <c r="U565" s="17"/>
      <c r="V565" s="20">
        <f t="shared" si="191"/>
        <v>38.58919098762091</v>
      </c>
      <c r="W565" s="17"/>
      <c r="X565" s="20">
        <f t="shared" si="192"/>
        <v>91.268998980834169</v>
      </c>
      <c r="Y565" s="20">
        <f t="shared" si="193"/>
        <v>9.5534809876209081</v>
      </c>
      <c r="Z565" s="20"/>
      <c r="AA565" s="20">
        <f t="shared" si="194"/>
        <v>6.2437679967134761E-5</v>
      </c>
    </row>
    <row r="566" spans="2:27" x14ac:dyDescent="0.3">
      <c r="B566" s="28">
        <v>52.8</v>
      </c>
      <c r="C566" s="28">
        <v>38.285710000000002</v>
      </c>
      <c r="D566" s="20">
        <f t="shared" si="176"/>
        <v>43.81980618255799</v>
      </c>
      <c r="E566" s="20">
        <f t="shared" si="177"/>
        <v>-4.4590095148392512</v>
      </c>
      <c r="F566" s="20">
        <f t="shared" si="178"/>
        <v>3.7805532004415587</v>
      </c>
      <c r="G566" s="20">
        <f t="shared" si="179"/>
        <v>3.7805532004415587</v>
      </c>
      <c r="H566" s="20">
        <f t="shared" si="180"/>
        <v>3.7805532004415587</v>
      </c>
      <c r="I566" s="17"/>
      <c r="J566" s="20">
        <f t="shared" si="181"/>
        <v>40.127738357760173</v>
      </c>
      <c r="K566" s="20">
        <f t="shared" si="182"/>
        <v>1.1442146705584313E-2</v>
      </c>
      <c r="L566" s="20">
        <f t="shared" si="183"/>
        <v>2.7639076917213883</v>
      </c>
      <c r="M566" s="20">
        <f t="shared" si="184"/>
        <v>2.7639076917213883</v>
      </c>
      <c r="N566" s="20">
        <f t="shared" si="185"/>
        <v>2.7639076917213883</v>
      </c>
      <c r="O566" s="17"/>
      <c r="P566" s="20">
        <f t="shared" si="186"/>
        <v>11.502751073824873</v>
      </c>
      <c r="Q566" s="20">
        <f t="shared" si="187"/>
        <v>26.908663373105611</v>
      </c>
      <c r="R566" s="20">
        <f t="shared" si="188"/>
        <v>0</v>
      </c>
      <c r="S566" s="20">
        <f t="shared" si="189"/>
        <v>0</v>
      </c>
      <c r="T566" s="20">
        <f t="shared" si="190"/>
        <v>0</v>
      </c>
      <c r="U566" s="17"/>
      <c r="V566" s="20">
        <f t="shared" si="191"/>
        <v>38.411414446930486</v>
      </c>
      <c r="W566" s="17"/>
      <c r="X566" s="20">
        <f t="shared" si="192"/>
        <v>1.5801607978098979E-2</v>
      </c>
      <c r="Y566" s="20">
        <f t="shared" si="193"/>
        <v>0.12570444693048444</v>
      </c>
      <c r="Z566" s="20"/>
      <c r="AA566" s="20">
        <f t="shared" si="194"/>
        <v>8.2155332051859907E-7</v>
      </c>
    </row>
    <row r="567" spans="2:27" x14ac:dyDescent="0.3">
      <c r="B567" s="28">
        <v>52.9</v>
      </c>
      <c r="C567" s="28">
        <v>29.535710000000002</v>
      </c>
      <c r="D567" s="20">
        <f t="shared" si="176"/>
        <v>43.894984362856654</v>
      </c>
      <c r="E567" s="20">
        <f t="shared" si="177"/>
        <v>-4.4539628924922914</v>
      </c>
      <c r="F567" s="20">
        <f t="shared" si="178"/>
        <v>3.7916643115526689</v>
      </c>
      <c r="G567" s="20">
        <f t="shared" si="179"/>
        <v>3.7916643115526689</v>
      </c>
      <c r="H567" s="20">
        <f t="shared" si="180"/>
        <v>3.7916643115526689</v>
      </c>
      <c r="I567" s="17"/>
      <c r="J567" s="20">
        <f t="shared" si="181"/>
        <v>40.201090247026634</v>
      </c>
      <c r="K567" s="20">
        <f t="shared" si="182"/>
        <v>1.149937869962551E-2</v>
      </c>
      <c r="L567" s="20">
        <f t="shared" si="183"/>
        <v>2.7720699838460097</v>
      </c>
      <c r="M567" s="20">
        <f t="shared" si="184"/>
        <v>2.7720699838460097</v>
      </c>
      <c r="N567" s="20">
        <f t="shared" si="185"/>
        <v>2.7720699838460097</v>
      </c>
      <c r="O567" s="17"/>
      <c r="P567" s="20">
        <f t="shared" si="186"/>
        <v>11.461321448741812</v>
      </c>
      <c r="Q567" s="20">
        <f t="shared" si="187"/>
        <v>26.773224972906263</v>
      </c>
      <c r="R567" s="20">
        <f t="shared" si="188"/>
        <v>0</v>
      </c>
      <c r="S567" s="20">
        <f t="shared" si="189"/>
        <v>0</v>
      </c>
      <c r="T567" s="20">
        <f t="shared" si="190"/>
        <v>0</v>
      </c>
      <c r="U567" s="17"/>
      <c r="V567" s="20">
        <f t="shared" si="191"/>
        <v>38.234546421648076</v>
      </c>
      <c r="W567" s="17"/>
      <c r="X567" s="20">
        <f t="shared" si="192"/>
        <v>75.669755090591082</v>
      </c>
      <c r="Y567" s="20">
        <f t="shared" si="193"/>
        <v>8.6988364216480747</v>
      </c>
      <c r="Z567" s="20"/>
      <c r="AA567" s="20">
        <f t="shared" si="194"/>
        <v>5.6852069448308443E-5</v>
      </c>
    </row>
    <row r="568" spans="2:27" x14ac:dyDescent="0.3">
      <c r="B568" s="28">
        <v>53</v>
      </c>
      <c r="C568" s="28">
        <v>34.535710000000002</v>
      </c>
      <c r="D568" s="20">
        <f t="shared" si="176"/>
        <v>43.970162543155311</v>
      </c>
      <c r="E568" s="20">
        <f t="shared" si="177"/>
        <v>-4.4489162701453324</v>
      </c>
      <c r="F568" s="20">
        <f t="shared" si="178"/>
        <v>3.8027754226637809</v>
      </c>
      <c r="G568" s="20">
        <f t="shared" si="179"/>
        <v>3.8027754226637809</v>
      </c>
      <c r="H568" s="20">
        <f t="shared" si="180"/>
        <v>3.8027754226637809</v>
      </c>
      <c r="I568" s="17"/>
      <c r="J568" s="20">
        <f t="shared" si="181"/>
        <v>40.274445384891216</v>
      </c>
      <c r="K568" s="20">
        <f t="shared" si="182"/>
        <v>1.1556893689426598E-2</v>
      </c>
      <c r="L568" s="20">
        <f t="shared" si="183"/>
        <v>2.7802386524432143</v>
      </c>
      <c r="M568" s="20">
        <f t="shared" si="184"/>
        <v>2.7802386524432143</v>
      </c>
      <c r="N568" s="20">
        <f t="shared" si="185"/>
        <v>2.7802386524432143</v>
      </c>
      <c r="O568" s="17"/>
      <c r="P568" s="20">
        <f t="shared" si="186"/>
        <v>11.420113438933253</v>
      </c>
      <c r="Q568" s="20">
        <f t="shared" si="187"/>
        <v>26.638468441306205</v>
      </c>
      <c r="R568" s="20">
        <f t="shared" si="188"/>
        <v>0</v>
      </c>
      <c r="S568" s="20">
        <f t="shared" si="189"/>
        <v>0</v>
      </c>
      <c r="T568" s="20">
        <f t="shared" si="190"/>
        <v>0</v>
      </c>
      <c r="U568" s="17"/>
      <c r="V568" s="20">
        <f t="shared" si="191"/>
        <v>38.058581880239458</v>
      </c>
      <c r="W568" s="17"/>
      <c r="X568" s="20">
        <f t="shared" si="192"/>
        <v>12.410626284581886</v>
      </c>
      <c r="Y568" s="20">
        <f t="shared" si="193"/>
        <v>3.5228718802394567</v>
      </c>
      <c r="Z568" s="20"/>
      <c r="AA568" s="20">
        <f t="shared" si="194"/>
        <v>2.3024062884369212E-5</v>
      </c>
    </row>
    <row r="569" spans="2:27" x14ac:dyDescent="0.3">
      <c r="B569" s="28">
        <v>53.1</v>
      </c>
      <c r="C569" s="28">
        <v>35.035710000000002</v>
      </c>
      <c r="D569" s="20">
        <f t="shared" si="176"/>
        <v>44.045340723453975</v>
      </c>
      <c r="E569" s="20">
        <f t="shared" si="177"/>
        <v>-4.4438696477983726</v>
      </c>
      <c r="F569" s="20">
        <f t="shared" si="178"/>
        <v>3.813886533774892</v>
      </c>
      <c r="G569" s="20">
        <f t="shared" si="179"/>
        <v>3.813886533774892</v>
      </c>
      <c r="H569" s="20">
        <f t="shared" si="180"/>
        <v>3.813886533774892</v>
      </c>
      <c r="I569" s="17"/>
      <c r="J569" s="20">
        <f t="shared" si="181"/>
        <v>40.347803759960136</v>
      </c>
      <c r="K569" s="20">
        <f t="shared" si="182"/>
        <v>1.1614693041901063E-2</v>
      </c>
      <c r="L569" s="20">
        <f t="shared" si="183"/>
        <v>2.7884136749342341</v>
      </c>
      <c r="M569" s="20">
        <f t="shared" si="184"/>
        <v>2.7884136749342341</v>
      </c>
      <c r="N569" s="20">
        <f t="shared" si="185"/>
        <v>2.7884136749342341</v>
      </c>
      <c r="O569" s="17"/>
      <c r="P569" s="20">
        <f t="shared" si="186"/>
        <v>11.379125476233634</v>
      </c>
      <c r="Q569" s="20">
        <f t="shared" si="187"/>
        <v>26.504390346226494</v>
      </c>
      <c r="R569" s="20">
        <f t="shared" si="188"/>
        <v>0</v>
      </c>
      <c r="S569" s="20">
        <f t="shared" si="189"/>
        <v>0</v>
      </c>
      <c r="T569" s="20">
        <f t="shared" si="190"/>
        <v>0</v>
      </c>
      <c r="U569" s="17"/>
      <c r="V569" s="20">
        <f t="shared" si="191"/>
        <v>37.883515822460126</v>
      </c>
      <c r="W569" s="17"/>
      <c r="X569" s="20">
        <f t="shared" si="192"/>
        <v>8.1099980024377842</v>
      </c>
      <c r="Y569" s="20">
        <f t="shared" si="193"/>
        <v>2.8478058224601241</v>
      </c>
      <c r="Z569" s="20"/>
      <c r="AA569" s="20">
        <f t="shared" si="194"/>
        <v>1.861210471677383E-5</v>
      </c>
    </row>
    <row r="570" spans="2:27" x14ac:dyDescent="0.3">
      <c r="B570" s="28">
        <v>53.2</v>
      </c>
      <c r="C570" s="28">
        <v>50.535710000000002</v>
      </c>
      <c r="D570" s="20">
        <f t="shared" si="176"/>
        <v>44.120518903752632</v>
      </c>
      <c r="E570" s="20">
        <f t="shared" si="177"/>
        <v>-4.4388230254514145</v>
      </c>
      <c r="F570" s="20">
        <f t="shared" si="178"/>
        <v>3.824997644886003</v>
      </c>
      <c r="G570" s="20">
        <f t="shared" si="179"/>
        <v>3.824997644886003</v>
      </c>
      <c r="H570" s="20">
        <f t="shared" si="180"/>
        <v>3.824997644886003</v>
      </c>
      <c r="I570" s="17"/>
      <c r="J570" s="20">
        <f t="shared" si="181"/>
        <v>40.421165360898883</v>
      </c>
      <c r="K570" s="20">
        <f t="shared" si="182"/>
        <v>1.1672778130245295E-2</v>
      </c>
      <c r="L570" s="20">
        <f t="shared" si="183"/>
        <v>2.7965950288368595</v>
      </c>
      <c r="M570" s="20">
        <f t="shared" si="184"/>
        <v>2.7965950288368595</v>
      </c>
      <c r="N570" s="20">
        <f t="shared" si="185"/>
        <v>2.7965950288368595</v>
      </c>
      <c r="O570" s="17"/>
      <c r="P570" s="20">
        <f t="shared" si="186"/>
        <v>11.33835600625531</v>
      </c>
      <c r="Q570" s="20">
        <f t="shared" si="187"/>
        <v>26.37098727286665</v>
      </c>
      <c r="R570" s="20">
        <f t="shared" si="188"/>
        <v>0</v>
      </c>
      <c r="S570" s="20">
        <f t="shared" si="189"/>
        <v>0</v>
      </c>
      <c r="T570" s="20">
        <f t="shared" si="190"/>
        <v>0</v>
      </c>
      <c r="U570" s="17"/>
      <c r="V570" s="20">
        <f t="shared" si="191"/>
        <v>37.70934327912196</v>
      </c>
      <c r="W570" s="17"/>
      <c r="X570" s="20">
        <f t="shared" si="192"/>
        <v>164.51568325844772</v>
      </c>
      <c r="Y570" s="20">
        <f t="shared" si="193"/>
        <v>12.826366720878042</v>
      </c>
      <c r="Z570" s="20"/>
      <c r="AA570" s="20">
        <f t="shared" si="194"/>
        <v>8.3827934707464703E-5</v>
      </c>
    </row>
    <row r="571" spans="2:27" x14ac:dyDescent="0.3">
      <c r="B571" s="28">
        <v>53.3</v>
      </c>
      <c r="C571" s="28">
        <v>26.535710000000002</v>
      </c>
      <c r="D571" s="20">
        <f t="shared" si="176"/>
        <v>44.195697084051289</v>
      </c>
      <c r="E571" s="20">
        <f t="shared" si="177"/>
        <v>-4.4337764031044546</v>
      </c>
      <c r="F571" s="20">
        <f t="shared" si="178"/>
        <v>3.8361087559971141</v>
      </c>
      <c r="G571" s="20">
        <f t="shared" si="179"/>
        <v>3.8361087559971141</v>
      </c>
      <c r="H571" s="20">
        <f t="shared" si="180"/>
        <v>3.8361087559971141</v>
      </c>
      <c r="I571" s="17"/>
      <c r="J571" s="20">
        <f t="shared" si="181"/>
        <v>40.494530176431915</v>
      </c>
      <c r="K571" s="20">
        <f t="shared" si="182"/>
        <v>1.1731150333964465E-2</v>
      </c>
      <c r="L571" s="20">
        <f t="shared" si="183"/>
        <v>2.8047826917650576</v>
      </c>
      <c r="M571" s="20">
        <f t="shared" si="184"/>
        <v>2.8047826917650576</v>
      </c>
      <c r="N571" s="20">
        <f t="shared" si="185"/>
        <v>2.8047826917650576</v>
      </c>
      <c r="O571" s="17"/>
      <c r="P571" s="20">
        <f t="shared" si="186"/>
        <v>11.297803488244053</v>
      </c>
      <c r="Q571" s="20">
        <f t="shared" si="187"/>
        <v>26.238255823617404</v>
      </c>
      <c r="R571" s="20">
        <f t="shared" si="188"/>
        <v>0</v>
      </c>
      <c r="S571" s="20">
        <f t="shared" si="189"/>
        <v>0</v>
      </c>
      <c r="T571" s="20">
        <f t="shared" si="190"/>
        <v>0</v>
      </c>
      <c r="U571" s="17"/>
      <c r="V571" s="20">
        <f t="shared" si="191"/>
        <v>37.536059311861457</v>
      </c>
      <c r="W571" s="17"/>
      <c r="X571" s="20">
        <f t="shared" si="192"/>
        <v>121.0076849829708</v>
      </c>
      <c r="Y571" s="20">
        <f t="shared" si="193"/>
        <v>11.000349311861456</v>
      </c>
      <c r="Z571" s="20"/>
      <c r="AA571" s="20">
        <f t="shared" si="194"/>
        <v>7.1893824957696242E-5</v>
      </c>
    </row>
    <row r="572" spans="2:27" x14ac:dyDescent="0.3">
      <c r="B572" s="28">
        <v>53.4</v>
      </c>
      <c r="C572" s="28">
        <v>31.535710000000002</v>
      </c>
      <c r="D572" s="20">
        <f t="shared" si="176"/>
        <v>44.270875264349954</v>
      </c>
      <c r="E572" s="20">
        <f t="shared" si="177"/>
        <v>-4.4287297807574957</v>
      </c>
      <c r="F572" s="20">
        <f t="shared" si="178"/>
        <v>3.8472198671082243</v>
      </c>
      <c r="G572" s="20">
        <f t="shared" si="179"/>
        <v>3.8472198671082243</v>
      </c>
      <c r="H572" s="20">
        <f t="shared" si="180"/>
        <v>3.8472198671082243</v>
      </c>
      <c r="I572" s="17"/>
      <c r="J572" s="20">
        <f t="shared" si="181"/>
        <v>40.567898195342188</v>
      </c>
      <c r="K572" s="20">
        <f t="shared" si="182"/>
        <v>1.1789811038898186E-2</v>
      </c>
      <c r="L572" s="20">
        <f t="shared" si="183"/>
        <v>2.8129766414285871</v>
      </c>
      <c r="M572" s="20">
        <f t="shared" si="184"/>
        <v>2.8129766414285871</v>
      </c>
      <c r="N572" s="20">
        <f t="shared" si="185"/>
        <v>2.8129766414285871</v>
      </c>
      <c r="O572" s="17"/>
      <c r="P572" s="20">
        <f t="shared" si="186"/>
        <v>11.257466394936467</v>
      </c>
      <c r="Q572" s="20">
        <f t="shared" si="187"/>
        <v>26.106192617974514</v>
      </c>
      <c r="R572" s="20">
        <f t="shared" si="188"/>
        <v>0</v>
      </c>
      <c r="S572" s="20">
        <f t="shared" si="189"/>
        <v>0</v>
      </c>
      <c r="T572" s="20">
        <f t="shared" si="190"/>
        <v>0</v>
      </c>
      <c r="U572" s="17"/>
      <c r="V572" s="20">
        <f t="shared" si="191"/>
        <v>37.363659012910979</v>
      </c>
      <c r="W572" s="17"/>
      <c r="X572" s="20">
        <f t="shared" si="192"/>
        <v>33.964989697090033</v>
      </c>
      <c r="Y572" s="20">
        <f t="shared" si="193"/>
        <v>5.8279490129109774</v>
      </c>
      <c r="Z572" s="20"/>
      <c r="AA572" s="20">
        <f t="shared" si="194"/>
        <v>3.8089112837972168E-5</v>
      </c>
    </row>
    <row r="573" spans="2:27" x14ac:dyDescent="0.3">
      <c r="B573" s="28">
        <v>53.5</v>
      </c>
      <c r="C573" s="28">
        <v>49.285710000000002</v>
      </c>
      <c r="D573" s="20">
        <f t="shared" si="176"/>
        <v>44.346053444648611</v>
      </c>
      <c r="E573" s="20">
        <f t="shared" si="177"/>
        <v>-4.4236831584105367</v>
      </c>
      <c r="F573" s="20">
        <f t="shared" si="178"/>
        <v>3.8583309782193362</v>
      </c>
      <c r="G573" s="20">
        <f t="shared" si="179"/>
        <v>3.8583309782193362</v>
      </c>
      <c r="H573" s="20">
        <f t="shared" si="180"/>
        <v>3.8583309782193362</v>
      </c>
      <c r="I573" s="17"/>
      <c r="J573" s="20">
        <f t="shared" si="181"/>
        <v>40.641269406470755</v>
      </c>
      <c r="K573" s="20">
        <f t="shared" si="182"/>
        <v>1.1848761637246517E-2</v>
      </c>
      <c r="L573" s="20">
        <f t="shared" si="183"/>
        <v>2.8211768556326242</v>
      </c>
      <c r="M573" s="20">
        <f t="shared" si="184"/>
        <v>2.8211768556326242</v>
      </c>
      <c r="N573" s="20">
        <f t="shared" si="185"/>
        <v>2.8211768556326242</v>
      </c>
      <c r="O573" s="17"/>
      <c r="P573" s="20">
        <f t="shared" si="186"/>
        <v>11.217343212419051</v>
      </c>
      <c r="Q573" s="20">
        <f t="shared" si="187"/>
        <v>25.974794292452387</v>
      </c>
      <c r="R573" s="20">
        <f t="shared" si="188"/>
        <v>0</v>
      </c>
      <c r="S573" s="20">
        <f t="shared" si="189"/>
        <v>0</v>
      </c>
      <c r="T573" s="20">
        <f t="shared" si="190"/>
        <v>0</v>
      </c>
      <c r="U573" s="17"/>
      <c r="V573" s="20">
        <f t="shared" si="191"/>
        <v>37.19213750487144</v>
      </c>
      <c r="W573" s="17"/>
      <c r="X573" s="20">
        <f t="shared" si="192"/>
        <v>146.25449569493009</v>
      </c>
      <c r="Y573" s="20">
        <f t="shared" si="193"/>
        <v>12.093572495128562</v>
      </c>
      <c r="Z573" s="20"/>
      <c r="AA573" s="20">
        <f t="shared" si="194"/>
        <v>7.9038688629684591E-5</v>
      </c>
    </row>
    <row r="574" spans="2:27" x14ac:dyDescent="0.3">
      <c r="B574" s="28">
        <v>53.6</v>
      </c>
      <c r="C574" s="28">
        <v>13.28571</v>
      </c>
      <c r="D574" s="20">
        <f t="shared" si="176"/>
        <v>44.421231624947275</v>
      </c>
      <c r="E574" s="20">
        <f t="shared" si="177"/>
        <v>-4.4186365360635769</v>
      </c>
      <c r="F574" s="20">
        <f t="shared" si="178"/>
        <v>3.8694420893304473</v>
      </c>
      <c r="G574" s="20">
        <f t="shared" si="179"/>
        <v>3.8694420893304473</v>
      </c>
      <c r="H574" s="20">
        <f t="shared" si="180"/>
        <v>3.8694420893304473</v>
      </c>
      <c r="I574" s="17"/>
      <c r="J574" s="20">
        <f t="shared" si="181"/>
        <v>40.714643798716423</v>
      </c>
      <c r="K574" s="20">
        <f t="shared" si="182"/>
        <v>1.1908003527595891E-2</v>
      </c>
      <c r="L574" s="20">
        <f t="shared" si="183"/>
        <v>2.8293833122773733</v>
      </c>
      <c r="M574" s="20">
        <f t="shared" si="184"/>
        <v>2.8293833122773733</v>
      </c>
      <c r="N574" s="20">
        <f t="shared" si="185"/>
        <v>2.8293833122773733</v>
      </c>
      <c r="O574" s="17"/>
      <c r="P574" s="20">
        <f t="shared" si="186"/>
        <v>11.177432439988964</v>
      </c>
      <c r="Q574" s="20">
        <f t="shared" si="187"/>
        <v>25.844057500498508</v>
      </c>
      <c r="R574" s="20">
        <f t="shared" si="188"/>
        <v>0</v>
      </c>
      <c r="S574" s="20">
        <f t="shared" si="189"/>
        <v>0</v>
      </c>
      <c r="T574" s="20">
        <f t="shared" si="190"/>
        <v>0</v>
      </c>
      <c r="U574" s="17"/>
      <c r="V574" s="20">
        <f t="shared" si="191"/>
        <v>37.02148994048747</v>
      </c>
      <c r="W574" s="17"/>
      <c r="X574" s="20">
        <f t="shared" si="192"/>
        <v>563.38724938324731</v>
      </c>
      <c r="Y574" s="20">
        <f t="shared" si="193"/>
        <v>23.735779940487468</v>
      </c>
      <c r="Z574" s="20"/>
      <c r="AA574" s="20">
        <f t="shared" si="194"/>
        <v>1.5512743822014512E-4</v>
      </c>
    </row>
    <row r="575" spans="2:27" x14ac:dyDescent="0.3">
      <c r="B575" s="28">
        <v>53.7</v>
      </c>
      <c r="C575" s="28">
        <v>42.535710000000002</v>
      </c>
      <c r="D575" s="20">
        <f t="shared" si="176"/>
        <v>44.496409805245932</v>
      </c>
      <c r="E575" s="20">
        <f t="shared" si="177"/>
        <v>-4.4135899137166179</v>
      </c>
      <c r="F575" s="20">
        <f t="shared" si="178"/>
        <v>3.8805532004415593</v>
      </c>
      <c r="G575" s="20">
        <f t="shared" si="179"/>
        <v>3.8805532004415593</v>
      </c>
      <c r="H575" s="20">
        <f t="shared" si="180"/>
        <v>3.8805532004415593</v>
      </c>
      <c r="I575" s="17"/>
      <c r="J575" s="20">
        <f t="shared" si="181"/>
        <v>40.78802136103527</v>
      </c>
      <c r="K575" s="20">
        <f t="shared" si="182"/>
        <v>1.1967538114945112E-2</v>
      </c>
      <c r="L575" s="20">
        <f t="shared" si="183"/>
        <v>2.8375959893576943</v>
      </c>
      <c r="M575" s="20">
        <f t="shared" si="184"/>
        <v>2.8375959893576943</v>
      </c>
      <c r="N575" s="20">
        <f t="shared" si="185"/>
        <v>2.8375959893576943</v>
      </c>
      <c r="O575" s="17"/>
      <c r="P575" s="20">
        <f t="shared" si="186"/>
        <v>11.137732590016556</v>
      </c>
      <c r="Q575" s="20">
        <f t="shared" si="187"/>
        <v>25.713978912408287</v>
      </c>
      <c r="R575" s="20">
        <f t="shared" si="188"/>
        <v>0</v>
      </c>
      <c r="S575" s="20">
        <f t="shared" si="189"/>
        <v>0</v>
      </c>
      <c r="T575" s="20">
        <f t="shared" si="190"/>
        <v>0</v>
      </c>
      <c r="U575" s="17"/>
      <c r="V575" s="20">
        <f t="shared" si="191"/>
        <v>36.851711502424841</v>
      </c>
      <c r="W575" s="17"/>
      <c r="X575" s="20">
        <f t="shared" si="192"/>
        <v>32.30783892043668</v>
      </c>
      <c r="Y575" s="20">
        <f t="shared" si="193"/>
        <v>5.6839984975751605</v>
      </c>
      <c r="Z575" s="20"/>
      <c r="AA575" s="20">
        <f t="shared" si="194"/>
        <v>3.7148310608995302E-5</v>
      </c>
    </row>
    <row r="576" spans="2:27" x14ac:dyDescent="0.3">
      <c r="B576" s="28">
        <v>53.8</v>
      </c>
      <c r="C576" s="28">
        <v>31.535710000000002</v>
      </c>
      <c r="D576" s="20">
        <f t="shared" si="176"/>
        <v>44.571587985544589</v>
      </c>
      <c r="E576" s="20">
        <f t="shared" si="177"/>
        <v>-4.4085432913696589</v>
      </c>
      <c r="F576" s="20">
        <f t="shared" si="178"/>
        <v>3.8916643115526695</v>
      </c>
      <c r="G576" s="20">
        <f t="shared" si="179"/>
        <v>3.8916643115526695</v>
      </c>
      <c r="H576" s="20">
        <f t="shared" si="180"/>
        <v>3.8916643115526695</v>
      </c>
      <c r="I576" s="17"/>
      <c r="J576" s="20">
        <f t="shared" si="181"/>
        <v>40.86140208244035</v>
      </c>
      <c r="K576" s="20">
        <f t="shared" si="182"/>
        <v>1.2027366810731539E-2</v>
      </c>
      <c r="L576" s="20">
        <f t="shared" si="183"/>
        <v>2.8458148649627151</v>
      </c>
      <c r="M576" s="20">
        <f t="shared" si="184"/>
        <v>2.8458148649627151</v>
      </c>
      <c r="N576" s="20">
        <f t="shared" si="185"/>
        <v>2.8458148649627151</v>
      </c>
      <c r="O576" s="17"/>
      <c r="P576" s="20">
        <f t="shared" si="186"/>
        <v>11.098242187809435</v>
      </c>
      <c r="Q576" s="20">
        <f t="shared" si="187"/>
        <v>25.584555215240094</v>
      </c>
      <c r="R576" s="20">
        <f t="shared" si="188"/>
        <v>0</v>
      </c>
      <c r="S576" s="20">
        <f t="shared" si="189"/>
        <v>0</v>
      </c>
      <c r="T576" s="20">
        <f t="shared" si="190"/>
        <v>0</v>
      </c>
      <c r="U576" s="17"/>
      <c r="V576" s="20">
        <f t="shared" si="191"/>
        <v>36.682797403049527</v>
      </c>
      <c r="W576" s="17"/>
      <c r="X576" s="20">
        <f t="shared" si="192"/>
        <v>26.492508734631105</v>
      </c>
      <c r="Y576" s="20">
        <f t="shared" si="193"/>
        <v>5.1470874030495253</v>
      </c>
      <c r="Z576" s="20"/>
      <c r="AA576" s="20">
        <f t="shared" si="194"/>
        <v>3.3639277290748862E-5</v>
      </c>
    </row>
    <row r="577" spans="2:27" x14ac:dyDescent="0.3">
      <c r="B577" s="28">
        <v>53.9</v>
      </c>
      <c r="C577" s="28">
        <v>37.785710000000002</v>
      </c>
      <c r="D577" s="20">
        <f t="shared" si="176"/>
        <v>44.646766165843253</v>
      </c>
      <c r="E577" s="20">
        <f t="shared" si="177"/>
        <v>-4.4034966690227</v>
      </c>
      <c r="F577" s="20">
        <f t="shared" si="178"/>
        <v>3.9027754226637814</v>
      </c>
      <c r="G577" s="20">
        <f t="shared" si="179"/>
        <v>3.9027754226637814</v>
      </c>
      <c r="H577" s="20">
        <f t="shared" si="180"/>
        <v>3.9027754226637814</v>
      </c>
      <c r="I577" s="17"/>
      <c r="J577" s="20">
        <f t="shared" si="181"/>
        <v>40.934785952001242</v>
      </c>
      <c r="K577" s="20">
        <f t="shared" si="182"/>
        <v>1.2087491032857211E-2</v>
      </c>
      <c r="L577" s="20">
        <f t="shared" si="183"/>
        <v>2.8540399172754602</v>
      </c>
      <c r="M577" s="20">
        <f t="shared" si="184"/>
        <v>2.8540399172754602</v>
      </c>
      <c r="N577" s="20">
        <f t="shared" si="185"/>
        <v>2.8540399172754602</v>
      </c>
      <c r="O577" s="17"/>
      <c r="P577" s="20">
        <f t="shared" si="186"/>
        <v>11.058959771478287</v>
      </c>
      <c r="Q577" s="20">
        <f t="shared" si="187"/>
        <v>25.455783112731002</v>
      </c>
      <c r="R577" s="20">
        <f t="shared" si="188"/>
        <v>0</v>
      </c>
      <c r="S577" s="20">
        <f t="shared" si="189"/>
        <v>0</v>
      </c>
      <c r="T577" s="20">
        <f t="shared" si="190"/>
        <v>0</v>
      </c>
      <c r="U577" s="17"/>
      <c r="V577" s="20">
        <f t="shared" si="191"/>
        <v>36.514742884209291</v>
      </c>
      <c r="W577" s="17"/>
      <c r="X577" s="20">
        <f t="shared" si="192"/>
        <v>1.6153574094213585</v>
      </c>
      <c r="Y577" s="20">
        <f t="shared" si="193"/>
        <v>1.270967115790711</v>
      </c>
      <c r="Z577" s="20"/>
      <c r="AA577" s="20">
        <f t="shared" si="194"/>
        <v>8.3065259801448247E-6</v>
      </c>
    </row>
    <row r="578" spans="2:27" x14ac:dyDescent="0.3">
      <c r="B578" s="28">
        <v>54</v>
      </c>
      <c r="C578" s="28">
        <v>44.785710000000002</v>
      </c>
      <c r="D578" s="20">
        <f t="shared" si="176"/>
        <v>44.72194434614191</v>
      </c>
      <c r="E578" s="20">
        <f t="shared" si="177"/>
        <v>-4.398450046675741</v>
      </c>
      <c r="F578" s="20">
        <f t="shared" si="178"/>
        <v>3.9138865337748916</v>
      </c>
      <c r="G578" s="20">
        <f t="shared" si="179"/>
        <v>3.9138865337748916</v>
      </c>
      <c r="H578" s="20">
        <f t="shared" si="180"/>
        <v>3.9138865337748916</v>
      </c>
      <c r="I578" s="17"/>
      <c r="J578" s="20">
        <f t="shared" si="181"/>
        <v>41.008172958843673</v>
      </c>
      <c r="K578" s="20">
        <f t="shared" si="182"/>
        <v>1.2147912205715134E-2</v>
      </c>
      <c r="L578" s="20">
        <f t="shared" si="183"/>
        <v>2.8622711245724601</v>
      </c>
      <c r="M578" s="20">
        <f t="shared" si="184"/>
        <v>2.8622711245724601</v>
      </c>
      <c r="N578" s="20">
        <f t="shared" si="185"/>
        <v>2.8622711245724601</v>
      </c>
      <c r="O578" s="17"/>
      <c r="P578" s="20">
        <f t="shared" si="186"/>
        <v>11.019883891804259</v>
      </c>
      <c r="Q578" s="20">
        <f t="shared" si="187"/>
        <v>25.327659325212778</v>
      </c>
      <c r="R578" s="20">
        <f t="shared" si="188"/>
        <v>0</v>
      </c>
      <c r="S578" s="20">
        <f t="shared" si="189"/>
        <v>0</v>
      </c>
      <c r="T578" s="20">
        <f t="shared" si="190"/>
        <v>0</v>
      </c>
      <c r="U578" s="17"/>
      <c r="V578" s="20">
        <f t="shared" si="191"/>
        <v>36.347543217017034</v>
      </c>
      <c r="W578" s="17"/>
      <c r="X578" s="20">
        <f t="shared" si="192"/>
        <v>71.202658657437127</v>
      </c>
      <c r="Y578" s="20">
        <f t="shared" si="193"/>
        <v>8.4381667829829681</v>
      </c>
      <c r="Z578" s="20"/>
      <c r="AA578" s="20">
        <f t="shared" si="194"/>
        <v>5.5148438332361281E-5</v>
      </c>
    </row>
    <row r="579" spans="2:27" x14ac:dyDescent="0.3">
      <c r="B579" s="28">
        <v>54.1</v>
      </c>
      <c r="C579" s="28">
        <v>25.785710000000002</v>
      </c>
      <c r="D579" s="20">
        <f t="shared" si="176"/>
        <v>44.797122526440575</v>
      </c>
      <c r="E579" s="20">
        <f t="shared" si="177"/>
        <v>-4.3934034243287812</v>
      </c>
      <c r="F579" s="20">
        <f t="shared" si="178"/>
        <v>3.9249976448860027</v>
      </c>
      <c r="G579" s="20">
        <f t="shared" si="179"/>
        <v>3.9249976448860027</v>
      </c>
      <c r="H579" s="20">
        <f t="shared" si="180"/>
        <v>3.9249976448860027</v>
      </c>
      <c r="I579" s="17"/>
      <c r="J579" s="20">
        <f t="shared" si="181"/>
        <v>41.081563092149153</v>
      </c>
      <c r="K579" s="20">
        <f t="shared" si="182"/>
        <v>1.2208631760215619E-2</v>
      </c>
      <c r="L579" s="20">
        <f t="shared" si="183"/>
        <v>2.8705084652233817</v>
      </c>
      <c r="M579" s="20">
        <f t="shared" si="184"/>
        <v>2.8705084652233817</v>
      </c>
      <c r="N579" s="20">
        <f t="shared" si="185"/>
        <v>2.8705084652233817</v>
      </c>
      <c r="O579" s="17"/>
      <c r="P579" s="20">
        <f t="shared" si="186"/>
        <v>10.981013112107933</v>
      </c>
      <c r="Q579" s="20">
        <f t="shared" si="187"/>
        <v>25.200180589528347</v>
      </c>
      <c r="R579" s="20">
        <f t="shared" si="188"/>
        <v>0</v>
      </c>
      <c r="S579" s="20">
        <f t="shared" si="189"/>
        <v>0</v>
      </c>
      <c r="T579" s="20">
        <f t="shared" si="190"/>
        <v>0</v>
      </c>
      <c r="U579" s="17"/>
      <c r="V579" s="20">
        <f t="shared" si="191"/>
        <v>36.181193701636282</v>
      </c>
      <c r="W579" s="17"/>
      <c r="X579" s="20">
        <f t="shared" si="192"/>
        <v>108.06608139098554</v>
      </c>
      <c r="Y579" s="20">
        <f t="shared" si="193"/>
        <v>10.39548370163628</v>
      </c>
      <c r="Z579" s="20"/>
      <c r="AA579" s="20">
        <f t="shared" si="194"/>
        <v>6.7940668464968454E-5</v>
      </c>
    </row>
    <row r="580" spans="2:27" x14ac:dyDescent="0.3">
      <c r="B580" s="28">
        <v>54.2</v>
      </c>
      <c r="C580" s="28">
        <v>21.035710000000002</v>
      </c>
      <c r="D580" s="20">
        <f t="shared" si="176"/>
        <v>44.872300706739232</v>
      </c>
      <c r="E580" s="20">
        <f t="shared" si="177"/>
        <v>-4.3883568019818222</v>
      </c>
      <c r="F580" s="20">
        <f t="shared" si="178"/>
        <v>3.9361087559971146</v>
      </c>
      <c r="G580" s="20">
        <f t="shared" si="179"/>
        <v>3.9361087559971146</v>
      </c>
      <c r="H580" s="20">
        <f t="shared" si="180"/>
        <v>3.9361087559971146</v>
      </c>
      <c r="I580" s="17"/>
      <c r="J580" s="20">
        <f t="shared" si="181"/>
        <v>41.154956341154588</v>
      </c>
      <c r="K580" s="20">
        <f t="shared" si="182"/>
        <v>1.2269651133812634E-2</v>
      </c>
      <c r="L580" s="20">
        <f t="shared" si="183"/>
        <v>2.8787519176906429</v>
      </c>
      <c r="M580" s="20">
        <f t="shared" si="184"/>
        <v>2.8787519176906429</v>
      </c>
      <c r="N580" s="20">
        <f t="shared" si="185"/>
        <v>2.8787519176906429</v>
      </c>
      <c r="O580" s="17"/>
      <c r="P580" s="20">
        <f t="shared" si="186"/>
        <v>10.942346008119891</v>
      </c>
      <c r="Q580" s="20">
        <f t="shared" si="187"/>
        <v>25.073343658948765</v>
      </c>
      <c r="R580" s="20">
        <f t="shared" si="188"/>
        <v>0</v>
      </c>
      <c r="S580" s="20">
        <f t="shared" si="189"/>
        <v>0</v>
      </c>
      <c r="T580" s="20">
        <f t="shared" si="190"/>
        <v>0</v>
      </c>
      <c r="U580" s="17"/>
      <c r="V580" s="20">
        <f t="shared" si="191"/>
        <v>36.015689667068656</v>
      </c>
      <c r="W580" s="17"/>
      <c r="X580" s="20">
        <f t="shared" si="192"/>
        <v>224.39979082579032</v>
      </c>
      <c r="Y580" s="20">
        <f t="shared" si="193"/>
        <v>14.979979667068655</v>
      </c>
      <c r="Z580" s="20"/>
      <c r="AA580" s="20">
        <f t="shared" si="194"/>
        <v>9.7903076122574567E-5</v>
      </c>
    </row>
    <row r="581" spans="2:27" x14ac:dyDescent="0.3">
      <c r="B581" s="28">
        <v>54.3</v>
      </c>
      <c r="C581" s="28">
        <v>65.535709999999995</v>
      </c>
      <c r="D581" s="20">
        <f t="shared" si="176"/>
        <v>44.947478887037889</v>
      </c>
      <c r="E581" s="20">
        <f t="shared" si="177"/>
        <v>-4.3833101796348632</v>
      </c>
      <c r="F581" s="20">
        <f t="shared" si="178"/>
        <v>3.9472198671082248</v>
      </c>
      <c r="G581" s="20">
        <f t="shared" si="179"/>
        <v>3.9472198671082248</v>
      </c>
      <c r="H581" s="20">
        <f t="shared" si="180"/>
        <v>3.9472198671082248</v>
      </c>
      <c r="I581" s="17"/>
      <c r="J581" s="20">
        <f t="shared" si="181"/>
        <v>41.228352695151898</v>
      </c>
      <c r="K581" s="20">
        <f t="shared" si="182"/>
        <v>1.2330971770530358E-2</v>
      </c>
      <c r="L581" s="20">
        <f t="shared" si="183"/>
        <v>2.8870014605290328</v>
      </c>
      <c r="M581" s="20">
        <f t="shared" si="184"/>
        <v>2.8870014605290328</v>
      </c>
      <c r="N581" s="20">
        <f t="shared" si="185"/>
        <v>2.8870014605290328</v>
      </c>
      <c r="O581" s="17"/>
      <c r="P581" s="20">
        <f t="shared" si="186"/>
        <v>10.903881167852822</v>
      </c>
      <c r="Q581" s="20">
        <f t="shared" si="187"/>
        <v>24.947145303090398</v>
      </c>
      <c r="R581" s="20">
        <f t="shared" si="188"/>
        <v>0</v>
      </c>
      <c r="S581" s="20">
        <f t="shared" si="189"/>
        <v>0</v>
      </c>
      <c r="T581" s="20">
        <f t="shared" si="190"/>
        <v>0</v>
      </c>
      <c r="U581" s="17"/>
      <c r="V581" s="20">
        <f t="shared" si="191"/>
        <v>35.851026470943218</v>
      </c>
      <c r="W581" s="17"/>
      <c r="X581" s="20">
        <f t="shared" si="192"/>
        <v>881.18043622025471</v>
      </c>
      <c r="Y581" s="20">
        <f t="shared" si="193"/>
        <v>29.684683529056777</v>
      </c>
      <c r="Z581" s="20"/>
      <c r="AA581" s="20">
        <f t="shared" si="194"/>
        <v>1.940070611449957E-4</v>
      </c>
    </row>
    <row r="582" spans="2:27" x14ac:dyDescent="0.3">
      <c r="B582" s="28">
        <v>54.4</v>
      </c>
      <c r="C582" s="28">
        <v>36.285710000000002</v>
      </c>
      <c r="D582" s="20">
        <f t="shared" si="176"/>
        <v>45.022657067336546</v>
      </c>
      <c r="E582" s="20">
        <f t="shared" si="177"/>
        <v>-4.3782635572879043</v>
      </c>
      <c r="F582" s="20">
        <f t="shared" si="178"/>
        <v>3.9583309782193359</v>
      </c>
      <c r="G582" s="20">
        <f t="shared" si="179"/>
        <v>3.9583309782193359</v>
      </c>
      <c r="H582" s="20">
        <f t="shared" si="180"/>
        <v>3.9583309782193359</v>
      </c>
      <c r="I582" s="17"/>
      <c r="J582" s="20">
        <f t="shared" si="181"/>
        <v>41.301752143487683</v>
      </c>
      <c r="K582" s="20">
        <f t="shared" si="182"/>
        <v>1.2392595120989678E-2</v>
      </c>
      <c r="L582" s="20">
        <f t="shared" si="183"/>
        <v>2.8952570723853404</v>
      </c>
      <c r="M582" s="20">
        <f t="shared" si="184"/>
        <v>2.8952570723853404</v>
      </c>
      <c r="N582" s="20">
        <f t="shared" si="185"/>
        <v>2.8952570723853404</v>
      </c>
      <c r="O582" s="17"/>
      <c r="P582" s="20">
        <f t="shared" si="186"/>
        <v>10.865617191475138</v>
      </c>
      <c r="Q582" s="20">
        <f t="shared" si="187"/>
        <v>24.821582307832724</v>
      </c>
      <c r="R582" s="20">
        <f t="shared" si="188"/>
        <v>0</v>
      </c>
      <c r="S582" s="20">
        <f t="shared" si="189"/>
        <v>0</v>
      </c>
      <c r="T582" s="20">
        <f t="shared" si="190"/>
        <v>0</v>
      </c>
      <c r="U582" s="17"/>
      <c r="V582" s="20">
        <f t="shared" si="191"/>
        <v>35.687199499307866</v>
      </c>
      <c r="W582" s="17"/>
      <c r="X582" s="20">
        <f t="shared" si="192"/>
        <v>0.35821481943875116</v>
      </c>
      <c r="Y582" s="20">
        <f t="shared" si="193"/>
        <v>0.59851050069213585</v>
      </c>
      <c r="Z582" s="20"/>
      <c r="AA582" s="20">
        <f t="shared" si="194"/>
        <v>3.911622072374195E-6</v>
      </c>
    </row>
    <row r="583" spans="2:27" x14ac:dyDescent="0.3">
      <c r="B583" s="28">
        <v>54.5</v>
      </c>
      <c r="C583" s="28">
        <v>43.285710000000002</v>
      </c>
      <c r="D583" s="20">
        <f t="shared" si="176"/>
        <v>45.09783524763521</v>
      </c>
      <c r="E583" s="20">
        <f t="shared" si="177"/>
        <v>-4.3732169349409453</v>
      </c>
      <c r="F583" s="20">
        <f t="shared" si="178"/>
        <v>3.969442089330447</v>
      </c>
      <c r="G583" s="20">
        <f t="shared" si="179"/>
        <v>3.969442089330447</v>
      </c>
      <c r="H583" s="20">
        <f t="shared" si="180"/>
        <v>3.969442089330447</v>
      </c>
      <c r="I583" s="17"/>
      <c r="J583" s="20">
        <f t="shared" si="181"/>
        <v>41.37515467556279</v>
      </c>
      <c r="K583" s="20">
        <f t="shared" si="182"/>
        <v>1.2454522642434834E-2</v>
      </c>
      <c r="L583" s="20">
        <f t="shared" si="183"/>
        <v>2.9035187319979676</v>
      </c>
      <c r="M583" s="20">
        <f t="shared" si="184"/>
        <v>2.9035187319979676</v>
      </c>
      <c r="N583" s="20">
        <f t="shared" si="185"/>
        <v>2.9035187319979676</v>
      </c>
      <c r="O583" s="17"/>
      <c r="P583" s="20">
        <f t="shared" si="186"/>
        <v>10.827552691186165</v>
      </c>
      <c r="Q583" s="20">
        <f t="shared" si="187"/>
        <v>24.696651475236454</v>
      </c>
      <c r="R583" s="20">
        <f t="shared" si="188"/>
        <v>0</v>
      </c>
      <c r="S583" s="20">
        <f t="shared" si="189"/>
        <v>0</v>
      </c>
      <c r="T583" s="20">
        <f t="shared" si="190"/>
        <v>0</v>
      </c>
      <c r="U583" s="17"/>
      <c r="V583" s="20">
        <f t="shared" si="191"/>
        <v>35.524204166422621</v>
      </c>
      <c r="W583" s="17"/>
      <c r="X583" s="20">
        <f t="shared" si="192"/>
        <v>60.240972804655719</v>
      </c>
      <c r="Y583" s="20">
        <f t="shared" si="193"/>
        <v>7.761505833577381</v>
      </c>
      <c r="Z583" s="20"/>
      <c r="AA583" s="20">
        <f t="shared" si="194"/>
        <v>5.0726056599463223E-5</v>
      </c>
    </row>
    <row r="584" spans="2:27" x14ac:dyDescent="0.3">
      <c r="B584" s="28">
        <v>54.6</v>
      </c>
      <c r="C584" s="28">
        <v>33.785710000000002</v>
      </c>
      <c r="D584" s="20">
        <f t="shared" si="176"/>
        <v>45.173013427933867</v>
      </c>
      <c r="E584" s="20">
        <f t="shared" si="177"/>
        <v>-4.3681703125939855</v>
      </c>
      <c r="F584" s="20">
        <f t="shared" si="178"/>
        <v>3.9805532004415589</v>
      </c>
      <c r="G584" s="20">
        <f t="shared" si="179"/>
        <v>3.9805532004415589</v>
      </c>
      <c r="H584" s="20">
        <f t="shared" si="180"/>
        <v>3.9805532004415589</v>
      </c>
      <c r="I584" s="17"/>
      <c r="J584" s="20">
        <f t="shared" si="181"/>
        <v>41.448560280831984</v>
      </c>
      <c r="K584" s="20">
        <f t="shared" si="182"/>
        <v>1.2516755798760113E-2</v>
      </c>
      <c r="L584" s="20">
        <f t="shared" si="183"/>
        <v>2.9117864181965585</v>
      </c>
      <c r="M584" s="20">
        <f t="shared" si="184"/>
        <v>2.9117864181965585</v>
      </c>
      <c r="N584" s="20">
        <f t="shared" si="185"/>
        <v>2.9117864181965585</v>
      </c>
      <c r="O584" s="17"/>
      <c r="P584" s="20">
        <f t="shared" si="186"/>
        <v>10.789686291092742</v>
      </c>
      <c r="Q584" s="20">
        <f t="shared" si="187"/>
        <v>24.57234962346207</v>
      </c>
      <c r="R584" s="20">
        <f t="shared" si="188"/>
        <v>0</v>
      </c>
      <c r="S584" s="20">
        <f t="shared" si="189"/>
        <v>0</v>
      </c>
      <c r="T584" s="20">
        <f t="shared" si="190"/>
        <v>0</v>
      </c>
      <c r="U584" s="17"/>
      <c r="V584" s="20">
        <f t="shared" si="191"/>
        <v>35.362035914554809</v>
      </c>
      <c r="W584" s="17"/>
      <c r="X584" s="20">
        <f t="shared" si="192"/>
        <v>2.4848033888970509</v>
      </c>
      <c r="Y584" s="20">
        <f t="shared" si="193"/>
        <v>1.5763259145548076</v>
      </c>
      <c r="Z584" s="20"/>
      <c r="AA584" s="20">
        <f t="shared" si="194"/>
        <v>1.0302227335188745E-5</v>
      </c>
    </row>
    <row r="585" spans="2:27" x14ac:dyDescent="0.3">
      <c r="B585" s="28">
        <v>54.7</v>
      </c>
      <c r="C585" s="28">
        <v>40.535710000000002</v>
      </c>
      <c r="D585" s="20">
        <f t="shared" si="176"/>
        <v>45.248191608232531</v>
      </c>
      <c r="E585" s="20">
        <f t="shared" si="177"/>
        <v>-4.3631236902470265</v>
      </c>
      <c r="F585" s="20">
        <f t="shared" si="178"/>
        <v>3.99166431155267</v>
      </c>
      <c r="G585" s="20">
        <f t="shared" si="179"/>
        <v>3.99166431155267</v>
      </c>
      <c r="H585" s="20">
        <f t="shared" si="180"/>
        <v>3.99166431155267</v>
      </c>
      <c r="I585" s="17"/>
      <c r="J585" s="20">
        <f t="shared" si="181"/>
        <v>41.521968948803618</v>
      </c>
      <c r="K585" s="20">
        <f t="shared" si="182"/>
        <v>1.257929606053659E-2</v>
      </c>
      <c r="L585" s="20">
        <f t="shared" si="183"/>
        <v>2.9200601099016148</v>
      </c>
      <c r="M585" s="20">
        <f t="shared" si="184"/>
        <v>2.9200601099016148</v>
      </c>
      <c r="N585" s="20">
        <f t="shared" si="185"/>
        <v>2.9200601099016148</v>
      </c>
      <c r="O585" s="17"/>
      <c r="P585" s="20">
        <f t="shared" si="186"/>
        <v>10.752016627087318</v>
      </c>
      <c r="Q585" s="20">
        <f t="shared" si="187"/>
        <v>24.448673586688844</v>
      </c>
      <c r="R585" s="20">
        <f t="shared" si="188"/>
        <v>0</v>
      </c>
      <c r="S585" s="20">
        <f t="shared" si="189"/>
        <v>0</v>
      </c>
      <c r="T585" s="20">
        <f t="shared" si="190"/>
        <v>0</v>
      </c>
      <c r="U585" s="17"/>
      <c r="V585" s="20">
        <f t="shared" si="191"/>
        <v>35.200690213776163</v>
      </c>
      <c r="W585" s="17"/>
      <c r="X585" s="20">
        <f t="shared" si="192"/>
        <v>28.462436119399854</v>
      </c>
      <c r="Y585" s="20">
        <f t="shared" si="193"/>
        <v>5.3350197862238389</v>
      </c>
      <c r="Z585" s="20"/>
      <c r="AA585" s="20">
        <f t="shared" si="194"/>
        <v>3.4867527183254363E-5</v>
      </c>
    </row>
    <row r="586" spans="2:27" x14ac:dyDescent="0.3">
      <c r="B586" s="28">
        <v>54.8</v>
      </c>
      <c r="C586" s="28">
        <v>29.785710000000002</v>
      </c>
      <c r="D586" s="20">
        <f t="shared" si="176"/>
        <v>45.323369788531188</v>
      </c>
      <c r="E586" s="20">
        <f t="shared" si="177"/>
        <v>-4.3580770679000675</v>
      </c>
      <c r="F586" s="20">
        <f t="shared" si="178"/>
        <v>4.0027754226637811</v>
      </c>
      <c r="G586" s="20">
        <f t="shared" si="179"/>
        <v>4.0027754226637811</v>
      </c>
      <c r="H586" s="20">
        <f t="shared" si="180"/>
        <v>4.0027754226637811</v>
      </c>
      <c r="I586" s="17"/>
      <c r="J586" s="20">
        <f t="shared" si="181"/>
        <v>41.59538066903918</v>
      </c>
      <c r="K586" s="20">
        <f t="shared" si="182"/>
        <v>1.2642144905039024E-2</v>
      </c>
      <c r="L586" s="20">
        <f t="shared" si="183"/>
        <v>2.9283397861241274</v>
      </c>
      <c r="M586" s="20">
        <f t="shared" si="184"/>
        <v>2.9283397861241274</v>
      </c>
      <c r="N586" s="20">
        <f t="shared" si="185"/>
        <v>2.9283397861241274</v>
      </c>
      <c r="O586" s="17"/>
      <c r="P586" s="20">
        <f t="shared" si="186"/>
        <v>10.714542346727541</v>
      </c>
      <c r="Q586" s="20">
        <f t="shared" si="187"/>
        <v>24.325620215034103</v>
      </c>
      <c r="R586" s="20">
        <f t="shared" si="188"/>
        <v>0</v>
      </c>
      <c r="S586" s="20">
        <f t="shared" si="189"/>
        <v>0</v>
      </c>
      <c r="T586" s="20">
        <f t="shared" si="190"/>
        <v>0</v>
      </c>
      <c r="U586" s="17"/>
      <c r="V586" s="20">
        <f t="shared" si="191"/>
        <v>35.040162561761647</v>
      </c>
      <c r="W586" s="17"/>
      <c r="X586" s="20">
        <f t="shared" si="192"/>
        <v>27.609271723803523</v>
      </c>
      <c r="Y586" s="20">
        <f t="shared" si="193"/>
        <v>5.2544525617616458</v>
      </c>
      <c r="Z586" s="20"/>
      <c r="AA586" s="20">
        <f t="shared" si="194"/>
        <v>3.4340972455890695E-5</v>
      </c>
    </row>
    <row r="587" spans="2:27" x14ac:dyDescent="0.3">
      <c r="B587" s="28">
        <v>54.9</v>
      </c>
      <c r="C587" s="28">
        <v>27.785710000000002</v>
      </c>
      <c r="D587" s="20">
        <f t="shared" si="176"/>
        <v>45.398547968829845</v>
      </c>
      <c r="E587" s="20">
        <f t="shared" si="177"/>
        <v>-4.3530304455531077</v>
      </c>
      <c r="F587" s="20">
        <f t="shared" si="178"/>
        <v>4.0138865337748912</v>
      </c>
      <c r="G587" s="20">
        <f t="shared" si="179"/>
        <v>4.0138865337748912</v>
      </c>
      <c r="H587" s="20">
        <f t="shared" si="180"/>
        <v>4.0138865337748912</v>
      </c>
      <c r="I587" s="17"/>
      <c r="J587" s="20">
        <f t="shared" si="181"/>
        <v>41.66879543115305</v>
      </c>
      <c r="K587" s="20">
        <f t="shared" si="182"/>
        <v>1.2705303816272735E-2</v>
      </c>
      <c r="L587" s="20">
        <f t="shared" si="183"/>
        <v>2.9366254259651927</v>
      </c>
      <c r="M587" s="20">
        <f t="shared" si="184"/>
        <v>2.9366254259651927</v>
      </c>
      <c r="N587" s="20">
        <f t="shared" si="185"/>
        <v>2.9366254259651927</v>
      </c>
      <c r="O587" s="17"/>
      <c r="P587" s="20">
        <f t="shared" si="186"/>
        <v>10.677262109117192</v>
      </c>
      <c r="Q587" s="20">
        <f t="shared" si="187"/>
        <v>24.203186374473056</v>
      </c>
      <c r="R587" s="20">
        <f t="shared" si="188"/>
        <v>0</v>
      </c>
      <c r="S587" s="20">
        <f t="shared" si="189"/>
        <v>0</v>
      </c>
      <c r="T587" s="20">
        <f t="shared" si="190"/>
        <v>0</v>
      </c>
      <c r="U587" s="17"/>
      <c r="V587" s="20">
        <f t="shared" si="191"/>
        <v>34.88044848359025</v>
      </c>
      <c r="W587" s="17"/>
      <c r="X587" s="20">
        <f t="shared" si="192"/>
        <v>50.335314150536455</v>
      </c>
      <c r="Y587" s="20">
        <f t="shared" si="193"/>
        <v>7.0947384835902483</v>
      </c>
      <c r="Z587" s="20"/>
      <c r="AA587" s="20">
        <f t="shared" si="194"/>
        <v>4.6368335422755408E-5</v>
      </c>
    </row>
    <row r="588" spans="2:27" x14ac:dyDescent="0.3">
      <c r="B588" s="28">
        <v>55</v>
      </c>
      <c r="C588" s="28">
        <v>36.285710000000002</v>
      </c>
      <c r="D588" s="20">
        <f t="shared" si="176"/>
        <v>45.47372614912851</v>
      </c>
      <c r="E588" s="20">
        <f t="shared" si="177"/>
        <v>-4.3479838232061496</v>
      </c>
      <c r="F588" s="20">
        <f t="shared" si="178"/>
        <v>4.0249976448860023</v>
      </c>
      <c r="G588" s="20">
        <f t="shared" si="179"/>
        <v>4.0249976448860023</v>
      </c>
      <c r="H588" s="20">
        <f t="shared" si="180"/>
        <v>4.0249976448860023</v>
      </c>
      <c r="I588" s="17"/>
      <c r="J588" s="20">
        <f t="shared" si="181"/>
        <v>41.742213224812062</v>
      </c>
      <c r="K588" s="20">
        <f t="shared" si="182"/>
        <v>1.2768774285000549E-2</v>
      </c>
      <c r="L588" s="20">
        <f t="shared" si="183"/>
        <v>2.9449170086156427</v>
      </c>
      <c r="M588" s="20">
        <f t="shared" si="184"/>
        <v>2.9449170086156427</v>
      </c>
      <c r="N588" s="20">
        <f t="shared" si="185"/>
        <v>2.9449170086156427</v>
      </c>
      <c r="O588" s="17"/>
      <c r="P588" s="20">
        <f t="shared" si="186"/>
        <v>10.64017458478861</v>
      </c>
      <c r="Q588" s="20">
        <f t="shared" si="187"/>
        <v>24.08136894675906</v>
      </c>
      <c r="R588" s="20">
        <f t="shared" si="188"/>
        <v>0</v>
      </c>
      <c r="S588" s="20">
        <f t="shared" si="189"/>
        <v>0</v>
      </c>
      <c r="T588" s="20">
        <f t="shared" si="190"/>
        <v>0</v>
      </c>
      <c r="U588" s="17"/>
      <c r="V588" s="20">
        <f t="shared" si="191"/>
        <v>34.721543531547667</v>
      </c>
      <c r="W588" s="17"/>
      <c r="X588" s="20">
        <f t="shared" si="192"/>
        <v>2.446616741030649</v>
      </c>
      <c r="Y588" s="20">
        <f t="shared" si="193"/>
        <v>1.5641664684523349</v>
      </c>
      <c r="Z588" s="20"/>
      <c r="AA588" s="20">
        <f t="shared" si="194"/>
        <v>1.0222758123358253E-5</v>
      </c>
    </row>
    <row r="589" spans="2:27" x14ac:dyDescent="0.3">
      <c r="B589" s="28">
        <v>55.1</v>
      </c>
      <c r="C589" s="28">
        <v>41.285710000000002</v>
      </c>
      <c r="D589" s="20">
        <f t="shared" si="176"/>
        <v>45.548904329427167</v>
      </c>
      <c r="E589" s="20">
        <f t="shared" si="177"/>
        <v>-4.3429372008591898</v>
      </c>
      <c r="F589" s="20">
        <f t="shared" si="178"/>
        <v>4.0361087559971143</v>
      </c>
      <c r="G589" s="20">
        <f t="shared" si="179"/>
        <v>4.0361087559971143</v>
      </c>
      <c r="H589" s="20">
        <f t="shared" si="180"/>
        <v>4.0361087559971143</v>
      </c>
      <c r="I589" s="17"/>
      <c r="J589" s="20">
        <f t="shared" si="181"/>
        <v>41.815634039735173</v>
      </c>
      <c r="K589" s="20">
        <f t="shared" si="182"/>
        <v>1.2832557808769978E-2</v>
      </c>
      <c r="L589" s="20">
        <f t="shared" si="183"/>
        <v>2.9532145133556651</v>
      </c>
      <c r="M589" s="20">
        <f t="shared" si="184"/>
        <v>2.9532145133556651</v>
      </c>
      <c r="N589" s="20">
        <f t="shared" si="185"/>
        <v>2.9532145133556651</v>
      </c>
      <c r="O589" s="17"/>
      <c r="P589" s="20">
        <f t="shared" si="186"/>
        <v>10.603278455586455</v>
      </c>
      <c r="Q589" s="20">
        <f t="shared" si="187"/>
        <v>23.960164829343963</v>
      </c>
      <c r="R589" s="20">
        <f t="shared" si="188"/>
        <v>0</v>
      </c>
      <c r="S589" s="20">
        <f t="shared" si="189"/>
        <v>0</v>
      </c>
      <c r="T589" s="20">
        <f t="shared" si="190"/>
        <v>0</v>
      </c>
      <c r="U589" s="17"/>
      <c r="V589" s="20">
        <f t="shared" si="191"/>
        <v>34.563443284930415</v>
      </c>
      <c r="W589" s="17"/>
      <c r="X589" s="20">
        <f t="shared" si="192"/>
        <v>45.188869788532458</v>
      </c>
      <c r="Y589" s="20">
        <f t="shared" si="193"/>
        <v>6.722266715069587</v>
      </c>
      <c r="Z589" s="20"/>
      <c r="AA589" s="20">
        <f t="shared" si="194"/>
        <v>4.3934010896457561E-5</v>
      </c>
    </row>
    <row r="590" spans="2:27" x14ac:dyDescent="0.3">
      <c r="B590" s="28">
        <v>55.2</v>
      </c>
      <c r="C590" s="28">
        <v>39.035710000000002</v>
      </c>
      <c r="D590" s="20">
        <f t="shared" si="176"/>
        <v>45.624082509725831</v>
      </c>
      <c r="E590" s="20">
        <f t="shared" si="177"/>
        <v>-4.3378905785122308</v>
      </c>
      <c r="F590" s="20">
        <f t="shared" si="178"/>
        <v>4.0472198671082253</v>
      </c>
      <c r="G590" s="20">
        <f t="shared" si="179"/>
        <v>4.0472198671082253</v>
      </c>
      <c r="H590" s="20">
        <f t="shared" si="180"/>
        <v>4.0472198671082253</v>
      </c>
      <c r="I590" s="17"/>
      <c r="J590" s="20">
        <f t="shared" si="181"/>
        <v>41.889057865693161</v>
      </c>
      <c r="K590" s="20">
        <f t="shared" si="182"/>
        <v>1.2896655891940194E-2</v>
      </c>
      <c r="L590" s="20">
        <f t="shared" si="183"/>
        <v>2.9615179195544283</v>
      </c>
      <c r="M590" s="20">
        <f t="shared" si="184"/>
        <v>2.9615179195544283</v>
      </c>
      <c r="N590" s="20">
        <f t="shared" si="185"/>
        <v>2.9615179195544283</v>
      </c>
      <c r="O590" s="17"/>
      <c r="P590" s="20">
        <f t="shared" si="186"/>
        <v>10.566572414552844</v>
      </c>
      <c r="Q590" s="20">
        <f t="shared" si="187"/>
        <v>23.839570935299371</v>
      </c>
      <c r="R590" s="20">
        <f t="shared" si="188"/>
        <v>0</v>
      </c>
      <c r="S590" s="20">
        <f t="shared" si="189"/>
        <v>0</v>
      </c>
      <c r="T590" s="20">
        <f t="shared" si="190"/>
        <v>0</v>
      </c>
      <c r="U590" s="17"/>
      <c r="V590" s="20">
        <f t="shared" si="191"/>
        <v>34.406143349852215</v>
      </c>
      <c r="W590" s="17"/>
      <c r="X590" s="20">
        <f t="shared" si="192"/>
        <v>21.4328873681606</v>
      </c>
      <c r="Y590" s="20">
        <f t="shared" si="193"/>
        <v>4.6295666501477868</v>
      </c>
      <c r="Z590" s="20"/>
      <c r="AA590" s="20">
        <f t="shared" si="194"/>
        <v>3.0256971386974181E-5</v>
      </c>
    </row>
    <row r="591" spans="2:27" x14ac:dyDescent="0.3">
      <c r="B591" s="28">
        <v>55.3</v>
      </c>
      <c r="C591" s="28">
        <v>33.785710000000002</v>
      </c>
      <c r="D591" s="20">
        <f t="shared" si="176"/>
        <v>45.699260690024481</v>
      </c>
      <c r="E591" s="20">
        <f t="shared" si="177"/>
        <v>-4.3328439561652718</v>
      </c>
      <c r="F591" s="20">
        <f t="shared" si="178"/>
        <v>4.0583309782193364</v>
      </c>
      <c r="G591" s="20">
        <f t="shared" si="179"/>
        <v>4.0583309782193364</v>
      </c>
      <c r="H591" s="20">
        <f t="shared" si="180"/>
        <v>4.0583309782193364</v>
      </c>
      <c r="I591" s="17"/>
      <c r="J591" s="20">
        <f t="shared" si="181"/>
        <v>41.962484692508191</v>
      </c>
      <c r="K591" s="20">
        <f t="shared" si="182"/>
        <v>1.2961070045709341E-2</v>
      </c>
      <c r="L591" s="20">
        <f t="shared" si="183"/>
        <v>2.9698272066697124</v>
      </c>
      <c r="M591" s="20">
        <f t="shared" si="184"/>
        <v>2.9698272066697124</v>
      </c>
      <c r="N591" s="20">
        <f t="shared" si="185"/>
        <v>2.9698272066697124</v>
      </c>
      <c r="O591" s="17"/>
      <c r="P591" s="20">
        <f t="shared" si="186"/>
        <v>10.530055165813902</v>
      </c>
      <c r="Q591" s="20">
        <f t="shared" si="187"/>
        <v>23.719584193237807</v>
      </c>
      <c r="R591" s="20">
        <f t="shared" si="188"/>
        <v>0</v>
      </c>
      <c r="S591" s="20">
        <f t="shared" si="189"/>
        <v>0</v>
      </c>
      <c r="T591" s="20">
        <f t="shared" si="190"/>
        <v>0</v>
      </c>
      <c r="U591" s="17"/>
      <c r="V591" s="20">
        <f t="shared" si="191"/>
        <v>34.249639359051713</v>
      </c>
      <c r="W591" s="17"/>
      <c r="X591" s="20">
        <f t="shared" si="192"/>
        <v>0.21523045019013165</v>
      </c>
      <c r="Y591" s="20">
        <f t="shared" si="193"/>
        <v>0.46392935905171129</v>
      </c>
      <c r="Z591" s="20"/>
      <c r="AA591" s="20">
        <f t="shared" si="194"/>
        <v>3.0320542727161734E-6</v>
      </c>
    </row>
    <row r="592" spans="2:27" x14ac:dyDescent="0.3">
      <c r="B592" s="28">
        <v>55.4</v>
      </c>
      <c r="C592" s="28">
        <v>17.285710000000002</v>
      </c>
      <c r="D592" s="20">
        <f t="shared" si="176"/>
        <v>45.774438870323145</v>
      </c>
      <c r="E592" s="20">
        <f t="shared" si="177"/>
        <v>-4.327797333818312</v>
      </c>
      <c r="F592" s="20">
        <f t="shared" si="178"/>
        <v>4.0694420893304466</v>
      </c>
      <c r="G592" s="20">
        <f t="shared" si="179"/>
        <v>4.0694420893304466</v>
      </c>
      <c r="H592" s="20">
        <f t="shared" si="180"/>
        <v>4.0694420893304466</v>
      </c>
      <c r="I592" s="17"/>
      <c r="J592" s="20">
        <f t="shared" si="181"/>
        <v>42.03591451005358</v>
      </c>
      <c r="K592" s="20">
        <f t="shared" si="182"/>
        <v>1.3025801788141765E-2</v>
      </c>
      <c r="L592" s="20">
        <f t="shared" si="183"/>
        <v>2.9781423542475305</v>
      </c>
      <c r="M592" s="20">
        <f t="shared" si="184"/>
        <v>2.9781423542475305</v>
      </c>
      <c r="N592" s="20">
        <f t="shared" si="185"/>
        <v>2.9781423542475305</v>
      </c>
      <c r="O592" s="17"/>
      <c r="P592" s="20">
        <f t="shared" si="186"/>
        <v>10.493725424467542</v>
      </c>
      <c r="Q592" s="20">
        <f t="shared" si="187"/>
        <v>23.600201547234569</v>
      </c>
      <c r="R592" s="20">
        <f t="shared" si="188"/>
        <v>0</v>
      </c>
      <c r="S592" s="20">
        <f t="shared" si="189"/>
        <v>0</v>
      </c>
      <c r="T592" s="20">
        <f t="shared" si="190"/>
        <v>0</v>
      </c>
      <c r="U592" s="17"/>
      <c r="V592" s="20">
        <f t="shared" si="191"/>
        <v>34.093926971702111</v>
      </c>
      <c r="W592" s="17"/>
      <c r="X592" s="20">
        <f t="shared" si="192"/>
        <v>282.51615776781483</v>
      </c>
      <c r="Y592" s="20">
        <f t="shared" si="193"/>
        <v>16.808216971702109</v>
      </c>
      <c r="Z592" s="20"/>
      <c r="AA592" s="20">
        <f t="shared" si="194"/>
        <v>1.0985169421043109E-4</v>
      </c>
    </row>
    <row r="593" spans="2:27" x14ac:dyDescent="0.3">
      <c r="B593" s="28">
        <v>55.5</v>
      </c>
      <c r="C593" s="28">
        <v>37.785710000000002</v>
      </c>
      <c r="D593" s="20">
        <f t="shared" si="176"/>
        <v>45.849617050621802</v>
      </c>
      <c r="E593" s="20">
        <f t="shared" si="177"/>
        <v>-4.3227507114713539</v>
      </c>
      <c r="F593" s="20">
        <f t="shared" si="178"/>
        <v>4.0805532004415586</v>
      </c>
      <c r="G593" s="20">
        <f t="shared" si="179"/>
        <v>4.0805532004415586</v>
      </c>
      <c r="H593" s="20">
        <f t="shared" si="180"/>
        <v>4.0805532004415586</v>
      </c>
      <c r="I593" s="17"/>
      <c r="J593" s="20">
        <f t="shared" si="181"/>
        <v>42.109347308253355</v>
      </c>
      <c r="K593" s="20">
        <f t="shared" si="182"/>
        <v>1.3090852644195326E-2</v>
      </c>
      <c r="L593" s="20">
        <f t="shared" si="183"/>
        <v>2.9864633419217599</v>
      </c>
      <c r="M593" s="20">
        <f t="shared" si="184"/>
        <v>2.9864633419217599</v>
      </c>
      <c r="N593" s="20">
        <f t="shared" si="185"/>
        <v>2.9864633419217599</v>
      </c>
      <c r="O593" s="17"/>
      <c r="P593" s="20">
        <f t="shared" si="186"/>
        <v>10.457581916472675</v>
      </c>
      <c r="Q593" s="20">
        <f t="shared" si="187"/>
        <v>23.481419956749949</v>
      </c>
      <c r="R593" s="20">
        <f t="shared" si="188"/>
        <v>0</v>
      </c>
      <c r="S593" s="20">
        <f t="shared" si="189"/>
        <v>0</v>
      </c>
      <c r="T593" s="20">
        <f t="shared" si="190"/>
        <v>0</v>
      </c>
      <c r="U593" s="17"/>
      <c r="V593" s="20">
        <f t="shared" si="191"/>
        <v>33.939001873222622</v>
      </c>
      <c r="W593" s="17"/>
      <c r="X593" s="20">
        <f t="shared" si="192"/>
        <v>14.797163412615134</v>
      </c>
      <c r="Y593" s="20">
        <f t="shared" si="193"/>
        <v>3.8467081267773793</v>
      </c>
      <c r="Z593" s="20"/>
      <c r="AA593" s="20">
        <f t="shared" si="194"/>
        <v>2.5140525349652063E-5</v>
      </c>
    </row>
    <row r="594" spans="2:27" x14ac:dyDescent="0.3">
      <c r="B594" s="28">
        <v>55.6</v>
      </c>
      <c r="C594" s="28">
        <v>41.285710000000002</v>
      </c>
      <c r="D594" s="20">
        <f t="shared" si="176"/>
        <v>45.924795230920466</v>
      </c>
      <c r="E594" s="20">
        <f t="shared" si="177"/>
        <v>-4.3177040891243941</v>
      </c>
      <c r="F594" s="20">
        <f t="shared" si="178"/>
        <v>4.0916643115526696</v>
      </c>
      <c r="G594" s="20">
        <f t="shared" si="179"/>
        <v>4.0916643115526696</v>
      </c>
      <c r="H594" s="20">
        <f t="shared" si="180"/>
        <v>4.0916643115526696</v>
      </c>
      <c r="I594" s="17"/>
      <c r="J594" s="20">
        <f t="shared" si="181"/>
        <v>42.182783077082</v>
      </c>
      <c r="K594" s="20">
        <f t="shared" si="182"/>
        <v>1.3156224145748898E-2</v>
      </c>
      <c r="L594" s="20">
        <f t="shared" si="183"/>
        <v>2.9947901494137636</v>
      </c>
      <c r="M594" s="20">
        <f t="shared" si="184"/>
        <v>2.9947901494137636</v>
      </c>
      <c r="N594" s="20">
        <f t="shared" si="185"/>
        <v>2.9947901494137636</v>
      </c>
      <c r="O594" s="17"/>
      <c r="P594" s="20">
        <f t="shared" si="186"/>
        <v>10.421623378539625</v>
      </c>
      <c r="Q594" s="20">
        <f t="shared" si="187"/>
        <v>23.363236396551613</v>
      </c>
      <c r="R594" s="20">
        <f t="shared" si="188"/>
        <v>0</v>
      </c>
      <c r="S594" s="20">
        <f t="shared" si="189"/>
        <v>0</v>
      </c>
      <c r="T594" s="20">
        <f t="shared" si="190"/>
        <v>0</v>
      </c>
      <c r="U594" s="17"/>
      <c r="V594" s="20">
        <f t="shared" si="191"/>
        <v>33.784859775091235</v>
      </c>
      <c r="W594" s="17"/>
      <c r="X594" s="20">
        <f t="shared" si="192"/>
        <v>56.262754096513902</v>
      </c>
      <c r="Y594" s="20">
        <f t="shared" si="193"/>
        <v>7.500850224908767</v>
      </c>
      <c r="Z594" s="20"/>
      <c r="AA594" s="20">
        <f t="shared" si="194"/>
        <v>4.9022517177887165E-5</v>
      </c>
    </row>
    <row r="595" spans="2:27" x14ac:dyDescent="0.3">
      <c r="B595" s="28">
        <v>55.7</v>
      </c>
      <c r="C595" s="28">
        <v>53.285710000000002</v>
      </c>
      <c r="D595" s="20">
        <f t="shared" si="176"/>
        <v>45.999973411219123</v>
      </c>
      <c r="E595" s="20">
        <f t="shared" si="177"/>
        <v>-4.3126574667774342</v>
      </c>
      <c r="F595" s="20">
        <f t="shared" si="178"/>
        <v>4.1027754226637807</v>
      </c>
      <c r="G595" s="20">
        <f t="shared" si="179"/>
        <v>4.1027754226637807</v>
      </c>
      <c r="H595" s="20">
        <f t="shared" si="180"/>
        <v>4.1027754226637807</v>
      </c>
      <c r="I595" s="17"/>
      <c r="J595" s="20">
        <f t="shared" si="181"/>
        <v>42.256221806564056</v>
      </c>
      <c r="K595" s="20">
        <f t="shared" si="182"/>
        <v>1.3221917831629744E-2</v>
      </c>
      <c r="L595" s="20">
        <f t="shared" si="183"/>
        <v>3.0031227565320262</v>
      </c>
      <c r="M595" s="20">
        <f t="shared" si="184"/>
        <v>3.0031227565320262</v>
      </c>
      <c r="N595" s="20">
        <f t="shared" si="185"/>
        <v>3.0031227565320262</v>
      </c>
      <c r="O595" s="17"/>
      <c r="P595" s="20">
        <f t="shared" si="186"/>
        <v>10.385848558021902</v>
      </c>
      <c r="Q595" s="20">
        <f t="shared" si="187"/>
        <v>23.24564785663777</v>
      </c>
      <c r="R595" s="20">
        <f t="shared" si="188"/>
        <v>0</v>
      </c>
      <c r="S595" s="20">
        <f t="shared" si="189"/>
        <v>0</v>
      </c>
      <c r="T595" s="20">
        <f t="shared" si="190"/>
        <v>0</v>
      </c>
      <c r="U595" s="17"/>
      <c r="V595" s="20">
        <f t="shared" si="191"/>
        <v>33.631496414659672</v>
      </c>
      <c r="W595" s="17"/>
      <c r="X595" s="20">
        <f t="shared" si="192"/>
        <v>386.28811165817638</v>
      </c>
      <c r="Y595" s="20">
        <f t="shared" si="193"/>
        <v>19.654213585340329</v>
      </c>
      <c r="Z595" s="20"/>
      <c r="AA595" s="20">
        <f t="shared" si="194"/>
        <v>1.2845197467156846E-4</v>
      </c>
    </row>
    <row r="596" spans="2:27" x14ac:dyDescent="0.3">
      <c r="B596" s="28">
        <v>55.8</v>
      </c>
      <c r="C596" s="28">
        <v>41.535710000000002</v>
      </c>
      <c r="D596" s="20">
        <f t="shared" si="176"/>
        <v>46.075151591517781</v>
      </c>
      <c r="E596" s="20">
        <f t="shared" si="177"/>
        <v>-4.3076108444304761</v>
      </c>
      <c r="F596" s="20">
        <f t="shared" si="178"/>
        <v>4.1138865337748918</v>
      </c>
      <c r="G596" s="20">
        <f t="shared" si="179"/>
        <v>4.1138865337748918</v>
      </c>
      <c r="H596" s="20">
        <f t="shared" si="180"/>
        <v>4.1138865337748918</v>
      </c>
      <c r="I596" s="17"/>
      <c r="J596" s="20">
        <f t="shared" si="181"/>
        <v>42.329663486773839</v>
      </c>
      <c r="K596" s="20">
        <f t="shared" si="182"/>
        <v>1.3287935247641101E-2</v>
      </c>
      <c r="L596" s="20">
        <f t="shared" si="183"/>
        <v>3.0114611431717773</v>
      </c>
      <c r="M596" s="20">
        <f t="shared" si="184"/>
        <v>3.0114611431717773</v>
      </c>
      <c r="N596" s="20">
        <f t="shared" si="185"/>
        <v>3.0114611431717773</v>
      </c>
      <c r="O596" s="17"/>
      <c r="P596" s="20">
        <f t="shared" si="186"/>
        <v>10.350256212809185</v>
      </c>
      <c r="Q596" s="20">
        <f t="shared" si="187"/>
        <v>23.128651342160421</v>
      </c>
      <c r="R596" s="20">
        <f t="shared" si="188"/>
        <v>0</v>
      </c>
      <c r="S596" s="20">
        <f t="shared" si="189"/>
        <v>0</v>
      </c>
      <c r="T596" s="20">
        <f t="shared" si="190"/>
        <v>0</v>
      </c>
      <c r="U596" s="17"/>
      <c r="V596" s="20">
        <f t="shared" si="191"/>
        <v>33.478907554969609</v>
      </c>
      <c r="W596" s="17"/>
      <c r="X596" s="20">
        <f t="shared" si="192"/>
        <v>64.912065638247711</v>
      </c>
      <c r="Y596" s="20">
        <f t="shared" si="193"/>
        <v>8.0568024450303923</v>
      </c>
      <c r="Z596" s="20"/>
      <c r="AA596" s="20">
        <f t="shared" si="194"/>
        <v>5.2655995576174787E-5</v>
      </c>
    </row>
    <row r="597" spans="2:27" x14ac:dyDescent="0.3">
      <c r="B597" s="28">
        <v>55.9</v>
      </c>
      <c r="C597" s="28">
        <v>47.785710000000002</v>
      </c>
      <c r="D597" s="20">
        <f t="shared" si="176"/>
        <v>46.150329771816445</v>
      </c>
      <c r="E597" s="20">
        <f t="shared" si="177"/>
        <v>-4.3025642220835163</v>
      </c>
      <c r="F597" s="20">
        <f t="shared" si="178"/>
        <v>4.124997644886002</v>
      </c>
      <c r="G597" s="20">
        <f t="shared" si="179"/>
        <v>4.124997644886002</v>
      </c>
      <c r="H597" s="20">
        <f t="shared" si="180"/>
        <v>4.124997644886002</v>
      </c>
      <c r="I597" s="17"/>
      <c r="J597" s="20">
        <f t="shared" si="181"/>
        <v>42.403108107835095</v>
      </c>
      <c r="K597" s="20">
        <f t="shared" si="182"/>
        <v>1.3354277946589903E-2</v>
      </c>
      <c r="L597" s="20">
        <f t="shared" si="183"/>
        <v>3.0198052893146237</v>
      </c>
      <c r="M597" s="20">
        <f t="shared" si="184"/>
        <v>3.0198052893146237</v>
      </c>
      <c r="N597" s="20">
        <f t="shared" si="185"/>
        <v>3.0198052893146237</v>
      </c>
      <c r="O597" s="17"/>
      <c r="P597" s="20">
        <f t="shared" si="186"/>
        <v>10.314845111221576</v>
      </c>
      <c r="Q597" s="20">
        <f t="shared" si="187"/>
        <v>23.012243873348922</v>
      </c>
      <c r="R597" s="20">
        <f t="shared" si="188"/>
        <v>0</v>
      </c>
      <c r="S597" s="20">
        <f t="shared" si="189"/>
        <v>0</v>
      </c>
      <c r="T597" s="20">
        <f t="shared" si="190"/>
        <v>0</v>
      </c>
      <c r="U597" s="17"/>
      <c r="V597" s="20">
        <f t="shared" si="191"/>
        <v>33.327088984570494</v>
      </c>
      <c r="W597" s="17"/>
      <c r="X597" s="20">
        <f t="shared" si="192"/>
        <v>209.05172166781981</v>
      </c>
      <c r="Y597" s="20">
        <f t="shared" si="193"/>
        <v>14.458621015429507</v>
      </c>
      <c r="Z597" s="20"/>
      <c r="AA597" s="20">
        <f t="shared" si="194"/>
        <v>9.4495687268048931E-5</v>
      </c>
    </row>
    <row r="598" spans="2:27" x14ac:dyDescent="0.3">
      <c r="B598" s="28">
        <v>56</v>
      </c>
      <c r="C598" s="28">
        <v>27.035710000000002</v>
      </c>
      <c r="D598" s="20">
        <f t="shared" si="176"/>
        <v>46.225507952115102</v>
      </c>
      <c r="E598" s="20">
        <f t="shared" si="177"/>
        <v>-4.2975175997365573</v>
      </c>
      <c r="F598" s="20">
        <f t="shared" si="178"/>
        <v>4.1361087559971139</v>
      </c>
      <c r="G598" s="20">
        <f t="shared" si="179"/>
        <v>4.1361087559971139</v>
      </c>
      <c r="H598" s="20">
        <f t="shared" si="180"/>
        <v>4.1361087559971139</v>
      </c>
      <c r="I598" s="17"/>
      <c r="J598" s="20">
        <f t="shared" si="181"/>
        <v>42.476555659920656</v>
      </c>
      <c r="K598" s="20">
        <f t="shared" si="182"/>
        <v>1.3420947488314298E-2</v>
      </c>
      <c r="L598" s="20">
        <f t="shared" si="183"/>
        <v>3.0281551750281821</v>
      </c>
      <c r="M598" s="20">
        <f t="shared" si="184"/>
        <v>3.0281551750281821</v>
      </c>
      <c r="N598" s="20">
        <f t="shared" si="185"/>
        <v>3.0281551750281821</v>
      </c>
      <c r="O598" s="17"/>
      <c r="P598" s="20">
        <f t="shared" si="186"/>
        <v>10.279614031905101</v>
      </c>
      <c r="Q598" s="20">
        <f t="shared" si="187"/>
        <v>22.896422485434385</v>
      </c>
      <c r="R598" s="20">
        <f t="shared" si="188"/>
        <v>0</v>
      </c>
      <c r="S598" s="20">
        <f t="shared" si="189"/>
        <v>0</v>
      </c>
      <c r="T598" s="20">
        <f t="shared" si="190"/>
        <v>0</v>
      </c>
      <c r="U598" s="17"/>
      <c r="V598" s="20">
        <f t="shared" si="191"/>
        <v>33.176036517339483</v>
      </c>
      <c r="W598" s="17"/>
      <c r="X598" s="20">
        <f t="shared" si="192"/>
        <v>37.703609739542408</v>
      </c>
      <c r="Y598" s="20">
        <f t="shared" si="193"/>
        <v>6.1403265173394814</v>
      </c>
      <c r="Z598" s="20"/>
      <c r="AA598" s="20">
        <f t="shared" si="194"/>
        <v>4.0130685608746713E-5</v>
      </c>
    </row>
    <row r="599" spans="2:27" x14ac:dyDescent="0.3">
      <c r="B599" s="28">
        <v>56.1</v>
      </c>
      <c r="C599" s="28">
        <v>33.285710000000002</v>
      </c>
      <c r="D599" s="20">
        <f t="shared" si="176"/>
        <v>46.300686132413766</v>
      </c>
      <c r="E599" s="20">
        <f t="shared" si="177"/>
        <v>-4.2924709773895984</v>
      </c>
      <c r="F599" s="20">
        <f t="shared" si="178"/>
        <v>4.147219867108225</v>
      </c>
      <c r="G599" s="20">
        <f t="shared" si="179"/>
        <v>4.147219867108225</v>
      </c>
      <c r="H599" s="20">
        <f t="shared" si="180"/>
        <v>4.147219867108225</v>
      </c>
      <c r="I599" s="17"/>
      <c r="J599" s="20">
        <f t="shared" si="181"/>
        <v>42.550006133252154</v>
      </c>
      <c r="K599" s="20">
        <f t="shared" si="182"/>
        <v>1.3487945439711553E-2</v>
      </c>
      <c r="L599" s="20">
        <f t="shared" si="183"/>
        <v>3.0365107804657021</v>
      </c>
      <c r="M599" s="20">
        <f t="shared" si="184"/>
        <v>3.0365107804657021</v>
      </c>
      <c r="N599" s="20">
        <f t="shared" si="185"/>
        <v>3.0365107804657021</v>
      </c>
      <c r="O599" s="17"/>
      <c r="P599" s="20">
        <f t="shared" si="186"/>
        <v>10.244561763728388</v>
      </c>
      <c r="Q599" s="20">
        <f t="shared" si="187"/>
        <v>22.781184228573927</v>
      </c>
      <c r="R599" s="20">
        <f t="shared" si="188"/>
        <v>0</v>
      </c>
      <c r="S599" s="20">
        <f t="shared" si="189"/>
        <v>0</v>
      </c>
      <c r="T599" s="20">
        <f t="shared" si="190"/>
        <v>0</v>
      </c>
      <c r="U599" s="17"/>
      <c r="V599" s="20">
        <f t="shared" si="191"/>
        <v>33.025745992302319</v>
      </c>
      <c r="W599" s="17"/>
      <c r="X599" s="20">
        <f t="shared" si="192"/>
        <v>6.758128529824077E-2</v>
      </c>
      <c r="Y599" s="20">
        <f t="shared" si="193"/>
        <v>0.25996400769768258</v>
      </c>
      <c r="Z599" s="20"/>
      <c r="AA599" s="20">
        <f t="shared" si="194"/>
        <v>1.6990193979172595E-6</v>
      </c>
    </row>
    <row r="600" spans="2:27" x14ac:dyDescent="0.3">
      <c r="B600" s="28">
        <v>56.2</v>
      </c>
      <c r="C600" s="28">
        <v>27.035710000000002</v>
      </c>
      <c r="D600" s="20">
        <f t="shared" si="176"/>
        <v>46.375864312712423</v>
      </c>
      <c r="E600" s="20">
        <f t="shared" si="177"/>
        <v>-4.2874243550426385</v>
      </c>
      <c r="F600" s="20">
        <f t="shared" si="178"/>
        <v>4.1583309782193369</v>
      </c>
      <c r="G600" s="20">
        <f t="shared" si="179"/>
        <v>4.1583309782193369</v>
      </c>
      <c r="H600" s="20">
        <f t="shared" si="180"/>
        <v>4.1583309782193369</v>
      </c>
      <c r="I600" s="17"/>
      <c r="J600" s="20">
        <f t="shared" si="181"/>
        <v>42.623459518099658</v>
      </c>
      <c r="K600" s="20">
        <f t="shared" si="182"/>
        <v>1.3555273374765826E-2</v>
      </c>
      <c r="L600" s="20">
        <f t="shared" si="183"/>
        <v>3.0448720858657095</v>
      </c>
      <c r="M600" s="20">
        <f t="shared" si="184"/>
        <v>3.0448720858657095</v>
      </c>
      <c r="N600" s="20">
        <f t="shared" si="185"/>
        <v>3.0448720858657095</v>
      </c>
      <c r="O600" s="17"/>
      <c r="P600" s="20">
        <f t="shared" si="186"/>
        <v>10.209687105680585</v>
      </c>
      <c r="Q600" s="20">
        <f t="shared" si="187"/>
        <v>22.666526167775633</v>
      </c>
      <c r="R600" s="20">
        <f t="shared" si="188"/>
        <v>0</v>
      </c>
      <c r="S600" s="20">
        <f t="shared" si="189"/>
        <v>0</v>
      </c>
      <c r="T600" s="20">
        <f t="shared" si="190"/>
        <v>0</v>
      </c>
      <c r="U600" s="17"/>
      <c r="V600" s="20">
        <f t="shared" si="191"/>
        <v>32.876213273456216</v>
      </c>
      <c r="W600" s="17"/>
      <c r="X600" s="20">
        <f t="shared" si="192"/>
        <v>34.111478487252754</v>
      </c>
      <c r="Y600" s="20">
        <f t="shared" si="193"/>
        <v>5.8405032734562141</v>
      </c>
      <c r="Z600" s="20"/>
      <c r="AA600" s="20">
        <f t="shared" si="194"/>
        <v>3.8171162396992925E-5</v>
      </c>
    </row>
    <row r="601" spans="2:27" x14ac:dyDescent="0.3">
      <c r="B601" s="28">
        <v>56.3</v>
      </c>
      <c r="C601" s="28">
        <v>44.285710000000002</v>
      </c>
      <c r="D601" s="20">
        <f t="shared" si="176"/>
        <v>46.45104249301108</v>
      </c>
      <c r="E601" s="20">
        <f t="shared" si="177"/>
        <v>-4.2823777326956805</v>
      </c>
      <c r="F601" s="20">
        <f t="shared" si="178"/>
        <v>4.1694420893304471</v>
      </c>
      <c r="G601" s="20">
        <f t="shared" si="179"/>
        <v>4.1694420893304471</v>
      </c>
      <c r="H601" s="20">
        <f t="shared" si="180"/>
        <v>4.1694420893304471</v>
      </c>
      <c r="I601" s="17"/>
      <c r="J601" s="20">
        <f t="shared" si="181"/>
        <v>42.696915804781391</v>
      </c>
      <c r="K601" s="20">
        <f t="shared" si="182"/>
        <v>1.3622932874576034E-2</v>
      </c>
      <c r="L601" s="20">
        <f t="shared" si="183"/>
        <v>3.0532390715516278</v>
      </c>
      <c r="M601" s="20">
        <f t="shared" si="184"/>
        <v>3.0532390715516278</v>
      </c>
      <c r="N601" s="20">
        <f t="shared" si="185"/>
        <v>3.0532390715516278</v>
      </c>
      <c r="O601" s="17"/>
      <c r="P601" s="20">
        <f t="shared" si="186"/>
        <v>10.174988866770441</v>
      </c>
      <c r="Q601" s="20">
        <f t="shared" si="187"/>
        <v>22.552445382823841</v>
      </c>
      <c r="R601" s="20">
        <f t="shared" si="188"/>
        <v>0</v>
      </c>
      <c r="S601" s="20">
        <f t="shared" si="189"/>
        <v>0</v>
      </c>
      <c r="T601" s="20">
        <f t="shared" si="190"/>
        <v>0</v>
      </c>
      <c r="U601" s="17"/>
      <c r="V601" s="20">
        <f t="shared" si="191"/>
        <v>32.727434249594282</v>
      </c>
      <c r="W601" s="17"/>
      <c r="X601" s="20">
        <f t="shared" si="192"/>
        <v>133.5937383224169</v>
      </c>
      <c r="Y601" s="20">
        <f t="shared" si="193"/>
        <v>11.55827575040572</v>
      </c>
      <c r="Z601" s="20"/>
      <c r="AA601" s="20">
        <f t="shared" si="194"/>
        <v>7.5540206047496812E-5</v>
      </c>
    </row>
    <row r="602" spans="2:27" x14ac:dyDescent="0.3">
      <c r="B602" s="28">
        <v>56.4</v>
      </c>
      <c r="C602" s="28">
        <v>35.285710000000002</v>
      </c>
      <c r="D602" s="20">
        <f t="shared" si="176"/>
        <v>46.526220673309744</v>
      </c>
      <c r="E602" s="20">
        <f t="shared" si="177"/>
        <v>-4.2773311103487206</v>
      </c>
      <c r="F602" s="20">
        <f t="shared" si="178"/>
        <v>4.1805532004415591</v>
      </c>
      <c r="G602" s="20">
        <f t="shared" si="179"/>
        <v>4.1805532004415591</v>
      </c>
      <c r="H602" s="20">
        <f t="shared" si="180"/>
        <v>4.1805532004415591</v>
      </c>
      <c r="I602" s="17"/>
      <c r="J602" s="20">
        <f t="shared" si="181"/>
        <v>42.770374983663409</v>
      </c>
      <c r="K602" s="20">
        <f t="shared" si="182"/>
        <v>1.3690925527383926E-2</v>
      </c>
      <c r="L602" s="20">
        <f t="shared" si="183"/>
        <v>3.0616117179314228</v>
      </c>
      <c r="M602" s="20">
        <f t="shared" si="184"/>
        <v>3.0616117179314228</v>
      </c>
      <c r="N602" s="20">
        <f t="shared" si="185"/>
        <v>3.0616117179314228</v>
      </c>
      <c r="O602" s="17"/>
      <c r="P602" s="20">
        <f t="shared" si="186"/>
        <v>10.14046586592654</v>
      </c>
      <c r="Q602" s="20">
        <f t="shared" si="187"/>
        <v>22.438938968204614</v>
      </c>
      <c r="R602" s="20">
        <f t="shared" si="188"/>
        <v>0</v>
      </c>
      <c r="S602" s="20">
        <f t="shared" si="189"/>
        <v>0</v>
      </c>
      <c r="T602" s="20">
        <f t="shared" si="190"/>
        <v>0</v>
      </c>
      <c r="U602" s="17"/>
      <c r="V602" s="20">
        <f t="shared" si="191"/>
        <v>32.579404834131154</v>
      </c>
      <c r="W602" s="17"/>
      <c r="X602" s="20">
        <f t="shared" si="192"/>
        <v>7.324087650808413</v>
      </c>
      <c r="Y602" s="20">
        <f t="shared" si="193"/>
        <v>2.706305165868848</v>
      </c>
      <c r="Z602" s="20"/>
      <c r="AA602" s="20">
        <f t="shared" si="194"/>
        <v>1.7687313771689666E-5</v>
      </c>
    </row>
    <row r="603" spans="2:27" x14ac:dyDescent="0.3">
      <c r="B603" s="28">
        <v>56.5</v>
      </c>
      <c r="C603" s="28">
        <v>21.535710000000002</v>
      </c>
      <c r="D603" s="20">
        <f t="shared" si="176"/>
        <v>46.601398853608401</v>
      </c>
      <c r="E603" s="20">
        <f t="shared" si="177"/>
        <v>-4.2722844880017607</v>
      </c>
      <c r="F603" s="20">
        <f t="shared" si="178"/>
        <v>4.1916643115526693</v>
      </c>
      <c r="G603" s="20">
        <f t="shared" si="179"/>
        <v>4.1916643115526693</v>
      </c>
      <c r="H603" s="20">
        <f t="shared" si="180"/>
        <v>4.1916643115526693</v>
      </c>
      <c r="I603" s="17"/>
      <c r="J603" s="20">
        <f t="shared" si="181"/>
        <v>42.843837045159262</v>
      </c>
      <c r="K603" s="20">
        <f t="shared" si="182"/>
        <v>1.3759252928601994E-2</v>
      </c>
      <c r="L603" s="20">
        <f t="shared" si="183"/>
        <v>3.0699900054972256</v>
      </c>
      <c r="M603" s="20">
        <f t="shared" si="184"/>
        <v>3.0699900054972256</v>
      </c>
      <c r="N603" s="20">
        <f t="shared" si="185"/>
        <v>3.0699900054972256</v>
      </c>
      <c r="O603" s="17"/>
      <c r="P603" s="20">
        <f t="shared" si="186"/>
        <v>10.106116931898738</v>
      </c>
      <c r="Q603" s="20">
        <f t="shared" si="187"/>
        <v>22.326004033031939</v>
      </c>
      <c r="R603" s="20">
        <f t="shared" si="188"/>
        <v>0</v>
      </c>
      <c r="S603" s="20">
        <f t="shared" si="189"/>
        <v>0</v>
      </c>
      <c r="T603" s="20">
        <f t="shared" si="190"/>
        <v>0</v>
      </c>
      <c r="U603" s="17"/>
      <c r="V603" s="20">
        <f t="shared" si="191"/>
        <v>32.432120964930675</v>
      </c>
      <c r="W603" s="17"/>
      <c r="X603" s="20">
        <f t="shared" si="192"/>
        <v>118.73177191666142</v>
      </c>
      <c r="Y603" s="20">
        <f t="shared" si="193"/>
        <v>10.896410964930674</v>
      </c>
      <c r="Z603" s="20"/>
      <c r="AA603" s="20">
        <f t="shared" si="194"/>
        <v>7.1214526045562931E-5</v>
      </c>
    </row>
    <row r="604" spans="2:27" x14ac:dyDescent="0.3">
      <c r="B604" s="28">
        <v>56.6</v>
      </c>
      <c r="C604" s="28">
        <v>42.785710000000002</v>
      </c>
      <c r="D604" s="20">
        <f t="shared" si="176"/>
        <v>46.676577033907066</v>
      </c>
      <c r="E604" s="20">
        <f t="shared" si="177"/>
        <v>-4.2672378656548027</v>
      </c>
      <c r="F604" s="20">
        <f t="shared" si="178"/>
        <v>4.2027754226637803</v>
      </c>
      <c r="G604" s="20">
        <f t="shared" si="179"/>
        <v>4.2027754226637803</v>
      </c>
      <c r="H604" s="20">
        <f t="shared" si="180"/>
        <v>4.2027754226637803</v>
      </c>
      <c r="I604" s="17"/>
      <c r="J604" s="20">
        <f t="shared" si="181"/>
        <v>42.917301979729721</v>
      </c>
      <c r="K604" s="20">
        <f t="shared" si="182"/>
        <v>1.3827916680841639E-2</v>
      </c>
      <c r="L604" s="20">
        <f t="shared" si="183"/>
        <v>3.0783739148249785</v>
      </c>
      <c r="M604" s="20">
        <f t="shared" si="184"/>
        <v>3.0783739148249785</v>
      </c>
      <c r="N604" s="20">
        <f t="shared" si="185"/>
        <v>3.0783739148249785</v>
      </c>
      <c r="O604" s="17"/>
      <c r="P604" s="20">
        <f t="shared" si="186"/>
        <v>10.071940903160669</v>
      </c>
      <c r="Q604" s="20">
        <f t="shared" si="187"/>
        <v>22.213637700973972</v>
      </c>
      <c r="R604" s="20">
        <f t="shared" si="188"/>
        <v>0</v>
      </c>
      <c r="S604" s="20">
        <f t="shared" si="189"/>
        <v>0</v>
      </c>
      <c r="T604" s="20">
        <f t="shared" si="190"/>
        <v>0</v>
      </c>
      <c r="U604" s="17"/>
      <c r="V604" s="20">
        <f t="shared" si="191"/>
        <v>32.285578604134642</v>
      </c>
      <c r="W604" s="17"/>
      <c r="X604" s="20">
        <f t="shared" si="192"/>
        <v>110.25275933043743</v>
      </c>
      <c r="Y604" s="20">
        <f t="shared" si="193"/>
        <v>10.50013139586536</v>
      </c>
      <c r="Z604" s="20"/>
      <c r="AA604" s="20">
        <f t="shared" si="194"/>
        <v>6.8624603383564127E-5</v>
      </c>
    </row>
    <row r="605" spans="2:27" x14ac:dyDescent="0.3">
      <c r="B605" s="28">
        <v>56.7</v>
      </c>
      <c r="C605" s="28">
        <v>31.035710000000002</v>
      </c>
      <c r="D605" s="20">
        <f t="shared" si="176"/>
        <v>46.751755214205723</v>
      </c>
      <c r="E605" s="20">
        <f t="shared" si="177"/>
        <v>-4.2621912433078428</v>
      </c>
      <c r="F605" s="20">
        <f t="shared" si="178"/>
        <v>4.2138865337748923</v>
      </c>
      <c r="G605" s="20">
        <f t="shared" si="179"/>
        <v>4.2138865337748923</v>
      </c>
      <c r="H605" s="20">
        <f t="shared" si="180"/>
        <v>4.2138865337748923</v>
      </c>
      <c r="I605" s="17"/>
      <c r="J605" s="20">
        <f t="shared" si="181"/>
        <v>42.990769777882441</v>
      </c>
      <c r="K605" s="20">
        <f t="shared" si="182"/>
        <v>1.3896918393941396E-2</v>
      </c>
      <c r="L605" s="20">
        <f t="shared" si="183"/>
        <v>3.0867634265740627</v>
      </c>
      <c r="M605" s="20">
        <f t="shared" si="184"/>
        <v>3.0867634265740627</v>
      </c>
      <c r="N605" s="20">
        <f t="shared" si="185"/>
        <v>3.0867634265740627</v>
      </c>
      <c r="O605" s="17"/>
      <c r="P605" s="20">
        <f t="shared" si="186"/>
        <v>10.037936627813444</v>
      </c>
      <c r="Q605" s="20">
        <f t="shared" si="187"/>
        <v>22.101837110179726</v>
      </c>
      <c r="R605" s="20">
        <f t="shared" si="188"/>
        <v>0</v>
      </c>
      <c r="S605" s="20">
        <f t="shared" si="189"/>
        <v>0</v>
      </c>
      <c r="T605" s="20">
        <f t="shared" si="190"/>
        <v>0</v>
      </c>
      <c r="U605" s="17"/>
      <c r="V605" s="20">
        <f t="shared" si="191"/>
        <v>32.139773737993167</v>
      </c>
      <c r="W605" s="17"/>
      <c r="X605" s="20">
        <f t="shared" si="192"/>
        <v>1.2189567375514407</v>
      </c>
      <c r="Y605" s="20">
        <f t="shared" si="193"/>
        <v>1.1040637379931653</v>
      </c>
      <c r="Z605" s="20"/>
      <c r="AA605" s="20">
        <f t="shared" si="194"/>
        <v>7.2157131442936609E-6</v>
      </c>
    </row>
    <row r="606" spans="2:27" x14ac:dyDescent="0.3">
      <c r="B606" s="28">
        <v>56.8</v>
      </c>
      <c r="C606" s="28">
        <v>23.785710000000002</v>
      </c>
      <c r="D606" s="20">
        <f t="shared" si="176"/>
        <v>46.82693339450438</v>
      </c>
      <c r="E606" s="20">
        <f t="shared" si="177"/>
        <v>-4.2571446209608839</v>
      </c>
      <c r="F606" s="20">
        <f t="shared" si="178"/>
        <v>4.2249976448860025</v>
      </c>
      <c r="G606" s="20">
        <f t="shared" si="179"/>
        <v>4.2249976448860025</v>
      </c>
      <c r="H606" s="20">
        <f t="shared" si="180"/>
        <v>4.2249976448860025</v>
      </c>
      <c r="I606" s="17"/>
      <c r="J606" s="20">
        <f t="shared" si="181"/>
        <v>43.064240430171679</v>
      </c>
      <c r="K606" s="20">
        <f t="shared" si="182"/>
        <v>1.3966259684995054E-2</v>
      </c>
      <c r="L606" s="20">
        <f t="shared" si="183"/>
        <v>3.0951585214869377</v>
      </c>
      <c r="M606" s="20">
        <f t="shared" si="184"/>
        <v>3.0951585214869377</v>
      </c>
      <c r="N606" s="20">
        <f t="shared" si="185"/>
        <v>3.0951585214869377</v>
      </c>
      <c r="O606" s="17"/>
      <c r="P606" s="20">
        <f t="shared" si="186"/>
        <v>10.004102963490389</v>
      </c>
      <c r="Q606" s="20">
        <f t="shared" si="187"/>
        <v>21.990599413206354</v>
      </c>
      <c r="R606" s="20">
        <f t="shared" si="188"/>
        <v>0</v>
      </c>
      <c r="S606" s="20">
        <f t="shared" si="189"/>
        <v>0</v>
      </c>
      <c r="T606" s="20">
        <f t="shared" si="190"/>
        <v>0</v>
      </c>
      <c r="U606" s="17"/>
      <c r="V606" s="20">
        <f t="shared" si="191"/>
        <v>31.994702376696743</v>
      </c>
      <c r="W606" s="17"/>
      <c r="X606" s="20">
        <f t="shared" si="192"/>
        <v>67.387555840665215</v>
      </c>
      <c r="Y606" s="20">
        <f t="shared" si="193"/>
        <v>8.2089923766967416</v>
      </c>
      <c r="Z606" s="20"/>
      <c r="AA606" s="20">
        <f t="shared" si="194"/>
        <v>5.3650647291074991E-5</v>
      </c>
    </row>
    <row r="607" spans="2:27" x14ac:dyDescent="0.3">
      <c r="B607" s="28">
        <v>56.9</v>
      </c>
      <c r="C607" s="28">
        <v>38.035710000000002</v>
      </c>
      <c r="D607" s="20">
        <f t="shared" si="176"/>
        <v>46.902111574803037</v>
      </c>
      <c r="E607" s="20">
        <f t="shared" si="177"/>
        <v>-4.2520979986139249</v>
      </c>
      <c r="F607" s="20">
        <f t="shared" si="178"/>
        <v>4.2361087559971145</v>
      </c>
      <c r="G607" s="20">
        <f t="shared" si="179"/>
        <v>4.2361087559971145</v>
      </c>
      <c r="H607" s="20">
        <f t="shared" si="180"/>
        <v>4.2361087559971145</v>
      </c>
      <c r="I607" s="17"/>
      <c r="J607" s="20">
        <f t="shared" si="181"/>
        <v>43.137713927197979</v>
      </c>
      <c r="K607" s="20">
        <f t="shared" si="182"/>
        <v>1.4035942178380067E-2</v>
      </c>
      <c r="L607" s="20">
        <f t="shared" si="183"/>
        <v>3.1035591803887832</v>
      </c>
      <c r="M607" s="20">
        <f t="shared" si="184"/>
        <v>3.1035591803887832</v>
      </c>
      <c r="N607" s="20">
        <f t="shared" si="185"/>
        <v>3.1035591803887832</v>
      </c>
      <c r="O607" s="17"/>
      <c r="P607" s="20">
        <f t="shared" si="186"/>
        <v>9.9704387772629381</v>
      </c>
      <c r="Q607" s="20">
        <f t="shared" si="187"/>
        <v>21.879921776946453</v>
      </c>
      <c r="R607" s="20">
        <f t="shared" si="188"/>
        <v>0</v>
      </c>
      <c r="S607" s="20">
        <f t="shared" si="189"/>
        <v>0</v>
      </c>
      <c r="T607" s="20">
        <f t="shared" si="190"/>
        <v>0</v>
      </c>
      <c r="U607" s="17"/>
      <c r="V607" s="20">
        <f t="shared" si="191"/>
        <v>31.850360554209391</v>
      </c>
      <c r="W607" s="17"/>
      <c r="X607" s="20">
        <f t="shared" si="192"/>
        <v>38.258547766542208</v>
      </c>
      <c r="Y607" s="20">
        <f t="shared" si="193"/>
        <v>6.1853494457906102</v>
      </c>
      <c r="Z607" s="20"/>
      <c r="AA607" s="20">
        <f t="shared" si="194"/>
        <v>4.0424937222525748E-5</v>
      </c>
    </row>
    <row r="608" spans="2:27" x14ac:dyDescent="0.3">
      <c r="B608" s="28">
        <v>57</v>
      </c>
      <c r="C608" s="28">
        <v>31.035710000000002</v>
      </c>
      <c r="D608" s="20">
        <f t="shared" si="176"/>
        <v>46.977289755101701</v>
      </c>
      <c r="E608" s="20">
        <f t="shared" si="177"/>
        <v>-4.2470513762669651</v>
      </c>
      <c r="F608" s="20">
        <f t="shared" si="178"/>
        <v>4.2472198671082246</v>
      </c>
      <c r="G608" s="20">
        <f t="shared" si="179"/>
        <v>4.2472198671082246</v>
      </c>
      <c r="H608" s="20">
        <f t="shared" si="180"/>
        <v>4.2472198671082246</v>
      </c>
      <c r="I608" s="17"/>
      <c r="J608" s="20">
        <f t="shared" si="181"/>
        <v>43.211190259607875</v>
      </c>
      <c r="K608" s="20">
        <f t="shared" si="182"/>
        <v>1.4105967505785889E-2</v>
      </c>
      <c r="L608" s="20">
        <f t="shared" si="183"/>
        <v>3.1119653841871289</v>
      </c>
      <c r="M608" s="20">
        <f t="shared" si="184"/>
        <v>3.1119653841871289</v>
      </c>
      <c r="N608" s="20">
        <f t="shared" si="185"/>
        <v>3.1119653841871289</v>
      </c>
      <c r="O608" s="17"/>
      <c r="P608" s="20">
        <f t="shared" si="186"/>
        <v>9.9369429455475622</v>
      </c>
      <c r="Q608" s="20">
        <f t="shared" si="187"/>
        <v>21.76980138255599</v>
      </c>
      <c r="R608" s="20">
        <f t="shared" si="188"/>
        <v>0</v>
      </c>
      <c r="S608" s="20">
        <f t="shared" si="189"/>
        <v>0</v>
      </c>
      <c r="T608" s="20">
        <f t="shared" si="190"/>
        <v>0</v>
      </c>
      <c r="U608" s="17"/>
      <c r="V608" s="20">
        <f t="shared" si="191"/>
        <v>31.706744328103554</v>
      </c>
      <c r="W608" s="17"/>
      <c r="X608" s="20">
        <f t="shared" si="192"/>
        <v>0.45028706949338548</v>
      </c>
      <c r="Y608" s="20">
        <f t="shared" si="193"/>
        <v>0.67103432810355201</v>
      </c>
      <c r="Z608" s="20"/>
      <c r="AA608" s="20">
        <f t="shared" si="194"/>
        <v>4.3856084163856855E-6</v>
      </c>
    </row>
    <row r="609" spans="2:27" x14ac:dyDescent="0.3">
      <c r="B609" s="28">
        <v>57.1</v>
      </c>
      <c r="C609" s="28">
        <v>50.285710000000002</v>
      </c>
      <c r="D609" s="20">
        <f t="shared" si="176"/>
        <v>47.052467935400358</v>
      </c>
      <c r="E609" s="20">
        <f t="shared" si="177"/>
        <v>-4.242004753920007</v>
      </c>
      <c r="F609" s="20">
        <f t="shared" si="178"/>
        <v>4.2583309782193366</v>
      </c>
      <c r="G609" s="20">
        <f t="shared" si="179"/>
        <v>4.2583309782193366</v>
      </c>
      <c r="H609" s="20">
        <f t="shared" si="180"/>
        <v>4.2583309782193366</v>
      </c>
      <c r="I609" s="17"/>
      <c r="J609" s="20">
        <f t="shared" si="181"/>
        <v>43.284669418093571</v>
      </c>
      <c r="K609" s="20">
        <f t="shared" si="182"/>
        <v>1.4176337306242369E-2</v>
      </c>
      <c r="L609" s="20">
        <f t="shared" si="183"/>
        <v>3.1203771138715046</v>
      </c>
      <c r="M609" s="20">
        <f t="shared" si="184"/>
        <v>3.1203771138715046</v>
      </c>
      <c r="N609" s="20">
        <f t="shared" si="185"/>
        <v>3.1203771138715046</v>
      </c>
      <c r="O609" s="17"/>
      <c r="P609" s="20">
        <f t="shared" si="186"/>
        <v>9.9036143540138024</v>
      </c>
      <c r="Q609" s="20">
        <f t="shared" si="187"/>
        <v>21.66023542538256</v>
      </c>
      <c r="R609" s="20">
        <f t="shared" si="188"/>
        <v>0</v>
      </c>
      <c r="S609" s="20">
        <f t="shared" si="189"/>
        <v>0</v>
      </c>
      <c r="T609" s="20">
        <f t="shared" si="190"/>
        <v>0</v>
      </c>
      <c r="U609" s="17"/>
      <c r="V609" s="20">
        <f t="shared" si="191"/>
        <v>31.563849779396364</v>
      </c>
      <c r="W609" s="17"/>
      <c r="X609" s="20">
        <f t="shared" si="192"/>
        <v>350.50805011982089</v>
      </c>
      <c r="Y609" s="20">
        <f t="shared" si="193"/>
        <v>18.721860220603638</v>
      </c>
      <c r="Z609" s="20"/>
      <c r="AA609" s="20">
        <f t="shared" si="194"/>
        <v>1.2235849093730002E-4</v>
      </c>
    </row>
    <row r="610" spans="2:27" x14ac:dyDescent="0.3">
      <c r="B610" s="28">
        <v>57.2</v>
      </c>
      <c r="C610" s="28">
        <v>41.785710000000002</v>
      </c>
      <c r="D610" s="20">
        <f t="shared" si="176"/>
        <v>47.127646115699022</v>
      </c>
      <c r="E610" s="20">
        <f t="shared" si="177"/>
        <v>-4.2369581315730471</v>
      </c>
      <c r="F610" s="20">
        <f t="shared" si="178"/>
        <v>4.2694420893304477</v>
      </c>
      <c r="G610" s="20">
        <f t="shared" si="179"/>
        <v>4.2694420893304477</v>
      </c>
      <c r="H610" s="20">
        <f t="shared" si="180"/>
        <v>4.2694420893304477</v>
      </c>
      <c r="I610" s="17"/>
      <c r="J610" s="20">
        <f t="shared" si="181"/>
        <v>43.358151393392703</v>
      </c>
      <c r="K610" s="20">
        <f t="shared" si="182"/>
        <v>1.4247053226148403E-2</v>
      </c>
      <c r="L610" s="20">
        <f t="shared" si="183"/>
        <v>3.1287943505130698</v>
      </c>
      <c r="M610" s="20">
        <f t="shared" si="184"/>
        <v>3.1287943505130698</v>
      </c>
      <c r="N610" s="20">
        <f t="shared" si="185"/>
        <v>3.1287943505130698</v>
      </c>
      <c r="O610" s="17"/>
      <c r="P610" s="20">
        <f t="shared" si="186"/>
        <v>9.8704518974932896</v>
      </c>
      <c r="Q610" s="20">
        <f t="shared" si="187"/>
        <v>21.551221114893725</v>
      </c>
      <c r="R610" s="20">
        <f t="shared" si="188"/>
        <v>0</v>
      </c>
      <c r="S610" s="20">
        <f t="shared" si="189"/>
        <v>0</v>
      </c>
      <c r="T610" s="20">
        <f t="shared" si="190"/>
        <v>0</v>
      </c>
      <c r="U610" s="17"/>
      <c r="V610" s="20">
        <f t="shared" si="191"/>
        <v>31.421673012387014</v>
      </c>
      <c r="W610" s="17"/>
      <c r="X610" s="20">
        <f t="shared" si="192"/>
        <v>107.41326268061009</v>
      </c>
      <c r="Y610" s="20">
        <f t="shared" si="193"/>
        <v>10.364036987612987</v>
      </c>
      <c r="Z610" s="20"/>
      <c r="AA610" s="20">
        <f t="shared" si="194"/>
        <v>6.7735145486616516E-5</v>
      </c>
    </row>
    <row r="611" spans="2:27" x14ac:dyDescent="0.3">
      <c r="B611" s="28">
        <v>57.3</v>
      </c>
      <c r="C611" s="28">
        <v>29.535710000000002</v>
      </c>
      <c r="D611" s="20">
        <f t="shared" si="176"/>
        <v>47.202824295997679</v>
      </c>
      <c r="E611" s="20">
        <f t="shared" si="177"/>
        <v>-4.2319115092260882</v>
      </c>
      <c r="F611" s="20">
        <f t="shared" si="178"/>
        <v>4.2805532004415587</v>
      </c>
      <c r="G611" s="20">
        <f t="shared" si="179"/>
        <v>4.2805532004415587</v>
      </c>
      <c r="H611" s="20">
        <f t="shared" si="180"/>
        <v>4.2805532004415587</v>
      </c>
      <c r="I611" s="17"/>
      <c r="J611" s="20">
        <f t="shared" si="181"/>
        <v>43.431636176287967</v>
      </c>
      <c r="K611" s="20">
        <f t="shared" si="182"/>
        <v>1.4318116919300301E-2</v>
      </c>
      <c r="L611" s="20">
        <f t="shared" si="183"/>
        <v>3.137217075264263</v>
      </c>
      <c r="M611" s="20">
        <f t="shared" si="184"/>
        <v>3.137217075264263</v>
      </c>
      <c r="N611" s="20">
        <f t="shared" si="185"/>
        <v>3.137217075264263</v>
      </c>
      <c r="O611" s="17"/>
      <c r="P611" s="20">
        <f t="shared" si="186"/>
        <v>9.8374544798898924</v>
      </c>
      <c r="Q611" s="20">
        <f t="shared" si="187"/>
        <v>21.442755674606271</v>
      </c>
      <c r="R611" s="20">
        <f t="shared" si="188"/>
        <v>0</v>
      </c>
      <c r="S611" s="20">
        <f t="shared" si="189"/>
        <v>0</v>
      </c>
      <c r="T611" s="20">
        <f t="shared" si="190"/>
        <v>0</v>
      </c>
      <c r="U611" s="17"/>
      <c r="V611" s="20">
        <f t="shared" si="191"/>
        <v>31.280210154496164</v>
      </c>
      <c r="W611" s="17"/>
      <c r="X611" s="20">
        <f t="shared" si="192"/>
        <v>3.0432807890371332</v>
      </c>
      <c r="Y611" s="20">
        <f t="shared" si="193"/>
        <v>1.744500154496162</v>
      </c>
      <c r="Z611" s="20"/>
      <c r="AA611" s="20">
        <f t="shared" si="194"/>
        <v>1.1401346010965722E-5</v>
      </c>
    </row>
    <row r="612" spans="2:27" x14ac:dyDescent="0.3">
      <c r="B612" s="28">
        <v>57.4</v>
      </c>
      <c r="C612" s="28">
        <v>16.785710000000002</v>
      </c>
      <c r="D612" s="20">
        <f t="shared" si="176"/>
        <v>47.278002476296336</v>
      </c>
      <c r="E612" s="20">
        <f t="shared" si="177"/>
        <v>-4.2268648868791292</v>
      </c>
      <c r="F612" s="20">
        <f t="shared" si="178"/>
        <v>4.2916643115526698</v>
      </c>
      <c r="G612" s="20">
        <f t="shared" si="179"/>
        <v>4.2916643115526698</v>
      </c>
      <c r="H612" s="20">
        <f t="shared" si="180"/>
        <v>4.2916643115526698</v>
      </c>
      <c r="I612" s="17"/>
      <c r="J612" s="20">
        <f t="shared" si="181"/>
        <v>43.50512375760691</v>
      </c>
      <c r="K612" s="20">
        <f t="shared" si="182"/>
        <v>1.4389530046920613E-2</v>
      </c>
      <c r="L612" s="20">
        <f t="shared" si="183"/>
        <v>3.1456452693584405</v>
      </c>
      <c r="M612" s="20">
        <f t="shared" si="184"/>
        <v>3.1456452693584405</v>
      </c>
      <c r="N612" s="20">
        <f t="shared" si="185"/>
        <v>3.1456452693584405</v>
      </c>
      <c r="O612" s="17"/>
      <c r="P612" s="20">
        <f t="shared" si="186"/>
        <v>9.804621014090797</v>
      </c>
      <c r="Q612" s="20">
        <f t="shared" si="187"/>
        <v>21.334836342015194</v>
      </c>
      <c r="R612" s="20">
        <f t="shared" si="188"/>
        <v>0</v>
      </c>
      <c r="S612" s="20">
        <f t="shared" si="189"/>
        <v>0</v>
      </c>
      <c r="T612" s="20">
        <f t="shared" si="190"/>
        <v>0</v>
      </c>
      <c r="U612" s="17"/>
      <c r="V612" s="20">
        <f t="shared" si="191"/>
        <v>31.139457356105993</v>
      </c>
      <c r="W612" s="17"/>
      <c r="X612" s="20">
        <f t="shared" si="192"/>
        <v>206.03006316291973</v>
      </c>
      <c r="Y612" s="20">
        <f t="shared" si="193"/>
        <v>14.353747356105991</v>
      </c>
      <c r="Z612" s="20"/>
      <c r="AA612" s="20">
        <f t="shared" si="194"/>
        <v>9.3810275533173573E-5</v>
      </c>
    </row>
    <row r="613" spans="2:27" x14ac:dyDescent="0.3">
      <c r="B613" s="28">
        <v>57.5</v>
      </c>
      <c r="C613" s="28">
        <v>21.535710000000002</v>
      </c>
      <c r="D613" s="20">
        <f t="shared" si="176"/>
        <v>47.353180656595001</v>
      </c>
      <c r="E613" s="20">
        <f t="shared" si="177"/>
        <v>-4.2218182645321694</v>
      </c>
      <c r="F613" s="20">
        <f t="shared" si="178"/>
        <v>4.30277542266378</v>
      </c>
      <c r="G613" s="20">
        <f t="shared" si="179"/>
        <v>4.30277542266378</v>
      </c>
      <c r="H613" s="20">
        <f t="shared" si="180"/>
        <v>4.30277542266378</v>
      </c>
      <c r="I613" s="17"/>
      <c r="J613" s="20">
        <f t="shared" si="181"/>
        <v>43.578614128221588</v>
      </c>
      <c r="K613" s="20">
        <f t="shared" si="182"/>
        <v>1.4461294277686726E-2</v>
      </c>
      <c r="L613" s="20">
        <f t="shared" si="183"/>
        <v>3.1540789141095193</v>
      </c>
      <c r="M613" s="20">
        <f t="shared" si="184"/>
        <v>3.1540789141095193</v>
      </c>
      <c r="N613" s="20">
        <f t="shared" si="185"/>
        <v>3.1540789141095193</v>
      </c>
      <c r="O613" s="17"/>
      <c r="P613" s="20">
        <f t="shared" si="186"/>
        <v>9.7719504218786675</v>
      </c>
      <c r="Q613" s="20">
        <f t="shared" si="187"/>
        <v>21.227460368523502</v>
      </c>
      <c r="R613" s="20">
        <f t="shared" si="188"/>
        <v>0</v>
      </c>
      <c r="S613" s="20">
        <f t="shared" si="189"/>
        <v>0</v>
      </c>
      <c r="T613" s="20">
        <f t="shared" si="190"/>
        <v>0</v>
      </c>
      <c r="U613" s="17"/>
      <c r="V613" s="20">
        <f t="shared" si="191"/>
        <v>30.99941079040217</v>
      </c>
      <c r="W613" s="17"/>
      <c r="X613" s="20">
        <f t="shared" si="192"/>
        <v>89.561632650258616</v>
      </c>
      <c r="Y613" s="20">
        <f t="shared" si="193"/>
        <v>9.4637007904021679</v>
      </c>
      <c r="Z613" s="20"/>
      <c r="AA613" s="20">
        <f t="shared" si="194"/>
        <v>6.1850912983603458E-5</v>
      </c>
    </row>
    <row r="614" spans="2:27" x14ac:dyDescent="0.3">
      <c r="B614" s="28">
        <v>57.6</v>
      </c>
      <c r="C614" s="28">
        <v>38.785710000000002</v>
      </c>
      <c r="D614" s="20">
        <f t="shared" si="176"/>
        <v>47.428358836893658</v>
      </c>
      <c r="E614" s="20">
        <f t="shared" si="177"/>
        <v>-4.2167716421852104</v>
      </c>
      <c r="F614" s="20">
        <f t="shared" si="178"/>
        <v>4.313886533774892</v>
      </c>
      <c r="G614" s="20">
        <f t="shared" si="179"/>
        <v>4.313886533774892</v>
      </c>
      <c r="H614" s="20">
        <f t="shared" si="180"/>
        <v>4.313886533774892</v>
      </c>
      <c r="I614" s="17"/>
      <c r="J614" s="20">
        <f t="shared" si="181"/>
        <v>43.65210727904828</v>
      </c>
      <c r="K614" s="20">
        <f t="shared" si="182"/>
        <v>1.4533411287759652E-2</v>
      </c>
      <c r="L614" s="20">
        <f t="shared" si="183"/>
        <v>3.1625179909116246</v>
      </c>
      <c r="M614" s="20">
        <f t="shared" si="184"/>
        <v>3.1625179909116246</v>
      </c>
      <c r="N614" s="20">
        <f t="shared" si="185"/>
        <v>3.1625179909116246</v>
      </c>
      <c r="O614" s="17"/>
      <c r="P614" s="20">
        <f t="shared" si="186"/>
        <v>9.739441633844768</v>
      </c>
      <c r="Q614" s="20">
        <f t="shared" si="187"/>
        <v>21.120625019372181</v>
      </c>
      <c r="R614" s="20">
        <f t="shared" si="188"/>
        <v>0</v>
      </c>
      <c r="S614" s="20">
        <f t="shared" si="189"/>
        <v>0</v>
      </c>
      <c r="T614" s="20">
        <f t="shared" si="190"/>
        <v>0</v>
      </c>
      <c r="U614" s="17"/>
      <c r="V614" s="20">
        <f t="shared" si="191"/>
        <v>30.860066653216947</v>
      </c>
      <c r="W614" s="17"/>
      <c r="X614" s="20">
        <f t="shared" si="192"/>
        <v>62.815822460406501</v>
      </c>
      <c r="Y614" s="20">
        <f t="shared" si="193"/>
        <v>7.9256433467830547</v>
      </c>
      <c r="Z614" s="20"/>
      <c r="AA614" s="20">
        <f t="shared" si="194"/>
        <v>5.179879286527217E-5</v>
      </c>
    </row>
    <row r="615" spans="2:27" x14ac:dyDescent="0.3">
      <c r="B615" s="28">
        <v>57.7</v>
      </c>
      <c r="C615" s="28">
        <v>29.535710000000002</v>
      </c>
      <c r="D615" s="20">
        <f t="shared" si="176"/>
        <v>47.503537017192322</v>
      </c>
      <c r="E615" s="20">
        <f t="shared" si="177"/>
        <v>-4.2117250198382514</v>
      </c>
      <c r="F615" s="20">
        <f t="shared" si="178"/>
        <v>4.324997644886003</v>
      </c>
      <c r="G615" s="20">
        <f t="shared" si="179"/>
        <v>4.324997644886003</v>
      </c>
      <c r="H615" s="20">
        <f t="shared" si="180"/>
        <v>4.324997644886003</v>
      </c>
      <c r="I615" s="17"/>
      <c r="J615" s="20">
        <f t="shared" si="181"/>
        <v>43.725603201047257</v>
      </c>
      <c r="K615" s="20">
        <f t="shared" si="182"/>
        <v>1.4605882760812898E-2</v>
      </c>
      <c r="L615" s="20">
        <f t="shared" si="183"/>
        <v>3.1709624812387274</v>
      </c>
      <c r="M615" s="20">
        <f t="shared" si="184"/>
        <v>3.1709624812387274</v>
      </c>
      <c r="N615" s="20">
        <f t="shared" si="185"/>
        <v>3.1709624812387274</v>
      </c>
      <c r="O615" s="17"/>
      <c r="P615" s="20">
        <f t="shared" si="186"/>
        <v>9.7070935893030779</v>
      </c>
      <c r="Q615" s="20">
        <f t="shared" si="187"/>
        <v>21.014327573570501</v>
      </c>
      <c r="R615" s="20">
        <f t="shared" si="188"/>
        <v>0</v>
      </c>
      <c r="S615" s="20">
        <f t="shared" si="189"/>
        <v>0</v>
      </c>
      <c r="T615" s="20">
        <f t="shared" si="190"/>
        <v>0</v>
      </c>
      <c r="U615" s="17"/>
      <c r="V615" s="20">
        <f t="shared" si="191"/>
        <v>30.721421162873579</v>
      </c>
      <c r="W615" s="17"/>
      <c r="X615" s="20">
        <f t="shared" si="192"/>
        <v>1.4059109617630108</v>
      </c>
      <c r="Y615" s="20">
        <f t="shared" si="193"/>
        <v>1.1857111628735773</v>
      </c>
      <c r="Z615" s="20"/>
      <c r="AA615" s="20">
        <f t="shared" si="194"/>
        <v>7.7493276238147386E-6</v>
      </c>
    </row>
    <row r="616" spans="2:27" x14ac:dyDescent="0.3">
      <c r="B616" s="28">
        <v>57.8</v>
      </c>
      <c r="C616" s="28">
        <v>34.535710000000002</v>
      </c>
      <c r="D616" s="20">
        <f t="shared" si="176"/>
        <v>47.578715197490972</v>
      </c>
      <c r="E616" s="20">
        <f t="shared" si="177"/>
        <v>-4.2066783974912925</v>
      </c>
      <c r="F616" s="20">
        <f t="shared" si="178"/>
        <v>4.3361087559971141</v>
      </c>
      <c r="G616" s="20">
        <f t="shared" si="179"/>
        <v>4.3361087559971141</v>
      </c>
      <c r="H616" s="20">
        <f t="shared" si="180"/>
        <v>4.3361087559971141</v>
      </c>
      <c r="I616" s="17"/>
      <c r="J616" s="20">
        <f t="shared" si="181"/>
        <v>43.799101885222399</v>
      </c>
      <c r="K616" s="20">
        <f t="shared" si="182"/>
        <v>1.4678710388061331E-2</v>
      </c>
      <c r="L616" s="20">
        <f t="shared" si="183"/>
        <v>3.1794123666442995</v>
      </c>
      <c r="M616" s="20">
        <f t="shared" si="184"/>
        <v>3.1794123666442995</v>
      </c>
      <c r="N616" s="20">
        <f t="shared" si="185"/>
        <v>3.1794123666442995</v>
      </c>
      <c r="O616" s="17"/>
      <c r="P616" s="20">
        <f t="shared" si="186"/>
        <v>9.6749052362053938</v>
      </c>
      <c r="Q616" s="20">
        <f t="shared" si="187"/>
        <v>20.908565323826725</v>
      </c>
      <c r="R616" s="20">
        <f t="shared" si="188"/>
        <v>0</v>
      </c>
      <c r="S616" s="20">
        <f t="shared" si="189"/>
        <v>0</v>
      </c>
      <c r="T616" s="20">
        <f t="shared" si="190"/>
        <v>0</v>
      </c>
      <c r="U616" s="17"/>
      <c r="V616" s="20">
        <f t="shared" si="191"/>
        <v>30.583470560032119</v>
      </c>
      <c r="W616" s="17"/>
      <c r="X616" s="20">
        <f t="shared" si="192"/>
        <v>15.620196590837645</v>
      </c>
      <c r="Y616" s="20">
        <f t="shared" si="193"/>
        <v>3.9522394399678831</v>
      </c>
      <c r="Z616" s="20"/>
      <c r="AA616" s="20">
        <f t="shared" si="194"/>
        <v>2.5830235243672695E-5</v>
      </c>
    </row>
    <row r="617" spans="2:27" x14ac:dyDescent="0.3">
      <c r="B617" s="28">
        <v>57.9</v>
      </c>
      <c r="C617" s="28">
        <v>34.035710000000002</v>
      </c>
      <c r="D617" s="20">
        <f t="shared" si="176"/>
        <v>47.653893377789636</v>
      </c>
      <c r="E617" s="20">
        <f t="shared" si="177"/>
        <v>-4.2016317751443335</v>
      </c>
      <c r="F617" s="20">
        <f t="shared" si="178"/>
        <v>4.3472198671082252</v>
      </c>
      <c r="G617" s="20">
        <f t="shared" si="179"/>
        <v>4.3472198671082252</v>
      </c>
      <c r="H617" s="20">
        <f t="shared" si="180"/>
        <v>4.3472198671082252</v>
      </c>
      <c r="I617" s="17"/>
      <c r="J617" s="20">
        <f t="shared" si="181"/>
        <v>43.87260332262106</v>
      </c>
      <c r="K617" s="20">
        <f t="shared" si="182"/>
        <v>1.4751895868290147E-2</v>
      </c>
      <c r="L617" s="20">
        <f t="shared" si="183"/>
        <v>3.1878676287609538</v>
      </c>
      <c r="M617" s="20">
        <f t="shared" si="184"/>
        <v>3.1878676287609538</v>
      </c>
      <c r="N617" s="20">
        <f t="shared" si="185"/>
        <v>3.1878676287609538</v>
      </c>
      <c r="O617" s="17"/>
      <c r="P617" s="20">
        <f t="shared" si="186"/>
        <v>9.6428755310573422</v>
      </c>
      <c r="Q617" s="20">
        <f t="shared" si="187"/>
        <v>20.803335576479185</v>
      </c>
      <c r="R617" s="20">
        <f t="shared" si="188"/>
        <v>0</v>
      </c>
      <c r="S617" s="20">
        <f t="shared" si="189"/>
        <v>0</v>
      </c>
      <c r="T617" s="20">
        <f t="shared" si="190"/>
        <v>0</v>
      </c>
      <c r="U617" s="17"/>
      <c r="V617" s="20">
        <f t="shared" si="191"/>
        <v>30.446211107536527</v>
      </c>
      <c r="W617" s="17"/>
      <c r="X617" s="20">
        <f t="shared" si="192"/>
        <v>12.884502298996511</v>
      </c>
      <c r="Y617" s="20">
        <f t="shared" si="193"/>
        <v>3.5894988924634745</v>
      </c>
      <c r="Z617" s="20"/>
      <c r="AA617" s="20">
        <f t="shared" si="194"/>
        <v>2.3459510034135884E-5</v>
      </c>
    </row>
    <row r="618" spans="2:27" x14ac:dyDescent="0.3">
      <c r="B618" s="28">
        <v>58</v>
      </c>
      <c r="C618" s="28">
        <v>22.785710000000002</v>
      </c>
      <c r="D618" s="20">
        <f t="shared" si="176"/>
        <v>47.729071558088293</v>
      </c>
      <c r="E618" s="20">
        <f t="shared" si="177"/>
        <v>-4.1965851527973737</v>
      </c>
      <c r="F618" s="20">
        <f t="shared" si="178"/>
        <v>4.3583309782193362</v>
      </c>
      <c r="G618" s="20">
        <f t="shared" si="179"/>
        <v>4.3583309782193362</v>
      </c>
      <c r="H618" s="20">
        <f t="shared" si="180"/>
        <v>4.3583309782193362</v>
      </c>
      <c r="I618" s="17"/>
      <c r="J618" s="20">
        <f t="shared" si="181"/>
        <v>43.946107504333646</v>
      </c>
      <c r="K618" s="20">
        <f t="shared" si="182"/>
        <v>1.482544090788392E-2</v>
      </c>
      <c r="L618" s="20">
        <f t="shared" si="183"/>
        <v>3.1963282493000964</v>
      </c>
      <c r="M618" s="20">
        <f t="shared" si="184"/>
        <v>3.1963282493000964</v>
      </c>
      <c r="N618" s="20">
        <f t="shared" si="185"/>
        <v>3.1963282493000964</v>
      </c>
      <c r="O618" s="17"/>
      <c r="P618" s="20">
        <f t="shared" si="186"/>
        <v>9.611003438835418</v>
      </c>
      <c r="Q618" s="20">
        <f t="shared" si="187"/>
        <v>20.698635651427612</v>
      </c>
      <c r="R618" s="20">
        <f t="shared" si="188"/>
        <v>0</v>
      </c>
      <c r="S618" s="20">
        <f t="shared" si="189"/>
        <v>0</v>
      </c>
      <c r="T618" s="20">
        <f t="shared" si="190"/>
        <v>0</v>
      </c>
      <c r="U618" s="17"/>
      <c r="V618" s="20">
        <f t="shared" si="191"/>
        <v>30.30963909026303</v>
      </c>
      <c r="W618" s="17"/>
      <c r="X618" s="20">
        <f t="shared" si="192"/>
        <v>56.609508955306239</v>
      </c>
      <c r="Y618" s="20">
        <f t="shared" si="193"/>
        <v>7.523929090263028</v>
      </c>
      <c r="Z618" s="20"/>
      <c r="AA618" s="20">
        <f t="shared" si="194"/>
        <v>4.9173351288601478E-5</v>
      </c>
    </row>
    <row r="619" spans="2:27" x14ac:dyDescent="0.3">
      <c r="B619" s="28">
        <v>58.1</v>
      </c>
      <c r="C619" s="28">
        <v>17.035710000000002</v>
      </c>
      <c r="D619" s="20">
        <f t="shared" si="176"/>
        <v>47.804249738386957</v>
      </c>
      <c r="E619" s="20">
        <f t="shared" si="177"/>
        <v>-4.1915385304504147</v>
      </c>
      <c r="F619" s="20">
        <f t="shared" si="178"/>
        <v>4.3694420893304473</v>
      </c>
      <c r="G619" s="20">
        <f t="shared" si="179"/>
        <v>4.3694420893304473</v>
      </c>
      <c r="H619" s="20">
        <f t="shared" si="180"/>
        <v>4.3694420893304473</v>
      </c>
      <c r="I619" s="17"/>
      <c r="J619" s="20">
        <f t="shared" si="181"/>
        <v>44.019614421493444</v>
      </c>
      <c r="K619" s="20">
        <f t="shared" si="182"/>
        <v>1.4899347220855621E-2</v>
      </c>
      <c r="L619" s="20">
        <f t="shared" si="183"/>
        <v>3.2047942100515727</v>
      </c>
      <c r="M619" s="20">
        <f t="shared" si="184"/>
        <v>3.2047942100515727</v>
      </c>
      <c r="N619" s="20">
        <f t="shared" si="185"/>
        <v>3.2047942100515727</v>
      </c>
      <c r="O619" s="17"/>
      <c r="P619" s="20">
        <f t="shared" si="186"/>
        <v>9.579287932904883</v>
      </c>
      <c r="Q619" s="20">
        <f t="shared" si="187"/>
        <v>20.594462882064988</v>
      </c>
      <c r="R619" s="20">
        <f t="shared" si="188"/>
        <v>0</v>
      </c>
      <c r="S619" s="20">
        <f t="shared" si="189"/>
        <v>0</v>
      </c>
      <c r="T619" s="20">
        <f t="shared" si="190"/>
        <v>0</v>
      </c>
      <c r="U619" s="17"/>
      <c r="V619" s="20">
        <f t="shared" si="191"/>
        <v>30.173750814969871</v>
      </c>
      <c r="W619" s="17"/>
      <c r="X619" s="20">
        <f t="shared" si="192"/>
        <v>172.60811645581416</v>
      </c>
      <c r="Y619" s="20">
        <f t="shared" si="193"/>
        <v>13.13804081496987</v>
      </c>
      <c r="Z619" s="20"/>
      <c r="AA619" s="20">
        <f t="shared" si="194"/>
        <v>8.5864910273351951E-5</v>
      </c>
    </row>
    <row r="620" spans="2:27" x14ac:dyDescent="0.3">
      <c r="B620" s="28">
        <v>58.2</v>
      </c>
      <c r="C620" s="28">
        <v>26.535710000000002</v>
      </c>
      <c r="D620" s="20">
        <f t="shared" si="176"/>
        <v>47.879427918685614</v>
      </c>
      <c r="E620" s="20">
        <f t="shared" si="177"/>
        <v>-4.1864919081034557</v>
      </c>
      <c r="F620" s="20">
        <f t="shared" si="178"/>
        <v>4.3805532004415584</v>
      </c>
      <c r="G620" s="20">
        <f t="shared" si="179"/>
        <v>4.3805532004415584</v>
      </c>
      <c r="H620" s="20">
        <f t="shared" si="180"/>
        <v>4.3805532004415584</v>
      </c>
      <c r="I620" s="17"/>
      <c r="J620" s="20">
        <f t="shared" si="181"/>
        <v>44.093124065276278</v>
      </c>
      <c r="K620" s="20">
        <f t="shared" si="182"/>
        <v>1.4973616528875872E-2</v>
      </c>
      <c r="L620" s="20">
        <f t="shared" si="183"/>
        <v>3.2132654928833198</v>
      </c>
      <c r="M620" s="20">
        <f t="shared" si="184"/>
        <v>3.2132654928833198</v>
      </c>
      <c r="N620" s="20">
        <f t="shared" si="185"/>
        <v>3.2132654928833198</v>
      </c>
      <c r="O620" s="17"/>
      <c r="P620" s="20">
        <f t="shared" si="186"/>
        <v>9.5477279949386418</v>
      </c>
      <c r="Q620" s="20">
        <f t="shared" si="187"/>
        <v>20.490814615209473</v>
      </c>
      <c r="R620" s="20">
        <f t="shared" si="188"/>
        <v>0</v>
      </c>
      <c r="S620" s="20">
        <f t="shared" si="189"/>
        <v>0</v>
      </c>
      <c r="T620" s="20">
        <f t="shared" si="190"/>
        <v>0</v>
      </c>
      <c r="U620" s="17"/>
      <c r="V620" s="20">
        <f t="shared" si="191"/>
        <v>30.038542610148113</v>
      </c>
      <c r="W620" s="17"/>
      <c r="X620" s="20">
        <f t="shared" si="192"/>
        <v>12.269836294717031</v>
      </c>
      <c r="Y620" s="20">
        <f t="shared" si="193"/>
        <v>3.5028326101481113</v>
      </c>
      <c r="Z620" s="20"/>
      <c r="AA620" s="20">
        <f t="shared" si="194"/>
        <v>2.2893094336427405E-5</v>
      </c>
    </row>
    <row r="621" spans="2:27" x14ac:dyDescent="0.3">
      <c r="B621" s="28">
        <v>58.3</v>
      </c>
      <c r="C621" s="28">
        <v>31.535710000000002</v>
      </c>
      <c r="D621" s="20">
        <f t="shared" si="176"/>
        <v>47.954606098984272</v>
      </c>
      <c r="E621" s="20">
        <f t="shared" si="177"/>
        <v>-4.1814452857564968</v>
      </c>
      <c r="F621" s="20">
        <f t="shared" si="178"/>
        <v>4.3916643115526695</v>
      </c>
      <c r="G621" s="20">
        <f t="shared" si="179"/>
        <v>4.3916643115526695</v>
      </c>
      <c r="H621" s="20">
        <f t="shared" si="180"/>
        <v>4.3916643115526695</v>
      </c>
      <c r="I621" s="17"/>
      <c r="J621" s="20">
        <f t="shared" si="181"/>
        <v>44.166636426900297</v>
      </c>
      <c r="K621" s="20">
        <f t="shared" si="182"/>
        <v>1.5048250561302082E-2</v>
      </c>
      <c r="L621" s="20">
        <f t="shared" si="183"/>
        <v>3.2217420797410155</v>
      </c>
      <c r="M621" s="20">
        <f t="shared" si="184"/>
        <v>3.2217420797410155</v>
      </c>
      <c r="N621" s="20">
        <f t="shared" si="185"/>
        <v>3.2217420797410155</v>
      </c>
      <c r="O621" s="17"/>
      <c r="P621" s="20">
        <f t="shared" si="186"/>
        <v>9.5163226148369837</v>
      </c>
      <c r="Q621" s="20">
        <f t="shared" si="187"/>
        <v>20.387688211036942</v>
      </c>
      <c r="R621" s="20">
        <f t="shared" si="188"/>
        <v>0</v>
      </c>
      <c r="S621" s="20">
        <f t="shared" si="189"/>
        <v>0</v>
      </c>
      <c r="T621" s="20">
        <f t="shared" si="190"/>
        <v>0</v>
      </c>
      <c r="U621" s="17"/>
      <c r="V621" s="20">
        <f t="shared" si="191"/>
        <v>29.904010825873925</v>
      </c>
      <c r="W621" s="17"/>
      <c r="X621" s="20">
        <f t="shared" si="192"/>
        <v>2.6624421948437198</v>
      </c>
      <c r="Y621" s="20">
        <f t="shared" si="193"/>
        <v>1.6316991741260765</v>
      </c>
      <c r="Z621" s="20"/>
      <c r="AA621" s="20">
        <f t="shared" si="194"/>
        <v>1.0664124518459212E-5</v>
      </c>
    </row>
    <row r="622" spans="2:27" x14ac:dyDescent="0.3">
      <c r="B622" s="28">
        <v>58.4</v>
      </c>
      <c r="C622" s="28">
        <v>25.285710000000002</v>
      </c>
      <c r="D622" s="20">
        <f t="shared" si="176"/>
        <v>48.029784279282936</v>
      </c>
      <c r="E622" s="20">
        <f t="shared" si="177"/>
        <v>-4.1763986634095378</v>
      </c>
      <c r="F622" s="20">
        <f t="shared" si="178"/>
        <v>4.4027754226637805</v>
      </c>
      <c r="G622" s="20">
        <f t="shared" si="179"/>
        <v>4.4027754226637805</v>
      </c>
      <c r="H622" s="20">
        <f t="shared" si="180"/>
        <v>4.4027754226637805</v>
      </c>
      <c r="I622" s="17"/>
      <c r="J622" s="20">
        <f t="shared" si="181"/>
        <v>44.240151497625675</v>
      </c>
      <c r="K622" s="20">
        <f t="shared" si="182"/>
        <v>1.5123251055207768E-2</v>
      </c>
      <c r="L622" s="20">
        <f t="shared" si="183"/>
        <v>3.2302239526477319</v>
      </c>
      <c r="M622" s="20">
        <f t="shared" si="184"/>
        <v>3.2302239526477319</v>
      </c>
      <c r="N622" s="20">
        <f t="shared" si="185"/>
        <v>3.2302239526477319</v>
      </c>
      <c r="O622" s="17"/>
      <c r="P622" s="20">
        <f t="shared" si="186"/>
        <v>9.4850707906482636</v>
      </c>
      <c r="Q622" s="20">
        <f t="shared" si="187"/>
        <v>20.285081043013694</v>
      </c>
      <c r="R622" s="20">
        <f t="shared" si="188"/>
        <v>0</v>
      </c>
      <c r="S622" s="20">
        <f t="shared" si="189"/>
        <v>0</v>
      </c>
      <c r="T622" s="20">
        <f t="shared" si="190"/>
        <v>0</v>
      </c>
      <c r="U622" s="17"/>
      <c r="V622" s="20">
        <f t="shared" si="191"/>
        <v>29.770151833661956</v>
      </c>
      <c r="W622" s="17"/>
      <c r="X622" s="20">
        <f t="shared" si="192"/>
        <v>20.11021855949739</v>
      </c>
      <c r="Y622" s="20">
        <f t="shared" si="193"/>
        <v>4.484441833661954</v>
      </c>
      <c r="Z622" s="20"/>
      <c r="AA622" s="20">
        <f t="shared" si="194"/>
        <v>2.9308494401593366E-5</v>
      </c>
    </row>
    <row r="623" spans="2:27" x14ac:dyDescent="0.3">
      <c r="B623" s="28">
        <v>58.5</v>
      </c>
      <c r="C623" s="28">
        <v>52.035710000000002</v>
      </c>
      <c r="D623" s="20">
        <f t="shared" si="176"/>
        <v>48.104962459581593</v>
      </c>
      <c r="E623" s="20">
        <f t="shared" si="177"/>
        <v>-4.171352041062578</v>
      </c>
      <c r="F623" s="20">
        <f t="shared" si="178"/>
        <v>4.4138865337748916</v>
      </c>
      <c r="G623" s="20">
        <f t="shared" si="179"/>
        <v>4.4138865337748916</v>
      </c>
      <c r="H623" s="20">
        <f t="shared" si="180"/>
        <v>4.4138865337748916</v>
      </c>
      <c r="I623" s="17"/>
      <c r="J623" s="20">
        <f t="shared" si="181"/>
        <v>44.313669268754346</v>
      </c>
      <c r="K623" s="20">
        <f t="shared" si="182"/>
        <v>1.5198619755411872E-2</v>
      </c>
      <c r="L623" s="20">
        <f t="shared" si="183"/>
        <v>3.2387110937035879</v>
      </c>
      <c r="M623" s="20">
        <f t="shared" si="184"/>
        <v>3.2387110937035879</v>
      </c>
      <c r="N623" s="20">
        <f t="shared" si="185"/>
        <v>3.2387110937035879</v>
      </c>
      <c r="O623" s="17"/>
      <c r="P623" s="20">
        <f t="shared" si="186"/>
        <v>9.4539715284904471</v>
      </c>
      <c r="Q623" s="20">
        <f t="shared" si="187"/>
        <v>20.182990497829561</v>
      </c>
      <c r="R623" s="20">
        <f t="shared" si="188"/>
        <v>0</v>
      </c>
      <c r="S623" s="20">
        <f t="shared" si="189"/>
        <v>0</v>
      </c>
      <c r="T623" s="20">
        <f t="shared" si="190"/>
        <v>0</v>
      </c>
      <c r="U623" s="17"/>
      <c r="V623" s="20">
        <f t="shared" si="191"/>
        <v>29.636962026320006</v>
      </c>
      <c r="W623" s="17"/>
      <c r="X623" s="20">
        <f t="shared" si="192"/>
        <v>501.70391078843369</v>
      </c>
      <c r="Y623" s="20">
        <f t="shared" si="193"/>
        <v>22.398747973679995</v>
      </c>
      <c r="Z623" s="20"/>
      <c r="AA623" s="20">
        <f t="shared" si="194"/>
        <v>1.4638913914805549E-4</v>
      </c>
    </row>
    <row r="624" spans="2:27" x14ac:dyDescent="0.3">
      <c r="B624" s="28">
        <v>58.6</v>
      </c>
      <c r="C624" s="28">
        <v>17.785710000000002</v>
      </c>
      <c r="D624" s="20">
        <f t="shared" si="176"/>
        <v>48.180140639880257</v>
      </c>
      <c r="E624" s="20">
        <f t="shared" si="177"/>
        <v>-4.166305418715619</v>
      </c>
      <c r="F624" s="20">
        <f t="shared" si="178"/>
        <v>4.4249976448860027</v>
      </c>
      <c r="G624" s="20">
        <f t="shared" si="179"/>
        <v>4.4249976448860027</v>
      </c>
      <c r="H624" s="20">
        <f t="shared" si="180"/>
        <v>4.4249976448860027</v>
      </c>
      <c r="I624" s="17"/>
      <c r="J624" s="20">
        <f t="shared" si="181"/>
        <v>44.387189731629739</v>
      </c>
      <c r="K624" s="20">
        <f t="shared" si="182"/>
        <v>1.5274358414508129E-2</v>
      </c>
      <c r="L624" s="20">
        <f t="shared" si="183"/>
        <v>3.2472034850854037</v>
      </c>
      <c r="M624" s="20">
        <f t="shared" si="184"/>
        <v>3.2472034850854037</v>
      </c>
      <c r="N624" s="20">
        <f t="shared" si="185"/>
        <v>3.2472034850854037</v>
      </c>
      <c r="O624" s="17"/>
      <c r="P624" s="20">
        <f t="shared" si="186"/>
        <v>9.4230238424735457</v>
      </c>
      <c r="Q624" s="20">
        <f t="shared" si="187"/>
        <v>20.081413975331412</v>
      </c>
      <c r="R624" s="20">
        <f t="shared" si="188"/>
        <v>0</v>
      </c>
      <c r="S624" s="20">
        <f t="shared" si="189"/>
        <v>0</v>
      </c>
      <c r="T624" s="20">
        <f t="shared" si="190"/>
        <v>0</v>
      </c>
      <c r="U624" s="17"/>
      <c r="V624" s="20">
        <f t="shared" si="191"/>
        <v>29.504437817804956</v>
      </c>
      <c r="W624" s="17"/>
      <c r="X624" s="20">
        <f t="shared" si="192"/>
        <v>137.32858166779565</v>
      </c>
      <c r="Y624" s="20">
        <f t="shared" si="193"/>
        <v>11.718727817804954</v>
      </c>
      <c r="Z624" s="20"/>
      <c r="AA624" s="20">
        <f t="shared" si="194"/>
        <v>7.6588855733126563E-5</v>
      </c>
    </row>
    <row r="625" spans="2:27" x14ac:dyDescent="0.3">
      <c r="B625" s="28">
        <v>58.7</v>
      </c>
      <c r="C625" s="28">
        <v>33.535710000000002</v>
      </c>
      <c r="D625" s="20">
        <f t="shared" si="176"/>
        <v>48.255318820178914</v>
      </c>
      <c r="E625" s="20">
        <f t="shared" si="177"/>
        <v>-4.16125879636866</v>
      </c>
      <c r="F625" s="20">
        <f t="shared" si="178"/>
        <v>4.4361087559971146</v>
      </c>
      <c r="G625" s="20">
        <f t="shared" si="179"/>
        <v>4.4361087559971146</v>
      </c>
      <c r="H625" s="20">
        <f t="shared" si="180"/>
        <v>4.4361087559971146</v>
      </c>
      <c r="I625" s="17"/>
      <c r="J625" s="20">
        <f t="shared" si="181"/>
        <v>44.460712877636531</v>
      </c>
      <c r="K625" s="20">
        <f t="shared" si="182"/>
        <v>1.5350468792894607E-2</v>
      </c>
      <c r="L625" s="20">
        <f t="shared" si="183"/>
        <v>3.2557011090463561</v>
      </c>
      <c r="M625" s="20">
        <f t="shared" si="184"/>
        <v>3.2557011090463561</v>
      </c>
      <c r="N625" s="20">
        <f t="shared" si="185"/>
        <v>3.2557011090463561</v>
      </c>
      <c r="O625" s="17"/>
      <c r="P625" s="20">
        <f t="shared" si="186"/>
        <v>9.3922267546229055</v>
      </c>
      <c r="Q625" s="20">
        <f t="shared" si="187"/>
        <v>19.980348888456795</v>
      </c>
      <c r="R625" s="20">
        <f t="shared" si="188"/>
        <v>0</v>
      </c>
      <c r="S625" s="20">
        <f t="shared" si="189"/>
        <v>0</v>
      </c>
      <c r="T625" s="20">
        <f t="shared" si="190"/>
        <v>0</v>
      </c>
      <c r="U625" s="17"/>
      <c r="V625" s="20">
        <f t="shared" si="191"/>
        <v>29.372575643079699</v>
      </c>
      <c r="W625" s="17"/>
      <c r="X625" s="20">
        <f t="shared" si="192"/>
        <v>17.331687673770222</v>
      </c>
      <c r="Y625" s="20">
        <f t="shared" si="193"/>
        <v>4.1631343569203025</v>
      </c>
      <c r="Z625" s="20"/>
      <c r="AA625" s="20">
        <f t="shared" si="194"/>
        <v>2.7208558950856812E-5</v>
      </c>
    </row>
    <row r="626" spans="2:27" x14ac:dyDescent="0.3">
      <c r="B626" s="28">
        <v>58.8</v>
      </c>
      <c r="C626" s="28">
        <v>31.285710000000002</v>
      </c>
      <c r="D626" s="20">
        <f t="shared" ref="D626:D689" si="195">$C$23/(1-$C$23)-LN((1-$C$23)/$C$23)+$C$22/(1-$C$23)*B626</f>
        <v>48.330497000477571</v>
      </c>
      <c r="E626" s="20">
        <f t="shared" ref="E626:E689" si="196">$D$23/(1-$D$23)-LN((1-$D$23)/$D$23)+$D$22*B626/(1-$D$23)</f>
        <v>-4.1562121740217002</v>
      </c>
      <c r="F626" s="20">
        <f t="shared" ref="F626:F689" si="197">$E$23/(1-$E$23)-LN((1-$E$23)/$E$23)+$E$22*B626/(1-$E$23)</f>
        <v>4.4472198671082248</v>
      </c>
      <c r="G626" s="20">
        <f t="shared" ref="G626:G689" si="198">$F$23/(1-$F$23)-LN((1-$F$23)/$F$23)+$F$22*B626/(1-$F$23)</f>
        <v>4.4472198671082248</v>
      </c>
      <c r="H626" s="20">
        <f t="shared" ref="H626:H689" si="199">$G$23/(1-$G$23)-LN((1-$G$23)/$G$23)+$G$22*B626/(1-$G$23)</f>
        <v>4.4472198671082248</v>
      </c>
      <c r="I626" s="17"/>
      <c r="J626" s="20">
        <f t="shared" ref="J626:J689" si="200">lmb_2(D626)</f>
        <v>44.534238698200376</v>
      </c>
      <c r="K626" s="20">
        <f t="shared" ref="K626:K689" si="201">lmb_2(E626)</f>
        <v>1.5426952658803181E-2</v>
      </c>
      <c r="L626" s="20">
        <f t="shared" ref="L626:L689" si="202">lmb_2(F626)</f>
        <v>3.2642039479156315</v>
      </c>
      <c r="M626" s="20">
        <f t="shared" ref="M626:M689" si="203">lmb_2(G626)</f>
        <v>3.2642039479156315</v>
      </c>
      <c r="N626" s="20">
        <f t="shared" ref="N626:N689" si="204">lmb_2(H626)</f>
        <v>3.2642039479156315</v>
      </c>
      <c r="O626" s="17"/>
      <c r="P626" s="20">
        <f t="shared" ref="P626:P689" si="205">($C$21*$A$21*$C$22)/(J626+J626^2)</f>
        <v>9.3615792948033594</v>
      </c>
      <c r="Q626" s="20">
        <f t="shared" ref="Q626:Q689" si="206">($D$21*$A$21*$D$22)/(K626+K626^2)</f>
        <v>19.879792663168132</v>
      </c>
      <c r="R626" s="20">
        <f t="shared" ref="R626:R689" si="207">($E$21*$A$21*$E$22)/(L626+L626^2)</f>
        <v>0</v>
      </c>
      <c r="S626" s="20">
        <f t="shared" ref="S626:S689" si="208">($F$21*$A$21*$F$22)/(M626+M626^2)</f>
        <v>0</v>
      </c>
      <c r="T626" s="20">
        <f t="shared" ref="T626:T689" si="209">($G$21*$A$21*$G$22)/(N626+N626^2)</f>
        <v>0</v>
      </c>
      <c r="U626" s="17"/>
      <c r="V626" s="20">
        <f t="shared" ref="V626:V689" si="210">SUM(P626:T626)</f>
        <v>29.241371957971491</v>
      </c>
      <c r="W626" s="17"/>
      <c r="X626" s="20">
        <f t="shared" ref="X626:X689" si="211">(V626-C626)^2</f>
        <v>4.1793180300849624</v>
      </c>
      <c r="Y626" s="20">
        <f t="shared" ref="Y626:Y689" si="212">ABS(V626-C626)</f>
        <v>2.0443380420285102</v>
      </c>
      <c r="Z626" s="20"/>
      <c r="AA626" s="20">
        <f t="shared" ref="AA626:AA689" si="213">Y626/$Z$39</f>
        <v>1.3360964927675223E-5</v>
      </c>
    </row>
    <row r="627" spans="2:27" x14ac:dyDescent="0.3">
      <c r="B627" s="28">
        <v>58.9</v>
      </c>
      <c r="C627" s="28">
        <v>9.0357099999999999</v>
      </c>
      <c r="D627" s="20">
        <f t="shared" si="195"/>
        <v>48.405675180776235</v>
      </c>
      <c r="E627" s="20">
        <f t="shared" si="196"/>
        <v>-4.1511655516747421</v>
      </c>
      <c r="F627" s="20">
        <f t="shared" si="197"/>
        <v>4.4583309782193368</v>
      </c>
      <c r="G627" s="20">
        <f t="shared" si="198"/>
        <v>4.4583309782193368</v>
      </c>
      <c r="H627" s="20">
        <f t="shared" si="199"/>
        <v>4.4583309782193368</v>
      </c>
      <c r="I627" s="17"/>
      <c r="J627" s="20">
        <f t="shared" si="200"/>
        <v>44.607767184787654</v>
      </c>
      <c r="K627" s="20">
        <f t="shared" si="201"/>
        <v>1.5503811788329054E-2</v>
      </c>
      <c r="L627" s="20">
        <f t="shared" si="202"/>
        <v>3.2727119840980921</v>
      </c>
      <c r="M627" s="20">
        <f t="shared" si="203"/>
        <v>3.2727119840980921</v>
      </c>
      <c r="N627" s="20">
        <f t="shared" si="204"/>
        <v>3.2727119840980921</v>
      </c>
      <c r="O627" s="17"/>
      <c r="P627" s="20">
        <f t="shared" si="205"/>
        <v>9.3310805006442141</v>
      </c>
      <c r="Q627" s="20">
        <f t="shared" si="206"/>
        <v>19.779742738387206</v>
      </c>
      <c r="R627" s="20">
        <f t="shared" si="207"/>
        <v>0</v>
      </c>
      <c r="S627" s="20">
        <f t="shared" si="208"/>
        <v>0</v>
      </c>
      <c r="T627" s="20">
        <f t="shared" si="209"/>
        <v>0</v>
      </c>
      <c r="U627" s="17"/>
      <c r="V627" s="20">
        <f t="shared" si="210"/>
        <v>29.110823239031419</v>
      </c>
      <c r="W627" s="17"/>
      <c r="X627" s="20">
        <f t="shared" si="211"/>
        <v>403.01017155993446</v>
      </c>
      <c r="Y627" s="20">
        <f t="shared" si="212"/>
        <v>20.075113239031417</v>
      </c>
      <c r="Z627" s="20"/>
      <c r="AA627" s="20">
        <f t="shared" si="213"/>
        <v>1.3120280422882562E-4</v>
      </c>
    </row>
    <row r="628" spans="2:27" x14ac:dyDescent="0.3">
      <c r="B628" s="28">
        <v>59</v>
      </c>
      <c r="C628" s="28">
        <v>48.285710000000002</v>
      </c>
      <c r="D628" s="20">
        <f t="shared" si="195"/>
        <v>48.480853361074892</v>
      </c>
      <c r="E628" s="20">
        <f t="shared" si="196"/>
        <v>-4.1461189293277823</v>
      </c>
      <c r="F628" s="20">
        <f t="shared" si="197"/>
        <v>4.469442089330447</v>
      </c>
      <c r="G628" s="20">
        <f t="shared" si="198"/>
        <v>4.469442089330447</v>
      </c>
      <c r="H628" s="20">
        <f t="shared" si="199"/>
        <v>4.469442089330447</v>
      </c>
      <c r="I628" s="17"/>
      <c r="J628" s="20">
        <f t="shared" si="200"/>
        <v>44.681298328905186</v>
      </c>
      <c r="K628" s="20">
        <f t="shared" si="201"/>
        <v>1.5581047965460566E-2</v>
      </c>
      <c r="L628" s="20">
        <f t="shared" si="202"/>
        <v>3.2812252000739219</v>
      </c>
      <c r="M628" s="20">
        <f t="shared" si="203"/>
        <v>3.2812252000739219</v>
      </c>
      <c r="N628" s="20">
        <f t="shared" si="204"/>
        <v>3.2812252000739219</v>
      </c>
      <c r="O628" s="17"/>
      <c r="P628" s="20">
        <f t="shared" si="205"/>
        <v>9.3007294174650994</v>
      </c>
      <c r="Q628" s="20">
        <f t="shared" si="206"/>
        <v>19.68019656592973</v>
      </c>
      <c r="R628" s="20">
        <f t="shared" si="207"/>
        <v>0</v>
      </c>
      <c r="S628" s="20">
        <f t="shared" si="208"/>
        <v>0</v>
      </c>
      <c r="T628" s="20">
        <f t="shared" si="209"/>
        <v>0</v>
      </c>
      <c r="U628" s="17"/>
      <c r="V628" s="20">
        <f t="shared" si="210"/>
        <v>28.98092598339483</v>
      </c>
      <c r="W628" s="17"/>
      <c r="X628" s="20">
        <f t="shared" si="211"/>
        <v>372.67468592777453</v>
      </c>
      <c r="Y628" s="20">
        <f t="shared" si="212"/>
        <v>19.304784016605172</v>
      </c>
      <c r="Z628" s="20"/>
      <c r="AA628" s="20">
        <f t="shared" si="213"/>
        <v>1.2616824462468711E-4</v>
      </c>
    </row>
    <row r="629" spans="2:27" x14ac:dyDescent="0.3">
      <c r="B629" s="28">
        <v>59.1</v>
      </c>
      <c r="C629" s="28">
        <v>32.535710000000002</v>
      </c>
      <c r="D629" s="20">
        <f t="shared" si="195"/>
        <v>48.556031541373557</v>
      </c>
      <c r="E629" s="20">
        <f t="shared" si="196"/>
        <v>-4.1410723069808233</v>
      </c>
      <c r="F629" s="20">
        <f t="shared" si="197"/>
        <v>4.480553200441558</v>
      </c>
      <c r="G629" s="20">
        <f t="shared" si="198"/>
        <v>4.480553200441558</v>
      </c>
      <c r="H629" s="20">
        <f t="shared" si="199"/>
        <v>4.480553200441558</v>
      </c>
      <c r="I629" s="17"/>
      <c r="J629" s="20">
        <f t="shared" si="200"/>
        <v>44.754832122100034</v>
      </c>
      <c r="K629" s="20">
        <f t="shared" si="201"/>
        <v>1.5658662982108679E-2</v>
      </c>
      <c r="L629" s="20">
        <f t="shared" si="202"/>
        <v>3.2897435783982991</v>
      </c>
      <c r="M629" s="20">
        <f t="shared" si="203"/>
        <v>3.2897435783982991</v>
      </c>
      <c r="N629" s="20">
        <f t="shared" si="204"/>
        <v>3.2897435783982991</v>
      </c>
      <c r="O629" s="17"/>
      <c r="P629" s="20">
        <f t="shared" si="205"/>
        <v>9.2705250982025849</v>
      </c>
      <c r="Q629" s="20">
        <f t="shared" si="206"/>
        <v>19.58115161044071</v>
      </c>
      <c r="R629" s="20">
        <f t="shared" si="207"/>
        <v>0</v>
      </c>
      <c r="S629" s="20">
        <f t="shared" si="208"/>
        <v>0</v>
      </c>
      <c r="T629" s="20">
        <f t="shared" si="209"/>
        <v>0</v>
      </c>
      <c r="U629" s="17"/>
      <c r="V629" s="20">
        <f t="shared" si="210"/>
        <v>28.851676708643296</v>
      </c>
      <c r="W629" s="17"/>
      <c r="X629" s="20">
        <f t="shared" si="211"/>
        <v>13.57210129182452</v>
      </c>
      <c r="Y629" s="20">
        <f t="shared" si="212"/>
        <v>3.6840332913567053</v>
      </c>
      <c r="Z629" s="20"/>
      <c r="AA629" s="20">
        <f t="shared" si="213"/>
        <v>2.407734855306205E-5</v>
      </c>
    </row>
    <row r="630" spans="2:27" x14ac:dyDescent="0.3">
      <c r="B630" s="28">
        <v>59.2</v>
      </c>
      <c r="C630" s="28">
        <v>38.785710000000002</v>
      </c>
      <c r="D630" s="20">
        <f t="shared" si="195"/>
        <v>48.631209721672214</v>
      </c>
      <c r="E630" s="20">
        <f t="shared" si="196"/>
        <v>-4.1360256846338634</v>
      </c>
      <c r="F630" s="20">
        <f t="shared" si="197"/>
        <v>4.49166431155267</v>
      </c>
      <c r="G630" s="20">
        <f t="shared" si="198"/>
        <v>4.49166431155267</v>
      </c>
      <c r="H630" s="20">
        <f t="shared" si="199"/>
        <v>4.49166431155267</v>
      </c>
      <c r="I630" s="17"/>
      <c r="J630" s="20">
        <f t="shared" si="200"/>
        <v>44.828368555959187</v>
      </c>
      <c r="K630" s="20">
        <f t="shared" si="201"/>
        <v>1.5736658638136919E-2</v>
      </c>
      <c r="L630" s="20">
        <f t="shared" si="202"/>
        <v>3.2982671017010472</v>
      </c>
      <c r="M630" s="20">
        <f t="shared" si="203"/>
        <v>3.2982671017010472</v>
      </c>
      <c r="N630" s="20">
        <f t="shared" si="204"/>
        <v>3.2982671017010472</v>
      </c>
      <c r="O630" s="17"/>
      <c r="P630" s="20">
        <f t="shared" si="205"/>
        <v>9.240466603337671</v>
      </c>
      <c r="Q630" s="20">
        <f t="shared" si="206"/>
        <v>19.482605349329646</v>
      </c>
      <c r="R630" s="20">
        <f t="shared" si="207"/>
        <v>0</v>
      </c>
      <c r="S630" s="20">
        <f t="shared" si="208"/>
        <v>0</v>
      </c>
      <c r="T630" s="20">
        <f t="shared" si="209"/>
        <v>0</v>
      </c>
      <c r="U630" s="17"/>
      <c r="V630" s="20">
        <f t="shared" si="210"/>
        <v>28.723071952667318</v>
      </c>
      <c r="W630" s="17"/>
      <c r="X630" s="20">
        <f t="shared" si="211"/>
        <v>101.25668447162732</v>
      </c>
      <c r="Y630" s="20">
        <f t="shared" si="212"/>
        <v>10.062638047332683</v>
      </c>
      <c r="Z630" s="20"/>
      <c r="AA630" s="20">
        <f t="shared" si="213"/>
        <v>6.5765324161798917E-5</v>
      </c>
    </row>
    <row r="631" spans="2:27" x14ac:dyDescent="0.3">
      <c r="B631" s="28">
        <v>59.3</v>
      </c>
      <c r="C631" s="28">
        <v>36.035710000000002</v>
      </c>
      <c r="D631" s="20">
        <f t="shared" si="195"/>
        <v>48.706387901970871</v>
      </c>
      <c r="E631" s="20">
        <f t="shared" si="196"/>
        <v>-4.1309790622869045</v>
      </c>
      <c r="F631" s="20">
        <f t="shared" si="197"/>
        <v>4.5027754226637802</v>
      </c>
      <c r="G631" s="20">
        <f t="shared" si="198"/>
        <v>4.5027754226637802</v>
      </c>
      <c r="H631" s="20">
        <f t="shared" si="199"/>
        <v>4.5027754226637802</v>
      </c>
      <c r="I631" s="17"/>
      <c r="J631" s="20">
        <f t="shared" si="200"/>
        <v>44.90190762210937</v>
      </c>
      <c r="K631" s="20">
        <f t="shared" si="201"/>
        <v>1.5815036741391043E-2</v>
      </c>
      <c r="L631" s="20">
        <f t="shared" si="202"/>
        <v>3.3067957526862997</v>
      </c>
      <c r="M631" s="20">
        <f t="shared" si="203"/>
        <v>3.3067957526862997</v>
      </c>
      <c r="N631" s="20">
        <f t="shared" si="204"/>
        <v>3.3067957526862997</v>
      </c>
      <c r="O631" s="17"/>
      <c r="P631" s="20">
        <f t="shared" si="205"/>
        <v>9.2105530008240333</v>
      </c>
      <c r="Q631" s="20">
        <f t="shared" si="206"/>
        <v>19.384555272706432</v>
      </c>
      <c r="R631" s="20">
        <f t="shared" si="207"/>
        <v>0</v>
      </c>
      <c r="S631" s="20">
        <f t="shared" si="208"/>
        <v>0</v>
      </c>
      <c r="T631" s="20">
        <f t="shared" si="209"/>
        <v>0</v>
      </c>
      <c r="U631" s="17"/>
      <c r="V631" s="20">
        <f t="shared" si="210"/>
        <v>28.595108273530464</v>
      </c>
      <c r="W631" s="17"/>
      <c r="X631" s="20">
        <f t="shared" si="211"/>
        <v>55.362554051941466</v>
      </c>
      <c r="Y631" s="20">
        <f t="shared" si="212"/>
        <v>7.4406017264695379</v>
      </c>
      <c r="Z631" s="20"/>
      <c r="AA631" s="20">
        <f t="shared" si="213"/>
        <v>4.8628757409178415E-5</v>
      </c>
    </row>
    <row r="632" spans="2:27" x14ac:dyDescent="0.3">
      <c r="B632" s="28">
        <v>59.4</v>
      </c>
      <c r="C632" s="28">
        <v>38.285710000000002</v>
      </c>
      <c r="D632" s="20">
        <f t="shared" si="195"/>
        <v>48.781566082269528</v>
      </c>
      <c r="E632" s="20">
        <f t="shared" si="196"/>
        <v>-4.1259324399399464</v>
      </c>
      <c r="F632" s="20">
        <f t="shared" si="197"/>
        <v>4.5138865337748921</v>
      </c>
      <c r="G632" s="20">
        <f t="shared" si="198"/>
        <v>4.5138865337748921</v>
      </c>
      <c r="H632" s="20">
        <f t="shared" si="199"/>
        <v>4.5138865337748921</v>
      </c>
      <c r="I632" s="17"/>
      <c r="J632" s="20">
        <f t="shared" si="200"/>
        <v>44.97544931221676</v>
      </c>
      <c r="K632" s="20">
        <f t="shared" si="201"/>
        <v>1.5893799107729041E-2</v>
      </c>
      <c r="L632" s="20">
        <f t="shared" si="202"/>
        <v>3.3153295141321664</v>
      </c>
      <c r="M632" s="20">
        <f t="shared" si="203"/>
        <v>3.3153295141321664</v>
      </c>
      <c r="N632" s="20">
        <f t="shared" si="204"/>
        <v>3.3153295141321664</v>
      </c>
      <c r="O632" s="17"/>
      <c r="P632" s="20">
        <f t="shared" si="205"/>
        <v>9.1807833660170868</v>
      </c>
      <c r="Q632" s="20">
        <f t="shared" si="206"/>
        <v>19.286998883317317</v>
      </c>
      <c r="R632" s="20">
        <f t="shared" si="207"/>
        <v>0</v>
      </c>
      <c r="S632" s="20">
        <f t="shared" si="208"/>
        <v>0</v>
      </c>
      <c r="T632" s="20">
        <f t="shared" si="209"/>
        <v>0</v>
      </c>
      <c r="U632" s="17"/>
      <c r="V632" s="20">
        <f t="shared" si="210"/>
        <v>28.467782249334405</v>
      </c>
      <c r="W632" s="17"/>
      <c r="X632" s="20">
        <f t="shared" si="211"/>
        <v>96.39170531728962</v>
      </c>
      <c r="Y632" s="20">
        <f t="shared" si="212"/>
        <v>9.8179277506655964</v>
      </c>
      <c r="Z632" s="20"/>
      <c r="AA632" s="20">
        <f t="shared" si="213"/>
        <v>6.4165996837260312E-5</v>
      </c>
    </row>
    <row r="633" spans="2:27" x14ac:dyDescent="0.3">
      <c r="B633" s="28">
        <v>59.5</v>
      </c>
      <c r="C633" s="28">
        <v>15.78571</v>
      </c>
      <c r="D633" s="20">
        <f t="shared" si="195"/>
        <v>48.856744262568192</v>
      </c>
      <c r="E633" s="20">
        <f t="shared" si="196"/>
        <v>-4.1208858175929866</v>
      </c>
      <c r="F633" s="20">
        <f t="shared" si="197"/>
        <v>4.5249976448860023</v>
      </c>
      <c r="G633" s="20">
        <f t="shared" si="198"/>
        <v>4.5249976448860023</v>
      </c>
      <c r="H633" s="20">
        <f t="shared" si="199"/>
        <v>4.5249976448860023</v>
      </c>
      <c r="I633" s="17"/>
      <c r="J633" s="20">
        <f t="shared" si="200"/>
        <v>45.048993617986746</v>
      </c>
      <c r="K633" s="20">
        <f t="shared" si="201"/>
        <v>1.5972947561051012E-2</v>
      </c>
      <c r="L633" s="20">
        <f t="shared" si="202"/>
        <v>3.3238683688903903</v>
      </c>
      <c r="M633" s="20">
        <f t="shared" si="203"/>
        <v>3.3238683688903903</v>
      </c>
      <c r="N633" s="20">
        <f t="shared" si="204"/>
        <v>3.3238683688903903</v>
      </c>
      <c r="O633" s="17"/>
      <c r="P633" s="20">
        <f t="shared" si="205"/>
        <v>9.1511567816038184</v>
      </c>
      <c r="Q633" s="20">
        <f t="shared" si="206"/>
        <v>19.189933696481326</v>
      </c>
      <c r="R633" s="20">
        <f t="shared" si="207"/>
        <v>0</v>
      </c>
      <c r="S633" s="20">
        <f t="shared" si="208"/>
        <v>0</v>
      </c>
      <c r="T633" s="20">
        <f t="shared" si="209"/>
        <v>0</v>
      </c>
      <c r="U633" s="17"/>
      <c r="V633" s="20">
        <f t="shared" si="210"/>
        <v>28.341090478085142</v>
      </c>
      <c r="W633" s="17"/>
      <c r="X633" s="20">
        <f t="shared" si="211"/>
        <v>157.63757894948151</v>
      </c>
      <c r="Y633" s="20">
        <f t="shared" si="212"/>
        <v>12.555380478085143</v>
      </c>
      <c r="Z633" s="20"/>
      <c r="AA633" s="20">
        <f t="shared" si="213"/>
        <v>8.2056878447979453E-5</v>
      </c>
    </row>
    <row r="634" spans="2:27" x14ac:dyDescent="0.3">
      <c r="B634" s="28">
        <v>59.6</v>
      </c>
      <c r="C634" s="28">
        <v>31.535710000000002</v>
      </c>
      <c r="D634" s="20">
        <f t="shared" si="195"/>
        <v>48.931922442866849</v>
      </c>
      <c r="E634" s="20">
        <f t="shared" si="196"/>
        <v>-4.1158391952460267</v>
      </c>
      <c r="F634" s="20">
        <f t="shared" si="197"/>
        <v>4.5361087559971143</v>
      </c>
      <c r="G634" s="20">
        <f t="shared" si="198"/>
        <v>4.5361087559971143</v>
      </c>
      <c r="H634" s="20">
        <f t="shared" si="199"/>
        <v>4.5361087559971143</v>
      </c>
      <c r="I634" s="17"/>
      <c r="J634" s="20">
        <f t="shared" si="200"/>
        <v>45.122540531163686</v>
      </c>
      <c r="K634" s="20">
        <f t="shared" si="201"/>
        <v>1.6052483933329104E-2</v>
      </c>
      <c r="L634" s="20">
        <f t="shared" si="202"/>
        <v>3.3324122998860224</v>
      </c>
      <c r="M634" s="20">
        <f t="shared" si="203"/>
        <v>3.3324122998860224</v>
      </c>
      <c r="N634" s="20">
        <f t="shared" si="204"/>
        <v>3.3324122998860224</v>
      </c>
      <c r="O634" s="17"/>
      <c r="P634" s="20">
        <f t="shared" si="205"/>
        <v>9.1216723375334059</v>
      </c>
      <c r="Q634" s="20">
        <f t="shared" si="206"/>
        <v>19.093357240027046</v>
      </c>
      <c r="R634" s="20">
        <f t="shared" si="207"/>
        <v>0</v>
      </c>
      <c r="S634" s="20">
        <f t="shared" si="208"/>
        <v>0</v>
      </c>
      <c r="T634" s="20">
        <f t="shared" si="209"/>
        <v>0</v>
      </c>
      <c r="U634" s="17"/>
      <c r="V634" s="20">
        <f t="shared" si="210"/>
        <v>28.21502957756045</v>
      </c>
      <c r="W634" s="17"/>
      <c r="X634" s="20">
        <f t="shared" si="211"/>
        <v>11.026918467973315</v>
      </c>
      <c r="Y634" s="20">
        <f t="shared" si="212"/>
        <v>3.3206804224395512</v>
      </c>
      <c r="Z634" s="20"/>
      <c r="AA634" s="20">
        <f t="shared" si="213"/>
        <v>2.1702621458928877E-5</v>
      </c>
    </row>
    <row r="635" spans="2:27" x14ac:dyDescent="0.3">
      <c r="B635" s="28">
        <v>59.7</v>
      </c>
      <c r="C635" s="28">
        <v>20.035710000000002</v>
      </c>
      <c r="D635" s="20">
        <f t="shared" si="195"/>
        <v>49.007100623165513</v>
      </c>
      <c r="E635" s="20">
        <f t="shared" si="196"/>
        <v>-4.1107925728990677</v>
      </c>
      <c r="F635" s="20">
        <f t="shared" si="197"/>
        <v>4.5472198671082253</v>
      </c>
      <c r="G635" s="20">
        <f t="shared" si="198"/>
        <v>4.5472198671082253</v>
      </c>
      <c r="H635" s="20">
        <f t="shared" si="199"/>
        <v>4.5472198671082253</v>
      </c>
      <c r="I635" s="17"/>
      <c r="J635" s="20">
        <f t="shared" si="200"/>
        <v>45.196090043530681</v>
      </c>
      <c r="K635" s="20">
        <f t="shared" si="201"/>
        <v>1.6132410064637621E-2</v>
      </c>
      <c r="L635" s="20">
        <f t="shared" si="202"/>
        <v>3.3409612901170771</v>
      </c>
      <c r="M635" s="20">
        <f t="shared" si="203"/>
        <v>3.3409612901170771</v>
      </c>
      <c r="N635" s="20">
        <f t="shared" si="204"/>
        <v>3.3409612901170771</v>
      </c>
      <c r="O635" s="17"/>
      <c r="P635" s="20">
        <f t="shared" si="205"/>
        <v>9.0923291309485812</v>
      </c>
      <c r="Q635" s="20">
        <f t="shared" si="206"/>
        <v>18.997267054229582</v>
      </c>
      <c r="R635" s="20">
        <f t="shared" si="207"/>
        <v>0</v>
      </c>
      <c r="S635" s="20">
        <f t="shared" si="208"/>
        <v>0</v>
      </c>
      <c r="T635" s="20">
        <f t="shared" si="209"/>
        <v>0</v>
      </c>
      <c r="U635" s="17"/>
      <c r="V635" s="20">
        <f t="shared" si="210"/>
        <v>28.089596185178163</v>
      </c>
      <c r="W635" s="17"/>
      <c r="X635" s="20">
        <f t="shared" si="211"/>
        <v>64.865082683803635</v>
      </c>
      <c r="Y635" s="20">
        <f t="shared" si="212"/>
        <v>8.0538861851781611</v>
      </c>
      <c r="Z635" s="20"/>
      <c r="AA635" s="20">
        <f t="shared" si="213"/>
        <v>5.2636936083662003E-5</v>
      </c>
    </row>
    <row r="636" spans="2:27" x14ac:dyDescent="0.3">
      <c r="B636" s="28">
        <v>59.8</v>
      </c>
      <c r="C636" s="28">
        <v>20.285710000000002</v>
      </c>
      <c r="D636" s="20">
        <f t="shared" si="195"/>
        <v>49.08227880346417</v>
      </c>
      <c r="E636" s="20">
        <f t="shared" si="196"/>
        <v>-4.1057459505521088</v>
      </c>
      <c r="F636" s="20">
        <f t="shared" si="197"/>
        <v>4.5583309782193364</v>
      </c>
      <c r="G636" s="20">
        <f t="shared" si="198"/>
        <v>4.5583309782193364</v>
      </c>
      <c r="H636" s="20">
        <f t="shared" si="199"/>
        <v>4.5583309782193364</v>
      </c>
      <c r="I636" s="17"/>
      <c r="J636" s="20">
        <f t="shared" si="200"/>
        <v>45.269642146909284</v>
      </c>
      <c r="K636" s="20">
        <f t="shared" si="201"/>
        <v>1.6212727803183113E-2</v>
      </c>
      <c r="L636" s="20">
        <f t="shared" si="202"/>
        <v>3.349515322654208</v>
      </c>
      <c r="M636" s="20">
        <f t="shared" si="203"/>
        <v>3.349515322654208</v>
      </c>
      <c r="N636" s="20">
        <f t="shared" si="204"/>
        <v>3.349515322654208</v>
      </c>
      <c r="O636" s="17"/>
      <c r="P636" s="20">
        <f t="shared" si="205"/>
        <v>9.0631262661177701</v>
      </c>
      <c r="Q636" s="20">
        <f t="shared" si="206"/>
        <v>18.901660691747917</v>
      </c>
      <c r="R636" s="20">
        <f t="shared" si="207"/>
        <v>0</v>
      </c>
      <c r="S636" s="20">
        <f t="shared" si="208"/>
        <v>0</v>
      </c>
      <c r="T636" s="20">
        <f t="shared" si="209"/>
        <v>0</v>
      </c>
      <c r="U636" s="17"/>
      <c r="V636" s="20">
        <f t="shared" si="210"/>
        <v>27.964786957865687</v>
      </c>
      <c r="W636" s="17"/>
      <c r="X636" s="20">
        <f t="shared" si="211"/>
        <v>58.968222924823714</v>
      </c>
      <c r="Y636" s="20">
        <f t="shared" si="212"/>
        <v>7.6790769578656857</v>
      </c>
      <c r="Z636" s="20"/>
      <c r="AA636" s="20">
        <f t="shared" si="213"/>
        <v>5.0187334874009808E-5</v>
      </c>
    </row>
    <row r="637" spans="2:27" x14ac:dyDescent="0.3">
      <c r="B637" s="28">
        <v>59.9</v>
      </c>
      <c r="C637" s="28">
        <v>38.535710000000002</v>
      </c>
      <c r="D637" s="20">
        <f t="shared" si="195"/>
        <v>49.157456983762827</v>
      </c>
      <c r="E637" s="20">
        <f t="shared" si="196"/>
        <v>-4.1006993282051498</v>
      </c>
      <c r="F637" s="20">
        <f t="shared" si="197"/>
        <v>4.5694420893304475</v>
      </c>
      <c r="G637" s="20">
        <f t="shared" si="198"/>
        <v>4.5694420893304475</v>
      </c>
      <c r="H637" s="20">
        <f t="shared" si="199"/>
        <v>4.5694420893304475</v>
      </c>
      <c r="I637" s="17"/>
      <c r="J637" s="20">
        <f t="shared" si="200"/>
        <v>45.343196833159325</v>
      </c>
      <c r="K637" s="20">
        <f t="shared" si="201"/>
        <v>1.6293439005334514E-2</v>
      </c>
      <c r="L637" s="20">
        <f t="shared" si="202"/>
        <v>3.3580743806403728</v>
      </c>
      <c r="M637" s="20">
        <f t="shared" si="203"/>
        <v>3.3580743806403728</v>
      </c>
      <c r="N637" s="20">
        <f t="shared" si="204"/>
        <v>3.3580743806403728</v>
      </c>
      <c r="O637" s="17"/>
      <c r="P637" s="20">
        <f t="shared" si="205"/>
        <v>9.0340628543679387</v>
      </c>
      <c r="Q637" s="20">
        <f t="shared" si="206"/>
        <v>18.806535717562582</v>
      </c>
      <c r="R637" s="20">
        <f t="shared" si="207"/>
        <v>0</v>
      </c>
      <c r="S637" s="20">
        <f t="shared" si="208"/>
        <v>0</v>
      </c>
      <c r="T637" s="20">
        <f t="shared" si="209"/>
        <v>0</v>
      </c>
      <c r="U637" s="17"/>
      <c r="V637" s="20">
        <f t="shared" si="210"/>
        <v>27.840598571930521</v>
      </c>
      <c r="W637" s="17"/>
      <c r="X637" s="20">
        <f t="shared" si="211"/>
        <v>114.38540845882241</v>
      </c>
      <c r="Y637" s="20">
        <f t="shared" si="212"/>
        <v>10.695111428069481</v>
      </c>
      <c r="Z637" s="20"/>
      <c r="AA637" s="20">
        <f t="shared" si="213"/>
        <v>6.9898913853906543E-5</v>
      </c>
    </row>
    <row r="638" spans="2:27" x14ac:dyDescent="0.3">
      <c r="B638" s="28">
        <v>60</v>
      </c>
      <c r="C638" s="28">
        <v>15.28571</v>
      </c>
      <c r="D638" s="20">
        <f t="shared" si="195"/>
        <v>49.232635164061492</v>
      </c>
      <c r="E638" s="20">
        <f t="shared" si="196"/>
        <v>-4.0956527058581909</v>
      </c>
      <c r="F638" s="20">
        <f t="shared" si="197"/>
        <v>4.5805532004415577</v>
      </c>
      <c r="G638" s="20">
        <f t="shared" si="198"/>
        <v>4.5805532004415577</v>
      </c>
      <c r="H638" s="20">
        <f t="shared" si="199"/>
        <v>4.5805532004415577</v>
      </c>
      <c r="I638" s="17"/>
      <c r="J638" s="20">
        <f t="shared" si="200"/>
        <v>45.416754094178664</v>
      </c>
      <c r="K638" s="20">
        <f t="shared" si="201"/>
        <v>1.637454553565337E-2</v>
      </c>
      <c r="L638" s="20">
        <f t="shared" si="202"/>
        <v>3.3666384472905024</v>
      </c>
      <c r="M638" s="20">
        <f t="shared" si="203"/>
        <v>3.3666384472905024</v>
      </c>
      <c r="N638" s="20">
        <f t="shared" si="204"/>
        <v>3.3666384472905024</v>
      </c>
      <c r="O638" s="17"/>
      <c r="P638" s="20">
        <f t="shared" si="205"/>
        <v>9.0051380140182111</v>
      </c>
      <c r="Q638" s="20">
        <f t="shared" si="206"/>
        <v>18.711889708913642</v>
      </c>
      <c r="R638" s="20">
        <f t="shared" si="207"/>
        <v>0</v>
      </c>
      <c r="S638" s="20">
        <f t="shared" si="208"/>
        <v>0</v>
      </c>
      <c r="T638" s="20">
        <f t="shared" si="209"/>
        <v>0</v>
      </c>
      <c r="U638" s="17"/>
      <c r="V638" s="20">
        <f t="shared" si="210"/>
        <v>27.717027722931853</v>
      </c>
      <c r="W638" s="17"/>
      <c r="X638" s="20">
        <f t="shared" si="211"/>
        <v>154.5376603284796</v>
      </c>
      <c r="Y638" s="20">
        <f t="shared" si="212"/>
        <v>12.431317722931853</v>
      </c>
      <c r="Z638" s="20"/>
      <c r="AA638" s="20">
        <f t="shared" si="213"/>
        <v>8.1246054559583239E-5</v>
      </c>
    </row>
    <row r="639" spans="2:27" x14ac:dyDescent="0.3">
      <c r="B639" s="28">
        <v>60.1</v>
      </c>
      <c r="C639" s="28">
        <v>24.535710000000002</v>
      </c>
      <c r="D639" s="20">
        <f t="shared" si="195"/>
        <v>49.307813344360149</v>
      </c>
      <c r="E639" s="20">
        <f t="shared" si="196"/>
        <v>-4.090606083511231</v>
      </c>
      <c r="F639" s="20">
        <f t="shared" si="197"/>
        <v>4.5916643115526696</v>
      </c>
      <c r="G639" s="20">
        <f t="shared" si="198"/>
        <v>4.5916643115526696</v>
      </c>
      <c r="H639" s="20">
        <f t="shared" si="199"/>
        <v>4.5916643115526696</v>
      </c>
      <c r="I639" s="17"/>
      <c r="J639" s="20">
        <f t="shared" si="200"/>
        <v>45.490313921902882</v>
      </c>
      <c r="K639" s="20">
        <f t="shared" si="201"/>
        <v>1.645604926692408E-2</v>
      </c>
      <c r="L639" s="20">
        <f t="shared" si="202"/>
        <v>3.3752075058911775</v>
      </c>
      <c r="M639" s="20">
        <f t="shared" si="203"/>
        <v>3.3752075058911775</v>
      </c>
      <c r="N639" s="20">
        <f t="shared" si="204"/>
        <v>3.3752075058911775</v>
      </c>
      <c r="O639" s="17"/>
      <c r="P639" s="20">
        <f t="shared" si="205"/>
        <v>8.9763508703142065</v>
      </c>
      <c r="Q639" s="20">
        <f t="shared" si="206"/>
        <v>18.617720255238979</v>
      </c>
      <c r="R639" s="20">
        <f t="shared" si="207"/>
        <v>0</v>
      </c>
      <c r="S639" s="20">
        <f t="shared" si="208"/>
        <v>0</v>
      </c>
      <c r="T639" s="20">
        <f t="shared" si="209"/>
        <v>0</v>
      </c>
      <c r="U639" s="17"/>
      <c r="V639" s="20">
        <f t="shared" si="210"/>
        <v>27.594071125553185</v>
      </c>
      <c r="W639" s="17"/>
      <c r="X639" s="20">
        <f t="shared" si="211"/>
        <v>9.3535727742949355</v>
      </c>
      <c r="Y639" s="20">
        <f t="shared" si="212"/>
        <v>3.0583611255531835</v>
      </c>
      <c r="Z639" s="20"/>
      <c r="AA639" s="20">
        <f t="shared" si="213"/>
        <v>1.9988208845409498E-5</v>
      </c>
    </row>
    <row r="640" spans="2:27" x14ac:dyDescent="0.3">
      <c r="B640" s="28">
        <v>60.2</v>
      </c>
      <c r="C640" s="28">
        <v>34.535710000000002</v>
      </c>
      <c r="D640" s="20">
        <f t="shared" si="195"/>
        <v>49.382991524658813</v>
      </c>
      <c r="E640" s="20">
        <f t="shared" si="196"/>
        <v>-4.085559461164272</v>
      </c>
      <c r="F640" s="20">
        <f t="shared" si="197"/>
        <v>4.6027754226637807</v>
      </c>
      <c r="G640" s="20">
        <f t="shared" si="198"/>
        <v>4.6027754226637807</v>
      </c>
      <c r="H640" s="20">
        <f t="shared" si="199"/>
        <v>4.6027754226637807</v>
      </c>
      <c r="I640" s="17"/>
      <c r="J640" s="20">
        <f t="shared" si="200"/>
        <v>45.563876308305169</v>
      </c>
      <c r="K640" s="20">
        <f t="shared" si="201"/>
        <v>1.6537952080184205E-2</v>
      </c>
      <c r="L640" s="20">
        <f t="shared" si="202"/>
        <v>3.3837815398002884</v>
      </c>
      <c r="M640" s="20">
        <f t="shared" si="203"/>
        <v>3.3837815398002884</v>
      </c>
      <c r="N640" s="20">
        <f t="shared" si="204"/>
        <v>3.3837815398002884</v>
      </c>
      <c r="O640" s="17"/>
      <c r="P640" s="20">
        <f t="shared" si="205"/>
        <v>8.9477005553630544</v>
      </c>
      <c r="Q640" s="20">
        <f t="shared" si="206"/>
        <v>18.524024958112914</v>
      </c>
      <c r="R640" s="20">
        <f t="shared" si="207"/>
        <v>0</v>
      </c>
      <c r="S640" s="20">
        <f t="shared" si="208"/>
        <v>0</v>
      </c>
      <c r="T640" s="20">
        <f t="shared" si="209"/>
        <v>0</v>
      </c>
      <c r="U640" s="17"/>
      <c r="V640" s="20">
        <f t="shared" si="210"/>
        <v>27.471725513475967</v>
      </c>
      <c r="W640" s="17"/>
      <c r="X640" s="20">
        <f t="shared" si="211"/>
        <v>49.899876825852232</v>
      </c>
      <c r="Y640" s="20">
        <f t="shared" si="212"/>
        <v>7.0639844865240349</v>
      </c>
      <c r="Z640" s="20"/>
      <c r="AA640" s="20">
        <f t="shared" si="213"/>
        <v>4.616733976169547E-5</v>
      </c>
    </row>
    <row r="641" spans="2:27" x14ac:dyDescent="0.3">
      <c r="B641" s="28">
        <v>60.3</v>
      </c>
      <c r="C641" s="28">
        <v>31.285710000000002</v>
      </c>
      <c r="D641" s="20">
        <f t="shared" si="195"/>
        <v>49.458169704957463</v>
      </c>
      <c r="E641" s="20">
        <f t="shared" si="196"/>
        <v>-4.0805128388173131</v>
      </c>
      <c r="F641" s="20">
        <f t="shared" si="197"/>
        <v>4.6138865337748918</v>
      </c>
      <c r="G641" s="20">
        <f t="shared" si="198"/>
        <v>4.6138865337748918</v>
      </c>
      <c r="H641" s="20">
        <f t="shared" si="199"/>
        <v>4.6138865337748918</v>
      </c>
      <c r="I641" s="17"/>
      <c r="J641" s="20">
        <f t="shared" si="200"/>
        <v>45.637441245395962</v>
      </c>
      <c r="K641" s="20">
        <f t="shared" si="201"/>
        <v>1.6620255864754883E-2</v>
      </c>
      <c r="L641" s="20">
        <f t="shared" si="202"/>
        <v>3.3923605324467223</v>
      </c>
      <c r="M641" s="20">
        <f t="shared" si="203"/>
        <v>3.3923605324467223</v>
      </c>
      <c r="N641" s="20">
        <f t="shared" si="204"/>
        <v>3.3923605324467223</v>
      </c>
      <c r="O641" s="17"/>
      <c r="P641" s="20">
        <f t="shared" si="205"/>
        <v>8.9191862080691973</v>
      </c>
      <c r="Q641" s="20">
        <f t="shared" si="206"/>
        <v>18.430801431185071</v>
      </c>
      <c r="R641" s="20">
        <f t="shared" si="207"/>
        <v>0</v>
      </c>
      <c r="S641" s="20">
        <f t="shared" si="208"/>
        <v>0</v>
      </c>
      <c r="T641" s="20">
        <f t="shared" si="209"/>
        <v>0</v>
      </c>
      <c r="U641" s="17"/>
      <c r="V641" s="20">
        <f t="shared" si="210"/>
        <v>27.349987639254266</v>
      </c>
      <c r="W641" s="17"/>
      <c r="X641" s="20">
        <f t="shared" si="211"/>
        <v>15.489910500873986</v>
      </c>
      <c r="Y641" s="20">
        <f t="shared" si="212"/>
        <v>3.9357223607457357</v>
      </c>
      <c r="Z641" s="20"/>
      <c r="AA641" s="20">
        <f t="shared" si="213"/>
        <v>2.572228630780308E-5</v>
      </c>
    </row>
    <row r="642" spans="2:27" x14ac:dyDescent="0.3">
      <c r="B642" s="28">
        <v>60.4</v>
      </c>
      <c r="C642" s="28">
        <v>47.285710000000002</v>
      </c>
      <c r="D642" s="20">
        <f t="shared" si="195"/>
        <v>49.533347885256127</v>
      </c>
      <c r="E642" s="20">
        <f t="shared" si="196"/>
        <v>-4.0754662164703541</v>
      </c>
      <c r="F642" s="20">
        <f t="shared" si="197"/>
        <v>4.6249976448860028</v>
      </c>
      <c r="G642" s="20">
        <f t="shared" si="198"/>
        <v>4.6249976448860028</v>
      </c>
      <c r="H642" s="20">
        <f t="shared" si="199"/>
        <v>4.6249976448860028</v>
      </c>
      <c r="I642" s="17"/>
      <c r="J642" s="20">
        <f t="shared" si="200"/>
        <v>45.711008725222847</v>
      </c>
      <c r="K642" s="20">
        <f t="shared" si="201"/>
        <v>1.6702962518271219E-2</v>
      </c>
      <c r="L642" s="20">
        <f t="shared" si="202"/>
        <v>3.4009444673300284</v>
      </c>
      <c r="M642" s="20">
        <f t="shared" si="203"/>
        <v>3.4009444673300284</v>
      </c>
      <c r="N642" s="20">
        <f t="shared" si="204"/>
        <v>3.4009444673300284</v>
      </c>
      <c r="O642" s="17"/>
      <c r="P642" s="20">
        <f t="shared" si="205"/>
        <v>8.8908069740707756</v>
      </c>
      <c r="Q642" s="20">
        <f t="shared" si="206"/>
        <v>18.33804730011963</v>
      </c>
      <c r="R642" s="20">
        <f t="shared" si="207"/>
        <v>0</v>
      </c>
      <c r="S642" s="20">
        <f t="shared" si="208"/>
        <v>0</v>
      </c>
      <c r="T642" s="20">
        <f t="shared" si="209"/>
        <v>0</v>
      </c>
      <c r="U642" s="17"/>
      <c r="V642" s="20">
        <f t="shared" si="210"/>
        <v>27.228854274190404</v>
      </c>
      <c r="W642" s="17"/>
      <c r="X642" s="20">
        <f t="shared" si="211"/>
        <v>402.27746160594126</v>
      </c>
      <c r="Y642" s="20">
        <f t="shared" si="212"/>
        <v>20.056855725809598</v>
      </c>
      <c r="Z642" s="20"/>
      <c r="AA642" s="20">
        <f t="shared" si="213"/>
        <v>1.3108348052168507E-4</v>
      </c>
    </row>
    <row r="643" spans="2:27" x14ac:dyDescent="0.3">
      <c r="B643" s="28">
        <v>60.5</v>
      </c>
      <c r="C643" s="28">
        <v>39.535710000000002</v>
      </c>
      <c r="D643" s="20">
        <f t="shared" si="195"/>
        <v>49.608526065554784</v>
      </c>
      <c r="E643" s="20">
        <f t="shared" si="196"/>
        <v>-4.0704195941233952</v>
      </c>
      <c r="F643" s="20">
        <f t="shared" si="197"/>
        <v>4.6361087559971148</v>
      </c>
      <c r="G643" s="20">
        <f t="shared" si="198"/>
        <v>4.6361087559971148</v>
      </c>
      <c r="H643" s="20">
        <f t="shared" si="199"/>
        <v>4.6361087559971148</v>
      </c>
      <c r="I643" s="17"/>
      <c r="J643" s="20">
        <f t="shared" si="200"/>
        <v>45.78457873987022</v>
      </c>
      <c r="K643" s="20">
        <f t="shared" si="201"/>
        <v>1.6786073946712766E-2</v>
      </c>
      <c r="L643" s="20">
        <f t="shared" si="202"/>
        <v>3.409533328020097</v>
      </c>
      <c r="M643" s="20">
        <f t="shared" si="203"/>
        <v>3.409533328020097</v>
      </c>
      <c r="N643" s="20">
        <f t="shared" si="204"/>
        <v>3.409533328020097</v>
      </c>
      <c r="O643" s="17"/>
      <c r="P643" s="20">
        <f t="shared" si="205"/>
        <v>8.8625620056768231</v>
      </c>
      <c r="Q643" s="20">
        <f t="shared" si="206"/>
        <v>18.245760202534832</v>
      </c>
      <c r="R643" s="20">
        <f t="shared" si="207"/>
        <v>0</v>
      </c>
      <c r="S643" s="20">
        <f t="shared" si="208"/>
        <v>0</v>
      </c>
      <c r="T643" s="20">
        <f t="shared" si="209"/>
        <v>0</v>
      </c>
      <c r="U643" s="17"/>
      <c r="V643" s="20">
        <f t="shared" si="210"/>
        <v>27.108322208211654</v>
      </c>
      <c r="W643" s="17"/>
      <c r="X643" s="20">
        <f t="shared" si="211"/>
        <v>154.43996732749008</v>
      </c>
      <c r="Y643" s="20">
        <f t="shared" si="212"/>
        <v>12.427387791788348</v>
      </c>
      <c r="Z643" s="20"/>
      <c r="AA643" s="20">
        <f t="shared" si="213"/>
        <v>8.1220370122324294E-5</v>
      </c>
    </row>
    <row r="644" spans="2:27" x14ac:dyDescent="0.3">
      <c r="B644" s="28">
        <v>60.6</v>
      </c>
      <c r="C644" s="28">
        <v>32.035710000000002</v>
      </c>
      <c r="D644" s="20">
        <f t="shared" si="195"/>
        <v>49.683704245853448</v>
      </c>
      <c r="E644" s="20">
        <f t="shared" si="196"/>
        <v>-4.0653729717764353</v>
      </c>
      <c r="F644" s="20">
        <f t="shared" si="197"/>
        <v>4.647219867108225</v>
      </c>
      <c r="G644" s="20">
        <f t="shared" si="198"/>
        <v>4.647219867108225</v>
      </c>
      <c r="H644" s="20">
        <f t="shared" si="199"/>
        <v>4.647219867108225</v>
      </c>
      <c r="I644" s="17"/>
      <c r="J644" s="20">
        <f t="shared" si="200"/>
        <v>45.858151281459122</v>
      </c>
      <c r="K644" s="20">
        <f t="shared" si="201"/>
        <v>1.6869592064434051E-2</v>
      </c>
      <c r="L644" s="20">
        <f t="shared" si="202"/>
        <v>3.4181270981568326</v>
      </c>
      <c r="M644" s="20">
        <f t="shared" si="203"/>
        <v>3.4181270981568326</v>
      </c>
      <c r="N644" s="20">
        <f t="shared" si="204"/>
        <v>3.4181270981568326</v>
      </c>
      <c r="O644" s="17"/>
      <c r="P644" s="20">
        <f t="shared" si="205"/>
        <v>8.8344504618050692</v>
      </c>
      <c r="Q644" s="20">
        <f t="shared" si="206"/>
        <v>18.153937787942823</v>
      </c>
      <c r="R644" s="20">
        <f t="shared" si="207"/>
        <v>0</v>
      </c>
      <c r="S644" s="20">
        <f t="shared" si="208"/>
        <v>0</v>
      </c>
      <c r="T644" s="20">
        <f t="shared" si="209"/>
        <v>0</v>
      </c>
      <c r="U644" s="17"/>
      <c r="V644" s="20">
        <f t="shared" si="210"/>
        <v>26.988388249747892</v>
      </c>
      <c r="W644" s="17"/>
      <c r="X644" s="20">
        <f t="shared" si="211"/>
        <v>25.475456850568019</v>
      </c>
      <c r="Y644" s="20">
        <f t="shared" si="212"/>
        <v>5.0473217502521095</v>
      </c>
      <c r="Z644" s="20"/>
      <c r="AA644" s="20">
        <f t="shared" si="213"/>
        <v>3.2987249416390937E-5</v>
      </c>
    </row>
    <row r="645" spans="2:27" x14ac:dyDescent="0.3">
      <c r="B645" s="28">
        <v>60.7</v>
      </c>
      <c r="C645" s="28">
        <v>44.035710000000002</v>
      </c>
      <c r="D645" s="20">
        <f t="shared" si="195"/>
        <v>49.758882426152105</v>
      </c>
      <c r="E645" s="20">
        <f t="shared" si="196"/>
        <v>-4.0603263494294763</v>
      </c>
      <c r="F645" s="20">
        <f t="shared" si="197"/>
        <v>4.6583309782193361</v>
      </c>
      <c r="G645" s="20">
        <f t="shared" si="198"/>
        <v>4.6583309782193361</v>
      </c>
      <c r="H645" s="20">
        <f t="shared" si="199"/>
        <v>4.6583309782193361</v>
      </c>
      <c r="I645" s="17"/>
      <c r="J645" s="20">
        <f t="shared" si="200"/>
        <v>45.931726342146987</v>
      </c>
      <c r="K645" s="20">
        <f t="shared" si="201"/>
        <v>1.6953518794195124E-2</v>
      </c>
      <c r="L645" s="20">
        <f t="shared" si="202"/>
        <v>3.4267257614498385</v>
      </c>
      <c r="M645" s="20">
        <f t="shared" si="203"/>
        <v>3.4267257614498385</v>
      </c>
      <c r="N645" s="20">
        <f t="shared" si="204"/>
        <v>3.4267257614498385</v>
      </c>
      <c r="O645" s="17"/>
      <c r="P645" s="20">
        <f t="shared" si="205"/>
        <v>8.8064715079204259</v>
      </c>
      <c r="Q645" s="20">
        <f t="shared" si="206"/>
        <v>18.062577717689791</v>
      </c>
      <c r="R645" s="20">
        <f t="shared" si="207"/>
        <v>0</v>
      </c>
      <c r="S645" s="20">
        <f t="shared" si="208"/>
        <v>0</v>
      </c>
      <c r="T645" s="20">
        <f t="shared" si="209"/>
        <v>0</v>
      </c>
      <c r="U645" s="17"/>
      <c r="V645" s="20">
        <f t="shared" si="210"/>
        <v>26.869049225610219</v>
      </c>
      <c r="W645" s="17"/>
      <c r="X645" s="20">
        <f t="shared" si="211"/>
        <v>294.69424214297283</v>
      </c>
      <c r="Y645" s="20">
        <f t="shared" si="212"/>
        <v>17.166660774389783</v>
      </c>
      <c r="Z645" s="20"/>
      <c r="AA645" s="20">
        <f t="shared" si="213"/>
        <v>1.1219433763720041E-4</v>
      </c>
    </row>
    <row r="646" spans="2:27" x14ac:dyDescent="0.3">
      <c r="B646" s="28">
        <v>60.8</v>
      </c>
      <c r="C646" s="28">
        <v>18.285710000000002</v>
      </c>
      <c r="D646" s="20">
        <f t="shared" si="195"/>
        <v>49.834060606450763</v>
      </c>
      <c r="E646" s="20">
        <f t="shared" si="196"/>
        <v>-4.0552797270825174</v>
      </c>
      <c r="F646" s="20">
        <f t="shared" si="197"/>
        <v>4.6694420893304471</v>
      </c>
      <c r="G646" s="20">
        <f t="shared" si="198"/>
        <v>4.6694420893304471</v>
      </c>
      <c r="H646" s="20">
        <f t="shared" si="199"/>
        <v>4.6694420893304471</v>
      </c>
      <c r="I646" s="17"/>
      <c r="J646" s="20">
        <f t="shared" si="200"/>
        <v>46.005303914127452</v>
      </c>
      <c r="K646" s="20">
        <f t="shared" si="201"/>
        <v>1.7037856067192242E-2</v>
      </c>
      <c r="L646" s="20">
        <f t="shared" si="202"/>
        <v>3.435329301678089</v>
      </c>
      <c r="M646" s="20">
        <f t="shared" si="203"/>
        <v>3.435329301678089</v>
      </c>
      <c r="N646" s="20">
        <f t="shared" si="204"/>
        <v>3.435329301678089</v>
      </c>
      <c r="O646" s="17"/>
      <c r="P646" s="20">
        <f t="shared" si="205"/>
        <v>8.7786243159741595</v>
      </c>
      <c r="Q646" s="20">
        <f t="shared" si="206"/>
        <v>17.971677664896362</v>
      </c>
      <c r="R646" s="20">
        <f t="shared" si="207"/>
        <v>0</v>
      </c>
      <c r="S646" s="20">
        <f t="shared" si="208"/>
        <v>0</v>
      </c>
      <c r="T646" s="20">
        <f t="shared" si="209"/>
        <v>0</v>
      </c>
      <c r="U646" s="17"/>
      <c r="V646" s="20">
        <f t="shared" si="210"/>
        <v>26.750301980870521</v>
      </c>
      <c r="W646" s="17"/>
      <c r="X646" s="20">
        <f t="shared" si="211"/>
        <v>71.649317402617498</v>
      </c>
      <c r="Y646" s="20">
        <f t="shared" si="212"/>
        <v>8.4645919808705194</v>
      </c>
      <c r="Z646" s="20"/>
      <c r="AA646" s="20">
        <f t="shared" si="213"/>
        <v>5.5321142716334946E-5</v>
      </c>
    </row>
    <row r="647" spans="2:27" x14ac:dyDescent="0.3">
      <c r="B647" s="28">
        <v>60.9</v>
      </c>
      <c r="C647" s="28">
        <v>32.535710000000002</v>
      </c>
      <c r="D647" s="20">
        <f t="shared" si="195"/>
        <v>49.909238786749427</v>
      </c>
      <c r="E647" s="20">
        <f t="shared" si="196"/>
        <v>-4.0502331047355584</v>
      </c>
      <c r="F647" s="20">
        <f t="shared" si="197"/>
        <v>4.6805532004415582</v>
      </c>
      <c r="G647" s="20">
        <f t="shared" si="198"/>
        <v>4.6805532004415582</v>
      </c>
      <c r="H647" s="20">
        <f t="shared" si="199"/>
        <v>4.6805532004415582</v>
      </c>
      <c r="I647" s="17"/>
      <c r="J647" s="20">
        <f t="shared" si="200"/>
        <v>46.078883989630114</v>
      </c>
      <c r="K647" s="20">
        <f t="shared" si="201"/>
        <v>1.712260582308851E-2</v>
      </c>
      <c r="L647" s="20">
        <f t="shared" si="202"/>
        <v>3.4439377026896136</v>
      </c>
      <c r="M647" s="20">
        <f t="shared" si="203"/>
        <v>3.4439377026896136</v>
      </c>
      <c r="N647" s="20">
        <f t="shared" si="204"/>
        <v>3.4439377026896136</v>
      </c>
      <c r="O647" s="17"/>
      <c r="P647" s="20">
        <f t="shared" si="205"/>
        <v>8.7509080643436938</v>
      </c>
      <c r="Q647" s="20">
        <f t="shared" si="206"/>
        <v>17.881235314398349</v>
      </c>
      <c r="R647" s="20">
        <f t="shared" si="207"/>
        <v>0</v>
      </c>
      <c r="S647" s="20">
        <f t="shared" si="208"/>
        <v>0</v>
      </c>
      <c r="T647" s="20">
        <f t="shared" si="209"/>
        <v>0</v>
      </c>
      <c r="U647" s="17"/>
      <c r="V647" s="20">
        <f t="shared" si="210"/>
        <v>26.632143378742043</v>
      </c>
      <c r="W647" s="17"/>
      <c r="X647" s="20">
        <f t="shared" si="211"/>
        <v>34.852098851631105</v>
      </c>
      <c r="Y647" s="20">
        <f t="shared" si="212"/>
        <v>5.9035666212579585</v>
      </c>
      <c r="Z647" s="20"/>
      <c r="AA647" s="20">
        <f t="shared" si="213"/>
        <v>3.8583318880352611E-5</v>
      </c>
    </row>
    <row r="648" spans="2:27" x14ac:dyDescent="0.3">
      <c r="B648" s="28">
        <v>61</v>
      </c>
      <c r="C648" s="28">
        <v>11.78571</v>
      </c>
      <c r="D648" s="20">
        <f t="shared" si="195"/>
        <v>49.984416967048084</v>
      </c>
      <c r="E648" s="20">
        <f t="shared" si="196"/>
        <v>-4.0451864823885995</v>
      </c>
      <c r="F648" s="20">
        <f t="shared" si="197"/>
        <v>4.6916643115526702</v>
      </c>
      <c r="G648" s="20">
        <f t="shared" si="198"/>
        <v>4.6916643115526702</v>
      </c>
      <c r="H648" s="20">
        <f t="shared" si="199"/>
        <v>4.6916643115526702</v>
      </c>
      <c r="I648" s="17"/>
      <c r="J648" s="20">
        <f t="shared" si="200"/>
        <v>46.152466560920288</v>
      </c>
      <c r="K648" s="20">
        <f t="shared" si="201"/>
        <v>1.7207770010044601E-2</v>
      </c>
      <c r="L648" s="20">
        <f t="shared" si="202"/>
        <v>3.4525509484011767</v>
      </c>
      <c r="M648" s="20">
        <f t="shared" si="203"/>
        <v>3.4525509484011767</v>
      </c>
      <c r="N648" s="20">
        <f t="shared" si="204"/>
        <v>3.4525509484011767</v>
      </c>
      <c r="O648" s="17"/>
      <c r="P648" s="20">
        <f t="shared" si="205"/>
        <v>8.7233219377730951</v>
      </c>
      <c r="Q648" s="20">
        <f t="shared" si="206"/>
        <v>17.791248362687796</v>
      </c>
      <c r="R648" s="20">
        <f t="shared" si="207"/>
        <v>0</v>
      </c>
      <c r="S648" s="20">
        <f t="shared" si="208"/>
        <v>0</v>
      </c>
      <c r="T648" s="20">
        <f t="shared" si="209"/>
        <v>0</v>
      </c>
      <c r="U648" s="17"/>
      <c r="V648" s="20">
        <f t="shared" si="210"/>
        <v>26.514570300460889</v>
      </c>
      <c r="W648" s="17"/>
      <c r="X648" s="20">
        <f t="shared" si="211"/>
        <v>216.93932575049283</v>
      </c>
      <c r="Y648" s="20">
        <f t="shared" si="212"/>
        <v>14.728860300460889</v>
      </c>
      <c r="Z648" s="20"/>
      <c r="AA648" s="20">
        <f t="shared" si="213"/>
        <v>9.6261861714326717E-5</v>
      </c>
    </row>
    <row r="649" spans="2:27" x14ac:dyDescent="0.3">
      <c r="B649" s="28">
        <v>61.1</v>
      </c>
      <c r="C649" s="28">
        <v>35.535710000000002</v>
      </c>
      <c r="D649" s="20">
        <f t="shared" si="195"/>
        <v>50.059595147346748</v>
      </c>
      <c r="E649" s="20">
        <f t="shared" si="196"/>
        <v>-4.0401398600416396</v>
      </c>
      <c r="F649" s="20">
        <f t="shared" si="197"/>
        <v>4.7027754226637803</v>
      </c>
      <c r="G649" s="20">
        <f t="shared" si="198"/>
        <v>4.7027754226637803</v>
      </c>
      <c r="H649" s="20">
        <f t="shared" si="199"/>
        <v>4.7027754226637803</v>
      </c>
      <c r="I649" s="17"/>
      <c r="J649" s="20">
        <f t="shared" si="200"/>
        <v>46.226051620298833</v>
      </c>
      <c r="K649" s="20">
        <f t="shared" si="201"/>
        <v>1.7293350584749564E-2</v>
      </c>
      <c r="L649" s="20">
        <f t="shared" si="202"/>
        <v>3.4611690227979586</v>
      </c>
      <c r="M649" s="20">
        <f t="shared" si="203"/>
        <v>3.4611690227979586</v>
      </c>
      <c r="N649" s="20">
        <f t="shared" si="204"/>
        <v>3.4611690227979586</v>
      </c>
      <c r="O649" s="17"/>
      <c r="P649" s="20">
        <f t="shared" si="205"/>
        <v>8.6958651273141587</v>
      </c>
      <c r="Q649" s="20">
        <f t="shared" si="206"/>
        <v>17.701714517854267</v>
      </c>
      <c r="R649" s="20">
        <f t="shared" si="207"/>
        <v>0</v>
      </c>
      <c r="S649" s="20">
        <f t="shared" si="208"/>
        <v>0</v>
      </c>
      <c r="T649" s="20">
        <f t="shared" si="209"/>
        <v>0</v>
      </c>
      <c r="U649" s="17"/>
      <c r="V649" s="20">
        <f t="shared" si="210"/>
        <v>26.397579645168427</v>
      </c>
      <c r="W649" s="17"/>
      <c r="X649" s="20">
        <f t="shared" si="211"/>
        <v>83.505426381894239</v>
      </c>
      <c r="Y649" s="20">
        <f t="shared" si="212"/>
        <v>9.1381303548315742</v>
      </c>
      <c r="Z649" s="20"/>
      <c r="AA649" s="20">
        <f t="shared" si="213"/>
        <v>5.9723116561623076E-5</v>
      </c>
    </row>
    <row r="650" spans="2:27" x14ac:dyDescent="0.3">
      <c r="B650" s="28">
        <v>61.2</v>
      </c>
      <c r="C650" s="28">
        <v>40.785710000000002</v>
      </c>
      <c r="D650" s="20">
        <f t="shared" si="195"/>
        <v>50.134773327645405</v>
      </c>
      <c r="E650" s="20">
        <f t="shared" si="196"/>
        <v>-4.0350932376946798</v>
      </c>
      <c r="F650" s="20">
        <f t="shared" si="197"/>
        <v>4.7138865337748923</v>
      </c>
      <c r="G650" s="20">
        <f t="shared" si="198"/>
        <v>4.7138865337748923</v>
      </c>
      <c r="H650" s="20">
        <f t="shared" si="199"/>
        <v>4.7138865337748923</v>
      </c>
      <c r="I650" s="17"/>
      <c r="J650" s="20">
        <f t="shared" si="200"/>
        <v>46.299639160101904</v>
      </c>
      <c r="K650" s="20">
        <f t="shared" si="201"/>
        <v>1.7379349512451587E-2</v>
      </c>
      <c r="L650" s="20">
        <f t="shared" si="202"/>
        <v>3.4697919099332455</v>
      </c>
      <c r="M650" s="20">
        <f t="shared" si="203"/>
        <v>3.4697919099332455</v>
      </c>
      <c r="N650" s="20">
        <f t="shared" si="204"/>
        <v>3.4697919099332455</v>
      </c>
      <c r="O650" s="17"/>
      <c r="P650" s="20">
        <f t="shared" si="205"/>
        <v>8.6685368302681542</v>
      </c>
      <c r="Q650" s="20">
        <f t="shared" si="206"/>
        <v>17.61263149952654</v>
      </c>
      <c r="R650" s="20">
        <f t="shared" si="207"/>
        <v>0</v>
      </c>
      <c r="S650" s="20">
        <f t="shared" si="208"/>
        <v>0</v>
      </c>
      <c r="T650" s="20">
        <f t="shared" si="209"/>
        <v>0</v>
      </c>
      <c r="U650" s="17"/>
      <c r="V650" s="20">
        <f t="shared" si="210"/>
        <v>26.281168329794696</v>
      </c>
      <c r="W650" s="17"/>
      <c r="X650" s="20">
        <f t="shared" si="211"/>
        <v>210.38172906272212</v>
      </c>
      <c r="Y650" s="20">
        <f t="shared" si="212"/>
        <v>14.504541670205306</v>
      </c>
      <c r="Z650" s="20"/>
      <c r="AA650" s="20">
        <f t="shared" si="213"/>
        <v>9.4795806057261766E-5</v>
      </c>
    </row>
    <row r="651" spans="2:27" x14ac:dyDescent="0.3">
      <c r="B651" s="28">
        <v>61.3</v>
      </c>
      <c r="C651" s="28">
        <v>12.53571</v>
      </c>
      <c r="D651" s="20">
        <f t="shared" si="195"/>
        <v>50.209951507944062</v>
      </c>
      <c r="E651" s="20">
        <f t="shared" si="196"/>
        <v>-4.0300466153477217</v>
      </c>
      <c r="F651" s="20">
        <f t="shared" si="197"/>
        <v>4.7249976448860025</v>
      </c>
      <c r="G651" s="20">
        <f t="shared" si="198"/>
        <v>4.7249976448860025</v>
      </c>
      <c r="H651" s="20">
        <f t="shared" si="199"/>
        <v>4.7249976448860025</v>
      </c>
      <c r="I651" s="17"/>
      <c r="J651" s="20">
        <f t="shared" si="200"/>
        <v>46.373229172700768</v>
      </c>
      <c r="K651" s="20">
        <f t="shared" si="201"/>
        <v>1.7465768766988878E-2</v>
      </c>
      <c r="L651" s="20">
        <f t="shared" si="202"/>
        <v>3.4784195939281055</v>
      </c>
      <c r="M651" s="20">
        <f t="shared" si="203"/>
        <v>3.4784195939281055</v>
      </c>
      <c r="N651" s="20">
        <f t="shared" si="204"/>
        <v>3.4784195939281055</v>
      </c>
      <c r="O651" s="17"/>
      <c r="P651" s="20">
        <f t="shared" si="205"/>
        <v>8.6413362501281803</v>
      </c>
      <c r="Q651" s="20">
        <f t="shared" si="206"/>
        <v>17.523997038814493</v>
      </c>
      <c r="R651" s="20">
        <f t="shared" si="207"/>
        <v>0</v>
      </c>
      <c r="S651" s="20">
        <f t="shared" si="208"/>
        <v>0</v>
      </c>
      <c r="T651" s="20">
        <f t="shared" si="209"/>
        <v>0</v>
      </c>
      <c r="U651" s="17"/>
      <c r="V651" s="20">
        <f t="shared" si="210"/>
        <v>26.165333288942673</v>
      </c>
      <c r="W651" s="17"/>
      <c r="X651" s="20">
        <f t="shared" si="211"/>
        <v>185.76663099848849</v>
      </c>
      <c r="Y651" s="20">
        <f t="shared" si="212"/>
        <v>13.629623288942673</v>
      </c>
      <c r="Z651" s="20"/>
      <c r="AA651" s="20">
        <f t="shared" si="213"/>
        <v>8.9077694098131375E-5</v>
      </c>
    </row>
    <row r="652" spans="2:27" x14ac:dyDescent="0.3">
      <c r="B652" s="28">
        <v>61.4</v>
      </c>
      <c r="C652" s="28">
        <v>1.2857099999999999</v>
      </c>
      <c r="D652" s="20">
        <f t="shared" si="195"/>
        <v>50.285129688242726</v>
      </c>
      <c r="E652" s="20">
        <f t="shared" si="196"/>
        <v>-4.0249999930007627</v>
      </c>
      <c r="F652" s="20">
        <f t="shared" si="197"/>
        <v>4.7361087559971145</v>
      </c>
      <c r="G652" s="20">
        <f t="shared" si="198"/>
        <v>4.7361087559971145</v>
      </c>
      <c r="H652" s="20">
        <f t="shared" si="199"/>
        <v>4.7361087559971145</v>
      </c>
      <c r="I652" s="17"/>
      <c r="J652" s="20">
        <f t="shared" si="200"/>
        <v>46.446821650501562</v>
      </c>
      <c r="K652" s="20">
        <f t="shared" si="201"/>
        <v>1.755261033082069E-2</v>
      </c>
      <c r="L652" s="20">
        <f t="shared" si="202"/>
        <v>3.4870520589710847</v>
      </c>
      <c r="M652" s="20">
        <f t="shared" si="203"/>
        <v>3.4870520589710847</v>
      </c>
      <c r="N652" s="20">
        <f t="shared" si="204"/>
        <v>3.4870520589710847</v>
      </c>
      <c r="O652" s="17"/>
      <c r="P652" s="20">
        <f t="shared" si="205"/>
        <v>8.614262596522158</v>
      </c>
      <c r="Q652" s="20">
        <f t="shared" si="206"/>
        <v>17.435808878251198</v>
      </c>
      <c r="R652" s="20">
        <f t="shared" si="207"/>
        <v>0</v>
      </c>
      <c r="S652" s="20">
        <f t="shared" si="208"/>
        <v>0</v>
      </c>
      <c r="T652" s="20">
        <f t="shared" si="209"/>
        <v>0</v>
      </c>
      <c r="U652" s="17"/>
      <c r="V652" s="20">
        <f t="shared" si="210"/>
        <v>26.050071474773354</v>
      </c>
      <c r="W652" s="17"/>
      <c r="X652" s="20">
        <f t="shared" si="211"/>
        <v>613.27359925323856</v>
      </c>
      <c r="Y652" s="20">
        <f t="shared" si="212"/>
        <v>24.764361474773352</v>
      </c>
      <c r="Z652" s="20"/>
      <c r="AA652" s="20">
        <f t="shared" si="213"/>
        <v>1.6184983027190758E-4</v>
      </c>
    </row>
    <row r="653" spans="2:27" x14ac:dyDescent="0.3">
      <c r="B653" s="28">
        <v>61.5</v>
      </c>
      <c r="C653" s="28">
        <v>33.035710000000002</v>
      </c>
      <c r="D653" s="20">
        <f t="shared" si="195"/>
        <v>50.360307868541383</v>
      </c>
      <c r="E653" s="20">
        <f t="shared" si="196"/>
        <v>-4.0199533706538029</v>
      </c>
      <c r="F653" s="20">
        <f t="shared" si="197"/>
        <v>4.7472198671082255</v>
      </c>
      <c r="G653" s="20">
        <f t="shared" si="198"/>
        <v>4.7472198671082255</v>
      </c>
      <c r="H653" s="20">
        <f t="shared" si="199"/>
        <v>4.7472198671082255</v>
      </c>
      <c r="I653" s="17"/>
      <c r="J653" s="20">
        <f t="shared" si="200"/>
        <v>46.520416585945092</v>
      </c>
      <c r="K653" s="20">
        <f t="shared" si="201"/>
        <v>1.7639876195058149E-2</v>
      </c>
      <c r="L653" s="20">
        <f t="shared" si="202"/>
        <v>3.4956892893178839</v>
      </c>
      <c r="M653" s="20">
        <f t="shared" si="203"/>
        <v>3.4956892893178839</v>
      </c>
      <c r="N653" s="20">
        <f t="shared" si="204"/>
        <v>3.4956892893178839</v>
      </c>
      <c r="O653" s="17"/>
      <c r="P653" s="20">
        <f t="shared" si="205"/>
        <v>8.5873150851564137</v>
      </c>
      <c r="Q653" s="20">
        <f t="shared" si="206"/>
        <v>17.348064771735572</v>
      </c>
      <c r="R653" s="20">
        <f t="shared" si="207"/>
        <v>0</v>
      </c>
      <c r="S653" s="20">
        <f t="shared" si="208"/>
        <v>0</v>
      </c>
      <c r="T653" s="20">
        <f t="shared" si="209"/>
        <v>0</v>
      </c>
      <c r="U653" s="17"/>
      <c r="V653" s="20">
        <f t="shared" si="210"/>
        <v>25.935379856891984</v>
      </c>
      <c r="W653" s="17"/>
      <c r="X653" s="20">
        <f t="shared" si="211"/>
        <v>50.414688141128323</v>
      </c>
      <c r="Y653" s="20">
        <f t="shared" si="212"/>
        <v>7.1003301431080175</v>
      </c>
      <c r="Z653" s="20"/>
      <c r="AA653" s="20">
        <f t="shared" si="213"/>
        <v>4.6404880243214891E-5</v>
      </c>
    </row>
    <row r="654" spans="2:27" x14ac:dyDescent="0.3">
      <c r="B654" s="28">
        <v>61.6</v>
      </c>
      <c r="C654" s="28">
        <v>22.535710000000002</v>
      </c>
      <c r="D654" s="20">
        <f t="shared" si="195"/>
        <v>50.435486048840048</v>
      </c>
      <c r="E654" s="20">
        <f t="shared" si="196"/>
        <v>-4.0149067483068439</v>
      </c>
      <c r="F654" s="20">
        <f t="shared" si="197"/>
        <v>4.7583309782193357</v>
      </c>
      <c r="G654" s="20">
        <f t="shared" si="198"/>
        <v>4.7583309782193357</v>
      </c>
      <c r="H654" s="20">
        <f t="shared" si="199"/>
        <v>4.7583309782193357</v>
      </c>
      <c r="I654" s="17"/>
      <c r="J654" s="20">
        <f t="shared" si="200"/>
        <v>46.594013971506634</v>
      </c>
      <c r="K654" s="20">
        <f t="shared" si="201"/>
        <v>1.7727568359495259E-2</v>
      </c>
      <c r="L654" s="20">
        <f t="shared" si="202"/>
        <v>3.5043312692910558</v>
      </c>
      <c r="M654" s="20">
        <f t="shared" si="203"/>
        <v>3.5043312692910558</v>
      </c>
      <c r="N654" s="20">
        <f t="shared" si="204"/>
        <v>3.5043312692910558</v>
      </c>
      <c r="O654" s="17"/>
      <c r="P654" s="20">
        <f t="shared" si="205"/>
        <v>8.5604929377598609</v>
      </c>
      <c r="Q654" s="20">
        <f t="shared" si="206"/>
        <v>17.260762484475165</v>
      </c>
      <c r="R654" s="20">
        <f t="shared" si="207"/>
        <v>0</v>
      </c>
      <c r="S654" s="20">
        <f t="shared" si="208"/>
        <v>0</v>
      </c>
      <c r="T654" s="20">
        <f t="shared" si="209"/>
        <v>0</v>
      </c>
      <c r="U654" s="17"/>
      <c r="V654" s="20">
        <f t="shared" si="210"/>
        <v>25.821255422235026</v>
      </c>
      <c r="W654" s="17"/>
      <c r="X654" s="20">
        <f t="shared" si="211"/>
        <v>10.794808721569526</v>
      </c>
      <c r="Y654" s="20">
        <f t="shared" si="212"/>
        <v>3.2855454222350247</v>
      </c>
      <c r="Z654" s="20"/>
      <c r="AA654" s="20">
        <f t="shared" si="213"/>
        <v>2.1472993336859233E-5</v>
      </c>
    </row>
    <row r="655" spans="2:27" x14ac:dyDescent="0.3">
      <c r="B655" s="28">
        <v>61.7</v>
      </c>
      <c r="C655" s="28">
        <v>34.785710000000002</v>
      </c>
      <c r="D655" s="20">
        <f t="shared" si="195"/>
        <v>50.510664229138705</v>
      </c>
      <c r="E655" s="20">
        <f t="shared" si="196"/>
        <v>-4.0098601259598841</v>
      </c>
      <c r="F655" s="20">
        <f t="shared" si="197"/>
        <v>4.7694420893304477</v>
      </c>
      <c r="G655" s="20">
        <f t="shared" si="198"/>
        <v>4.7694420893304477</v>
      </c>
      <c r="H655" s="20">
        <f t="shared" si="199"/>
        <v>4.7694420893304477</v>
      </c>
      <c r="I655" s="17"/>
      <c r="J655" s="20">
        <f t="shared" si="200"/>
        <v>46.667613799695701</v>
      </c>
      <c r="K655" s="20">
        <f t="shared" si="201"/>
        <v>1.7815688832640075E-2</v>
      </c>
      <c r="L655" s="20">
        <f t="shared" si="202"/>
        <v>3.5129779832796926</v>
      </c>
      <c r="M655" s="20">
        <f t="shared" si="203"/>
        <v>3.5129779832796926</v>
      </c>
      <c r="N655" s="20">
        <f t="shared" si="204"/>
        <v>3.5129779832796926</v>
      </c>
      <c r="O655" s="17"/>
      <c r="P655" s="20">
        <f t="shared" si="205"/>
        <v>8.5337953820288117</v>
      </c>
      <c r="Q655" s="20">
        <f t="shared" si="206"/>
        <v>17.173899792929095</v>
      </c>
      <c r="R655" s="20">
        <f t="shared" si="207"/>
        <v>0</v>
      </c>
      <c r="S655" s="20">
        <f t="shared" si="208"/>
        <v>0</v>
      </c>
      <c r="T655" s="20">
        <f t="shared" si="209"/>
        <v>0</v>
      </c>
      <c r="U655" s="17"/>
      <c r="V655" s="20">
        <f t="shared" si="210"/>
        <v>25.707695174957905</v>
      </c>
      <c r="W655" s="17"/>
      <c r="X655" s="20">
        <f t="shared" si="211"/>
        <v>82.410353163684078</v>
      </c>
      <c r="Y655" s="20">
        <f t="shared" si="212"/>
        <v>9.0780148250420964</v>
      </c>
      <c r="Z655" s="20"/>
      <c r="AA655" s="20">
        <f t="shared" si="213"/>
        <v>5.93302258221205E-5</v>
      </c>
    </row>
    <row r="656" spans="2:27" x14ac:dyDescent="0.3">
      <c r="B656" s="28">
        <v>61.8</v>
      </c>
      <c r="C656" s="28">
        <v>31.285710000000002</v>
      </c>
      <c r="D656" s="20">
        <f t="shared" si="195"/>
        <v>50.585842409437362</v>
      </c>
      <c r="E656" s="20">
        <f t="shared" si="196"/>
        <v>-4.004813503612926</v>
      </c>
      <c r="F656" s="20">
        <f t="shared" si="197"/>
        <v>4.7805532004415578</v>
      </c>
      <c r="G656" s="20">
        <f t="shared" si="198"/>
        <v>4.7805532004415578</v>
      </c>
      <c r="H656" s="20">
        <f t="shared" si="199"/>
        <v>4.7805532004415578</v>
      </c>
      <c r="I656" s="17"/>
      <c r="J656" s="20">
        <f t="shared" si="200"/>
        <v>46.741216063055859</v>
      </c>
      <c r="K656" s="20">
        <f t="shared" si="201"/>
        <v>1.7904239631745641E-2</v>
      </c>
      <c r="L656" s="20">
        <f t="shared" si="202"/>
        <v>3.5216294157391115</v>
      </c>
      <c r="M656" s="20">
        <f t="shared" si="203"/>
        <v>3.5216294157391115</v>
      </c>
      <c r="N656" s="20">
        <f t="shared" si="204"/>
        <v>3.5216294157391115</v>
      </c>
      <c r="O656" s="17"/>
      <c r="P656" s="20">
        <f t="shared" si="205"/>
        <v>8.5072216515723245</v>
      </c>
      <c r="Q656" s="20">
        <f t="shared" si="206"/>
        <v>17.087474484751585</v>
      </c>
      <c r="R656" s="20">
        <f t="shared" si="207"/>
        <v>0</v>
      </c>
      <c r="S656" s="20">
        <f t="shared" si="208"/>
        <v>0</v>
      </c>
      <c r="T656" s="20">
        <f t="shared" si="209"/>
        <v>0</v>
      </c>
      <c r="U656" s="17"/>
      <c r="V656" s="20">
        <f t="shared" si="210"/>
        <v>25.594696136323911</v>
      </c>
      <c r="W656" s="17"/>
      <c r="X656" s="20">
        <f t="shared" si="211"/>
        <v>32.38763879655346</v>
      </c>
      <c r="Y656" s="20">
        <f t="shared" si="212"/>
        <v>5.6910138636760905</v>
      </c>
      <c r="Z656" s="20"/>
      <c r="AA656" s="20">
        <f t="shared" si="213"/>
        <v>3.719416019869247E-5</v>
      </c>
    </row>
    <row r="657" spans="2:27" x14ac:dyDescent="0.3">
      <c r="B657" s="28">
        <v>61.9</v>
      </c>
      <c r="C657" s="28">
        <v>16.785710000000002</v>
      </c>
      <c r="D657" s="20">
        <f t="shared" si="195"/>
        <v>50.661020589736019</v>
      </c>
      <c r="E657" s="20">
        <f t="shared" si="196"/>
        <v>-3.9997668812659661</v>
      </c>
      <c r="F657" s="20">
        <f t="shared" si="197"/>
        <v>4.7916643115526698</v>
      </c>
      <c r="G657" s="20">
        <f t="shared" si="198"/>
        <v>4.7916643115526698</v>
      </c>
      <c r="H657" s="20">
        <f t="shared" si="199"/>
        <v>4.7916643115526698</v>
      </c>
      <c r="I657" s="17"/>
      <c r="J657" s="20">
        <f t="shared" si="200"/>
        <v>46.814820754164529</v>
      </c>
      <c r="K657" s="20">
        <f t="shared" si="201"/>
        <v>1.7993222782841319E-2</v>
      </c>
      <c r="L657" s="20">
        <f t="shared" si="202"/>
        <v>3.5302855511905582</v>
      </c>
      <c r="M657" s="20">
        <f t="shared" si="203"/>
        <v>3.5302855511905582</v>
      </c>
      <c r="N657" s="20">
        <f t="shared" si="204"/>
        <v>3.5302855511905582</v>
      </c>
      <c r="O657" s="17"/>
      <c r="P657" s="20">
        <f t="shared" si="205"/>
        <v>8.4807709858581788</v>
      </c>
      <c r="Q657" s="20">
        <f t="shared" si="206"/>
        <v>17.001484358735414</v>
      </c>
      <c r="R657" s="20">
        <f t="shared" si="207"/>
        <v>0</v>
      </c>
      <c r="S657" s="20">
        <f t="shared" si="208"/>
        <v>0</v>
      </c>
      <c r="T657" s="20">
        <f t="shared" si="209"/>
        <v>0</v>
      </c>
      <c r="U657" s="17"/>
      <c r="V657" s="20">
        <f t="shared" si="210"/>
        <v>25.482255344593593</v>
      </c>
      <c r="W657" s="17"/>
      <c r="X657" s="20">
        <f t="shared" si="211"/>
        <v>75.629900930572461</v>
      </c>
      <c r="Y657" s="20">
        <f t="shared" si="212"/>
        <v>8.6965453445935914</v>
      </c>
      <c r="Z657" s="20"/>
      <c r="AA657" s="20">
        <f t="shared" si="213"/>
        <v>5.6837095897192027E-5</v>
      </c>
    </row>
    <row r="658" spans="2:27" x14ac:dyDescent="0.3">
      <c r="B658" s="28">
        <v>62</v>
      </c>
      <c r="C658" s="28">
        <v>21.035710000000002</v>
      </c>
      <c r="D658" s="20">
        <f t="shared" si="195"/>
        <v>50.736198770034683</v>
      </c>
      <c r="E658" s="20">
        <f t="shared" si="196"/>
        <v>-3.9947202589190072</v>
      </c>
      <c r="F658" s="20">
        <f t="shared" si="197"/>
        <v>4.8027754226637809</v>
      </c>
      <c r="G658" s="20">
        <f t="shared" si="198"/>
        <v>4.8027754226637809</v>
      </c>
      <c r="H658" s="20">
        <f t="shared" si="199"/>
        <v>4.8027754226637809</v>
      </c>
      <c r="I658" s="17"/>
      <c r="J658" s="20">
        <f t="shared" si="200"/>
        <v>46.888427865632764</v>
      </c>
      <c r="K658" s="20">
        <f t="shared" si="201"/>
        <v>1.8082640320763742E-2</v>
      </c>
      <c r="L658" s="20">
        <f t="shared" si="202"/>
        <v>3.5389463742208864</v>
      </c>
      <c r="M658" s="20">
        <f t="shared" si="203"/>
        <v>3.5389463742208864</v>
      </c>
      <c r="N658" s="20">
        <f t="shared" si="204"/>
        <v>3.5389463742208864</v>
      </c>
      <c r="O658" s="17"/>
      <c r="P658" s="20">
        <f t="shared" si="205"/>
        <v>8.4544426301593862</v>
      </c>
      <c r="Q658" s="20">
        <f t="shared" si="206"/>
        <v>16.915927224756075</v>
      </c>
      <c r="R658" s="20">
        <f t="shared" si="207"/>
        <v>0</v>
      </c>
      <c r="S658" s="20">
        <f t="shared" si="208"/>
        <v>0</v>
      </c>
      <c r="T658" s="20">
        <f t="shared" si="209"/>
        <v>0</v>
      </c>
      <c r="U658" s="17"/>
      <c r="V658" s="20">
        <f t="shared" si="210"/>
        <v>25.370369854915459</v>
      </c>
      <c r="W658" s="17"/>
      <c r="X658" s="20">
        <f t="shared" si="211"/>
        <v>18.789276057815698</v>
      </c>
      <c r="Y658" s="20">
        <f t="shared" si="212"/>
        <v>4.3346598549154578</v>
      </c>
      <c r="Z658" s="20"/>
      <c r="AA658" s="20">
        <f t="shared" si="213"/>
        <v>2.8329580091099006E-5</v>
      </c>
    </row>
    <row r="659" spans="2:27" x14ac:dyDescent="0.3">
      <c r="B659" s="28">
        <v>62.1</v>
      </c>
      <c r="C659" s="28">
        <v>17.535710000000002</v>
      </c>
      <c r="D659" s="20">
        <f t="shared" si="195"/>
        <v>50.81137695033334</v>
      </c>
      <c r="E659" s="20">
        <f t="shared" si="196"/>
        <v>-3.9896736365720482</v>
      </c>
      <c r="F659" s="20">
        <f t="shared" si="197"/>
        <v>4.813886533774892</v>
      </c>
      <c r="G659" s="20">
        <f t="shared" si="198"/>
        <v>4.813886533774892</v>
      </c>
      <c r="H659" s="20">
        <f t="shared" si="199"/>
        <v>4.813886533774892</v>
      </c>
      <c r="I659" s="17"/>
      <c r="J659" s="20">
        <f t="shared" si="200"/>
        <v>46.962037390105031</v>
      </c>
      <c r="K659" s="20">
        <f t="shared" si="201"/>
        <v>1.817249428918823E-2</v>
      </c>
      <c r="L659" s="20">
        <f t="shared" si="202"/>
        <v>3.5476118694822638</v>
      </c>
      <c r="M659" s="20">
        <f t="shared" si="203"/>
        <v>3.5476118694822638</v>
      </c>
      <c r="N659" s="20">
        <f t="shared" si="204"/>
        <v>3.5476118694822638</v>
      </c>
      <c r="O659" s="17"/>
      <c r="P659" s="20">
        <f t="shared" si="205"/>
        <v>8.4282358355013134</v>
      </c>
      <c r="Q659" s="20">
        <f t="shared" si="206"/>
        <v>16.830800903715801</v>
      </c>
      <c r="R659" s="20">
        <f t="shared" si="207"/>
        <v>0</v>
      </c>
      <c r="S659" s="20">
        <f t="shared" si="208"/>
        <v>0</v>
      </c>
      <c r="T659" s="20">
        <f t="shared" si="209"/>
        <v>0</v>
      </c>
      <c r="U659" s="17"/>
      <c r="V659" s="20">
        <f t="shared" si="210"/>
        <v>25.259036739217116</v>
      </c>
      <c r="W659" s="17"/>
      <c r="X659" s="20">
        <f t="shared" si="211"/>
        <v>59.649775920706062</v>
      </c>
      <c r="Y659" s="20">
        <f t="shared" si="212"/>
        <v>7.7233267392171143</v>
      </c>
      <c r="Z659" s="20"/>
      <c r="AA659" s="20">
        <f t="shared" si="213"/>
        <v>5.0476533511680854E-5</v>
      </c>
    </row>
    <row r="660" spans="2:27" x14ac:dyDescent="0.3">
      <c r="B660" s="28">
        <v>62.2</v>
      </c>
      <c r="C660" s="28">
        <v>33.285710000000002</v>
      </c>
      <c r="D660" s="20">
        <f t="shared" si="195"/>
        <v>50.886555130632004</v>
      </c>
      <c r="E660" s="20">
        <f t="shared" si="196"/>
        <v>-3.9846270142250888</v>
      </c>
      <c r="F660" s="20">
        <f t="shared" si="197"/>
        <v>4.824997644886003</v>
      </c>
      <c r="G660" s="20">
        <f t="shared" si="198"/>
        <v>4.824997644886003</v>
      </c>
      <c r="H660" s="20">
        <f t="shared" si="199"/>
        <v>4.824997644886003</v>
      </c>
      <c r="I660" s="17"/>
      <c r="J660" s="20">
        <f t="shared" si="200"/>
        <v>47.035649320259068</v>
      </c>
      <c r="K660" s="20">
        <f t="shared" si="201"/>
        <v>1.826278674065995E-2</v>
      </c>
      <c r="L660" s="20">
        <f t="shared" si="202"/>
        <v>3.5562820216918625</v>
      </c>
      <c r="M660" s="20">
        <f t="shared" si="203"/>
        <v>3.5562820216918625</v>
      </c>
      <c r="N660" s="20">
        <f t="shared" si="204"/>
        <v>3.5562820216918625</v>
      </c>
      <c r="O660" s="17"/>
      <c r="P660" s="20">
        <f t="shared" si="205"/>
        <v>8.4021498586093113</v>
      </c>
      <c r="Q660" s="20">
        <f t="shared" si="206"/>
        <v>16.746103227488145</v>
      </c>
      <c r="R660" s="20">
        <f t="shared" si="207"/>
        <v>0</v>
      </c>
      <c r="S660" s="20">
        <f t="shared" si="208"/>
        <v>0</v>
      </c>
      <c r="T660" s="20">
        <f t="shared" si="209"/>
        <v>0</v>
      </c>
      <c r="U660" s="17"/>
      <c r="V660" s="20">
        <f t="shared" si="210"/>
        <v>25.148253086097455</v>
      </c>
      <c r="W660" s="17"/>
      <c r="X660" s="20">
        <f t="shared" si="211"/>
        <v>66.218205025620364</v>
      </c>
      <c r="Y660" s="20">
        <f t="shared" si="212"/>
        <v>8.1374569139025468</v>
      </c>
      <c r="Z660" s="20"/>
      <c r="AA660" s="20">
        <f t="shared" si="213"/>
        <v>5.3183120497644159E-5</v>
      </c>
    </row>
    <row r="661" spans="2:27" x14ac:dyDescent="0.3">
      <c r="B661" s="28">
        <v>62.3</v>
      </c>
      <c r="C661" s="28">
        <v>23.535710000000002</v>
      </c>
      <c r="D661" s="20">
        <f t="shared" si="195"/>
        <v>50.961733310930661</v>
      </c>
      <c r="E661" s="20">
        <f t="shared" si="196"/>
        <v>-3.9795803918781298</v>
      </c>
      <c r="F661" s="20">
        <f t="shared" si="197"/>
        <v>4.8361087559971141</v>
      </c>
      <c r="G661" s="20">
        <f t="shared" si="198"/>
        <v>4.8361087559971141</v>
      </c>
      <c r="H661" s="20">
        <f t="shared" si="199"/>
        <v>4.8361087559971141</v>
      </c>
      <c r="I661" s="17"/>
      <c r="J661" s="20">
        <f t="shared" si="200"/>
        <v>47.109263648805616</v>
      </c>
      <c r="K661" s="20">
        <f t="shared" si="201"/>
        <v>1.8353519736625232E-2</v>
      </c>
      <c r="L661" s="20">
        <f t="shared" si="202"/>
        <v>3.5649568156315565</v>
      </c>
      <c r="M661" s="20">
        <f t="shared" si="203"/>
        <v>3.5649568156315565</v>
      </c>
      <c r="N661" s="20">
        <f t="shared" si="204"/>
        <v>3.5649568156315565</v>
      </c>
      <c r="O661" s="17"/>
      <c r="P661" s="20">
        <f t="shared" si="205"/>
        <v>8.3761839618569383</v>
      </c>
      <c r="Q661" s="20">
        <f t="shared" si="206"/>
        <v>16.661832038862769</v>
      </c>
      <c r="R661" s="20">
        <f t="shared" si="207"/>
        <v>0</v>
      </c>
      <c r="S661" s="20">
        <f t="shared" si="208"/>
        <v>0</v>
      </c>
      <c r="T661" s="20">
        <f t="shared" si="209"/>
        <v>0</v>
      </c>
      <c r="U661" s="17"/>
      <c r="V661" s="20">
        <f t="shared" si="210"/>
        <v>25.038016000719708</v>
      </c>
      <c r="W661" s="17"/>
      <c r="X661" s="20">
        <f t="shared" si="211"/>
        <v>2.2569233197984371</v>
      </c>
      <c r="Y661" s="20">
        <f t="shared" si="212"/>
        <v>1.502306000719706</v>
      </c>
      <c r="Z661" s="20"/>
      <c r="AA661" s="20">
        <f t="shared" si="213"/>
        <v>9.8184631766354885E-6</v>
      </c>
    </row>
    <row r="662" spans="2:27" x14ac:dyDescent="0.3">
      <c r="B662" s="28">
        <v>62.4</v>
      </c>
      <c r="C662" s="28">
        <v>23.035710000000002</v>
      </c>
      <c r="D662" s="20">
        <f t="shared" si="195"/>
        <v>51.036911491229318</v>
      </c>
      <c r="E662" s="20">
        <f t="shared" si="196"/>
        <v>-3.9745337695311704</v>
      </c>
      <c r="F662" s="20">
        <f t="shared" si="197"/>
        <v>4.8472198671082252</v>
      </c>
      <c r="G662" s="20">
        <f t="shared" si="198"/>
        <v>4.8472198671082252</v>
      </c>
      <c r="H662" s="20">
        <f t="shared" si="199"/>
        <v>4.8472198671082252</v>
      </c>
      <c r="I662" s="17"/>
      <c r="J662" s="20">
        <f t="shared" si="200"/>
        <v>47.182880368488284</v>
      </c>
      <c r="K662" s="20">
        <f t="shared" si="201"/>
        <v>1.8444695347462951E-2</v>
      </c>
      <c r="L662" s="20">
        <f t="shared" si="202"/>
        <v>3.5736362361476215</v>
      </c>
      <c r="M662" s="20">
        <f t="shared" si="203"/>
        <v>3.5736362361476215</v>
      </c>
      <c r="N662" s="20">
        <f t="shared" si="204"/>
        <v>3.5736362361476215</v>
      </c>
      <c r="O662" s="17"/>
      <c r="P662" s="20">
        <f t="shared" si="205"/>
        <v>8.3503374132147083</v>
      </c>
      <c r="Q662" s="20">
        <f t="shared" si="206"/>
        <v>16.577985191490427</v>
      </c>
      <c r="R662" s="20">
        <f t="shared" si="207"/>
        <v>0</v>
      </c>
      <c r="S662" s="20">
        <f t="shared" si="208"/>
        <v>0</v>
      </c>
      <c r="T662" s="20">
        <f t="shared" si="209"/>
        <v>0</v>
      </c>
      <c r="U662" s="17"/>
      <c r="V662" s="20">
        <f t="shared" si="210"/>
        <v>24.928322604705137</v>
      </c>
      <c r="W662" s="17"/>
      <c r="X662" s="20">
        <f t="shared" si="211"/>
        <v>3.5819824714887574</v>
      </c>
      <c r="Y662" s="20">
        <f t="shared" si="212"/>
        <v>1.8926126047051355</v>
      </c>
      <c r="Z662" s="20"/>
      <c r="AA662" s="20">
        <f t="shared" si="213"/>
        <v>1.2369348959553683E-5</v>
      </c>
    </row>
    <row r="663" spans="2:27" x14ac:dyDescent="0.3">
      <c r="B663" s="28">
        <v>62.5</v>
      </c>
      <c r="C663" s="28">
        <v>15.53571</v>
      </c>
      <c r="D663" s="20">
        <f t="shared" si="195"/>
        <v>51.112089671527983</v>
      </c>
      <c r="E663" s="20">
        <f t="shared" si="196"/>
        <v>-3.9694871471842115</v>
      </c>
      <c r="F663" s="20">
        <f t="shared" si="197"/>
        <v>4.8583309782193362</v>
      </c>
      <c r="G663" s="20">
        <f t="shared" si="198"/>
        <v>4.8583309782193362</v>
      </c>
      <c r="H663" s="20">
        <f t="shared" si="199"/>
        <v>4.8583309782193362</v>
      </c>
      <c r="I663" s="17"/>
      <c r="J663" s="20">
        <f t="shared" si="200"/>
        <v>47.25649947208332</v>
      </c>
      <c r="K663" s="20">
        <f t="shared" si="201"/>
        <v>1.8536315652515862E-2</v>
      </c>
      <c r="L663" s="20">
        <f t="shared" si="202"/>
        <v>3.5823202681504336</v>
      </c>
      <c r="M663" s="20">
        <f t="shared" si="203"/>
        <v>3.5823202681504336</v>
      </c>
      <c r="N663" s="20">
        <f t="shared" si="204"/>
        <v>3.5823202681504336</v>
      </c>
      <c r="O663" s="17"/>
      <c r="P663" s="20">
        <f t="shared" si="205"/>
        <v>8.3246094861993889</v>
      </c>
      <c r="Q663" s="20">
        <f t="shared" si="206"/>
        <v>16.494560549828361</v>
      </c>
      <c r="R663" s="20">
        <f t="shared" si="207"/>
        <v>0</v>
      </c>
      <c r="S663" s="20">
        <f t="shared" si="208"/>
        <v>0</v>
      </c>
      <c r="T663" s="20">
        <f t="shared" si="209"/>
        <v>0</v>
      </c>
      <c r="U663" s="17"/>
      <c r="V663" s="20">
        <f t="shared" si="210"/>
        <v>24.819170036027749</v>
      </c>
      <c r="W663" s="17"/>
      <c r="X663" s="20">
        <f t="shared" si="211"/>
        <v>86.182630240524347</v>
      </c>
      <c r="Y663" s="20">
        <f t="shared" si="212"/>
        <v>9.2834600360277495</v>
      </c>
      <c r="Z663" s="20"/>
      <c r="AA663" s="20">
        <f t="shared" si="213"/>
        <v>6.0672932459724551E-5</v>
      </c>
    </row>
    <row r="664" spans="2:27" x14ac:dyDescent="0.3">
      <c r="B664" s="28">
        <v>62.6</v>
      </c>
      <c r="C664" s="28">
        <v>11.53571</v>
      </c>
      <c r="D664" s="20">
        <f t="shared" si="195"/>
        <v>51.18726785182664</v>
      </c>
      <c r="E664" s="20">
        <f t="shared" si="196"/>
        <v>-3.9644405248372525</v>
      </c>
      <c r="F664" s="20">
        <f t="shared" si="197"/>
        <v>4.8694420893304473</v>
      </c>
      <c r="G664" s="20">
        <f t="shared" si="198"/>
        <v>4.8694420893304473</v>
      </c>
      <c r="H664" s="20">
        <f t="shared" si="199"/>
        <v>4.8694420893304473</v>
      </c>
      <c r="I664" s="17"/>
      <c r="J664" s="20">
        <f t="shared" si="200"/>
        <v>47.330120952399405</v>
      </c>
      <c r="K664" s="20">
        <f t="shared" si="201"/>
        <v>1.8628382740122049E-2</v>
      </c>
      <c r="L664" s="20">
        <f t="shared" si="202"/>
        <v>3.5910088966141687</v>
      </c>
      <c r="M664" s="20">
        <f t="shared" si="203"/>
        <v>3.5910088966141687</v>
      </c>
      <c r="N664" s="20">
        <f t="shared" si="204"/>
        <v>3.5910088966141687</v>
      </c>
      <c r="O664" s="17"/>
      <c r="P664" s="20">
        <f t="shared" si="205"/>
        <v>8.2989994598238361</v>
      </c>
      <c r="Q664" s="20">
        <f t="shared" si="206"/>
        <v>16.411555989085873</v>
      </c>
      <c r="R664" s="20">
        <f t="shared" si="207"/>
        <v>0</v>
      </c>
      <c r="S664" s="20">
        <f t="shared" si="208"/>
        <v>0</v>
      </c>
      <c r="T664" s="20">
        <f t="shared" si="209"/>
        <v>0</v>
      </c>
      <c r="U664" s="17"/>
      <c r="V664" s="20">
        <f t="shared" si="210"/>
        <v>24.710555448909709</v>
      </c>
      <c r="W664" s="17"/>
      <c r="X664" s="20">
        <f t="shared" si="211"/>
        <v>173.57655260265688</v>
      </c>
      <c r="Y664" s="20">
        <f t="shared" si="212"/>
        <v>13.174845448909709</v>
      </c>
      <c r="Z664" s="20"/>
      <c r="AA664" s="20">
        <f t="shared" si="213"/>
        <v>8.610545044485812E-5</v>
      </c>
    </row>
    <row r="665" spans="2:27" x14ac:dyDescent="0.3">
      <c r="B665" s="28">
        <v>62.7</v>
      </c>
      <c r="C665" s="28">
        <v>30.785710000000002</v>
      </c>
      <c r="D665" s="20">
        <f t="shared" si="195"/>
        <v>51.262446032125304</v>
      </c>
      <c r="E665" s="20">
        <f t="shared" si="196"/>
        <v>-3.9593939024902927</v>
      </c>
      <c r="F665" s="20">
        <f t="shared" si="197"/>
        <v>4.8805532004415584</v>
      </c>
      <c r="G665" s="20">
        <f t="shared" si="198"/>
        <v>4.8805532004415584</v>
      </c>
      <c r="H665" s="20">
        <f t="shared" si="199"/>
        <v>4.8805532004415584</v>
      </c>
      <c r="I665" s="17"/>
      <c r="J665" s="20">
        <f t="shared" si="200"/>
        <v>47.403744802277487</v>
      </c>
      <c r="K665" s="20">
        <f t="shared" si="201"/>
        <v>1.8720898707646393E-2</v>
      </c>
      <c r="L665" s="20">
        <f t="shared" si="202"/>
        <v>3.599702106576506</v>
      </c>
      <c r="M665" s="20">
        <f t="shared" si="203"/>
        <v>3.599702106576506</v>
      </c>
      <c r="N665" s="20">
        <f t="shared" si="204"/>
        <v>3.599702106576506</v>
      </c>
      <c r="O665" s="17"/>
      <c r="P665" s="20">
        <f t="shared" si="205"/>
        <v>8.2735066185473425</v>
      </c>
      <c r="Q665" s="20">
        <f t="shared" si="206"/>
        <v>16.328969395170176</v>
      </c>
      <c r="R665" s="20">
        <f t="shared" si="207"/>
        <v>0</v>
      </c>
      <c r="S665" s="20">
        <f t="shared" si="208"/>
        <v>0</v>
      </c>
      <c r="T665" s="20">
        <f t="shared" si="209"/>
        <v>0</v>
      </c>
      <c r="U665" s="17"/>
      <c r="V665" s="20">
        <f t="shared" si="210"/>
        <v>24.602476013717521</v>
      </c>
      <c r="W665" s="17"/>
      <c r="X665" s="20">
        <f t="shared" si="211"/>
        <v>38.232382529118738</v>
      </c>
      <c r="Y665" s="20">
        <f t="shared" si="212"/>
        <v>6.183233986282481</v>
      </c>
      <c r="Z665" s="20"/>
      <c r="AA665" s="20">
        <f t="shared" si="213"/>
        <v>4.0411111436519249E-5</v>
      </c>
    </row>
    <row r="666" spans="2:27" x14ac:dyDescent="0.3">
      <c r="B666" s="28">
        <v>62.8</v>
      </c>
      <c r="C666" s="28">
        <v>20.535710000000002</v>
      </c>
      <c r="D666" s="20">
        <f t="shared" si="195"/>
        <v>51.337624212423954</v>
      </c>
      <c r="E666" s="20">
        <f t="shared" si="196"/>
        <v>-3.9543472801433341</v>
      </c>
      <c r="F666" s="20">
        <f t="shared" si="197"/>
        <v>4.8916643115526695</v>
      </c>
      <c r="G666" s="20">
        <f t="shared" si="198"/>
        <v>4.8916643115526695</v>
      </c>
      <c r="H666" s="20">
        <f t="shared" si="199"/>
        <v>4.8916643115526695</v>
      </c>
      <c r="I666" s="17"/>
      <c r="J666" s="20">
        <f t="shared" si="200"/>
        <v>47.477371014590574</v>
      </c>
      <c r="K666" s="20">
        <f t="shared" si="201"/>
        <v>1.881386566151199E-2</v>
      </c>
      <c r="L666" s="20">
        <f t="shared" si="202"/>
        <v>3.6083998831383308</v>
      </c>
      <c r="M666" s="20">
        <f t="shared" si="203"/>
        <v>3.6083998831383308</v>
      </c>
      <c r="N666" s="20">
        <f t="shared" si="204"/>
        <v>3.6083998831383308</v>
      </c>
      <c r="O666" s="17"/>
      <c r="P666" s="20">
        <f t="shared" si="205"/>
        <v>8.2481302522265185</v>
      </c>
      <c r="Q666" s="20">
        <f t="shared" si="206"/>
        <v>16.246798664632635</v>
      </c>
      <c r="R666" s="20">
        <f t="shared" si="207"/>
        <v>0</v>
      </c>
      <c r="S666" s="20">
        <f t="shared" si="208"/>
        <v>0</v>
      </c>
      <c r="T666" s="20">
        <f t="shared" si="209"/>
        <v>0</v>
      </c>
      <c r="U666" s="17"/>
      <c r="V666" s="20">
        <f t="shared" si="210"/>
        <v>24.494928916859152</v>
      </c>
      <c r="W666" s="17"/>
      <c r="X666" s="20">
        <f t="shared" si="211"/>
        <v>15.675414431615343</v>
      </c>
      <c r="Y666" s="20">
        <f t="shared" si="212"/>
        <v>3.9592189168591503</v>
      </c>
      <c r="Z666" s="20"/>
      <c r="AA666" s="20">
        <f t="shared" si="213"/>
        <v>2.5875850276040439E-5</v>
      </c>
    </row>
    <row r="667" spans="2:27" x14ac:dyDescent="0.3">
      <c r="B667" s="28">
        <v>62.9</v>
      </c>
      <c r="C667" s="28">
        <v>8.5357099999999999</v>
      </c>
      <c r="D667" s="20">
        <f t="shared" si="195"/>
        <v>51.412802392722618</v>
      </c>
      <c r="E667" s="20">
        <f t="shared" si="196"/>
        <v>-3.9493006577963747</v>
      </c>
      <c r="F667" s="20">
        <f t="shared" si="197"/>
        <v>4.9027754226637805</v>
      </c>
      <c r="G667" s="20">
        <f t="shared" si="198"/>
        <v>4.9027754226637805</v>
      </c>
      <c r="H667" s="20">
        <f t="shared" si="199"/>
        <v>4.9027754226637805</v>
      </c>
      <c r="I667" s="17"/>
      <c r="J667" s="20">
        <f t="shared" si="200"/>
        <v>47.550999582243577</v>
      </c>
      <c r="K667" s="20">
        <f t="shared" si="201"/>
        <v>1.8907285717231798E-2</v>
      </c>
      <c r="L667" s="20">
        <f t="shared" si="202"/>
        <v>3.6171022114634388</v>
      </c>
      <c r="M667" s="20">
        <f t="shared" si="203"/>
        <v>3.6171022114634388</v>
      </c>
      <c r="N667" s="20">
        <f t="shared" si="204"/>
        <v>3.6171022114634388</v>
      </c>
      <c r="O667" s="17"/>
      <c r="P667" s="20">
        <f t="shared" si="205"/>
        <v>8.2228696560666723</v>
      </c>
      <c r="Q667" s="20">
        <f t="shared" si="206"/>
        <v>16.165041704615074</v>
      </c>
      <c r="R667" s="20">
        <f t="shared" si="207"/>
        <v>0</v>
      </c>
      <c r="S667" s="20">
        <f t="shared" si="208"/>
        <v>0</v>
      </c>
      <c r="T667" s="20">
        <f t="shared" si="209"/>
        <v>0</v>
      </c>
      <c r="U667" s="17"/>
      <c r="V667" s="20">
        <f t="shared" si="210"/>
        <v>24.387911360681748</v>
      </c>
      <c r="W667" s="17"/>
      <c r="X667" s="20">
        <f t="shared" si="211"/>
        <v>251.29228797960027</v>
      </c>
      <c r="Y667" s="20">
        <f t="shared" si="212"/>
        <v>15.852201360681748</v>
      </c>
      <c r="Z667" s="20"/>
      <c r="AA667" s="20">
        <f t="shared" si="213"/>
        <v>1.0360356362412227E-4</v>
      </c>
    </row>
    <row r="668" spans="2:27" x14ac:dyDescent="0.3">
      <c r="B668" s="28">
        <v>63</v>
      </c>
      <c r="C668" s="28">
        <v>28.535710000000002</v>
      </c>
      <c r="D668" s="20">
        <f t="shared" si="195"/>
        <v>51.487980573021275</v>
      </c>
      <c r="E668" s="20">
        <f t="shared" si="196"/>
        <v>-3.9442540354494158</v>
      </c>
      <c r="F668" s="20">
        <f t="shared" si="197"/>
        <v>4.9138865337748925</v>
      </c>
      <c r="G668" s="20">
        <f t="shared" si="198"/>
        <v>4.9138865337748925</v>
      </c>
      <c r="H668" s="20">
        <f t="shared" si="199"/>
        <v>4.9138865337748925</v>
      </c>
      <c r="I668" s="17"/>
      <c r="J668" s="20">
        <f t="shared" si="200"/>
        <v>47.624630498173055</v>
      </c>
      <c r="K668" s="20">
        <f t="shared" si="201"/>
        <v>1.90011609994401E-2</v>
      </c>
      <c r="L668" s="20">
        <f t="shared" si="202"/>
        <v>3.6258090767782414</v>
      </c>
      <c r="M668" s="20">
        <f t="shared" si="203"/>
        <v>3.6258090767782414</v>
      </c>
      <c r="N668" s="20">
        <f t="shared" si="204"/>
        <v>3.6258090767782414</v>
      </c>
      <c r="O668" s="17"/>
      <c r="P668" s="20">
        <f t="shared" si="205"/>
        <v>8.197724130573727</v>
      </c>
      <c r="Q668" s="20">
        <f t="shared" si="206"/>
        <v>16.08369643279654</v>
      </c>
      <c r="R668" s="20">
        <f t="shared" si="207"/>
        <v>0</v>
      </c>
      <c r="S668" s="20">
        <f t="shared" si="208"/>
        <v>0</v>
      </c>
      <c r="T668" s="20">
        <f t="shared" si="209"/>
        <v>0</v>
      </c>
      <c r="U668" s="17"/>
      <c r="V668" s="20">
        <f t="shared" si="210"/>
        <v>24.281420563370268</v>
      </c>
      <c r="W668" s="17"/>
      <c r="X668" s="20">
        <f t="shared" si="211"/>
        <v>18.098978610619334</v>
      </c>
      <c r="Y668" s="20">
        <f t="shared" si="212"/>
        <v>4.2542894366297332</v>
      </c>
      <c r="Z668" s="20"/>
      <c r="AA668" s="20">
        <f t="shared" si="213"/>
        <v>2.7804311609144504E-5</v>
      </c>
    </row>
    <row r="669" spans="2:27" x14ac:dyDescent="0.3">
      <c r="B669" s="28">
        <v>63.1</v>
      </c>
      <c r="C669" s="28">
        <v>17.285710000000002</v>
      </c>
      <c r="D669" s="20">
        <f t="shared" si="195"/>
        <v>51.563158753319939</v>
      </c>
      <c r="E669" s="20">
        <f t="shared" si="196"/>
        <v>-3.9392074131024564</v>
      </c>
      <c r="F669" s="20">
        <f t="shared" si="197"/>
        <v>4.9249976448860027</v>
      </c>
      <c r="G669" s="20">
        <f t="shared" si="198"/>
        <v>4.9249976448860027</v>
      </c>
      <c r="H669" s="20">
        <f t="shared" si="199"/>
        <v>4.9249976448860027</v>
      </c>
      <c r="I669" s="17"/>
      <c r="J669" s="20">
        <f t="shared" si="200"/>
        <v>47.698263755347085</v>
      </c>
      <c r="K669" s="20">
        <f t="shared" si="201"/>
        <v>1.9095493641924168E-2</v>
      </c>
      <c r="L669" s="20">
        <f t="shared" si="202"/>
        <v>3.6345204643714708</v>
      </c>
      <c r="M669" s="20">
        <f t="shared" si="203"/>
        <v>3.6345204643714708</v>
      </c>
      <c r="N669" s="20">
        <f t="shared" si="204"/>
        <v>3.6345204643714708</v>
      </c>
      <c r="O669" s="17"/>
      <c r="P669" s="20">
        <f t="shared" si="205"/>
        <v>8.1726929815066107</v>
      </c>
      <c r="Q669" s="20">
        <f t="shared" si="206"/>
        <v>16.002760777340235</v>
      </c>
      <c r="R669" s="20">
        <f t="shared" si="207"/>
        <v>0</v>
      </c>
      <c r="S669" s="20">
        <f t="shared" si="208"/>
        <v>0</v>
      </c>
      <c r="T669" s="20">
        <f t="shared" si="209"/>
        <v>0</v>
      </c>
      <c r="U669" s="17"/>
      <c r="V669" s="20">
        <f t="shared" si="210"/>
        <v>24.175453758846846</v>
      </c>
      <c r="W669" s="17"/>
      <c r="X669" s="20">
        <f t="shared" si="211"/>
        <v>47.468569062569038</v>
      </c>
      <c r="Y669" s="20">
        <f t="shared" si="212"/>
        <v>6.8897437588468442</v>
      </c>
      <c r="Z669" s="20"/>
      <c r="AA669" s="20">
        <f t="shared" si="213"/>
        <v>4.5028572980660785E-5</v>
      </c>
    </row>
    <row r="670" spans="2:27" x14ac:dyDescent="0.3">
      <c r="B670" s="28">
        <v>63.2</v>
      </c>
      <c r="C670" s="28">
        <v>13.53571</v>
      </c>
      <c r="D670" s="20">
        <f t="shared" si="195"/>
        <v>51.638336933618596</v>
      </c>
      <c r="E670" s="20">
        <f t="shared" si="196"/>
        <v>-3.934160790755497</v>
      </c>
      <c r="F670" s="20">
        <f t="shared" si="197"/>
        <v>4.9361087559971137</v>
      </c>
      <c r="G670" s="20">
        <f t="shared" si="198"/>
        <v>4.9361087559971137</v>
      </c>
      <c r="H670" s="20">
        <f t="shared" si="199"/>
        <v>4.9361087559971137</v>
      </c>
      <c r="I670" s="17"/>
      <c r="J670" s="20">
        <f t="shared" si="200"/>
        <v>47.771899346765046</v>
      </c>
      <c r="K670" s="20">
        <f t="shared" si="201"/>
        <v>1.9190285787655848E-2</v>
      </c>
      <c r="L670" s="20">
        <f t="shared" si="202"/>
        <v>3.6432363595938928</v>
      </c>
      <c r="M670" s="20">
        <f t="shared" si="203"/>
        <v>3.6432363595938928</v>
      </c>
      <c r="N670" s="20">
        <f t="shared" si="204"/>
        <v>3.6432363595938928</v>
      </c>
      <c r="O670" s="17"/>
      <c r="P670" s="20">
        <f t="shared" si="205"/>
        <v>8.1477755198301658</v>
      </c>
      <c r="Q670" s="20">
        <f t="shared" si="206"/>
        <v>15.922232676840757</v>
      </c>
      <c r="R670" s="20">
        <f t="shared" si="207"/>
        <v>0</v>
      </c>
      <c r="S670" s="20">
        <f t="shared" si="208"/>
        <v>0</v>
      </c>
      <c r="T670" s="20">
        <f t="shared" si="209"/>
        <v>0</v>
      </c>
      <c r="U670" s="17"/>
      <c r="V670" s="20">
        <f t="shared" si="210"/>
        <v>24.070008196670923</v>
      </c>
      <c r="W670" s="17"/>
      <c r="X670" s="20">
        <f t="shared" si="211"/>
        <v>110.97143849638425</v>
      </c>
      <c r="Y670" s="20">
        <f t="shared" si="212"/>
        <v>10.534298196670923</v>
      </c>
      <c r="Z670" s="20"/>
      <c r="AA670" s="20">
        <f t="shared" si="213"/>
        <v>6.8847903746747225E-5</v>
      </c>
    </row>
    <row r="671" spans="2:27" x14ac:dyDescent="0.3">
      <c r="B671" s="28">
        <v>63.3</v>
      </c>
      <c r="C671" s="28">
        <v>35.535710000000002</v>
      </c>
      <c r="D671" s="20">
        <f t="shared" si="195"/>
        <v>51.713515113917254</v>
      </c>
      <c r="E671" s="20">
        <f t="shared" si="196"/>
        <v>-3.9291141684085384</v>
      </c>
      <c r="F671" s="20">
        <f t="shared" si="197"/>
        <v>4.9472198671082248</v>
      </c>
      <c r="G671" s="20">
        <f t="shared" si="198"/>
        <v>4.9472198671082248</v>
      </c>
      <c r="H671" s="20">
        <f t="shared" si="199"/>
        <v>4.9472198671082248</v>
      </c>
      <c r="I671" s="17"/>
      <c r="J671" s="20">
        <f t="shared" si="200"/>
        <v>47.845537265457459</v>
      </c>
      <c r="K671" s="20">
        <f t="shared" si="201"/>
        <v>1.9285539588823241E-2</v>
      </c>
      <c r="L671" s="20">
        <f t="shared" si="202"/>
        <v>3.6519567478580104</v>
      </c>
      <c r="M671" s="20">
        <f t="shared" si="203"/>
        <v>3.6519567478580104</v>
      </c>
      <c r="N671" s="20">
        <f t="shared" si="204"/>
        <v>3.6519567478580104</v>
      </c>
      <c r="O671" s="17"/>
      <c r="P671" s="20">
        <f t="shared" si="205"/>
        <v>8.1229710616685171</v>
      </c>
      <c r="Q671" s="20">
        <f t="shared" si="206"/>
        <v>15.842110080271588</v>
      </c>
      <c r="R671" s="20">
        <f t="shared" si="207"/>
        <v>0</v>
      </c>
      <c r="S671" s="20">
        <f t="shared" si="208"/>
        <v>0</v>
      </c>
      <c r="T671" s="20">
        <f t="shared" si="209"/>
        <v>0</v>
      </c>
      <c r="U671" s="17"/>
      <c r="V671" s="20">
        <f t="shared" si="210"/>
        <v>23.965081141940104</v>
      </c>
      <c r="W671" s="17"/>
      <c r="X671" s="20">
        <f t="shared" si="211"/>
        <v>133.87945217096851</v>
      </c>
      <c r="Y671" s="20">
        <f t="shared" si="212"/>
        <v>11.570628858059898</v>
      </c>
      <c r="Z671" s="20"/>
      <c r="AA671" s="20">
        <f t="shared" si="213"/>
        <v>7.5620940952743441E-5</v>
      </c>
    </row>
    <row r="672" spans="2:27" x14ac:dyDescent="0.3">
      <c r="B672" s="28">
        <v>63.4</v>
      </c>
      <c r="C672" s="28">
        <v>21.035710000000002</v>
      </c>
      <c r="D672" s="20">
        <f t="shared" si="195"/>
        <v>51.788693294215918</v>
      </c>
      <c r="E672" s="20">
        <f t="shared" si="196"/>
        <v>-3.9240675460615786</v>
      </c>
      <c r="F672" s="20">
        <f t="shared" si="197"/>
        <v>4.9583309782193359</v>
      </c>
      <c r="G672" s="20">
        <f t="shared" si="198"/>
        <v>4.9583309782193359</v>
      </c>
      <c r="H672" s="20">
        <f t="shared" si="199"/>
        <v>4.9583309782193359</v>
      </c>
      <c r="I672" s="17"/>
      <c r="J672" s="20">
        <f t="shared" si="200"/>
        <v>47.919177504485788</v>
      </c>
      <c r="K672" s="20">
        <f t="shared" si="201"/>
        <v>1.9381257206862443E-2</v>
      </c>
      <c r="L672" s="20">
        <f t="shared" si="202"/>
        <v>3.6606816146377783</v>
      </c>
      <c r="M672" s="20">
        <f t="shared" si="203"/>
        <v>3.6606816146377783</v>
      </c>
      <c r="N672" s="20">
        <f t="shared" si="204"/>
        <v>3.6606816146377783</v>
      </c>
      <c r="O672" s="17"/>
      <c r="P672" s="20">
        <f t="shared" si="205"/>
        <v>8.0982789282589689</v>
      </c>
      <c r="Q672" s="20">
        <f t="shared" si="206"/>
        <v>15.762390946932811</v>
      </c>
      <c r="R672" s="20">
        <f t="shared" si="207"/>
        <v>0</v>
      </c>
      <c r="S672" s="20">
        <f t="shared" si="208"/>
        <v>0</v>
      </c>
      <c r="T672" s="20">
        <f t="shared" si="209"/>
        <v>0</v>
      </c>
      <c r="U672" s="17"/>
      <c r="V672" s="20">
        <f t="shared" si="210"/>
        <v>23.860669875191782</v>
      </c>
      <c r="W672" s="17"/>
      <c r="X672" s="20">
        <f t="shared" si="211"/>
        <v>7.9803982964435578</v>
      </c>
      <c r="Y672" s="20">
        <f t="shared" si="212"/>
        <v>2.8249598751917802</v>
      </c>
      <c r="Z672" s="20"/>
      <c r="AA672" s="20">
        <f t="shared" si="213"/>
        <v>1.8462792864273653E-5</v>
      </c>
    </row>
    <row r="673" spans="2:27" x14ac:dyDescent="0.3">
      <c r="B673" s="28">
        <v>63.5</v>
      </c>
      <c r="C673" s="28">
        <v>49.535710000000002</v>
      </c>
      <c r="D673" s="20">
        <f t="shared" si="195"/>
        <v>51.863871474514575</v>
      </c>
      <c r="E673" s="20">
        <f t="shared" si="196"/>
        <v>-3.9190209237146196</v>
      </c>
      <c r="F673" s="20">
        <f t="shared" si="197"/>
        <v>4.9694420893304478</v>
      </c>
      <c r="G673" s="20">
        <f t="shared" si="198"/>
        <v>4.9694420893304478</v>
      </c>
      <c r="H673" s="20">
        <f t="shared" si="199"/>
        <v>4.9694420893304478</v>
      </c>
      <c r="I673" s="17"/>
      <c r="J673" s="20">
        <f t="shared" si="200"/>
        <v>47.992820056942243</v>
      </c>
      <c r="K673" s="20">
        <f t="shared" si="201"/>
        <v>1.9477440812489172E-2</v>
      </c>
      <c r="L673" s="20">
        <f t="shared" si="202"/>
        <v>3.6694109454683126</v>
      </c>
      <c r="M673" s="20">
        <f t="shared" si="203"/>
        <v>3.6694109454683126</v>
      </c>
      <c r="N673" s="20">
        <f t="shared" si="204"/>
        <v>3.6694109454683126</v>
      </c>
      <c r="O673" s="17"/>
      <c r="P673" s="20">
        <f t="shared" si="205"/>
        <v>8.0736984459063414</v>
      </c>
      <c r="Q673" s="20">
        <f t="shared" si="206"/>
        <v>15.683073246399207</v>
      </c>
      <c r="R673" s="20">
        <f t="shared" si="207"/>
        <v>0</v>
      </c>
      <c r="S673" s="20">
        <f t="shared" si="208"/>
        <v>0</v>
      </c>
      <c r="T673" s="20">
        <f t="shared" si="209"/>
        <v>0</v>
      </c>
      <c r="U673" s="17"/>
      <c r="V673" s="20">
        <f t="shared" si="210"/>
        <v>23.756771692305549</v>
      </c>
      <c r="W673" s="17"/>
      <c r="X673" s="20">
        <f t="shared" si="211"/>
        <v>664.55366027191656</v>
      </c>
      <c r="Y673" s="20">
        <f t="shared" si="212"/>
        <v>25.778938307694453</v>
      </c>
      <c r="Z673" s="20"/>
      <c r="AA673" s="20">
        <f t="shared" si="213"/>
        <v>1.6848069327127723E-4</v>
      </c>
    </row>
    <row r="674" spans="2:27" x14ac:dyDescent="0.3">
      <c r="B674" s="28">
        <v>63.6</v>
      </c>
      <c r="C674" s="28">
        <v>12.78571</v>
      </c>
      <c r="D674" s="20">
        <f t="shared" si="195"/>
        <v>51.939049654813239</v>
      </c>
      <c r="E674" s="20">
        <f t="shared" si="196"/>
        <v>-3.9139743013676607</v>
      </c>
      <c r="F674" s="20">
        <f t="shared" si="197"/>
        <v>4.980553200441558</v>
      </c>
      <c r="G674" s="20">
        <f t="shared" si="198"/>
        <v>4.980553200441558</v>
      </c>
      <c r="H674" s="20">
        <f t="shared" si="199"/>
        <v>4.980553200441558</v>
      </c>
      <c r="I674" s="17"/>
      <c r="J674" s="20">
        <f t="shared" si="200"/>
        <v>48.066464915949652</v>
      </c>
      <c r="K674" s="20">
        <f t="shared" si="201"/>
        <v>1.9574092585730628E-2</v>
      </c>
      <c r="L674" s="20">
        <f t="shared" si="202"/>
        <v>3.678144725945601</v>
      </c>
      <c r="M674" s="20">
        <f t="shared" si="203"/>
        <v>3.678144725945601</v>
      </c>
      <c r="N674" s="20">
        <f t="shared" si="204"/>
        <v>3.678144725945601</v>
      </c>
      <c r="O674" s="17"/>
      <c r="P674" s="20">
        <f t="shared" si="205"/>
        <v>8.0492289459378004</v>
      </c>
      <c r="Q674" s="20">
        <f t="shared" si="206"/>
        <v>15.604154958468456</v>
      </c>
      <c r="R674" s="20">
        <f t="shared" si="207"/>
        <v>0</v>
      </c>
      <c r="S674" s="20">
        <f t="shared" si="208"/>
        <v>0</v>
      </c>
      <c r="T674" s="20">
        <f t="shared" si="209"/>
        <v>0</v>
      </c>
      <c r="U674" s="17"/>
      <c r="V674" s="20">
        <f t="shared" si="210"/>
        <v>23.653383904406255</v>
      </c>
      <c r="W674" s="17"/>
      <c r="X674" s="20">
        <f t="shared" si="211"/>
        <v>118.10633609251269</v>
      </c>
      <c r="Y674" s="20">
        <f t="shared" si="212"/>
        <v>10.867673904406255</v>
      </c>
      <c r="Z674" s="20"/>
      <c r="AA674" s="20">
        <f t="shared" si="213"/>
        <v>7.1026712264330233E-5</v>
      </c>
    </row>
    <row r="675" spans="2:27" x14ac:dyDescent="0.3">
      <c r="B675" s="28">
        <v>63.7</v>
      </c>
      <c r="C675" s="28">
        <v>9.0357099999999999</v>
      </c>
      <c r="D675" s="20">
        <f t="shared" si="195"/>
        <v>52.014227835111896</v>
      </c>
      <c r="E675" s="20">
        <f t="shared" si="196"/>
        <v>-3.9089276790207013</v>
      </c>
      <c r="F675" s="20">
        <f t="shared" si="197"/>
        <v>4.99166431155267</v>
      </c>
      <c r="G675" s="20">
        <f t="shared" si="198"/>
        <v>4.99166431155267</v>
      </c>
      <c r="H675" s="20">
        <f t="shared" si="199"/>
        <v>4.99166431155267</v>
      </c>
      <c r="I675" s="17"/>
      <c r="J675" s="20">
        <f t="shared" si="200"/>
        <v>48.140112074661189</v>
      </c>
      <c r="K675" s="20">
        <f t="shared" si="201"/>
        <v>1.9671214715957227E-2</v>
      </c>
      <c r="L675" s="20">
        <f t="shared" si="202"/>
        <v>3.6868829417262257</v>
      </c>
      <c r="M675" s="20">
        <f t="shared" si="203"/>
        <v>3.6868829417262257</v>
      </c>
      <c r="N675" s="20">
        <f t="shared" si="204"/>
        <v>3.6868829417262257</v>
      </c>
      <c r="O675" s="17"/>
      <c r="P675" s="20">
        <f t="shared" si="205"/>
        <v>8.0248697646581704</v>
      </c>
      <c r="Q675" s="20">
        <f t="shared" si="206"/>
        <v>15.525634073109716</v>
      </c>
      <c r="R675" s="20">
        <f t="shared" si="207"/>
        <v>0</v>
      </c>
      <c r="S675" s="20">
        <f t="shared" si="208"/>
        <v>0</v>
      </c>
      <c r="T675" s="20">
        <f t="shared" si="209"/>
        <v>0</v>
      </c>
      <c r="U675" s="17"/>
      <c r="V675" s="20">
        <f t="shared" si="210"/>
        <v>23.550503837767884</v>
      </c>
      <c r="W675" s="17"/>
      <c r="X675" s="20">
        <f t="shared" si="211"/>
        <v>210.67924015290455</v>
      </c>
      <c r="Y675" s="20">
        <f t="shared" si="212"/>
        <v>14.514793837767884</v>
      </c>
      <c r="Z675" s="20"/>
      <c r="AA675" s="20">
        <f t="shared" si="213"/>
        <v>9.4862810069524007E-5</v>
      </c>
    </row>
    <row r="676" spans="2:27" x14ac:dyDescent="0.3">
      <c r="B676" s="28">
        <v>63.8</v>
      </c>
      <c r="C676" s="28">
        <v>18.535710000000002</v>
      </c>
      <c r="D676" s="20">
        <f t="shared" si="195"/>
        <v>52.089406015410553</v>
      </c>
      <c r="E676" s="20">
        <f t="shared" si="196"/>
        <v>-3.9038810566737423</v>
      </c>
      <c r="F676" s="20">
        <f t="shared" si="197"/>
        <v>5.0027754226637802</v>
      </c>
      <c r="G676" s="20">
        <f t="shared" si="198"/>
        <v>5.0027754226637802</v>
      </c>
      <c r="H676" s="20">
        <f t="shared" si="199"/>
        <v>5.0027754226637802</v>
      </c>
      <c r="I676" s="17"/>
      <c r="J676" s="20">
        <f t="shared" si="200"/>
        <v>48.213761526260321</v>
      </c>
      <c r="K676" s="20">
        <f t="shared" si="201"/>
        <v>1.9768809401914396E-2</v>
      </c>
      <c r="L676" s="20">
        <f t="shared" si="202"/>
        <v>3.6956255785270664</v>
      </c>
      <c r="M676" s="20">
        <f t="shared" si="203"/>
        <v>3.6956255785270664</v>
      </c>
      <c r="N676" s="20">
        <f t="shared" si="204"/>
        <v>3.6956255785270664</v>
      </c>
      <c r="O676" s="17"/>
      <c r="P676" s="20">
        <f t="shared" si="205"/>
        <v>8.0006202433056473</v>
      </c>
      <c r="Q676" s="20">
        <f t="shared" si="206"/>
        <v>15.44750859041244</v>
      </c>
      <c r="R676" s="20">
        <f t="shared" si="207"/>
        <v>0</v>
      </c>
      <c r="S676" s="20">
        <f t="shared" si="208"/>
        <v>0</v>
      </c>
      <c r="T676" s="20">
        <f t="shared" si="209"/>
        <v>0</v>
      </c>
      <c r="U676" s="17"/>
      <c r="V676" s="20">
        <f t="shared" si="210"/>
        <v>23.448128833718087</v>
      </c>
      <c r="W676" s="17"/>
      <c r="X676" s="20">
        <f t="shared" si="211"/>
        <v>24.131858797868155</v>
      </c>
      <c r="Y676" s="20">
        <f t="shared" si="212"/>
        <v>4.9124188337180854</v>
      </c>
      <c r="Z676" s="20"/>
      <c r="AA676" s="20">
        <f t="shared" si="213"/>
        <v>3.2105578626435027E-5</v>
      </c>
    </row>
    <row r="677" spans="2:27" x14ac:dyDescent="0.3">
      <c r="B677" s="28">
        <v>63.9</v>
      </c>
      <c r="C677" s="28">
        <v>5.7857099999999999</v>
      </c>
      <c r="D677" s="20">
        <f t="shared" si="195"/>
        <v>52.16458419570921</v>
      </c>
      <c r="E677" s="20">
        <f t="shared" si="196"/>
        <v>-3.8988344343267829</v>
      </c>
      <c r="F677" s="20">
        <f t="shared" si="197"/>
        <v>5.0138865337748921</v>
      </c>
      <c r="G677" s="20">
        <f t="shared" si="198"/>
        <v>5.0138865337748921</v>
      </c>
      <c r="H677" s="20">
        <f t="shared" si="199"/>
        <v>5.0138865337748921</v>
      </c>
      <c r="I677" s="17"/>
      <c r="J677" s="20">
        <f t="shared" si="200"/>
        <v>48.287413263960502</v>
      </c>
      <c r="K677" s="20">
        <f t="shared" si="201"/>
        <v>1.9866878851754498E-2</v>
      </c>
      <c r="L677" s="20">
        <f t="shared" si="202"/>
        <v>3.7043726221250286</v>
      </c>
      <c r="M677" s="20">
        <f t="shared" si="203"/>
        <v>3.7043726221250286</v>
      </c>
      <c r="N677" s="20">
        <f t="shared" si="204"/>
        <v>3.7043726221250286</v>
      </c>
      <c r="O677" s="17"/>
      <c r="P677" s="20">
        <f t="shared" si="205"/>
        <v>7.9764797280080542</v>
      </c>
      <c r="Q677" s="20">
        <f t="shared" si="206"/>
        <v>15.369776520535364</v>
      </c>
      <c r="R677" s="20">
        <f t="shared" si="207"/>
        <v>0</v>
      </c>
      <c r="S677" s="20">
        <f t="shared" si="208"/>
        <v>0</v>
      </c>
      <c r="T677" s="20">
        <f t="shared" si="209"/>
        <v>0</v>
      </c>
      <c r="U677" s="17"/>
      <c r="V677" s="20">
        <f t="shared" si="210"/>
        <v>23.346256248543419</v>
      </c>
      <c r="W677" s="17"/>
      <c r="X677" s="20">
        <f t="shared" si="211"/>
        <v>308.3727845472323</v>
      </c>
      <c r="Y677" s="20">
        <f t="shared" si="212"/>
        <v>17.560546248543417</v>
      </c>
      <c r="Z677" s="20"/>
      <c r="AA677" s="20">
        <f t="shared" si="213"/>
        <v>1.1476861346511853E-4</v>
      </c>
    </row>
    <row r="678" spans="2:27" x14ac:dyDescent="0.3">
      <c r="B678" s="28">
        <v>64</v>
      </c>
      <c r="C678" s="28">
        <v>29.285710000000002</v>
      </c>
      <c r="D678" s="20">
        <f t="shared" si="195"/>
        <v>52.239762376007874</v>
      </c>
      <c r="E678" s="20">
        <f t="shared" si="196"/>
        <v>-3.8937878119798239</v>
      </c>
      <c r="F678" s="20">
        <f t="shared" si="197"/>
        <v>5.0249976448860032</v>
      </c>
      <c r="G678" s="20">
        <f t="shared" si="198"/>
        <v>5.0249976448860032</v>
      </c>
      <c r="H678" s="20">
        <f t="shared" si="199"/>
        <v>5.0249976448860032</v>
      </c>
      <c r="I678" s="17"/>
      <c r="J678" s="20">
        <f t="shared" si="200"/>
        <v>48.36106728100512</v>
      </c>
      <c r="K678" s="20">
        <f t="shared" si="201"/>
        <v>1.996542528306856E-2</v>
      </c>
      <c r="L678" s="20">
        <f t="shared" si="202"/>
        <v>3.713124058356752</v>
      </c>
      <c r="M678" s="20">
        <f t="shared" si="203"/>
        <v>3.713124058356752</v>
      </c>
      <c r="N678" s="20">
        <f t="shared" si="204"/>
        <v>3.713124058356752</v>
      </c>
      <c r="O678" s="17"/>
      <c r="P678" s="20">
        <f t="shared" si="205"/>
        <v>7.9524475697394745</v>
      </c>
      <c r="Q678" s="20">
        <f t="shared" si="206"/>
        <v>15.292435883655937</v>
      </c>
      <c r="R678" s="20">
        <f t="shared" si="207"/>
        <v>0</v>
      </c>
      <c r="S678" s="20">
        <f t="shared" si="208"/>
        <v>0</v>
      </c>
      <c r="T678" s="20">
        <f t="shared" si="209"/>
        <v>0</v>
      </c>
      <c r="U678" s="17"/>
      <c r="V678" s="20">
        <f t="shared" si="210"/>
        <v>23.24488345339541</v>
      </c>
      <c r="W678" s="17"/>
      <c r="X678" s="20">
        <f t="shared" si="211"/>
        <v>36.491585366162759</v>
      </c>
      <c r="Y678" s="20">
        <f t="shared" si="212"/>
        <v>6.0408265466045918</v>
      </c>
      <c r="Z678" s="20"/>
      <c r="AA678" s="20">
        <f t="shared" si="213"/>
        <v>3.9480394124675687E-5</v>
      </c>
    </row>
    <row r="679" spans="2:27" x14ac:dyDescent="0.3">
      <c r="B679" s="28">
        <v>64.099999999999994</v>
      </c>
      <c r="C679" s="28">
        <v>9.7857099999999999</v>
      </c>
      <c r="D679" s="20">
        <f t="shared" si="195"/>
        <v>52.314940556306532</v>
      </c>
      <c r="E679" s="20">
        <f t="shared" si="196"/>
        <v>-3.888741189632865</v>
      </c>
      <c r="F679" s="20">
        <f t="shared" si="197"/>
        <v>5.0361087559971134</v>
      </c>
      <c r="G679" s="20">
        <f t="shared" si="198"/>
        <v>5.0361087559971134</v>
      </c>
      <c r="H679" s="20">
        <f t="shared" si="199"/>
        <v>5.0361087559971134</v>
      </c>
      <c r="I679" s="17"/>
      <c r="J679" s="20">
        <f t="shared" si="200"/>
        <v>48.434723570667195</v>
      </c>
      <c r="K679" s="20">
        <f t="shared" si="201"/>
        <v>2.0064450922918319E-2</v>
      </c>
      <c r="L679" s="20">
        <f t="shared" si="202"/>
        <v>3.7218798731183345</v>
      </c>
      <c r="M679" s="20">
        <f t="shared" si="203"/>
        <v>3.7218798731183345</v>
      </c>
      <c r="N679" s="20">
        <f t="shared" si="204"/>
        <v>3.7218798731183345</v>
      </c>
      <c r="O679" s="17"/>
      <c r="P679" s="20">
        <f t="shared" si="205"/>
        <v>7.9285231242773939</v>
      </c>
      <c r="Q679" s="20">
        <f t="shared" si="206"/>
        <v>15.215484709919753</v>
      </c>
      <c r="R679" s="20">
        <f t="shared" si="207"/>
        <v>0</v>
      </c>
      <c r="S679" s="20">
        <f t="shared" si="208"/>
        <v>0</v>
      </c>
      <c r="T679" s="20">
        <f t="shared" si="209"/>
        <v>0</v>
      </c>
      <c r="U679" s="17"/>
      <c r="V679" s="20">
        <f t="shared" si="210"/>
        <v>23.144007834197147</v>
      </c>
      <c r="W679" s="17"/>
      <c r="X679" s="20">
        <f t="shared" si="211"/>
        <v>178.44412102711618</v>
      </c>
      <c r="Y679" s="20">
        <f t="shared" si="212"/>
        <v>13.358297834197147</v>
      </c>
      <c r="Z679" s="20"/>
      <c r="AA679" s="20">
        <f t="shared" si="213"/>
        <v>8.7304420886797206E-5</v>
      </c>
    </row>
    <row r="680" spans="2:27" x14ac:dyDescent="0.3">
      <c r="B680" s="28">
        <v>64.2</v>
      </c>
      <c r="C680" s="28">
        <v>40.785710000000002</v>
      </c>
      <c r="D680" s="20">
        <f t="shared" si="195"/>
        <v>52.390118736605196</v>
      </c>
      <c r="E680" s="20">
        <f t="shared" si="196"/>
        <v>-3.8836945672859056</v>
      </c>
      <c r="F680" s="20">
        <f t="shared" si="197"/>
        <v>5.0472198671082253</v>
      </c>
      <c r="G680" s="20">
        <f t="shared" si="198"/>
        <v>5.0472198671082253</v>
      </c>
      <c r="H680" s="20">
        <f t="shared" si="199"/>
        <v>5.0472198671082253</v>
      </c>
      <c r="I680" s="17"/>
      <c r="J680" s="20">
        <f t="shared" si="200"/>
        <v>48.508382126249337</v>
      </c>
      <c r="K680" s="20">
        <f t="shared" si="201"/>
        <v>2.0163958007868053E-2</v>
      </c>
      <c r="L680" s="20">
        <f t="shared" si="202"/>
        <v>3.7306400523650529</v>
      </c>
      <c r="M680" s="20">
        <f t="shared" si="203"/>
        <v>3.7306400523650529</v>
      </c>
      <c r="N680" s="20">
        <f t="shared" si="204"/>
        <v>3.7306400523650529</v>
      </c>
      <c r="O680" s="17"/>
      <c r="P680" s="20">
        <f t="shared" si="205"/>
        <v>7.9047057521602069</v>
      </c>
      <c r="Q680" s="20">
        <f t="shared" si="206"/>
        <v>15.138921039390464</v>
      </c>
      <c r="R680" s="20">
        <f t="shared" si="207"/>
        <v>0</v>
      </c>
      <c r="S680" s="20">
        <f t="shared" si="208"/>
        <v>0</v>
      </c>
      <c r="T680" s="20">
        <f t="shared" si="209"/>
        <v>0</v>
      </c>
      <c r="U680" s="17"/>
      <c r="V680" s="20">
        <f t="shared" si="210"/>
        <v>23.043626791550672</v>
      </c>
      <c r="W680" s="17"/>
      <c r="X680" s="20">
        <f t="shared" si="211"/>
        <v>314.78151657553968</v>
      </c>
      <c r="Y680" s="20">
        <f t="shared" si="212"/>
        <v>17.74208320844933</v>
      </c>
      <c r="Z680" s="20"/>
      <c r="AA680" s="20">
        <f t="shared" si="213"/>
        <v>1.1595506546303417E-4</v>
      </c>
    </row>
    <row r="681" spans="2:27" x14ac:dyDescent="0.3">
      <c r="B681" s="28">
        <v>64.3</v>
      </c>
      <c r="C681" s="28">
        <v>20.035710000000002</v>
      </c>
      <c r="D681" s="20">
        <f t="shared" si="195"/>
        <v>52.465296916903853</v>
      </c>
      <c r="E681" s="20">
        <f t="shared" si="196"/>
        <v>-3.8786479449389466</v>
      </c>
      <c r="F681" s="20">
        <f t="shared" si="197"/>
        <v>5.0583309782193355</v>
      </c>
      <c r="G681" s="20">
        <f t="shared" si="198"/>
        <v>5.0583309782193355</v>
      </c>
      <c r="H681" s="20">
        <f t="shared" si="199"/>
        <v>5.0583309782193355</v>
      </c>
      <c r="I681" s="17"/>
      <c r="J681" s="20">
        <f t="shared" si="200"/>
        <v>48.582042941083458</v>
      </c>
      <c r="K681" s="20">
        <f t="shared" si="201"/>
        <v>2.0263948784016508E-2</v>
      </c>
      <c r="L681" s="20">
        <f t="shared" si="202"/>
        <v>3.739404582111078</v>
      </c>
      <c r="M681" s="20">
        <f t="shared" si="203"/>
        <v>3.739404582111078</v>
      </c>
      <c r="N681" s="20">
        <f t="shared" si="204"/>
        <v>3.739404582111078</v>
      </c>
      <c r="O681" s="17"/>
      <c r="P681" s="20">
        <f t="shared" si="205"/>
        <v>7.8809948186452523</v>
      </c>
      <c r="Q681" s="20">
        <f t="shared" si="206"/>
        <v>15.062742921999851</v>
      </c>
      <c r="R681" s="20">
        <f t="shared" si="207"/>
        <v>0</v>
      </c>
      <c r="S681" s="20">
        <f t="shared" si="208"/>
        <v>0</v>
      </c>
      <c r="T681" s="20">
        <f t="shared" si="209"/>
        <v>0</v>
      </c>
      <c r="U681" s="17"/>
      <c r="V681" s="20">
        <f t="shared" si="210"/>
        <v>22.943737740645105</v>
      </c>
      <c r="W681" s="17"/>
      <c r="X681" s="20">
        <f t="shared" si="211"/>
        <v>8.4566253403614642</v>
      </c>
      <c r="Y681" s="20">
        <f t="shared" si="212"/>
        <v>2.9080277406451032</v>
      </c>
      <c r="Z681" s="20"/>
      <c r="AA681" s="20">
        <f t="shared" si="213"/>
        <v>1.9005690767713058E-5</v>
      </c>
    </row>
    <row r="682" spans="2:27" x14ac:dyDescent="0.3">
      <c r="B682" s="28">
        <v>64.400000000000006</v>
      </c>
      <c r="C682" s="28">
        <v>27.785710000000002</v>
      </c>
      <c r="D682" s="20">
        <f t="shared" si="195"/>
        <v>52.540475097202517</v>
      </c>
      <c r="E682" s="20">
        <f t="shared" si="196"/>
        <v>-3.8736013225919868</v>
      </c>
      <c r="F682" s="20">
        <f t="shared" si="197"/>
        <v>5.0694420893304484</v>
      </c>
      <c r="G682" s="20">
        <f t="shared" si="198"/>
        <v>5.0694420893304484</v>
      </c>
      <c r="H682" s="20">
        <f t="shared" si="199"/>
        <v>5.0694420893304484</v>
      </c>
      <c r="I682" s="17"/>
      <c r="J682" s="20">
        <f t="shared" si="200"/>
        <v>48.655706008530693</v>
      </c>
      <c r="K682" s="20">
        <f t="shared" si="201"/>
        <v>2.0364425507028935E-2</v>
      </c>
      <c r="L682" s="20">
        <f t="shared" si="202"/>
        <v>3.7481734484292075</v>
      </c>
      <c r="M682" s="20">
        <f t="shared" si="203"/>
        <v>3.7481734484292075</v>
      </c>
      <c r="N682" s="20">
        <f t="shared" si="204"/>
        <v>3.7481734484292075</v>
      </c>
      <c r="O682" s="17"/>
      <c r="P682" s="20">
        <f t="shared" si="205"/>
        <v>7.8573896936671899</v>
      </c>
      <c r="Q682" s="20">
        <f t="shared" si="206"/>
        <v>14.986948417498091</v>
      </c>
      <c r="R682" s="20">
        <f t="shared" si="207"/>
        <v>0</v>
      </c>
      <c r="S682" s="20">
        <f t="shared" si="208"/>
        <v>0</v>
      </c>
      <c r="T682" s="20">
        <f t="shared" si="209"/>
        <v>0</v>
      </c>
      <c r="U682" s="17"/>
      <c r="V682" s="20">
        <f t="shared" si="210"/>
        <v>22.844338111165282</v>
      </c>
      <c r="W682" s="17"/>
      <c r="X682" s="20">
        <f t="shared" si="211"/>
        <v>24.417156143766007</v>
      </c>
      <c r="Y682" s="20">
        <f t="shared" si="212"/>
        <v>4.9413718888347198</v>
      </c>
      <c r="Z682" s="20"/>
      <c r="AA682" s="20">
        <f t="shared" si="213"/>
        <v>3.2294804060785672E-5</v>
      </c>
    </row>
    <row r="683" spans="2:27" x14ac:dyDescent="0.3">
      <c r="B683" s="28">
        <v>64.5</v>
      </c>
      <c r="C683" s="28">
        <v>2.5357099999999999</v>
      </c>
      <c r="D683" s="20">
        <f t="shared" si="195"/>
        <v>52.615653277501174</v>
      </c>
      <c r="E683" s="20">
        <f t="shared" si="196"/>
        <v>-3.8685547002450282</v>
      </c>
      <c r="F683" s="20">
        <f t="shared" si="197"/>
        <v>5.0805532004415586</v>
      </c>
      <c r="G683" s="20">
        <f t="shared" si="198"/>
        <v>5.0805532004415586</v>
      </c>
      <c r="H683" s="20">
        <f t="shared" si="199"/>
        <v>5.0805532004415586</v>
      </c>
      <c r="I683" s="17"/>
      <c r="J683" s="20">
        <f t="shared" si="200"/>
        <v>48.729371321981162</v>
      </c>
      <c r="K683" s="20">
        <f t="shared" si="201"/>
        <v>2.0465390442168975E-2</v>
      </c>
      <c r="L683" s="20">
        <f t="shared" si="202"/>
        <v>3.7569466374505769</v>
      </c>
      <c r="M683" s="20">
        <f t="shared" si="203"/>
        <v>3.7569466374505769</v>
      </c>
      <c r="N683" s="20">
        <f t="shared" si="204"/>
        <v>3.7569466374505769</v>
      </c>
      <c r="O683" s="17"/>
      <c r="P683" s="20">
        <f t="shared" si="205"/>
        <v>7.8338897517968702</v>
      </c>
      <c r="Q683" s="20">
        <f t="shared" si="206"/>
        <v>14.911535595404422</v>
      </c>
      <c r="R683" s="20">
        <f t="shared" si="207"/>
        <v>0</v>
      </c>
      <c r="S683" s="20">
        <f t="shared" si="208"/>
        <v>0</v>
      </c>
      <c r="T683" s="20">
        <f t="shared" si="209"/>
        <v>0</v>
      </c>
      <c r="U683" s="17"/>
      <c r="V683" s="20">
        <f t="shared" si="210"/>
        <v>22.745425347201291</v>
      </c>
      <c r="W683" s="17"/>
      <c r="X683" s="20">
        <f t="shared" si="211"/>
        <v>408.43259441490335</v>
      </c>
      <c r="Y683" s="20">
        <f t="shared" si="212"/>
        <v>20.209715347201289</v>
      </c>
      <c r="Z683" s="20"/>
      <c r="AA683" s="20">
        <f t="shared" si="213"/>
        <v>1.3208250905722294E-4</v>
      </c>
    </row>
    <row r="684" spans="2:27" x14ac:dyDescent="0.3">
      <c r="B684" s="28">
        <v>64.599999999999994</v>
      </c>
      <c r="C684" s="28">
        <v>17.285710000000002</v>
      </c>
      <c r="D684" s="20">
        <f t="shared" si="195"/>
        <v>52.690831457799831</v>
      </c>
      <c r="E684" s="20">
        <f t="shared" si="196"/>
        <v>-3.8635080778980688</v>
      </c>
      <c r="F684" s="20">
        <f t="shared" si="197"/>
        <v>5.0916643115526687</v>
      </c>
      <c r="G684" s="20">
        <f t="shared" si="198"/>
        <v>5.0916643115526687</v>
      </c>
      <c r="H684" s="20">
        <f t="shared" si="199"/>
        <v>5.0916643115526687</v>
      </c>
      <c r="I684" s="17"/>
      <c r="J684" s="20">
        <f t="shared" si="200"/>
        <v>48.803038874853861</v>
      </c>
      <c r="K684" s="20">
        <f t="shared" si="201"/>
        <v>2.0566845864330791E-2</v>
      </c>
      <c r="L684" s="20">
        <f t="shared" si="202"/>
        <v>3.7657241353643962</v>
      </c>
      <c r="M684" s="20">
        <f t="shared" si="203"/>
        <v>3.7657241353643962</v>
      </c>
      <c r="N684" s="20">
        <f t="shared" si="204"/>
        <v>3.7657241353643962</v>
      </c>
      <c r="O684" s="17"/>
      <c r="P684" s="20">
        <f t="shared" si="205"/>
        <v>7.81049437220058</v>
      </c>
      <c r="Q684" s="20">
        <f t="shared" si="206"/>
        <v>14.836502534957869</v>
      </c>
      <c r="R684" s="20">
        <f t="shared" si="207"/>
        <v>0</v>
      </c>
      <c r="S684" s="20">
        <f t="shared" si="208"/>
        <v>0</v>
      </c>
      <c r="T684" s="20">
        <f t="shared" si="209"/>
        <v>0</v>
      </c>
      <c r="U684" s="17"/>
      <c r="V684" s="20">
        <f t="shared" si="210"/>
        <v>22.646996907158449</v>
      </c>
      <c r="W684" s="17"/>
      <c r="X684" s="20">
        <f t="shared" si="211"/>
        <v>28.743397300868594</v>
      </c>
      <c r="Y684" s="20">
        <f t="shared" si="212"/>
        <v>5.3612869071584477</v>
      </c>
      <c r="Z684" s="20"/>
      <c r="AA684" s="20">
        <f t="shared" si="213"/>
        <v>3.5039198440327912E-5</v>
      </c>
    </row>
    <row r="685" spans="2:27" x14ac:dyDescent="0.3">
      <c r="B685" s="28">
        <v>64.7</v>
      </c>
      <c r="C685" s="28">
        <v>38.035710000000002</v>
      </c>
      <c r="D685" s="20">
        <f t="shared" si="195"/>
        <v>52.766009638098495</v>
      </c>
      <c r="E685" s="20">
        <f t="shared" si="196"/>
        <v>-3.8584614555511094</v>
      </c>
      <c r="F685" s="20">
        <f t="shared" si="197"/>
        <v>5.1027754226637807</v>
      </c>
      <c r="G685" s="20">
        <f t="shared" si="198"/>
        <v>5.1027754226637807</v>
      </c>
      <c r="H685" s="20">
        <f t="shared" si="199"/>
        <v>5.1027754226637807</v>
      </c>
      <c r="I685" s="17"/>
      <c r="J685" s="20">
        <f t="shared" si="200"/>
        <v>48.876708660596442</v>
      </c>
      <c r="K685" s="20">
        <f t="shared" si="201"/>
        <v>2.0668794058070986E-2</v>
      </c>
      <c r="L685" s="20">
        <f t="shared" si="202"/>
        <v>3.7745059284176712</v>
      </c>
      <c r="M685" s="20">
        <f t="shared" si="203"/>
        <v>3.7745059284176712</v>
      </c>
      <c r="N685" s="20">
        <f t="shared" si="204"/>
        <v>3.7745059284176712</v>
      </c>
      <c r="O685" s="17"/>
      <c r="P685" s="20">
        <f t="shared" si="205"/>
        <v>7.7872029385997399</v>
      </c>
      <c r="Q685" s="20">
        <f t="shared" si="206"/>
        <v>14.761847325068393</v>
      </c>
      <c r="R685" s="20">
        <f t="shared" si="207"/>
        <v>0</v>
      </c>
      <c r="S685" s="20">
        <f t="shared" si="208"/>
        <v>0</v>
      </c>
      <c r="T685" s="20">
        <f t="shared" si="209"/>
        <v>0</v>
      </c>
      <c r="U685" s="17"/>
      <c r="V685" s="20">
        <f t="shared" si="210"/>
        <v>22.549050263668132</v>
      </c>
      <c r="W685" s="17"/>
      <c r="X685" s="20">
        <f t="shared" si="211"/>
        <v>239.83662978892269</v>
      </c>
      <c r="Y685" s="20">
        <f t="shared" si="212"/>
        <v>15.48665973633187</v>
      </c>
      <c r="Z685" s="20"/>
      <c r="AA685" s="20">
        <f t="shared" si="213"/>
        <v>1.0121453171152429E-4</v>
      </c>
    </row>
    <row r="686" spans="2:27" x14ac:dyDescent="0.3">
      <c r="B686" s="28">
        <v>64.8</v>
      </c>
      <c r="C686" s="28">
        <v>27.535710000000002</v>
      </c>
      <c r="D686" s="20">
        <f t="shared" si="195"/>
        <v>52.841187818397152</v>
      </c>
      <c r="E686" s="20">
        <f t="shared" si="196"/>
        <v>-3.8534148332041509</v>
      </c>
      <c r="F686" s="20">
        <f t="shared" si="197"/>
        <v>5.1138865337748918</v>
      </c>
      <c r="G686" s="20">
        <f t="shared" si="198"/>
        <v>5.1138865337748918</v>
      </c>
      <c r="H686" s="20">
        <f t="shared" si="199"/>
        <v>5.1138865337748918</v>
      </c>
      <c r="I686" s="17"/>
      <c r="J686" s="20">
        <f t="shared" si="200"/>
        <v>48.950380672685085</v>
      </c>
      <c r="K686" s="20">
        <f t="shared" si="201"/>
        <v>2.0771237317640676E-2</v>
      </c>
      <c r="L686" s="20">
        <f t="shared" si="202"/>
        <v>3.7832920029149273</v>
      </c>
      <c r="M686" s="20">
        <f t="shared" si="203"/>
        <v>3.7832920029149273</v>
      </c>
      <c r="N686" s="20">
        <f t="shared" si="204"/>
        <v>3.7832920029149273</v>
      </c>
      <c r="O686" s="17"/>
      <c r="P686" s="20">
        <f t="shared" si="205"/>
        <v>7.7640148392309687</v>
      </c>
      <c r="Q686" s="20">
        <f t="shared" si="206"/>
        <v>14.68756806426819</v>
      </c>
      <c r="R686" s="20">
        <f t="shared" si="207"/>
        <v>0</v>
      </c>
      <c r="S686" s="20">
        <f t="shared" si="208"/>
        <v>0</v>
      </c>
      <c r="T686" s="20">
        <f t="shared" si="209"/>
        <v>0</v>
      </c>
      <c r="U686" s="17"/>
      <c r="V686" s="20">
        <f t="shared" si="210"/>
        <v>22.451582903499158</v>
      </c>
      <c r="W686" s="17"/>
      <c r="X686" s="20">
        <f t="shared" si="211"/>
        <v>25.848348333374098</v>
      </c>
      <c r="Y686" s="20">
        <f t="shared" si="212"/>
        <v>5.0841270965008434</v>
      </c>
      <c r="Z686" s="20"/>
      <c r="AA686" s="20">
        <f t="shared" si="213"/>
        <v>3.3227794243259356E-5</v>
      </c>
    </row>
    <row r="687" spans="2:27" x14ac:dyDescent="0.3">
      <c r="B687" s="28">
        <v>64.900000000000006</v>
      </c>
      <c r="C687" s="28">
        <v>22.035710000000002</v>
      </c>
      <c r="D687" s="20">
        <f t="shared" si="195"/>
        <v>52.916365998695817</v>
      </c>
      <c r="E687" s="20">
        <f t="shared" si="196"/>
        <v>-3.8483682108571911</v>
      </c>
      <c r="F687" s="20">
        <f t="shared" si="197"/>
        <v>5.1249976448860037</v>
      </c>
      <c r="G687" s="20">
        <f t="shared" si="198"/>
        <v>5.1249976448860037</v>
      </c>
      <c r="H687" s="20">
        <f t="shared" si="199"/>
        <v>5.1249976448860037</v>
      </c>
      <c r="I687" s="17"/>
      <c r="J687" s="20">
        <f t="shared" si="200"/>
        <v>49.024054904624329</v>
      </c>
      <c r="K687" s="20">
        <f t="shared" si="201"/>
        <v>2.0874177947017625E-2</v>
      </c>
      <c r="L687" s="20">
        <f t="shared" si="202"/>
        <v>3.7920823452179451</v>
      </c>
      <c r="M687" s="20">
        <f t="shared" si="203"/>
        <v>3.7920823452179451</v>
      </c>
      <c r="N687" s="20">
        <f t="shared" si="204"/>
        <v>3.7920823452179451</v>
      </c>
      <c r="O687" s="17"/>
      <c r="P687" s="20">
        <f t="shared" si="205"/>
        <v>7.7409294668066071</v>
      </c>
      <c r="Q687" s="20">
        <f t="shared" si="206"/>
        <v>14.613662860663206</v>
      </c>
      <c r="R687" s="20">
        <f t="shared" si="207"/>
        <v>0</v>
      </c>
      <c r="S687" s="20">
        <f t="shared" si="208"/>
        <v>0</v>
      </c>
      <c r="T687" s="20">
        <f t="shared" si="209"/>
        <v>0</v>
      </c>
      <c r="U687" s="17"/>
      <c r="V687" s="20">
        <f t="shared" si="210"/>
        <v>22.354592327469813</v>
      </c>
      <c r="W687" s="17"/>
      <c r="X687" s="20">
        <f t="shared" si="211"/>
        <v>0.10168593877256416</v>
      </c>
      <c r="Y687" s="20">
        <f t="shared" si="212"/>
        <v>0.3188823274698116</v>
      </c>
      <c r="Z687" s="20"/>
      <c r="AA687" s="20">
        <f t="shared" si="213"/>
        <v>2.0840856579433453E-6</v>
      </c>
    </row>
    <row r="688" spans="2:27" x14ac:dyDescent="0.3">
      <c r="B688" s="28">
        <v>65</v>
      </c>
      <c r="C688" s="28">
        <v>32.035710000000002</v>
      </c>
      <c r="D688" s="20">
        <f t="shared" si="195"/>
        <v>52.991544178994474</v>
      </c>
      <c r="E688" s="20">
        <f t="shared" si="196"/>
        <v>-3.8433215885102321</v>
      </c>
      <c r="F688" s="20">
        <f t="shared" si="197"/>
        <v>5.1361087559971139</v>
      </c>
      <c r="G688" s="20">
        <f t="shared" si="198"/>
        <v>5.1361087559971139</v>
      </c>
      <c r="H688" s="20">
        <f t="shared" si="199"/>
        <v>5.1361087559971139</v>
      </c>
      <c r="I688" s="17"/>
      <c r="J688" s="20">
        <f t="shared" si="200"/>
        <v>49.097731349946869</v>
      </c>
      <c r="K688" s="20">
        <f t="shared" si="201"/>
        <v>2.0977618259938189E-2</v>
      </c>
      <c r="L688" s="20">
        <f t="shared" si="202"/>
        <v>3.8008769417454822</v>
      </c>
      <c r="M688" s="20">
        <f t="shared" si="203"/>
        <v>3.8008769417454822</v>
      </c>
      <c r="N688" s="20">
        <f t="shared" si="204"/>
        <v>3.8008769417454822</v>
      </c>
      <c r="O688" s="17"/>
      <c r="P688" s="20">
        <f t="shared" si="205"/>
        <v>7.7179462184756016</v>
      </c>
      <c r="Q688" s="20">
        <f t="shared" si="206"/>
        <v>14.540129831885039</v>
      </c>
      <c r="R688" s="20">
        <f t="shared" si="207"/>
        <v>0</v>
      </c>
      <c r="S688" s="20">
        <f t="shared" si="208"/>
        <v>0</v>
      </c>
      <c r="T688" s="20">
        <f t="shared" si="209"/>
        <v>0</v>
      </c>
      <c r="U688" s="17"/>
      <c r="V688" s="20">
        <f t="shared" si="210"/>
        <v>22.258076050360643</v>
      </c>
      <c r="W688" s="17"/>
      <c r="X688" s="20">
        <f t="shared" si="211"/>
        <v>95.602125653140163</v>
      </c>
      <c r="Y688" s="20">
        <f t="shared" si="212"/>
        <v>9.7776339496393589</v>
      </c>
      <c r="Z688" s="20"/>
      <c r="AA688" s="20">
        <f t="shared" si="213"/>
        <v>6.3902652883742687E-5</v>
      </c>
    </row>
    <row r="689" spans="2:27" x14ac:dyDescent="0.3">
      <c r="B689" s="28">
        <v>65.099999999999994</v>
      </c>
      <c r="C689" s="28">
        <v>12.78571</v>
      </c>
      <c r="D689" s="20">
        <f t="shared" si="195"/>
        <v>53.066722359293124</v>
      </c>
      <c r="E689" s="20">
        <f t="shared" si="196"/>
        <v>-3.8382749661632731</v>
      </c>
      <c r="F689" s="20">
        <f t="shared" si="197"/>
        <v>5.1472198671082241</v>
      </c>
      <c r="G689" s="20">
        <f t="shared" si="198"/>
        <v>5.1472198671082241</v>
      </c>
      <c r="H689" s="20">
        <f t="shared" si="199"/>
        <v>5.1472198671082241</v>
      </c>
      <c r="I689" s="17"/>
      <c r="J689" s="20">
        <f t="shared" si="200"/>
        <v>49.171410002213449</v>
      </c>
      <c r="K689" s="20">
        <f t="shared" si="201"/>
        <v>2.1081560579929524E-2</v>
      </c>
      <c r="L689" s="20">
        <f t="shared" si="202"/>
        <v>3.8096757789730131</v>
      </c>
      <c r="M689" s="20">
        <f t="shared" si="203"/>
        <v>3.8096757789730131</v>
      </c>
      <c r="N689" s="20">
        <f t="shared" si="204"/>
        <v>3.8096757789730131</v>
      </c>
      <c r="O689" s="17"/>
      <c r="P689" s="20">
        <f t="shared" si="205"/>
        <v>7.6950644957847967</v>
      </c>
      <c r="Q689" s="20">
        <f t="shared" si="206"/>
        <v>14.466967105042905</v>
      </c>
      <c r="R689" s="20">
        <f t="shared" si="207"/>
        <v>0</v>
      </c>
      <c r="S689" s="20">
        <f t="shared" si="208"/>
        <v>0</v>
      </c>
      <c r="T689" s="20">
        <f t="shared" si="209"/>
        <v>0</v>
      </c>
      <c r="U689" s="17"/>
      <c r="V689" s="20">
        <f t="shared" si="210"/>
        <v>22.162031600827703</v>
      </c>
      <c r="W689" s="17"/>
      <c r="X689" s="20">
        <f t="shared" si="211"/>
        <v>87.91540676214818</v>
      </c>
      <c r="Y689" s="20">
        <f t="shared" si="212"/>
        <v>9.3763216008277031</v>
      </c>
      <c r="Z689" s="20"/>
      <c r="AA689" s="20">
        <f t="shared" si="213"/>
        <v>6.1279838012971564E-5</v>
      </c>
    </row>
    <row r="690" spans="2:27" x14ac:dyDescent="0.3">
      <c r="B690" s="28">
        <v>65.2</v>
      </c>
      <c r="C690" s="28">
        <v>29.535710000000002</v>
      </c>
      <c r="D690" s="20">
        <f t="shared" ref="D690:D753" si="214">$C$23/(1-$C$23)-LN((1-$C$23)/$C$23)+$C$22/(1-$C$23)*B690</f>
        <v>53.141900539591795</v>
      </c>
      <c r="E690" s="20">
        <f t="shared" ref="E690:E753" si="215">$D$23/(1-$D$23)-LN((1-$D$23)/$D$23)+$D$22*B690/(1-$D$23)</f>
        <v>-3.8332283438163137</v>
      </c>
      <c r="F690" s="20">
        <f t="shared" ref="F690:F753" si="216">$E$23/(1-$E$23)-LN((1-$E$23)/$E$23)+$E$22*B690/(1-$E$23)</f>
        <v>5.1583309782193361</v>
      </c>
      <c r="G690" s="20">
        <f t="shared" ref="G690:G753" si="217">$F$23/(1-$F$23)-LN((1-$F$23)/$F$23)+$F$22*B690/(1-$F$23)</f>
        <v>5.1583309782193361</v>
      </c>
      <c r="H690" s="20">
        <f t="shared" ref="H690:H753" si="218">$G$23/(1-$G$23)-LN((1-$G$23)/$G$23)+$G$22*B690/(1-$G$23)</f>
        <v>5.1583309782193361</v>
      </c>
      <c r="I690" s="17"/>
      <c r="J690" s="20">
        <f t="shared" ref="J690:J753" si="219">lmb_2(D690)</f>
        <v>49.245090855012691</v>
      </c>
      <c r="K690" s="20">
        <f t="shared" ref="K690:K753" si="220">lmb_2(E690)</f>
        <v>2.118600724034168E-2</v>
      </c>
      <c r="L690" s="20">
        <f t="shared" ref="L690:L753" si="221">lmb_2(F690)</f>
        <v>3.8184788434324566</v>
      </c>
      <c r="M690" s="20">
        <f t="shared" ref="M690:M753" si="222">lmb_2(G690)</f>
        <v>3.8184788434324566</v>
      </c>
      <c r="N690" s="20">
        <f t="shared" ref="N690:N753" si="223">lmb_2(H690)</f>
        <v>3.8184788434324566</v>
      </c>
      <c r="O690" s="17"/>
      <c r="P690" s="20">
        <f t="shared" ref="P690:P753" si="224">($C$21*$A$21*$C$22)/(J690+J690^2)</f>
        <v>7.6722837046406234</v>
      </c>
      <c r="Q690" s="20">
        <f t="shared" ref="Q690:Q753" si="225">($D$21*$A$21*$D$22)/(K690+K690^2)</f>
        <v>14.394172816675951</v>
      </c>
      <c r="R690" s="20">
        <f t="shared" ref="R690:R753" si="226">($E$21*$A$21*$E$22)/(L690+L690^2)</f>
        <v>0</v>
      </c>
      <c r="S690" s="20">
        <f t="shared" ref="S690:S753" si="227">($F$21*$A$21*$F$22)/(M690+M690^2)</f>
        <v>0</v>
      </c>
      <c r="T690" s="20">
        <f t="shared" ref="T690:T753" si="228">($G$21*$A$21*$G$22)/(N690+N690^2)</f>
        <v>0</v>
      </c>
      <c r="U690" s="17"/>
      <c r="V690" s="20">
        <f t="shared" ref="V690:V753" si="229">SUM(P690:T690)</f>
        <v>22.066456521316574</v>
      </c>
      <c r="W690" s="17"/>
      <c r="X690" s="20">
        <f t="shared" ref="X690:X753" si="230">(V690-C690)^2</f>
        <v>55.789747528824478</v>
      </c>
      <c r="Y690" s="20">
        <f t="shared" ref="Y690:Y753" si="231">ABS(V690-C690)</f>
        <v>7.4692534786834273</v>
      </c>
      <c r="Z690" s="20"/>
      <c r="AA690" s="20">
        <f t="shared" ref="AA690:AA753" si="232">Y690/$Z$39</f>
        <v>4.8816013649866659E-5</v>
      </c>
    </row>
    <row r="691" spans="2:27" x14ac:dyDescent="0.3">
      <c r="B691" s="28">
        <v>65.3</v>
      </c>
      <c r="C691" s="28">
        <v>17.285710000000002</v>
      </c>
      <c r="D691" s="20">
        <f t="shared" si="214"/>
        <v>53.217078719890445</v>
      </c>
      <c r="E691" s="20">
        <f t="shared" si="215"/>
        <v>-3.8281817214693552</v>
      </c>
      <c r="F691" s="20">
        <f t="shared" si="216"/>
        <v>5.1694420893304471</v>
      </c>
      <c r="G691" s="20">
        <f t="shared" si="217"/>
        <v>5.1694420893304471</v>
      </c>
      <c r="H691" s="20">
        <f t="shared" si="218"/>
        <v>5.1694420893304471</v>
      </c>
      <c r="I691" s="17"/>
      <c r="J691" s="20">
        <f t="shared" si="219"/>
        <v>49.318773901960881</v>
      </c>
      <c r="K691" s="20">
        <f t="shared" si="220"/>
        <v>2.129096058437964E-2</v>
      </c>
      <c r="L691" s="20">
        <f t="shared" si="221"/>
        <v>3.8272861217119041</v>
      </c>
      <c r="M691" s="20">
        <f t="shared" si="222"/>
        <v>3.8272861217119041</v>
      </c>
      <c r="N691" s="20">
        <f t="shared" si="223"/>
        <v>3.8272861217119041</v>
      </c>
      <c r="O691" s="17"/>
      <c r="P691" s="20">
        <f t="shared" si="224"/>
        <v>7.6496032552711846</v>
      </c>
      <c r="Q691" s="20">
        <f t="shared" si="225"/>
        <v>14.321745112705832</v>
      </c>
      <c r="R691" s="20">
        <f t="shared" si="226"/>
        <v>0</v>
      </c>
      <c r="S691" s="20">
        <f t="shared" si="227"/>
        <v>0</v>
      </c>
      <c r="T691" s="20">
        <f t="shared" si="228"/>
        <v>0</v>
      </c>
      <c r="U691" s="17"/>
      <c r="V691" s="20">
        <f t="shared" si="229"/>
        <v>21.971348367977015</v>
      </c>
      <c r="W691" s="17"/>
      <c r="X691" s="20">
        <f t="shared" si="230"/>
        <v>21.955206915458287</v>
      </c>
      <c r="Y691" s="20">
        <f t="shared" si="231"/>
        <v>4.6856383679770133</v>
      </c>
      <c r="Z691" s="20"/>
      <c r="AA691" s="20">
        <f t="shared" si="232"/>
        <v>3.0623433410352381E-5</v>
      </c>
    </row>
    <row r="692" spans="2:27" x14ac:dyDescent="0.3">
      <c r="B692" s="28">
        <v>65.400000000000006</v>
      </c>
      <c r="C692" s="28">
        <v>14.28571</v>
      </c>
      <c r="D692" s="20">
        <f t="shared" si="214"/>
        <v>53.292256900189116</v>
      </c>
      <c r="E692" s="20">
        <f t="shared" si="215"/>
        <v>-3.8231350991223954</v>
      </c>
      <c r="F692" s="20">
        <f t="shared" si="216"/>
        <v>5.1805532004415591</v>
      </c>
      <c r="G692" s="20">
        <f t="shared" si="217"/>
        <v>5.1805532004415591</v>
      </c>
      <c r="H692" s="20">
        <f t="shared" si="218"/>
        <v>5.1805532004415591</v>
      </c>
      <c r="I692" s="17"/>
      <c r="J692" s="20">
        <f t="shared" si="219"/>
        <v>49.392459136701909</v>
      </c>
      <c r="K692" s="20">
        <f t="shared" si="220"/>
        <v>2.1396422965135612E-2</v>
      </c>
      <c r="L692" s="20">
        <f t="shared" si="221"/>
        <v>3.8360976004553651</v>
      </c>
      <c r="M692" s="20">
        <f t="shared" si="222"/>
        <v>3.8360976004553651</v>
      </c>
      <c r="N692" s="20">
        <f t="shared" si="223"/>
        <v>3.8360976004553651</v>
      </c>
      <c r="O692" s="17"/>
      <c r="P692" s="20">
        <f t="shared" si="224"/>
        <v>7.6270225621886887</v>
      </c>
      <c r="Q692" s="20">
        <f t="shared" si="225"/>
        <v>14.249682148389383</v>
      </c>
      <c r="R692" s="20">
        <f t="shared" si="226"/>
        <v>0</v>
      </c>
      <c r="S692" s="20">
        <f t="shared" si="227"/>
        <v>0</v>
      </c>
      <c r="T692" s="20">
        <f t="shared" si="228"/>
        <v>0</v>
      </c>
      <c r="U692" s="17"/>
      <c r="V692" s="20">
        <f t="shared" si="229"/>
        <v>21.876704710578071</v>
      </c>
      <c r="W692" s="17"/>
      <c r="X692" s="20">
        <f t="shared" si="230"/>
        <v>57.623200696024256</v>
      </c>
      <c r="Y692" s="20">
        <f t="shared" si="231"/>
        <v>7.5909947105780713</v>
      </c>
      <c r="Z692" s="20"/>
      <c r="AA692" s="20">
        <f t="shared" si="232"/>
        <v>4.9611665003095074E-5</v>
      </c>
    </row>
    <row r="693" spans="2:27" x14ac:dyDescent="0.3">
      <c r="B693" s="28">
        <v>65.5</v>
      </c>
      <c r="C693" s="28">
        <v>16.035710000000002</v>
      </c>
      <c r="D693" s="20">
        <f t="shared" si="214"/>
        <v>53.367435080487766</v>
      </c>
      <c r="E693" s="20">
        <f t="shared" si="215"/>
        <v>-3.8180884767754364</v>
      </c>
      <c r="F693" s="20">
        <f t="shared" si="216"/>
        <v>5.1916643115526702</v>
      </c>
      <c r="G693" s="20">
        <f t="shared" si="217"/>
        <v>5.1916643115526702</v>
      </c>
      <c r="H693" s="20">
        <f t="shared" si="218"/>
        <v>5.1916643115526702</v>
      </c>
      <c r="I693" s="17"/>
      <c r="J693" s="20">
        <f t="shared" si="219"/>
        <v>49.466146552906977</v>
      </c>
      <c r="K693" s="20">
        <f t="shared" si="220"/>
        <v>2.1502396745620975E-2</v>
      </c>
      <c r="L693" s="20">
        <f t="shared" si="221"/>
        <v>3.844913266362493</v>
      </c>
      <c r="M693" s="20">
        <f t="shared" si="222"/>
        <v>3.844913266362493</v>
      </c>
      <c r="N693" s="20">
        <f t="shared" si="223"/>
        <v>3.844913266362493</v>
      </c>
      <c r="O693" s="17"/>
      <c r="P693" s="20">
        <f t="shared" si="224"/>
        <v>7.604541044152322</v>
      </c>
      <c r="Q693" s="20">
        <f t="shared" si="225"/>
        <v>14.177982088271765</v>
      </c>
      <c r="R693" s="20">
        <f t="shared" si="226"/>
        <v>0</v>
      </c>
      <c r="S693" s="20">
        <f t="shared" si="227"/>
        <v>0</v>
      </c>
      <c r="T693" s="20">
        <f t="shared" si="228"/>
        <v>0</v>
      </c>
      <c r="U693" s="17"/>
      <c r="V693" s="20">
        <f t="shared" si="229"/>
        <v>21.782523132424089</v>
      </c>
      <c r="W693" s="17"/>
      <c r="X693" s="20">
        <f t="shared" si="230"/>
        <v>33.02586117900195</v>
      </c>
      <c r="Y693" s="20">
        <f t="shared" si="231"/>
        <v>5.7468131324240872</v>
      </c>
      <c r="Z693" s="20"/>
      <c r="AA693" s="20">
        <f t="shared" si="232"/>
        <v>3.755884160529201E-5</v>
      </c>
    </row>
    <row r="694" spans="2:27" x14ac:dyDescent="0.3">
      <c r="B694" s="28">
        <v>65.599999999999994</v>
      </c>
      <c r="C694" s="28">
        <v>1.5357099999999999</v>
      </c>
      <c r="D694" s="20">
        <f t="shared" si="214"/>
        <v>53.442613260786423</v>
      </c>
      <c r="E694" s="20">
        <f t="shared" si="215"/>
        <v>-3.8130418544284774</v>
      </c>
      <c r="F694" s="20">
        <f t="shared" si="216"/>
        <v>5.2027754226637795</v>
      </c>
      <c r="G694" s="20">
        <f t="shared" si="217"/>
        <v>5.2027754226637795</v>
      </c>
      <c r="H694" s="20">
        <f t="shared" si="218"/>
        <v>5.2027754226637795</v>
      </c>
      <c r="I694" s="17"/>
      <c r="J694" s="20">
        <f t="shared" si="219"/>
        <v>49.539836144274595</v>
      </c>
      <c r="K694" s="20">
        <f t="shared" si="220"/>
        <v>2.1608884298798616E-2</v>
      </c>
      <c r="L694" s="20">
        <f t="shared" si="221"/>
        <v>3.8537331061883267</v>
      </c>
      <c r="M694" s="20">
        <f t="shared" si="222"/>
        <v>3.8537331061883267</v>
      </c>
      <c r="N694" s="20">
        <f t="shared" si="223"/>
        <v>3.8537331061883267</v>
      </c>
      <c r="O694" s="17"/>
      <c r="P694" s="20">
        <f t="shared" si="224"/>
        <v>7.5821581241314204</v>
      </c>
      <c r="Q694" s="20">
        <f t="shared" si="225"/>
        <v>14.106643106139577</v>
      </c>
      <c r="R694" s="20">
        <f t="shared" si="226"/>
        <v>0</v>
      </c>
      <c r="S694" s="20">
        <f t="shared" si="227"/>
        <v>0</v>
      </c>
      <c r="T694" s="20">
        <f t="shared" si="228"/>
        <v>0</v>
      </c>
      <c r="U694" s="17"/>
      <c r="V694" s="20">
        <f t="shared" si="229"/>
        <v>21.688801230270997</v>
      </c>
      <c r="W694" s="17"/>
      <c r="X694" s="20">
        <f t="shared" si="230"/>
        <v>406.14708613562567</v>
      </c>
      <c r="Y694" s="20">
        <f t="shared" si="231"/>
        <v>20.153091230270995</v>
      </c>
      <c r="Z694" s="20"/>
      <c r="AA694" s="20">
        <f t="shared" si="232"/>
        <v>1.3171243677719262E-4</v>
      </c>
    </row>
    <row r="695" spans="2:27" x14ac:dyDescent="0.3">
      <c r="B695" s="28">
        <v>65.7</v>
      </c>
      <c r="C695" s="28">
        <v>31.035710000000002</v>
      </c>
      <c r="D695" s="20">
        <f t="shared" si="214"/>
        <v>53.517791441085087</v>
      </c>
      <c r="E695" s="20">
        <f t="shared" si="215"/>
        <v>-3.807995232081518</v>
      </c>
      <c r="F695" s="20">
        <f t="shared" si="216"/>
        <v>5.2138865337748914</v>
      </c>
      <c r="G695" s="20">
        <f t="shared" si="217"/>
        <v>5.2138865337748914</v>
      </c>
      <c r="H695" s="20">
        <f t="shared" si="218"/>
        <v>5.2138865337748914</v>
      </c>
      <c r="I695" s="17"/>
      <c r="J695" s="20">
        <f t="shared" si="219"/>
        <v>49.613527904530308</v>
      </c>
      <c r="K695" s="20">
        <f t="shared" si="220"/>
        <v>2.1715888007615022E-2</v>
      </c>
      <c r="L695" s="20">
        <f t="shared" si="221"/>
        <v>3.8625571067430333</v>
      </c>
      <c r="M695" s="20">
        <f t="shared" si="222"/>
        <v>3.8625571067430333</v>
      </c>
      <c r="N695" s="20">
        <f t="shared" si="223"/>
        <v>3.8625571067430333</v>
      </c>
      <c r="O695" s="17"/>
      <c r="P695" s="20">
        <f t="shared" si="224"/>
        <v>7.5598732292690753</v>
      </c>
      <c r="Q695" s="20">
        <f t="shared" si="225"/>
        <v>14.035663384974402</v>
      </c>
      <c r="R695" s="20">
        <f t="shared" si="226"/>
        <v>0</v>
      </c>
      <c r="S695" s="20">
        <f t="shared" si="227"/>
        <v>0</v>
      </c>
      <c r="T695" s="20">
        <f t="shared" si="228"/>
        <v>0</v>
      </c>
      <c r="U695" s="17"/>
      <c r="V695" s="20">
        <f t="shared" si="229"/>
        <v>21.595536614243478</v>
      </c>
      <c r="W695" s="17"/>
      <c r="X695" s="20">
        <f t="shared" si="230"/>
        <v>89.11687355314578</v>
      </c>
      <c r="Y695" s="20">
        <f t="shared" si="231"/>
        <v>9.4401733857565233</v>
      </c>
      <c r="Z695" s="20"/>
      <c r="AA695" s="20">
        <f t="shared" si="232"/>
        <v>6.1697147401861525E-5</v>
      </c>
    </row>
    <row r="696" spans="2:27" x14ac:dyDescent="0.3">
      <c r="B696" s="28">
        <v>65.8</v>
      </c>
      <c r="C696" s="28">
        <v>-3.4642900000000001</v>
      </c>
      <c r="D696" s="20">
        <f t="shared" si="214"/>
        <v>53.592969621383745</v>
      </c>
      <c r="E696" s="20">
        <f t="shared" si="215"/>
        <v>-3.8029486097345591</v>
      </c>
      <c r="F696" s="20">
        <f t="shared" si="216"/>
        <v>5.2249976448860025</v>
      </c>
      <c r="G696" s="20">
        <f t="shared" si="217"/>
        <v>5.2249976448860025</v>
      </c>
      <c r="H696" s="20">
        <f t="shared" si="218"/>
        <v>5.2249976448860025</v>
      </c>
      <c r="I696" s="17"/>
      <c r="J696" s="20">
        <f t="shared" si="219"/>
        <v>49.687221827426598</v>
      </c>
      <c r="K696" s="20">
        <f t="shared" si="220"/>
        <v>2.1823410265032428E-2</v>
      </c>
      <c r="L696" s="20">
        <f t="shared" si="221"/>
        <v>3.8713852548916341</v>
      </c>
      <c r="M696" s="20">
        <f t="shared" si="222"/>
        <v>3.8713852548916341</v>
      </c>
      <c r="N696" s="20">
        <f t="shared" si="223"/>
        <v>3.8713852548916341</v>
      </c>
      <c r="O696" s="17"/>
      <c r="P696" s="20">
        <f t="shared" si="224"/>
        <v>7.5376857908460764</v>
      </c>
      <c r="Q696" s="20">
        <f t="shared" si="225"/>
        <v>13.965041116906526</v>
      </c>
      <c r="R696" s="20">
        <f t="shared" si="226"/>
        <v>0</v>
      </c>
      <c r="S696" s="20">
        <f t="shared" si="227"/>
        <v>0</v>
      </c>
      <c r="T696" s="20">
        <f t="shared" si="228"/>
        <v>0</v>
      </c>
      <c r="U696" s="17"/>
      <c r="V696" s="20">
        <f t="shared" si="229"/>
        <v>21.502726907752603</v>
      </c>
      <c r="W696" s="17"/>
      <c r="X696" s="20">
        <f t="shared" si="230"/>
        <v>623.3519332720042</v>
      </c>
      <c r="Y696" s="20">
        <f t="shared" si="231"/>
        <v>24.967016907752601</v>
      </c>
      <c r="Z696" s="20"/>
      <c r="AA696" s="20">
        <f t="shared" si="232"/>
        <v>1.631743040510835E-4</v>
      </c>
    </row>
    <row r="697" spans="2:27" x14ac:dyDescent="0.3">
      <c r="B697" s="28">
        <v>65.900000000000006</v>
      </c>
      <c r="C697" s="28">
        <v>33.035710000000002</v>
      </c>
      <c r="D697" s="20">
        <f t="shared" si="214"/>
        <v>53.668147801682409</v>
      </c>
      <c r="E697" s="20">
        <f t="shared" si="215"/>
        <v>-3.7979019873875992</v>
      </c>
      <c r="F697" s="20">
        <f t="shared" si="216"/>
        <v>5.2361087559971145</v>
      </c>
      <c r="G697" s="20">
        <f t="shared" si="217"/>
        <v>5.2361087559971145</v>
      </c>
      <c r="H697" s="20">
        <f t="shared" si="218"/>
        <v>5.2361087559971145</v>
      </c>
      <c r="I697" s="17"/>
      <c r="J697" s="20">
        <f t="shared" si="219"/>
        <v>49.760917906742712</v>
      </c>
      <c r="K697" s="20">
        <f t="shared" si="220"/>
        <v>2.1931453474061079E-2</v>
      </c>
      <c r="L697" s="20">
        <f t="shared" si="221"/>
        <v>3.8802175375537584</v>
      </c>
      <c r="M697" s="20">
        <f t="shared" si="222"/>
        <v>3.8802175375537584</v>
      </c>
      <c r="N697" s="20">
        <f t="shared" si="223"/>
        <v>3.8802175375537584</v>
      </c>
      <c r="O697" s="17"/>
      <c r="P697" s="20">
        <f t="shared" si="224"/>
        <v>7.5155952442452145</v>
      </c>
      <c r="Q697" s="20">
        <f t="shared" si="225"/>
        <v>13.89477450316884</v>
      </c>
      <c r="R697" s="20">
        <f t="shared" si="226"/>
        <v>0</v>
      </c>
      <c r="S697" s="20">
        <f t="shared" si="227"/>
        <v>0</v>
      </c>
      <c r="T697" s="20">
        <f t="shared" si="228"/>
        <v>0</v>
      </c>
      <c r="U697" s="17"/>
      <c r="V697" s="20">
        <f t="shared" si="229"/>
        <v>21.410369747414055</v>
      </c>
      <c r="W697" s="17"/>
      <c r="X697" s="20">
        <f t="shared" si="230"/>
        <v>135.14853598839508</v>
      </c>
      <c r="Y697" s="20">
        <f t="shared" si="231"/>
        <v>11.625340252585946</v>
      </c>
      <c r="Z697" s="20"/>
      <c r="AA697" s="20">
        <f t="shared" si="232"/>
        <v>7.5978512454314385E-5</v>
      </c>
    </row>
    <row r="698" spans="2:27" x14ac:dyDescent="0.3">
      <c r="B698" s="28">
        <v>66</v>
      </c>
      <c r="C698" s="28">
        <v>22.535710000000002</v>
      </c>
      <c r="D698" s="20">
        <f t="shared" si="214"/>
        <v>53.743325981981066</v>
      </c>
      <c r="E698" s="20">
        <f t="shared" si="215"/>
        <v>-3.7928553650406407</v>
      </c>
      <c r="F698" s="20">
        <f t="shared" si="216"/>
        <v>5.2472198671082255</v>
      </c>
      <c r="G698" s="20">
        <f t="shared" si="217"/>
        <v>5.2472198671082255</v>
      </c>
      <c r="H698" s="20">
        <f t="shared" si="218"/>
        <v>5.2472198671082255</v>
      </c>
      <c r="I698" s="17"/>
      <c r="J698" s="20">
        <f t="shared" si="219"/>
        <v>49.834616136284509</v>
      </c>
      <c r="K698" s="20">
        <f t="shared" si="220"/>
        <v>2.2040020047791289E-2</v>
      </c>
      <c r="L698" s="20">
        <f t="shared" si="221"/>
        <v>3.8890539417033767</v>
      </c>
      <c r="M698" s="20">
        <f t="shared" si="222"/>
        <v>3.8890539417033767</v>
      </c>
      <c r="N698" s="20">
        <f t="shared" si="223"/>
        <v>3.8890539417033767</v>
      </c>
      <c r="O698" s="17"/>
      <c r="P698" s="20">
        <f t="shared" si="224"/>
        <v>7.4936010289159594</v>
      </c>
      <c r="Q698" s="20">
        <f t="shared" si="225"/>
        <v>13.824861754051097</v>
      </c>
      <c r="R698" s="20">
        <f t="shared" si="226"/>
        <v>0</v>
      </c>
      <c r="S698" s="20">
        <f t="shared" si="227"/>
        <v>0</v>
      </c>
      <c r="T698" s="20">
        <f t="shared" si="228"/>
        <v>0</v>
      </c>
      <c r="U698" s="17"/>
      <c r="V698" s="20">
        <f t="shared" si="229"/>
        <v>21.318462782967057</v>
      </c>
      <c r="W698" s="17"/>
      <c r="X698" s="20">
        <f t="shared" si="230"/>
        <v>1.4816907873744494</v>
      </c>
      <c r="Y698" s="20">
        <f t="shared" si="231"/>
        <v>1.2172472170329449</v>
      </c>
      <c r="Z698" s="20"/>
      <c r="AA698" s="20">
        <f t="shared" si="232"/>
        <v>7.9554344930889069E-6</v>
      </c>
    </row>
    <row r="699" spans="2:27" x14ac:dyDescent="0.3">
      <c r="B699" s="28">
        <v>66.099999999999994</v>
      </c>
      <c r="C699" s="28">
        <v>20.285710000000002</v>
      </c>
      <c r="D699" s="20">
        <f t="shared" si="214"/>
        <v>53.818504162279723</v>
      </c>
      <c r="E699" s="20">
        <f t="shared" si="215"/>
        <v>-3.7878087426936813</v>
      </c>
      <c r="F699" s="20">
        <f t="shared" si="216"/>
        <v>5.2583309782193348</v>
      </c>
      <c r="G699" s="20">
        <f t="shared" si="217"/>
        <v>5.2583309782193348</v>
      </c>
      <c r="H699" s="20">
        <f t="shared" si="218"/>
        <v>5.2583309782193348</v>
      </c>
      <c r="I699" s="17"/>
      <c r="J699" s="20">
        <f t="shared" si="219"/>
        <v>49.908316509884337</v>
      </c>
      <c r="K699" s="20">
        <f t="shared" si="220"/>
        <v>2.2149112409425811E-2</v>
      </c>
      <c r="L699" s="20">
        <f t="shared" si="221"/>
        <v>3.8978944543685476</v>
      </c>
      <c r="M699" s="20">
        <f t="shared" si="222"/>
        <v>3.8978944543685476</v>
      </c>
      <c r="N699" s="20">
        <f t="shared" si="223"/>
        <v>3.8978944543685476</v>
      </c>
      <c r="O699" s="17"/>
      <c r="P699" s="20">
        <f t="shared" si="224"/>
        <v>7.4717025883394621</v>
      </c>
      <c r="Q699" s="20">
        <f t="shared" si="225"/>
        <v>13.755301088854212</v>
      </c>
      <c r="R699" s="20">
        <f t="shared" si="226"/>
        <v>0</v>
      </c>
      <c r="S699" s="20">
        <f t="shared" si="227"/>
        <v>0</v>
      </c>
      <c r="T699" s="20">
        <f t="shared" si="228"/>
        <v>0</v>
      </c>
      <c r="U699" s="17"/>
      <c r="V699" s="20">
        <f t="shared" si="229"/>
        <v>21.227003677193675</v>
      </c>
      <c r="W699" s="17"/>
      <c r="X699" s="20">
        <f t="shared" si="230"/>
        <v>0.88603378672478761</v>
      </c>
      <c r="Y699" s="20">
        <f t="shared" si="231"/>
        <v>0.94129367719367352</v>
      </c>
      <c r="Z699" s="20"/>
      <c r="AA699" s="20">
        <f t="shared" si="232"/>
        <v>6.1519139932199742E-6</v>
      </c>
    </row>
    <row r="700" spans="2:27" x14ac:dyDescent="0.3">
      <c r="B700" s="28">
        <v>66.2</v>
      </c>
      <c r="C700" s="28">
        <v>3.7857099999999999</v>
      </c>
      <c r="D700" s="20">
        <f t="shared" si="214"/>
        <v>53.893682342578387</v>
      </c>
      <c r="E700" s="20">
        <f t="shared" si="215"/>
        <v>-3.7827621203467219</v>
      </c>
      <c r="F700" s="20">
        <f t="shared" si="216"/>
        <v>5.2694420893304477</v>
      </c>
      <c r="G700" s="20">
        <f t="shared" si="217"/>
        <v>5.2694420893304477</v>
      </c>
      <c r="H700" s="20">
        <f t="shared" si="218"/>
        <v>5.2694420893304477</v>
      </c>
      <c r="I700" s="17"/>
      <c r="J700" s="20">
        <f t="shared" si="219"/>
        <v>49.982019021400852</v>
      </c>
      <c r="K700" s="20">
        <f t="shared" si="220"/>
        <v>2.2258732992311892E-2</v>
      </c>
      <c r="L700" s="20">
        <f t="shared" si="221"/>
        <v>3.9067390626311651</v>
      </c>
      <c r="M700" s="20">
        <f t="shared" si="222"/>
        <v>3.9067390626311651</v>
      </c>
      <c r="N700" s="20">
        <f t="shared" si="223"/>
        <v>3.9067390626311651</v>
      </c>
      <c r="O700" s="17"/>
      <c r="P700" s="20">
        <f t="shared" si="224"/>
        <v>7.4498993699939362</v>
      </c>
      <c r="Q700" s="20">
        <f t="shared" si="225"/>
        <v>13.686090735844996</v>
      </c>
      <c r="R700" s="20">
        <f t="shared" si="226"/>
        <v>0</v>
      </c>
      <c r="S700" s="20">
        <f t="shared" si="227"/>
        <v>0</v>
      </c>
      <c r="T700" s="20">
        <f t="shared" si="228"/>
        <v>0</v>
      </c>
      <c r="U700" s="17"/>
      <c r="V700" s="20">
        <f t="shared" si="229"/>
        <v>21.135990105838932</v>
      </c>
      <c r="W700" s="17"/>
      <c r="X700" s="20">
        <f t="shared" si="230"/>
        <v>301.03221975107027</v>
      </c>
      <c r="Y700" s="20">
        <f t="shared" si="231"/>
        <v>17.350280105838934</v>
      </c>
      <c r="Z700" s="20"/>
      <c r="AA700" s="20">
        <f t="shared" si="232"/>
        <v>1.1339439917159369E-4</v>
      </c>
    </row>
    <row r="701" spans="2:27" x14ac:dyDescent="0.3">
      <c r="B701" s="28">
        <v>66.3</v>
      </c>
      <c r="C701" s="28">
        <v>14.28571</v>
      </c>
      <c r="D701" s="20">
        <f t="shared" si="214"/>
        <v>53.968860522877044</v>
      </c>
      <c r="E701" s="20">
        <f t="shared" si="215"/>
        <v>-3.7777154979997634</v>
      </c>
      <c r="F701" s="20">
        <f t="shared" si="216"/>
        <v>5.2805532004415578</v>
      </c>
      <c r="G701" s="20">
        <f t="shared" si="217"/>
        <v>5.2805532004415578</v>
      </c>
      <c r="H701" s="20">
        <f t="shared" si="218"/>
        <v>5.2805532004415578</v>
      </c>
      <c r="I701" s="17"/>
      <c r="J701" s="20">
        <f t="shared" si="219"/>
        <v>50.055723664718855</v>
      </c>
      <c r="K701" s="20">
        <f t="shared" si="220"/>
        <v>2.2368884239973491E-2</v>
      </c>
      <c r="L701" s="20">
        <f t="shared" si="221"/>
        <v>3.9155877536266899</v>
      </c>
      <c r="M701" s="20">
        <f t="shared" si="222"/>
        <v>3.9155877536266899</v>
      </c>
      <c r="N701" s="20">
        <f t="shared" si="223"/>
        <v>3.9155877536266899</v>
      </c>
      <c r="O701" s="17"/>
      <c r="P701" s="20">
        <f t="shared" si="224"/>
        <v>7.4281908253203826</v>
      </c>
      <c r="Q701" s="20">
        <f t="shared" si="225"/>
        <v>13.61722893221099</v>
      </c>
      <c r="R701" s="20">
        <f t="shared" si="226"/>
        <v>0</v>
      </c>
      <c r="S701" s="20">
        <f t="shared" si="227"/>
        <v>0</v>
      </c>
      <c r="T701" s="20">
        <f t="shared" si="228"/>
        <v>0</v>
      </c>
      <c r="U701" s="17"/>
      <c r="V701" s="20">
        <f t="shared" si="229"/>
        <v>21.045419757531374</v>
      </c>
      <c r="W701" s="17"/>
      <c r="X701" s="20">
        <f t="shared" si="230"/>
        <v>45.693676006064862</v>
      </c>
      <c r="Y701" s="20">
        <f t="shared" si="231"/>
        <v>6.7597097575313736</v>
      </c>
      <c r="Z701" s="20"/>
      <c r="AA701" s="20">
        <f t="shared" si="232"/>
        <v>4.4178723447333435E-5</v>
      </c>
    </row>
    <row r="702" spans="2:27" x14ac:dyDescent="0.3">
      <c r="B702" s="28">
        <v>66.400000000000006</v>
      </c>
      <c r="C702" s="28">
        <v>9.2857099999999999</v>
      </c>
      <c r="D702" s="20">
        <f t="shared" si="214"/>
        <v>54.044038703175708</v>
      </c>
      <c r="E702" s="20">
        <f t="shared" si="215"/>
        <v>-3.7726688756528035</v>
      </c>
      <c r="F702" s="20">
        <f t="shared" si="216"/>
        <v>5.2916643115526698</v>
      </c>
      <c r="G702" s="20">
        <f t="shared" si="217"/>
        <v>5.2916643115526698</v>
      </c>
      <c r="H702" s="20">
        <f t="shared" si="218"/>
        <v>5.2916643115526698</v>
      </c>
      <c r="I702" s="17"/>
      <c r="J702" s="20">
        <f t="shared" si="219"/>
        <v>50.129430433749221</v>
      </c>
      <c r="K702" s="20">
        <f t="shared" si="220"/>
        <v>2.2479568606143589E-2</v>
      </c>
      <c r="L702" s="20">
        <f t="shared" si="221"/>
        <v>3.9244405145439138</v>
      </c>
      <c r="M702" s="20">
        <f t="shared" si="222"/>
        <v>3.9244405145439138</v>
      </c>
      <c r="N702" s="20">
        <f t="shared" si="223"/>
        <v>3.9244405145439138</v>
      </c>
      <c r="O702" s="17"/>
      <c r="P702" s="20">
        <f t="shared" si="224"/>
        <v>7.406576409688614</v>
      </c>
      <c r="Q702" s="20">
        <f t="shared" si="225"/>
        <v>13.548713924015518</v>
      </c>
      <c r="R702" s="20">
        <f t="shared" si="226"/>
        <v>0</v>
      </c>
      <c r="S702" s="20">
        <f t="shared" si="227"/>
        <v>0</v>
      </c>
      <c r="T702" s="20">
        <f t="shared" si="228"/>
        <v>0</v>
      </c>
      <c r="U702" s="17"/>
      <c r="V702" s="20">
        <f t="shared" si="229"/>
        <v>20.955290333704131</v>
      </c>
      <c r="W702" s="17"/>
      <c r="X702" s="20">
        <f t="shared" si="230"/>
        <v>136.1791051647742</v>
      </c>
      <c r="Y702" s="20">
        <f t="shared" si="231"/>
        <v>11.669580333704131</v>
      </c>
      <c r="Z702" s="20"/>
      <c r="AA702" s="20">
        <f t="shared" si="232"/>
        <v>7.6267647695192191E-5</v>
      </c>
    </row>
    <row r="703" spans="2:27" x14ac:dyDescent="0.3">
      <c r="B703" s="28">
        <v>66.5</v>
      </c>
      <c r="C703" s="28">
        <v>21.785710000000002</v>
      </c>
      <c r="D703" s="20">
        <f t="shared" si="214"/>
        <v>54.119216883474365</v>
      </c>
      <c r="E703" s="20">
        <f t="shared" si="215"/>
        <v>-3.767622253305845</v>
      </c>
      <c r="F703" s="20">
        <f t="shared" si="216"/>
        <v>5.3027754226637809</v>
      </c>
      <c r="G703" s="20">
        <f t="shared" si="217"/>
        <v>5.3027754226637809</v>
      </c>
      <c r="H703" s="20">
        <f t="shared" si="218"/>
        <v>5.3027754226637809</v>
      </c>
      <c r="I703" s="17"/>
      <c r="J703" s="20">
        <f t="shared" si="219"/>
        <v>50.203139322428633</v>
      </c>
      <c r="K703" s="20">
        <f t="shared" si="220"/>
        <v>2.2590788554796203E-2</v>
      </c>
      <c r="L703" s="20">
        <f t="shared" si="221"/>
        <v>3.9332973326246936</v>
      </c>
      <c r="M703" s="20">
        <f t="shared" si="222"/>
        <v>3.9332973326246936</v>
      </c>
      <c r="N703" s="20">
        <f t="shared" si="223"/>
        <v>3.9332973326246936</v>
      </c>
      <c r="O703" s="17"/>
      <c r="P703" s="20">
        <f t="shared" si="224"/>
        <v>7.3850555823636927</v>
      </c>
      <c r="Q703" s="20">
        <f t="shared" si="225"/>
        <v>13.480543966153101</v>
      </c>
      <c r="R703" s="20">
        <f t="shared" si="226"/>
        <v>0</v>
      </c>
      <c r="S703" s="20">
        <f t="shared" si="227"/>
        <v>0</v>
      </c>
      <c r="T703" s="20">
        <f t="shared" si="228"/>
        <v>0</v>
      </c>
      <c r="U703" s="17"/>
      <c r="V703" s="20">
        <f t="shared" si="229"/>
        <v>20.865599548516794</v>
      </c>
      <c r="W703" s="17"/>
      <c r="X703" s="20">
        <f t="shared" si="230"/>
        <v>0.84660324292863187</v>
      </c>
      <c r="Y703" s="20">
        <f t="shared" si="231"/>
        <v>0.92011045148320747</v>
      </c>
      <c r="Z703" s="20"/>
      <c r="AA703" s="20">
        <f t="shared" si="232"/>
        <v>6.0134690149659239E-6</v>
      </c>
    </row>
    <row r="704" spans="2:27" x14ac:dyDescent="0.3">
      <c r="B704" s="28">
        <v>66.599999999999994</v>
      </c>
      <c r="C704" s="28">
        <v>33.535710000000002</v>
      </c>
      <c r="D704" s="20">
        <f t="shared" si="214"/>
        <v>54.194395063773023</v>
      </c>
      <c r="E704" s="20">
        <f t="shared" si="215"/>
        <v>-3.7625756309588856</v>
      </c>
      <c r="F704" s="20">
        <f t="shared" si="216"/>
        <v>5.313886533774892</v>
      </c>
      <c r="G704" s="20">
        <f t="shared" si="217"/>
        <v>5.313886533774892</v>
      </c>
      <c r="H704" s="20">
        <f t="shared" si="218"/>
        <v>5.313886533774892</v>
      </c>
      <c r="I704" s="17"/>
      <c r="J704" s="20">
        <f t="shared" si="219"/>
        <v>50.276850324719568</v>
      </c>
      <c r="K704" s="20">
        <f t="shared" si="220"/>
        <v>2.2702546560178786E-2</v>
      </c>
      <c r="L704" s="20">
        <f t="shared" si="221"/>
        <v>3.9421581951637061</v>
      </c>
      <c r="M704" s="20">
        <f t="shared" si="222"/>
        <v>3.9421581951637061</v>
      </c>
      <c r="N704" s="20">
        <f t="shared" si="223"/>
        <v>3.9421581951637061</v>
      </c>
      <c r="O704" s="17"/>
      <c r="P704" s="20">
        <f t="shared" si="224"/>
        <v>7.3636278064726213</v>
      </c>
      <c r="Q704" s="20">
        <f t="shared" si="225"/>
        <v>13.412717322304889</v>
      </c>
      <c r="R704" s="20">
        <f t="shared" si="226"/>
        <v>0</v>
      </c>
      <c r="S704" s="20">
        <f t="shared" si="227"/>
        <v>0</v>
      </c>
      <c r="T704" s="20">
        <f t="shared" si="228"/>
        <v>0</v>
      </c>
      <c r="U704" s="17"/>
      <c r="V704" s="20">
        <f t="shared" si="229"/>
        <v>20.77634512877751</v>
      </c>
      <c r="W704" s="17"/>
      <c r="X704" s="20">
        <f t="shared" si="230"/>
        <v>162.80139191698655</v>
      </c>
      <c r="Y704" s="20">
        <f t="shared" si="231"/>
        <v>12.759364871222491</v>
      </c>
      <c r="Z704" s="20"/>
      <c r="AA704" s="20">
        <f t="shared" si="232"/>
        <v>8.3390037772157024E-5</v>
      </c>
    </row>
    <row r="705" spans="2:27" x14ac:dyDescent="0.3">
      <c r="B705" s="28">
        <v>66.7</v>
      </c>
      <c r="C705" s="28">
        <v>33.285710000000002</v>
      </c>
      <c r="D705" s="20">
        <f t="shared" si="214"/>
        <v>54.269573244071687</v>
      </c>
      <c r="E705" s="20">
        <f t="shared" si="215"/>
        <v>-3.7575290086119262</v>
      </c>
      <c r="F705" s="20">
        <f t="shared" si="216"/>
        <v>5.324997644886003</v>
      </c>
      <c r="G705" s="20">
        <f t="shared" si="217"/>
        <v>5.324997644886003</v>
      </c>
      <c r="H705" s="20">
        <f t="shared" si="218"/>
        <v>5.324997644886003</v>
      </c>
      <c r="I705" s="17"/>
      <c r="J705" s="20">
        <f t="shared" si="219"/>
        <v>50.350563434610045</v>
      </c>
      <c r="K705" s="20">
        <f t="shared" si="220"/>
        <v>2.2814845106844273E-2</v>
      </c>
      <c r="L705" s="20">
        <f t="shared" si="221"/>
        <v>3.951023089508197</v>
      </c>
      <c r="M705" s="20">
        <f t="shared" si="222"/>
        <v>3.951023089508197</v>
      </c>
      <c r="N705" s="20">
        <f t="shared" si="223"/>
        <v>3.951023089508197</v>
      </c>
      <c r="O705" s="17"/>
      <c r="P705" s="20">
        <f t="shared" si="224"/>
        <v>7.342292548971419</v>
      </c>
      <c r="Q705" s="20">
        <f t="shared" si="225"/>
        <v>13.345232264894522</v>
      </c>
      <c r="R705" s="20">
        <f t="shared" si="226"/>
        <v>0</v>
      </c>
      <c r="S705" s="20">
        <f t="shared" si="227"/>
        <v>0</v>
      </c>
      <c r="T705" s="20">
        <f t="shared" si="228"/>
        <v>0</v>
      </c>
      <c r="U705" s="17"/>
      <c r="V705" s="20">
        <f t="shared" si="229"/>
        <v>20.687524813865942</v>
      </c>
      <c r="W705" s="17"/>
      <c r="X705" s="20">
        <f t="shared" si="230"/>
        <v>158.7142699841277</v>
      </c>
      <c r="Y705" s="20">
        <f t="shared" si="231"/>
        <v>12.59818518613406</v>
      </c>
      <c r="Z705" s="20"/>
      <c r="AA705" s="20">
        <f t="shared" si="232"/>
        <v>8.2336632672194479E-5</v>
      </c>
    </row>
    <row r="706" spans="2:27" x14ac:dyDescent="0.3">
      <c r="B706" s="28">
        <v>66.8</v>
      </c>
      <c r="C706" s="28">
        <v>-1.7142900000000001</v>
      </c>
      <c r="D706" s="20">
        <f t="shared" si="214"/>
        <v>54.344751424370344</v>
      </c>
      <c r="E706" s="20">
        <f t="shared" si="215"/>
        <v>-3.7524823862649672</v>
      </c>
      <c r="F706" s="20">
        <f t="shared" si="216"/>
        <v>5.3361087559971132</v>
      </c>
      <c r="G706" s="20">
        <f t="shared" si="217"/>
        <v>5.3361087559971132</v>
      </c>
      <c r="H706" s="20">
        <f t="shared" si="218"/>
        <v>5.3361087559971132</v>
      </c>
      <c r="I706" s="17"/>
      <c r="J706" s="20">
        <f t="shared" si="219"/>
        <v>50.424278646113535</v>
      </c>
      <c r="K706" s="20">
        <f t="shared" si="220"/>
        <v>2.2927686689683327E-2</v>
      </c>
      <c r="L706" s="20">
        <f t="shared" si="221"/>
        <v>3.9598920030577291</v>
      </c>
      <c r="M706" s="20">
        <f t="shared" si="222"/>
        <v>3.9598920030577291</v>
      </c>
      <c r="N706" s="20">
        <f t="shared" si="223"/>
        <v>3.9598920030577291</v>
      </c>
      <c r="O706" s="17"/>
      <c r="P706" s="20">
        <f t="shared" si="224"/>
        <v>7.3210492806125052</v>
      </c>
      <c r="Q706" s="20">
        <f t="shared" si="225"/>
        <v>13.27808707504408</v>
      </c>
      <c r="R706" s="20">
        <f t="shared" si="226"/>
        <v>0</v>
      </c>
      <c r="S706" s="20">
        <f t="shared" si="227"/>
        <v>0</v>
      </c>
      <c r="T706" s="20">
        <f t="shared" si="228"/>
        <v>0</v>
      </c>
      <c r="U706" s="17"/>
      <c r="V706" s="20">
        <f t="shared" si="229"/>
        <v>20.599136355656587</v>
      </c>
      <c r="W706" s="17"/>
      <c r="X706" s="20">
        <f t="shared" si="230"/>
        <v>497.88899572931007</v>
      </c>
      <c r="Y706" s="20">
        <f t="shared" si="231"/>
        <v>22.313426355656588</v>
      </c>
      <c r="Z706" s="20"/>
      <c r="AA706" s="20">
        <f t="shared" si="232"/>
        <v>1.4583151163120311E-4</v>
      </c>
    </row>
    <row r="707" spans="2:27" x14ac:dyDescent="0.3">
      <c r="B707" s="28">
        <v>66.900000000000006</v>
      </c>
      <c r="C707" s="28">
        <v>28.035710000000002</v>
      </c>
      <c r="D707" s="20">
        <f t="shared" si="214"/>
        <v>54.419929604669008</v>
      </c>
      <c r="E707" s="20">
        <f t="shared" si="215"/>
        <v>-3.7474357639180078</v>
      </c>
      <c r="F707" s="20">
        <f t="shared" si="216"/>
        <v>5.3472198671082261</v>
      </c>
      <c r="G707" s="20">
        <f t="shared" si="217"/>
        <v>5.3472198671082261</v>
      </c>
      <c r="H707" s="20">
        <f t="shared" si="218"/>
        <v>5.3472198671082261</v>
      </c>
      <c r="I707" s="17"/>
      <c r="J707" s="20">
        <f t="shared" si="219"/>
        <v>50.497995953268813</v>
      </c>
      <c r="K707" s="20">
        <f t="shared" si="220"/>
        <v>2.3041073813956574E-2</v>
      </c>
      <c r="L707" s="20">
        <f t="shared" si="221"/>
        <v>3.9687649232639419</v>
      </c>
      <c r="M707" s="20">
        <f t="shared" si="222"/>
        <v>3.9687649232639419</v>
      </c>
      <c r="N707" s="20">
        <f t="shared" si="223"/>
        <v>3.9687649232639419</v>
      </c>
      <c r="O707" s="17"/>
      <c r="P707" s="20">
        <f t="shared" si="224"/>
        <v>7.299897475912406</v>
      </c>
      <c r="Q707" s="20">
        <f t="shared" si="225"/>
        <v>13.211280042530277</v>
      </c>
      <c r="R707" s="20">
        <f t="shared" si="226"/>
        <v>0</v>
      </c>
      <c r="S707" s="20">
        <f t="shared" si="227"/>
        <v>0</v>
      </c>
      <c r="T707" s="20">
        <f t="shared" si="228"/>
        <v>0</v>
      </c>
      <c r="U707" s="17"/>
      <c r="V707" s="20">
        <f t="shared" si="229"/>
        <v>20.511177518442683</v>
      </c>
      <c r="W707" s="17"/>
      <c r="X707" s="20">
        <f t="shared" si="230"/>
        <v>56.618589066011147</v>
      </c>
      <c r="Y707" s="20">
        <f t="shared" si="231"/>
        <v>7.5245324815573191</v>
      </c>
      <c r="Z707" s="20"/>
      <c r="AA707" s="20">
        <f t="shared" si="232"/>
        <v>4.9177294809562762E-5</v>
      </c>
    </row>
    <row r="708" spans="2:27" x14ac:dyDescent="0.3">
      <c r="B708" s="28">
        <v>67</v>
      </c>
      <c r="C708" s="28">
        <v>46.035710000000002</v>
      </c>
      <c r="D708" s="20">
        <f t="shared" si="214"/>
        <v>54.495107784967665</v>
      </c>
      <c r="E708" s="20">
        <f t="shared" si="215"/>
        <v>-3.7423891415710488</v>
      </c>
      <c r="F708" s="20">
        <f t="shared" si="216"/>
        <v>5.3583309782193362</v>
      </c>
      <c r="G708" s="20">
        <f t="shared" si="217"/>
        <v>5.3583309782193362</v>
      </c>
      <c r="H708" s="20">
        <f t="shared" si="218"/>
        <v>5.3583309782193362</v>
      </c>
      <c r="I708" s="17"/>
      <c r="J708" s="20">
        <f t="shared" si="219"/>
        <v>50.571715350139804</v>
      </c>
      <c r="K708" s="20">
        <f t="shared" si="220"/>
        <v>2.315500899532668E-2</v>
      </c>
      <c r="L708" s="20">
        <f t="shared" si="221"/>
        <v>3.9776418376302893</v>
      </c>
      <c r="M708" s="20">
        <f t="shared" si="222"/>
        <v>3.9776418376302893</v>
      </c>
      <c r="N708" s="20">
        <f t="shared" si="223"/>
        <v>3.9776418376302893</v>
      </c>
      <c r="O708" s="17"/>
      <c r="P708" s="20">
        <f t="shared" si="224"/>
        <v>7.278836613119779</v>
      </c>
      <c r="Q708" s="20">
        <f t="shared" si="225"/>
        <v>13.144809465740954</v>
      </c>
      <c r="R708" s="20">
        <f t="shared" si="226"/>
        <v>0</v>
      </c>
      <c r="S708" s="20">
        <f t="shared" si="227"/>
        <v>0</v>
      </c>
      <c r="T708" s="20">
        <f t="shared" si="228"/>
        <v>0</v>
      </c>
      <c r="U708" s="17"/>
      <c r="V708" s="20">
        <f t="shared" si="229"/>
        <v>20.423646078860735</v>
      </c>
      <c r="W708" s="17"/>
      <c r="X708" s="20">
        <f t="shared" si="230"/>
        <v>655.97781830052372</v>
      </c>
      <c r="Y708" s="20">
        <f t="shared" si="231"/>
        <v>25.612063921139267</v>
      </c>
      <c r="Z708" s="20"/>
      <c r="AA708" s="20">
        <f t="shared" si="232"/>
        <v>1.6739006991043674E-4</v>
      </c>
    </row>
    <row r="709" spans="2:27" x14ac:dyDescent="0.3">
      <c r="B709" s="28">
        <v>67.099999999999994</v>
      </c>
      <c r="C709" s="28">
        <v>-0.71428999999999998</v>
      </c>
      <c r="D709" s="20">
        <f t="shared" si="214"/>
        <v>54.570285965266322</v>
      </c>
      <c r="E709" s="20">
        <f t="shared" si="215"/>
        <v>-3.7373425192240899</v>
      </c>
      <c r="F709" s="20">
        <f t="shared" si="216"/>
        <v>5.3694420893304473</v>
      </c>
      <c r="G709" s="20">
        <f t="shared" si="217"/>
        <v>5.3694420893304473</v>
      </c>
      <c r="H709" s="20">
        <f t="shared" si="218"/>
        <v>5.3694420893304473</v>
      </c>
      <c r="I709" s="17"/>
      <c r="J709" s="20">
        <f t="shared" si="219"/>
        <v>50.645436830815456</v>
      </c>
      <c r="K709" s="20">
        <f t="shared" si="220"/>
        <v>2.3269494759890645E-2</v>
      </c>
      <c r="L709" s="20">
        <f t="shared" si="221"/>
        <v>3.9865227337118143</v>
      </c>
      <c r="M709" s="20">
        <f t="shared" si="222"/>
        <v>3.9865227337118143</v>
      </c>
      <c r="N709" s="20">
        <f t="shared" si="223"/>
        <v>3.9865227337118143</v>
      </c>
      <c r="O709" s="17"/>
      <c r="P709" s="20">
        <f t="shared" si="224"/>
        <v>7.2578661741837518</v>
      </c>
      <c r="Q709" s="20">
        <f t="shared" si="225"/>
        <v>13.078673651631659</v>
      </c>
      <c r="R709" s="20">
        <f t="shared" si="226"/>
        <v>0</v>
      </c>
      <c r="S709" s="20">
        <f t="shared" si="227"/>
        <v>0</v>
      </c>
      <c r="T709" s="20">
        <f t="shared" si="228"/>
        <v>0</v>
      </c>
      <c r="U709" s="17"/>
      <c r="V709" s="20">
        <f t="shared" si="229"/>
        <v>20.336539825815411</v>
      </c>
      <c r="W709" s="17"/>
      <c r="X709" s="20">
        <f t="shared" si="230"/>
        <v>443.1374363554396</v>
      </c>
      <c r="Y709" s="20">
        <f t="shared" si="231"/>
        <v>21.050829825815409</v>
      </c>
      <c r="Z709" s="20"/>
      <c r="AA709" s="20">
        <f t="shared" si="232"/>
        <v>1.375796924084519E-4</v>
      </c>
    </row>
    <row r="710" spans="2:27" x14ac:dyDescent="0.3">
      <c r="B710" s="28">
        <v>67.2</v>
      </c>
      <c r="C710" s="28">
        <v>31.035710000000002</v>
      </c>
      <c r="D710" s="20">
        <f t="shared" si="214"/>
        <v>54.645464145564986</v>
      </c>
      <c r="E710" s="20">
        <f t="shared" si="215"/>
        <v>-3.7322958968771305</v>
      </c>
      <c r="F710" s="20">
        <f t="shared" si="216"/>
        <v>5.3805532004415584</v>
      </c>
      <c r="G710" s="20">
        <f t="shared" si="217"/>
        <v>5.3805532004415584</v>
      </c>
      <c r="H710" s="20">
        <f t="shared" si="218"/>
        <v>5.3805532004415584</v>
      </c>
      <c r="I710" s="17"/>
      <c r="J710" s="20">
        <f t="shared" si="219"/>
        <v>50.719160389409595</v>
      </c>
      <c r="K710" s="20">
        <f t="shared" si="220"/>
        <v>2.3384533644211888E-2</v>
      </c>
      <c r="L710" s="20">
        <f t="shared" si="221"/>
        <v>3.9954075991148894</v>
      </c>
      <c r="M710" s="20">
        <f t="shared" si="222"/>
        <v>3.9954075991148894</v>
      </c>
      <c r="N710" s="20">
        <f t="shared" si="223"/>
        <v>3.9954075991148894</v>
      </c>
      <c r="O710" s="17"/>
      <c r="P710" s="20">
        <f t="shared" si="224"/>
        <v>7.2369856447225862</v>
      </c>
      <c r="Q710" s="20">
        <f t="shared" si="225"/>
        <v>13.012870915682567</v>
      </c>
      <c r="R710" s="20">
        <f t="shared" si="226"/>
        <v>0</v>
      </c>
      <c r="S710" s="20">
        <f t="shared" si="227"/>
        <v>0</v>
      </c>
      <c r="T710" s="20">
        <f t="shared" si="228"/>
        <v>0</v>
      </c>
      <c r="U710" s="17"/>
      <c r="V710" s="20">
        <f t="shared" si="229"/>
        <v>20.249856560405153</v>
      </c>
      <c r="W710" s="17"/>
      <c r="X710" s="20">
        <f t="shared" si="230"/>
        <v>116.33463442042003</v>
      </c>
      <c r="Y710" s="20">
        <f t="shared" si="231"/>
        <v>10.785853439594849</v>
      </c>
      <c r="Z710" s="20"/>
      <c r="AA710" s="20">
        <f t="shared" si="232"/>
        <v>7.0491966865948591E-5</v>
      </c>
    </row>
    <row r="711" spans="2:27" x14ac:dyDescent="0.3">
      <c r="B711" s="28">
        <v>67.3</v>
      </c>
      <c r="C711" s="28">
        <v>17.035710000000002</v>
      </c>
      <c r="D711" s="20">
        <f t="shared" si="214"/>
        <v>54.720642325863643</v>
      </c>
      <c r="E711" s="20">
        <f t="shared" si="215"/>
        <v>-3.7272492745301711</v>
      </c>
      <c r="F711" s="20">
        <f t="shared" si="216"/>
        <v>5.3916643115526695</v>
      </c>
      <c r="G711" s="20">
        <f t="shared" si="217"/>
        <v>5.3916643115526695</v>
      </c>
      <c r="H711" s="20">
        <f t="shared" si="218"/>
        <v>5.3916643115526695</v>
      </c>
      <c r="I711" s="17"/>
      <c r="J711" s="20">
        <f t="shared" si="219"/>
        <v>50.792886020060763</v>
      </c>
      <c r="K711" s="20">
        <f t="shared" si="220"/>
        <v>2.3500128195352417E-2</v>
      </c>
      <c r="L711" s="20">
        <f t="shared" si="221"/>
        <v>4.0042964214969787</v>
      </c>
      <c r="M711" s="20">
        <f t="shared" si="222"/>
        <v>4.0042964214969787</v>
      </c>
      <c r="N711" s="20">
        <f t="shared" si="223"/>
        <v>4.0042964214969787</v>
      </c>
      <c r="O711" s="17"/>
      <c r="P711" s="20">
        <f t="shared" si="224"/>
        <v>7.2161945139926411</v>
      </c>
      <c r="Q711" s="20">
        <f t="shared" si="225"/>
        <v>12.947399581855555</v>
      </c>
      <c r="R711" s="20">
        <f t="shared" si="226"/>
        <v>0</v>
      </c>
      <c r="S711" s="20">
        <f t="shared" si="227"/>
        <v>0</v>
      </c>
      <c r="T711" s="20">
        <f t="shared" si="228"/>
        <v>0</v>
      </c>
      <c r="U711" s="17"/>
      <c r="V711" s="20">
        <f t="shared" si="229"/>
        <v>20.163594095848197</v>
      </c>
      <c r="W711" s="17"/>
      <c r="X711" s="20">
        <f t="shared" si="230"/>
        <v>9.7836589170600803</v>
      </c>
      <c r="Y711" s="20">
        <f t="shared" si="231"/>
        <v>3.127884095848195</v>
      </c>
      <c r="Z711" s="20"/>
      <c r="AA711" s="20">
        <f t="shared" si="232"/>
        <v>2.0442582803474553E-5</v>
      </c>
    </row>
    <row r="712" spans="2:27" x14ac:dyDescent="0.3">
      <c r="B712" s="28">
        <v>67.400000000000006</v>
      </c>
      <c r="C712" s="28">
        <v>12.53571</v>
      </c>
      <c r="D712" s="20">
        <f t="shared" si="214"/>
        <v>54.795820506162308</v>
      </c>
      <c r="E712" s="20">
        <f t="shared" si="215"/>
        <v>-3.7222026521832117</v>
      </c>
      <c r="F712" s="20">
        <f t="shared" si="216"/>
        <v>5.4027754226637814</v>
      </c>
      <c r="G712" s="20">
        <f t="shared" si="217"/>
        <v>5.4027754226637814</v>
      </c>
      <c r="H712" s="20">
        <f t="shared" si="218"/>
        <v>5.4027754226637814</v>
      </c>
      <c r="I712" s="17"/>
      <c r="J712" s="20">
        <f t="shared" si="219"/>
        <v>50.866613716932136</v>
      </c>
      <c r="K712" s="20">
        <f t="shared" si="220"/>
        <v>2.3616280970904988E-2</v>
      </c>
      <c r="L712" s="20">
        <f t="shared" si="221"/>
        <v>4.0131891885663951</v>
      </c>
      <c r="M712" s="20">
        <f t="shared" si="222"/>
        <v>4.0131891885663951</v>
      </c>
      <c r="N712" s="20">
        <f t="shared" si="223"/>
        <v>4.0131891885663951</v>
      </c>
      <c r="O712" s="17"/>
      <c r="P712" s="20">
        <f t="shared" si="224"/>
        <v>7.1954922748576218</v>
      </c>
      <c r="Q712" s="20">
        <f t="shared" si="225"/>
        <v>12.882257982551501</v>
      </c>
      <c r="R712" s="20">
        <f t="shared" si="226"/>
        <v>0</v>
      </c>
      <c r="S712" s="20">
        <f t="shared" si="227"/>
        <v>0</v>
      </c>
      <c r="T712" s="20">
        <f t="shared" si="228"/>
        <v>0</v>
      </c>
      <c r="U712" s="17"/>
      <c r="V712" s="20">
        <f t="shared" si="229"/>
        <v>20.077750257409122</v>
      </c>
      <c r="W712" s="17"/>
      <c r="X712" s="20">
        <f t="shared" si="230"/>
        <v>56.882371244379847</v>
      </c>
      <c r="Y712" s="20">
        <f t="shared" si="231"/>
        <v>7.5420402574091217</v>
      </c>
      <c r="Z712" s="20"/>
      <c r="AA712" s="20">
        <f t="shared" si="232"/>
        <v>4.9291718537101204E-5</v>
      </c>
    </row>
    <row r="713" spans="2:27" x14ac:dyDescent="0.3">
      <c r="B713" s="28">
        <v>67.5</v>
      </c>
      <c r="C713" s="28">
        <v>21.035710000000002</v>
      </c>
      <c r="D713" s="20">
        <f t="shared" si="214"/>
        <v>54.870998686460965</v>
      </c>
      <c r="E713" s="20">
        <f t="shared" si="215"/>
        <v>-3.7171560298362532</v>
      </c>
      <c r="F713" s="20">
        <f t="shared" si="216"/>
        <v>5.4138865337748916</v>
      </c>
      <c r="G713" s="20">
        <f t="shared" si="217"/>
        <v>5.4138865337748916</v>
      </c>
      <c r="H713" s="20">
        <f t="shared" si="218"/>
        <v>5.4138865337748916</v>
      </c>
      <c r="I713" s="17"/>
      <c r="J713" s="20">
        <f t="shared" si="219"/>
        <v>50.940343474211318</v>
      </c>
      <c r="K713" s="20">
        <f t="shared" si="220"/>
        <v>2.3732994539025217E-2</v>
      </c>
      <c r="L713" s="20">
        <f t="shared" si="221"/>
        <v>4.0220858880820591</v>
      </c>
      <c r="M713" s="20">
        <f t="shared" si="222"/>
        <v>4.0220858880820591</v>
      </c>
      <c r="N713" s="20">
        <f t="shared" si="223"/>
        <v>4.0220858880820591</v>
      </c>
      <c r="O713" s="17"/>
      <c r="P713" s="20">
        <f t="shared" si="224"/>
        <v>7.1748784237581722</v>
      </c>
      <c r="Q713" s="20">
        <f t="shared" si="225"/>
        <v>12.817444458567813</v>
      </c>
      <c r="R713" s="20">
        <f t="shared" si="226"/>
        <v>0</v>
      </c>
      <c r="S713" s="20">
        <f t="shared" si="227"/>
        <v>0</v>
      </c>
      <c r="T713" s="20">
        <f t="shared" si="228"/>
        <v>0</v>
      </c>
      <c r="U713" s="17"/>
      <c r="V713" s="20">
        <f t="shared" si="229"/>
        <v>19.992322882325986</v>
      </c>
      <c r="W713" s="17"/>
      <c r="X713" s="20">
        <f t="shared" si="230"/>
        <v>1.0886566773280899</v>
      </c>
      <c r="Y713" s="20">
        <f t="shared" si="231"/>
        <v>1.0433871176740155</v>
      </c>
      <c r="Z713" s="20"/>
      <c r="AA713" s="20">
        <f t="shared" si="232"/>
        <v>6.8191553444839951E-6</v>
      </c>
    </row>
    <row r="714" spans="2:27" x14ac:dyDescent="0.3">
      <c r="B714" s="28">
        <v>67.599999999999994</v>
      </c>
      <c r="C714" s="28">
        <v>3.2857099999999999</v>
      </c>
      <c r="D714" s="20">
        <f t="shared" si="214"/>
        <v>54.946176866759615</v>
      </c>
      <c r="E714" s="20">
        <f t="shared" si="215"/>
        <v>-3.7121094074892942</v>
      </c>
      <c r="F714" s="20">
        <f t="shared" si="216"/>
        <v>5.4249976448860027</v>
      </c>
      <c r="G714" s="20">
        <f t="shared" si="217"/>
        <v>5.4249976448860027</v>
      </c>
      <c r="H714" s="20">
        <f t="shared" si="218"/>
        <v>5.4249976448860027</v>
      </c>
      <c r="I714" s="17"/>
      <c r="J714" s="20">
        <f t="shared" si="219"/>
        <v>51.014075286110256</v>
      </c>
      <c r="K714" s="20">
        <f t="shared" si="220"/>
        <v>2.3850271478463761E-2</v>
      </c>
      <c r="L714" s="20">
        <f t="shared" si="221"/>
        <v>4.0309865078532612</v>
      </c>
      <c r="M714" s="20">
        <f t="shared" si="222"/>
        <v>4.0309865078532612</v>
      </c>
      <c r="N714" s="20">
        <f t="shared" si="223"/>
        <v>4.0309865078532612</v>
      </c>
      <c r="O714" s="17"/>
      <c r="P714" s="20">
        <f t="shared" si="224"/>
        <v>7.1543524606817268</v>
      </c>
      <c r="Q714" s="20">
        <f t="shared" si="225"/>
        <v>12.752957359056127</v>
      </c>
      <c r="R714" s="20">
        <f t="shared" si="226"/>
        <v>0</v>
      </c>
      <c r="S714" s="20">
        <f t="shared" si="227"/>
        <v>0</v>
      </c>
      <c r="T714" s="20">
        <f t="shared" si="228"/>
        <v>0</v>
      </c>
      <c r="U714" s="17"/>
      <c r="V714" s="20">
        <f t="shared" si="229"/>
        <v>19.907309819737854</v>
      </c>
      <c r="W714" s="17"/>
      <c r="X714" s="20">
        <f t="shared" si="230"/>
        <v>276.2775805675094</v>
      </c>
      <c r="Y714" s="20">
        <f t="shared" si="231"/>
        <v>16.621599819737852</v>
      </c>
      <c r="Z714" s="20"/>
      <c r="AA714" s="20">
        <f t="shared" si="232"/>
        <v>1.0863204013608682E-4</v>
      </c>
    </row>
    <row r="715" spans="2:27" x14ac:dyDescent="0.3">
      <c r="B715" s="28">
        <v>67.7</v>
      </c>
      <c r="C715" s="28">
        <v>26.535710000000002</v>
      </c>
      <c r="D715" s="20">
        <f t="shared" si="214"/>
        <v>55.021355047058286</v>
      </c>
      <c r="E715" s="20">
        <f t="shared" si="215"/>
        <v>-3.7070627851423348</v>
      </c>
      <c r="F715" s="20">
        <f t="shared" si="216"/>
        <v>5.4361087559971137</v>
      </c>
      <c r="G715" s="20">
        <f t="shared" si="217"/>
        <v>5.4361087559971137</v>
      </c>
      <c r="H715" s="20">
        <f t="shared" si="218"/>
        <v>5.4361087559971137</v>
      </c>
      <c r="I715" s="17"/>
      <c r="J715" s="20">
        <f t="shared" si="219"/>
        <v>51.087809146865133</v>
      </c>
      <c r="K715" s="20">
        <f t="shared" si="220"/>
        <v>2.3968114378598346E-2</v>
      </c>
      <c r="L715" s="20">
        <f t="shared" si="221"/>
        <v>4.0398910357394175</v>
      </c>
      <c r="M715" s="20">
        <f t="shared" si="222"/>
        <v>4.0398910357394175</v>
      </c>
      <c r="N715" s="20">
        <f t="shared" si="223"/>
        <v>4.0398910357394175</v>
      </c>
      <c r="O715" s="17"/>
      <c r="P715" s="20">
        <f t="shared" si="224"/>
        <v>7.1339138891326703</v>
      </c>
      <c r="Q715" s="20">
        <f t="shared" si="225"/>
        <v>12.688795041480285</v>
      </c>
      <c r="R715" s="20">
        <f t="shared" si="226"/>
        <v>0</v>
      </c>
      <c r="S715" s="20">
        <f t="shared" si="227"/>
        <v>0</v>
      </c>
      <c r="T715" s="20">
        <f t="shared" si="228"/>
        <v>0</v>
      </c>
      <c r="U715" s="17"/>
      <c r="V715" s="20">
        <f t="shared" si="229"/>
        <v>19.822708930612954</v>
      </c>
      <c r="W715" s="17"/>
      <c r="X715" s="20">
        <f t="shared" si="230"/>
        <v>45.064383357591645</v>
      </c>
      <c r="Y715" s="20">
        <f t="shared" si="231"/>
        <v>6.7130010693870474</v>
      </c>
      <c r="Z715" s="20"/>
      <c r="AA715" s="20">
        <f t="shared" si="232"/>
        <v>4.387345439139256E-5</v>
      </c>
    </row>
    <row r="716" spans="2:27" x14ac:dyDescent="0.3">
      <c r="B716" s="28">
        <v>67.8</v>
      </c>
      <c r="C716" s="28">
        <v>28.535710000000002</v>
      </c>
      <c r="D716" s="20">
        <f t="shared" si="214"/>
        <v>55.096533227356936</v>
      </c>
      <c r="E716" s="20">
        <f t="shared" si="215"/>
        <v>-3.7020161627953754</v>
      </c>
      <c r="F716" s="20">
        <f t="shared" si="216"/>
        <v>5.4472198671082248</v>
      </c>
      <c r="G716" s="20">
        <f t="shared" si="217"/>
        <v>5.4472198671082248</v>
      </c>
      <c r="H716" s="20">
        <f t="shared" si="218"/>
        <v>5.4472198671082248</v>
      </c>
      <c r="I716" s="17"/>
      <c r="J716" s="20">
        <f t="shared" si="219"/>
        <v>51.161545050736088</v>
      </c>
      <c r="K716" s="20">
        <f t="shared" si="220"/>
        <v>2.4086525839465873E-2</v>
      </c>
      <c r="L716" s="20">
        <f t="shared" si="221"/>
        <v>4.0487994596498389</v>
      </c>
      <c r="M716" s="20">
        <f t="shared" si="222"/>
        <v>4.0487994596498389</v>
      </c>
      <c r="N716" s="20">
        <f t="shared" si="223"/>
        <v>4.0487994596498389</v>
      </c>
      <c r="O716" s="17"/>
      <c r="P716" s="20">
        <f t="shared" si="224"/>
        <v>7.1135622161028254</v>
      </c>
      <c r="Q716" s="20">
        <f t="shared" si="225"/>
        <v>12.624955871574491</v>
      </c>
      <c r="R716" s="20">
        <f t="shared" si="226"/>
        <v>0</v>
      </c>
      <c r="S716" s="20">
        <f t="shared" si="227"/>
        <v>0</v>
      </c>
      <c r="T716" s="20">
        <f t="shared" si="228"/>
        <v>0</v>
      </c>
      <c r="U716" s="17"/>
      <c r="V716" s="20">
        <f t="shared" si="229"/>
        <v>19.738518087677317</v>
      </c>
      <c r="W716" s="17"/>
      <c r="X716" s="20">
        <f t="shared" si="230"/>
        <v>77.390585542235655</v>
      </c>
      <c r="Y716" s="20">
        <f t="shared" si="231"/>
        <v>8.7971919123226847</v>
      </c>
      <c r="Z716" s="20"/>
      <c r="AA716" s="20">
        <f t="shared" si="232"/>
        <v>5.7494881074532352E-5</v>
      </c>
    </row>
    <row r="717" spans="2:27" x14ac:dyDescent="0.3">
      <c r="B717" s="28">
        <v>67.900000000000006</v>
      </c>
      <c r="C717" s="28">
        <v>26.035710000000002</v>
      </c>
      <c r="D717" s="20">
        <f t="shared" si="214"/>
        <v>55.171711407655607</v>
      </c>
      <c r="E717" s="20">
        <f t="shared" si="215"/>
        <v>-3.696969540448416</v>
      </c>
      <c r="F717" s="20">
        <f t="shared" si="216"/>
        <v>5.4583309782193368</v>
      </c>
      <c r="G717" s="20">
        <f t="shared" si="217"/>
        <v>5.4583309782193368</v>
      </c>
      <c r="H717" s="20">
        <f t="shared" si="218"/>
        <v>5.4583309782193368</v>
      </c>
      <c r="I717" s="17"/>
      <c r="J717" s="20">
        <f t="shared" si="219"/>
        <v>51.235282992007306</v>
      </c>
      <c r="K717" s="20">
        <f t="shared" si="220"/>
        <v>2.4205508471794489E-2</v>
      </c>
      <c r="L717" s="20">
        <f t="shared" si="221"/>
        <v>4.0577117675434895</v>
      </c>
      <c r="M717" s="20">
        <f t="shared" si="222"/>
        <v>4.0577117675434895</v>
      </c>
      <c r="N717" s="20">
        <f t="shared" si="223"/>
        <v>4.0577117675434895</v>
      </c>
      <c r="O717" s="17"/>
      <c r="P717" s="20">
        <f t="shared" si="224"/>
        <v>7.0932969520421327</v>
      </c>
      <c r="Q717" s="20">
        <f t="shared" si="225"/>
        <v>12.561438223301668</v>
      </c>
      <c r="R717" s="20">
        <f t="shared" si="226"/>
        <v>0</v>
      </c>
      <c r="S717" s="20">
        <f t="shared" si="227"/>
        <v>0</v>
      </c>
      <c r="T717" s="20">
        <f t="shared" si="228"/>
        <v>0</v>
      </c>
      <c r="U717" s="17"/>
      <c r="V717" s="20">
        <f t="shared" si="229"/>
        <v>19.654735175343802</v>
      </c>
      <c r="W717" s="17"/>
      <c r="X717" s="20">
        <f t="shared" si="230"/>
        <v>40.716839712896217</v>
      </c>
      <c r="Y717" s="20">
        <f t="shared" si="231"/>
        <v>6.3809748246561995</v>
      </c>
      <c r="Z717" s="20"/>
      <c r="AA717" s="20">
        <f t="shared" si="232"/>
        <v>4.1703465417105934E-5</v>
      </c>
    </row>
    <row r="718" spans="2:27" x14ac:dyDescent="0.3">
      <c r="B718" s="28">
        <v>68</v>
      </c>
      <c r="C718" s="28">
        <v>25.285710000000002</v>
      </c>
      <c r="D718" s="20">
        <f t="shared" si="214"/>
        <v>55.246889587954257</v>
      </c>
      <c r="E718" s="20">
        <f t="shared" si="215"/>
        <v>-3.6919229181014575</v>
      </c>
      <c r="F718" s="20">
        <f t="shared" si="216"/>
        <v>5.4694420893304478</v>
      </c>
      <c r="G718" s="20">
        <f t="shared" si="217"/>
        <v>5.4694420893304478</v>
      </c>
      <c r="H718" s="20">
        <f t="shared" si="218"/>
        <v>5.4694420893304478</v>
      </c>
      <c r="I718" s="17"/>
      <c r="J718" s="20">
        <f t="shared" si="219"/>
        <v>51.30902296498666</v>
      </c>
      <c r="K718" s="20">
        <f t="shared" si="220"/>
        <v>2.4325064897035637E-2</v>
      </c>
      <c r="L718" s="20">
        <f t="shared" si="221"/>
        <v>4.066627947428751</v>
      </c>
      <c r="M718" s="20">
        <f t="shared" si="222"/>
        <v>4.066627947428751</v>
      </c>
      <c r="N718" s="20">
        <f t="shared" si="223"/>
        <v>4.066627947428751</v>
      </c>
      <c r="O718" s="17"/>
      <c r="P718" s="20">
        <f t="shared" si="224"/>
        <v>7.0731176108297467</v>
      </c>
      <c r="Q718" s="20">
        <f t="shared" si="225"/>
        <v>12.49824047881204</v>
      </c>
      <c r="R718" s="20">
        <f t="shared" si="226"/>
        <v>0</v>
      </c>
      <c r="S718" s="20">
        <f t="shared" si="227"/>
        <v>0</v>
      </c>
      <c r="T718" s="20">
        <f t="shared" si="228"/>
        <v>0</v>
      </c>
      <c r="U718" s="17"/>
      <c r="V718" s="20">
        <f t="shared" si="229"/>
        <v>19.571358089641787</v>
      </c>
      <c r="W718" s="17"/>
      <c r="X718" s="20">
        <f t="shared" si="230"/>
        <v>32.653817755414572</v>
      </c>
      <c r="Y718" s="20">
        <f t="shared" si="231"/>
        <v>5.7143519103582143</v>
      </c>
      <c r="Z718" s="20"/>
      <c r="AA718" s="20">
        <f t="shared" si="232"/>
        <v>3.7346688213526503E-5</v>
      </c>
    </row>
    <row r="719" spans="2:27" x14ac:dyDescent="0.3">
      <c r="B719" s="28">
        <v>68.099999999999994</v>
      </c>
      <c r="C719" s="28">
        <v>36.285710000000002</v>
      </c>
      <c r="D719" s="20">
        <f t="shared" si="214"/>
        <v>55.322067768252914</v>
      </c>
      <c r="E719" s="20">
        <f t="shared" si="215"/>
        <v>-3.686876295754498</v>
      </c>
      <c r="F719" s="20">
        <f t="shared" si="216"/>
        <v>5.480553200441558</v>
      </c>
      <c r="G719" s="20">
        <f t="shared" si="217"/>
        <v>5.480553200441558</v>
      </c>
      <c r="H719" s="20">
        <f t="shared" si="218"/>
        <v>5.480553200441558</v>
      </c>
      <c r="I719" s="17"/>
      <c r="J719" s="20">
        <f t="shared" si="219"/>
        <v>51.382764964005752</v>
      </c>
      <c r="K719" s="20">
        <f t="shared" si="220"/>
        <v>2.444519774739614E-2</v>
      </c>
      <c r="L719" s="20">
        <f t="shared" si="221"/>
        <v>4.0755479873631915</v>
      </c>
      <c r="M719" s="20">
        <f t="shared" si="222"/>
        <v>4.0755479873631915</v>
      </c>
      <c r="N719" s="20">
        <f t="shared" si="223"/>
        <v>4.0755479873631915</v>
      </c>
      <c r="O719" s="17"/>
      <c r="P719" s="20">
        <f t="shared" si="224"/>
        <v>7.0530237097452932</v>
      </c>
      <c r="Q719" s="20">
        <f t="shared" si="225"/>
        <v>12.435361028401875</v>
      </c>
      <c r="R719" s="20">
        <f t="shared" si="226"/>
        <v>0</v>
      </c>
      <c r="S719" s="20">
        <f t="shared" si="227"/>
        <v>0</v>
      </c>
      <c r="T719" s="20">
        <f t="shared" si="228"/>
        <v>0</v>
      </c>
      <c r="U719" s="17"/>
      <c r="V719" s="20">
        <f t="shared" si="229"/>
        <v>19.488384738147168</v>
      </c>
      <c r="W719" s="17"/>
      <c r="X719" s="20">
        <f t="shared" si="230"/>
        <v>282.15013595247939</v>
      </c>
      <c r="Y719" s="20">
        <f t="shared" si="231"/>
        <v>16.797325261852833</v>
      </c>
      <c r="Z719" s="20"/>
      <c r="AA719" s="20">
        <f t="shared" si="232"/>
        <v>1.0978051040897222E-4</v>
      </c>
    </row>
    <row r="720" spans="2:27" x14ac:dyDescent="0.3">
      <c r="B720" s="28">
        <v>68.2</v>
      </c>
      <c r="C720" s="28">
        <v>17.785710000000002</v>
      </c>
      <c r="D720" s="20">
        <f t="shared" si="214"/>
        <v>55.397245948551578</v>
      </c>
      <c r="E720" s="20">
        <f t="shared" si="215"/>
        <v>-3.6818296734075386</v>
      </c>
      <c r="F720" s="20">
        <f t="shared" si="216"/>
        <v>5.4916643115526691</v>
      </c>
      <c r="G720" s="20">
        <f t="shared" si="217"/>
        <v>5.4916643115526691</v>
      </c>
      <c r="H720" s="20">
        <f t="shared" si="218"/>
        <v>5.4916643115526691</v>
      </c>
      <c r="I720" s="17"/>
      <c r="J720" s="20">
        <f t="shared" si="219"/>
        <v>51.456508983419702</v>
      </c>
      <c r="K720" s="20">
        <f t="shared" si="220"/>
        <v>2.4565909665870082E-2</v>
      </c>
      <c r="L720" s="20">
        <f t="shared" si="221"/>
        <v>4.0844718754533336</v>
      </c>
      <c r="M720" s="20">
        <f t="shared" si="222"/>
        <v>4.0844718754533336</v>
      </c>
      <c r="N720" s="20">
        <f t="shared" si="223"/>
        <v>4.0844718754533336</v>
      </c>
      <c r="O720" s="17"/>
      <c r="P720" s="20">
        <f t="shared" si="224"/>
        <v>7.0330147694404834</v>
      </c>
      <c r="Q720" s="20">
        <f t="shared" si="225"/>
        <v>12.372798270472556</v>
      </c>
      <c r="R720" s="20">
        <f t="shared" si="226"/>
        <v>0</v>
      </c>
      <c r="S720" s="20">
        <f t="shared" si="227"/>
        <v>0</v>
      </c>
      <c r="T720" s="20">
        <f t="shared" si="228"/>
        <v>0</v>
      </c>
      <c r="U720" s="17"/>
      <c r="V720" s="20">
        <f t="shared" si="229"/>
        <v>19.405813039913038</v>
      </c>
      <c r="W720" s="17"/>
      <c r="X720" s="20">
        <f t="shared" si="230"/>
        <v>2.6247338599354628</v>
      </c>
      <c r="Y720" s="20">
        <f t="shared" si="231"/>
        <v>1.6201030399130367</v>
      </c>
      <c r="Z720" s="20"/>
      <c r="AA720" s="20">
        <f t="shared" si="232"/>
        <v>1.0588336884842953E-5</v>
      </c>
    </row>
    <row r="721" spans="2:27" x14ac:dyDescent="0.3">
      <c r="B721" s="28">
        <v>68.3</v>
      </c>
      <c r="C721" s="28">
        <v>34.035710000000002</v>
      </c>
      <c r="D721" s="20">
        <f t="shared" si="214"/>
        <v>55.472424128850236</v>
      </c>
      <c r="E721" s="20">
        <f t="shared" si="215"/>
        <v>-3.6767830510605797</v>
      </c>
      <c r="F721" s="20">
        <f t="shared" si="216"/>
        <v>5.5027754226637802</v>
      </c>
      <c r="G721" s="20">
        <f t="shared" si="217"/>
        <v>5.5027754226637802</v>
      </c>
      <c r="H721" s="20">
        <f t="shared" si="218"/>
        <v>5.5027754226637802</v>
      </c>
      <c r="I721" s="17"/>
      <c r="J721" s="20">
        <f t="shared" si="219"/>
        <v>51.530255017607018</v>
      </c>
      <c r="K721" s="20">
        <f t="shared" si="220"/>
        <v>2.4687203306270878E-2</v>
      </c>
      <c r="L721" s="20">
        <f t="shared" si="221"/>
        <v>4.0933995998544166</v>
      </c>
      <c r="M721" s="20">
        <f t="shared" si="222"/>
        <v>4.0933995998544166</v>
      </c>
      <c r="N721" s="20">
        <f t="shared" si="223"/>
        <v>4.0933995998544166</v>
      </c>
      <c r="O721" s="17"/>
      <c r="P721" s="20">
        <f t="shared" si="224"/>
        <v>7.0130903139109693</v>
      </c>
      <c r="Q721" s="20">
        <f t="shared" si="225"/>
        <v>12.310550611489726</v>
      </c>
      <c r="R721" s="20">
        <f t="shared" si="226"/>
        <v>0</v>
      </c>
      <c r="S721" s="20">
        <f t="shared" si="227"/>
        <v>0</v>
      </c>
      <c r="T721" s="20">
        <f t="shared" si="228"/>
        <v>0</v>
      </c>
      <c r="U721" s="17"/>
      <c r="V721" s="20">
        <f t="shared" si="229"/>
        <v>19.323640925400696</v>
      </c>
      <c r="W721" s="17"/>
      <c r="X721" s="20">
        <f t="shared" si="230"/>
        <v>216.44497645578127</v>
      </c>
      <c r="Y721" s="20">
        <f t="shared" si="231"/>
        <v>14.712069074599306</v>
      </c>
      <c r="Z721" s="20"/>
      <c r="AA721" s="20">
        <f t="shared" si="232"/>
        <v>9.6152121067125994E-5</v>
      </c>
    </row>
    <row r="722" spans="2:27" x14ac:dyDescent="0.3">
      <c r="B722" s="28">
        <v>68.400000000000006</v>
      </c>
      <c r="C722" s="28">
        <v>17.035710000000002</v>
      </c>
      <c r="D722" s="20">
        <f t="shared" si="214"/>
        <v>55.5476023091489</v>
      </c>
      <c r="E722" s="20">
        <f t="shared" si="215"/>
        <v>-3.6717364287136203</v>
      </c>
      <c r="F722" s="20">
        <f t="shared" si="216"/>
        <v>5.5138865337748921</v>
      </c>
      <c r="G722" s="20">
        <f t="shared" si="217"/>
        <v>5.5138865337748921</v>
      </c>
      <c r="H722" s="20">
        <f t="shared" si="218"/>
        <v>5.5138865337748921</v>
      </c>
      <c r="I722" s="17"/>
      <c r="J722" s="20">
        <f t="shared" si="219"/>
        <v>51.604003060969497</v>
      </c>
      <c r="K722" s="20">
        <f t="shared" si="220"/>
        <v>2.4809081333263257E-2</v>
      </c>
      <c r="L722" s="20">
        <f t="shared" si="221"/>
        <v>4.102331148770169</v>
      </c>
      <c r="M722" s="20">
        <f t="shared" si="222"/>
        <v>4.102331148770169</v>
      </c>
      <c r="N722" s="20">
        <f t="shared" si="223"/>
        <v>4.102331148770169</v>
      </c>
      <c r="O722" s="17"/>
      <c r="P722" s="20">
        <f t="shared" si="224"/>
        <v>6.9932498704684871</v>
      </c>
      <c r="Q722" s="20">
        <f t="shared" si="225"/>
        <v>12.248616465942678</v>
      </c>
      <c r="R722" s="20">
        <f t="shared" si="226"/>
        <v>0</v>
      </c>
      <c r="S722" s="20">
        <f t="shared" si="227"/>
        <v>0</v>
      </c>
      <c r="T722" s="20">
        <f t="shared" si="228"/>
        <v>0</v>
      </c>
      <c r="U722" s="17"/>
      <c r="V722" s="20">
        <f t="shared" si="229"/>
        <v>19.241866336411164</v>
      </c>
      <c r="W722" s="17"/>
      <c r="X722" s="20">
        <f t="shared" si="230"/>
        <v>4.86712578068712</v>
      </c>
      <c r="Y722" s="20">
        <f t="shared" si="231"/>
        <v>2.206156336411162</v>
      </c>
      <c r="Z722" s="20"/>
      <c r="AA722" s="20">
        <f t="shared" si="232"/>
        <v>1.4418543719173682E-5</v>
      </c>
    </row>
    <row r="723" spans="2:27" x14ac:dyDescent="0.3">
      <c r="B723" s="28">
        <v>68.5</v>
      </c>
      <c r="C723" s="28">
        <v>14.28571</v>
      </c>
      <c r="D723" s="20">
        <f t="shared" si="214"/>
        <v>55.622780489447557</v>
      </c>
      <c r="E723" s="20">
        <f t="shared" si="215"/>
        <v>-3.6666898063666613</v>
      </c>
      <c r="F723" s="20">
        <f t="shared" si="216"/>
        <v>5.5249976448860032</v>
      </c>
      <c r="G723" s="20">
        <f t="shared" si="217"/>
        <v>5.5249976448860032</v>
      </c>
      <c r="H723" s="20">
        <f t="shared" si="218"/>
        <v>5.5249976448860032</v>
      </c>
      <c r="I723" s="17"/>
      <c r="J723" s="20">
        <f t="shared" si="219"/>
        <v>51.677753107932062</v>
      </c>
      <c r="K723" s="20">
        <f t="shared" si="220"/>
        <v>2.493154642239508E-2</v>
      </c>
      <c r="L723" s="20">
        <f t="shared" si="221"/>
        <v>4.1112665104525776</v>
      </c>
      <c r="M723" s="20">
        <f t="shared" si="222"/>
        <v>4.1112665104525776</v>
      </c>
      <c r="N723" s="20">
        <f t="shared" si="223"/>
        <v>4.1112665104525776</v>
      </c>
      <c r="O723" s="17"/>
      <c r="P723" s="20">
        <f t="shared" si="224"/>
        <v>6.9734929697132628</v>
      </c>
      <c r="Q723" s="20">
        <f t="shared" si="225"/>
        <v>12.186994256304022</v>
      </c>
      <c r="R723" s="20">
        <f t="shared" si="226"/>
        <v>0</v>
      </c>
      <c r="S723" s="20">
        <f t="shared" si="227"/>
        <v>0</v>
      </c>
      <c r="T723" s="20">
        <f t="shared" si="228"/>
        <v>0</v>
      </c>
      <c r="U723" s="17"/>
      <c r="V723" s="20">
        <f t="shared" si="229"/>
        <v>19.160487226017285</v>
      </c>
      <c r="W723" s="17"/>
      <c r="X723" s="20">
        <f t="shared" si="230"/>
        <v>23.763453003296775</v>
      </c>
      <c r="Y723" s="20">
        <f t="shared" si="231"/>
        <v>4.8747772260172848</v>
      </c>
      <c r="Z723" s="20"/>
      <c r="AA723" s="20">
        <f t="shared" si="232"/>
        <v>3.1859568333630084E-5</v>
      </c>
    </row>
    <row r="724" spans="2:27" x14ac:dyDescent="0.3">
      <c r="B724" s="28">
        <v>68.599999999999994</v>
      </c>
      <c r="C724" s="28">
        <v>18.285710000000002</v>
      </c>
      <c r="D724" s="20">
        <f t="shared" si="214"/>
        <v>55.697958669746214</v>
      </c>
      <c r="E724" s="20">
        <f t="shared" si="215"/>
        <v>-3.6616431840197023</v>
      </c>
      <c r="F724" s="20">
        <f t="shared" si="216"/>
        <v>5.5361087559971134</v>
      </c>
      <c r="G724" s="20">
        <f t="shared" si="217"/>
        <v>5.5361087559971134</v>
      </c>
      <c r="H724" s="20">
        <f t="shared" si="218"/>
        <v>5.5361087559971134</v>
      </c>
      <c r="I724" s="17"/>
      <c r="J724" s="20">
        <f t="shared" si="219"/>
        <v>51.751505152942677</v>
      </c>
      <c r="K724" s="20">
        <f t="shared" si="220"/>
        <v>2.5054601260129344E-2</v>
      </c>
      <c r="L724" s="20">
        <f t="shared" si="221"/>
        <v>4.1202056732016592</v>
      </c>
      <c r="M724" s="20">
        <f t="shared" si="222"/>
        <v>4.1202056732016592</v>
      </c>
      <c r="N724" s="20">
        <f t="shared" si="223"/>
        <v>4.1202056732016592</v>
      </c>
      <c r="O724" s="17"/>
      <c r="P724" s="20">
        <f t="shared" si="224"/>
        <v>6.9538191455066727</v>
      </c>
      <c r="Q724" s="20">
        <f t="shared" si="225"/>
        <v>12.125682412989434</v>
      </c>
      <c r="R724" s="20">
        <f t="shared" si="226"/>
        <v>0</v>
      </c>
      <c r="S724" s="20">
        <f t="shared" si="227"/>
        <v>0</v>
      </c>
      <c r="T724" s="20">
        <f t="shared" si="228"/>
        <v>0</v>
      </c>
      <c r="U724" s="17"/>
      <c r="V724" s="20">
        <f t="shared" si="229"/>
        <v>19.079501558496105</v>
      </c>
      <c r="W724" s="17"/>
      <c r="X724" s="20">
        <f t="shared" si="230"/>
        <v>0.63010503833967257</v>
      </c>
      <c r="Y724" s="20">
        <f t="shared" si="231"/>
        <v>0.79379155849610328</v>
      </c>
      <c r="Z724" s="20"/>
      <c r="AA724" s="20">
        <f t="shared" si="232"/>
        <v>5.1878999240396581E-6</v>
      </c>
    </row>
    <row r="725" spans="2:27" x14ac:dyDescent="0.3">
      <c r="B725" s="28">
        <v>68.7</v>
      </c>
      <c r="C725" s="28">
        <v>14.03571</v>
      </c>
      <c r="D725" s="20">
        <f t="shared" si="214"/>
        <v>55.773136850044878</v>
      </c>
      <c r="E725" s="20">
        <f t="shared" si="215"/>
        <v>-3.6565965616727429</v>
      </c>
      <c r="F725" s="20">
        <f t="shared" si="216"/>
        <v>5.5472198671082262</v>
      </c>
      <c r="G725" s="20">
        <f t="shared" si="217"/>
        <v>5.5472198671082262</v>
      </c>
      <c r="H725" s="20">
        <f t="shared" si="218"/>
        <v>5.5472198671082262</v>
      </c>
      <c r="I725" s="17"/>
      <c r="J725" s="20">
        <f t="shared" si="219"/>
        <v>51.82525919047221</v>
      </c>
      <c r="K725" s="20">
        <f t="shared" si="220"/>
        <v>2.5178248543876021E-2</v>
      </c>
      <c r="L725" s="20">
        <f t="shared" si="221"/>
        <v>4.1291486253652367</v>
      </c>
      <c r="M725" s="20">
        <f t="shared" si="222"/>
        <v>4.1291486253652367</v>
      </c>
      <c r="N725" s="20">
        <f t="shared" si="223"/>
        <v>4.1291486253652367</v>
      </c>
      <c r="O725" s="17"/>
      <c r="P725" s="20">
        <f t="shared" si="224"/>
        <v>6.9342279349441904</v>
      </c>
      <c r="Q725" s="20">
        <f t="shared" si="225"/>
        <v>12.064679374317707</v>
      </c>
      <c r="R725" s="20">
        <f t="shared" si="226"/>
        <v>0</v>
      </c>
      <c r="S725" s="20">
        <f t="shared" si="227"/>
        <v>0</v>
      </c>
      <c r="T725" s="20">
        <f t="shared" si="228"/>
        <v>0</v>
      </c>
      <c r="U725" s="17"/>
      <c r="V725" s="20">
        <f t="shared" si="229"/>
        <v>18.998907309261899</v>
      </c>
      <c r="W725" s="17"/>
      <c r="X725" s="20">
        <f t="shared" si="230"/>
        <v>24.633327530664552</v>
      </c>
      <c r="Y725" s="20">
        <f t="shared" si="231"/>
        <v>4.9631973092618988</v>
      </c>
      <c r="Z725" s="20"/>
      <c r="AA725" s="20">
        <f t="shared" si="232"/>
        <v>3.243744616344398E-5</v>
      </c>
    </row>
    <row r="726" spans="2:27" x14ac:dyDescent="0.3">
      <c r="B726" s="28">
        <v>68.8</v>
      </c>
      <c r="C726" s="28">
        <v>16.785710000000002</v>
      </c>
      <c r="D726" s="20">
        <f t="shared" si="214"/>
        <v>55.848315030343535</v>
      </c>
      <c r="E726" s="20">
        <f t="shared" si="215"/>
        <v>-3.651549939325784</v>
      </c>
      <c r="F726" s="20">
        <f t="shared" si="216"/>
        <v>5.5583309782193355</v>
      </c>
      <c r="G726" s="20">
        <f t="shared" si="217"/>
        <v>5.5583309782193355</v>
      </c>
      <c r="H726" s="20">
        <f t="shared" si="218"/>
        <v>5.5583309782193355</v>
      </c>
      <c r="I726" s="17"/>
      <c r="J726" s="20">
        <f t="shared" si="219"/>
        <v>51.899015215014252</v>
      </c>
      <c r="K726" s="20">
        <f t="shared" si="220"/>
        <v>2.5302490982023862E-2</v>
      </c>
      <c r="L726" s="20">
        <f t="shared" si="221"/>
        <v>4.1380953553387005</v>
      </c>
      <c r="M726" s="20">
        <f t="shared" si="222"/>
        <v>4.1380953553387005</v>
      </c>
      <c r="N726" s="20">
        <f t="shared" si="223"/>
        <v>4.1380953553387005</v>
      </c>
      <c r="O726" s="17"/>
      <c r="P726" s="20">
        <f t="shared" si="224"/>
        <v>6.914718878328598</v>
      </c>
      <c r="Q726" s="20">
        <f t="shared" si="225"/>
        <v>12.003983586470961</v>
      </c>
      <c r="R726" s="20">
        <f t="shared" si="226"/>
        <v>0</v>
      </c>
      <c r="S726" s="20">
        <f t="shared" si="227"/>
        <v>0</v>
      </c>
      <c r="T726" s="20">
        <f t="shared" si="228"/>
        <v>0</v>
      </c>
      <c r="U726" s="17"/>
      <c r="V726" s="20">
        <f t="shared" si="229"/>
        <v>18.918702464799559</v>
      </c>
      <c r="W726" s="17"/>
      <c r="X726" s="20">
        <f t="shared" si="230"/>
        <v>4.5496568548916887</v>
      </c>
      <c r="Y726" s="20">
        <f t="shared" si="231"/>
        <v>2.1329924647995568</v>
      </c>
      <c r="Z726" s="20"/>
      <c r="AA726" s="20">
        <f t="shared" si="232"/>
        <v>1.3940374305662393E-5</v>
      </c>
    </row>
    <row r="727" spans="2:27" x14ac:dyDescent="0.3">
      <c r="B727" s="28">
        <v>68.900000000000006</v>
      </c>
      <c r="C727" s="28">
        <v>6.2857099999999999</v>
      </c>
      <c r="D727" s="20">
        <f t="shared" si="214"/>
        <v>55.923493210642199</v>
      </c>
      <c r="E727" s="20">
        <f t="shared" si="215"/>
        <v>-3.6465033169788246</v>
      </c>
      <c r="F727" s="20">
        <f t="shared" si="216"/>
        <v>5.5694420893304475</v>
      </c>
      <c r="G727" s="20">
        <f t="shared" si="217"/>
        <v>5.5694420893304475</v>
      </c>
      <c r="H727" s="20">
        <f t="shared" si="218"/>
        <v>5.5694420893304475</v>
      </c>
      <c r="I727" s="17"/>
      <c r="J727" s="20">
        <f t="shared" si="219"/>
        <v>51.972773221085085</v>
      </c>
      <c r="K727" s="20">
        <f t="shared" si="220"/>
        <v>2.5427331293972278E-2</v>
      </c>
      <c r="L727" s="20">
        <f t="shared" si="221"/>
        <v>4.1470458515647994</v>
      </c>
      <c r="M727" s="20">
        <f t="shared" si="222"/>
        <v>4.1470458515647994</v>
      </c>
      <c r="N727" s="20">
        <f t="shared" si="223"/>
        <v>4.1470458515647994</v>
      </c>
      <c r="O727" s="17"/>
      <c r="P727" s="20">
        <f t="shared" si="224"/>
        <v>6.895291519143413</v>
      </c>
      <c r="Q727" s="20">
        <f t="shared" si="225"/>
        <v>11.943593503455029</v>
      </c>
      <c r="R727" s="20">
        <f t="shared" si="226"/>
        <v>0</v>
      </c>
      <c r="S727" s="20">
        <f t="shared" si="227"/>
        <v>0</v>
      </c>
      <c r="T727" s="20">
        <f t="shared" si="228"/>
        <v>0</v>
      </c>
      <c r="U727" s="17"/>
      <c r="V727" s="20">
        <f t="shared" si="229"/>
        <v>18.83888502259844</v>
      </c>
      <c r="W727" s="17"/>
      <c r="X727" s="20">
        <f t="shared" si="230"/>
        <v>157.58220314798933</v>
      </c>
      <c r="Y727" s="20">
        <f t="shared" si="231"/>
        <v>12.55317502259844</v>
      </c>
      <c r="Z727" s="20"/>
      <c r="AA727" s="20">
        <f t="shared" si="232"/>
        <v>8.2042464484729933E-5</v>
      </c>
    </row>
    <row r="728" spans="2:27" x14ac:dyDescent="0.3">
      <c r="B728" s="28">
        <v>69</v>
      </c>
      <c r="C728" s="28">
        <v>27.035710000000002</v>
      </c>
      <c r="D728" s="20">
        <f t="shared" si="214"/>
        <v>55.998671390940856</v>
      </c>
      <c r="E728" s="20">
        <f t="shared" si="215"/>
        <v>-3.6414566946318656</v>
      </c>
      <c r="F728" s="20">
        <f t="shared" si="216"/>
        <v>5.5805532004415586</v>
      </c>
      <c r="G728" s="20">
        <f t="shared" si="217"/>
        <v>5.5805532004415586</v>
      </c>
      <c r="H728" s="20">
        <f t="shared" si="218"/>
        <v>5.5805532004415586</v>
      </c>
      <c r="I728" s="17"/>
      <c r="J728" s="20">
        <f t="shared" si="219"/>
        <v>52.04653320322349</v>
      </c>
      <c r="K728" s="20">
        <f t="shared" si="220"/>
        <v>2.555277221016302E-2</v>
      </c>
      <c r="L728" s="20">
        <f t="shared" si="221"/>
        <v>4.1560001025334028</v>
      </c>
      <c r="M728" s="20">
        <f t="shared" si="222"/>
        <v>4.1560001025334028</v>
      </c>
      <c r="N728" s="20">
        <f t="shared" si="223"/>
        <v>4.1560001025334028</v>
      </c>
      <c r="O728" s="17"/>
      <c r="P728" s="20">
        <f t="shared" si="224"/>
        <v>6.8759454040266244</v>
      </c>
      <c r="Q728" s="20">
        <f t="shared" si="225"/>
        <v>11.883507587060127</v>
      </c>
      <c r="R728" s="20">
        <f t="shared" si="226"/>
        <v>0</v>
      </c>
      <c r="S728" s="20">
        <f t="shared" si="227"/>
        <v>0</v>
      </c>
      <c r="T728" s="20">
        <f t="shared" si="228"/>
        <v>0</v>
      </c>
      <c r="U728" s="17"/>
      <c r="V728" s="20">
        <f t="shared" si="229"/>
        <v>18.75945299108675</v>
      </c>
      <c r="W728" s="17"/>
      <c r="X728" s="20">
        <f t="shared" si="230"/>
        <v>68.496430077585728</v>
      </c>
      <c r="Y728" s="20">
        <f t="shared" si="231"/>
        <v>8.2762570089132517</v>
      </c>
      <c r="Z728" s="20"/>
      <c r="AA728" s="20">
        <f t="shared" si="232"/>
        <v>5.4090261666702417E-5</v>
      </c>
    </row>
    <row r="729" spans="2:27" x14ac:dyDescent="0.3">
      <c r="B729" s="28">
        <v>69.099999999999994</v>
      </c>
      <c r="C729" s="28">
        <v>13.78571</v>
      </c>
      <c r="D729" s="20">
        <f t="shared" si="214"/>
        <v>56.073849571239514</v>
      </c>
      <c r="E729" s="20">
        <f t="shared" si="215"/>
        <v>-3.6364100722849066</v>
      </c>
      <c r="F729" s="20">
        <f t="shared" si="216"/>
        <v>5.5916643115526696</v>
      </c>
      <c r="G729" s="20">
        <f t="shared" si="217"/>
        <v>5.5916643115526696</v>
      </c>
      <c r="H729" s="20">
        <f t="shared" si="218"/>
        <v>5.5916643115526696</v>
      </c>
      <c r="I729" s="17"/>
      <c r="J729" s="20">
        <f t="shared" si="219"/>
        <v>52.12029515599064</v>
      </c>
      <c r="K729" s="20">
        <f t="shared" si="220"/>
        <v>2.5678816472112013E-2</v>
      </c>
      <c r="L729" s="20">
        <f t="shared" si="221"/>
        <v>4.1649580967812838</v>
      </c>
      <c r="M729" s="20">
        <f t="shared" si="222"/>
        <v>4.1649580967812838</v>
      </c>
      <c r="N729" s="20">
        <f t="shared" si="223"/>
        <v>4.1649580967812838</v>
      </c>
      <c r="O729" s="17"/>
      <c r="P729" s="20">
        <f t="shared" si="224"/>
        <v>6.8566800827446492</v>
      </c>
      <c r="Q729" s="20">
        <f t="shared" si="225"/>
        <v>11.8237243068216</v>
      </c>
      <c r="R729" s="20">
        <f t="shared" si="226"/>
        <v>0</v>
      </c>
      <c r="S729" s="20">
        <f t="shared" si="227"/>
        <v>0</v>
      </c>
      <c r="T729" s="20">
        <f t="shared" si="228"/>
        <v>0</v>
      </c>
      <c r="U729" s="17"/>
      <c r="V729" s="20">
        <f t="shared" si="229"/>
        <v>18.680404389566249</v>
      </c>
      <c r="W729" s="17"/>
      <c r="X729" s="20">
        <f t="shared" si="230"/>
        <v>23.958033167251315</v>
      </c>
      <c r="Y729" s="20">
        <f t="shared" si="231"/>
        <v>4.8946943895662489</v>
      </c>
      <c r="Z729" s="20"/>
      <c r="AA729" s="20">
        <f t="shared" si="232"/>
        <v>3.1989738842697379E-5</v>
      </c>
    </row>
    <row r="730" spans="2:27" x14ac:dyDescent="0.3">
      <c r="B730" s="28">
        <v>69.2</v>
      </c>
      <c r="C730" s="28">
        <v>33.535710000000002</v>
      </c>
      <c r="D730" s="20">
        <f t="shared" si="214"/>
        <v>56.149027751538178</v>
      </c>
      <c r="E730" s="20">
        <f t="shared" si="215"/>
        <v>-3.6313634499379472</v>
      </c>
      <c r="F730" s="20">
        <f t="shared" si="216"/>
        <v>5.6027754226637816</v>
      </c>
      <c r="G730" s="20">
        <f t="shared" si="217"/>
        <v>5.6027754226637816</v>
      </c>
      <c r="H730" s="20">
        <f t="shared" si="218"/>
        <v>5.6027754226637816</v>
      </c>
      <c r="I730" s="17"/>
      <c r="J730" s="20">
        <f t="shared" si="219"/>
        <v>52.194059073970017</v>
      </c>
      <c r="K730" s="20">
        <f t="shared" si="220"/>
        <v>2.5805466832440987E-2</v>
      </c>
      <c r="L730" s="20">
        <f t="shared" si="221"/>
        <v>4.1739198228918966</v>
      </c>
      <c r="M730" s="20">
        <f t="shared" si="222"/>
        <v>4.1739198228918966</v>
      </c>
      <c r="N730" s="20">
        <f t="shared" si="223"/>
        <v>4.1739198228918966</v>
      </c>
      <c r="O730" s="17"/>
      <c r="P730" s="20">
        <f t="shared" si="224"/>
        <v>6.8374951081665332</v>
      </c>
      <c r="Q730" s="20">
        <f t="shared" si="225"/>
        <v>11.764242139980983</v>
      </c>
      <c r="R730" s="20">
        <f t="shared" si="226"/>
        <v>0</v>
      </c>
      <c r="S730" s="20">
        <f t="shared" si="227"/>
        <v>0</v>
      </c>
      <c r="T730" s="20">
        <f t="shared" si="228"/>
        <v>0</v>
      </c>
      <c r="U730" s="17"/>
      <c r="V730" s="20">
        <f t="shared" si="229"/>
        <v>18.601737248147515</v>
      </c>
      <c r="W730" s="17"/>
      <c r="X730" s="20">
        <f t="shared" si="230"/>
        <v>223.02354215307253</v>
      </c>
      <c r="Y730" s="20">
        <f t="shared" si="231"/>
        <v>14.933972751852487</v>
      </c>
      <c r="Z730" s="20"/>
      <c r="AA730" s="20">
        <f t="shared" si="232"/>
        <v>9.7602393570082508E-5</v>
      </c>
    </row>
    <row r="731" spans="2:27" x14ac:dyDescent="0.3">
      <c r="B731" s="28">
        <v>69.3</v>
      </c>
      <c r="C731" s="28">
        <v>18.535710000000002</v>
      </c>
      <c r="D731" s="20">
        <f t="shared" si="214"/>
        <v>56.224205931836835</v>
      </c>
      <c r="E731" s="20">
        <f t="shared" si="215"/>
        <v>-3.6263168275909878</v>
      </c>
      <c r="F731" s="20">
        <f t="shared" si="216"/>
        <v>5.6138865337748909</v>
      </c>
      <c r="G731" s="20">
        <f t="shared" si="217"/>
        <v>5.6138865337748909</v>
      </c>
      <c r="H731" s="20">
        <f t="shared" si="218"/>
        <v>5.6138865337748909</v>
      </c>
      <c r="I731" s="17"/>
      <c r="J731" s="20">
        <f t="shared" si="219"/>
        <v>52.267824951767217</v>
      </c>
      <c r="K731" s="20">
        <f t="shared" si="220"/>
        <v>2.5932726054909167E-2</v>
      </c>
      <c r="L731" s="20">
        <f t="shared" si="221"/>
        <v>4.1828852694951504</v>
      </c>
      <c r="M731" s="20">
        <f t="shared" si="222"/>
        <v>4.1828852694951504</v>
      </c>
      <c r="N731" s="20">
        <f t="shared" si="223"/>
        <v>4.1828852694951504</v>
      </c>
      <c r="O731" s="17"/>
      <c r="P731" s="20">
        <f t="shared" si="224"/>
        <v>6.8183900362384362</v>
      </c>
      <c r="Q731" s="20">
        <f t="shared" si="225"/>
        <v>11.705059571447176</v>
      </c>
      <c r="R731" s="20">
        <f t="shared" si="226"/>
        <v>0</v>
      </c>
      <c r="S731" s="20">
        <f t="shared" si="227"/>
        <v>0</v>
      </c>
      <c r="T731" s="20">
        <f t="shared" si="228"/>
        <v>0</v>
      </c>
      <c r="U731" s="17"/>
      <c r="V731" s="20">
        <f t="shared" si="229"/>
        <v>18.523449607685613</v>
      </c>
      <c r="W731" s="17"/>
      <c r="X731" s="20">
        <f t="shared" si="230"/>
        <v>1.5031721970271584E-4</v>
      </c>
      <c r="Y731" s="20">
        <f t="shared" si="231"/>
        <v>1.2260392314388469E-2</v>
      </c>
      <c r="Z731" s="20"/>
      <c r="AA731" s="20">
        <f t="shared" si="232"/>
        <v>8.0128955360797758E-8</v>
      </c>
    </row>
    <row r="732" spans="2:27" x14ac:dyDescent="0.3">
      <c r="B732" s="28">
        <v>69.400000000000006</v>
      </c>
      <c r="C732" s="28">
        <v>28.535710000000002</v>
      </c>
      <c r="D732" s="20">
        <f t="shared" si="214"/>
        <v>56.299384112135499</v>
      </c>
      <c r="E732" s="20">
        <f t="shared" si="215"/>
        <v>-3.6212702052440284</v>
      </c>
      <c r="F732" s="20">
        <f t="shared" si="216"/>
        <v>5.6249976448860037</v>
      </c>
      <c r="G732" s="20">
        <f t="shared" si="217"/>
        <v>5.6249976448860037</v>
      </c>
      <c r="H732" s="20">
        <f t="shared" si="218"/>
        <v>5.6249976448860037</v>
      </c>
      <c r="I732" s="17"/>
      <c r="J732" s="20">
        <f t="shared" si="219"/>
        <v>52.341592784009904</v>
      </c>
      <c r="K732" s="20">
        <f t="shared" si="220"/>
        <v>2.6060596914444872E-2</v>
      </c>
      <c r="L732" s="20">
        <f t="shared" si="221"/>
        <v>4.1918544252671985</v>
      </c>
      <c r="M732" s="20">
        <f t="shared" si="222"/>
        <v>4.1918544252671985</v>
      </c>
      <c r="N732" s="20">
        <f t="shared" si="223"/>
        <v>4.1918544252671985</v>
      </c>
      <c r="O732" s="17"/>
      <c r="P732" s="20">
        <f t="shared" si="224"/>
        <v>6.7993644259583119</v>
      </c>
      <c r="Q732" s="20">
        <f t="shared" si="225"/>
        <v>11.646175093757869</v>
      </c>
      <c r="R732" s="20">
        <f t="shared" si="226"/>
        <v>0</v>
      </c>
      <c r="S732" s="20">
        <f t="shared" si="227"/>
        <v>0</v>
      </c>
      <c r="T732" s="20">
        <f t="shared" si="228"/>
        <v>0</v>
      </c>
      <c r="U732" s="17"/>
      <c r="V732" s="20">
        <f t="shared" si="229"/>
        <v>18.445539519716181</v>
      </c>
      <c r="W732" s="17"/>
      <c r="X732" s="20">
        <f t="shared" si="230"/>
        <v>101.81154032119102</v>
      </c>
      <c r="Y732" s="20">
        <f t="shared" si="231"/>
        <v>10.09017048028382</v>
      </c>
      <c r="Z732" s="20"/>
      <c r="AA732" s="20">
        <f t="shared" si="232"/>
        <v>6.5945264985415696E-5</v>
      </c>
    </row>
    <row r="733" spans="2:27" x14ac:dyDescent="0.3">
      <c r="B733" s="28">
        <v>69.5</v>
      </c>
      <c r="C733" s="28">
        <v>-0.96428999999999998</v>
      </c>
      <c r="D733" s="20">
        <f t="shared" si="214"/>
        <v>56.374562292434156</v>
      </c>
      <c r="E733" s="20">
        <f t="shared" si="215"/>
        <v>-3.6162235828970695</v>
      </c>
      <c r="F733" s="20">
        <f t="shared" si="216"/>
        <v>5.6361087559971139</v>
      </c>
      <c r="G733" s="20">
        <f t="shared" si="217"/>
        <v>5.6361087559971139</v>
      </c>
      <c r="H733" s="20">
        <f t="shared" si="218"/>
        <v>5.6361087559971139</v>
      </c>
      <c r="I733" s="17"/>
      <c r="J733" s="20">
        <f t="shared" si="219"/>
        <v>52.415362565347635</v>
      </c>
      <c r="K733" s="20">
        <f t="shared" si="220"/>
        <v>2.6189082197177114E-2</v>
      </c>
      <c r="L733" s="20">
        <f t="shared" si="221"/>
        <v>4.2008272789302072</v>
      </c>
      <c r="M733" s="20">
        <f t="shared" si="222"/>
        <v>4.2008272789302072</v>
      </c>
      <c r="N733" s="20">
        <f t="shared" si="223"/>
        <v>4.2008272789302072</v>
      </c>
      <c r="O733" s="17"/>
      <c r="P733" s="20">
        <f t="shared" si="224"/>
        <v>6.7804178393508749</v>
      </c>
      <c r="Q733" s="20">
        <f t="shared" si="225"/>
        <v>11.587587207041114</v>
      </c>
      <c r="R733" s="20">
        <f t="shared" si="226"/>
        <v>0</v>
      </c>
      <c r="S733" s="20">
        <f t="shared" si="227"/>
        <v>0</v>
      </c>
      <c r="T733" s="20">
        <f t="shared" si="228"/>
        <v>0</v>
      </c>
      <c r="U733" s="17"/>
      <c r="V733" s="20">
        <f t="shared" si="229"/>
        <v>18.368005046391989</v>
      </c>
      <c r="W733" s="17"/>
      <c r="X733" s="20">
        <f t="shared" si="230"/>
        <v>373.73763176075215</v>
      </c>
      <c r="Y733" s="20">
        <f t="shared" si="231"/>
        <v>19.332295046391987</v>
      </c>
      <c r="Z733" s="20"/>
      <c r="AA733" s="20">
        <f t="shared" si="232"/>
        <v>1.26348045565896E-4</v>
      </c>
    </row>
    <row r="734" spans="2:27" x14ac:dyDescent="0.3">
      <c r="B734" s="28">
        <v>69.599999999999994</v>
      </c>
      <c r="C734" s="28">
        <v>5.2857099999999999</v>
      </c>
      <c r="D734" s="20">
        <f t="shared" si="214"/>
        <v>56.449740472732813</v>
      </c>
      <c r="E734" s="20">
        <f t="shared" si="215"/>
        <v>-3.6111769605501105</v>
      </c>
      <c r="F734" s="20">
        <f t="shared" si="216"/>
        <v>5.647219867108225</v>
      </c>
      <c r="G734" s="20">
        <f t="shared" si="217"/>
        <v>5.647219867108225</v>
      </c>
      <c r="H734" s="20">
        <f t="shared" si="218"/>
        <v>5.647219867108225</v>
      </c>
      <c r="I734" s="17"/>
      <c r="J734" s="20">
        <f t="shared" si="219"/>
        <v>52.489134290451787</v>
      </c>
      <c r="K734" s="20">
        <f t="shared" si="220"/>
        <v>2.6318184700467137E-2</v>
      </c>
      <c r="L734" s="20">
        <f t="shared" si="221"/>
        <v>4.2098038192521487</v>
      </c>
      <c r="M734" s="20">
        <f t="shared" si="222"/>
        <v>4.2098038192521487</v>
      </c>
      <c r="N734" s="20">
        <f t="shared" si="223"/>
        <v>4.2098038192521487</v>
      </c>
      <c r="O734" s="17"/>
      <c r="P734" s="20">
        <f t="shared" si="224"/>
        <v>6.7615498414427657</v>
      </c>
      <c r="Q734" s="20">
        <f t="shared" si="225"/>
        <v>11.529294418977123</v>
      </c>
      <c r="R734" s="20">
        <f t="shared" si="226"/>
        <v>0</v>
      </c>
      <c r="S734" s="20">
        <f t="shared" si="227"/>
        <v>0</v>
      </c>
      <c r="T734" s="20">
        <f t="shared" si="228"/>
        <v>0</v>
      </c>
      <c r="U734" s="17"/>
      <c r="V734" s="20">
        <f t="shared" si="229"/>
        <v>18.290844260419888</v>
      </c>
      <c r="W734" s="17"/>
      <c r="X734" s="20">
        <f t="shared" si="230"/>
        <v>169.13351713154717</v>
      </c>
      <c r="Y734" s="20">
        <f t="shared" si="231"/>
        <v>13.005134260419888</v>
      </c>
      <c r="Z734" s="20"/>
      <c r="AA734" s="20">
        <f t="shared" si="232"/>
        <v>8.4996286896252127E-5</v>
      </c>
    </row>
    <row r="735" spans="2:27" x14ac:dyDescent="0.3">
      <c r="B735" s="28">
        <v>69.7</v>
      </c>
      <c r="C735" s="28">
        <v>6.7857099999999999</v>
      </c>
      <c r="D735" s="20">
        <f t="shared" si="214"/>
        <v>56.524918653031477</v>
      </c>
      <c r="E735" s="20">
        <f t="shared" si="215"/>
        <v>-3.6061303382031511</v>
      </c>
      <c r="F735" s="20">
        <f t="shared" si="216"/>
        <v>5.6583309782193369</v>
      </c>
      <c r="G735" s="20">
        <f t="shared" si="217"/>
        <v>5.6583309782193369</v>
      </c>
      <c r="H735" s="20">
        <f t="shared" si="218"/>
        <v>5.6583309782193369</v>
      </c>
      <c r="I735" s="17"/>
      <c r="J735" s="20">
        <f t="shared" si="219"/>
        <v>52.562907954015415</v>
      </c>
      <c r="K735" s="20">
        <f t="shared" si="220"/>
        <v>2.6447907232939896E-2</v>
      </c>
      <c r="L735" s="20">
        <f t="shared" si="221"/>
        <v>4.2187840350465802</v>
      </c>
      <c r="M735" s="20">
        <f t="shared" si="222"/>
        <v>4.2187840350465802</v>
      </c>
      <c r="N735" s="20">
        <f t="shared" si="223"/>
        <v>4.2187840350465802</v>
      </c>
      <c r="O735" s="17"/>
      <c r="P735" s="20">
        <f t="shared" si="224"/>
        <v>6.7427600002379853</v>
      </c>
      <c r="Q735" s="20">
        <f t="shared" si="225"/>
        <v>11.471295244760245</v>
      </c>
      <c r="R735" s="20">
        <f t="shared" si="226"/>
        <v>0</v>
      </c>
      <c r="S735" s="20">
        <f t="shared" si="227"/>
        <v>0</v>
      </c>
      <c r="T735" s="20">
        <f t="shared" si="228"/>
        <v>0</v>
      </c>
      <c r="U735" s="17"/>
      <c r="V735" s="20">
        <f t="shared" si="229"/>
        <v>18.214055244998232</v>
      </c>
      <c r="W735" s="17"/>
      <c r="X735" s="20">
        <f t="shared" si="230"/>
        <v>130.60707503887369</v>
      </c>
      <c r="Y735" s="20">
        <f t="shared" si="231"/>
        <v>11.428345244998232</v>
      </c>
      <c r="Z735" s="20"/>
      <c r="AA735" s="20">
        <f t="shared" si="232"/>
        <v>7.4691032921479935E-5</v>
      </c>
    </row>
    <row r="736" spans="2:27" x14ac:dyDescent="0.3">
      <c r="B736" s="28">
        <v>69.8</v>
      </c>
      <c r="C736" s="28">
        <v>14.28571</v>
      </c>
      <c r="D736" s="20">
        <f t="shared" si="214"/>
        <v>56.600096833330134</v>
      </c>
      <c r="E736" s="20">
        <f t="shared" si="215"/>
        <v>-3.6010837158561921</v>
      </c>
      <c r="F736" s="20">
        <f t="shared" si="216"/>
        <v>5.6694420893304471</v>
      </c>
      <c r="G736" s="20">
        <f t="shared" si="217"/>
        <v>5.6694420893304471</v>
      </c>
      <c r="H736" s="20">
        <f t="shared" si="218"/>
        <v>5.6694420893304471</v>
      </c>
      <c r="I736" s="17"/>
      <c r="J736" s="20">
        <f t="shared" si="219"/>
        <v>52.636683550753112</v>
      </c>
      <c r="K736" s="20">
        <f t="shared" si="220"/>
        <v>2.657825261451547E-2</v>
      </c>
      <c r="L736" s="20">
        <f t="shared" si="221"/>
        <v>4.2277679151724206</v>
      </c>
      <c r="M736" s="20">
        <f t="shared" si="222"/>
        <v>4.2277679151724206</v>
      </c>
      <c r="N736" s="20">
        <f t="shared" si="223"/>
        <v>4.2277679151724206</v>
      </c>
      <c r="O736" s="17"/>
      <c r="P736" s="20">
        <f t="shared" si="224"/>
        <v>6.7240478866935547</v>
      </c>
      <c r="Q736" s="20">
        <f t="shared" si="225"/>
        <v>11.413588207061148</v>
      </c>
      <c r="R736" s="20">
        <f t="shared" si="226"/>
        <v>0</v>
      </c>
      <c r="S736" s="20">
        <f t="shared" si="227"/>
        <v>0</v>
      </c>
      <c r="T736" s="20">
        <f t="shared" si="228"/>
        <v>0</v>
      </c>
      <c r="U736" s="17"/>
      <c r="V736" s="20">
        <f t="shared" si="229"/>
        <v>18.137636093754701</v>
      </c>
      <c r="W736" s="17"/>
      <c r="X736" s="20">
        <f t="shared" si="230"/>
        <v>14.837334631748346</v>
      </c>
      <c r="Y736" s="20">
        <f t="shared" si="231"/>
        <v>3.8519260937547006</v>
      </c>
      <c r="Z736" s="20"/>
      <c r="AA736" s="20">
        <f t="shared" si="232"/>
        <v>2.5174627867114674E-5</v>
      </c>
    </row>
    <row r="737" spans="2:27" x14ac:dyDescent="0.3">
      <c r="B737" s="28">
        <v>69.900000000000006</v>
      </c>
      <c r="C737" s="28">
        <v>19.285710000000002</v>
      </c>
      <c r="D737" s="20">
        <f t="shared" si="214"/>
        <v>56.675275013628799</v>
      </c>
      <c r="E737" s="20">
        <f t="shared" si="215"/>
        <v>-3.5960370935092327</v>
      </c>
      <c r="F737" s="20">
        <f t="shared" si="216"/>
        <v>5.6805532004415591</v>
      </c>
      <c r="G737" s="20">
        <f t="shared" si="217"/>
        <v>5.6805532004415591</v>
      </c>
      <c r="H737" s="20">
        <f t="shared" si="218"/>
        <v>5.6805532004415591</v>
      </c>
      <c r="I737" s="17"/>
      <c r="J737" s="20">
        <f t="shared" si="219"/>
        <v>52.71046107540095</v>
      </c>
      <c r="K737" s="20">
        <f t="shared" si="220"/>
        <v>2.6709223676440519E-2</v>
      </c>
      <c r="L737" s="20">
        <f t="shared" si="221"/>
        <v>4.236755448533752</v>
      </c>
      <c r="M737" s="20">
        <f t="shared" si="222"/>
        <v>4.236755448533752</v>
      </c>
      <c r="N737" s="20">
        <f t="shared" si="223"/>
        <v>4.236755448533752</v>
      </c>
      <c r="O737" s="17"/>
      <c r="P737" s="20">
        <f t="shared" si="224"/>
        <v>6.7054130746953895</v>
      </c>
      <c r="Q737" s="20">
        <f t="shared" si="225"/>
        <v>11.356171835989159</v>
      </c>
      <c r="R737" s="20">
        <f t="shared" si="226"/>
        <v>0</v>
      </c>
      <c r="S737" s="20">
        <f t="shared" si="227"/>
        <v>0</v>
      </c>
      <c r="T737" s="20">
        <f t="shared" si="228"/>
        <v>0</v>
      </c>
      <c r="U737" s="17"/>
      <c r="V737" s="20">
        <f t="shared" si="229"/>
        <v>18.061584910684548</v>
      </c>
      <c r="W737" s="17"/>
      <c r="X737" s="20">
        <f t="shared" si="230"/>
        <v>1.4984822342915673</v>
      </c>
      <c r="Y737" s="20">
        <f t="shared" si="231"/>
        <v>1.2241250893154536</v>
      </c>
      <c r="Z737" s="20"/>
      <c r="AA737" s="20">
        <f t="shared" si="232"/>
        <v>8.0003854789114097E-6</v>
      </c>
    </row>
    <row r="738" spans="2:27" x14ac:dyDescent="0.3">
      <c r="B738" s="28">
        <v>70</v>
      </c>
      <c r="C738" s="28">
        <v>18.785710000000002</v>
      </c>
      <c r="D738" s="20">
        <f t="shared" si="214"/>
        <v>56.750453193927456</v>
      </c>
      <c r="E738" s="20">
        <f t="shared" si="215"/>
        <v>-3.5909904711622738</v>
      </c>
      <c r="F738" s="20">
        <f t="shared" si="216"/>
        <v>5.6916643115526693</v>
      </c>
      <c r="G738" s="20">
        <f t="shared" si="217"/>
        <v>5.6916643115526693</v>
      </c>
      <c r="H738" s="20">
        <f t="shared" si="218"/>
        <v>5.6916643115526693</v>
      </c>
      <c r="I738" s="17"/>
      <c r="J738" s="20">
        <f t="shared" si="219"/>
        <v>52.78424052271631</v>
      </c>
      <c r="K738" s="20">
        <f t="shared" si="220"/>
        <v>2.6840823261319546E-2</v>
      </c>
      <c r="L738" s="20">
        <f t="shared" si="221"/>
        <v>4.2457466240795876</v>
      </c>
      <c r="M738" s="20">
        <f t="shared" si="222"/>
        <v>4.2457466240795876</v>
      </c>
      <c r="N738" s="20">
        <f t="shared" si="223"/>
        <v>4.2457466240795876</v>
      </c>
      <c r="O738" s="17"/>
      <c r="P738" s="20">
        <f t="shared" si="224"/>
        <v>6.6868551410344228</v>
      </c>
      <c r="Q738" s="20">
        <f t="shared" si="225"/>
        <v>11.299044669054851</v>
      </c>
      <c r="R738" s="20">
        <f t="shared" si="226"/>
        <v>0</v>
      </c>
      <c r="S738" s="20">
        <f t="shared" si="227"/>
        <v>0</v>
      </c>
      <c r="T738" s="20">
        <f t="shared" si="228"/>
        <v>0</v>
      </c>
      <c r="U738" s="17"/>
      <c r="V738" s="20">
        <f t="shared" si="229"/>
        <v>17.985899810089272</v>
      </c>
      <c r="W738" s="17"/>
      <c r="X738" s="20">
        <f t="shared" si="230"/>
        <v>0.63969633988503749</v>
      </c>
      <c r="Y738" s="20">
        <f t="shared" si="231"/>
        <v>0.79981018991072972</v>
      </c>
      <c r="Z738" s="20"/>
      <c r="AA738" s="20">
        <f t="shared" si="232"/>
        <v>5.227235259776812E-6</v>
      </c>
    </row>
    <row r="739" spans="2:27" x14ac:dyDescent="0.3">
      <c r="B739" s="28">
        <v>70.099999999999994</v>
      </c>
      <c r="C739" s="28">
        <v>24.285710000000002</v>
      </c>
      <c r="D739" s="20">
        <f t="shared" si="214"/>
        <v>56.825631374226106</v>
      </c>
      <c r="E739" s="20">
        <f t="shared" si="215"/>
        <v>-3.5859438488153148</v>
      </c>
      <c r="F739" s="20">
        <f t="shared" si="216"/>
        <v>5.7027754226637803</v>
      </c>
      <c r="G739" s="20">
        <f t="shared" si="217"/>
        <v>5.7027754226637803</v>
      </c>
      <c r="H739" s="20">
        <f t="shared" si="218"/>
        <v>5.7027754226637803</v>
      </c>
      <c r="I739" s="17"/>
      <c r="J739" s="20">
        <f t="shared" si="219"/>
        <v>52.858021887477797</v>
      </c>
      <c r="K739" s="20">
        <f t="shared" si="220"/>
        <v>2.6973054223146255E-2</v>
      </c>
      <c r="L739" s="20">
        <f t="shared" si="221"/>
        <v>4.2547414308036728</v>
      </c>
      <c r="M739" s="20">
        <f t="shared" si="222"/>
        <v>4.2547414308036728</v>
      </c>
      <c r="N739" s="20">
        <f t="shared" si="223"/>
        <v>4.2547414308036728</v>
      </c>
      <c r="O739" s="17"/>
      <c r="P739" s="20">
        <f t="shared" si="224"/>
        <v>6.6683736653829433</v>
      </c>
      <c r="Q739" s="20">
        <f t="shared" si="225"/>
        <v>11.242205251132745</v>
      </c>
      <c r="R739" s="20">
        <f t="shared" si="226"/>
        <v>0</v>
      </c>
      <c r="S739" s="20">
        <f t="shared" si="227"/>
        <v>0</v>
      </c>
      <c r="T739" s="20">
        <f t="shared" si="228"/>
        <v>0</v>
      </c>
      <c r="U739" s="17"/>
      <c r="V739" s="20">
        <f t="shared" si="229"/>
        <v>17.910578916515689</v>
      </c>
      <c r="W739" s="17"/>
      <c r="X739" s="20">
        <f t="shared" si="230"/>
        <v>40.642296331607866</v>
      </c>
      <c r="Y739" s="20">
        <f t="shared" si="231"/>
        <v>6.3751310834843125</v>
      </c>
      <c r="Z739" s="20"/>
      <c r="AA739" s="20">
        <f t="shared" si="232"/>
        <v>4.1665273093117031E-5</v>
      </c>
    </row>
    <row r="740" spans="2:27" x14ac:dyDescent="0.3">
      <c r="B740" s="28">
        <v>70.2</v>
      </c>
      <c r="C740" s="28">
        <v>21.035710000000002</v>
      </c>
      <c r="D740" s="20">
        <f t="shared" si="214"/>
        <v>56.900809554524777</v>
      </c>
      <c r="E740" s="20">
        <f t="shared" si="215"/>
        <v>-3.5808972264683554</v>
      </c>
      <c r="F740" s="20">
        <f t="shared" si="216"/>
        <v>5.7138865337748923</v>
      </c>
      <c r="G740" s="20">
        <f t="shared" si="217"/>
        <v>5.7138865337748923</v>
      </c>
      <c r="H740" s="20">
        <f t="shared" si="218"/>
        <v>5.7138865337748923</v>
      </c>
      <c r="I740" s="17"/>
      <c r="J740" s="20">
        <f t="shared" si="219"/>
        <v>52.931805164485155</v>
      </c>
      <c r="K740" s="20">
        <f t="shared" si="220"/>
        <v>2.7105919427334785E-2</v>
      </c>
      <c r="L740" s="20">
        <f t="shared" si="221"/>
        <v>4.2637398577442669</v>
      </c>
      <c r="M740" s="20">
        <f t="shared" si="222"/>
        <v>4.2637398577442669</v>
      </c>
      <c r="N740" s="20">
        <f t="shared" si="223"/>
        <v>4.2637398577442669</v>
      </c>
      <c r="O740" s="17"/>
      <c r="P740" s="20">
        <f t="shared" si="224"/>
        <v>6.6499682302711554</v>
      </c>
      <c r="Q740" s="20">
        <f t="shared" si="225"/>
        <v>11.185652134424245</v>
      </c>
      <c r="R740" s="20">
        <f t="shared" si="226"/>
        <v>0</v>
      </c>
      <c r="S740" s="20">
        <f t="shared" si="227"/>
        <v>0</v>
      </c>
      <c r="T740" s="20">
        <f t="shared" si="228"/>
        <v>0</v>
      </c>
      <c r="U740" s="17"/>
      <c r="V740" s="20">
        <f t="shared" si="229"/>
        <v>17.835620364695401</v>
      </c>
      <c r="W740" s="17"/>
      <c r="X740" s="20">
        <f t="shared" si="230"/>
        <v>10.240573673983929</v>
      </c>
      <c r="Y740" s="20">
        <f t="shared" si="231"/>
        <v>3.2000896353046002</v>
      </c>
      <c r="Z740" s="20"/>
      <c r="AA740" s="20">
        <f t="shared" si="232"/>
        <v>2.0914488946405607E-5</v>
      </c>
    </row>
    <row r="741" spans="2:27" x14ac:dyDescent="0.3">
      <c r="B741" s="28">
        <v>70.3</v>
      </c>
      <c r="C741" s="28">
        <v>13.78571</v>
      </c>
      <c r="D741" s="20">
        <f t="shared" si="214"/>
        <v>56.975987734823427</v>
      </c>
      <c r="E741" s="20">
        <f t="shared" si="215"/>
        <v>-3.5758506041213964</v>
      </c>
      <c r="F741" s="20">
        <f t="shared" si="216"/>
        <v>5.7249976448860025</v>
      </c>
      <c r="G741" s="20">
        <f t="shared" si="217"/>
        <v>5.7249976448860025</v>
      </c>
      <c r="H741" s="20">
        <f t="shared" si="218"/>
        <v>5.7249976448860025</v>
      </c>
      <c r="I741" s="17"/>
      <c r="J741" s="20">
        <f t="shared" si="219"/>
        <v>53.005590348559046</v>
      </c>
      <c r="K741" s="20">
        <f t="shared" si="220"/>
        <v>2.7239421750750805E-2</v>
      </c>
      <c r="L741" s="20">
        <f t="shared" si="221"/>
        <v>4.2727418939839303</v>
      </c>
      <c r="M741" s="20">
        <f t="shared" si="222"/>
        <v>4.2727418939839303</v>
      </c>
      <c r="N741" s="20">
        <f t="shared" si="223"/>
        <v>4.2727418939839303</v>
      </c>
      <c r="O741" s="17"/>
      <c r="P741" s="20">
        <f t="shared" si="224"/>
        <v>6.6316384210639896</v>
      </c>
      <c r="Q741" s="20">
        <f t="shared" si="225"/>
        <v>11.129383878420787</v>
      </c>
      <c r="R741" s="20">
        <f t="shared" si="226"/>
        <v>0</v>
      </c>
      <c r="S741" s="20">
        <f t="shared" si="227"/>
        <v>0</v>
      </c>
      <c r="T741" s="20">
        <f t="shared" si="228"/>
        <v>0</v>
      </c>
      <c r="U741" s="17"/>
      <c r="V741" s="20">
        <f t="shared" si="229"/>
        <v>17.761022299484779</v>
      </c>
      <c r="W741" s="17"/>
      <c r="X741" s="20">
        <f t="shared" si="230"/>
        <v>15.803107878434961</v>
      </c>
      <c r="Y741" s="20">
        <f t="shared" si="231"/>
        <v>3.9753122994847789</v>
      </c>
      <c r="Z741" s="20"/>
      <c r="AA741" s="20">
        <f t="shared" si="232"/>
        <v>2.5981030102667996E-5</v>
      </c>
    </row>
    <row r="742" spans="2:27" x14ac:dyDescent="0.3">
      <c r="B742" s="28">
        <v>70.400000000000006</v>
      </c>
      <c r="C742" s="28">
        <v>9.0357099999999999</v>
      </c>
      <c r="D742" s="20">
        <f t="shared" si="214"/>
        <v>57.051165915122098</v>
      </c>
      <c r="E742" s="20">
        <f t="shared" si="215"/>
        <v>-3.570803981774437</v>
      </c>
      <c r="F742" s="20">
        <f t="shared" si="216"/>
        <v>5.7361087559971145</v>
      </c>
      <c r="G742" s="20">
        <f t="shared" si="217"/>
        <v>5.7361087559971145</v>
      </c>
      <c r="H742" s="20">
        <f t="shared" si="218"/>
        <v>5.7361087559971145</v>
      </c>
      <c r="I742" s="17"/>
      <c r="J742" s="20">
        <f t="shared" si="219"/>
        <v>53.079377434541094</v>
      </c>
      <c r="K742" s="20">
        <f t="shared" si="220"/>
        <v>2.7373564081742761E-2</v>
      </c>
      <c r="L742" s="20">
        <f t="shared" si="221"/>
        <v>4.2817475286493245</v>
      </c>
      <c r="M742" s="20">
        <f t="shared" si="222"/>
        <v>4.2817475286493245</v>
      </c>
      <c r="N742" s="20">
        <f t="shared" si="223"/>
        <v>4.2817475286493245</v>
      </c>
      <c r="O742" s="17"/>
      <c r="P742" s="20">
        <f t="shared" si="224"/>
        <v>6.6133838259380759</v>
      </c>
      <c r="Q742" s="20">
        <f t="shared" si="225"/>
        <v>11.073399049867087</v>
      </c>
      <c r="R742" s="20">
        <f t="shared" si="226"/>
        <v>0</v>
      </c>
      <c r="S742" s="20">
        <f t="shared" si="227"/>
        <v>0</v>
      </c>
      <c r="T742" s="20">
        <f t="shared" si="228"/>
        <v>0</v>
      </c>
      <c r="U742" s="17"/>
      <c r="V742" s="20">
        <f t="shared" si="229"/>
        <v>17.686782875805164</v>
      </c>
      <c r="W742" s="17"/>
      <c r="X742" s="20">
        <f t="shared" si="230"/>
        <v>74.841061902491845</v>
      </c>
      <c r="Y742" s="20">
        <f t="shared" si="231"/>
        <v>8.6510728758051645</v>
      </c>
      <c r="Z742" s="20"/>
      <c r="AA742" s="20">
        <f t="shared" si="232"/>
        <v>5.6539906269954971E-5</v>
      </c>
    </row>
    <row r="743" spans="2:27" x14ac:dyDescent="0.3">
      <c r="B743" s="28">
        <v>70.5</v>
      </c>
      <c r="C743" s="28">
        <v>11</v>
      </c>
      <c r="D743" s="20">
        <f t="shared" si="214"/>
        <v>57.126344095420748</v>
      </c>
      <c r="E743" s="20">
        <f t="shared" si="215"/>
        <v>-3.5657573594274776</v>
      </c>
      <c r="F743" s="20">
        <f t="shared" si="216"/>
        <v>5.7472198671082255</v>
      </c>
      <c r="G743" s="20">
        <f t="shared" si="217"/>
        <v>5.7472198671082255</v>
      </c>
      <c r="H743" s="20">
        <f t="shared" si="218"/>
        <v>5.7472198671082255</v>
      </c>
      <c r="I743" s="17"/>
      <c r="J743" s="20">
        <f t="shared" si="219"/>
        <v>53.153166417293612</v>
      </c>
      <c r="K743" s="20">
        <f t="shared" si="220"/>
        <v>2.7508349320172841E-2</v>
      </c>
      <c r="L743" s="20">
        <f t="shared" si="221"/>
        <v>4.2907567509109903</v>
      </c>
      <c r="M743" s="20">
        <f t="shared" si="222"/>
        <v>4.2907567509109903</v>
      </c>
      <c r="N743" s="20">
        <f t="shared" si="223"/>
        <v>4.2907567509109903</v>
      </c>
      <c r="O743" s="17"/>
      <c r="P743" s="20">
        <f t="shared" si="224"/>
        <v>6.5952040358589965</v>
      </c>
      <c r="Q743" s="20">
        <f t="shared" si="225"/>
        <v>11.017696222724654</v>
      </c>
      <c r="R743" s="20">
        <f t="shared" si="226"/>
        <v>0</v>
      </c>
      <c r="S743" s="20">
        <f t="shared" si="227"/>
        <v>0</v>
      </c>
      <c r="T743" s="20">
        <f t="shared" si="228"/>
        <v>0</v>
      </c>
      <c r="U743" s="17"/>
      <c r="V743" s="20">
        <f t="shared" si="229"/>
        <v>17.61290025858365</v>
      </c>
      <c r="W743" s="17"/>
      <c r="X743" s="20">
        <f t="shared" si="230"/>
        <v>43.730449829975711</v>
      </c>
      <c r="Y743" s="20">
        <f t="shared" si="231"/>
        <v>6.6129002585836503</v>
      </c>
      <c r="Z743" s="20"/>
      <c r="AA743" s="20">
        <f t="shared" si="232"/>
        <v>4.3219236060138031E-5</v>
      </c>
    </row>
    <row r="744" spans="2:27" x14ac:dyDescent="0.3">
      <c r="B744" s="28">
        <v>70.599999999999994</v>
      </c>
      <c r="C744" s="28">
        <v>15.78571</v>
      </c>
      <c r="D744" s="20">
        <f t="shared" si="214"/>
        <v>57.201522275719405</v>
      </c>
      <c r="E744" s="20">
        <f t="shared" si="215"/>
        <v>-3.5607107370805191</v>
      </c>
      <c r="F744" s="20">
        <f t="shared" si="216"/>
        <v>5.7583309782193357</v>
      </c>
      <c r="G744" s="20">
        <f t="shared" si="217"/>
        <v>5.7583309782193357</v>
      </c>
      <c r="H744" s="20">
        <f t="shared" si="218"/>
        <v>5.7583309782193357</v>
      </c>
      <c r="I744" s="17"/>
      <c r="J744" s="20">
        <f t="shared" si="219"/>
        <v>53.22695729169962</v>
      </c>
      <c r="K744" s="20">
        <f t="shared" si="220"/>
        <v>2.764378037744801E-2</v>
      </c>
      <c r="L744" s="20">
        <f t="shared" si="221"/>
        <v>4.299769549983151</v>
      </c>
      <c r="M744" s="20">
        <f t="shared" si="222"/>
        <v>4.299769549983151</v>
      </c>
      <c r="N744" s="20">
        <f t="shared" si="223"/>
        <v>4.299769549983151</v>
      </c>
      <c r="O744" s="17"/>
      <c r="P744" s="20">
        <f t="shared" si="224"/>
        <v>6.5770986445587019</v>
      </c>
      <c r="Q744" s="20">
        <f t="shared" si="225"/>
        <v>10.962273978135466</v>
      </c>
      <c r="R744" s="20">
        <f t="shared" si="226"/>
        <v>0</v>
      </c>
      <c r="S744" s="20">
        <f t="shared" si="227"/>
        <v>0</v>
      </c>
      <c r="T744" s="20">
        <f t="shared" si="228"/>
        <v>0</v>
      </c>
      <c r="U744" s="17"/>
      <c r="V744" s="20">
        <f t="shared" si="229"/>
        <v>17.539372622694167</v>
      </c>
      <c r="W744" s="17"/>
      <c r="X744" s="20">
        <f t="shared" si="230"/>
        <v>3.0753325942345833</v>
      </c>
      <c r="Y744" s="20">
        <f t="shared" si="231"/>
        <v>1.7536626226941667</v>
      </c>
      <c r="Z744" s="20"/>
      <c r="AA744" s="20">
        <f t="shared" si="232"/>
        <v>1.1461228189806854E-5</v>
      </c>
    </row>
    <row r="745" spans="2:27" x14ac:dyDescent="0.3">
      <c r="B745" s="28">
        <v>70.7</v>
      </c>
      <c r="C745" s="28">
        <v>9.5357099999999999</v>
      </c>
      <c r="D745" s="20">
        <f t="shared" si="214"/>
        <v>57.276700456018069</v>
      </c>
      <c r="E745" s="20">
        <f t="shared" si="215"/>
        <v>-3.5556641147335597</v>
      </c>
      <c r="F745" s="20">
        <f t="shared" si="216"/>
        <v>5.7694420893304477</v>
      </c>
      <c r="G745" s="20">
        <f t="shared" si="217"/>
        <v>5.7694420893304477</v>
      </c>
      <c r="H745" s="20">
        <f t="shared" si="218"/>
        <v>5.7694420893304477</v>
      </c>
      <c r="I745" s="17"/>
      <c r="J745" s="20">
        <f t="shared" si="219"/>
        <v>53.300750052662686</v>
      </c>
      <c r="K745" s="20">
        <f t="shared" si="220"/>
        <v>2.7779860176551003E-2</v>
      </c>
      <c r="L745" s="20">
        <f t="shared" si="221"/>
        <v>4.3087859151235008</v>
      </c>
      <c r="M745" s="20">
        <f t="shared" si="222"/>
        <v>4.3087859151235008</v>
      </c>
      <c r="N745" s="20">
        <f t="shared" si="223"/>
        <v>4.3087859151235008</v>
      </c>
      <c r="O745" s="17"/>
      <c r="P745" s="20">
        <f t="shared" si="224"/>
        <v>6.5590672485131645</v>
      </c>
      <c r="Q745" s="20">
        <f t="shared" si="225"/>
        <v>10.907130904385779</v>
      </c>
      <c r="R745" s="20">
        <f t="shared" si="226"/>
        <v>0</v>
      </c>
      <c r="S745" s="20">
        <f t="shared" si="227"/>
        <v>0</v>
      </c>
      <c r="T745" s="20">
        <f t="shared" si="228"/>
        <v>0</v>
      </c>
      <c r="U745" s="17"/>
      <c r="V745" s="20">
        <f t="shared" si="229"/>
        <v>17.466198152898944</v>
      </c>
      <c r="W745" s="17"/>
      <c r="X745" s="20">
        <f t="shared" si="230"/>
        <v>62.892642343270502</v>
      </c>
      <c r="Y745" s="20">
        <f t="shared" si="231"/>
        <v>7.9304881528989437</v>
      </c>
      <c r="Z745" s="20"/>
      <c r="AA745" s="20">
        <f t="shared" si="232"/>
        <v>5.1830456554576483E-5</v>
      </c>
    </row>
    <row r="746" spans="2:27" x14ac:dyDescent="0.3">
      <c r="B746" s="28">
        <v>70.8</v>
      </c>
      <c r="C746" s="28">
        <v>-3.9642900000000001</v>
      </c>
      <c r="D746" s="20">
        <f t="shared" si="214"/>
        <v>57.351878636316727</v>
      </c>
      <c r="E746" s="20">
        <f t="shared" si="215"/>
        <v>-3.5506174923866003</v>
      </c>
      <c r="F746" s="20">
        <f t="shared" si="216"/>
        <v>5.7805532004415578</v>
      </c>
      <c r="G746" s="20">
        <f t="shared" si="217"/>
        <v>5.7805532004415578</v>
      </c>
      <c r="H746" s="20">
        <f t="shared" si="218"/>
        <v>5.7805532004415578</v>
      </c>
      <c r="I746" s="17"/>
      <c r="J746" s="20">
        <f t="shared" si="219"/>
        <v>53.374544695106771</v>
      </c>
      <c r="K746" s="20">
        <f t="shared" si="220"/>
        <v>2.7916591652071106E-2</v>
      </c>
      <c r="L746" s="20">
        <f t="shared" si="221"/>
        <v>4.3178058356329991</v>
      </c>
      <c r="M746" s="20">
        <f t="shared" si="222"/>
        <v>4.3178058356329991</v>
      </c>
      <c r="N746" s="20">
        <f t="shared" si="223"/>
        <v>4.3178058356329991</v>
      </c>
      <c r="O746" s="17"/>
      <c r="P746" s="20">
        <f t="shared" si="224"/>
        <v>6.541109446920256</v>
      </c>
      <c r="Q746" s="20">
        <f t="shared" si="225"/>
        <v>10.852265596870209</v>
      </c>
      <c r="R746" s="20">
        <f t="shared" si="226"/>
        <v>0</v>
      </c>
      <c r="S746" s="20">
        <f t="shared" si="227"/>
        <v>0</v>
      </c>
      <c r="T746" s="20">
        <f t="shared" si="228"/>
        <v>0</v>
      </c>
      <c r="U746" s="17"/>
      <c r="V746" s="20">
        <f t="shared" si="229"/>
        <v>17.393375043790464</v>
      </c>
      <c r="W746" s="17"/>
      <c r="X746" s="20">
        <f t="shared" si="230"/>
        <v>456.14985612274904</v>
      </c>
      <c r="Y746" s="20">
        <f t="shared" si="231"/>
        <v>21.357665043790462</v>
      </c>
      <c r="Z746" s="20"/>
      <c r="AA746" s="20">
        <f t="shared" si="232"/>
        <v>1.3958504304110577E-4</v>
      </c>
    </row>
    <row r="747" spans="2:27" x14ac:dyDescent="0.3">
      <c r="B747" s="28">
        <v>70.900000000000006</v>
      </c>
      <c r="C747" s="28">
        <v>11.03571</v>
      </c>
      <c r="D747" s="20">
        <f t="shared" si="214"/>
        <v>57.427056816615391</v>
      </c>
      <c r="E747" s="20">
        <f t="shared" si="215"/>
        <v>-3.5455708700396409</v>
      </c>
      <c r="F747" s="20">
        <f t="shared" si="216"/>
        <v>5.7916643115526698</v>
      </c>
      <c r="G747" s="20">
        <f t="shared" si="217"/>
        <v>5.7916643115526698</v>
      </c>
      <c r="H747" s="20">
        <f t="shared" si="218"/>
        <v>5.7916643115526698</v>
      </c>
      <c r="I747" s="17"/>
      <c r="J747" s="20">
        <f t="shared" si="219"/>
        <v>53.448341213976214</v>
      </c>
      <c r="K747" s="20">
        <f t="shared" si="220"/>
        <v>2.8053977750235021E-2</v>
      </c>
      <c r="L747" s="20">
        <f t="shared" si="221"/>
        <v>4.3268293008556675</v>
      </c>
      <c r="M747" s="20">
        <f t="shared" si="222"/>
        <v>4.3268293008556675</v>
      </c>
      <c r="N747" s="20">
        <f t="shared" si="223"/>
        <v>4.3268293008556675</v>
      </c>
      <c r="O747" s="17"/>
      <c r="P747" s="20">
        <f t="shared" si="224"/>
        <v>6.5232248416777807</v>
      </c>
      <c r="Q747" s="20">
        <f t="shared" si="225"/>
        <v>10.79767665805592</v>
      </c>
      <c r="R747" s="20">
        <f t="shared" si="226"/>
        <v>0</v>
      </c>
      <c r="S747" s="20">
        <f t="shared" si="227"/>
        <v>0</v>
      </c>
      <c r="T747" s="20">
        <f t="shared" si="228"/>
        <v>0</v>
      </c>
      <c r="U747" s="17"/>
      <c r="V747" s="20">
        <f t="shared" si="229"/>
        <v>17.320901499733701</v>
      </c>
      <c r="W747" s="17"/>
      <c r="X747" s="20">
        <f t="shared" si="230"/>
        <v>39.503632188324765</v>
      </c>
      <c r="Y747" s="20">
        <f t="shared" si="231"/>
        <v>6.2851914997337008</v>
      </c>
      <c r="Z747" s="20"/>
      <c r="AA747" s="20">
        <f t="shared" si="232"/>
        <v>4.1077464423808479E-5</v>
      </c>
    </row>
    <row r="748" spans="2:27" x14ac:dyDescent="0.3">
      <c r="B748" s="28">
        <v>71</v>
      </c>
      <c r="C748" s="28">
        <v>18.285710000000002</v>
      </c>
      <c r="D748" s="20">
        <f t="shared" si="214"/>
        <v>57.502234996914048</v>
      </c>
      <c r="E748" s="20">
        <f t="shared" si="215"/>
        <v>-3.5405242476926819</v>
      </c>
      <c r="F748" s="20">
        <f t="shared" si="216"/>
        <v>5.8027754226637809</v>
      </c>
      <c r="G748" s="20">
        <f t="shared" si="217"/>
        <v>5.8027754226637809</v>
      </c>
      <c r="H748" s="20">
        <f t="shared" si="218"/>
        <v>5.8027754226637809</v>
      </c>
      <c r="I748" s="17"/>
      <c r="J748" s="20">
        <f t="shared" si="219"/>
        <v>53.522139604235548</v>
      </c>
      <c r="K748" s="20">
        <f t="shared" si="220"/>
        <v>2.8192021428937595E-2</v>
      </c>
      <c r="L748" s="20">
        <f t="shared" si="221"/>
        <v>4.335856300178385</v>
      </c>
      <c r="M748" s="20">
        <f t="shared" si="222"/>
        <v>4.335856300178385</v>
      </c>
      <c r="N748" s="20">
        <f t="shared" si="223"/>
        <v>4.335856300178385</v>
      </c>
      <c r="O748" s="17"/>
      <c r="P748" s="20">
        <f t="shared" si="224"/>
        <v>6.5054130373617802</v>
      </c>
      <c r="Q748" s="20">
        <f t="shared" si="225"/>
        <v>10.74336269744702</v>
      </c>
      <c r="R748" s="20">
        <f t="shared" si="226"/>
        <v>0</v>
      </c>
      <c r="S748" s="20">
        <f t="shared" si="227"/>
        <v>0</v>
      </c>
      <c r="T748" s="20">
        <f t="shared" si="228"/>
        <v>0</v>
      </c>
      <c r="U748" s="17"/>
      <c r="V748" s="20">
        <f t="shared" si="229"/>
        <v>17.248775734808802</v>
      </c>
      <c r="W748" s="17"/>
      <c r="X748" s="20">
        <f t="shared" si="230"/>
        <v>1.0752326703276123</v>
      </c>
      <c r="Y748" s="20">
        <f t="shared" si="231"/>
        <v>1.0369342651911992</v>
      </c>
      <c r="Z748" s="20"/>
      <c r="AA748" s="20">
        <f t="shared" si="232"/>
        <v>6.7769821158232297E-6</v>
      </c>
    </row>
    <row r="749" spans="2:27" x14ac:dyDescent="0.3">
      <c r="B749" s="28">
        <v>71.099999999999994</v>
      </c>
      <c r="C749" s="28">
        <v>24.785710000000002</v>
      </c>
      <c r="D749" s="20">
        <f t="shared" si="214"/>
        <v>57.577413177212705</v>
      </c>
      <c r="E749" s="20">
        <f t="shared" si="215"/>
        <v>-3.5354776253457234</v>
      </c>
      <c r="F749" s="20">
        <f t="shared" si="216"/>
        <v>5.8138865337748911</v>
      </c>
      <c r="G749" s="20">
        <f t="shared" si="217"/>
        <v>5.8138865337748911</v>
      </c>
      <c r="H749" s="20">
        <f t="shared" si="218"/>
        <v>5.8138865337748911</v>
      </c>
      <c r="I749" s="17"/>
      <c r="J749" s="20">
        <f t="shared" si="219"/>
        <v>53.595939860869414</v>
      </c>
      <c r="K749" s="20">
        <f t="shared" si="220"/>
        <v>2.8330725657772508E-2</v>
      </c>
      <c r="L749" s="20">
        <f t="shared" si="221"/>
        <v>4.3448868230306852</v>
      </c>
      <c r="M749" s="20">
        <f t="shared" si="222"/>
        <v>4.3448868230306852</v>
      </c>
      <c r="N749" s="20">
        <f t="shared" si="223"/>
        <v>4.3448868230306852</v>
      </c>
      <c r="O749" s="17"/>
      <c r="P749" s="20">
        <f t="shared" si="224"/>
        <v>6.4876736412049913</v>
      </c>
      <c r="Q749" s="20">
        <f t="shared" si="225"/>
        <v>10.689322331549125</v>
      </c>
      <c r="R749" s="20">
        <f t="shared" si="226"/>
        <v>0</v>
      </c>
      <c r="S749" s="20">
        <f t="shared" si="227"/>
        <v>0</v>
      </c>
      <c r="T749" s="20">
        <f t="shared" si="228"/>
        <v>0</v>
      </c>
      <c r="U749" s="17"/>
      <c r="V749" s="20">
        <f t="shared" si="229"/>
        <v>17.176995972754117</v>
      </c>
      <c r="W749" s="17"/>
      <c r="X749" s="20">
        <f t="shared" si="230"/>
        <v>57.892529148408286</v>
      </c>
      <c r="Y749" s="20">
        <f t="shared" si="231"/>
        <v>7.6087140272458846</v>
      </c>
      <c r="Z749" s="20"/>
      <c r="AA749" s="20">
        <f t="shared" si="232"/>
        <v>4.9727471275675175E-5</v>
      </c>
    </row>
    <row r="750" spans="2:27" x14ac:dyDescent="0.3">
      <c r="B750" s="28">
        <v>71.2</v>
      </c>
      <c r="C750" s="28">
        <v>23.285710000000002</v>
      </c>
      <c r="D750" s="20">
        <f t="shared" si="214"/>
        <v>57.652591357511369</v>
      </c>
      <c r="E750" s="20">
        <f t="shared" si="215"/>
        <v>-3.530431002998764</v>
      </c>
      <c r="F750" s="20">
        <f t="shared" si="216"/>
        <v>5.8249976448860039</v>
      </c>
      <c r="G750" s="20">
        <f t="shared" si="217"/>
        <v>5.8249976448860039</v>
      </c>
      <c r="H750" s="20">
        <f t="shared" si="218"/>
        <v>5.8249976448860039</v>
      </c>
      <c r="I750" s="17"/>
      <c r="J750" s="20">
        <f t="shared" si="219"/>
        <v>53.669741978882492</v>
      </c>
      <c r="K750" s="20">
        <f t="shared" si="220"/>
        <v>2.8470093418062878E-2</v>
      </c>
      <c r="L750" s="20">
        <f t="shared" si="221"/>
        <v>4.3539208588845595</v>
      </c>
      <c r="M750" s="20">
        <f t="shared" si="222"/>
        <v>4.3539208588845595</v>
      </c>
      <c r="N750" s="20">
        <f t="shared" si="223"/>
        <v>4.3539208588845595</v>
      </c>
      <c r="O750" s="17"/>
      <c r="P750" s="20">
        <f t="shared" si="224"/>
        <v>6.4700062630755193</v>
      </c>
      <c r="Q750" s="20">
        <f t="shared" si="225"/>
        <v>10.635554183834113</v>
      </c>
      <c r="R750" s="20">
        <f t="shared" si="226"/>
        <v>0</v>
      </c>
      <c r="S750" s="20">
        <f t="shared" si="227"/>
        <v>0</v>
      </c>
      <c r="T750" s="20">
        <f t="shared" si="228"/>
        <v>0</v>
      </c>
      <c r="U750" s="17"/>
      <c r="V750" s="20">
        <f t="shared" si="229"/>
        <v>17.105560446909632</v>
      </c>
      <c r="W750" s="17"/>
      <c r="X750" s="20">
        <f t="shared" si="230"/>
        <v>38.194248498563098</v>
      </c>
      <c r="Y750" s="20">
        <f t="shared" si="231"/>
        <v>6.1801495530903701</v>
      </c>
      <c r="Z750" s="20"/>
      <c r="AA750" s="20">
        <f t="shared" si="232"/>
        <v>4.0390952831213118E-5</v>
      </c>
    </row>
    <row r="751" spans="2:27" x14ac:dyDescent="0.3">
      <c r="B751" s="28">
        <v>71.3</v>
      </c>
      <c r="C751" s="28">
        <v>13.03571</v>
      </c>
      <c r="D751" s="20">
        <f t="shared" si="214"/>
        <v>57.727769537810026</v>
      </c>
      <c r="E751" s="20">
        <f t="shared" si="215"/>
        <v>-3.5253843806518046</v>
      </c>
      <c r="F751" s="20">
        <f t="shared" si="216"/>
        <v>5.8361087559971132</v>
      </c>
      <c r="G751" s="20">
        <f t="shared" si="217"/>
        <v>5.8361087559971132</v>
      </c>
      <c r="H751" s="20">
        <f t="shared" si="218"/>
        <v>5.8361087559971132</v>
      </c>
      <c r="I751" s="17"/>
      <c r="J751" s="20">
        <f t="shared" si="219"/>
        <v>53.743545953299325</v>
      </c>
      <c r="K751" s="20">
        <f t="shared" si="220"/>
        <v>2.8610127702891727E-2</v>
      </c>
      <c r="L751" s="20">
        <f t="shared" si="221"/>
        <v>4.3629583972542436</v>
      </c>
      <c r="M751" s="20">
        <f t="shared" si="222"/>
        <v>4.3629583972542436</v>
      </c>
      <c r="N751" s="20">
        <f t="shared" si="223"/>
        <v>4.3629583972542436</v>
      </c>
      <c r="O751" s="17"/>
      <c r="P751" s="20">
        <f t="shared" si="224"/>
        <v>6.4524105154557292</v>
      </c>
      <c r="Q751" s="20">
        <f t="shared" si="225"/>
        <v>10.582056884705075</v>
      </c>
      <c r="R751" s="20">
        <f t="shared" si="226"/>
        <v>0</v>
      </c>
      <c r="S751" s="20">
        <f t="shared" si="227"/>
        <v>0</v>
      </c>
      <c r="T751" s="20">
        <f t="shared" si="228"/>
        <v>0</v>
      </c>
      <c r="U751" s="17"/>
      <c r="V751" s="20">
        <f t="shared" si="229"/>
        <v>17.034467400160803</v>
      </c>
      <c r="W751" s="17"/>
      <c r="X751" s="20">
        <f t="shared" si="230"/>
        <v>15.990060745340788</v>
      </c>
      <c r="Y751" s="20">
        <f t="shared" si="231"/>
        <v>3.9987574001608035</v>
      </c>
      <c r="Z751" s="20"/>
      <c r="AA751" s="20">
        <f t="shared" si="232"/>
        <v>2.6134257779020071E-5</v>
      </c>
    </row>
    <row r="752" spans="2:27" x14ac:dyDescent="0.3">
      <c r="B752" s="28">
        <v>71.400000000000006</v>
      </c>
      <c r="C752" s="28">
        <v>22.285710000000002</v>
      </c>
      <c r="D752" s="20">
        <f t="shared" si="214"/>
        <v>57.80294771810869</v>
      </c>
      <c r="E752" s="20">
        <f t="shared" si="215"/>
        <v>-3.5203377583048452</v>
      </c>
      <c r="F752" s="20">
        <f t="shared" si="216"/>
        <v>5.8472198671082252</v>
      </c>
      <c r="G752" s="20">
        <f t="shared" si="217"/>
        <v>5.8472198671082252</v>
      </c>
      <c r="H752" s="20">
        <f t="shared" si="218"/>
        <v>5.8472198671082252</v>
      </c>
      <c r="I752" s="17"/>
      <c r="J752" s="20">
        <f t="shared" si="219"/>
        <v>53.817351779164277</v>
      </c>
      <c r="K752" s="20">
        <f t="shared" si="220"/>
        <v>2.8750831517132473E-2</v>
      </c>
      <c r="L752" s="20">
        <f t="shared" si="221"/>
        <v>4.3719994276960374</v>
      </c>
      <c r="M752" s="20">
        <f t="shared" si="222"/>
        <v>4.3719994276960374</v>
      </c>
      <c r="N752" s="20">
        <f t="shared" si="223"/>
        <v>4.3719994276960374</v>
      </c>
      <c r="O752" s="17"/>
      <c r="P752" s="20">
        <f t="shared" si="224"/>
        <v>6.4348860134213028</v>
      </c>
      <c r="Q752" s="20">
        <f t="shared" si="225"/>
        <v>10.528829071461393</v>
      </c>
      <c r="R752" s="20">
        <f t="shared" si="226"/>
        <v>0</v>
      </c>
      <c r="S752" s="20">
        <f t="shared" si="227"/>
        <v>0</v>
      </c>
      <c r="T752" s="20">
        <f t="shared" si="228"/>
        <v>0</v>
      </c>
      <c r="U752" s="17"/>
      <c r="V752" s="20">
        <f t="shared" si="229"/>
        <v>16.963715084882697</v>
      </c>
      <c r="W752" s="17"/>
      <c r="X752" s="20">
        <f t="shared" si="230"/>
        <v>28.323629876534447</v>
      </c>
      <c r="Y752" s="20">
        <f t="shared" si="231"/>
        <v>5.3219949151173047</v>
      </c>
      <c r="Z752" s="20"/>
      <c r="AA752" s="20">
        <f t="shared" si="232"/>
        <v>3.4782401904330718E-5</v>
      </c>
    </row>
    <row r="753" spans="2:27" x14ac:dyDescent="0.3">
      <c r="B753" s="28">
        <v>71.5</v>
      </c>
      <c r="C753" s="28">
        <v>5.7857099999999999</v>
      </c>
      <c r="D753" s="20">
        <f t="shared" si="214"/>
        <v>57.878125898407347</v>
      </c>
      <c r="E753" s="20">
        <f t="shared" si="215"/>
        <v>-3.5152911359578862</v>
      </c>
      <c r="F753" s="20">
        <f t="shared" si="216"/>
        <v>5.8583309782193362</v>
      </c>
      <c r="G753" s="20">
        <f t="shared" si="217"/>
        <v>5.8583309782193362</v>
      </c>
      <c r="H753" s="20">
        <f t="shared" si="218"/>
        <v>5.8583309782193362</v>
      </c>
      <c r="I753" s="17"/>
      <c r="J753" s="20">
        <f t="shared" si="219"/>
        <v>53.891159451541391</v>
      </c>
      <c r="K753" s="20">
        <f t="shared" si="220"/>
        <v>2.8892207877479311E-2</v>
      </c>
      <c r="L753" s="20">
        <f t="shared" si="221"/>
        <v>4.3810439398080865</v>
      </c>
      <c r="M753" s="20">
        <f t="shared" si="222"/>
        <v>4.3810439398080865</v>
      </c>
      <c r="N753" s="20">
        <f t="shared" si="223"/>
        <v>4.3810439398080865</v>
      </c>
      <c r="O753" s="17"/>
      <c r="P753" s="20">
        <f t="shared" si="224"/>
        <v>6.4174323746205113</v>
      </c>
      <c r="Q753" s="20">
        <f t="shared" si="225"/>
        <v>10.475869388264028</v>
      </c>
      <c r="R753" s="20">
        <f t="shared" si="226"/>
        <v>0</v>
      </c>
      <c r="S753" s="20">
        <f t="shared" si="227"/>
        <v>0</v>
      </c>
      <c r="T753" s="20">
        <f t="shared" si="228"/>
        <v>0</v>
      </c>
      <c r="U753" s="17"/>
      <c r="V753" s="20">
        <f t="shared" si="229"/>
        <v>16.893301762884541</v>
      </c>
      <c r="W753" s="17"/>
      <c r="X753" s="20">
        <f t="shared" si="230"/>
        <v>123.37859477090049</v>
      </c>
      <c r="Y753" s="20">
        <f t="shared" si="231"/>
        <v>11.107591762884541</v>
      </c>
      <c r="Z753" s="20"/>
      <c r="AA753" s="20">
        <f t="shared" si="232"/>
        <v>7.2594718155112665E-5</v>
      </c>
    </row>
    <row r="754" spans="2:27" x14ac:dyDescent="0.3">
      <c r="B754" s="28">
        <v>71.599999999999994</v>
      </c>
      <c r="C754" s="28">
        <v>31.035710000000002</v>
      </c>
      <c r="D754" s="20">
        <f t="shared" ref="D754:D788" si="233">$C$23/(1-$C$23)-LN((1-$C$23)/$C$23)+$C$22/(1-$C$23)*B754</f>
        <v>57.953304078706005</v>
      </c>
      <c r="E754" s="20">
        <f t="shared" ref="E754:E788" si="234">$D$23/(1-$D$23)-LN((1-$D$23)/$D$23)+$D$22*B754/(1-$D$23)</f>
        <v>-3.5102445136109273</v>
      </c>
      <c r="F754" s="20">
        <f t="shared" ref="F754:F788" si="235">$E$23/(1-$E$23)-LN((1-$E$23)/$E$23)+$E$22*B754/(1-$E$23)</f>
        <v>5.8694420893304473</v>
      </c>
      <c r="G754" s="20">
        <f t="shared" ref="G754:G788" si="236">$F$23/(1-$F$23)-LN((1-$F$23)/$F$23)+$F$22*B754/(1-$F$23)</f>
        <v>5.8694420893304473</v>
      </c>
      <c r="H754" s="20">
        <f t="shared" ref="H754:H788" si="237">$G$23/(1-$G$23)-LN((1-$G$23)/$G$23)+$G$22*B754/(1-$G$23)</f>
        <v>5.8694420893304473</v>
      </c>
      <c r="I754" s="17"/>
      <c r="J754" s="20">
        <f t="shared" ref="J754:J788" si="238">lmb_2(D754)</f>
        <v>53.964968965514302</v>
      </c>
      <c r="K754" s="20">
        <f t="shared" ref="K754:K788" si="239">lmb_2(E754)</f>
        <v>2.9034259812477502E-2</v>
      </c>
      <c r="L754" s="20">
        <f t="shared" ref="L754:L788" si="240">lmb_2(F754)</f>
        <v>4.3900919232301989</v>
      </c>
      <c r="M754" s="20">
        <f t="shared" ref="M754:M788" si="241">lmb_2(G754)</f>
        <v>4.3900919232301989</v>
      </c>
      <c r="N754" s="20">
        <f t="shared" ref="N754:N788" si="242">lmb_2(H754)</f>
        <v>4.3900919232301989</v>
      </c>
      <c r="O754" s="17"/>
      <c r="P754" s="20">
        <f t="shared" ref="P754:P788" si="243">($C$21*$A$21*$C$22)/(J754+J754^2)</f>
        <v>6.400049219253674</v>
      </c>
      <c r="Q754" s="20">
        <f t="shared" ref="Q754:Q788" si="244">($D$21*$A$21*$D$22)/(K754+K754^2)</f>
        <v>10.423176486100971</v>
      </c>
      <c r="R754" s="20">
        <f t="shared" ref="R754:R788" si="245">($E$21*$A$21*$E$22)/(L754+L754^2)</f>
        <v>0</v>
      </c>
      <c r="S754" s="20">
        <f t="shared" ref="S754:S788" si="246">($F$21*$A$21*$F$22)/(M754+M754^2)</f>
        <v>0</v>
      </c>
      <c r="T754" s="20">
        <f t="shared" ref="T754:T788" si="247">($G$21*$A$21*$G$22)/(N754+N754^2)</f>
        <v>0</v>
      </c>
      <c r="U754" s="17"/>
      <c r="V754" s="20">
        <f t="shared" ref="V754:V788" si="248">SUM(P754:T754)</f>
        <v>16.823225705354645</v>
      </c>
      <c r="W754" s="17"/>
      <c r="X754" s="20">
        <f t="shared" ref="X754:X788" si="249">(V754-C754)^2</f>
        <v>201.99470982554092</v>
      </c>
      <c r="Y754" s="20">
        <f t="shared" ref="Y754:Y788" si="250">ABS(V754-C754)</f>
        <v>14.212484294645357</v>
      </c>
      <c r="Z754" s="20"/>
      <c r="AA754" s="20">
        <f t="shared" ref="AA754:AA788" si="251">Y754/$Z$39</f>
        <v>9.2887037413572383E-5</v>
      </c>
    </row>
    <row r="755" spans="2:27" x14ac:dyDescent="0.3">
      <c r="B755" s="28">
        <v>71.7</v>
      </c>
      <c r="C755" s="28">
        <v>12.28571</v>
      </c>
      <c r="D755" s="20">
        <f t="shared" si="233"/>
        <v>58.028482259004669</v>
      </c>
      <c r="E755" s="20">
        <f t="shared" si="234"/>
        <v>-3.5051978912639674</v>
      </c>
      <c r="F755" s="20">
        <f t="shared" si="235"/>
        <v>5.8805532004415593</v>
      </c>
      <c r="G755" s="20">
        <f t="shared" si="236"/>
        <v>5.8805532004415593</v>
      </c>
      <c r="H755" s="20">
        <f t="shared" si="237"/>
        <v>5.8805532004415593</v>
      </c>
      <c r="I755" s="17"/>
      <c r="J755" s="20">
        <f t="shared" si="238"/>
        <v>54.038780316186141</v>
      </c>
      <c r="K755" s="20">
        <f t="shared" si="239"/>
        <v>2.9176990362553598E-2</v>
      </c>
      <c r="L755" s="20">
        <f t="shared" si="240"/>
        <v>4.3991433676436404</v>
      </c>
      <c r="M755" s="20">
        <f t="shared" si="241"/>
        <v>4.3991433676436404</v>
      </c>
      <c r="N755" s="20">
        <f t="shared" si="242"/>
        <v>4.3991433676436404</v>
      </c>
      <c r="O755" s="17"/>
      <c r="P755" s="20">
        <f t="shared" si="243"/>
        <v>6.3827361700528069</v>
      </c>
      <c r="Q755" s="20">
        <f t="shared" si="244"/>
        <v>10.370749022752861</v>
      </c>
      <c r="R755" s="20">
        <f t="shared" si="245"/>
        <v>0</v>
      </c>
      <c r="S755" s="20">
        <f t="shared" si="246"/>
        <v>0</v>
      </c>
      <c r="T755" s="20">
        <f t="shared" si="247"/>
        <v>0</v>
      </c>
      <c r="U755" s="17"/>
      <c r="V755" s="20">
        <f t="shared" si="248"/>
        <v>16.75348519280567</v>
      </c>
      <c r="W755" s="17"/>
      <c r="X755" s="20">
        <f t="shared" si="249"/>
        <v>19.961015173449738</v>
      </c>
      <c r="Y755" s="20">
        <f t="shared" si="250"/>
        <v>4.4677751928056697</v>
      </c>
      <c r="Z755" s="20"/>
      <c r="AA755" s="20">
        <f t="shared" si="251"/>
        <v>2.9199567991496328E-5</v>
      </c>
    </row>
    <row r="756" spans="2:27" x14ac:dyDescent="0.3">
      <c r="B756" s="28">
        <v>71.8</v>
      </c>
      <c r="C756" s="28">
        <v>2.2857099999999999</v>
      </c>
      <c r="D756" s="20">
        <f t="shared" si="233"/>
        <v>58.103660439303326</v>
      </c>
      <c r="E756" s="20">
        <f t="shared" si="234"/>
        <v>-3.5001512689170089</v>
      </c>
      <c r="F756" s="20">
        <f t="shared" si="235"/>
        <v>5.8916643115526686</v>
      </c>
      <c r="G756" s="20">
        <f t="shared" si="236"/>
        <v>5.8916643115526686</v>
      </c>
      <c r="H756" s="20">
        <f t="shared" si="237"/>
        <v>5.8916643115526686</v>
      </c>
      <c r="I756" s="17"/>
      <c r="J756" s="20">
        <f t="shared" si="238"/>
        <v>54.112593498679395</v>
      </c>
      <c r="K756" s="20">
        <f t="shared" si="239"/>
        <v>2.9320402580045452E-2</v>
      </c>
      <c r="L756" s="20">
        <f t="shared" si="240"/>
        <v>4.4081982627709415</v>
      </c>
      <c r="M756" s="20">
        <f t="shared" si="241"/>
        <v>4.4081982627709415</v>
      </c>
      <c r="N756" s="20">
        <f t="shared" si="242"/>
        <v>4.4081982627709415</v>
      </c>
      <c r="O756" s="17"/>
      <c r="P756" s="20">
        <f t="shared" si="243"/>
        <v>6.3654928522614673</v>
      </c>
      <c r="Q756" s="20">
        <f t="shared" si="244"/>
        <v>10.318585662758842</v>
      </c>
      <c r="R756" s="20">
        <f t="shared" si="245"/>
        <v>0</v>
      </c>
      <c r="S756" s="20">
        <f t="shared" si="246"/>
        <v>0</v>
      </c>
      <c r="T756" s="20">
        <f t="shared" si="247"/>
        <v>0</v>
      </c>
      <c r="U756" s="17"/>
      <c r="V756" s="20">
        <f t="shared" si="248"/>
        <v>16.68407851502031</v>
      </c>
      <c r="W756" s="17"/>
      <c r="X756" s="20">
        <f t="shared" si="249"/>
        <v>207.31301589432817</v>
      </c>
      <c r="Y756" s="20">
        <f t="shared" si="250"/>
        <v>14.39836851502031</v>
      </c>
      <c r="Z756" s="20"/>
      <c r="AA756" s="20">
        <f t="shared" si="251"/>
        <v>9.4101901344086363E-5</v>
      </c>
    </row>
    <row r="757" spans="2:27" x14ac:dyDescent="0.3">
      <c r="B757" s="28">
        <v>71.900000000000006</v>
      </c>
      <c r="C757" s="28">
        <v>7.0357099999999999</v>
      </c>
      <c r="D757" s="20">
        <f t="shared" si="233"/>
        <v>58.17883861960199</v>
      </c>
      <c r="E757" s="20">
        <f t="shared" si="234"/>
        <v>-3.4951046465700495</v>
      </c>
      <c r="F757" s="20">
        <f t="shared" si="235"/>
        <v>5.9027754226637814</v>
      </c>
      <c r="G757" s="20">
        <f t="shared" si="236"/>
        <v>5.9027754226637814</v>
      </c>
      <c r="H757" s="20">
        <f t="shared" si="237"/>
        <v>5.9027754226637814</v>
      </c>
      <c r="I757" s="17"/>
      <c r="J757" s="20">
        <f t="shared" si="238"/>
        <v>54.18640850813587</v>
      </c>
      <c r="K757" s="20">
        <f t="shared" si="239"/>
        <v>2.9464499529232469E-2</v>
      </c>
      <c r="L757" s="20">
        <f t="shared" si="240"/>
        <v>4.4172565983757073</v>
      </c>
      <c r="M757" s="20">
        <f t="shared" si="241"/>
        <v>4.4172565983757073</v>
      </c>
      <c r="N757" s="20">
        <f t="shared" si="242"/>
        <v>4.4172565983757073</v>
      </c>
      <c r="O757" s="17"/>
      <c r="P757" s="20">
        <f t="shared" si="243"/>
        <v>6.3483188936147634</v>
      </c>
      <c r="Q757" s="20">
        <f t="shared" si="244"/>
        <v>10.266685077382448</v>
      </c>
      <c r="R757" s="20">
        <f t="shared" si="245"/>
        <v>0</v>
      </c>
      <c r="S757" s="20">
        <f t="shared" si="246"/>
        <v>0</v>
      </c>
      <c r="T757" s="20">
        <f t="shared" si="247"/>
        <v>0</v>
      </c>
      <c r="U757" s="17"/>
      <c r="V757" s="20">
        <f t="shared" si="248"/>
        <v>16.615003970997211</v>
      </c>
      <c r="W757" s="17"/>
      <c r="X757" s="20">
        <f t="shared" si="249"/>
        <v>91.76287298278352</v>
      </c>
      <c r="Y757" s="20">
        <f t="shared" si="250"/>
        <v>9.5792939709972114</v>
      </c>
      <c r="Z757" s="20"/>
      <c r="AA757" s="20">
        <f t="shared" si="251"/>
        <v>6.2606383165176918E-5</v>
      </c>
    </row>
    <row r="758" spans="2:27" x14ac:dyDescent="0.3">
      <c r="B758" s="28">
        <v>72</v>
      </c>
      <c r="C758" s="28">
        <v>26.035710000000002</v>
      </c>
      <c r="D758" s="20">
        <f t="shared" si="233"/>
        <v>58.254016799900647</v>
      </c>
      <c r="E758" s="20">
        <f t="shared" si="234"/>
        <v>-3.4900580242230905</v>
      </c>
      <c r="F758" s="20">
        <f t="shared" si="235"/>
        <v>5.9138865337748916</v>
      </c>
      <c r="G758" s="20">
        <f t="shared" si="236"/>
        <v>5.9138865337748916</v>
      </c>
      <c r="H758" s="20">
        <f t="shared" si="237"/>
        <v>5.9138865337748916</v>
      </c>
      <c r="I758" s="17"/>
      <c r="J758" s="20">
        <f t="shared" si="238"/>
        <v>54.260225339716513</v>
      </c>
      <c r="K758" s="20">
        <f t="shared" si="239"/>
        <v>2.9609284286365379E-2</v>
      </c>
      <c r="L758" s="20">
        <f t="shared" si="240"/>
        <v>4.4263183642624107</v>
      </c>
      <c r="M758" s="20">
        <f t="shared" si="241"/>
        <v>4.4263183642624107</v>
      </c>
      <c r="N758" s="20">
        <f t="shared" si="242"/>
        <v>4.4263183642624107</v>
      </c>
      <c r="O758" s="17"/>
      <c r="P758" s="20">
        <f t="shared" si="243"/>
        <v>6.3312139243195835</v>
      </c>
      <c r="Q758" s="20">
        <f t="shared" si="244"/>
        <v>10.215045944577817</v>
      </c>
      <c r="R758" s="20">
        <f t="shared" si="245"/>
        <v>0</v>
      </c>
      <c r="S758" s="20">
        <f t="shared" si="246"/>
        <v>0</v>
      </c>
      <c r="T758" s="20">
        <f t="shared" si="247"/>
        <v>0</v>
      </c>
      <c r="U758" s="17"/>
      <c r="V758" s="20">
        <f t="shared" si="248"/>
        <v>16.546259868897401</v>
      </c>
      <c r="W758" s="17"/>
      <c r="X758" s="20">
        <f t="shared" si="249"/>
        <v>90.049663790683155</v>
      </c>
      <c r="Y758" s="20">
        <f t="shared" si="250"/>
        <v>9.4894501311026005</v>
      </c>
      <c r="Z758" s="20"/>
      <c r="AA758" s="20">
        <f t="shared" si="251"/>
        <v>6.2019200238908791E-5</v>
      </c>
    </row>
    <row r="759" spans="2:27" x14ac:dyDescent="0.3">
      <c r="B759" s="28">
        <v>72.099999999999994</v>
      </c>
      <c r="C759" s="28">
        <v>3.0357099999999999</v>
      </c>
      <c r="D759" s="20">
        <f t="shared" si="233"/>
        <v>58.329194980199304</v>
      </c>
      <c r="E759" s="20">
        <f t="shared" si="234"/>
        <v>-3.4850114018761316</v>
      </c>
      <c r="F759" s="20">
        <f t="shared" si="235"/>
        <v>5.9249976448860027</v>
      </c>
      <c r="G759" s="20">
        <f t="shared" si="236"/>
        <v>5.9249976448860027</v>
      </c>
      <c r="H759" s="20">
        <f t="shared" si="237"/>
        <v>5.9249976448860027</v>
      </c>
      <c r="I759" s="17"/>
      <c r="J759" s="20">
        <f t="shared" si="238"/>
        <v>54.33404398860138</v>
      </c>
      <c r="K759" s="20">
        <f t="shared" si="239"/>
        <v>2.9754759939696191E-2</v>
      </c>
      <c r="L759" s="20">
        <f t="shared" si="240"/>
        <v>4.4353835502762156</v>
      </c>
      <c r="M759" s="20">
        <f t="shared" si="241"/>
        <v>4.4353835502762156</v>
      </c>
      <c r="N759" s="20">
        <f t="shared" si="242"/>
        <v>4.4353835502762156</v>
      </c>
      <c r="O759" s="17"/>
      <c r="P759" s="20">
        <f t="shared" si="243"/>
        <v>6.3141775770349744</v>
      </c>
      <c r="Q759" s="20">
        <f t="shared" si="244"/>
        <v>10.163666948955976</v>
      </c>
      <c r="R759" s="20">
        <f t="shared" si="245"/>
        <v>0</v>
      </c>
      <c r="S759" s="20">
        <f t="shared" si="246"/>
        <v>0</v>
      </c>
      <c r="T759" s="20">
        <f t="shared" si="247"/>
        <v>0</v>
      </c>
      <c r="U759" s="17"/>
      <c r="V759" s="20">
        <f t="shared" si="248"/>
        <v>16.47784452599095</v>
      </c>
      <c r="W759" s="17"/>
      <c r="X759" s="20">
        <f t="shared" si="249"/>
        <v>180.69098061483794</v>
      </c>
      <c r="Y759" s="20">
        <f t="shared" si="250"/>
        <v>13.44213452599095</v>
      </c>
      <c r="Z759" s="20"/>
      <c r="AA759" s="20">
        <f t="shared" si="251"/>
        <v>8.7852343527613431E-5</v>
      </c>
    </row>
    <row r="760" spans="2:27" x14ac:dyDescent="0.3">
      <c r="B760" s="28">
        <v>72.2</v>
      </c>
      <c r="C760" s="28">
        <v>14.53571</v>
      </c>
      <c r="D760" s="20">
        <f t="shared" si="233"/>
        <v>58.404373160497968</v>
      </c>
      <c r="E760" s="20">
        <f t="shared" si="234"/>
        <v>-3.4799647795291717</v>
      </c>
      <c r="F760" s="20">
        <f t="shared" si="235"/>
        <v>5.9361087559971137</v>
      </c>
      <c r="G760" s="20">
        <f t="shared" si="236"/>
        <v>5.9361087559971137</v>
      </c>
      <c r="H760" s="20">
        <f t="shared" si="237"/>
        <v>5.9361087559971137</v>
      </c>
      <c r="I760" s="17"/>
      <c r="J760" s="20">
        <f t="shared" si="238"/>
        <v>54.407864449989489</v>
      </c>
      <c r="K760" s="20">
        <f t="shared" si="239"/>
        <v>2.9900929589507966E-2</v>
      </c>
      <c r="L760" s="20">
        <f t="shared" si="240"/>
        <v>4.4444521463027744</v>
      </c>
      <c r="M760" s="20">
        <f t="shared" si="241"/>
        <v>4.4444521463027744</v>
      </c>
      <c r="N760" s="20">
        <f t="shared" si="242"/>
        <v>4.4444521463027744</v>
      </c>
      <c r="O760" s="17"/>
      <c r="P760" s="20">
        <f t="shared" si="243"/>
        <v>6.2972094868527195</v>
      </c>
      <c r="Q760" s="20">
        <f t="shared" si="244"/>
        <v>10.112546781751323</v>
      </c>
      <c r="R760" s="20">
        <f t="shared" si="245"/>
        <v>0</v>
      </c>
      <c r="S760" s="20">
        <f t="shared" si="246"/>
        <v>0</v>
      </c>
      <c r="T760" s="20">
        <f t="shared" si="247"/>
        <v>0</v>
      </c>
      <c r="U760" s="17"/>
      <c r="V760" s="20">
        <f t="shared" si="248"/>
        <v>16.409756268604042</v>
      </c>
      <c r="W760" s="17"/>
      <c r="X760" s="20">
        <f t="shared" si="249"/>
        <v>3.5120494168687331</v>
      </c>
      <c r="Y760" s="20">
        <f t="shared" si="250"/>
        <v>1.874046268604042</v>
      </c>
      <c r="Z760" s="20"/>
      <c r="AA760" s="20">
        <f t="shared" si="251"/>
        <v>1.2248006911231775E-5</v>
      </c>
    </row>
    <row r="761" spans="2:27" x14ac:dyDescent="0.3">
      <c r="B761" s="28">
        <v>72.3</v>
      </c>
      <c r="C761" s="28">
        <v>12.28571</v>
      </c>
      <c r="D761" s="20">
        <f t="shared" si="233"/>
        <v>58.479551340796625</v>
      </c>
      <c r="E761" s="20">
        <f t="shared" si="234"/>
        <v>-3.4749181571822132</v>
      </c>
      <c r="F761" s="20">
        <f t="shared" si="235"/>
        <v>5.9472198671082248</v>
      </c>
      <c r="G761" s="20">
        <f t="shared" si="236"/>
        <v>5.9472198671082248</v>
      </c>
      <c r="H761" s="20">
        <f t="shared" si="237"/>
        <v>5.9472198671082248</v>
      </c>
      <c r="I761" s="17"/>
      <c r="J761" s="20">
        <f t="shared" si="238"/>
        <v>54.481686719098747</v>
      </c>
      <c r="K761" s="20">
        <f t="shared" si="239"/>
        <v>3.0047796348144386E-2</v>
      </c>
      <c r="L761" s="20">
        <f t="shared" si="240"/>
        <v>4.4535241422680389</v>
      </c>
      <c r="M761" s="20">
        <f t="shared" si="241"/>
        <v>4.4535241422680389</v>
      </c>
      <c r="N761" s="20">
        <f t="shared" si="242"/>
        <v>4.4535241422680389</v>
      </c>
      <c r="O761" s="17"/>
      <c r="P761" s="20">
        <f t="shared" si="243"/>
        <v>6.2803092912780887</v>
      </c>
      <c r="Q761" s="20">
        <f t="shared" si="244"/>
        <v>10.061684140788319</v>
      </c>
      <c r="R761" s="20">
        <f t="shared" si="245"/>
        <v>0</v>
      </c>
      <c r="S761" s="20">
        <f t="shared" si="246"/>
        <v>0</v>
      </c>
      <c r="T761" s="20">
        <f t="shared" si="247"/>
        <v>0</v>
      </c>
      <c r="U761" s="17"/>
      <c r="V761" s="20">
        <f t="shared" si="248"/>
        <v>16.34199343206641</v>
      </c>
      <c r="W761" s="17"/>
      <c r="X761" s="20">
        <f t="shared" si="249"/>
        <v>16.453435281256453</v>
      </c>
      <c r="Y761" s="20">
        <f t="shared" si="250"/>
        <v>4.0562834320664098</v>
      </c>
      <c r="Z761" s="20"/>
      <c r="AA761" s="20">
        <f t="shared" si="251"/>
        <v>2.6510224609807253E-5</v>
      </c>
    </row>
    <row r="762" spans="2:27" x14ac:dyDescent="0.3">
      <c r="B762" s="28">
        <v>72.400000000000006</v>
      </c>
      <c r="C762" s="28">
        <v>24.535710000000002</v>
      </c>
      <c r="D762" s="20">
        <f t="shared" si="233"/>
        <v>58.55472952109529</v>
      </c>
      <c r="E762" s="20">
        <f t="shared" si="234"/>
        <v>-3.4698715348352538</v>
      </c>
      <c r="F762" s="20">
        <f t="shared" si="235"/>
        <v>5.9583309782193377</v>
      </c>
      <c r="G762" s="20">
        <f t="shared" si="236"/>
        <v>5.9583309782193377</v>
      </c>
      <c r="H762" s="20">
        <f t="shared" si="237"/>
        <v>5.9583309782193377</v>
      </c>
      <c r="I762" s="17"/>
      <c r="J762" s="20">
        <f t="shared" si="238"/>
        <v>54.555510791165851</v>
      </c>
      <c r="K762" s="20">
        <f t="shared" si="239"/>
        <v>3.0195363340039576E-2</v>
      </c>
      <c r="L762" s="20">
        <f t="shared" si="240"/>
        <v>4.4625995281380746</v>
      </c>
      <c r="M762" s="20">
        <f t="shared" si="241"/>
        <v>4.4625995281380746</v>
      </c>
      <c r="N762" s="20">
        <f t="shared" si="242"/>
        <v>4.4625995281380746</v>
      </c>
      <c r="O762" s="17"/>
      <c r="P762" s="20">
        <f t="shared" si="243"/>
        <v>6.2634766302107669</v>
      </c>
      <c r="Q762" s="20">
        <f t="shared" si="244"/>
        <v>10.011077730448227</v>
      </c>
      <c r="R762" s="20">
        <f t="shared" si="245"/>
        <v>0</v>
      </c>
      <c r="S762" s="20">
        <f t="shared" si="246"/>
        <v>0</v>
      </c>
      <c r="T762" s="20">
        <f t="shared" si="247"/>
        <v>0</v>
      </c>
      <c r="U762" s="17"/>
      <c r="V762" s="20">
        <f t="shared" si="248"/>
        <v>16.274554360658993</v>
      </c>
      <c r="W762" s="17"/>
      <c r="X762" s="20">
        <f t="shared" si="249"/>
        <v>68.246692497415751</v>
      </c>
      <c r="Y762" s="20">
        <f t="shared" si="250"/>
        <v>8.261155639341009</v>
      </c>
      <c r="Z762" s="20"/>
      <c r="AA762" s="20">
        <f t="shared" si="251"/>
        <v>5.3991565235355678E-5</v>
      </c>
    </row>
    <row r="763" spans="2:27" x14ac:dyDescent="0.3">
      <c r="B763" s="28">
        <v>72.5</v>
      </c>
      <c r="C763" s="28">
        <v>12.28571</v>
      </c>
      <c r="D763" s="20">
        <f t="shared" si="233"/>
        <v>58.629907701393947</v>
      </c>
      <c r="E763" s="20">
        <f t="shared" si="234"/>
        <v>-3.4648249124882944</v>
      </c>
      <c r="F763" s="20">
        <f t="shared" si="235"/>
        <v>5.969442089330447</v>
      </c>
      <c r="G763" s="20">
        <f t="shared" si="236"/>
        <v>5.969442089330447</v>
      </c>
      <c r="H763" s="20">
        <f t="shared" si="237"/>
        <v>5.969442089330447</v>
      </c>
      <c r="I763" s="17"/>
      <c r="J763" s="20">
        <f t="shared" si="238"/>
        <v>54.62933666144616</v>
      </c>
      <c r="K763" s="20">
        <f t="shared" si="239"/>
        <v>3.0343633701747322E-2</v>
      </c>
      <c r="L763" s="20">
        <f t="shared" si="240"/>
        <v>4.4716782939188642</v>
      </c>
      <c r="M763" s="20">
        <f t="shared" si="241"/>
        <v>4.4716782939188642</v>
      </c>
      <c r="N763" s="20">
        <f t="shared" si="242"/>
        <v>4.4716782939188642</v>
      </c>
      <c r="O763" s="17"/>
      <c r="P763" s="20">
        <f t="shared" si="243"/>
        <v>6.2467111459259659</v>
      </c>
      <c r="Q763" s="20">
        <f t="shared" si="244"/>
        <v>9.9607262616361876</v>
      </c>
      <c r="R763" s="20">
        <f t="shared" si="245"/>
        <v>0</v>
      </c>
      <c r="S763" s="20">
        <f t="shared" si="246"/>
        <v>0</v>
      </c>
      <c r="T763" s="20">
        <f t="shared" si="247"/>
        <v>0</v>
      </c>
      <c r="U763" s="17"/>
      <c r="V763" s="20">
        <f t="shared" si="248"/>
        <v>16.207437407562153</v>
      </c>
      <c r="W763" s="17"/>
      <c r="X763" s="20">
        <f t="shared" si="249"/>
        <v>15.37994585922417</v>
      </c>
      <c r="Y763" s="20">
        <f t="shared" si="250"/>
        <v>3.9217274075621535</v>
      </c>
      <c r="Z763" s="20"/>
      <c r="AA763" s="20">
        <f t="shared" si="251"/>
        <v>2.5630820965571932E-5</v>
      </c>
    </row>
    <row r="764" spans="2:27" x14ac:dyDescent="0.3">
      <c r="B764" s="28">
        <v>72.599999999999994</v>
      </c>
      <c r="C764" s="28">
        <v>2.7857099999999999</v>
      </c>
      <c r="D764" s="20">
        <f t="shared" si="233"/>
        <v>58.705085881692597</v>
      </c>
      <c r="E764" s="20">
        <f t="shared" si="234"/>
        <v>-3.4597782901413359</v>
      </c>
      <c r="F764" s="20">
        <f t="shared" si="235"/>
        <v>5.980553200441558</v>
      </c>
      <c r="G764" s="20">
        <f t="shared" si="236"/>
        <v>5.980553200441558</v>
      </c>
      <c r="H764" s="20">
        <f t="shared" si="237"/>
        <v>5.980553200441558</v>
      </c>
      <c r="I764" s="17"/>
      <c r="J764" s="20">
        <f t="shared" si="238"/>
        <v>54.703164325213635</v>
      </c>
      <c r="K764" s="20">
        <f t="shared" si="239"/>
        <v>3.049261058197061E-2</v>
      </c>
      <c r="L764" s="20">
        <f t="shared" si="240"/>
        <v>4.4807604296561294</v>
      </c>
      <c r="M764" s="20">
        <f t="shared" si="241"/>
        <v>4.4807604296561294</v>
      </c>
      <c r="N764" s="20">
        <f t="shared" si="242"/>
        <v>4.4807604296561294</v>
      </c>
      <c r="O764" s="17"/>
      <c r="P764" s="20">
        <f t="shared" si="243"/>
        <v>6.2300124830556882</v>
      </c>
      <c r="Q764" s="20">
        <f t="shared" si="244"/>
        <v>9.9106284517483303</v>
      </c>
      <c r="R764" s="20">
        <f t="shared" si="245"/>
        <v>0</v>
      </c>
      <c r="S764" s="20">
        <f t="shared" si="246"/>
        <v>0</v>
      </c>
      <c r="T764" s="20">
        <f t="shared" si="247"/>
        <v>0</v>
      </c>
      <c r="U764" s="17"/>
      <c r="V764" s="20">
        <f t="shared" si="248"/>
        <v>16.140640934804019</v>
      </c>
      <c r="W764" s="17"/>
      <c r="X764" s="20">
        <f t="shared" si="249"/>
        <v>178.35418027338534</v>
      </c>
      <c r="Y764" s="20">
        <f t="shared" si="250"/>
        <v>13.354930934804019</v>
      </c>
      <c r="Z764" s="20"/>
      <c r="AA764" s="20">
        <f t="shared" si="251"/>
        <v>8.7282416196877156E-5</v>
      </c>
    </row>
    <row r="765" spans="2:27" x14ac:dyDescent="0.3">
      <c r="B765" s="28">
        <v>72.7</v>
      </c>
      <c r="C765" s="28">
        <v>23.535710000000002</v>
      </c>
      <c r="D765" s="20">
        <f t="shared" si="233"/>
        <v>58.780264061991268</v>
      </c>
      <c r="E765" s="20">
        <f t="shared" si="234"/>
        <v>-3.454731667794376</v>
      </c>
      <c r="F765" s="20">
        <f t="shared" si="235"/>
        <v>5.9916643115526691</v>
      </c>
      <c r="G765" s="20">
        <f t="shared" si="236"/>
        <v>5.9916643115526691</v>
      </c>
      <c r="H765" s="20">
        <f t="shared" si="237"/>
        <v>5.9916643115526691</v>
      </c>
      <c r="I765" s="17"/>
      <c r="J765" s="20">
        <f t="shared" si="238"/>
        <v>54.776993777760758</v>
      </c>
      <c r="K765" s="20">
        <f t="shared" si="239"/>
        <v>3.0642297141590936E-2</v>
      </c>
      <c r="L765" s="20">
        <f t="shared" si="240"/>
        <v>4.4898459254351346</v>
      </c>
      <c r="M765" s="20">
        <f t="shared" si="241"/>
        <v>4.4898459254351346</v>
      </c>
      <c r="N765" s="20">
        <f t="shared" si="242"/>
        <v>4.4898459254351346</v>
      </c>
      <c r="O765" s="17"/>
      <c r="P765" s="20">
        <f t="shared" si="243"/>
        <v>6.2133802885701765</v>
      </c>
      <c r="Q765" s="20">
        <f t="shared" si="244"/>
        <v>9.8607830246390691</v>
      </c>
      <c r="R765" s="20">
        <f t="shared" si="245"/>
        <v>0</v>
      </c>
      <c r="S765" s="20">
        <f t="shared" si="246"/>
        <v>0</v>
      </c>
      <c r="T765" s="20">
        <f t="shared" si="247"/>
        <v>0</v>
      </c>
      <c r="U765" s="17"/>
      <c r="V765" s="20">
        <f t="shared" si="248"/>
        <v>16.074163313209247</v>
      </c>
      <c r="W765" s="17"/>
      <c r="X765" s="20">
        <f t="shared" si="249"/>
        <v>55.674678959158079</v>
      </c>
      <c r="Y765" s="20">
        <f t="shared" si="250"/>
        <v>7.4615466867907543</v>
      </c>
      <c r="Z765" s="20"/>
      <c r="AA765" s="20">
        <f t="shared" si="251"/>
        <v>4.8765645181410858E-5</v>
      </c>
    </row>
    <row r="766" spans="2:27" x14ac:dyDescent="0.3">
      <c r="B766" s="28">
        <v>72.8</v>
      </c>
      <c r="C766" s="28">
        <v>38.035710000000002</v>
      </c>
      <c r="D766" s="20">
        <f t="shared" si="233"/>
        <v>58.855442242289918</v>
      </c>
      <c r="E766" s="20">
        <f t="shared" si="234"/>
        <v>-3.4496850454474171</v>
      </c>
      <c r="F766" s="20">
        <f t="shared" si="235"/>
        <v>6.0027754226637802</v>
      </c>
      <c r="G766" s="20">
        <f t="shared" si="236"/>
        <v>6.0027754226637802</v>
      </c>
      <c r="H766" s="20">
        <f t="shared" si="237"/>
        <v>6.0027754226637802</v>
      </c>
      <c r="I766" s="17"/>
      <c r="J766" s="20">
        <f t="shared" si="238"/>
        <v>54.850825014398325</v>
      </c>
      <c r="K766" s="20">
        <f t="shared" si="239"/>
        <v>3.0792696553697336E-2</v>
      </c>
      <c r="L766" s="20">
        <f t="shared" si="240"/>
        <v>4.4989347713805072</v>
      </c>
      <c r="M766" s="20">
        <f t="shared" si="241"/>
        <v>4.4989347713805072</v>
      </c>
      <c r="N766" s="20">
        <f t="shared" si="242"/>
        <v>4.4989347713805072</v>
      </c>
      <c r="O766" s="17"/>
      <c r="P766" s="20">
        <f t="shared" si="243"/>
        <v>6.1968142117595582</v>
      </c>
      <c r="Q766" s="20">
        <f t="shared" si="244"/>
        <v>9.8111887105886524</v>
      </c>
      <c r="R766" s="20">
        <f t="shared" si="245"/>
        <v>0</v>
      </c>
      <c r="S766" s="20">
        <f t="shared" si="246"/>
        <v>0</v>
      </c>
      <c r="T766" s="20">
        <f t="shared" si="247"/>
        <v>0</v>
      </c>
      <c r="U766" s="17"/>
      <c r="V766" s="20">
        <f t="shared" si="248"/>
        <v>16.008002922348211</v>
      </c>
      <c r="W766" s="17"/>
      <c r="X766" s="20">
        <f t="shared" si="249"/>
        <v>485.2198790988308</v>
      </c>
      <c r="Y766" s="20">
        <f t="shared" si="250"/>
        <v>22.02770707765179</v>
      </c>
      <c r="Z766" s="20"/>
      <c r="AA766" s="20">
        <f t="shared" si="251"/>
        <v>1.4396416622447435E-4</v>
      </c>
    </row>
    <row r="767" spans="2:27" x14ac:dyDescent="0.3">
      <c r="B767" s="28">
        <v>72.900000000000006</v>
      </c>
      <c r="C767" s="28">
        <v>9.5357099999999999</v>
      </c>
      <c r="D767" s="20">
        <f t="shared" si="233"/>
        <v>58.930620422588589</v>
      </c>
      <c r="E767" s="20">
        <f t="shared" si="234"/>
        <v>-3.4446384231004576</v>
      </c>
      <c r="F767" s="20">
        <f t="shared" si="235"/>
        <v>6.013886533774893</v>
      </c>
      <c r="G767" s="20">
        <f t="shared" si="236"/>
        <v>6.013886533774893</v>
      </c>
      <c r="H767" s="20">
        <f t="shared" si="237"/>
        <v>6.013886533774893</v>
      </c>
      <c r="I767" s="17"/>
      <c r="J767" s="20">
        <f t="shared" si="238"/>
        <v>54.924658030455539</v>
      </c>
      <c r="K767" s="20">
        <f t="shared" si="239"/>
        <v>3.0943812003615654E-2</v>
      </c>
      <c r="L767" s="20">
        <f t="shared" si="240"/>
        <v>4.5080269576560488</v>
      </c>
      <c r="M767" s="20">
        <f t="shared" si="241"/>
        <v>4.5080269576560488</v>
      </c>
      <c r="N767" s="20">
        <f t="shared" si="242"/>
        <v>4.5080269576560488</v>
      </c>
      <c r="O767" s="17"/>
      <c r="P767" s="20">
        <f t="shared" si="243"/>
        <v>6.1803139042155841</v>
      </c>
      <c r="Q767" s="20">
        <f t="shared" si="244"/>
        <v>9.7618442462707318</v>
      </c>
      <c r="R767" s="20">
        <f t="shared" si="245"/>
        <v>0</v>
      </c>
      <c r="S767" s="20">
        <f t="shared" si="246"/>
        <v>0</v>
      </c>
      <c r="T767" s="20">
        <f t="shared" si="247"/>
        <v>0</v>
      </c>
      <c r="U767" s="17"/>
      <c r="V767" s="20">
        <f t="shared" si="248"/>
        <v>15.942158150486316</v>
      </c>
      <c r="W767" s="17"/>
      <c r="X767" s="20">
        <f t="shared" si="249"/>
        <v>41.042577904869539</v>
      </c>
      <c r="Y767" s="20">
        <f t="shared" si="250"/>
        <v>6.406448150486316</v>
      </c>
      <c r="Z767" s="20"/>
      <c r="AA767" s="20">
        <f t="shared" si="251"/>
        <v>4.186994875108025E-5</v>
      </c>
    </row>
    <row r="768" spans="2:27" x14ac:dyDescent="0.3">
      <c r="B768" s="28">
        <v>73</v>
      </c>
      <c r="C768" s="28">
        <v>15.78571</v>
      </c>
      <c r="D768" s="20">
        <f t="shared" si="233"/>
        <v>59.005798602887239</v>
      </c>
      <c r="E768" s="20">
        <f t="shared" si="234"/>
        <v>-3.4395918007534987</v>
      </c>
      <c r="F768" s="20">
        <f t="shared" si="235"/>
        <v>6.0249976448860041</v>
      </c>
      <c r="G768" s="20">
        <f t="shared" si="236"/>
        <v>6.0249976448860041</v>
      </c>
      <c r="H768" s="20">
        <f t="shared" si="237"/>
        <v>6.0249976448860041</v>
      </c>
      <c r="I768" s="17"/>
      <c r="J768" s="20">
        <f t="shared" si="238"/>
        <v>54.998492821279704</v>
      </c>
      <c r="K768" s="20">
        <f t="shared" si="239"/>
        <v>3.1095646688937332E-2</v>
      </c>
      <c r="L768" s="20">
        <f t="shared" si="240"/>
        <v>4.5171224744645482</v>
      </c>
      <c r="M768" s="20">
        <f t="shared" si="241"/>
        <v>4.5171224744645482</v>
      </c>
      <c r="N768" s="20">
        <f t="shared" si="242"/>
        <v>4.5171224744645482</v>
      </c>
      <c r="O768" s="17"/>
      <c r="P768" s="20">
        <f t="shared" si="243"/>
        <v>6.1638790198136357</v>
      </c>
      <c r="Q768" s="20">
        <f t="shared" si="244"/>
        <v>9.7127483747202383</v>
      </c>
      <c r="R768" s="20">
        <f t="shared" si="245"/>
        <v>0</v>
      </c>
      <c r="S768" s="20">
        <f t="shared" si="246"/>
        <v>0</v>
      </c>
      <c r="T768" s="20">
        <f t="shared" si="247"/>
        <v>0</v>
      </c>
      <c r="U768" s="17"/>
      <c r="V768" s="20">
        <f t="shared" si="248"/>
        <v>15.876627394533873</v>
      </c>
      <c r="W768" s="17"/>
      <c r="X768" s="20">
        <f t="shared" si="249"/>
        <v>8.2659726288279688E-3</v>
      </c>
      <c r="Y768" s="20">
        <f t="shared" si="250"/>
        <v>9.0917394533873264E-2</v>
      </c>
      <c r="Z768" s="20"/>
      <c r="AA768" s="20">
        <f t="shared" si="251"/>
        <v>5.9419924430763546E-7</v>
      </c>
    </row>
    <row r="769" spans="2:27" x14ac:dyDescent="0.3">
      <c r="B769" s="28">
        <v>73.099999999999994</v>
      </c>
      <c r="C769" s="28">
        <v>22.285710000000002</v>
      </c>
      <c r="D769" s="20">
        <f t="shared" si="233"/>
        <v>59.080976783185896</v>
      </c>
      <c r="E769" s="20">
        <f t="shared" si="234"/>
        <v>-3.4345451784065402</v>
      </c>
      <c r="F769" s="20">
        <f t="shared" si="235"/>
        <v>6.0361087559971134</v>
      </c>
      <c r="G769" s="20">
        <f t="shared" si="236"/>
        <v>6.0361087559971134</v>
      </c>
      <c r="H769" s="20">
        <f t="shared" si="237"/>
        <v>6.0361087559971134</v>
      </c>
      <c r="I769" s="17"/>
      <c r="J769" s="20">
        <f t="shared" si="238"/>
        <v>55.072329382236312</v>
      </c>
      <c r="K769" s="20">
        <f t="shared" si="239"/>
        <v>3.1248203819548393E-2</v>
      </c>
      <c r="L769" s="20">
        <f t="shared" si="240"/>
        <v>4.5262213120476043</v>
      </c>
      <c r="M769" s="20">
        <f t="shared" si="241"/>
        <v>4.5262213120476043</v>
      </c>
      <c r="N769" s="20">
        <f t="shared" si="242"/>
        <v>4.5262213120476043</v>
      </c>
      <c r="O769" s="17"/>
      <c r="P769" s="20">
        <f t="shared" si="243"/>
        <v>6.1475092146947938</v>
      </c>
      <c r="Q769" s="20">
        <f t="shared" si="244"/>
        <v>9.6638998453013087</v>
      </c>
      <c r="R769" s="20">
        <f t="shared" si="245"/>
        <v>0</v>
      </c>
      <c r="S769" s="20">
        <f t="shared" si="246"/>
        <v>0</v>
      </c>
      <c r="T769" s="20">
        <f t="shared" si="247"/>
        <v>0</v>
      </c>
      <c r="U769" s="17"/>
      <c r="V769" s="20">
        <f t="shared" si="248"/>
        <v>15.811409059996102</v>
      </c>
      <c r="W769" s="17"/>
      <c r="X769" s="20">
        <f t="shared" si="249"/>
        <v>41.91657266173538</v>
      </c>
      <c r="Y769" s="20">
        <f t="shared" si="250"/>
        <v>6.4743009400039</v>
      </c>
      <c r="Z769" s="20"/>
      <c r="AA769" s="20">
        <f t="shared" si="251"/>
        <v>4.2313407084463225E-5</v>
      </c>
    </row>
    <row r="770" spans="2:27" x14ac:dyDescent="0.3">
      <c r="B770" s="28">
        <v>73.2</v>
      </c>
      <c r="C770" s="28">
        <v>34.285710000000002</v>
      </c>
      <c r="D770" s="20">
        <f t="shared" si="233"/>
        <v>59.15615496348456</v>
      </c>
      <c r="E770" s="20">
        <f t="shared" si="234"/>
        <v>-3.4294985560595803</v>
      </c>
      <c r="F770" s="20">
        <f t="shared" si="235"/>
        <v>6.0472198671082245</v>
      </c>
      <c r="G770" s="20">
        <f t="shared" si="236"/>
        <v>6.0472198671082245</v>
      </c>
      <c r="H770" s="20">
        <f t="shared" si="237"/>
        <v>6.0472198671082245</v>
      </c>
      <c r="I770" s="17"/>
      <c r="J770" s="20">
        <f t="shared" si="238"/>
        <v>55.146167708708845</v>
      </c>
      <c r="K770" s="20">
        <f t="shared" si="239"/>
        <v>3.1401486617658174E-2</v>
      </c>
      <c r="L770" s="20">
        <f t="shared" si="240"/>
        <v>4.5353234606854436</v>
      </c>
      <c r="M770" s="20">
        <f t="shared" si="241"/>
        <v>4.5353234606854436</v>
      </c>
      <c r="N770" s="20">
        <f t="shared" si="242"/>
        <v>4.5353234606854436</v>
      </c>
      <c r="O770" s="17"/>
      <c r="P770" s="20">
        <f t="shared" si="243"/>
        <v>6.1312041472481456</v>
      </c>
      <c r="Q770" s="20">
        <f t="shared" si="244"/>
        <v>9.6152974136754228</v>
      </c>
      <c r="R770" s="20">
        <f t="shared" si="245"/>
        <v>0</v>
      </c>
      <c r="S770" s="20">
        <f t="shared" si="246"/>
        <v>0</v>
      </c>
      <c r="T770" s="20">
        <f t="shared" si="247"/>
        <v>0</v>
      </c>
      <c r="U770" s="17"/>
      <c r="V770" s="20">
        <f t="shared" si="248"/>
        <v>15.746501560923569</v>
      </c>
      <c r="W770" s="17"/>
      <c r="X770" s="20">
        <f t="shared" si="249"/>
        <v>343.7022495475228</v>
      </c>
      <c r="Y770" s="20">
        <f t="shared" si="250"/>
        <v>18.539208439076432</v>
      </c>
      <c r="Z770" s="20"/>
      <c r="AA770" s="20">
        <f t="shared" si="251"/>
        <v>1.2116475291707471E-4</v>
      </c>
    </row>
    <row r="771" spans="2:27" x14ac:dyDescent="0.3">
      <c r="B771" s="28">
        <v>73.3</v>
      </c>
      <c r="C771" s="28">
        <v>-3.4642900000000001</v>
      </c>
      <c r="D771" s="20">
        <f t="shared" si="233"/>
        <v>59.231333143783218</v>
      </c>
      <c r="E771" s="20">
        <f t="shared" si="234"/>
        <v>-3.4244519337126214</v>
      </c>
      <c r="F771" s="20">
        <f t="shared" si="235"/>
        <v>6.0583309782193355</v>
      </c>
      <c r="G771" s="20">
        <f t="shared" si="236"/>
        <v>6.0583309782193355</v>
      </c>
      <c r="H771" s="20">
        <f t="shared" si="237"/>
        <v>6.0583309782193355</v>
      </c>
      <c r="I771" s="17"/>
      <c r="J771" s="20">
        <f t="shared" si="238"/>
        <v>55.220007796098699</v>
      </c>
      <c r="K771" s="20">
        <f t="shared" si="239"/>
        <v>3.1555498317827821E-2</v>
      </c>
      <c r="L771" s="20">
        <f t="shared" si="240"/>
        <v>4.5444289106967339</v>
      </c>
      <c r="M771" s="20">
        <f t="shared" si="241"/>
        <v>4.5444289106967339</v>
      </c>
      <c r="N771" s="20">
        <f t="shared" si="242"/>
        <v>4.5444289106967339</v>
      </c>
      <c r="O771" s="17"/>
      <c r="P771" s="20">
        <f t="shared" si="243"/>
        <v>6.1149634780932205</v>
      </c>
      <c r="Q771" s="20">
        <f t="shared" si="244"/>
        <v>9.5669398417697344</v>
      </c>
      <c r="R771" s="20">
        <f t="shared" si="245"/>
        <v>0</v>
      </c>
      <c r="S771" s="20">
        <f t="shared" si="246"/>
        <v>0</v>
      </c>
      <c r="T771" s="20">
        <f t="shared" si="247"/>
        <v>0</v>
      </c>
      <c r="U771" s="17"/>
      <c r="V771" s="20">
        <f t="shared" si="248"/>
        <v>15.681903319862954</v>
      </c>
      <c r="W771" s="17"/>
      <c r="X771" s="20">
        <f t="shared" si="249"/>
        <v>366.57671864156475</v>
      </c>
      <c r="Y771" s="20">
        <f t="shared" si="250"/>
        <v>19.146193319862952</v>
      </c>
      <c r="Z771" s="20"/>
      <c r="AA771" s="20">
        <f t="shared" si="251"/>
        <v>1.2513176010330832E-4</v>
      </c>
    </row>
    <row r="772" spans="2:27" x14ac:dyDescent="0.3">
      <c r="B772" s="28">
        <v>73.400000000000006</v>
      </c>
      <c r="C772" s="28">
        <v>8.7857099999999999</v>
      </c>
      <c r="D772" s="20">
        <f t="shared" si="233"/>
        <v>59.306511324081882</v>
      </c>
      <c r="E772" s="20">
        <f t="shared" si="234"/>
        <v>-3.4194053113656619</v>
      </c>
      <c r="F772" s="20">
        <f t="shared" si="235"/>
        <v>6.0694420893304484</v>
      </c>
      <c r="G772" s="20">
        <f t="shared" si="236"/>
        <v>6.0694420893304484</v>
      </c>
      <c r="H772" s="20">
        <f t="shared" si="237"/>
        <v>6.0694420893304484</v>
      </c>
      <c r="I772" s="17"/>
      <c r="J772" s="20">
        <f t="shared" si="238"/>
        <v>55.293849639825126</v>
      </c>
      <c r="K772" s="20">
        <f t="shared" si="239"/>
        <v>3.171024216699897E-2</v>
      </c>
      <c r="L772" s="20">
        <f t="shared" si="240"/>
        <v>4.5535376524384041</v>
      </c>
      <c r="M772" s="20">
        <f t="shared" si="241"/>
        <v>4.5535376524384041</v>
      </c>
      <c r="N772" s="20">
        <f t="shared" si="242"/>
        <v>4.5535376524384041</v>
      </c>
      <c r="O772" s="17"/>
      <c r="P772" s="20">
        <f t="shared" si="243"/>
        <v>6.0987868700625842</v>
      </c>
      <c r="Q772" s="20">
        <f t="shared" si="244"/>
        <v>9.5188258977454776</v>
      </c>
      <c r="R772" s="20">
        <f t="shared" si="245"/>
        <v>0</v>
      </c>
      <c r="S772" s="20">
        <f t="shared" si="246"/>
        <v>0</v>
      </c>
      <c r="T772" s="20">
        <f t="shared" si="247"/>
        <v>0</v>
      </c>
      <c r="U772" s="17"/>
      <c r="V772" s="20">
        <f t="shared" si="248"/>
        <v>15.617612767808062</v>
      </c>
      <c r="W772" s="17"/>
      <c r="X772" s="20">
        <f t="shared" si="249"/>
        <v>46.674895428783458</v>
      </c>
      <c r="Y772" s="20">
        <f t="shared" si="250"/>
        <v>6.8319027678080619</v>
      </c>
      <c r="Z772" s="20"/>
      <c r="AA772" s="20">
        <f t="shared" si="251"/>
        <v>4.4650547704623599E-5</v>
      </c>
    </row>
    <row r="773" spans="2:27" x14ac:dyDescent="0.3">
      <c r="B773" s="28">
        <v>73.5</v>
      </c>
      <c r="C773" s="28">
        <v>20.285710000000002</v>
      </c>
      <c r="D773" s="20">
        <f t="shared" si="233"/>
        <v>59.381689504380539</v>
      </c>
      <c r="E773" s="20">
        <f t="shared" si="234"/>
        <v>-3.414358689018703</v>
      </c>
      <c r="F773" s="20">
        <f t="shared" si="235"/>
        <v>6.0805532004415594</v>
      </c>
      <c r="G773" s="20">
        <f t="shared" si="236"/>
        <v>6.0805532004415594</v>
      </c>
      <c r="H773" s="20">
        <f t="shared" si="237"/>
        <v>6.0805532004415594</v>
      </c>
      <c r="I773" s="17"/>
      <c r="J773" s="20">
        <f t="shared" si="238"/>
        <v>55.367693235325099</v>
      </c>
      <c r="K773" s="20">
        <f t="shared" si="239"/>
        <v>3.1865721424522049E-2</v>
      </c>
      <c r="L773" s="20">
        <f t="shared" si="240"/>
        <v>4.5626496763054654</v>
      </c>
      <c r="M773" s="20">
        <f t="shared" si="241"/>
        <v>4.5626496763054654</v>
      </c>
      <c r="N773" s="20">
        <f t="shared" si="242"/>
        <v>4.5626496763054654</v>
      </c>
      <c r="O773" s="17"/>
      <c r="P773" s="20">
        <f t="shared" si="243"/>
        <v>6.0826739881846068</v>
      </c>
      <c r="Q773" s="20">
        <f t="shared" si="244"/>
        <v>9.4709543559665974</v>
      </c>
      <c r="R773" s="20">
        <f t="shared" si="245"/>
        <v>0</v>
      </c>
      <c r="S773" s="20">
        <f t="shared" si="246"/>
        <v>0</v>
      </c>
      <c r="T773" s="20">
        <f t="shared" si="247"/>
        <v>0</v>
      </c>
      <c r="U773" s="17"/>
      <c r="V773" s="20">
        <f t="shared" si="248"/>
        <v>15.553628344151203</v>
      </c>
      <c r="W773" s="17"/>
      <c r="X773" s="20">
        <f t="shared" si="249"/>
        <v>22.392596797620705</v>
      </c>
      <c r="Y773" s="20">
        <f t="shared" si="250"/>
        <v>4.7320816558487984</v>
      </c>
      <c r="Z773" s="20"/>
      <c r="AA773" s="20">
        <f t="shared" si="251"/>
        <v>3.0926967917671491E-5</v>
      </c>
    </row>
    <row r="774" spans="2:27" x14ac:dyDescent="0.3">
      <c r="B774" s="28">
        <v>73.599999999999994</v>
      </c>
      <c r="C774" s="28">
        <v>28.785710000000002</v>
      </c>
      <c r="D774" s="20">
        <f t="shared" si="233"/>
        <v>59.456867684679196</v>
      </c>
      <c r="E774" s="20">
        <f t="shared" si="234"/>
        <v>-3.409312066671744</v>
      </c>
      <c r="F774" s="20">
        <f t="shared" si="235"/>
        <v>6.0916643115526687</v>
      </c>
      <c r="G774" s="20">
        <f t="shared" si="236"/>
        <v>6.0916643115526687</v>
      </c>
      <c r="H774" s="20">
        <f t="shared" si="237"/>
        <v>6.0916643115526687</v>
      </c>
      <c r="I774" s="17"/>
      <c r="J774" s="20">
        <f t="shared" si="238"/>
        <v>55.44153857805324</v>
      </c>
      <c r="K774" s="20">
        <f t="shared" si="239"/>
        <v>3.202193936218458E-2</v>
      </c>
      <c r="L774" s="20">
        <f t="shared" si="240"/>
        <v>4.5717649727308336</v>
      </c>
      <c r="M774" s="20">
        <f t="shared" si="241"/>
        <v>4.5717649727308336</v>
      </c>
      <c r="N774" s="20">
        <f t="shared" si="242"/>
        <v>4.5717649727308336</v>
      </c>
      <c r="O774" s="17"/>
      <c r="P774" s="20">
        <f t="shared" si="243"/>
        <v>6.066624499666367</v>
      </c>
      <c r="Q774" s="20">
        <f t="shared" si="244"/>
        <v>9.4233239969685147</v>
      </c>
      <c r="R774" s="20">
        <f t="shared" si="245"/>
        <v>0</v>
      </c>
      <c r="S774" s="20">
        <f t="shared" si="246"/>
        <v>0</v>
      </c>
      <c r="T774" s="20">
        <f t="shared" si="247"/>
        <v>0</v>
      </c>
      <c r="U774" s="17"/>
      <c r="V774" s="20">
        <f t="shared" si="248"/>
        <v>15.489948496634881</v>
      </c>
      <c r="W774" s="17"/>
      <c r="X774" s="20">
        <f t="shared" si="249"/>
        <v>176.77727395436594</v>
      </c>
      <c r="Y774" s="20">
        <f t="shared" si="250"/>
        <v>13.295761503365121</v>
      </c>
      <c r="Z774" s="20"/>
      <c r="AA774" s="20">
        <f t="shared" si="251"/>
        <v>8.6895708772765848E-5</v>
      </c>
    </row>
    <row r="775" spans="2:27" x14ac:dyDescent="0.3">
      <c r="B775" s="28">
        <v>73.7</v>
      </c>
      <c r="C775" s="28">
        <v>12.03571</v>
      </c>
      <c r="D775" s="20">
        <f t="shared" si="233"/>
        <v>59.53204586497786</v>
      </c>
      <c r="E775" s="20">
        <f t="shared" si="234"/>
        <v>-3.4042654443247842</v>
      </c>
      <c r="F775" s="20">
        <f t="shared" si="235"/>
        <v>6.1027754226637816</v>
      </c>
      <c r="G775" s="20">
        <f t="shared" si="236"/>
        <v>6.1027754226637816</v>
      </c>
      <c r="H775" s="20">
        <f t="shared" si="237"/>
        <v>6.1027754226637816</v>
      </c>
      <c r="I775" s="17"/>
      <c r="J775" s="20">
        <f t="shared" si="238"/>
        <v>55.515385663481773</v>
      </c>
      <c r="K775" s="20">
        <f t="shared" si="239"/>
        <v>3.2178899264239329E-2</v>
      </c>
      <c r="L775" s="20">
        <f t="shared" si="240"/>
        <v>4.5808835321851564</v>
      </c>
      <c r="M775" s="20">
        <f t="shared" si="241"/>
        <v>4.5808835321851564</v>
      </c>
      <c r="N775" s="20">
        <f t="shared" si="242"/>
        <v>4.5808835321851564</v>
      </c>
      <c r="O775" s="17"/>
      <c r="P775" s="20">
        <f t="shared" si="243"/>
        <v>6.0506380738767147</v>
      </c>
      <c r="Q775" s="20">
        <f t="shared" si="244"/>
        <v>9.3759336074270543</v>
      </c>
      <c r="R775" s="20">
        <f t="shared" si="245"/>
        <v>0</v>
      </c>
      <c r="S775" s="20">
        <f t="shared" si="246"/>
        <v>0</v>
      </c>
      <c r="T775" s="20">
        <f t="shared" si="247"/>
        <v>0</v>
      </c>
      <c r="U775" s="17"/>
      <c r="V775" s="20">
        <f t="shared" si="248"/>
        <v>15.42657168130377</v>
      </c>
      <c r="W775" s="17"/>
      <c r="X775" s="20">
        <f t="shared" si="249"/>
        <v>11.49794294173423</v>
      </c>
      <c r="Y775" s="20">
        <f t="shared" si="250"/>
        <v>3.39086168130377</v>
      </c>
      <c r="Z775" s="20"/>
      <c r="AA775" s="20">
        <f t="shared" si="251"/>
        <v>2.216129772429568E-5</v>
      </c>
    </row>
    <row r="776" spans="2:27" x14ac:dyDescent="0.3">
      <c r="B776" s="28">
        <v>73.8</v>
      </c>
      <c r="C776" s="28">
        <v>1.7857099999999999</v>
      </c>
      <c r="D776" s="20">
        <f t="shared" si="233"/>
        <v>59.607224045276517</v>
      </c>
      <c r="E776" s="20">
        <f t="shared" si="234"/>
        <v>-3.3992188219778257</v>
      </c>
      <c r="F776" s="20">
        <f t="shared" si="235"/>
        <v>6.1138865337748909</v>
      </c>
      <c r="G776" s="20">
        <f t="shared" si="236"/>
        <v>6.1138865337748909</v>
      </c>
      <c r="H776" s="20">
        <f t="shared" si="237"/>
        <v>6.1138865337748909</v>
      </c>
      <c r="I776" s="17"/>
      <c r="J776" s="20">
        <f t="shared" si="238"/>
        <v>55.58923448710032</v>
      </c>
      <c r="K776" s="20">
        <f t="shared" si="239"/>
        <v>3.2336604427432233E-2</v>
      </c>
      <c r="L776" s="20">
        <f t="shared" si="240"/>
        <v>4.5900053451766185</v>
      </c>
      <c r="M776" s="20">
        <f t="shared" si="241"/>
        <v>4.5900053451766185</v>
      </c>
      <c r="N776" s="20">
        <f t="shared" si="242"/>
        <v>4.5900053451766185</v>
      </c>
      <c r="O776" s="17"/>
      <c r="P776" s="20">
        <f t="shared" si="243"/>
        <v>6.034714382329522</v>
      </c>
      <c r="Q776" s="20">
        <f t="shared" si="244"/>
        <v>9.3287819801275411</v>
      </c>
      <c r="R776" s="20">
        <f t="shared" si="245"/>
        <v>0</v>
      </c>
      <c r="S776" s="20">
        <f t="shared" si="246"/>
        <v>0</v>
      </c>
      <c r="T776" s="20">
        <f t="shared" si="247"/>
        <v>0</v>
      </c>
      <c r="U776" s="17"/>
      <c r="V776" s="20">
        <f t="shared" si="248"/>
        <v>15.363496362457063</v>
      </c>
      <c r="W776" s="17"/>
      <c r="X776" s="20">
        <f t="shared" si="249"/>
        <v>184.35628250452501</v>
      </c>
      <c r="Y776" s="20">
        <f t="shared" si="250"/>
        <v>13.577786362457063</v>
      </c>
      <c r="Z776" s="20"/>
      <c r="AA776" s="20">
        <f t="shared" si="251"/>
        <v>8.8738908954728437E-5</v>
      </c>
    </row>
    <row r="777" spans="2:27" x14ac:dyDescent="0.3">
      <c r="B777" s="28">
        <v>73.900000000000006</v>
      </c>
      <c r="C777" s="28">
        <v>2.5357099999999999</v>
      </c>
      <c r="D777" s="20">
        <f t="shared" si="233"/>
        <v>59.682402225575181</v>
      </c>
      <c r="E777" s="20">
        <f t="shared" si="234"/>
        <v>-3.3941721996308662</v>
      </c>
      <c r="F777" s="20">
        <f t="shared" si="235"/>
        <v>6.1249976448860037</v>
      </c>
      <c r="G777" s="20">
        <f t="shared" si="236"/>
        <v>6.1249976448860037</v>
      </c>
      <c r="H777" s="20">
        <f t="shared" si="237"/>
        <v>6.1249976448860037</v>
      </c>
      <c r="I777" s="17"/>
      <c r="J777" s="20">
        <f t="shared" si="238"/>
        <v>55.663085044415951</v>
      </c>
      <c r="K777" s="20">
        <f t="shared" si="239"/>
        <v>3.2495058161030495E-2</v>
      </c>
      <c r="L777" s="20">
        <f t="shared" si="240"/>
        <v>4.5991304022507915</v>
      </c>
      <c r="M777" s="20">
        <f t="shared" si="241"/>
        <v>4.5991304022507915</v>
      </c>
      <c r="N777" s="20">
        <f t="shared" si="242"/>
        <v>4.5991304022507915</v>
      </c>
      <c r="O777" s="17"/>
      <c r="P777" s="20">
        <f t="shared" si="243"/>
        <v>6.0188530986670186</v>
      </c>
      <c r="Q777" s="20">
        <f t="shared" si="244"/>
        <v>9.2818679139339952</v>
      </c>
      <c r="R777" s="20">
        <f t="shared" si="245"/>
        <v>0</v>
      </c>
      <c r="S777" s="20">
        <f t="shared" si="246"/>
        <v>0</v>
      </c>
      <c r="T777" s="20">
        <f t="shared" si="247"/>
        <v>0</v>
      </c>
      <c r="U777" s="17"/>
      <c r="V777" s="20">
        <f t="shared" si="248"/>
        <v>15.300721012601013</v>
      </c>
      <c r="W777" s="17"/>
      <c r="X777" s="20">
        <f t="shared" si="249"/>
        <v>162.94550615182513</v>
      </c>
      <c r="Y777" s="20">
        <f t="shared" si="250"/>
        <v>12.765011012601013</v>
      </c>
      <c r="Z777" s="20"/>
      <c r="AA777" s="20">
        <f t="shared" si="251"/>
        <v>8.3426938663978356E-5</v>
      </c>
    </row>
    <row r="778" spans="2:27" x14ac:dyDescent="0.3">
      <c r="B778" s="28">
        <v>74</v>
      </c>
      <c r="C778" s="28">
        <v>3.7857099999999999</v>
      </c>
      <c r="D778" s="20">
        <f t="shared" si="233"/>
        <v>59.757580405873838</v>
      </c>
      <c r="E778" s="20">
        <f t="shared" si="234"/>
        <v>-3.3891255772839068</v>
      </c>
      <c r="F778" s="20">
        <f t="shared" si="235"/>
        <v>6.1361087559971148</v>
      </c>
      <c r="G778" s="20">
        <f t="shared" si="236"/>
        <v>6.1361087559971148</v>
      </c>
      <c r="H778" s="20">
        <f t="shared" si="237"/>
        <v>6.1361087559971148</v>
      </c>
      <c r="I778" s="17"/>
      <c r="J778" s="20">
        <f t="shared" si="238"/>
        <v>55.736937330952976</v>
      </c>
      <c r="K778" s="20">
        <f t="shared" si="239"/>
        <v>3.2654263786850143E-2</v>
      </c>
      <c r="L778" s="20">
        <f t="shared" si="240"/>
        <v>4.6082586939904306</v>
      </c>
      <c r="M778" s="20">
        <f t="shared" si="241"/>
        <v>4.6082586939904306</v>
      </c>
      <c r="N778" s="20">
        <f t="shared" si="242"/>
        <v>4.6082586939904306</v>
      </c>
      <c r="O778" s="17"/>
      <c r="P778" s="20">
        <f t="shared" si="243"/>
        <v>6.0030538986433397</v>
      </c>
      <c r="Q778" s="20">
        <f t="shared" si="244"/>
        <v>9.2351902137585693</v>
      </c>
      <c r="R778" s="20">
        <f t="shared" si="245"/>
        <v>0</v>
      </c>
      <c r="S778" s="20">
        <f t="shared" si="246"/>
        <v>0</v>
      </c>
      <c r="T778" s="20">
        <f t="shared" si="247"/>
        <v>0</v>
      </c>
      <c r="U778" s="17"/>
      <c r="V778" s="20">
        <f t="shared" si="248"/>
        <v>15.238244112401908</v>
      </c>
      <c r="W778" s="17"/>
      <c r="X778" s="20">
        <f t="shared" si="249"/>
        <v>131.16053759572935</v>
      </c>
      <c r="Y778" s="20">
        <f t="shared" si="250"/>
        <v>11.452534112401908</v>
      </c>
      <c r="Z778" s="20"/>
      <c r="AA778" s="20">
        <f t="shared" si="251"/>
        <v>7.4849121555735368E-5</v>
      </c>
    </row>
    <row r="779" spans="2:27" x14ac:dyDescent="0.3">
      <c r="B779" s="28">
        <v>74.099999999999994</v>
      </c>
      <c r="C779" s="28">
        <v>6.2857099999999999</v>
      </c>
      <c r="D779" s="20">
        <f t="shared" si="233"/>
        <v>59.832758586172496</v>
      </c>
      <c r="E779" s="20">
        <f t="shared" si="234"/>
        <v>-3.3840789549369483</v>
      </c>
      <c r="F779" s="20">
        <f t="shared" si="235"/>
        <v>6.1472198671082241</v>
      </c>
      <c r="G779" s="20">
        <f t="shared" si="236"/>
        <v>6.1472198671082241</v>
      </c>
      <c r="H779" s="20">
        <f t="shared" si="237"/>
        <v>6.1472198671082241</v>
      </c>
      <c r="I779" s="17"/>
      <c r="J779" s="20">
        <f t="shared" si="238"/>
        <v>55.810791342252948</v>
      </c>
      <c r="K779" s="20">
        <f t="shared" si="239"/>
        <v>3.2814224639283733E-2</v>
      </c>
      <c r="L779" s="20">
        <f t="shared" si="240"/>
        <v>4.617390211015322</v>
      </c>
      <c r="M779" s="20">
        <f t="shared" si="241"/>
        <v>4.617390211015322</v>
      </c>
      <c r="N779" s="20">
        <f t="shared" si="242"/>
        <v>4.617390211015322</v>
      </c>
      <c r="O779" s="17"/>
      <c r="P779" s="20">
        <f t="shared" si="243"/>
        <v>5.9873164601081834</v>
      </c>
      <c r="Q779" s="20">
        <f t="shared" si="244"/>
        <v>9.1887476905310788</v>
      </c>
      <c r="R779" s="20">
        <f t="shared" si="245"/>
        <v>0</v>
      </c>
      <c r="S779" s="20">
        <f t="shared" si="246"/>
        <v>0</v>
      </c>
      <c r="T779" s="20">
        <f t="shared" si="247"/>
        <v>0</v>
      </c>
      <c r="U779" s="17"/>
      <c r="V779" s="20">
        <f t="shared" si="248"/>
        <v>15.176064150639263</v>
      </c>
      <c r="W779" s="17"/>
      <c r="X779" s="20">
        <f t="shared" si="249"/>
        <v>79.038396923788781</v>
      </c>
      <c r="Y779" s="20">
        <f t="shared" si="250"/>
        <v>8.8903541506392632</v>
      </c>
      <c r="Z779" s="20"/>
      <c r="AA779" s="20">
        <f t="shared" si="251"/>
        <v>5.8103751708029166E-5</v>
      </c>
    </row>
    <row r="780" spans="2:27" x14ac:dyDescent="0.3">
      <c r="B780" s="28">
        <v>74.2</v>
      </c>
      <c r="C780" s="28">
        <v>4.5357099999999999</v>
      </c>
      <c r="D780" s="20">
        <f t="shared" si="233"/>
        <v>59.90793676647116</v>
      </c>
      <c r="E780" s="20">
        <f t="shared" si="234"/>
        <v>-3.3790323325899885</v>
      </c>
      <c r="F780" s="20">
        <f t="shared" si="235"/>
        <v>6.1583309782193369</v>
      </c>
      <c r="G780" s="20">
        <f t="shared" si="236"/>
        <v>6.1583309782193369</v>
      </c>
      <c r="H780" s="20">
        <f t="shared" si="237"/>
        <v>6.1583309782193369</v>
      </c>
      <c r="I780" s="17"/>
      <c r="J780" s="20">
        <f t="shared" si="238"/>
        <v>55.884647073874525</v>
      </c>
      <c r="K780" s="20">
        <f t="shared" si="239"/>
        <v>3.297494406532795E-2</v>
      </c>
      <c r="L780" s="20">
        <f t="shared" si="240"/>
        <v>4.6265249439821048</v>
      </c>
      <c r="M780" s="20">
        <f t="shared" si="241"/>
        <v>4.6265249439821048</v>
      </c>
      <c r="N780" s="20">
        <f t="shared" si="242"/>
        <v>4.6265249439821048</v>
      </c>
      <c r="O780" s="17"/>
      <c r="P780" s="20">
        <f t="shared" si="243"/>
        <v>5.9716404629906323</v>
      </c>
      <c r="Q780" s="20">
        <f t="shared" si="244"/>
        <v>9.1425391611686742</v>
      </c>
      <c r="R780" s="20">
        <f t="shared" si="245"/>
        <v>0</v>
      </c>
      <c r="S780" s="20">
        <f t="shared" si="246"/>
        <v>0</v>
      </c>
      <c r="T780" s="20">
        <f t="shared" si="247"/>
        <v>0</v>
      </c>
      <c r="U780" s="17"/>
      <c r="V780" s="20">
        <f t="shared" si="248"/>
        <v>15.114179624159306</v>
      </c>
      <c r="W780" s="17"/>
      <c r="X780" s="20">
        <f t="shared" si="249"/>
        <v>111.90401958926113</v>
      </c>
      <c r="Y780" s="20">
        <f t="shared" si="250"/>
        <v>10.578469624159306</v>
      </c>
      <c r="Z780" s="20"/>
      <c r="AA780" s="20">
        <f t="shared" si="251"/>
        <v>6.9136590295324106E-5</v>
      </c>
    </row>
    <row r="781" spans="2:27" x14ac:dyDescent="0.3">
      <c r="B781" s="28">
        <v>74.3</v>
      </c>
      <c r="C781" s="28">
        <v>15.53571</v>
      </c>
      <c r="D781" s="20">
        <f t="shared" si="233"/>
        <v>59.983114946769817</v>
      </c>
      <c r="E781" s="20">
        <f t="shared" si="234"/>
        <v>-3.37398571024303</v>
      </c>
      <c r="F781" s="20">
        <f t="shared" si="235"/>
        <v>6.1694420893304462</v>
      </c>
      <c r="G781" s="20">
        <f t="shared" si="236"/>
        <v>6.1694420893304462</v>
      </c>
      <c r="H781" s="20">
        <f t="shared" si="237"/>
        <v>6.1694420893304462</v>
      </c>
      <c r="I781" s="17"/>
      <c r="J781" s="20">
        <f t="shared" si="238"/>
        <v>55.958504521393365</v>
      </c>
      <c r="K781" s="20">
        <f t="shared" si="239"/>
        <v>3.3136425424610712E-2</v>
      </c>
      <c r="L781" s="20">
        <f t="shared" si="240"/>
        <v>4.6356628835840823</v>
      </c>
      <c r="M781" s="20">
        <f t="shared" si="241"/>
        <v>4.6356628835840823</v>
      </c>
      <c r="N781" s="20">
        <f t="shared" si="242"/>
        <v>4.6356628835840823</v>
      </c>
      <c r="O781" s="17"/>
      <c r="P781" s="20">
        <f t="shared" si="243"/>
        <v>5.9560255892831284</v>
      </c>
      <c r="Q781" s="20">
        <f t="shared" si="244"/>
        <v>9.096563448545762</v>
      </c>
      <c r="R781" s="20">
        <f t="shared" si="245"/>
        <v>0</v>
      </c>
      <c r="S781" s="20">
        <f t="shared" si="246"/>
        <v>0</v>
      </c>
      <c r="T781" s="20">
        <f t="shared" si="247"/>
        <v>0</v>
      </c>
      <c r="U781" s="17"/>
      <c r="V781" s="20">
        <f t="shared" si="248"/>
        <v>15.052589037828891</v>
      </c>
      <c r="W781" s="17"/>
      <c r="X781" s="20">
        <f t="shared" si="249"/>
        <v>0.23340586408913772</v>
      </c>
      <c r="Y781" s="20">
        <f t="shared" si="250"/>
        <v>0.48312096217110856</v>
      </c>
      <c r="Z781" s="20"/>
      <c r="AA781" s="20">
        <f t="shared" si="251"/>
        <v>3.157482812865872E-6</v>
      </c>
    </row>
    <row r="782" spans="2:27" x14ac:dyDescent="0.3">
      <c r="B782" s="28">
        <v>74.400000000000006</v>
      </c>
      <c r="C782" s="28">
        <v>9.0357099999999999</v>
      </c>
      <c r="D782" s="20">
        <f t="shared" si="233"/>
        <v>60.058293127068481</v>
      </c>
      <c r="E782" s="20">
        <f t="shared" si="234"/>
        <v>-3.3689390878960701</v>
      </c>
      <c r="F782" s="20">
        <f t="shared" si="235"/>
        <v>6.1805532004415591</v>
      </c>
      <c r="G782" s="20">
        <f t="shared" si="236"/>
        <v>6.1805532004415591</v>
      </c>
      <c r="H782" s="20">
        <f t="shared" si="237"/>
        <v>6.1805532004415591</v>
      </c>
      <c r="I782" s="17"/>
      <c r="J782" s="20">
        <f t="shared" si="238"/>
        <v>56.032363680402113</v>
      </c>
      <c r="K782" s="20">
        <f t="shared" si="239"/>
        <v>3.329867208941871E-2</v>
      </c>
      <c r="L782" s="20">
        <f t="shared" si="240"/>
        <v>4.6448040205510788</v>
      </c>
      <c r="M782" s="20">
        <f t="shared" si="241"/>
        <v>4.6448040205510788</v>
      </c>
      <c r="N782" s="20">
        <f t="shared" si="242"/>
        <v>4.6448040205510788</v>
      </c>
      <c r="O782" s="17"/>
      <c r="P782" s="20">
        <f t="shared" si="243"/>
        <v>5.9404715230255531</v>
      </c>
      <c r="Q782" s="20">
        <f t="shared" si="244"/>
        <v>9.0508193814639064</v>
      </c>
      <c r="R782" s="20">
        <f t="shared" si="245"/>
        <v>0</v>
      </c>
      <c r="S782" s="20">
        <f t="shared" si="246"/>
        <v>0</v>
      </c>
      <c r="T782" s="20">
        <f t="shared" si="247"/>
        <v>0</v>
      </c>
      <c r="U782" s="17"/>
      <c r="V782" s="20">
        <f t="shared" si="248"/>
        <v>14.99129090448946</v>
      </c>
      <c r="W782" s="17"/>
      <c r="X782" s="20">
        <f t="shared" si="249"/>
        <v>35.468943909919503</v>
      </c>
      <c r="Y782" s="20">
        <f t="shared" si="250"/>
        <v>5.9555809044894605</v>
      </c>
      <c r="Z782" s="20"/>
      <c r="AA782" s="20">
        <f t="shared" si="251"/>
        <v>3.8923263155568794E-5</v>
      </c>
    </row>
    <row r="783" spans="2:27" x14ac:dyDescent="0.3">
      <c r="B783" s="28">
        <v>74.5</v>
      </c>
      <c r="C783" s="28">
        <v>11.78571</v>
      </c>
      <c r="D783" s="20">
        <f t="shared" si="233"/>
        <v>60.133471307367138</v>
      </c>
      <c r="E783" s="20">
        <f t="shared" si="234"/>
        <v>-3.3638924655491111</v>
      </c>
      <c r="F783" s="20">
        <f t="shared" si="235"/>
        <v>6.1916643115526702</v>
      </c>
      <c r="G783" s="20">
        <f t="shared" si="236"/>
        <v>6.1916643115526702</v>
      </c>
      <c r="H783" s="20">
        <f t="shared" si="237"/>
        <v>6.1916643115526702</v>
      </c>
      <c r="I783" s="17"/>
      <c r="J783" s="20">
        <f t="shared" si="238"/>
        <v>56.106224546510234</v>
      </c>
      <c r="K783" s="20">
        <f t="shared" si="239"/>
        <v>3.3461687444724136E-2</v>
      </c>
      <c r="L783" s="20">
        <f t="shared" si="240"/>
        <v>4.6539483456492388</v>
      </c>
      <c r="M783" s="20">
        <f t="shared" si="241"/>
        <v>4.6539483456492388</v>
      </c>
      <c r="N783" s="20">
        <f t="shared" si="242"/>
        <v>4.6539483456492388</v>
      </c>
      <c r="O783" s="17"/>
      <c r="P783" s="20">
        <f t="shared" si="243"/>
        <v>5.9249779502895024</v>
      </c>
      <c r="Q783" s="20">
        <f t="shared" si="244"/>
        <v>9.0053057946221031</v>
      </c>
      <c r="R783" s="20">
        <f t="shared" si="245"/>
        <v>0</v>
      </c>
      <c r="S783" s="20">
        <f t="shared" si="246"/>
        <v>0</v>
      </c>
      <c r="T783" s="20">
        <f t="shared" si="247"/>
        <v>0</v>
      </c>
      <c r="U783" s="17"/>
      <c r="V783" s="20">
        <f t="shared" si="248"/>
        <v>14.930283744911605</v>
      </c>
      <c r="W783" s="17"/>
      <c r="X783" s="20">
        <f t="shared" si="249"/>
        <v>9.8883440371873998</v>
      </c>
      <c r="Y783" s="20">
        <f t="shared" si="250"/>
        <v>3.1445737449116056</v>
      </c>
      <c r="Z783" s="20"/>
      <c r="AA783" s="20">
        <f t="shared" si="251"/>
        <v>2.0551659585888762E-5</v>
      </c>
    </row>
    <row r="784" spans="2:27" x14ac:dyDescent="0.3">
      <c r="B784" s="28">
        <v>74.599999999999994</v>
      </c>
      <c r="C784" s="28">
        <v>15.78571</v>
      </c>
      <c r="D784" s="20">
        <f t="shared" si="233"/>
        <v>60.208649487665788</v>
      </c>
      <c r="E784" s="20">
        <f t="shared" si="234"/>
        <v>-3.3588458432021526</v>
      </c>
      <c r="F784" s="20">
        <f t="shared" si="235"/>
        <v>6.2027754226637795</v>
      </c>
      <c r="G784" s="20">
        <f t="shared" si="236"/>
        <v>6.2027754226637795</v>
      </c>
      <c r="H784" s="20">
        <f t="shared" si="237"/>
        <v>6.2027754226637795</v>
      </c>
      <c r="I784" s="17"/>
      <c r="J784" s="20">
        <f t="shared" si="238"/>
        <v>56.180087115343973</v>
      </c>
      <c r="K784" s="20">
        <f t="shared" si="239"/>
        <v>3.3625474888211902E-2</v>
      </c>
      <c r="L784" s="20">
        <f t="shared" si="240"/>
        <v>4.663095849680877</v>
      </c>
      <c r="M784" s="20">
        <f t="shared" si="241"/>
        <v>4.663095849680877</v>
      </c>
      <c r="N784" s="20">
        <f t="shared" si="242"/>
        <v>4.663095849680877</v>
      </c>
      <c r="O784" s="17"/>
      <c r="P784" s="20">
        <f t="shared" si="243"/>
        <v>5.9095445591626588</v>
      </c>
      <c r="Q784" s="20">
        <f t="shared" si="244"/>
        <v>8.9600215285869762</v>
      </c>
      <c r="R784" s="20">
        <f t="shared" si="245"/>
        <v>0</v>
      </c>
      <c r="S784" s="20">
        <f t="shared" si="246"/>
        <v>0</v>
      </c>
      <c r="T784" s="20">
        <f t="shared" si="247"/>
        <v>0</v>
      </c>
      <c r="U784" s="17"/>
      <c r="V784" s="20">
        <f t="shared" si="248"/>
        <v>14.869566087749636</v>
      </c>
      <c r="W784" s="17"/>
      <c r="X784" s="20">
        <f t="shared" si="249"/>
        <v>0.83931966795340274</v>
      </c>
      <c r="Y784" s="20">
        <f t="shared" si="250"/>
        <v>0.91614391225036407</v>
      </c>
      <c r="Z784" s="20"/>
      <c r="AA784" s="20">
        <f t="shared" si="251"/>
        <v>5.9875453220713368E-6</v>
      </c>
    </row>
    <row r="785" spans="2:27" x14ac:dyDescent="0.3">
      <c r="B785" s="28">
        <v>74.7</v>
      </c>
      <c r="C785" s="28">
        <v>16.285710000000002</v>
      </c>
      <c r="D785" s="20">
        <f t="shared" si="233"/>
        <v>60.283827667964459</v>
      </c>
      <c r="E785" s="20">
        <f t="shared" si="234"/>
        <v>-3.3537992208551928</v>
      </c>
      <c r="F785" s="20">
        <f t="shared" si="235"/>
        <v>6.2138865337748923</v>
      </c>
      <c r="G785" s="20">
        <f t="shared" si="236"/>
        <v>6.2138865337748923</v>
      </c>
      <c r="H785" s="20">
        <f t="shared" si="237"/>
        <v>6.2138865337748923</v>
      </c>
      <c r="I785" s="17"/>
      <c r="J785" s="20">
        <f t="shared" si="238"/>
        <v>56.253951382546298</v>
      </c>
      <c r="K785" s="20">
        <f t="shared" si="239"/>
        <v>3.3790037830306319E-2</v>
      </c>
      <c r="L785" s="20">
        <f t="shared" si="240"/>
        <v>4.6722465234843069</v>
      </c>
      <c r="M785" s="20">
        <f t="shared" si="241"/>
        <v>4.6722465234843069</v>
      </c>
      <c r="N785" s="20">
        <f t="shared" si="242"/>
        <v>4.6722465234843069</v>
      </c>
      <c r="O785" s="17"/>
      <c r="P785" s="20">
        <f t="shared" si="243"/>
        <v>5.8941710397333233</v>
      </c>
      <c r="Q785" s="20">
        <f t="shared" si="244"/>
        <v>8.9149654297632761</v>
      </c>
      <c r="R785" s="20">
        <f t="shared" si="245"/>
        <v>0</v>
      </c>
      <c r="S785" s="20">
        <f t="shared" si="246"/>
        <v>0</v>
      </c>
      <c r="T785" s="20">
        <f t="shared" si="247"/>
        <v>0</v>
      </c>
      <c r="U785" s="17"/>
      <c r="V785" s="20">
        <f t="shared" si="248"/>
        <v>14.8091364694966</v>
      </c>
      <c r="W785" s="17"/>
      <c r="X785" s="20">
        <f t="shared" si="249"/>
        <v>2.1802693909832791</v>
      </c>
      <c r="Y785" s="20">
        <f t="shared" si="250"/>
        <v>1.4765735305034013</v>
      </c>
      <c r="Z785" s="20"/>
      <c r="AA785" s="20">
        <f t="shared" si="251"/>
        <v>9.6502861799772724E-6</v>
      </c>
    </row>
    <row r="786" spans="2:27" x14ac:dyDescent="0.3">
      <c r="B786" s="28">
        <v>74.8</v>
      </c>
      <c r="C786" s="28">
        <v>16.285710000000002</v>
      </c>
      <c r="D786" s="20">
        <f t="shared" si="233"/>
        <v>60.359005848263116</v>
      </c>
      <c r="E786" s="20">
        <f t="shared" si="234"/>
        <v>-3.3487525985082338</v>
      </c>
      <c r="F786" s="20">
        <f t="shared" si="235"/>
        <v>6.2249976448860034</v>
      </c>
      <c r="G786" s="20">
        <f t="shared" si="236"/>
        <v>6.2249976448860034</v>
      </c>
      <c r="H786" s="20">
        <f t="shared" si="237"/>
        <v>6.2249976448860034</v>
      </c>
      <c r="I786" s="17"/>
      <c r="J786" s="20">
        <f t="shared" si="238"/>
        <v>56.327817343776708</v>
      </c>
      <c r="K786" s="20">
        <f t="shared" si="239"/>
        <v>3.395537969419761E-2</v>
      </c>
      <c r="L786" s="20">
        <f t="shared" si="240"/>
        <v>4.6814003579336605</v>
      </c>
      <c r="M786" s="20">
        <f t="shared" si="241"/>
        <v>4.6814003579336605</v>
      </c>
      <c r="N786" s="20">
        <f t="shared" si="242"/>
        <v>4.6814003579336605</v>
      </c>
      <c r="O786" s="17"/>
      <c r="P786" s="20">
        <f t="shared" si="243"/>
        <v>5.8788570840750998</v>
      </c>
      <c r="Q786" s="20">
        <f t="shared" si="244"/>
        <v>8.870136350364513</v>
      </c>
      <c r="R786" s="20">
        <f t="shared" si="245"/>
        <v>0</v>
      </c>
      <c r="S786" s="20">
        <f t="shared" si="246"/>
        <v>0</v>
      </c>
      <c r="T786" s="20">
        <f t="shared" si="247"/>
        <v>0</v>
      </c>
      <c r="U786" s="17"/>
      <c r="V786" s="20">
        <f t="shared" si="248"/>
        <v>14.748993434439612</v>
      </c>
      <c r="W786" s="17"/>
      <c r="X786" s="20">
        <f t="shared" si="249"/>
        <v>2.3614978028677198</v>
      </c>
      <c r="Y786" s="20">
        <f t="shared" si="250"/>
        <v>1.5367165655603898</v>
      </c>
      <c r="Z786" s="20"/>
      <c r="AA786" s="20">
        <f t="shared" si="251"/>
        <v>1.0043356682761154E-5</v>
      </c>
    </row>
    <row r="787" spans="2:27" x14ac:dyDescent="0.3">
      <c r="B787" s="28">
        <v>74.900000000000006</v>
      </c>
      <c r="C787" s="28">
        <v>10.78571</v>
      </c>
      <c r="D787" s="20">
        <f t="shared" si="233"/>
        <v>60.434184028561781</v>
      </c>
      <c r="E787" s="20">
        <f t="shared" si="234"/>
        <v>-3.343705976161274</v>
      </c>
      <c r="F787" s="20">
        <f t="shared" si="235"/>
        <v>6.2361087559971145</v>
      </c>
      <c r="G787" s="20">
        <f t="shared" si="236"/>
        <v>6.2361087559971145</v>
      </c>
      <c r="H787" s="20">
        <f t="shared" si="237"/>
        <v>6.2361087559971145</v>
      </c>
      <c r="I787" s="17"/>
      <c r="J787" s="20">
        <f t="shared" si="238"/>
        <v>56.401684994711289</v>
      </c>
      <c r="K787" s="20">
        <f t="shared" si="239"/>
        <v>3.4121503915868594E-2</v>
      </c>
      <c r="L787" s="20">
        <f t="shared" si="240"/>
        <v>4.6905573439387327</v>
      </c>
      <c r="M787" s="20">
        <f t="shared" si="241"/>
        <v>4.6905573439387327</v>
      </c>
      <c r="N787" s="20">
        <f t="shared" si="242"/>
        <v>4.6905573439387327</v>
      </c>
      <c r="O787" s="17"/>
      <c r="P787" s="20">
        <f t="shared" si="243"/>
        <v>5.8636023862316655</v>
      </c>
      <c r="Q787" s="20">
        <f t="shared" si="244"/>
        <v>8.8255331483836432</v>
      </c>
      <c r="R787" s="20">
        <f t="shared" si="245"/>
        <v>0</v>
      </c>
      <c r="S787" s="20">
        <f t="shared" si="246"/>
        <v>0</v>
      </c>
      <c r="T787" s="20">
        <f t="shared" si="247"/>
        <v>0</v>
      </c>
      <c r="U787" s="17"/>
      <c r="V787" s="20">
        <f t="shared" si="248"/>
        <v>14.689135534615309</v>
      </c>
      <c r="W787" s="17"/>
      <c r="X787" s="20">
        <f t="shared" si="249"/>
        <v>15.23673090428681</v>
      </c>
      <c r="Y787" s="20">
        <f t="shared" si="250"/>
        <v>3.9034255346153088</v>
      </c>
      <c r="Z787" s="20"/>
      <c r="AA787" s="20">
        <f t="shared" si="251"/>
        <v>2.5511207341246413E-5</v>
      </c>
    </row>
    <row r="788" spans="2:27" x14ac:dyDescent="0.3">
      <c r="B788" s="28">
        <v>75</v>
      </c>
      <c r="C788" s="28">
        <v>19.285710000000002</v>
      </c>
      <c r="D788" s="20">
        <f t="shared" si="233"/>
        <v>60.509362208860438</v>
      </c>
      <c r="E788" s="20">
        <f t="shared" si="234"/>
        <v>-3.3386593538143154</v>
      </c>
      <c r="F788" s="20">
        <f t="shared" si="235"/>
        <v>6.2472198671082255</v>
      </c>
      <c r="G788" s="20">
        <f t="shared" si="236"/>
        <v>6.2472198671082255</v>
      </c>
      <c r="H788" s="20">
        <f t="shared" si="237"/>
        <v>6.2472198671082255</v>
      </c>
      <c r="I788" s="17"/>
      <c r="J788" s="20">
        <f t="shared" si="238"/>
        <v>56.475554331042503</v>
      </c>
      <c r="K788" s="20">
        <f t="shared" si="239"/>
        <v>3.4288413944120806E-2</v>
      </c>
      <c r="L788" s="20">
        <f t="shared" si="240"/>
        <v>4.699717472444811</v>
      </c>
      <c r="M788" s="20">
        <f t="shared" si="241"/>
        <v>4.699717472444811</v>
      </c>
      <c r="N788" s="20">
        <f t="shared" si="242"/>
        <v>4.699717472444811</v>
      </c>
      <c r="O788" s="17"/>
      <c r="P788" s="20">
        <f t="shared" si="243"/>
        <v>5.8484066422017458</v>
      </c>
      <c r="Q788" s="20">
        <f t="shared" si="244"/>
        <v>8.7811546875640332</v>
      </c>
      <c r="R788" s="20">
        <f t="shared" si="245"/>
        <v>0</v>
      </c>
      <c r="S788" s="20">
        <f t="shared" si="246"/>
        <v>0</v>
      </c>
      <c r="T788" s="20">
        <f t="shared" si="247"/>
        <v>0</v>
      </c>
      <c r="U788" s="17"/>
      <c r="V788" s="20">
        <f t="shared" si="248"/>
        <v>14.629561329765778</v>
      </c>
      <c r="W788" s="17"/>
      <c r="X788" s="20">
        <f t="shared" si="249"/>
        <v>21.67972043932393</v>
      </c>
      <c r="Y788" s="20">
        <f t="shared" si="250"/>
        <v>4.6561486702342236</v>
      </c>
      <c r="Z788" s="20"/>
      <c r="AA788" s="20">
        <f t="shared" si="251"/>
        <v>3.0430700697283949E-5</v>
      </c>
    </row>
    <row r="789" spans="2:27" x14ac:dyDescent="0.3">
      <c r="D789" s="20"/>
      <c r="E789" s="20"/>
      <c r="F789" s="20"/>
      <c r="G789" s="20"/>
      <c r="H789" s="20"/>
      <c r="I789" s="17"/>
      <c r="J789" s="20"/>
      <c r="K789" s="20"/>
      <c r="L789" s="20"/>
      <c r="M789" s="20"/>
      <c r="N789" s="20"/>
      <c r="O789" s="17"/>
      <c r="P789" s="20"/>
      <c r="Q789" s="20"/>
      <c r="R789" s="20"/>
      <c r="S789" s="20"/>
      <c r="T789" s="20"/>
      <c r="U789" s="17"/>
      <c r="V789" s="20"/>
      <c r="W789" s="17"/>
      <c r="X789" s="20"/>
      <c r="Y789" s="20"/>
      <c r="Z789" s="20"/>
      <c r="AA789" s="20"/>
    </row>
    <row r="790" spans="2:27" x14ac:dyDescent="0.3">
      <c r="D790" s="20"/>
      <c r="E790" s="20"/>
      <c r="F790" s="20"/>
      <c r="G790" s="20"/>
      <c r="H790" s="20"/>
      <c r="I790" s="17"/>
      <c r="J790" s="20"/>
      <c r="K790" s="20"/>
      <c r="L790" s="20"/>
      <c r="M790" s="20"/>
      <c r="N790" s="20"/>
      <c r="O790" s="17"/>
      <c r="P790" s="20"/>
      <c r="Q790" s="20"/>
      <c r="R790" s="20"/>
      <c r="S790" s="20"/>
      <c r="T790" s="20"/>
      <c r="U790" s="17"/>
      <c r="V790" s="20"/>
      <c r="W790" s="17"/>
      <c r="X790" s="20"/>
      <c r="Y790" s="20"/>
      <c r="Z790" s="20"/>
      <c r="AA790" s="20"/>
    </row>
    <row r="791" spans="2:27" x14ac:dyDescent="0.3">
      <c r="D791" s="20"/>
      <c r="E791" s="20"/>
      <c r="F791" s="20"/>
      <c r="G791" s="20"/>
      <c r="H791" s="20"/>
      <c r="I791" s="17"/>
      <c r="J791" s="20"/>
      <c r="K791" s="20"/>
      <c r="L791" s="20"/>
      <c r="M791" s="20"/>
      <c r="N791" s="20"/>
      <c r="O791" s="17"/>
      <c r="P791" s="20"/>
      <c r="Q791" s="20"/>
      <c r="R791" s="20"/>
      <c r="S791" s="20"/>
      <c r="T791" s="20"/>
      <c r="U791" s="17"/>
      <c r="V791" s="20"/>
      <c r="W791" s="17"/>
      <c r="X791" s="20"/>
      <c r="Y791" s="20"/>
      <c r="Z791" s="20"/>
      <c r="AA791" s="20"/>
    </row>
    <row r="792" spans="2:27" x14ac:dyDescent="0.3">
      <c r="D792" s="20"/>
      <c r="E792" s="20"/>
      <c r="F792" s="20"/>
      <c r="G792" s="20"/>
      <c r="H792" s="20"/>
      <c r="I792" s="17"/>
      <c r="J792" s="20"/>
      <c r="K792" s="20"/>
      <c r="L792" s="20"/>
      <c r="M792" s="20"/>
      <c r="N792" s="20"/>
      <c r="O792" s="17"/>
      <c r="P792" s="20"/>
      <c r="Q792" s="20"/>
      <c r="R792" s="20"/>
      <c r="S792" s="20"/>
      <c r="T792" s="20"/>
      <c r="U792" s="17"/>
      <c r="V792" s="20"/>
      <c r="W792" s="17"/>
      <c r="X792" s="20"/>
      <c r="Y792" s="20"/>
      <c r="Z792" s="20"/>
      <c r="AA792" s="20"/>
    </row>
    <row r="793" spans="2:27" x14ac:dyDescent="0.3">
      <c r="D793" s="20"/>
      <c r="E793" s="20"/>
      <c r="F793" s="20"/>
      <c r="G793" s="20"/>
      <c r="H793" s="20"/>
      <c r="I793" s="17"/>
      <c r="J793" s="20"/>
      <c r="K793" s="20"/>
      <c r="L793" s="20"/>
      <c r="M793" s="20"/>
      <c r="N793" s="20"/>
      <c r="O793" s="17"/>
      <c r="P793" s="20"/>
      <c r="Q793" s="20"/>
      <c r="R793" s="20"/>
      <c r="S793" s="20"/>
      <c r="T793" s="20"/>
      <c r="U793" s="17"/>
      <c r="V793" s="20"/>
      <c r="W793" s="17"/>
      <c r="X793" s="20"/>
      <c r="Y793" s="20"/>
      <c r="Z793" s="20"/>
      <c r="AA793" s="20"/>
    </row>
    <row r="794" spans="2:27" x14ac:dyDescent="0.3">
      <c r="D794" s="20"/>
      <c r="E794" s="20"/>
      <c r="F794" s="20"/>
      <c r="G794" s="20"/>
      <c r="H794" s="20"/>
      <c r="I794" s="17"/>
      <c r="J794" s="20"/>
      <c r="K794" s="20"/>
      <c r="L794" s="20"/>
      <c r="M794" s="20"/>
      <c r="N794" s="20"/>
      <c r="O794" s="17"/>
      <c r="P794" s="20"/>
      <c r="Q794" s="20"/>
      <c r="R794" s="20"/>
      <c r="S794" s="20"/>
      <c r="T794" s="20"/>
      <c r="U794" s="17"/>
      <c r="V794" s="20"/>
      <c r="W794" s="17"/>
      <c r="X794" s="20"/>
      <c r="Y794" s="20"/>
      <c r="Z794" s="20"/>
      <c r="AA794" s="20"/>
    </row>
    <row r="795" spans="2:27" x14ac:dyDescent="0.3">
      <c r="D795" s="20"/>
      <c r="E795" s="20"/>
      <c r="F795" s="20"/>
      <c r="G795" s="20"/>
      <c r="H795" s="20"/>
      <c r="I795" s="17"/>
      <c r="J795" s="20"/>
      <c r="K795" s="20"/>
      <c r="L795" s="20"/>
      <c r="M795" s="20"/>
      <c r="N795" s="20"/>
      <c r="O795" s="17"/>
      <c r="P795" s="20"/>
      <c r="Q795" s="20"/>
      <c r="R795" s="20"/>
      <c r="S795" s="20"/>
      <c r="T795" s="20"/>
      <c r="U795" s="17"/>
      <c r="V795" s="20"/>
      <c r="W795" s="17"/>
      <c r="X795" s="20"/>
      <c r="Y795" s="20"/>
      <c r="Z795" s="20"/>
      <c r="AA795" s="20"/>
    </row>
    <row r="796" spans="2:27" x14ac:dyDescent="0.3">
      <c r="D796" s="20"/>
      <c r="E796" s="20"/>
      <c r="F796" s="20"/>
      <c r="G796" s="20"/>
      <c r="H796" s="20"/>
      <c r="I796" s="17"/>
      <c r="J796" s="20"/>
      <c r="K796" s="20"/>
      <c r="L796" s="20"/>
      <c r="M796" s="20"/>
      <c r="N796" s="20"/>
      <c r="O796" s="17"/>
      <c r="P796" s="20"/>
      <c r="Q796" s="20"/>
      <c r="R796" s="20"/>
      <c r="S796" s="20"/>
      <c r="T796" s="20"/>
      <c r="U796" s="17"/>
      <c r="V796" s="20"/>
      <c r="W796" s="17"/>
      <c r="X796" s="20"/>
      <c r="Y796" s="20"/>
      <c r="Z796" s="20"/>
      <c r="AA796" s="20"/>
    </row>
    <row r="797" spans="2:27" x14ac:dyDescent="0.3">
      <c r="D797" s="20"/>
      <c r="E797" s="20"/>
      <c r="F797" s="20"/>
      <c r="G797" s="20"/>
      <c r="H797" s="20"/>
      <c r="I797" s="17"/>
      <c r="J797" s="20"/>
      <c r="K797" s="20"/>
      <c r="L797" s="20"/>
      <c r="M797" s="20"/>
      <c r="N797" s="20"/>
      <c r="O797" s="17"/>
      <c r="P797" s="20"/>
      <c r="Q797" s="20"/>
      <c r="R797" s="20"/>
      <c r="S797" s="20"/>
      <c r="T797" s="20"/>
      <c r="U797" s="17"/>
      <c r="V797" s="20"/>
      <c r="W797" s="17"/>
      <c r="X797" s="20"/>
      <c r="Y797" s="20"/>
      <c r="Z797" s="20"/>
      <c r="AA797" s="20"/>
    </row>
    <row r="798" spans="2:27" x14ac:dyDescent="0.3">
      <c r="D798" s="20"/>
      <c r="E798" s="20"/>
      <c r="F798" s="20"/>
      <c r="G798" s="20"/>
      <c r="H798" s="20"/>
      <c r="I798" s="17"/>
      <c r="J798" s="20"/>
      <c r="K798" s="20"/>
      <c r="L798" s="20"/>
      <c r="M798" s="20"/>
      <c r="N798" s="20"/>
      <c r="O798" s="17"/>
      <c r="P798" s="20"/>
      <c r="Q798" s="20"/>
      <c r="R798" s="20"/>
      <c r="S798" s="20"/>
      <c r="T798" s="20"/>
      <c r="U798" s="17"/>
      <c r="V798" s="20"/>
      <c r="W798" s="17"/>
      <c r="X798" s="20"/>
      <c r="Y798" s="20"/>
      <c r="Z798" s="20"/>
      <c r="AA798" s="20"/>
    </row>
    <row r="799" spans="2:27" x14ac:dyDescent="0.3">
      <c r="D799" s="20"/>
      <c r="E799" s="20"/>
      <c r="F799" s="20"/>
      <c r="G799" s="20"/>
      <c r="H799" s="20"/>
      <c r="I799" s="17"/>
      <c r="J799" s="20"/>
      <c r="K799" s="20"/>
      <c r="L799" s="20"/>
      <c r="M799" s="20"/>
      <c r="N799" s="20"/>
      <c r="O799" s="17"/>
      <c r="P799" s="20"/>
      <c r="Q799" s="20"/>
      <c r="R799" s="20"/>
      <c r="S799" s="20"/>
      <c r="T799" s="20"/>
      <c r="U799" s="17"/>
      <c r="V799" s="20"/>
      <c r="W799" s="17"/>
      <c r="X799" s="20"/>
      <c r="Y799" s="20"/>
      <c r="Z799" s="20"/>
      <c r="AA799" s="20"/>
    </row>
    <row r="800" spans="2:27" x14ac:dyDescent="0.3">
      <c r="D800" s="20"/>
      <c r="E800" s="20"/>
      <c r="F800" s="20"/>
      <c r="G800" s="20"/>
      <c r="H800" s="20"/>
      <c r="I800" s="17"/>
      <c r="J800" s="20"/>
      <c r="K800" s="20"/>
      <c r="L800" s="20"/>
      <c r="M800" s="20"/>
      <c r="N800" s="20"/>
      <c r="O800" s="17"/>
      <c r="P800" s="20"/>
      <c r="Q800" s="20"/>
      <c r="R800" s="20"/>
      <c r="S800" s="20"/>
      <c r="T800" s="20"/>
      <c r="U800" s="17"/>
      <c r="V800" s="20"/>
      <c r="W800" s="17"/>
      <c r="X800" s="20"/>
      <c r="Y800" s="20"/>
      <c r="Z800" s="20"/>
      <c r="AA800" s="20"/>
    </row>
    <row r="801" spans="4:27" x14ac:dyDescent="0.3">
      <c r="D801" s="20"/>
      <c r="E801" s="20"/>
      <c r="F801" s="20"/>
      <c r="G801" s="20"/>
      <c r="H801" s="20"/>
      <c r="I801" s="17"/>
      <c r="J801" s="20"/>
      <c r="K801" s="20"/>
      <c r="L801" s="20"/>
      <c r="M801" s="20"/>
      <c r="N801" s="20"/>
      <c r="O801" s="17"/>
      <c r="P801" s="20"/>
      <c r="Q801" s="20"/>
      <c r="R801" s="20"/>
      <c r="S801" s="20"/>
      <c r="T801" s="20"/>
      <c r="U801" s="17"/>
      <c r="V801" s="20"/>
      <c r="W801" s="17"/>
      <c r="X801" s="20"/>
      <c r="Y801" s="20"/>
      <c r="Z801" s="20"/>
      <c r="AA801" s="20"/>
    </row>
    <row r="802" spans="4:27" x14ac:dyDescent="0.3">
      <c r="D802" s="20"/>
      <c r="E802" s="20"/>
      <c r="F802" s="20"/>
      <c r="G802" s="20"/>
      <c r="H802" s="20"/>
      <c r="I802" s="17"/>
      <c r="J802" s="20"/>
      <c r="K802" s="20"/>
      <c r="L802" s="20"/>
      <c r="M802" s="20"/>
      <c r="N802" s="20"/>
      <c r="O802" s="17"/>
      <c r="P802" s="20"/>
      <c r="Q802" s="20"/>
      <c r="R802" s="20"/>
      <c r="S802" s="20"/>
      <c r="T802" s="20"/>
      <c r="U802" s="17"/>
      <c r="V802" s="20"/>
      <c r="W802" s="17"/>
      <c r="X802" s="20"/>
      <c r="Y802" s="20"/>
      <c r="Z802" s="20"/>
      <c r="AA802" s="20"/>
    </row>
    <row r="803" spans="4:27" x14ac:dyDescent="0.3">
      <c r="D803" s="20"/>
      <c r="E803" s="20"/>
      <c r="F803" s="20"/>
      <c r="G803" s="20"/>
      <c r="H803" s="20"/>
      <c r="I803" s="17"/>
      <c r="J803" s="20"/>
      <c r="K803" s="20"/>
      <c r="L803" s="20"/>
      <c r="M803" s="20"/>
      <c r="N803" s="20"/>
      <c r="O803" s="17"/>
      <c r="P803" s="20"/>
      <c r="Q803" s="20"/>
      <c r="R803" s="20"/>
      <c r="S803" s="20"/>
      <c r="T803" s="20"/>
      <c r="U803" s="17"/>
      <c r="V803" s="20"/>
      <c r="W803" s="17"/>
      <c r="X803" s="20"/>
      <c r="Y803" s="20"/>
      <c r="Z803" s="20"/>
      <c r="AA803" s="20"/>
    </row>
    <row r="804" spans="4:27" x14ac:dyDescent="0.3">
      <c r="D804" s="20"/>
      <c r="E804" s="20"/>
      <c r="F804" s="20"/>
      <c r="G804" s="20"/>
      <c r="H804" s="20"/>
      <c r="I804" s="17"/>
      <c r="J804" s="20"/>
      <c r="K804" s="20"/>
      <c r="L804" s="20"/>
      <c r="M804" s="20"/>
      <c r="N804" s="20"/>
      <c r="O804" s="17"/>
      <c r="P804" s="20"/>
      <c r="Q804" s="20"/>
      <c r="R804" s="20"/>
      <c r="S804" s="20"/>
      <c r="T804" s="20"/>
      <c r="U804" s="17"/>
      <c r="V804" s="20"/>
      <c r="W804" s="17"/>
      <c r="X804" s="20"/>
      <c r="Y804" s="20"/>
      <c r="Z804" s="20"/>
      <c r="AA804" s="20"/>
    </row>
    <row r="805" spans="4:27" x14ac:dyDescent="0.3">
      <c r="D805" s="20"/>
      <c r="E805" s="20"/>
      <c r="F805" s="20"/>
      <c r="G805" s="20"/>
      <c r="H805" s="20"/>
      <c r="I805" s="17"/>
      <c r="J805" s="20"/>
      <c r="K805" s="20"/>
      <c r="L805" s="20"/>
      <c r="M805" s="20"/>
      <c r="N805" s="20"/>
      <c r="O805" s="17"/>
      <c r="P805" s="20"/>
      <c r="Q805" s="20"/>
      <c r="R805" s="20"/>
      <c r="S805" s="20"/>
      <c r="T805" s="20"/>
      <c r="U805" s="17"/>
      <c r="V805" s="20"/>
      <c r="W805" s="17"/>
      <c r="X805" s="20"/>
      <c r="Y805" s="20"/>
      <c r="Z805" s="20"/>
      <c r="AA805" s="20"/>
    </row>
    <row r="806" spans="4:27" x14ac:dyDescent="0.3">
      <c r="D806" s="20"/>
      <c r="E806" s="20"/>
      <c r="F806" s="20"/>
      <c r="G806" s="20"/>
      <c r="H806" s="20"/>
      <c r="I806" s="17"/>
      <c r="J806" s="20"/>
      <c r="K806" s="20"/>
      <c r="L806" s="20"/>
      <c r="M806" s="20"/>
      <c r="N806" s="20"/>
      <c r="O806" s="17"/>
      <c r="P806" s="20"/>
      <c r="Q806" s="20"/>
      <c r="R806" s="20"/>
      <c r="S806" s="20"/>
      <c r="T806" s="20"/>
      <c r="U806" s="17"/>
      <c r="V806" s="20"/>
      <c r="W806" s="17"/>
      <c r="X806" s="20"/>
      <c r="Y806" s="20"/>
      <c r="Z806" s="20"/>
      <c r="AA806" s="20"/>
    </row>
    <row r="807" spans="4:27" x14ac:dyDescent="0.3">
      <c r="D807" s="20"/>
      <c r="E807" s="20"/>
      <c r="F807" s="20"/>
      <c r="G807" s="20"/>
      <c r="H807" s="20"/>
      <c r="I807" s="17"/>
      <c r="J807" s="20"/>
      <c r="K807" s="20"/>
      <c r="L807" s="20"/>
      <c r="M807" s="20"/>
      <c r="N807" s="20"/>
      <c r="O807" s="17"/>
      <c r="P807" s="20"/>
      <c r="Q807" s="20"/>
      <c r="R807" s="20"/>
      <c r="S807" s="20"/>
      <c r="T807" s="20"/>
      <c r="U807" s="17"/>
      <c r="V807" s="20"/>
      <c r="W807" s="17"/>
      <c r="X807" s="20"/>
      <c r="Y807" s="20"/>
      <c r="Z807" s="20"/>
      <c r="AA807" s="20"/>
    </row>
    <row r="808" spans="4:27" x14ac:dyDescent="0.3">
      <c r="D808" s="20"/>
      <c r="E808" s="20"/>
      <c r="F808" s="20"/>
      <c r="G808" s="20"/>
      <c r="H808" s="20"/>
      <c r="I808" s="17"/>
      <c r="J808" s="20"/>
      <c r="K808" s="20"/>
      <c r="L808" s="20"/>
      <c r="M808" s="20"/>
      <c r="N808" s="20"/>
      <c r="O808" s="17"/>
      <c r="P808" s="20"/>
      <c r="Q808" s="20"/>
      <c r="R808" s="20"/>
      <c r="S808" s="20"/>
      <c r="T808" s="20"/>
      <c r="U808" s="17"/>
      <c r="V808" s="20"/>
      <c r="W808" s="17"/>
      <c r="X808" s="20"/>
      <c r="Y808" s="20"/>
      <c r="Z808" s="20"/>
      <c r="AA808" s="20"/>
    </row>
    <row r="809" spans="4:27" x14ac:dyDescent="0.3">
      <c r="D809" s="20"/>
      <c r="E809" s="20"/>
      <c r="F809" s="20"/>
      <c r="G809" s="20"/>
      <c r="H809" s="20"/>
      <c r="I809" s="17"/>
      <c r="J809" s="20"/>
      <c r="K809" s="20"/>
      <c r="L809" s="20"/>
      <c r="M809" s="20"/>
      <c r="N809" s="20"/>
      <c r="O809" s="17"/>
      <c r="P809" s="20"/>
      <c r="Q809" s="20"/>
      <c r="R809" s="20"/>
      <c r="S809" s="20"/>
      <c r="T809" s="20"/>
      <c r="U809" s="17"/>
      <c r="V809" s="20"/>
      <c r="W809" s="17"/>
      <c r="X809" s="20"/>
      <c r="Y809" s="20"/>
      <c r="Z809" s="20"/>
      <c r="AA809" s="20"/>
    </row>
    <row r="810" spans="4:27" x14ac:dyDescent="0.3">
      <c r="D810" s="20"/>
      <c r="E810" s="20"/>
      <c r="F810" s="20"/>
      <c r="G810" s="20"/>
      <c r="H810" s="20"/>
      <c r="I810" s="17"/>
      <c r="J810" s="20"/>
      <c r="K810" s="20"/>
      <c r="L810" s="20"/>
      <c r="M810" s="20"/>
      <c r="N810" s="20"/>
      <c r="O810" s="17"/>
      <c r="P810" s="20"/>
      <c r="Q810" s="20"/>
      <c r="R810" s="20"/>
      <c r="S810" s="20"/>
      <c r="T810" s="20"/>
      <c r="U810" s="17"/>
      <c r="V810" s="20"/>
      <c r="W810" s="17"/>
      <c r="X810" s="20"/>
      <c r="Y810" s="20"/>
      <c r="Z810" s="20"/>
      <c r="AA810" s="20"/>
    </row>
    <row r="811" spans="4:27" x14ac:dyDescent="0.3">
      <c r="D811" s="20"/>
      <c r="E811" s="20"/>
      <c r="F811" s="20"/>
      <c r="G811" s="20"/>
      <c r="H811" s="20"/>
      <c r="I811" s="17"/>
      <c r="J811" s="20"/>
      <c r="K811" s="20"/>
      <c r="L811" s="20"/>
      <c r="M811" s="20"/>
      <c r="N811" s="20"/>
      <c r="O811" s="17"/>
      <c r="P811" s="20"/>
      <c r="Q811" s="20"/>
      <c r="R811" s="20"/>
      <c r="S811" s="20"/>
      <c r="T811" s="20"/>
      <c r="U811" s="17"/>
      <c r="V811" s="20"/>
      <c r="W811" s="17"/>
      <c r="X811" s="20"/>
      <c r="Y811" s="20"/>
      <c r="Z811" s="20"/>
      <c r="AA811" s="20"/>
    </row>
    <row r="812" spans="4:27" x14ac:dyDescent="0.3">
      <c r="D812" s="20"/>
      <c r="E812" s="20"/>
      <c r="F812" s="20"/>
      <c r="G812" s="20"/>
      <c r="H812" s="20"/>
      <c r="I812" s="17"/>
      <c r="J812" s="20"/>
      <c r="K812" s="20"/>
      <c r="L812" s="20"/>
      <c r="M812" s="20"/>
      <c r="N812" s="20"/>
      <c r="O812" s="17"/>
      <c r="P812" s="20"/>
      <c r="Q812" s="20"/>
      <c r="R812" s="20"/>
      <c r="S812" s="20"/>
      <c r="T812" s="20"/>
      <c r="U812" s="17"/>
      <c r="V812" s="20"/>
      <c r="W812" s="17"/>
      <c r="X812" s="20"/>
      <c r="Y812" s="20"/>
      <c r="Z812" s="20"/>
      <c r="AA812" s="20"/>
    </row>
    <row r="813" spans="4:27" x14ac:dyDescent="0.3">
      <c r="D813" s="20"/>
      <c r="E813" s="20"/>
      <c r="F813" s="20"/>
      <c r="G813" s="20"/>
      <c r="H813" s="20"/>
      <c r="I813" s="17"/>
      <c r="J813" s="20"/>
      <c r="K813" s="20"/>
      <c r="L813" s="20"/>
      <c r="M813" s="20"/>
      <c r="N813" s="20"/>
      <c r="O813" s="17"/>
      <c r="P813" s="20"/>
      <c r="Q813" s="20"/>
      <c r="R813" s="20"/>
      <c r="S813" s="20"/>
      <c r="T813" s="20"/>
      <c r="U813" s="17"/>
      <c r="V813" s="20"/>
      <c r="W813" s="17"/>
      <c r="X813" s="20"/>
      <c r="Y813" s="20"/>
      <c r="Z813" s="20"/>
      <c r="AA813" s="20"/>
    </row>
    <row r="814" spans="4:27" x14ac:dyDescent="0.3">
      <c r="D814" s="20"/>
      <c r="E814" s="20"/>
      <c r="F814" s="20"/>
      <c r="G814" s="20"/>
      <c r="H814" s="20"/>
      <c r="I814" s="17"/>
      <c r="J814" s="20"/>
      <c r="K814" s="20"/>
      <c r="L814" s="20"/>
      <c r="M814" s="20"/>
      <c r="N814" s="20"/>
      <c r="O814" s="17"/>
      <c r="P814" s="20"/>
      <c r="Q814" s="20"/>
      <c r="R814" s="20"/>
      <c r="S814" s="20"/>
      <c r="T814" s="20"/>
      <c r="U814" s="17"/>
      <c r="V814" s="20"/>
      <c r="W814" s="17"/>
      <c r="X814" s="20"/>
      <c r="Y814" s="20"/>
      <c r="Z814" s="20"/>
      <c r="AA814" s="20"/>
    </row>
    <row r="815" spans="4:27" x14ac:dyDescent="0.3">
      <c r="D815" s="20"/>
      <c r="E815" s="20"/>
      <c r="F815" s="20"/>
      <c r="G815" s="20"/>
      <c r="H815" s="20"/>
      <c r="I815" s="17"/>
      <c r="J815" s="20"/>
      <c r="K815" s="20"/>
      <c r="L815" s="20"/>
      <c r="M815" s="20"/>
      <c r="N815" s="20"/>
      <c r="O815" s="17"/>
      <c r="P815" s="20"/>
      <c r="Q815" s="20"/>
      <c r="R815" s="20"/>
      <c r="S815" s="20"/>
      <c r="T815" s="20"/>
      <c r="U815" s="17"/>
      <c r="V815" s="20"/>
      <c r="W815" s="17"/>
      <c r="X815" s="20"/>
      <c r="Y815" s="20"/>
      <c r="Z815" s="20"/>
      <c r="AA815" s="20"/>
    </row>
    <row r="816" spans="4:27" x14ac:dyDescent="0.3">
      <c r="D816" s="20"/>
      <c r="E816" s="20"/>
      <c r="F816" s="20"/>
      <c r="G816" s="20"/>
      <c r="H816" s="20"/>
      <c r="I816" s="17"/>
      <c r="J816" s="20"/>
      <c r="K816" s="20"/>
      <c r="L816" s="20"/>
      <c r="M816" s="20"/>
      <c r="N816" s="20"/>
      <c r="O816" s="17"/>
      <c r="P816" s="20"/>
      <c r="Q816" s="20"/>
      <c r="R816" s="20"/>
      <c r="S816" s="20"/>
      <c r="T816" s="20"/>
      <c r="U816" s="17"/>
      <c r="V816" s="20"/>
      <c r="W816" s="17"/>
      <c r="X816" s="20"/>
      <c r="Y816" s="20"/>
      <c r="Z816" s="20"/>
      <c r="AA816" s="20"/>
    </row>
    <row r="817" spans="4:27" x14ac:dyDescent="0.3">
      <c r="D817" s="20"/>
      <c r="E817" s="20"/>
      <c r="F817" s="20"/>
      <c r="G817" s="20"/>
      <c r="H817" s="20"/>
      <c r="I817" s="17"/>
      <c r="J817" s="20"/>
      <c r="K817" s="20"/>
      <c r="L817" s="20"/>
      <c r="M817" s="20"/>
      <c r="N817" s="20"/>
      <c r="O817" s="17"/>
      <c r="P817" s="20"/>
      <c r="Q817" s="20"/>
      <c r="R817" s="20"/>
      <c r="S817" s="20"/>
      <c r="T817" s="20"/>
      <c r="U817" s="17"/>
      <c r="V817" s="20"/>
      <c r="W817" s="17"/>
      <c r="X817" s="20"/>
      <c r="Y817" s="20"/>
      <c r="Z817" s="20"/>
      <c r="AA817" s="20"/>
    </row>
    <row r="818" spans="4:27" x14ac:dyDescent="0.3">
      <c r="D818" s="20"/>
      <c r="E818" s="20"/>
      <c r="F818" s="20"/>
      <c r="G818" s="20"/>
      <c r="H818" s="20"/>
      <c r="I818" s="17"/>
      <c r="J818" s="20"/>
      <c r="K818" s="20"/>
      <c r="L818" s="20"/>
      <c r="M818" s="20"/>
      <c r="N818" s="20"/>
      <c r="O818" s="17"/>
      <c r="P818" s="20"/>
      <c r="Q818" s="20"/>
      <c r="R818" s="20"/>
      <c r="S818" s="20"/>
      <c r="T818" s="20"/>
      <c r="U818" s="17"/>
      <c r="V818" s="20"/>
      <c r="W818" s="17"/>
      <c r="X818" s="20"/>
      <c r="Y818" s="20"/>
      <c r="Z818" s="20"/>
      <c r="AA818" s="20"/>
    </row>
    <row r="819" spans="4:27" x14ac:dyDescent="0.3">
      <c r="D819" s="20"/>
      <c r="E819" s="20"/>
      <c r="F819" s="20"/>
      <c r="G819" s="20"/>
      <c r="H819" s="20"/>
      <c r="I819" s="17"/>
      <c r="J819" s="20"/>
      <c r="K819" s="20"/>
      <c r="L819" s="20"/>
      <c r="M819" s="20"/>
      <c r="N819" s="20"/>
      <c r="O819" s="17"/>
      <c r="P819" s="20"/>
      <c r="Q819" s="20"/>
      <c r="R819" s="20"/>
      <c r="S819" s="20"/>
      <c r="T819" s="20"/>
      <c r="U819" s="17"/>
      <c r="V819" s="20"/>
      <c r="W819" s="17"/>
      <c r="X819" s="20"/>
      <c r="Y819" s="20"/>
      <c r="Z819" s="20"/>
      <c r="AA819" s="20"/>
    </row>
    <row r="820" spans="4:27" x14ac:dyDescent="0.3">
      <c r="D820" s="20"/>
      <c r="E820" s="20"/>
      <c r="F820" s="20"/>
      <c r="G820" s="20"/>
      <c r="H820" s="20"/>
      <c r="I820" s="17"/>
      <c r="J820" s="20"/>
      <c r="K820" s="20"/>
      <c r="L820" s="20"/>
      <c r="M820" s="20"/>
      <c r="N820" s="20"/>
      <c r="O820" s="17"/>
      <c r="P820" s="20"/>
      <c r="Q820" s="20"/>
      <c r="R820" s="20"/>
      <c r="S820" s="20"/>
      <c r="T820" s="20"/>
      <c r="U820" s="17"/>
      <c r="V820" s="20"/>
      <c r="W820" s="17"/>
      <c r="X820" s="20"/>
      <c r="Y820" s="20"/>
      <c r="Z820" s="20"/>
      <c r="AA820" s="20"/>
    </row>
    <row r="821" spans="4:27" x14ac:dyDescent="0.3">
      <c r="D821" s="20"/>
      <c r="E821" s="20"/>
      <c r="F821" s="20"/>
      <c r="G821" s="20"/>
      <c r="H821" s="20"/>
      <c r="I821" s="17"/>
      <c r="J821" s="20"/>
      <c r="K821" s="20"/>
      <c r="L821" s="20"/>
      <c r="M821" s="20"/>
      <c r="N821" s="20"/>
      <c r="O821" s="17"/>
      <c r="P821" s="20"/>
      <c r="Q821" s="20"/>
      <c r="R821" s="20"/>
      <c r="S821" s="20"/>
      <c r="T821" s="20"/>
      <c r="U821" s="17"/>
      <c r="V821" s="20"/>
      <c r="W821" s="17"/>
      <c r="X821" s="20"/>
      <c r="Y821" s="20"/>
      <c r="Z821" s="20"/>
      <c r="AA821" s="20"/>
    </row>
    <row r="822" spans="4:27" x14ac:dyDescent="0.3">
      <c r="D822" s="20"/>
      <c r="E822" s="20"/>
      <c r="F822" s="20"/>
      <c r="G822" s="20"/>
      <c r="H822" s="20"/>
      <c r="I822" s="17"/>
      <c r="J822" s="20"/>
      <c r="K822" s="20"/>
      <c r="L822" s="20"/>
      <c r="M822" s="20"/>
      <c r="N822" s="20"/>
      <c r="O822" s="17"/>
      <c r="P822" s="20"/>
      <c r="Q822" s="20"/>
      <c r="R822" s="20"/>
      <c r="S822" s="20"/>
      <c r="T822" s="20"/>
      <c r="U822" s="17"/>
      <c r="V822" s="20"/>
      <c r="W822" s="17"/>
      <c r="X822" s="20"/>
      <c r="Y822" s="20"/>
      <c r="Z822" s="20"/>
      <c r="AA822" s="20"/>
    </row>
    <row r="823" spans="4:27" x14ac:dyDescent="0.3">
      <c r="D823" s="20"/>
      <c r="E823" s="20"/>
      <c r="F823" s="20"/>
      <c r="G823" s="20"/>
      <c r="H823" s="20"/>
      <c r="I823" s="17"/>
      <c r="J823" s="20"/>
      <c r="K823" s="20"/>
      <c r="L823" s="20"/>
      <c r="M823" s="20"/>
      <c r="N823" s="20"/>
      <c r="O823" s="17"/>
      <c r="P823" s="20"/>
      <c r="Q823" s="20"/>
      <c r="R823" s="20"/>
      <c r="S823" s="20"/>
      <c r="T823" s="20"/>
      <c r="U823" s="17"/>
      <c r="V823" s="20"/>
      <c r="W823" s="17"/>
      <c r="X823" s="20"/>
      <c r="Y823" s="20"/>
      <c r="Z823" s="20"/>
      <c r="AA823" s="20"/>
    </row>
    <row r="824" spans="4:27" x14ac:dyDescent="0.3">
      <c r="D824" s="20"/>
      <c r="E824" s="20"/>
      <c r="F824" s="20"/>
      <c r="G824" s="20"/>
      <c r="H824" s="20"/>
      <c r="I824" s="17"/>
      <c r="J824" s="20"/>
      <c r="K824" s="20"/>
      <c r="L824" s="20"/>
      <c r="M824" s="20"/>
      <c r="N824" s="20"/>
      <c r="O824" s="17"/>
      <c r="P824" s="20"/>
      <c r="Q824" s="20"/>
      <c r="R824" s="20"/>
      <c r="S824" s="20"/>
      <c r="T824" s="20"/>
      <c r="U824" s="17"/>
      <c r="V824" s="20"/>
      <c r="W824" s="17"/>
      <c r="X824" s="20"/>
      <c r="Y824" s="20"/>
      <c r="Z824" s="20"/>
      <c r="AA824" s="20"/>
    </row>
    <row r="825" spans="4:27" x14ac:dyDescent="0.3">
      <c r="D825" s="20"/>
      <c r="E825" s="20"/>
      <c r="F825" s="20"/>
      <c r="G825" s="20"/>
      <c r="H825" s="20"/>
      <c r="I825" s="17"/>
      <c r="J825" s="20"/>
      <c r="K825" s="20"/>
      <c r="L825" s="20"/>
      <c r="M825" s="20"/>
      <c r="N825" s="20"/>
      <c r="O825" s="17"/>
      <c r="P825" s="20"/>
      <c r="Q825" s="20"/>
      <c r="R825" s="20"/>
      <c r="S825" s="20"/>
      <c r="T825" s="20"/>
      <c r="U825" s="17"/>
      <c r="V825" s="20"/>
      <c r="W825" s="17"/>
      <c r="X825" s="20"/>
      <c r="Y825" s="20"/>
      <c r="Z825" s="20"/>
      <c r="AA825" s="20"/>
    </row>
    <row r="826" spans="4:27" x14ac:dyDescent="0.3">
      <c r="D826" s="20"/>
      <c r="E826" s="20"/>
      <c r="F826" s="20"/>
      <c r="G826" s="20"/>
      <c r="H826" s="20"/>
      <c r="I826" s="17"/>
      <c r="J826" s="20"/>
      <c r="K826" s="20"/>
      <c r="L826" s="20"/>
      <c r="M826" s="20"/>
      <c r="N826" s="20"/>
      <c r="O826" s="17"/>
      <c r="P826" s="20"/>
      <c r="Q826" s="20"/>
      <c r="R826" s="20"/>
      <c r="S826" s="20"/>
      <c r="T826" s="20"/>
      <c r="U826" s="17"/>
      <c r="V826" s="20"/>
      <c r="W826" s="17"/>
      <c r="X826" s="20"/>
      <c r="Y826" s="20"/>
      <c r="Z826" s="20"/>
      <c r="AA826" s="20"/>
    </row>
    <row r="827" spans="4:27" x14ac:dyDescent="0.3">
      <c r="D827" s="20"/>
      <c r="E827" s="20"/>
      <c r="F827" s="20"/>
      <c r="G827" s="20"/>
      <c r="H827" s="20"/>
      <c r="I827" s="17"/>
      <c r="J827" s="20"/>
      <c r="K827" s="20"/>
      <c r="L827" s="20"/>
      <c r="M827" s="20"/>
      <c r="N827" s="20"/>
      <c r="O827" s="17"/>
      <c r="P827" s="20"/>
      <c r="Q827" s="20"/>
      <c r="R827" s="20"/>
      <c r="S827" s="20"/>
      <c r="T827" s="20"/>
      <c r="U827" s="17"/>
      <c r="V827" s="20"/>
      <c r="W827" s="17"/>
      <c r="X827" s="20"/>
      <c r="Y827" s="20"/>
      <c r="Z827" s="20"/>
      <c r="AA827" s="20"/>
    </row>
    <row r="828" spans="4:27" x14ac:dyDescent="0.3">
      <c r="D828" s="20"/>
      <c r="E828" s="20"/>
      <c r="F828" s="20"/>
      <c r="G828" s="20"/>
      <c r="H828" s="20"/>
      <c r="I828" s="17"/>
      <c r="J828" s="20"/>
      <c r="K828" s="20"/>
      <c r="L828" s="20"/>
      <c r="M828" s="20"/>
      <c r="N828" s="20"/>
      <c r="O828" s="17"/>
      <c r="P828" s="20"/>
      <c r="Q828" s="20"/>
      <c r="R828" s="20"/>
      <c r="S828" s="20"/>
      <c r="T828" s="20"/>
      <c r="U828" s="17"/>
      <c r="V828" s="20"/>
      <c r="W828" s="17"/>
      <c r="X828" s="20"/>
      <c r="Y828" s="20"/>
      <c r="Z828" s="20"/>
      <c r="AA828" s="20"/>
    </row>
    <row r="829" spans="4:27" x14ac:dyDescent="0.3">
      <c r="D829" s="20"/>
      <c r="E829" s="20"/>
      <c r="F829" s="20"/>
      <c r="G829" s="20"/>
      <c r="H829" s="20"/>
      <c r="I829" s="17"/>
      <c r="J829" s="20"/>
      <c r="K829" s="20"/>
      <c r="L829" s="20"/>
      <c r="M829" s="20"/>
      <c r="N829" s="20"/>
      <c r="O829" s="17"/>
      <c r="P829" s="20"/>
      <c r="Q829" s="20"/>
      <c r="R829" s="20"/>
      <c r="S829" s="20"/>
      <c r="T829" s="20"/>
      <c r="U829" s="17"/>
      <c r="V829" s="20"/>
      <c r="W829" s="17"/>
      <c r="X829" s="20"/>
      <c r="Y829" s="20"/>
      <c r="Z829" s="20"/>
      <c r="AA829" s="20"/>
    </row>
    <row r="830" spans="4:27" x14ac:dyDescent="0.3">
      <c r="D830" s="20"/>
      <c r="E830" s="20"/>
      <c r="F830" s="20"/>
      <c r="G830" s="20"/>
      <c r="H830" s="20"/>
      <c r="I830" s="17"/>
      <c r="J830" s="20"/>
      <c r="K830" s="20"/>
      <c r="L830" s="20"/>
      <c r="M830" s="20"/>
      <c r="N830" s="20"/>
      <c r="O830" s="17"/>
      <c r="P830" s="20"/>
      <c r="Q830" s="20"/>
      <c r="R830" s="20"/>
      <c r="S830" s="20"/>
      <c r="T830" s="20"/>
      <c r="U830" s="17"/>
      <c r="V830" s="20"/>
      <c r="W830" s="17"/>
      <c r="X830" s="20"/>
      <c r="Y830" s="20"/>
      <c r="Z830" s="20"/>
      <c r="AA830" s="20"/>
    </row>
    <row r="831" spans="4:27" x14ac:dyDescent="0.3">
      <c r="D831" s="20"/>
      <c r="E831" s="20"/>
      <c r="F831" s="20"/>
      <c r="G831" s="20"/>
      <c r="H831" s="20"/>
      <c r="I831" s="17"/>
      <c r="J831" s="20"/>
      <c r="K831" s="20"/>
      <c r="L831" s="20"/>
      <c r="M831" s="20"/>
      <c r="N831" s="20"/>
      <c r="O831" s="17"/>
      <c r="P831" s="20"/>
      <c r="Q831" s="20"/>
      <c r="R831" s="20"/>
      <c r="S831" s="20"/>
      <c r="T831" s="20"/>
      <c r="U831" s="17"/>
      <c r="V831" s="20"/>
      <c r="W831" s="17"/>
      <c r="X831" s="20"/>
      <c r="Y831" s="20"/>
      <c r="Z831" s="20"/>
      <c r="AA831" s="20"/>
    </row>
    <row r="832" spans="4:27" x14ac:dyDescent="0.3">
      <c r="D832" s="20"/>
      <c r="E832" s="20"/>
      <c r="F832" s="20"/>
      <c r="G832" s="20"/>
      <c r="H832" s="20"/>
      <c r="I832" s="17"/>
      <c r="J832" s="20"/>
      <c r="K832" s="20"/>
      <c r="L832" s="20"/>
      <c r="M832" s="20"/>
      <c r="N832" s="20"/>
      <c r="O832" s="17"/>
      <c r="P832" s="20"/>
      <c r="Q832" s="20"/>
      <c r="R832" s="20"/>
      <c r="S832" s="20"/>
      <c r="T832" s="20"/>
      <c r="U832" s="17"/>
      <c r="V832" s="20"/>
      <c r="W832" s="17"/>
      <c r="X832" s="20"/>
      <c r="Y832" s="20"/>
      <c r="Z832" s="20"/>
      <c r="AA832" s="20"/>
    </row>
    <row r="833" spans="4:27" x14ac:dyDescent="0.3">
      <c r="D833" s="20"/>
      <c r="E833" s="20"/>
      <c r="F833" s="20"/>
      <c r="G833" s="20"/>
      <c r="H833" s="20"/>
      <c r="I833" s="17"/>
      <c r="J833" s="20"/>
      <c r="K833" s="20"/>
      <c r="L833" s="20"/>
      <c r="M833" s="20"/>
      <c r="N833" s="20"/>
      <c r="O833" s="17"/>
      <c r="P833" s="20"/>
      <c r="Q833" s="20"/>
      <c r="R833" s="20"/>
      <c r="S833" s="20"/>
      <c r="T833" s="20"/>
      <c r="U833" s="17"/>
      <c r="V833" s="20"/>
      <c r="W833" s="17"/>
      <c r="X833" s="20"/>
      <c r="Y833" s="20"/>
      <c r="Z833" s="20"/>
      <c r="AA833" s="20"/>
    </row>
    <row r="834" spans="4:27" x14ac:dyDescent="0.3">
      <c r="D834" s="20"/>
      <c r="E834" s="20"/>
      <c r="F834" s="20"/>
      <c r="G834" s="20"/>
      <c r="H834" s="20"/>
      <c r="I834" s="17"/>
      <c r="J834" s="20"/>
      <c r="K834" s="20"/>
      <c r="L834" s="20"/>
      <c r="M834" s="20"/>
      <c r="N834" s="20"/>
      <c r="O834" s="17"/>
      <c r="P834" s="20"/>
      <c r="Q834" s="20"/>
      <c r="R834" s="20"/>
      <c r="S834" s="20"/>
      <c r="T834" s="20"/>
      <c r="U834" s="17"/>
      <c r="V834" s="20"/>
      <c r="W834" s="17"/>
      <c r="X834" s="20"/>
      <c r="Y834" s="20"/>
      <c r="Z834" s="20"/>
      <c r="AA834" s="20"/>
    </row>
    <row r="835" spans="4:27" x14ac:dyDescent="0.3">
      <c r="D835" s="20"/>
      <c r="E835" s="20"/>
      <c r="F835" s="20"/>
      <c r="G835" s="20"/>
      <c r="H835" s="20"/>
      <c r="I835" s="17"/>
      <c r="J835" s="20"/>
      <c r="K835" s="20"/>
      <c r="L835" s="20"/>
      <c r="M835" s="20"/>
      <c r="N835" s="20"/>
      <c r="O835" s="17"/>
      <c r="P835" s="20"/>
      <c r="Q835" s="20"/>
      <c r="R835" s="20"/>
      <c r="S835" s="20"/>
      <c r="T835" s="20"/>
      <c r="U835" s="17"/>
      <c r="V835" s="20"/>
      <c r="W835" s="17"/>
      <c r="X835" s="20"/>
      <c r="Y835" s="20"/>
      <c r="Z835" s="20"/>
      <c r="AA835" s="20"/>
    </row>
    <row r="836" spans="4:27" x14ac:dyDescent="0.3">
      <c r="D836" s="20"/>
      <c r="E836" s="20"/>
      <c r="F836" s="20"/>
      <c r="G836" s="20"/>
      <c r="H836" s="20"/>
      <c r="I836" s="17"/>
      <c r="J836" s="20"/>
      <c r="K836" s="20"/>
      <c r="L836" s="20"/>
      <c r="M836" s="20"/>
      <c r="N836" s="20"/>
      <c r="O836" s="17"/>
      <c r="P836" s="20"/>
      <c r="Q836" s="20"/>
      <c r="R836" s="20"/>
      <c r="S836" s="20"/>
      <c r="T836" s="20"/>
      <c r="U836" s="17"/>
      <c r="V836" s="20"/>
      <c r="W836" s="17"/>
      <c r="X836" s="20"/>
      <c r="Y836" s="20"/>
      <c r="Z836" s="20"/>
      <c r="AA836" s="20"/>
    </row>
    <row r="837" spans="4:27" x14ac:dyDescent="0.3">
      <c r="D837" s="20"/>
      <c r="E837" s="20"/>
      <c r="F837" s="20"/>
      <c r="G837" s="20"/>
      <c r="H837" s="20"/>
      <c r="I837" s="17"/>
      <c r="J837" s="20"/>
      <c r="K837" s="20"/>
      <c r="L837" s="20"/>
      <c r="M837" s="20"/>
      <c r="N837" s="20"/>
      <c r="O837" s="17"/>
      <c r="P837" s="20"/>
      <c r="Q837" s="20"/>
      <c r="R837" s="20"/>
      <c r="S837" s="20"/>
      <c r="T837" s="20"/>
      <c r="U837" s="17"/>
      <c r="V837" s="20"/>
      <c r="W837" s="17"/>
      <c r="X837" s="20"/>
      <c r="Y837" s="20"/>
      <c r="Z837" s="20"/>
      <c r="AA837" s="20"/>
    </row>
    <row r="838" spans="4:27" x14ac:dyDescent="0.3">
      <c r="D838" s="20"/>
      <c r="E838" s="20"/>
      <c r="F838" s="20"/>
      <c r="G838" s="20"/>
      <c r="H838" s="20"/>
      <c r="I838" s="17"/>
      <c r="J838" s="20"/>
      <c r="K838" s="20"/>
      <c r="L838" s="20"/>
      <c r="M838" s="20"/>
      <c r="N838" s="20"/>
      <c r="O838" s="17"/>
      <c r="P838" s="20"/>
      <c r="Q838" s="20"/>
      <c r="R838" s="20"/>
      <c r="S838" s="20"/>
      <c r="T838" s="20"/>
      <c r="U838" s="17"/>
      <c r="V838" s="20"/>
      <c r="W838" s="17"/>
      <c r="X838" s="20"/>
      <c r="Y838" s="20"/>
      <c r="Z838" s="20"/>
      <c r="AA838" s="20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Γιάννης Μάντσιος</dc:creator>
  <cp:lastModifiedBy>Paul</cp:lastModifiedBy>
  <dcterms:created xsi:type="dcterms:W3CDTF">2020-06-24T18:30:36Z</dcterms:created>
  <dcterms:modified xsi:type="dcterms:W3CDTF">2021-07-26T10:59:33Z</dcterms:modified>
</cp:coreProperties>
</file>